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500" firstSheet="1" activeTab="6" autoFilterDateGrouping="1"/>
  </bookViews>
  <sheets>
    <sheet name="REGRAS" sheetId="1" state="visible" r:id="rId1"/>
    <sheet name="CARTEIRA" sheetId="2" state="visible" r:id="rId2"/>
    <sheet name="DRAFT 1" sheetId="3" state="visible" r:id="rId3"/>
    <sheet name="LOG" sheetId="4" state="hidden" r:id="rId4"/>
    <sheet name="DRAFT 2" sheetId="5" state="visible" r:id="rId5"/>
    <sheet name="AGENDA" sheetId="6" state="visible" r:id="rId6"/>
    <sheet name="DASH" sheetId="7" state="visible" r:id="rId7"/>
    <sheet name="Claude Log" sheetId="8" state="visible" r:id="rId8"/>
  </sheets>
  <externalReferences>
    <externalReference r:id="rId9"/>
  </externalReferences>
  <definedNames>
    <definedName name="LISTA_ACAO_FUTURA">REGRAS!$B$114:$B$120</definedName>
    <definedName name="LISTA_ATIVO_RECEPTIVO">REGRAS!$B$100:$B$101</definedName>
    <definedName name="LISTA_CONSULTOR">REGRAS!$A$88:$A$91</definedName>
    <definedName name="LISTA_CURVA_ABC">REGRAS!$B$102:$B$104</definedName>
    <definedName name="LISTA_FASE">REGRAS!$B$51:$B$59</definedName>
    <definedName name="LISTA_GRUPO_DASH">REGRAS!$B$111:$B$113</definedName>
    <definedName name="LISTA_MOTIVO">REGRAS!$B$28:$B$37</definedName>
    <definedName name="LISTA_RESULTADO">REGRAS!$B$2:$B$13</definedName>
    <definedName name="LISTA_SIM_NAO">REGRAS!$B$95:$B$96</definedName>
    <definedName name="LISTA_SIM_NAO_NA">REGRAS!$B$97:$B$99</definedName>
    <definedName name="LISTA_SINALEIRO">REGRAS!$A$72:$A$75</definedName>
    <definedName name="LISTA_SITUACAO">REGRAS!$B$41:$B$47</definedName>
    <definedName name="LISTA_TENTATIVA">REGRAS!$B$63:$B$68</definedName>
    <definedName name="LISTA_TIPO_CLIENTE">REGRAS!$B$105:$B$110</definedName>
    <definedName name="LISTA_TIPO_CONTATO">REGRAS!$B$18:$B$24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&quot;R$ &quot;#,##0"/>
    <numFmt numFmtId="165" formatCode="yyyy\-mm\-dd"/>
    <numFmt numFmtId="166" formatCode="mm/dd/yy"/>
    <numFmt numFmtId="167" formatCode="0.0%"/>
    <numFmt numFmtId="168" formatCode="0.0"/>
    <numFmt numFmtId="169" formatCode="yyyy-mm-dd"/>
    <numFmt numFmtId="170" formatCode="DD/MM/YYYY"/>
  </numFmts>
  <fonts count="116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color rgb="FF000000"/>
      <sz val="14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7B1FA2"/>
      <sz val="8"/>
    </font>
    <font>
      <name val="Arial"/>
      <charset val="1"/>
      <b val="1"/>
      <color rgb="FF1565C0"/>
      <sz val="8"/>
    </font>
    <font>
      <name val="Arial"/>
      <charset val="1"/>
      <b val="1"/>
      <color rgb="FF546E7A"/>
      <sz val="8"/>
    </font>
    <font>
      <name val="Arial"/>
      <charset val="1"/>
      <color rgb="FFFFFFFF"/>
      <sz val="10"/>
    </font>
    <font>
      <name val="Arial"/>
      <charset val="1"/>
      <b val="1"/>
      <color rgb="FFFFFFFF"/>
      <sz val="8"/>
    </font>
    <font>
      <name val="Arial"/>
      <charset val="1"/>
      <b val="1"/>
      <color rgb="FF1E40AF"/>
      <sz val="10"/>
    </font>
    <font>
      <name val="Arial"/>
      <charset val="1"/>
      <b val="1"/>
      <color rgb="FF9A3412"/>
      <sz val="10"/>
    </font>
    <font>
      <name val="Arial"/>
      <charset val="1"/>
      <b val="1"/>
      <color rgb="FF5B21B6"/>
      <sz val="10"/>
    </font>
    <font>
      <name val="Arial"/>
      <charset val="1"/>
      <b val="1"/>
      <color rgb="FF134E4A"/>
      <sz val="10"/>
    </font>
    <font>
      <name val="Arial"/>
      <charset val="1"/>
      <b val="1"/>
      <color rgb="FF92400E"/>
      <sz val="10"/>
    </font>
    <font>
      <name val="Arial"/>
      <b val="1"/>
      <color rgb="FFFFFFFF"/>
      <sz val="9"/>
    </font>
    <font>
      <name val="Arial"/>
      <b val="1"/>
      <sz val="9"/>
    </font>
    <font>
      <name val="Arial"/>
      <sz val="9"/>
    </font>
    <font>
      <name val="Arial"/>
      <b val="1"/>
      <color rgb="FFFFFFFF"/>
      <sz val="14"/>
    </font>
    <font>
      <name val="Arial"/>
      <color rgb="FF1B2A4A"/>
      <sz val="10"/>
    </font>
    <font>
      <name val="Arial"/>
      <b val="1"/>
      <color rgb="FFFFFFFF"/>
      <sz val="10"/>
    </font>
    <font>
      <name val="Arial"/>
      <i val="1"/>
      <color rgb="FF94A3B8"/>
      <sz val="9"/>
    </font>
    <font>
      <name val="Arial"/>
      <b val="1"/>
      <color rgb="FFFFFFFF"/>
      <sz val="12"/>
    </font>
    <font>
      <name val="Arial"/>
      <b val="1"/>
      <color rgb="FF7C3AED"/>
      <sz val="10"/>
    </font>
    <font>
      <name val="Arial"/>
      <color rgb="FF6B7280"/>
      <sz val="9"/>
    </font>
    <font>
      <name val="Calibri"/>
      <sz val="10"/>
    </font>
    <font>
      <name val="Calibri"/>
      <b val="1"/>
      <sz val="10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00B050"/>
      <sz val="9"/>
    </font>
    <font>
      <name val="Calibri"/>
      <sz val="9"/>
    </font>
    <font>
      <name val="Calibri"/>
      <b val="1"/>
      <color rgb="FF000000"/>
      <sz val="9"/>
    </font>
    <font>
      <name val="Calibri"/>
      <b val="1"/>
      <color rgb="FFFF0000"/>
      <sz val="9"/>
    </font>
    <font>
      <name val="Calibri"/>
      <sz val="8"/>
    </font>
    <font>
      <name val="Calibri"/>
      <color rgb="FFFF0000"/>
      <sz val="10"/>
    </font>
    <font>
      <name val="Calibri"/>
      <b val="1"/>
      <color rgb="FF00B050"/>
      <sz val="10"/>
    </font>
    <font>
      <name val="Calibri"/>
      <b val="1"/>
      <color rgb="FF4472C4"/>
      <sz val="10"/>
    </font>
    <font>
      <name val="Calibri"/>
      <b val="1"/>
      <color rgb="FFFFC000"/>
      <sz val="10"/>
    </font>
    <font>
      <name val="Calibri"/>
      <b val="1"/>
      <color rgb="FF7030A0"/>
      <sz val="10"/>
    </font>
    <font>
      <name val="Calibri"/>
      <color rgb="FF00B050"/>
      <sz val="10"/>
    </font>
    <font>
      <name val="Calibri"/>
      <color rgb="FFFFC000"/>
      <sz val="10"/>
    </font>
    <font>
      <name val="Calibri"/>
      <color rgb="FFED7D31"/>
      <sz val="10"/>
    </font>
    <font>
      <name val="Calibri"/>
      <color rgb="FF7030A0"/>
      <sz val="10"/>
    </font>
    <font>
      <name val="Calibri"/>
      <b val="1"/>
      <color rgb="FF333333"/>
      <sz val="9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F4E79"/>
      <sz val="28"/>
    </font>
    <font>
      <name val="Calibri"/>
      <b val="1"/>
      <color rgb="FF00B050"/>
      <sz val="28"/>
    </font>
    <font>
      <name val="Calibri"/>
      <b val="1"/>
      <color rgb="FF4472C4"/>
      <sz val="28"/>
    </font>
    <font>
      <name val="Calibri"/>
      <b val="1"/>
      <color rgb="FFED7D31"/>
      <sz val="28"/>
    </font>
    <font>
      <name val="Calibri"/>
      <b val="1"/>
      <color rgb="FF5B9BD5"/>
      <sz val="28"/>
    </font>
    <font>
      <name val="Calibri"/>
      <b val="1"/>
      <color rgb="FFFF0000"/>
      <sz val="28"/>
    </font>
    <font>
      <name val="Calibri"/>
      <b val="1"/>
      <color rgb="FF7030A0"/>
      <sz val="28"/>
    </font>
    <font>
      <name val="Calibri"/>
      <b val="1"/>
      <i val="1"/>
      <color rgb="FF666666"/>
      <sz val="8"/>
    </font>
    <font>
      <name val="Calibri"/>
      <i val="1"/>
      <color rgb="FF666666"/>
      <sz val="8"/>
    </font>
    <font>
      <name val="Calibri"/>
      <b val="1"/>
      <color rgb="FF000000"/>
      <sz val="10"/>
    </font>
    <font>
      <name val="Calibri"/>
      <charset val="1"/>
      <family val="2"/>
      <color rgb="FF00B050"/>
      <sz val="10"/>
    </font>
    <font>
      <name val="Calibri"/>
      <charset val="1"/>
      <family val="2"/>
      <color rgb="FFFFC000"/>
      <sz val="10"/>
    </font>
    <font>
      <name val="Calibri"/>
      <charset val="1"/>
      <family val="2"/>
      <color rgb="FFED7D3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color rgb="FF7030A0"/>
      <sz val="10"/>
    </font>
    <font>
      <name val="Calibri"/>
      <b val="1"/>
      <color rgb="FFFFFFFF"/>
      <sz val="28"/>
    </font>
    <font>
      <name val="Calibri"/>
      <i val="1"/>
      <color rgb="FFFFFFFF"/>
      <sz val="8"/>
    </font>
    <font>
      <name val="Calibri"/>
      <b val="1"/>
      <sz val="9"/>
    </font>
    <font>
      <name val="Calibri"/>
      <color rgb="FF00B050"/>
      <sz val="9"/>
    </font>
    <font>
      <name val="Calibri"/>
      <color rgb="FFFF0000"/>
      <sz val="9"/>
    </font>
    <font>
      <name val="Calibri"/>
      <color rgb="FF2E75B6"/>
      <sz val="9"/>
    </font>
    <font>
      <name val="Calibri"/>
      <b val="1"/>
      <color rgb="FF2E75B6"/>
      <sz val="9"/>
    </font>
    <font>
      <name val="Calibri"/>
      <color rgb="FFFFC000"/>
      <sz val="9"/>
    </font>
    <font>
      <name val="Calibri"/>
      <b val="1"/>
      <color rgb="FFFFC000"/>
      <sz val="9"/>
    </font>
    <font>
      <name val="Calibri"/>
      <b val="1"/>
      <color rgb="FFFFFFFF"/>
      <sz val="16"/>
    </font>
    <font>
      <name val="Calibri"/>
      <b val="1"/>
      <i val="1"/>
      <color rgb="FFFFFFFF"/>
      <sz val="8"/>
    </font>
    <font>
      <name val="Calibri"/>
      <color rgb="FF000000"/>
      <sz val="9"/>
    </font>
    <font>
      <name val="Calibri"/>
      <charset val="1"/>
      <family val="2"/>
      <b val="1"/>
      <color rgb="FFFFFFFF"/>
      <sz val="9"/>
    </font>
    <font>
      <name val="Calibri"/>
      <b val="1"/>
      <color rgb="FFED7D31"/>
      <sz val="10"/>
    </font>
    <font>
      <name val="Calibri"/>
      <b val="1"/>
      <color rgb="FFFF0000"/>
      <sz val="10"/>
    </font>
    <font>
      <name val="Calibri"/>
      <b val="1"/>
      <color rgb="FFED7D31"/>
      <sz val="9"/>
    </font>
    <font>
      <name val="Calibri"/>
      <b val="1"/>
      <color rgb="FF4472C4"/>
      <sz val="9"/>
    </font>
    <font>
      <name val="Calibri"/>
      <b val="1"/>
      <color rgb="FF7030A0"/>
      <sz val="9"/>
    </font>
    <font>
      <name val="Calibri"/>
      <charset val="1"/>
      <family val="2"/>
      <b val="1"/>
      <color rgb="FF000000"/>
      <sz val="9"/>
    </font>
    <font>
      <name val="Calibri"/>
      <charset val="1"/>
      <family val="2"/>
      <color rgb="FF000000"/>
      <sz val="9"/>
    </font>
    <font>
      <name val="Calibri"/>
      <color rgb="FFED7D31"/>
      <sz val="9"/>
    </font>
    <font>
      <name val="Calibri"/>
      <color rgb="FF7030A0"/>
      <sz val="9"/>
    </font>
    <font>
      <name val="Calibri"/>
      <color rgb="FF0070C0"/>
      <sz val="9"/>
    </font>
    <font>
      <name val="Calibri"/>
      <charset val="1"/>
      <family val="2"/>
      <color rgb="FF00B050"/>
      <sz val="9"/>
    </font>
    <font>
      <name val="Calibri"/>
      <charset val="1"/>
      <family val="2"/>
      <b val="1"/>
      <color rgb="FF00B050"/>
      <sz val="9"/>
    </font>
    <font>
      <name val="Calibri"/>
      <charset val="1"/>
      <family val="2"/>
      <b val="1"/>
      <color rgb="FF00B050"/>
      <sz val="10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b val="1"/>
      <color rgb="FF4472C4"/>
      <sz val="10"/>
    </font>
    <font>
      <name val="Calibri"/>
      <charset val="1"/>
      <family val="2"/>
      <color rgb="FFFF000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color rgb="FF00D2FF"/>
      <sz val="9"/>
    </font>
    <font>
      <name val="Calibri"/>
      <charset val="1"/>
      <family val="2"/>
      <color rgb="FFFFC000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color rgb="FFAAAAAA"/>
      <sz val="9"/>
    </font>
    <font>
      <name val="Calibri"/>
      <charset val="1"/>
      <family val="2"/>
      <b val="1"/>
      <color rgb="FFAAAAAA"/>
      <sz val="9"/>
    </font>
    <font>
      <name val="Calibri"/>
      <charset val="1"/>
      <family val="2"/>
      <color rgb="FFFFD700"/>
      <sz val="9"/>
    </font>
    <font>
      <name val="Calibri"/>
      <charset val="1"/>
      <family val="2"/>
      <b val="1"/>
      <color rgb="FFFFD700"/>
      <sz val="9"/>
    </font>
    <font>
      <name val="Calibri"/>
      <charset val="1"/>
      <family val="2"/>
      <b val="1"/>
      <color rgb="FFC0C0C0"/>
      <sz val="9"/>
    </font>
    <font>
      <name val="Calibri"/>
      <charset val="1"/>
      <family val="2"/>
      <b val="1"/>
      <color rgb="FFCD7F32"/>
      <sz val="9"/>
    </font>
    <font>
      <name val="Calibri"/>
      <charset val="1"/>
      <family val="2"/>
      <color rgb="FFFF6347"/>
      <sz val="9"/>
    </font>
    <font>
      <name val="Calibri"/>
      <charset val="1"/>
      <family val="2"/>
      <color rgb="FF888888"/>
      <sz val="9"/>
    </font>
    <font>
      <name val="Calibri"/>
      <charset val="1"/>
      <family val="2"/>
      <b val="1"/>
      <color rgb="FF888888"/>
      <sz val="9"/>
    </font>
    <font>
      <name val="Calibri"/>
      <charset val="1"/>
      <family val="2"/>
      <b val="1"/>
      <color rgb="FF0070C0"/>
      <sz val="9"/>
    </font>
    <font>
      <name val="Calibri"/>
      <charset val="1"/>
      <family val="2"/>
      <color rgb="FF0070C0"/>
      <sz val="9"/>
    </font>
    <font>
      <name val="Calibri"/>
      <charset val="1"/>
      <family val="2"/>
      <b val="1"/>
      <color rgb="FFFF6347"/>
      <sz val="9"/>
    </font>
    <font>
      <name val="Calibri"/>
      <charset val="1"/>
      <family val="2"/>
      <b val="1"/>
      <color rgb="FF00D2FF"/>
      <sz val="9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68">
    <fill>
      <patternFill/>
    </fill>
    <fill>
      <patternFill patternType="gray125"/>
    </fill>
    <fill>
      <patternFill patternType="darkGray">
        <fgColor rgb="FF1D2531"/>
        <bgColor rgb="FF1E3A5F"/>
      </patternFill>
    </fill>
    <fill>
      <patternFill patternType="solid">
        <fgColor rgb="FFFFFFFF"/>
        <bgColor rgb="FFF8FAFC"/>
      </patternFill>
    </fill>
    <fill>
      <patternFill patternType="solid">
        <fgColor rgb="FF00B050"/>
        <bgColor rgb="FF0B9687"/>
      </patternFill>
    </fill>
    <fill>
      <patternFill patternType="solid">
        <fgColor rgb="FFFFC000"/>
        <bgColor rgb="FFF97316"/>
      </patternFill>
    </fill>
    <fill>
      <patternFill patternType="solid">
        <fgColor rgb="FFFF0000"/>
        <bgColor rgb="FFDC2626"/>
      </patternFill>
    </fill>
    <fill>
      <patternFill patternType="solid">
        <fgColor rgb="FF1165C0"/>
        <bgColor rgb="FF1976D2"/>
      </patternFill>
    </fill>
    <fill>
      <patternFill patternType="solid">
        <fgColor rgb="FF7B2FF2"/>
        <bgColor rgb="FF7C3AED"/>
      </patternFill>
    </fill>
    <fill>
      <patternFill patternType="solid">
        <fgColor rgb="FF7B1FA2"/>
        <bgColor rgb="FF5B21B6"/>
      </patternFill>
    </fill>
    <fill>
      <patternFill patternType="solid">
        <fgColor rgb="FF1165C0"/>
        <bgColor rgb="FF1976D2"/>
      </patternFill>
    </fill>
    <fill>
      <patternFill patternType="solid">
        <fgColor rgb="FF546E7A"/>
        <bgColor rgb="FF5B6265"/>
      </patternFill>
    </fill>
    <fill>
      <patternFill patternType="solid">
        <fgColor rgb="FF2E7D32"/>
        <bgColor rgb="FF388E3C"/>
      </patternFill>
    </fill>
    <fill>
      <patternFill patternType="solid">
        <fgColor rgb="FF135E16"/>
        <bgColor rgb="FF0A5449"/>
      </patternFill>
    </fill>
    <fill>
      <patternFill patternType="solid">
        <fgColor rgb="FF388E3C"/>
        <bgColor rgb="FF2E7D32"/>
      </patternFill>
    </fill>
    <fill>
      <patternFill patternType="solid">
        <fgColor rgb="FF558B2F"/>
        <bgColor rgb="FF388E3C"/>
      </patternFill>
    </fill>
    <fill>
      <patternFill patternType="solid">
        <fgColor rgb="FFE1BEE7"/>
        <bgColor rgb="FFFFC7CE"/>
      </patternFill>
    </fill>
    <fill>
      <patternFill patternType="solid">
        <fgColor rgb="FFBBDEFB"/>
        <bgColor rgb="FFCFD8DC"/>
      </patternFill>
    </fill>
    <fill>
      <patternFill patternType="solid">
        <fgColor rgb="FFCFD8DC"/>
        <bgColor rgb="FFD1D5DB"/>
      </patternFill>
    </fill>
    <fill>
      <patternFill patternType="solid">
        <fgColor rgb="FF9C27B0"/>
        <bgColor rgb="FF7B1FA2"/>
      </patternFill>
    </fill>
    <fill>
      <patternFill patternType="solid">
        <fgColor rgb="FF1976D2"/>
        <bgColor rgb="FF1165C0"/>
      </patternFill>
    </fill>
    <fill>
      <patternFill patternType="solid">
        <fgColor rgb="FFC8E6C9"/>
        <bgColor rgb="FFC6EFCE"/>
      </patternFill>
    </fill>
    <fill>
      <patternFill patternType="solid">
        <fgColor rgb="FFA5D6A7"/>
        <bgColor rgb="FFC8E6C9"/>
      </patternFill>
    </fill>
    <fill>
      <patternFill patternType="solid">
        <fgColor rgb="FF81C784"/>
        <bgColor rgb="FFA5D6A7"/>
      </patternFill>
    </fill>
    <fill>
      <patternFill patternType="solid">
        <fgColor rgb="FFDCEDC8"/>
        <bgColor rgb="FFE2EFDA"/>
      </patternFill>
    </fill>
    <fill>
      <patternFill patternType="solid">
        <fgColor rgb="FFDBEAFE"/>
        <bgColor rgb="FFD9E2F3"/>
      </patternFill>
    </fill>
    <fill>
      <patternFill patternType="solid">
        <fgColor rgb="FFFFEDD5"/>
        <bgColor rgb="FFFEF3C7"/>
      </patternFill>
    </fill>
    <fill>
      <patternFill patternType="solid">
        <fgColor rgb="FFEDE9FE"/>
        <bgColor rgb="FFF3F4F6"/>
      </patternFill>
    </fill>
    <fill>
      <patternFill patternType="solid">
        <fgColor rgb="FFCCFBF1"/>
        <bgColor rgb="FFD1FAE5"/>
      </patternFill>
    </fill>
    <fill>
      <patternFill patternType="solid">
        <fgColor rgb="FFFEF3C7"/>
        <bgColor rgb="FFFFEDD5"/>
      </patternFill>
    </fill>
    <fill>
      <patternFill patternType="solid">
        <fgColor rgb="FF1B2A4A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166534"/>
      </patternFill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7C3AED"/>
      </patternFill>
    </fill>
    <fill>
      <patternFill patternType="solid">
        <fgColor rgb="FF9333EA"/>
      </patternFill>
    </fill>
    <fill>
      <patternFill patternType="solid">
        <fgColor rgb="FFF3E8FF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333333"/>
      </patternFill>
    </fill>
    <fill>
      <patternFill patternType="solid">
        <fgColor rgb="FF4472C4"/>
      </patternFill>
    </fill>
    <fill>
      <patternFill patternType="solid">
        <fgColor rgb="FFD6DCE4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404040"/>
      </patternFill>
    </fill>
    <fill>
      <patternFill patternType="solid">
        <fgColor rgb="008B0000"/>
      </patternFill>
    </fill>
    <fill>
      <patternFill patternType="solid">
        <fgColor rgb="002E7D32"/>
      </patternFill>
    </fill>
    <fill>
      <patternFill patternType="solid">
        <fgColor rgb="00595959"/>
      </patternFill>
    </fill>
  </fills>
  <borders count="3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medium">
        <color rgb="FFD0D0D0"/>
      </bottom>
      <diagonal/>
    </border>
    <border>
      <left style="thin">
        <color rgb="FFE0E0E0"/>
      </left>
      <right/>
      <top/>
      <bottom style="medium">
        <color rgb="FFD0D0D0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medium">
        <color rgb="FFD0D0D0"/>
      </bottom>
      <diagonal/>
    </border>
    <border>
      <left style="thin">
        <color rgb="FFE0E0E0"/>
      </left>
      <right/>
      <top style="thin">
        <color rgb="FFBFBFBF"/>
      </top>
      <bottom style="thin">
        <color rgb="FFBFBFBF"/>
      </bottom>
      <diagonal/>
    </border>
    <border>
      <left style="thin">
        <color rgb="FFE0E0E0"/>
      </left>
      <right/>
      <top style="thin">
        <color rgb="FFBFBFBF"/>
      </top>
      <bottom style="medium">
        <color rgb="FFD0D0D0"/>
      </bottom>
      <diagonal/>
    </border>
    <border>
      <left/>
      <right/>
      <top style="thin">
        <color rgb="FFBFBFBF"/>
      </top>
      <bottom style="medium">
        <color rgb="FFD0D0D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medium">
        <color rgb="FFD0D0D0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5"/>
  </cellStyleXfs>
  <cellXfs count="3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164" fontId="6" fillId="13" borderId="1" pivotButton="0" quotePrefix="0" xfId="0"/>
    <xf numFmtId="0" fontId="0" fillId="13" borderId="1" pivotButton="0" quotePrefix="0" xfId="0"/>
    <xf numFmtId="0" fontId="7" fillId="12" borderId="1" applyAlignment="1" pivotButton="0" quotePrefix="0" xfId="0">
      <alignment horizontal="center" vertical="center"/>
    </xf>
    <xf numFmtId="164" fontId="6" fillId="12" borderId="1" pivotButton="0" quotePrefix="0" xfId="0"/>
    <xf numFmtId="0" fontId="0" fillId="12" borderId="1" pivotButton="0" quotePrefix="0" xfId="0"/>
    <xf numFmtId="0" fontId="7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64" fontId="6" fillId="14" borderId="1" pivotButton="0" quotePrefix="0" xfId="0"/>
    <xf numFmtId="0" fontId="0" fillId="14" borderId="1" pivotButton="0" quotePrefix="0" xfId="0"/>
    <xf numFmtId="0" fontId="7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164" fontId="6" fillId="15" borderId="1" pivotButton="0" quotePrefix="0" xfId="0"/>
    <xf numFmtId="0" fontId="0" fillId="15" borderId="1" pivotButton="0" quotePrefix="0" xfId="0"/>
    <xf numFmtId="0" fontId="8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9" fontId="0" fillId="0" borderId="0" pivotButton="0" quotePrefix="0" xfId="0"/>
    <xf numFmtId="9" fontId="0" fillId="21" borderId="0" pivotButton="0" quotePrefix="0" xfId="0"/>
    <xf numFmtId="3" fontId="0" fillId="0" borderId="0" pivotButton="0" quotePrefix="0" xfId="0"/>
    <xf numFmtId="14" fontId="0" fillId="0" borderId="0" pivotButton="0" quotePrefix="0" xfId="0"/>
    <xf numFmtId="9" fontId="0" fillId="22" borderId="0" pivotButton="0" quotePrefix="0" xfId="0"/>
    <xf numFmtId="9" fontId="0" fillId="23" borderId="0" pivotButton="0" quotePrefix="0" xfId="0"/>
    <xf numFmtId="9" fontId="0" fillId="24" borderId="0" pivotButton="0" quotePrefix="0" xfId="0"/>
    <xf numFmtId="0" fontId="13" fillId="25" borderId="1" applyAlignment="1" pivotButton="0" quotePrefix="0" xfId="0">
      <alignment horizontal="center" vertical="center" wrapText="1"/>
    </xf>
    <xf numFmtId="0" fontId="14" fillId="26" borderId="1" applyAlignment="1" pivotButton="0" quotePrefix="0" xfId="0">
      <alignment horizontal="center" vertical="center" wrapText="1"/>
    </xf>
    <xf numFmtId="0" fontId="15" fillId="27" borderId="1" applyAlignment="1" pivotButton="0" quotePrefix="0" xfId="0">
      <alignment horizontal="center" vertical="center" wrapText="1"/>
    </xf>
    <xf numFmtId="0" fontId="16" fillId="28" borderId="1" applyAlignment="1" pivotButton="0" quotePrefix="0" xfId="0">
      <alignment horizontal="center" vertical="center" wrapText="1"/>
    </xf>
    <xf numFmtId="0" fontId="17" fillId="29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4" pivotButton="0" quotePrefix="0" xfId="0"/>
    <xf numFmtId="0" fontId="20" fillId="0" borderId="4" pivotButton="0" quotePrefix="0" xfId="0"/>
    <xf numFmtId="0" fontId="18" fillId="34" borderId="4" applyAlignment="1" pivotButton="0" quotePrefix="0" xfId="0">
      <alignment horizontal="center" vertical="center" wrapText="1"/>
    </xf>
    <xf numFmtId="0" fontId="18" fillId="33" borderId="4" applyAlignment="1" pivotButton="0" quotePrefix="0" xfId="0">
      <alignment horizontal="center" vertical="center" wrapText="1"/>
    </xf>
    <xf numFmtId="0" fontId="24" fillId="35" borderId="4" pivotButton="0" quotePrefix="0" xfId="0"/>
    <xf numFmtId="0" fontId="20" fillId="35" borderId="4" pivotButton="0" quotePrefix="0" xfId="0"/>
    <xf numFmtId="0" fontId="20" fillId="36" borderId="4" pivotButton="0" quotePrefix="0" xfId="0"/>
    <xf numFmtId="0" fontId="26" fillId="0" borderId="0" pivotButton="0" quotePrefix="0" xfId="0"/>
    <xf numFmtId="0" fontId="18" fillId="38" borderId="4" applyAlignment="1" pivotButton="0" quotePrefix="0" xfId="0">
      <alignment horizontal="center" vertical="center" wrapText="1"/>
    </xf>
    <xf numFmtId="0" fontId="19" fillId="0" borderId="0" pivotButton="0" quotePrefix="0" xfId="0"/>
    <xf numFmtId="0" fontId="27" fillId="0" borderId="0" pivotButton="0" quotePrefix="0" xfId="0"/>
    <xf numFmtId="0" fontId="20" fillId="39" borderId="4" pivotButton="0" quotePrefix="0" xfId="0"/>
    <xf numFmtId="14" fontId="20" fillId="36" borderId="4" pivotButton="0" quotePrefix="0" xfId="0"/>
    <xf numFmtId="14" fontId="0" fillId="0" borderId="4" pivotButton="0" quotePrefix="0" xfId="0"/>
    <xf numFmtId="0" fontId="29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29" fillId="0" borderId="6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35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center" vertical="center"/>
    </xf>
    <xf numFmtId="0" fontId="36" fillId="0" borderId="6" applyAlignment="1" pivotButton="0" quotePrefix="0" xfId="0">
      <alignment horizontal="left" vertical="center"/>
    </xf>
    <xf numFmtId="0" fontId="37" fillId="0" borderId="6" applyAlignment="1" pivotButton="0" quotePrefix="0" xfId="0">
      <alignment horizontal="center" vertical="center"/>
    </xf>
    <xf numFmtId="0" fontId="42" fillId="0" borderId="6" applyAlignment="1" pivotButton="0" quotePrefix="0" xfId="0">
      <alignment horizontal="center" vertical="center"/>
    </xf>
    <xf numFmtId="0" fontId="43" fillId="0" borderId="6" applyAlignment="1" pivotButton="0" quotePrefix="0" xfId="0">
      <alignment horizontal="center" vertical="center"/>
    </xf>
    <xf numFmtId="0" fontId="44" fillId="0" borderId="6" applyAlignment="1" pivotButton="0" quotePrefix="0" xfId="0">
      <alignment horizontal="center" vertical="center"/>
    </xf>
    <xf numFmtId="0" fontId="45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0" fontId="29" fillId="45" borderId="10" applyAlignment="1" pivotButton="0" quotePrefix="0" xfId="0">
      <alignment horizontal="left" vertical="center"/>
    </xf>
    <xf numFmtId="0" fontId="29" fillId="45" borderId="10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0" fillId="0" borderId="3" pivotButton="0" quotePrefix="0" xfId="0"/>
    <xf numFmtId="0" fontId="6" fillId="1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18" fillId="37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37" borderId="0" applyAlignment="1" pivotButton="0" quotePrefix="0" xfId="0">
      <alignment horizontal="center" vertical="center"/>
    </xf>
    <xf numFmtId="0" fontId="25" fillId="30" borderId="0" applyAlignment="1" pivotButton="0" quotePrefix="0" xfId="0">
      <alignment horizontal="center" vertical="center"/>
    </xf>
    <xf numFmtId="0" fontId="23" fillId="33" borderId="0" pivotButton="0" quotePrefix="0" xfId="0"/>
    <xf numFmtId="0" fontId="23" fillId="32" borderId="0" pivotButton="0" quotePrefix="0" xfId="0"/>
    <xf numFmtId="0" fontId="22" fillId="31" borderId="0" pivotButton="0" quotePrefix="0" xfId="0"/>
    <xf numFmtId="0" fontId="21" fillId="30" borderId="0" applyAlignment="1" pivotButton="0" quotePrefix="0" xfId="0">
      <alignment horizontal="center" vertical="center"/>
    </xf>
    <xf numFmtId="0" fontId="28" fillId="0" borderId="5" pivotButton="0" quotePrefix="0" xfId="0"/>
    <xf numFmtId="0" fontId="0" fillId="0" borderId="0" pivotButton="0" quotePrefix="0" xfId="0"/>
    <xf numFmtId="0" fontId="28" fillId="43" borderId="6" pivotButton="0" quotePrefix="0" xfId="0"/>
    <xf numFmtId="0" fontId="31" fillId="44" borderId="6" applyAlignment="1" pivotButton="0" quotePrefix="0" xfId="0">
      <alignment horizontal="center" vertical="center"/>
    </xf>
    <xf numFmtId="0" fontId="48" fillId="48" borderId="0" pivotButton="0" quotePrefix="0" xfId="0"/>
    <xf numFmtId="0" fontId="49" fillId="49" borderId="6" applyAlignment="1" pivotButton="0" quotePrefix="0" xfId="0">
      <alignment horizontal="left" vertical="center"/>
    </xf>
    <xf numFmtId="0" fontId="28" fillId="50" borderId="5" pivotButton="0" quotePrefix="0" xfId="0"/>
    <xf numFmtId="0" fontId="49" fillId="49" borderId="12" applyAlignment="1" pivotButton="0" quotePrefix="0" xfId="0">
      <alignment horizontal="left" vertical="center"/>
    </xf>
    <xf numFmtId="0" fontId="31" fillId="49" borderId="5" applyAlignment="1" pivotButton="0" quotePrefix="0" xfId="0">
      <alignment horizontal="center" vertical="center"/>
    </xf>
    <xf numFmtId="0" fontId="31" fillId="52" borderId="5" applyAlignment="1" pivotButton="0" quotePrefix="0" xfId="0">
      <alignment horizontal="center"/>
    </xf>
    <xf numFmtId="0" fontId="31" fillId="53" borderId="5" applyAlignment="1" pivotButton="0" quotePrefix="0" xfId="0">
      <alignment horizontal="center"/>
    </xf>
    <xf numFmtId="0" fontId="31" fillId="49" borderId="15" applyAlignment="1" pivotButton="0" quotePrefix="0" xfId="0">
      <alignment horizontal="center" vertical="center"/>
    </xf>
    <xf numFmtId="0" fontId="31" fillId="52" borderId="15" applyAlignment="1" pivotButton="0" quotePrefix="0" xfId="0">
      <alignment horizontal="center"/>
    </xf>
    <xf numFmtId="0" fontId="31" fillId="53" borderId="15" applyAlignment="1" pivotButton="0" quotePrefix="0" xfId="0">
      <alignment horizontal="center"/>
    </xf>
    <xf numFmtId="0" fontId="29" fillId="45" borderId="11" applyAlignment="1" pivotButton="0" quotePrefix="0" xfId="0">
      <alignment horizontal="left" vertical="center"/>
    </xf>
    <xf numFmtId="0" fontId="29" fillId="45" borderId="11" applyAlignment="1" pivotButton="0" quotePrefix="0" xfId="0">
      <alignment horizontal="center" vertical="center"/>
    </xf>
    <xf numFmtId="0" fontId="29" fillId="45" borderId="5" applyAlignment="1" pivotButton="0" quotePrefix="0" xfId="0">
      <alignment horizontal="center" vertical="center"/>
    </xf>
    <xf numFmtId="0" fontId="29" fillId="45" borderId="5" applyAlignment="1" pivotButton="0" quotePrefix="0" xfId="0">
      <alignment horizontal="left" vertical="center"/>
    </xf>
    <xf numFmtId="0" fontId="48" fillId="49" borderId="0" applyAlignment="1" pivotButton="0" quotePrefix="0" xfId="0">
      <alignment horizontal="left"/>
    </xf>
    <xf numFmtId="0" fontId="59" fillId="54" borderId="23" applyAlignment="1" pivotButton="0" quotePrefix="0" xfId="0">
      <alignment horizontal="left" vertical="center"/>
    </xf>
    <xf numFmtId="0" fontId="59" fillId="54" borderId="23" applyAlignment="1" pivotButton="0" quotePrefix="0" xfId="0">
      <alignment horizontal="center" vertical="center"/>
    </xf>
    <xf numFmtId="0" fontId="60" fillId="54" borderId="0" applyAlignment="1" pivotButton="0" quotePrefix="0" xfId="0">
      <alignment horizontal="center"/>
    </xf>
    <xf numFmtId="0" fontId="61" fillId="54" borderId="0" applyAlignment="1" pivotButton="0" quotePrefix="0" xfId="0">
      <alignment horizontal="center"/>
    </xf>
    <xf numFmtId="0" fontId="62" fillId="54" borderId="0" applyAlignment="1" pivotButton="0" quotePrefix="0" xfId="0">
      <alignment horizontal="center"/>
    </xf>
    <xf numFmtId="0" fontId="63" fillId="54" borderId="0" applyAlignment="1" pivotButton="0" quotePrefix="0" xfId="0">
      <alignment horizontal="center"/>
    </xf>
    <xf numFmtId="0" fontId="64" fillId="54" borderId="0" applyAlignment="1" pivotButton="0" quotePrefix="0" xfId="0">
      <alignment horizontal="center"/>
    </xf>
    <xf numFmtId="0" fontId="0" fillId="49" borderId="0" pivotButton="0" quotePrefix="0" xfId="0"/>
    <xf numFmtId="0" fontId="47" fillId="49" borderId="0" pivotButton="0" quotePrefix="0" xfId="0"/>
    <xf numFmtId="0" fontId="31" fillId="48" borderId="5" applyAlignment="1" pivotButton="0" quotePrefix="0" xfId="0">
      <alignment horizontal="center"/>
    </xf>
    <xf numFmtId="0" fontId="31" fillId="48" borderId="6" applyAlignment="1" pivotButton="0" quotePrefix="0" xfId="0">
      <alignment horizontal="center" vertical="center"/>
    </xf>
    <xf numFmtId="167" fontId="33" fillId="0" borderId="5" applyAlignment="1" pivotButton="0" quotePrefix="0" xfId="0">
      <alignment horizontal="center"/>
    </xf>
    <xf numFmtId="167" fontId="68" fillId="0" borderId="5" applyAlignment="1" pivotButton="0" quotePrefix="0" xfId="0">
      <alignment horizontal="center"/>
    </xf>
    <xf numFmtId="167" fontId="72" fillId="0" borderId="5" applyAlignment="1" pivotButton="0" quotePrefix="0" xfId="0">
      <alignment horizontal="center"/>
    </xf>
    <xf numFmtId="167" fontId="33" fillId="0" borderId="5" applyAlignment="1" pivotButton="0" quotePrefix="0" xfId="0">
      <alignment horizontal="center"/>
    </xf>
    <xf numFmtId="167" fontId="68" fillId="0" borderId="5" applyAlignment="1" pivotButton="0" quotePrefix="0" xfId="0">
      <alignment horizontal="center"/>
    </xf>
    <xf numFmtId="167" fontId="72" fillId="0" borderId="5" applyAlignment="1" pivotButton="0" quotePrefix="0" xfId="0">
      <alignment horizontal="center"/>
    </xf>
    <xf numFmtId="0" fontId="74" fillId="49" borderId="6" applyAlignment="1" pivotButton="0" quotePrefix="0" xfId="0">
      <alignment horizontal="left" vertical="center"/>
    </xf>
    <xf numFmtId="0" fontId="30" fillId="49" borderId="5" pivotButton="0" quotePrefix="0" xfId="0"/>
    <xf numFmtId="0" fontId="29" fillId="50" borderId="11" applyAlignment="1" pivotButton="0" quotePrefix="0" xfId="0">
      <alignment horizontal="left" vertical="center"/>
    </xf>
    <xf numFmtId="0" fontId="28" fillId="50" borderId="11" applyAlignment="1" pivotButton="0" quotePrefix="0" xfId="0">
      <alignment horizontal="center" vertical="center"/>
    </xf>
    <xf numFmtId="14" fontId="28" fillId="50" borderId="11" applyAlignment="1" pivotButton="0" quotePrefix="0" xfId="0">
      <alignment horizontal="center" vertical="center"/>
    </xf>
    <xf numFmtId="167" fontId="69" fillId="0" borderId="5" applyAlignment="1" pivotButton="0" quotePrefix="0" xfId="0">
      <alignment horizontal="center"/>
    </xf>
    <xf numFmtId="167" fontId="70" fillId="0" borderId="5" applyAlignment="1" pivotButton="0" quotePrefix="0" xfId="0">
      <alignment horizontal="center"/>
    </xf>
    <xf numFmtId="0" fontId="30" fillId="49" borderId="12" pivotButton="0" quotePrefix="0" xfId="0"/>
    <xf numFmtId="0" fontId="30" fillId="49" borderId="6" pivotButton="0" quotePrefix="0" xfId="0"/>
    <xf numFmtId="0" fontId="31" fillId="55" borderId="18" applyAlignment="1" pivotButton="0" quotePrefix="0" xfId="0">
      <alignment horizontal="center" vertical="center"/>
    </xf>
    <xf numFmtId="0" fontId="31" fillId="55" borderId="8" applyAlignment="1" pivotButton="0" quotePrefix="0" xfId="0">
      <alignment horizontal="center" vertical="center"/>
    </xf>
    <xf numFmtId="0" fontId="31" fillId="51" borderId="15" applyAlignment="1" pivotButton="0" quotePrefix="0" xfId="0">
      <alignment horizontal="center"/>
    </xf>
    <xf numFmtId="0" fontId="31" fillId="51" borderId="5" applyAlignment="1" pivotButton="0" quotePrefix="0" xfId="0">
      <alignment horizontal="center"/>
    </xf>
    <xf numFmtId="0" fontId="31" fillId="48" borderId="15" applyAlignment="1" pivotButton="0" quotePrefix="0" xfId="0">
      <alignment horizontal="center"/>
    </xf>
    <xf numFmtId="0" fontId="31" fillId="48" borderId="16" applyAlignment="1" pivotButton="0" quotePrefix="0" xfId="0">
      <alignment horizontal="center"/>
    </xf>
    <xf numFmtId="0" fontId="31" fillId="56" borderId="5" applyAlignment="1" pivotButton="0" quotePrefix="0" xfId="0">
      <alignment horizontal="center"/>
    </xf>
    <xf numFmtId="0" fontId="28" fillId="56" borderId="5" pivotButton="0" quotePrefix="0" xfId="0"/>
    <xf numFmtId="0" fontId="31" fillId="57" borderId="5" applyAlignment="1" pivotButton="0" quotePrefix="0" xfId="0">
      <alignment horizontal="center"/>
    </xf>
    <xf numFmtId="3" fontId="65" fillId="49" borderId="15" applyAlignment="1" pivotButton="0" quotePrefix="0" xfId="0">
      <alignment horizontal="center" vertical="center"/>
    </xf>
    <xf numFmtId="0" fontId="50" fillId="49" borderId="5" applyAlignment="1" pivotButton="0" quotePrefix="0" xfId="0">
      <alignment horizontal="center" vertical="center"/>
    </xf>
    <xf numFmtId="3" fontId="65" fillId="55" borderId="18" applyAlignment="1" pivotButton="0" quotePrefix="0" xfId="0">
      <alignment horizontal="center" vertical="center"/>
    </xf>
    <xf numFmtId="0" fontId="51" fillId="55" borderId="8" applyAlignment="1" pivotButton="0" quotePrefix="0" xfId="0">
      <alignment horizontal="center" vertical="center"/>
    </xf>
    <xf numFmtId="167" fontId="52" fillId="55" borderId="8" applyAlignment="1" pivotButton="0" quotePrefix="0" xfId="0">
      <alignment horizontal="center" vertical="center"/>
    </xf>
    <xf numFmtId="3" fontId="65" fillId="51" borderId="15" applyAlignment="1" pivotButton="0" quotePrefix="0" xfId="0">
      <alignment horizontal="center"/>
    </xf>
    <xf numFmtId="0" fontId="53" fillId="51" borderId="5" applyAlignment="1" pivotButton="0" quotePrefix="0" xfId="0">
      <alignment horizontal="center"/>
    </xf>
    <xf numFmtId="3" fontId="65" fillId="53" borderId="15" applyAlignment="1" pivotButton="0" quotePrefix="0" xfId="0">
      <alignment horizontal="center"/>
    </xf>
    <xf numFmtId="0" fontId="54" fillId="53" borderId="5" applyAlignment="1" pivotButton="0" quotePrefix="0" xfId="0">
      <alignment horizontal="center"/>
    </xf>
    <xf numFmtId="3" fontId="65" fillId="52" borderId="15" applyAlignment="1" pivotButton="0" quotePrefix="0" xfId="0">
      <alignment horizontal="center"/>
    </xf>
    <xf numFmtId="0" fontId="55" fillId="52" borderId="5" applyAlignment="1" pivotButton="0" quotePrefix="0" xfId="0">
      <alignment horizontal="center"/>
    </xf>
    <xf numFmtId="3" fontId="65" fillId="48" borderId="15" applyAlignment="1" pivotButton="0" quotePrefix="0" xfId="0">
      <alignment horizontal="center"/>
    </xf>
    <xf numFmtId="0" fontId="56" fillId="48" borderId="16" applyAlignment="1" pivotButton="0" quotePrefix="0" xfId="0">
      <alignment horizontal="center"/>
    </xf>
    <xf numFmtId="3" fontId="65" fillId="56" borderId="5" applyAlignment="1" pivotButton="0" quotePrefix="0" xfId="0">
      <alignment horizontal="center"/>
    </xf>
    <xf numFmtId="3" fontId="65" fillId="57" borderId="5" applyAlignment="1" pivotButton="0" quotePrefix="0" xfId="0">
      <alignment horizontal="center"/>
    </xf>
    <xf numFmtId="0" fontId="75" fillId="49" borderId="14" applyAlignment="1" pivotButton="0" quotePrefix="0" xfId="0">
      <alignment horizontal="center" vertical="center"/>
    </xf>
    <xf numFmtId="0" fontId="57" fillId="49" borderId="13" applyAlignment="1" pivotButton="0" quotePrefix="0" xfId="0">
      <alignment horizontal="center" vertical="center"/>
    </xf>
    <xf numFmtId="0" fontId="66" fillId="55" borderId="19" applyAlignment="1" pivotButton="0" quotePrefix="0" xfId="0">
      <alignment horizontal="center" vertical="center"/>
    </xf>
    <xf numFmtId="0" fontId="58" fillId="55" borderId="20" applyAlignment="1" pivotButton="0" quotePrefix="0" xfId="0">
      <alignment horizontal="center" vertical="center"/>
    </xf>
    <xf numFmtId="0" fontId="66" fillId="51" borderId="14" applyAlignment="1" pivotButton="0" quotePrefix="0" xfId="0">
      <alignment horizontal="center"/>
    </xf>
    <xf numFmtId="0" fontId="58" fillId="51" borderId="13" applyAlignment="1" pivotButton="0" quotePrefix="0" xfId="0">
      <alignment horizontal="center"/>
    </xf>
    <xf numFmtId="0" fontId="66" fillId="53" borderId="14" applyAlignment="1" pivotButton="0" quotePrefix="0" xfId="0">
      <alignment horizontal="center"/>
    </xf>
    <xf numFmtId="0" fontId="58" fillId="53" borderId="13" applyAlignment="1" pivotButton="0" quotePrefix="0" xfId="0">
      <alignment horizontal="center"/>
    </xf>
    <xf numFmtId="0" fontId="66" fillId="52" borderId="14" applyAlignment="1" pivotButton="0" quotePrefix="0" xfId="0">
      <alignment horizontal="center"/>
    </xf>
    <xf numFmtId="0" fontId="58" fillId="52" borderId="13" applyAlignment="1" pivotButton="0" quotePrefix="0" xfId="0">
      <alignment horizontal="center"/>
    </xf>
    <xf numFmtId="0" fontId="66" fillId="48" borderId="14" applyAlignment="1" pivotButton="0" quotePrefix="0" xfId="0">
      <alignment horizontal="center"/>
    </xf>
    <xf numFmtId="0" fontId="58" fillId="48" borderId="17" applyAlignment="1" pivotButton="0" quotePrefix="0" xfId="0">
      <alignment horizontal="center"/>
    </xf>
    <xf numFmtId="0" fontId="66" fillId="56" borderId="5" applyAlignment="1" pivotButton="0" quotePrefix="0" xfId="0">
      <alignment horizontal="center"/>
    </xf>
    <xf numFmtId="0" fontId="66" fillId="57" borderId="5" applyAlignment="1" pivotButton="0" quotePrefix="0" xfId="0">
      <alignment horizontal="center"/>
    </xf>
    <xf numFmtId="0" fontId="67" fillId="0" borderId="6" applyAlignment="1" pivotButton="0" quotePrefix="0" xfId="0">
      <alignment horizontal="center" vertical="center"/>
    </xf>
    <xf numFmtId="0" fontId="67" fillId="45" borderId="10" applyAlignment="1" pivotButton="0" quotePrefix="0" xfId="0">
      <alignment horizontal="center" vertical="center"/>
    </xf>
    <xf numFmtId="0" fontId="67" fillId="0" borderId="6" applyAlignment="1" pivotButton="0" quotePrefix="0" xfId="0">
      <alignment horizontal="left" vertical="center"/>
    </xf>
    <xf numFmtId="0" fontId="34" fillId="0" borderId="6" applyAlignment="1" pivotButton="0" quotePrefix="0" xfId="0">
      <alignment horizontal="center" vertical="center"/>
    </xf>
    <xf numFmtId="0" fontId="76" fillId="0" borderId="6" applyAlignment="1" pivotButton="0" quotePrefix="0" xfId="0">
      <alignment horizontal="center" vertical="center"/>
    </xf>
    <xf numFmtId="0" fontId="77" fillId="48" borderId="0" applyAlignment="1" pivotButton="0" quotePrefix="0" xfId="0">
      <alignment horizontal="center"/>
    </xf>
    <xf numFmtId="0" fontId="77" fillId="48" borderId="5" applyAlignment="1" pivotButton="0" quotePrefix="0" xfId="0">
      <alignment horizontal="center"/>
    </xf>
    <xf numFmtId="0" fontId="67" fillId="45" borderId="11" applyAlignment="1" pivotButton="0" quotePrefix="0" xfId="0">
      <alignment horizontal="center" vertical="center"/>
    </xf>
    <xf numFmtId="0" fontId="36" fillId="0" borderId="11" applyAlignment="1" pivotButton="0" quotePrefix="0" xfId="0">
      <alignment horizontal="left" vertical="center"/>
    </xf>
    <xf numFmtId="0" fontId="29" fillId="0" borderId="11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67" fillId="0" borderId="11" applyAlignment="1" pivotButton="0" quotePrefix="0" xfId="0">
      <alignment horizontal="left" vertical="center"/>
    </xf>
    <xf numFmtId="0" fontId="67" fillId="0" borderId="11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49" fillId="49" borderId="22" applyAlignment="1" pivotButton="0" quotePrefix="0" xfId="0">
      <alignment horizontal="left" vertical="center"/>
    </xf>
    <xf numFmtId="0" fontId="49" fillId="49" borderId="5" applyAlignment="1" pivotButton="0" quotePrefix="0" xfId="0">
      <alignment horizontal="left" vertical="center"/>
    </xf>
    <xf numFmtId="0" fontId="49" fillId="49" borderId="25" applyAlignment="1" pivotButton="0" quotePrefix="0" xfId="0">
      <alignment horizontal="left" vertical="center"/>
    </xf>
    <xf numFmtId="0" fontId="49" fillId="49" borderId="24" applyAlignment="1" pivotButton="0" quotePrefix="0" xfId="0">
      <alignment horizontal="left" vertical="center"/>
    </xf>
    <xf numFmtId="0" fontId="49" fillId="49" borderId="8" applyAlignment="1" pivotButton="0" quotePrefix="0" xfId="0">
      <alignment horizontal="left" vertical="center"/>
    </xf>
    <xf numFmtId="0" fontId="49" fillId="49" borderId="9" applyAlignment="1" pivotButton="0" quotePrefix="0" xfId="0">
      <alignment horizontal="left" vertical="center"/>
    </xf>
    <xf numFmtId="0" fontId="31" fillId="44" borderId="24" applyAlignment="1" pivotButton="0" quotePrefix="0" xfId="0">
      <alignment horizontal="center" vertical="center"/>
    </xf>
    <xf numFmtId="0" fontId="33" fillId="0" borderId="24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1" fillId="44" borderId="9" applyAlignment="1" pivotButton="0" quotePrefix="0" xfId="0">
      <alignment horizontal="center" vertical="center"/>
    </xf>
    <xf numFmtId="0" fontId="67" fillId="0" borderId="9" applyAlignment="1" pivotButton="0" quotePrefix="0" xfId="0">
      <alignment horizontal="left" vertical="center"/>
    </xf>
    <xf numFmtId="0" fontId="67" fillId="0" borderId="7" applyAlignment="1" pivotButton="0" quotePrefix="0" xfId="0">
      <alignment horizontal="left" vertical="center"/>
    </xf>
    <xf numFmtId="0" fontId="29" fillId="45" borderId="26" applyAlignment="1" pivotButton="0" quotePrefix="0" xfId="0">
      <alignment horizontal="left" vertical="center"/>
    </xf>
    <xf numFmtId="0" fontId="0" fillId="54" borderId="5" pivotButton="0" quotePrefix="0" xfId="0"/>
    <xf numFmtId="0" fontId="29" fillId="45" borderId="21" applyAlignment="1" pivotButton="0" quotePrefix="0" xfId="0">
      <alignment horizontal="center" vertical="center"/>
    </xf>
    <xf numFmtId="0" fontId="38" fillId="0" borderId="6" applyAlignment="1" pivotButton="0" quotePrefix="0" xfId="0">
      <alignment horizontal="center" vertical="center"/>
    </xf>
    <xf numFmtId="0" fontId="40" fillId="0" borderId="6" applyAlignment="1" pivotButton="0" quotePrefix="0" xfId="0">
      <alignment horizontal="center" vertical="center"/>
    </xf>
    <xf numFmtId="0" fontId="78" fillId="0" borderId="6" applyAlignment="1" pivotButton="0" quotePrefix="0" xfId="0">
      <alignment horizontal="center" vertical="center"/>
    </xf>
    <xf numFmtId="0" fontId="79" fillId="0" borderId="6" applyAlignment="1" pivotButton="0" quotePrefix="0" xfId="0">
      <alignment horizontal="center" vertical="center"/>
    </xf>
    <xf numFmtId="0" fontId="39" fillId="0" borderId="6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41" fillId="0" borderId="11" applyAlignment="1" pivotButton="0" quotePrefix="0" xfId="0">
      <alignment horizontal="center" vertical="center"/>
    </xf>
    <xf numFmtId="0" fontId="73" fillId="0" borderId="6" applyAlignment="1" pivotButton="0" quotePrefix="0" xfId="0">
      <alignment horizontal="left" vertical="center"/>
    </xf>
    <xf numFmtId="0" fontId="80" fillId="0" borderId="6" applyAlignment="1" pivotButton="0" quotePrefix="0" xfId="0">
      <alignment horizontal="left" vertical="center"/>
    </xf>
    <xf numFmtId="0" fontId="81" fillId="0" borderId="6" applyAlignment="1" pivotButton="0" quotePrefix="0" xfId="0">
      <alignment horizontal="left" vertical="center"/>
    </xf>
    <xf numFmtId="0" fontId="82" fillId="0" borderId="6" applyAlignment="1" pivotButton="0" quotePrefix="0" xfId="0">
      <alignment horizontal="left" vertical="center"/>
    </xf>
    <xf numFmtId="0" fontId="82" fillId="0" borderId="11" applyAlignment="1" pivotButton="0" quotePrefix="0" xfId="0">
      <alignment horizontal="left" vertical="center"/>
    </xf>
    <xf numFmtId="0" fontId="33" fillId="40" borderId="6" applyAlignment="1" pivotButton="0" quotePrefix="0" xfId="0">
      <alignment horizontal="center" vertical="center"/>
    </xf>
    <xf numFmtId="0" fontId="33" fillId="41" borderId="6" applyAlignment="1" pivotButton="0" quotePrefix="0" xfId="0">
      <alignment horizontal="center" vertical="center"/>
    </xf>
    <xf numFmtId="0" fontId="33" fillId="46" borderId="6" applyAlignment="1" pivotButton="0" quotePrefix="0" xfId="0">
      <alignment horizontal="center" vertical="center"/>
    </xf>
    <xf numFmtId="0" fontId="33" fillId="42" borderId="6" applyAlignment="1" pivotButton="0" quotePrefix="0" xfId="0">
      <alignment horizontal="center" vertical="center"/>
    </xf>
    <xf numFmtId="0" fontId="33" fillId="44" borderId="6" applyAlignment="1" pivotButton="0" quotePrefix="0" xfId="0">
      <alignment horizontal="center" vertical="center"/>
    </xf>
    <xf numFmtId="0" fontId="33" fillId="47" borderId="6" applyAlignment="1" pivotButton="0" quotePrefix="0" xfId="0">
      <alignment horizontal="center" vertical="center"/>
    </xf>
    <xf numFmtId="0" fontId="33" fillId="47" borderId="11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67" fillId="0" borderId="12" applyAlignment="1" pivotButton="0" quotePrefix="0" xfId="0">
      <alignment horizontal="left" vertical="center"/>
    </xf>
    <xf numFmtId="0" fontId="31" fillId="48" borderId="6" applyAlignment="1" pivotButton="0" quotePrefix="0" xfId="0">
      <alignment horizontal="center" vertical="center"/>
    </xf>
    <xf numFmtId="0" fontId="83" fillId="54" borderId="5" applyAlignment="1" pivotButton="0" quotePrefix="0" xfId="0">
      <alignment horizontal="left"/>
    </xf>
    <xf numFmtId="0" fontId="83" fillId="58" borderId="5" applyAlignment="1" pivotButton="0" quotePrefix="0" xfId="0">
      <alignment horizontal="left"/>
    </xf>
    <xf numFmtId="9" fontId="84" fillId="54" borderId="5" applyAlignment="1" pivotButton="0" quotePrefix="0" xfId="0">
      <alignment horizontal="center"/>
    </xf>
    <xf numFmtId="9" fontId="83" fillId="58" borderId="5" applyAlignment="1" pivotButton="0" quotePrefix="0" xfId="0">
      <alignment horizontal="center"/>
    </xf>
    <xf numFmtId="0" fontId="34" fillId="58" borderId="5" applyAlignment="1" pivotButton="0" quotePrefix="0" xfId="0">
      <alignment horizontal="left" vertical="center"/>
    </xf>
    <xf numFmtId="0" fontId="59" fillId="58" borderId="5" applyAlignment="1" pivotButton="0" quotePrefix="0" xfId="0">
      <alignment horizontal="center" vertical="center"/>
    </xf>
    <xf numFmtId="0" fontId="34" fillId="58" borderId="5" applyAlignment="1" pivotButton="0" quotePrefix="0" xfId="0">
      <alignment horizontal="center"/>
    </xf>
    <xf numFmtId="0" fontId="34" fillId="58" borderId="22" applyAlignment="1" pivotButton="0" quotePrefix="0" xfId="0">
      <alignment horizontal="left" vertical="center"/>
    </xf>
    <xf numFmtId="0" fontId="0" fillId="54" borderId="24" pivotButton="0" quotePrefix="0" xfId="0"/>
    <xf numFmtId="0" fontId="59" fillId="58" borderId="22" applyAlignment="1" pivotButton="0" quotePrefix="0" xfId="0">
      <alignment horizontal="center" vertical="center"/>
    </xf>
    <xf numFmtId="0" fontId="34" fillId="58" borderId="22" applyAlignment="1" pivotButton="0" quotePrefix="0" xfId="0">
      <alignment horizontal="center"/>
    </xf>
    <xf numFmtId="0" fontId="33" fillId="58" borderId="22" pivotButton="0" quotePrefix="0" xfId="0"/>
    <xf numFmtId="167" fontId="34" fillId="58" borderId="5" applyAlignment="1" pivotButton="0" quotePrefix="0" xfId="0">
      <alignment horizontal="center"/>
    </xf>
    <xf numFmtId="167" fontId="34" fillId="58" borderId="21" applyAlignment="1" pivotButton="0" quotePrefix="0" xfId="0">
      <alignment horizontal="center"/>
    </xf>
    <xf numFmtId="167" fontId="34" fillId="58" borderId="11" applyAlignment="1" pivotButton="0" quotePrefix="0" xfId="0">
      <alignment horizontal="center"/>
    </xf>
    <xf numFmtId="0" fontId="31" fillId="48" borderId="21" applyAlignment="1" pivotButton="0" quotePrefix="0" xfId="0">
      <alignment horizontal="center"/>
    </xf>
    <xf numFmtId="167" fontId="85" fillId="54" borderId="24" applyAlignment="1" pivotButton="0" quotePrefix="0" xfId="0">
      <alignment horizontal="center"/>
    </xf>
    <xf numFmtId="167" fontId="86" fillId="54" borderId="21" applyAlignment="1" pivotButton="0" quotePrefix="0" xfId="0">
      <alignment horizontal="center"/>
    </xf>
    <xf numFmtId="167" fontId="86" fillId="54" borderId="24" applyAlignment="1" pivotButton="0" quotePrefix="0" xfId="0">
      <alignment horizontal="center"/>
    </xf>
    <xf numFmtId="167" fontId="87" fillId="54" borderId="21" applyAlignment="1" pivotButton="0" quotePrefix="0" xfId="0">
      <alignment horizontal="center"/>
    </xf>
    <xf numFmtId="167" fontId="87" fillId="54" borderId="24" applyAlignment="1" pivotButton="0" quotePrefix="0" xfId="0">
      <alignment horizontal="center"/>
    </xf>
    <xf numFmtId="0" fontId="31" fillId="48" borderId="11" applyAlignment="1" pivotButton="0" quotePrefix="0" xfId="0">
      <alignment horizontal="center"/>
    </xf>
    <xf numFmtId="167" fontId="34" fillId="54" borderId="6" applyAlignment="1" pivotButton="0" quotePrefix="0" xfId="0">
      <alignment horizontal="center"/>
    </xf>
    <xf numFmtId="167" fontId="85" fillId="54" borderId="21" applyAlignment="1" pivotButton="0" quotePrefix="0" xfId="0">
      <alignment horizontal="center"/>
    </xf>
    <xf numFmtId="167" fontId="34" fillId="54" borderId="11" applyAlignment="1" pivotButton="0" quotePrefix="0" xfId="0">
      <alignment horizontal="center"/>
    </xf>
    <xf numFmtId="167" fontId="33" fillId="0" borderId="6" applyAlignment="1" pivotButton="0" quotePrefix="0" xfId="0">
      <alignment horizontal="center" vertical="center"/>
    </xf>
    <xf numFmtId="167" fontId="33" fillId="0" borderId="11" applyAlignment="1" pivotButton="0" quotePrefix="0" xfId="0">
      <alignment horizontal="center" vertical="center"/>
    </xf>
    <xf numFmtId="167" fontId="29" fillId="45" borderId="11" applyAlignment="1" pivotButton="0" quotePrefix="0" xfId="0">
      <alignment horizontal="center" vertical="center"/>
    </xf>
    <xf numFmtId="167" fontId="33" fillId="0" borderId="12" applyAlignment="1" pivotButton="0" quotePrefix="0" xfId="0">
      <alignment horizontal="center" vertical="center"/>
    </xf>
    <xf numFmtId="167" fontId="34" fillId="58" borderId="5" applyAlignment="1" pivotButton="0" quotePrefix="0" xfId="0">
      <alignment horizontal="center" vertical="center"/>
    </xf>
    <xf numFmtId="167" fontId="67" fillId="0" borderId="6" applyAlignment="1" pivotButton="0" quotePrefix="0" xfId="0">
      <alignment horizontal="center" vertical="center"/>
    </xf>
    <xf numFmtId="167" fontId="67" fillId="0" borderId="11" applyAlignment="1" pivotButton="0" quotePrefix="0" xfId="0">
      <alignment horizontal="center" vertical="center"/>
    </xf>
    <xf numFmtId="167" fontId="67" fillId="45" borderId="11" applyAlignment="1" pivotButton="0" quotePrefix="0" xfId="0">
      <alignment horizontal="center" vertical="center"/>
    </xf>
    <xf numFmtId="0" fontId="0" fillId="48" borderId="0" pivotButton="0" quotePrefix="0" xfId="0"/>
    <xf numFmtId="0" fontId="0" fillId="58" borderId="0" pivotButton="0" quotePrefix="0" xfId="0"/>
    <xf numFmtId="0" fontId="0" fillId="58" borderId="5" pivotButton="0" quotePrefix="0" xfId="0"/>
    <xf numFmtId="167" fontId="67" fillId="58" borderId="5" applyAlignment="1" pivotButton="0" quotePrefix="0" xfId="0">
      <alignment horizontal="center"/>
    </xf>
    <xf numFmtId="167" fontId="32" fillId="58" borderId="5" applyAlignment="1" pivotButton="0" quotePrefix="0" xfId="0">
      <alignment horizontal="center"/>
    </xf>
    <xf numFmtId="167" fontId="35" fillId="58" borderId="5" applyAlignment="1" pivotButton="0" quotePrefix="0" xfId="0">
      <alignment horizontal="center"/>
    </xf>
    <xf numFmtId="167" fontId="71" fillId="58" borderId="5" applyAlignment="1" pivotButton="0" quotePrefix="0" xfId="0">
      <alignment horizontal="center"/>
    </xf>
    <xf numFmtId="0" fontId="28" fillId="58" borderId="5" pivotButton="0" quotePrefix="0" xfId="0"/>
    <xf numFmtId="0" fontId="77" fillId="48" borderId="8" applyAlignment="1" pivotButton="0" quotePrefix="0" xfId="0">
      <alignment horizontal="center"/>
    </xf>
    <xf numFmtId="0" fontId="77" fillId="48" borderId="9" applyAlignment="1" pivotButton="0" quotePrefix="0" xfId="0">
      <alignment horizontal="center"/>
    </xf>
    <xf numFmtId="0" fontId="89" fillId="0" borderId="0" applyAlignment="1" pivotButton="0" quotePrefix="0" xfId="0">
      <alignment horizontal="left"/>
    </xf>
    <xf numFmtId="167" fontId="90" fillId="0" borderId="0" applyAlignment="1" pivotButton="0" quotePrefix="0" xfId="0">
      <alignment horizontal="center"/>
    </xf>
    <xf numFmtId="0" fontId="91" fillId="0" borderId="0" applyAlignment="1" pivotButton="0" quotePrefix="0" xfId="0">
      <alignment horizontal="left"/>
    </xf>
    <xf numFmtId="167" fontId="92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left"/>
    </xf>
    <xf numFmtId="167" fontId="95" fillId="0" borderId="0" applyAlignment="1" pivotButton="0" quotePrefix="0" xfId="0">
      <alignment horizontal="center"/>
    </xf>
    <xf numFmtId="0" fontId="31" fillId="48" borderId="5" applyAlignment="1" pivotButton="0" quotePrefix="0" xfId="0">
      <alignment horizontal="center" vertical="center"/>
    </xf>
    <xf numFmtId="0" fontId="0" fillId="59" borderId="0" pivotButton="0" quotePrefix="0" xfId="0"/>
    <xf numFmtId="0" fontId="48" fillId="59" borderId="0" pivotButton="0" quotePrefix="0" xfId="0"/>
    <xf numFmtId="0" fontId="77" fillId="60" borderId="0" pivotButton="0" quotePrefix="0" xfId="0"/>
    <xf numFmtId="0" fontId="77" fillId="60" borderId="0" applyAlignment="1" pivotButton="0" quotePrefix="0" xfId="0">
      <alignment horizontal="center"/>
    </xf>
    <xf numFmtId="0" fontId="77" fillId="60" borderId="0" applyAlignment="1" pivotButton="0" quotePrefix="0" xfId="0">
      <alignment horizontal="left"/>
    </xf>
    <xf numFmtId="0" fontId="77" fillId="59" borderId="0" pivotButton="0" quotePrefix="0" xfId="0"/>
    <xf numFmtId="3" fontId="96" fillId="59" borderId="0" applyAlignment="1" pivotButton="0" quotePrefix="0" xfId="0">
      <alignment horizontal="center"/>
    </xf>
    <xf numFmtId="3" fontId="77" fillId="59" borderId="0" applyAlignment="1" pivotButton="0" quotePrefix="0" xfId="0">
      <alignment horizontal="center"/>
    </xf>
    <xf numFmtId="168" fontId="97" fillId="59" borderId="0" applyAlignment="1" pivotButton="0" quotePrefix="0" xfId="0">
      <alignment horizontal="center"/>
    </xf>
    <xf numFmtId="0" fontId="88" fillId="59" borderId="0" applyAlignment="1" pivotButton="0" quotePrefix="0" xfId="0">
      <alignment horizontal="center"/>
    </xf>
    <xf numFmtId="3" fontId="88" fillId="59" borderId="0" applyAlignment="1" pivotButton="0" quotePrefix="0" xfId="0">
      <alignment horizontal="center"/>
    </xf>
    <xf numFmtId="3" fontId="77" fillId="60" borderId="0" applyAlignment="1" pivotButton="0" quotePrefix="0" xfId="0">
      <alignment horizontal="center"/>
    </xf>
    <xf numFmtId="168" fontId="98" fillId="60" borderId="0" applyAlignment="1" pivotButton="0" quotePrefix="0" xfId="0">
      <alignment horizontal="center"/>
    </xf>
    <xf numFmtId="3" fontId="89" fillId="60" borderId="0" applyAlignment="1" pivotButton="0" quotePrefix="0" xfId="0">
      <alignment horizontal="center"/>
    </xf>
    <xf numFmtId="0" fontId="98" fillId="59" borderId="0" pivotButton="0" quotePrefix="0" xfId="0"/>
    <xf numFmtId="0" fontId="98" fillId="61" borderId="0" pivotButton="0" quotePrefix="0" xfId="0"/>
    <xf numFmtId="168" fontId="98" fillId="61" borderId="0" applyAlignment="1" pivotButton="0" quotePrefix="0" xfId="0">
      <alignment horizontal="center"/>
    </xf>
    <xf numFmtId="0" fontId="0" fillId="61" borderId="0" pivotButton="0" quotePrefix="0" xfId="0"/>
    <xf numFmtId="0" fontId="100" fillId="61" borderId="0" pivotButton="0" quotePrefix="0" xfId="0"/>
    <xf numFmtId="167" fontId="99" fillId="61" borderId="0" applyAlignment="1" pivotButton="0" quotePrefix="0" xfId="0">
      <alignment horizontal="center"/>
    </xf>
    <xf numFmtId="0" fontId="0" fillId="60" borderId="0" pivotButton="0" quotePrefix="0" xfId="0"/>
    <xf numFmtId="0" fontId="102" fillId="59" borderId="0" pivotButton="0" quotePrefix="0" xfId="0"/>
    <xf numFmtId="167" fontId="88" fillId="59" borderId="0" applyAlignment="1" pivotButton="0" quotePrefix="0" xfId="0">
      <alignment horizontal="center"/>
    </xf>
    <xf numFmtId="0" fontId="103" fillId="59" borderId="0" pivotButton="0" quotePrefix="0" xfId="0"/>
    <xf numFmtId="0" fontId="104" fillId="59" borderId="0" pivotButton="0" quotePrefix="0" xfId="0"/>
    <xf numFmtId="0" fontId="105" fillId="59" borderId="0" applyAlignment="1" pivotButton="0" quotePrefix="0" xfId="0">
      <alignment horizontal="center"/>
    </xf>
    <xf numFmtId="0" fontId="107" fillId="59" borderId="0" pivotButton="0" quotePrefix="0" xfId="0"/>
    <xf numFmtId="167" fontId="89" fillId="60" borderId="0" applyAlignment="1" pivotButton="0" quotePrefix="0" xfId="0">
      <alignment horizontal="center"/>
    </xf>
    <xf numFmtId="3" fontId="98" fillId="61" borderId="0" applyAlignment="1" pivotButton="0" quotePrefix="0" xfId="0">
      <alignment horizontal="center"/>
    </xf>
    <xf numFmtId="0" fontId="106" fillId="61" borderId="0" applyAlignment="1" pivotButton="0" quotePrefix="0" xfId="0">
      <alignment horizontal="center"/>
    </xf>
    <xf numFmtId="167" fontId="98" fillId="61" borderId="0" applyAlignment="1" pivotButton="0" quotePrefix="0" xfId="0">
      <alignment horizontal="center"/>
    </xf>
    <xf numFmtId="167" fontId="97" fillId="59" borderId="0" applyAlignment="1" pivotButton="0" quotePrefix="0" xfId="0">
      <alignment horizontal="center"/>
    </xf>
    <xf numFmtId="0" fontId="89" fillId="59" borderId="0" pivotButton="0" quotePrefix="0" xfId="0"/>
    <xf numFmtId="3" fontId="97" fillId="59" borderId="0" applyAlignment="1" pivotButton="0" quotePrefix="0" xfId="0">
      <alignment horizontal="center"/>
    </xf>
    <xf numFmtId="0" fontId="94" fillId="59" borderId="0" pivotButton="0" quotePrefix="0" xfId="0"/>
    <xf numFmtId="3" fontId="93" fillId="59" borderId="0" applyAlignment="1" pivotButton="0" quotePrefix="0" xfId="0">
      <alignment horizontal="center"/>
    </xf>
    <xf numFmtId="167" fontId="93" fillId="59" borderId="0" applyAlignment="1" pivotButton="0" quotePrefix="0" xfId="0">
      <alignment horizontal="center"/>
    </xf>
    <xf numFmtId="0" fontId="89" fillId="61" borderId="0" pivotButton="0" quotePrefix="0" xfId="0"/>
    <xf numFmtId="167" fontId="89" fillId="61" borderId="0" applyAlignment="1" pivotButton="0" quotePrefix="0" xfId="0">
      <alignment horizontal="center"/>
    </xf>
    <xf numFmtId="0" fontId="101" fillId="59" borderId="0" applyAlignment="1" pivotButton="0" quotePrefix="0" xfId="0">
      <alignment horizontal="center"/>
    </xf>
    <xf numFmtId="0" fontId="108" fillId="59" borderId="0" pivotButton="0" quotePrefix="0" xfId="0"/>
    <xf numFmtId="0" fontId="109" fillId="59" borderId="0" applyAlignment="1" pivotButton="0" quotePrefix="0" xfId="0">
      <alignment horizontal="center"/>
    </xf>
    <xf numFmtId="0" fontId="110" fillId="59" borderId="0" pivotButton="0" quotePrefix="0" xfId="0"/>
    <xf numFmtId="0" fontId="102" fillId="60" borderId="0" applyAlignment="1" pivotButton="0" quotePrefix="0" xfId="0">
      <alignment horizontal="center"/>
    </xf>
    <xf numFmtId="167" fontId="96" fillId="59" borderId="0" applyAlignment="1" pivotButton="0" quotePrefix="0" xfId="0">
      <alignment horizontal="center"/>
    </xf>
    <xf numFmtId="167" fontId="109" fillId="59" borderId="0" applyAlignment="1" pivotButton="0" quotePrefix="0" xfId="0">
      <alignment horizontal="center"/>
    </xf>
    <xf numFmtId="168" fontId="102" fillId="59" borderId="0" applyAlignment="1" pivotButton="0" quotePrefix="0" xfId="0">
      <alignment horizontal="center"/>
    </xf>
    <xf numFmtId="3" fontId="102" fillId="59" borderId="0" applyAlignment="1" pivotButton="0" quotePrefix="0" xfId="0">
      <alignment horizontal="center"/>
    </xf>
    <xf numFmtId="167" fontId="111" fillId="60" borderId="0" applyAlignment="1" pivotButton="0" quotePrefix="0" xfId="0">
      <alignment horizontal="center"/>
    </xf>
    <xf numFmtId="167" fontId="108" fillId="60" borderId="0" applyAlignment="1" pivotButton="0" quotePrefix="0" xfId="0">
      <alignment horizontal="center"/>
    </xf>
    <xf numFmtId="168" fontId="102" fillId="60" borderId="0" applyAlignment="1" pivotButton="0" quotePrefix="0" xfId="0">
      <alignment horizontal="center"/>
    </xf>
    <xf numFmtId="0" fontId="25" fillId="37" borderId="5" applyAlignment="1" pivotButton="0" quotePrefix="0" xfId="0">
      <alignment horizontal="center" vertical="center"/>
    </xf>
    <xf numFmtId="0" fontId="18" fillId="37" borderId="5" applyAlignment="1" pivotButton="0" quotePrefix="0" xfId="0">
      <alignment horizontal="center" vertical="center"/>
    </xf>
    <xf numFmtId="0" fontId="25" fillId="30" borderId="5" applyAlignment="1" pivotButton="0" quotePrefix="0" xfId="0">
      <alignment horizontal="center" vertical="center"/>
    </xf>
    <xf numFmtId="0" fontId="21" fillId="30" borderId="5" applyAlignment="1" pivotButton="0" quotePrefix="0" xfId="0">
      <alignment horizontal="center" vertical="center"/>
    </xf>
    <xf numFmtId="0" fontId="22" fillId="31" borderId="5" pivotButton="0" quotePrefix="0" xfId="0"/>
    <xf numFmtId="0" fontId="23" fillId="32" borderId="5" pivotButton="0" quotePrefix="0" xfId="0"/>
    <xf numFmtId="0" fontId="23" fillId="33" borderId="5" pivotButton="0" quotePrefix="0" xfId="0"/>
    <xf numFmtId="0" fontId="112" fillId="62" borderId="31" applyAlignment="1" pivotButton="0" quotePrefix="0" xfId="0">
      <alignment horizontal="left" vertical="center" wrapText="1"/>
    </xf>
    <xf numFmtId="0" fontId="113" fillId="0" borderId="31" applyAlignment="1" pivotButton="0" quotePrefix="0" xfId="0">
      <alignment horizontal="center" vertical="center" wrapText="1"/>
    </xf>
    <xf numFmtId="0" fontId="113" fillId="0" borderId="31" pivotButton="0" quotePrefix="0" xfId="0"/>
    <xf numFmtId="170" fontId="113" fillId="0" borderId="31" pivotButton="0" quotePrefix="0" xfId="0"/>
    <xf numFmtId="0" fontId="112" fillId="63" borderId="31" applyAlignment="1" pivotButton="0" quotePrefix="0" xfId="0">
      <alignment horizontal="left" vertical="center" wrapText="1"/>
    </xf>
    <xf numFmtId="0" fontId="0" fillId="63" borderId="31" pivotButton="0" quotePrefix="0" xfId="0"/>
    <xf numFmtId="0" fontId="114" fillId="64" borderId="31" applyAlignment="1" pivotButton="0" quotePrefix="0" xfId="0">
      <alignment horizontal="left" vertical="center" wrapText="1"/>
    </xf>
    <xf numFmtId="0" fontId="114" fillId="64" borderId="31" applyAlignment="1" pivotButton="0" quotePrefix="0" xfId="0">
      <alignment horizontal="center" vertical="center" wrapText="1"/>
    </xf>
    <xf numFmtId="0" fontId="114" fillId="65" borderId="31" applyAlignment="1" pivotButton="0" quotePrefix="0" xfId="0">
      <alignment horizontal="center" vertical="center" wrapText="1"/>
    </xf>
    <xf numFmtId="0" fontId="114" fillId="66" borderId="31" applyAlignment="1" pivotButton="0" quotePrefix="0" xfId="0">
      <alignment horizontal="center" vertical="center" wrapText="1"/>
    </xf>
    <xf numFmtId="0" fontId="113" fillId="0" borderId="31" applyAlignment="1" pivotButton="0" quotePrefix="0" xfId="0">
      <alignment horizontal="left" vertical="center" wrapText="1"/>
    </xf>
    <xf numFmtId="0" fontId="112" fillId="0" borderId="31" applyAlignment="1" pivotButton="0" quotePrefix="0" xfId="0">
      <alignment horizontal="center" vertical="center" wrapText="1"/>
    </xf>
    <xf numFmtId="0" fontId="0" fillId="67" borderId="31" pivotButton="0" quotePrefix="0" xfId="0"/>
    <xf numFmtId="0" fontId="114" fillId="67" borderId="31" applyAlignment="1" pivotButton="0" quotePrefix="0" xfId="0">
      <alignment horizontal="center" vertical="center" wrapText="1"/>
    </xf>
    <xf numFmtId="0" fontId="0" fillId="62" borderId="32" pivotButton="0" quotePrefix="0" xfId="0"/>
    <xf numFmtId="0" fontId="115" fillId="64" borderId="31" applyAlignment="1" pivotButton="0" quotePrefix="0" xfId="0">
      <alignment horizontal="left" vertical="center" wrapText="1"/>
    </xf>
    <xf numFmtId="0" fontId="115" fillId="64" borderId="31" applyAlignment="1" pivotButton="0" quotePrefix="0" xfId="0">
      <alignment horizontal="center" vertical="center" wrapText="1"/>
    </xf>
    <xf numFmtId="9" fontId="113" fillId="0" borderId="31" applyAlignment="1" pivotButton="0" quotePrefix="0" xfId="0">
      <alignment horizontal="center" vertical="center" wrapText="1"/>
    </xf>
    <xf numFmtId="9" fontId="114" fillId="64" borderId="31" applyAlignment="1" pivotButton="0" quotePrefix="0" xfId="0">
      <alignment horizontal="center" vertical="center" wrapText="1"/>
    </xf>
  </cellXfs>
  <cellStyles count="1">
    <cellStyle name="Normal" xfId="0" builtinId="0"/>
  </cellStyles>
  <dxfs count="10">
    <dxf>
      <font>
        <color rgb="FF1E40AF"/>
      </font>
      <fill>
        <patternFill>
          <bgColor rgb="FFDBEAF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DE9FE"/>
      <rgbColor rgb="FF2563EB"/>
      <rgbColor rgb="FFDCEDC8"/>
      <rgbColor rgb="FFF3F4F6"/>
      <rgbColor rgb="FFC6EFCE"/>
      <rgbColor rgb="FF9C0006"/>
      <rgbColor rgb="FF135E16"/>
      <rgbColor rgb="FF54565A"/>
      <rgbColor rgb="FF558B2F"/>
      <rgbColor rgb="FF7B1FA2"/>
      <rgbColor rgb="FF09958F"/>
      <rgbColor rgb="FFCFD8DC"/>
      <rgbColor rgb="FF5B6265"/>
      <rgbColor rgb="FFA5D6A7"/>
      <rgbColor rgb="FF9C27B0"/>
      <rgbColor rgb="FFFEF3C7"/>
      <rgbColor rgb="FFCCFBF1"/>
      <rgbColor rgb="FF7B2FF2"/>
      <rgbColor rgb="FFEF4444"/>
      <rgbColor rgb="FF1165C0"/>
      <rgbColor rgb="FFD1D5DB"/>
      <rgbColor rgb="FF2E7D32"/>
      <rgbColor rgb="FFF8FAFC"/>
      <rgbColor rgb="FFE2EFDA"/>
      <rgbColor rgb="FFD9E2F3"/>
      <rgbColor rgb="FF5B21B6"/>
      <rgbColor rgb="FF991B1B"/>
      <rgbColor rgb="FF0B9687"/>
      <rgbColor rgb="FF7C3AED"/>
      <rgbColor rgb="FF1976D2"/>
      <rgbColor rgb="FFDBEAFE"/>
      <rgbColor rgb="FFD1FAE5"/>
      <rgbColor rgb="FFFFEDD5"/>
      <rgbColor rgb="FFBBDEFB"/>
      <rgbColor rgb="FFFEE2E2"/>
      <rgbColor rgb="FFE1BEE7"/>
      <rgbColor rgb="FFFFC7CE"/>
      <rgbColor rgb="FF2769F1"/>
      <rgbColor rgb="FF00B050"/>
      <rgbColor rgb="FFC8E6C9"/>
      <rgbColor rgb="FFFFC000"/>
      <rgbColor rgb="FFE5E5E5"/>
      <rgbColor rgb="FFF97316"/>
      <rgbColor rgb="FF546E7A"/>
      <rgbColor rgb="FF81C784"/>
      <rgbColor rgb="FF1E3A5F"/>
      <rgbColor rgb="FF388E3C"/>
      <rgbColor rgb="FF0A5449"/>
      <rgbColor rgb="FF1D2531"/>
      <rgbColor rgb="FF943B0E"/>
      <rgbColor rgb="FFDC2626"/>
      <rgbColor rgb="FF1E40AF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externalLink" Target="/xl/externalLinks/externalLink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RESULTADO DO CONTATO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noFill/>
              <a:prstDash val="solid"/>
            </a:ln>
          </spPr>
          <dPt>
            <idx val="0"/>
            <spPr>
              <a:solidFill>
                <a:srgbClr val="2196F3"/>
              </a:solidFill>
              <a:ln>
                <a:prstDash val="solid"/>
              </a:ln>
            </spPr>
          </dPt>
          <dPt>
            <idx val="1"/>
            <spPr>
              <a:solidFill>
                <a:srgbClr val="2196F3"/>
              </a:solidFill>
              <a:ln>
                <a:prstDash val="solid"/>
              </a:ln>
            </spPr>
          </dPt>
          <dPt>
            <idx val="2"/>
            <spPr>
              <a:solidFill>
                <a:srgbClr val="2196F3"/>
              </a:solidFill>
              <a:ln>
                <a:prstDash val="solid"/>
              </a:ln>
            </spPr>
          </dPt>
          <dPt>
            <idx val="3"/>
            <spPr>
              <a:solidFill>
                <a:srgbClr val="FF98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B1FA2"/>
              </a:solidFill>
              <a:ln>
                <a:prstDash val="solid"/>
              </a:ln>
            </spPr>
          </dPt>
          <dPt>
            <idx val="5"/>
            <spPr>
              <a:solidFill>
                <a:srgbClr val="404040"/>
              </a:solidFill>
              <a:ln>
                <a:prstDash val="solid"/>
              </a:ln>
            </spPr>
          </dPt>
          <dPt>
            <idx val="6"/>
            <spPr>
              <a:solidFill>
                <a:srgbClr val="C62828"/>
              </a:solidFill>
              <a:ln>
                <a:prstDash val="solid"/>
              </a:ln>
            </spPr>
          </dPt>
          <dPt>
            <idx val="7"/>
            <spPr>
              <a:solidFill>
                <a:srgbClr val="C62828"/>
              </a:solidFill>
              <a:ln>
                <a:prstDash val="solid"/>
              </a:ln>
            </spPr>
          </dPt>
          <dPt>
            <idx val="8"/>
            <spPr>
              <a:solidFill>
                <a:srgbClr val="C62828"/>
              </a:solidFill>
              <a:ln>
                <a:prstDash val="solid"/>
              </a:ln>
            </spPr>
          </dPt>
          <dPt>
            <idx val="9"/>
            <spPr>
              <a:solidFill>
                <a:srgbClr val="333333"/>
              </a:solidFill>
              <a:ln>
                <a:prstDash val="solid"/>
              </a:ln>
            </spPr>
          </dPt>
          <dPt>
            <idx val="10"/>
            <spPr>
              <a:solidFill>
                <a:srgbClr val="4CAF50"/>
              </a:solidFill>
              <a:ln>
                <a:prstDash val="solid"/>
              </a:ln>
            </spPr>
          </dPt>
          <dLbls>
            <numFmt formatCode="#,##0"/>
            <showVal val="1"/>
          </dLbls>
          <cat>
            <numRef>
              <f>'DASH'!$C$5:$M$5</f>
            </numRef>
          </cat>
          <val>
            <numRef>
              <f>'DASH'!$C$13:$M$13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LISTA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D9488"/>
    <outlinePr summaryBelow="1" summaryRight="1"/>
    <pageSetUpPr/>
  </sheetPr>
  <dimension ref="A1:E120"/>
  <sheetViews>
    <sheetView zoomScaleNormal="100" workbookViewId="0">
      <pane ySplit="1" topLeftCell="A94" activePane="bottomLeft" state="frozen"/>
      <selection pane="bottomLeft" activeCell="A1" sqref="A1"/>
    </sheetView>
  </sheetViews>
  <sheetFormatPr baseColWidth="8" defaultColWidth="8.6640625" defaultRowHeight="14.4"/>
  <cols>
    <col width="14" customWidth="1" style="108" min="1" max="1"/>
    <col width="32" customWidth="1" style="108" min="2" max="2"/>
    <col width="20" customWidth="1" style="108" min="3" max="3"/>
    <col width="18" customWidth="1" style="108" min="4" max="4"/>
    <col width="35" customWidth="1" style="108" min="5" max="5"/>
  </cols>
  <sheetData>
    <row r="1" ht="15" customHeight="1" s="108">
      <c r="A1" s="1" t="inlineStr">
        <is>
          <t>#</t>
        </is>
      </c>
      <c r="B1" s="1" t="inlineStr">
        <is>
          <t>RESULTADO</t>
        </is>
      </c>
      <c r="C1" s="1" t="inlineStr">
        <is>
          <t>FOLLOW-UP (DIAS)</t>
        </is>
      </c>
      <c r="D1" s="1" t="inlineStr">
        <is>
          <t>GRUPO DASH</t>
        </is>
      </c>
      <c r="E1" s="1" t="inlineStr">
        <is>
          <t>QUANDO USAR</t>
        </is>
      </c>
    </row>
    <row r="2" ht="15" customHeight="1" s="108">
      <c r="A2" s="2" t="n">
        <v>1</v>
      </c>
      <c r="B2" s="3" t="inlineStr">
        <is>
          <t>EM ATENDIMENTO</t>
        </is>
      </c>
      <c r="C2" s="2" t="n">
        <v>2</v>
      </c>
      <c r="D2" s="2" t="inlineStr">
        <is>
          <t>FUNIL</t>
        </is>
      </c>
      <c r="E2" s="4" t="inlineStr">
        <is>
          <t>Negociação ativa</t>
        </is>
      </c>
    </row>
    <row r="3" ht="15" customHeight="1" s="108">
      <c r="A3" s="2" t="n">
        <v>2</v>
      </c>
      <c r="B3" s="3" t="inlineStr">
        <is>
          <t>ORÇAMENTO</t>
        </is>
      </c>
      <c r="C3" s="2" t="n">
        <v>1</v>
      </c>
      <c r="D3" s="2" t="inlineStr">
        <is>
          <t>FUNIL</t>
        </is>
      </c>
      <c r="E3" s="4" t="inlineStr">
        <is>
          <t>Proposta enviada</t>
        </is>
      </c>
    </row>
    <row r="4" ht="15" customHeight="1" s="108">
      <c r="A4" s="2" t="n">
        <v>3</v>
      </c>
      <c r="B4" s="3" t="inlineStr">
        <is>
          <t>CADASTRO</t>
        </is>
      </c>
      <c r="C4" s="2" t="n">
        <v>2</v>
      </c>
      <c r="D4" s="2" t="inlineStr">
        <is>
          <t>FUNIL</t>
        </is>
      </c>
      <c r="E4" s="4" t="inlineStr">
        <is>
          <t>Cliente novo em cadastro</t>
        </is>
      </c>
    </row>
    <row r="5" ht="15" customHeight="1" s="108">
      <c r="A5" s="2" t="n">
        <v>4</v>
      </c>
      <c r="B5" s="3" t="inlineStr">
        <is>
          <t>VENDA / PEDIDO</t>
        </is>
      </c>
      <c r="C5" s="2" t="n">
        <v>45</v>
      </c>
      <c r="D5" s="2" t="inlineStr">
        <is>
          <t>FUNIL</t>
        </is>
      </c>
      <c r="E5" s="4" t="inlineStr">
        <is>
          <t>Pedido fechado</t>
        </is>
      </c>
    </row>
    <row r="6" ht="15" customHeight="1" s="108">
      <c r="A6" s="2" t="n">
        <v>5</v>
      </c>
      <c r="B6" s="3" t="inlineStr">
        <is>
          <t>RELACIONAMENTO</t>
        </is>
      </c>
      <c r="C6" s="2" t="n">
        <v>7</v>
      </c>
      <c r="D6" s="2" t="inlineStr">
        <is>
          <t>RELAC.</t>
        </is>
      </c>
      <c r="E6" s="4" t="inlineStr">
        <is>
          <t>Contato pós-venda/CS</t>
        </is>
      </c>
    </row>
    <row r="7" ht="15" customHeight="1" s="108">
      <c r="A7" s="2" t="n">
        <v>6</v>
      </c>
      <c r="B7" s="3" t="inlineStr">
        <is>
          <t>FOLLOW UP 7</t>
        </is>
      </c>
      <c r="C7" s="2" t="n">
        <v>7</v>
      </c>
      <c r="D7" s="2" t="inlineStr">
        <is>
          <t>RELAC.</t>
        </is>
      </c>
      <c r="E7" s="4" t="inlineStr">
        <is>
          <t>Retomar em 1 semana</t>
        </is>
      </c>
    </row>
    <row r="8" ht="15" customHeight="1" s="108">
      <c r="A8" s="2" t="n">
        <v>7</v>
      </c>
      <c r="B8" s="3" t="inlineStr">
        <is>
          <t>FOLLOW UP 15</t>
        </is>
      </c>
      <c r="C8" s="2" t="n">
        <v>15</v>
      </c>
      <c r="D8" s="2" t="inlineStr">
        <is>
          <t>RELAC.</t>
        </is>
      </c>
      <c r="E8" s="4" t="inlineStr">
        <is>
          <t>Retomar em 2 semanas</t>
        </is>
      </c>
    </row>
    <row r="9" ht="15" customHeight="1" s="108">
      <c r="A9" s="2" t="n">
        <v>8</v>
      </c>
      <c r="B9" s="3" t="inlineStr">
        <is>
          <t>SUPORTE</t>
        </is>
      </c>
      <c r="C9" s="2" t="n">
        <v>0</v>
      </c>
      <c r="D9" s="2" t="inlineStr">
        <is>
          <t>RELAC.</t>
        </is>
      </c>
      <c r="E9" s="4" t="inlineStr">
        <is>
          <t>Problema resolvido</t>
        </is>
      </c>
    </row>
    <row r="10" ht="15" customHeight="1" s="108">
      <c r="A10" s="2" t="n">
        <v>9</v>
      </c>
      <c r="B10" s="3" t="inlineStr">
        <is>
          <t>NÃO ATENDE</t>
        </is>
      </c>
      <c r="C10" s="2" t="n">
        <v>1</v>
      </c>
      <c r="D10" s="2" t="inlineStr">
        <is>
          <t>NÃO VENDA</t>
        </is>
      </c>
      <c r="E10" s="4" t="inlineStr">
        <is>
          <t>Ligou sem resposta</t>
        </is>
      </c>
    </row>
    <row r="11" ht="15" customHeight="1" s="108">
      <c r="A11" s="2" t="n">
        <v>10</v>
      </c>
      <c r="B11" s="3" t="inlineStr">
        <is>
          <t>NÃO RESPONDE</t>
        </is>
      </c>
      <c r="C11" s="2" t="n">
        <v>1</v>
      </c>
      <c r="D11" s="2" t="inlineStr">
        <is>
          <t>NÃO VENDA</t>
        </is>
      </c>
      <c r="E11" s="4" t="inlineStr">
        <is>
          <t>WhatsApp sem resposta</t>
        </is>
      </c>
    </row>
    <row r="12" ht="15" customHeight="1" s="108">
      <c r="A12" s="2" t="n">
        <v>11</v>
      </c>
      <c r="B12" s="3" t="inlineStr">
        <is>
          <t>RECUSOU LIGAÇÃO</t>
        </is>
      </c>
      <c r="C12" s="2" t="n">
        <v>2</v>
      </c>
      <c r="D12" s="2" t="inlineStr">
        <is>
          <t>NÃO VENDA</t>
        </is>
      </c>
      <c r="E12" s="4" t="inlineStr">
        <is>
          <t>Rejeitou chamada</t>
        </is>
      </c>
    </row>
    <row r="13" ht="15" customHeight="1" s="108">
      <c r="A13" s="2" t="n">
        <v>12</v>
      </c>
      <c r="B13" s="3" t="inlineStr">
        <is>
          <t>PERDA / FECHOU LOJA</t>
        </is>
      </c>
      <c r="C13" s="2" t="n">
        <v>0</v>
      </c>
      <c r="D13" s="2" t="inlineStr">
        <is>
          <t>NÃO VENDA</t>
        </is>
      </c>
      <c r="E13" s="4" t="inlineStr">
        <is>
          <t>Cliente perdido</t>
        </is>
      </c>
    </row>
    <row r="16" ht="15" customHeight="1" s="108">
      <c r="A16" s="5" t="n"/>
    </row>
    <row r="17" ht="15" customHeight="1" s="108">
      <c r="A17" s="1" t="inlineStr">
        <is>
          <t>#</t>
        </is>
      </c>
      <c r="B17" s="1" t="inlineStr">
        <is>
          <t>TIPO DO CONTATO</t>
        </is>
      </c>
      <c r="C17" s="1" t="inlineStr">
        <is>
          <t>QUANDO USAR</t>
        </is>
      </c>
    </row>
    <row r="18" ht="15" customHeight="1" s="108">
      <c r="A18" s="2" t="n">
        <v>1</v>
      </c>
      <c r="B18" s="3" t="inlineStr">
        <is>
          <t>PROSPECÇÃO</t>
        </is>
      </c>
      <c r="C18" t="inlineStr">
        <is>
          <t>Primeiro contato com prospect/lead que nunca comprou</t>
        </is>
      </c>
    </row>
    <row r="19" ht="15" customHeight="1" s="108">
      <c r="A19" s="2" t="n">
        <v>2</v>
      </c>
      <c r="B19" s="3" t="inlineStr">
        <is>
          <t>NEGOCIAÇÃO</t>
        </is>
      </c>
      <c r="C19" t="inlineStr">
        <is>
          <t>Cliente demonstrou interesse, está em fase de proposta/orçamento</t>
        </is>
      </c>
    </row>
    <row r="20" ht="15" customHeight="1" s="108">
      <c r="A20" s="2" t="n">
        <v>3</v>
      </c>
      <c r="B20" s="3" t="inlineStr">
        <is>
          <t>FOLLOW UP</t>
        </is>
      </c>
      <c r="C20" t="inlineStr">
        <is>
          <t>Retomada de contato agendado (follow-up 7d ou 15d)</t>
        </is>
      </c>
    </row>
    <row r="21" ht="15" customHeight="1" s="108">
      <c r="A21" s="2" t="n">
        <v>4</v>
      </c>
      <c r="B21" s="3" t="inlineStr">
        <is>
          <t>ATEND. CLIENTES ATIVOS</t>
        </is>
      </c>
      <c r="C21" t="inlineStr">
        <is>
          <t>Manutenção de clientes ATIVOS (ciclo de recompra, pós-venda)</t>
        </is>
      </c>
    </row>
    <row r="22" ht="15" customHeight="1" s="108">
      <c r="A22" s="2" t="n">
        <v>5</v>
      </c>
      <c r="B22" s="3" t="inlineStr">
        <is>
          <t>ATEND. CLIENTES INATIVOS</t>
        </is>
      </c>
      <c r="C22" t="inlineStr">
        <is>
          <t>Reativação de INAT.REC ou INAT.ANT (não compra há 60+ dias)</t>
        </is>
      </c>
    </row>
    <row r="23" ht="15" customHeight="1" s="108">
      <c r="A23" s="2" t="n">
        <v>6</v>
      </c>
      <c r="B23" s="3" t="inlineStr">
        <is>
          <t>PÓS-VENDA / RELACIONAMENTO</t>
        </is>
      </c>
      <c r="C23" t="inlineStr">
        <is>
          <t>Contato de relacionamento após venda (satisfação, CS, suporte)</t>
        </is>
      </c>
    </row>
    <row r="24" ht="15" customHeight="1" s="108">
      <c r="A24" s="2" t="n">
        <v>7</v>
      </c>
      <c r="B24" s="3" t="inlineStr">
        <is>
          <t>PERDA / NUTRIÇÃO</t>
        </is>
      </c>
      <c r="C24" t="inlineStr">
        <is>
          <t>Cliente perdido ou em nutrição (fechou loja, sem interesse)</t>
        </is>
      </c>
    </row>
    <row r="26" ht="15" customHeight="1" s="108">
      <c r="A26" s="4" t="n"/>
    </row>
    <row r="27" ht="15" customHeight="1" s="108">
      <c r="A27" s="1" t="inlineStr">
        <is>
          <t>#</t>
        </is>
      </c>
      <c r="B27" s="1" t="inlineStr">
        <is>
          <t>MOTIVO</t>
        </is>
      </c>
      <c r="C27" s="1" t="inlineStr">
        <is>
          <t>DONO DA AÇÃO</t>
        </is>
      </c>
    </row>
    <row r="28" ht="15" customHeight="1" s="108">
      <c r="A28" s="2" t="n">
        <v>1</v>
      </c>
      <c r="B28" s="3" t="inlineStr">
        <is>
          <t>AINDA TEM ESTOQUE</t>
        </is>
      </c>
      <c r="C28" s="4" t="inlineStr">
        <is>
          <t>Normal</t>
        </is>
      </c>
    </row>
    <row r="29" ht="15" customHeight="1" s="108">
      <c r="A29" s="2" t="n">
        <v>2</v>
      </c>
      <c r="B29" s="3" t="inlineStr">
        <is>
          <t>PRODUTO NÃO VENDEU / SEM GIRO</t>
        </is>
      </c>
      <c r="C29" s="4" t="inlineStr">
        <is>
          <t>DIRETORIA / FÁBRICA</t>
        </is>
      </c>
    </row>
    <row r="30" ht="15" customHeight="1" s="108">
      <c r="A30" s="2" t="n">
        <v>3</v>
      </c>
      <c r="B30" s="3" t="inlineStr">
        <is>
          <t>LOJA ANEXO/PROXIMO - SM</t>
        </is>
      </c>
      <c r="C30" s="4" t="inlineStr">
        <is>
          <t>COMERCIAL</t>
        </is>
      </c>
    </row>
    <row r="31" ht="15" customHeight="1" s="108">
      <c r="A31" s="2" t="n">
        <v>4</v>
      </c>
      <c r="B31" s="3" t="inlineStr">
        <is>
          <t>SÓ QUER COMPRAR GRANEL</t>
        </is>
      </c>
      <c r="C31" s="4" t="inlineStr">
        <is>
          <t>COMERCIAL / MKT</t>
        </is>
      </c>
    </row>
    <row r="32" ht="15" customHeight="1" s="108">
      <c r="A32" s="2" t="n">
        <v>5</v>
      </c>
      <c r="B32" s="3" t="inlineStr">
        <is>
          <t>PROBLEMA LOGÍSTICO / ENTREGA</t>
        </is>
      </c>
      <c r="C32" s="4" t="inlineStr">
        <is>
          <t>LOGÍSTICA</t>
        </is>
      </c>
    </row>
    <row r="33" ht="15" customHeight="1" s="108">
      <c r="A33" s="2" t="n">
        <v>6</v>
      </c>
      <c r="B33" s="3" t="inlineStr">
        <is>
          <t>PROBLEMA FINANCEIRO / CRÉDITO</t>
        </is>
      </c>
      <c r="C33" s="4" t="inlineStr">
        <is>
          <t>FINANCEIRO</t>
        </is>
      </c>
    </row>
    <row r="34" ht="15" customHeight="1" s="108">
      <c r="A34" s="2" t="n">
        <v>7</v>
      </c>
      <c r="B34" s="3" t="inlineStr">
        <is>
          <t>PROPRIETARIO / INDISPONÍVEL</t>
        </is>
      </c>
      <c r="C34" s="4" t="inlineStr">
        <is>
          <t>Normal</t>
        </is>
      </c>
    </row>
    <row r="35" ht="15" customHeight="1" s="108">
      <c r="A35" s="2" t="n">
        <v>8</v>
      </c>
      <c r="B35" s="3" t="inlineStr">
        <is>
          <t>FECHANDO / FECHOU LOJA</t>
        </is>
      </c>
      <c r="C35" s="4" t="inlineStr">
        <is>
          <t>PERDA</t>
        </is>
      </c>
    </row>
    <row r="36" ht="15" customHeight="1" s="108">
      <c r="A36" s="2" t="n">
        <v>9</v>
      </c>
      <c r="B36" s="3" t="inlineStr">
        <is>
          <t>SEM INTERESSE NO MOMENTO</t>
        </is>
      </c>
      <c r="C36" s="4" t="inlineStr">
        <is>
          <t>NUTRIÇÃO</t>
        </is>
      </c>
    </row>
    <row r="37" ht="15" customHeight="1" s="108">
      <c r="A37" s="2" t="n">
        <v>10</v>
      </c>
      <c r="B37" s="3" t="inlineStr">
        <is>
          <t>PRIMEIRO CONTATO / SEM RESPOSTA</t>
        </is>
      </c>
      <c r="C37" s="4" t="inlineStr">
        <is>
          <t>Normal</t>
        </is>
      </c>
    </row>
    <row r="39" ht="15" customHeight="1" s="108">
      <c r="A39" s="4" t="n"/>
    </row>
    <row r="40" ht="15" customHeight="1" s="108">
      <c r="A40" s="1" t="inlineStr">
        <is>
          <t>DIAS</t>
        </is>
      </c>
      <c r="B40" s="1" t="inlineStr">
        <is>
          <t>SITUAÇÃO</t>
        </is>
      </c>
      <c r="C40" s="1" t="inlineStr">
        <is>
          <t>COR HEX</t>
        </is>
      </c>
    </row>
    <row r="41" ht="15" customHeight="1" s="108">
      <c r="A41" s="2" t="inlineStr">
        <is>
          <t>≤ 50</t>
        </is>
      </c>
      <c r="B41" s="6" t="inlineStr">
        <is>
          <t>ATIVO</t>
        </is>
      </c>
      <c r="C41" s="4" t="inlineStr">
        <is>
          <t>#00B050</t>
        </is>
      </c>
    </row>
    <row r="42" ht="15" customHeight="1" s="108">
      <c r="A42" s="2" t="inlineStr">
        <is>
          <t>51-60</t>
        </is>
      </c>
      <c r="B42" s="7" t="inlineStr">
        <is>
          <t>EM RISCO</t>
        </is>
      </c>
      <c r="C42" s="4" t="inlineStr">
        <is>
          <t>#FFC000</t>
        </is>
      </c>
    </row>
    <row r="43" ht="15" customHeight="1" s="108">
      <c r="A43" s="2" t="inlineStr">
        <is>
          <t>61-90</t>
        </is>
      </c>
      <c r="B43" s="7" t="inlineStr">
        <is>
          <t>INAT.REC</t>
        </is>
      </c>
      <c r="C43" s="4" t="inlineStr">
        <is>
          <t>#FFC000</t>
        </is>
      </c>
    </row>
    <row r="44" ht="15" customHeight="1" s="108">
      <c r="A44" s="2" t="inlineStr">
        <is>
          <t>&gt; 90</t>
        </is>
      </c>
      <c r="B44" s="8" t="inlineStr">
        <is>
          <t>INAT.ANT</t>
        </is>
      </c>
      <c r="C44" s="4" t="inlineStr">
        <is>
          <t>#FF0000</t>
        </is>
      </c>
    </row>
    <row r="45" ht="15" customHeight="1" s="108">
      <c r="A45" s="2" t="inlineStr">
        <is>
          <t>Nunca comprou + cadastro</t>
        </is>
      </c>
      <c r="B45" s="9" t="inlineStr">
        <is>
          <t>NOVO</t>
        </is>
      </c>
      <c r="C45" s="4" t="inlineStr">
        <is>
          <t>#0070C0</t>
        </is>
      </c>
    </row>
    <row r="46" ht="15" customHeight="1" s="108">
      <c r="A46" s="2" t="inlineStr">
        <is>
          <t>Nunca comprou</t>
        </is>
      </c>
      <c r="B46" s="10" t="inlineStr">
        <is>
          <t>PROSPECT</t>
        </is>
      </c>
      <c r="C46" s="4" t="inlineStr">
        <is>
          <t>#7B2FF2</t>
        </is>
      </c>
    </row>
    <row r="47" ht="15" customHeight="1" s="108">
      <c r="A47" s="2" t="inlineStr">
        <is>
          <t>Manual (Daiane)</t>
        </is>
      </c>
      <c r="B47" s="10" t="inlineStr">
        <is>
          <t>LEAD</t>
        </is>
      </c>
      <c r="C47" s="4" t="inlineStr">
        <is>
          <t>#7B2FF2</t>
        </is>
      </c>
    </row>
    <row r="49" ht="15" customHeight="1" s="108">
      <c r="A49" s="4" t="n"/>
    </row>
    <row r="50" ht="15" customHeight="1" s="108">
      <c r="A50" s="1" t="inlineStr">
        <is>
          <t>#</t>
        </is>
      </c>
      <c r="B50" s="1" t="inlineStr">
        <is>
          <t>FASE</t>
        </is>
      </c>
      <c r="C50" s="1" t="inlineStr">
        <is>
          <t>DESCRIÇÃO</t>
        </is>
      </c>
    </row>
    <row r="51" ht="15" customHeight="1" s="108">
      <c r="A51" s="2" t="n">
        <v>1</v>
      </c>
      <c r="B51" s="3" t="inlineStr">
        <is>
          <t>PÓS-VENDA</t>
        </is>
      </c>
    </row>
    <row r="52" ht="15" customHeight="1" s="108">
      <c r="A52" s="2" t="n">
        <v>2</v>
      </c>
      <c r="B52" s="3" t="inlineStr">
        <is>
          <t>CS</t>
        </is>
      </c>
    </row>
    <row r="53" ht="15" customHeight="1" s="108">
      <c r="A53" s="2" t="n">
        <v>3</v>
      </c>
      <c r="B53" s="3" t="inlineStr">
        <is>
          <t>RECOMPRA</t>
        </is>
      </c>
    </row>
    <row r="54" ht="15" customHeight="1" s="108">
      <c r="A54" s="2" t="n">
        <v>4</v>
      </c>
      <c r="B54" s="3" t="inlineStr">
        <is>
          <t>SALVAMENTO</t>
        </is>
      </c>
    </row>
    <row r="55" ht="15" customHeight="1" s="108">
      <c r="A55" s="2" t="n">
        <v>5</v>
      </c>
      <c r="B55" s="3" t="inlineStr">
        <is>
          <t>RECUPERAÇÃO</t>
        </is>
      </c>
    </row>
    <row r="56" ht="15" customHeight="1" s="108">
      <c r="A56" s="2" t="n">
        <v>6</v>
      </c>
      <c r="B56" s="3" t="inlineStr">
        <is>
          <t>PROSPECÇÃO</t>
        </is>
      </c>
    </row>
    <row r="57" ht="15" customHeight="1" s="108">
      <c r="A57" s="2" t="n">
        <v>7</v>
      </c>
      <c r="B57" s="3" t="inlineStr">
        <is>
          <t>NUTRIÇÃO</t>
        </is>
      </c>
    </row>
    <row r="58" ht="15" customHeight="1" s="108">
      <c r="A58" s="2" t="n">
        <v>8</v>
      </c>
      <c r="B58" s="3" t="inlineStr">
        <is>
          <t>EM ATENDIMENTO</t>
        </is>
      </c>
    </row>
    <row r="59" ht="15" customHeight="1" s="108">
      <c r="A59" s="2" t="n">
        <v>9</v>
      </c>
      <c r="B59" s="3" t="inlineStr">
        <is>
          <t>ORÇAMENTO</t>
        </is>
      </c>
    </row>
    <row r="61" ht="15" customHeight="1" s="108">
      <c r="A61" s="4" t="n"/>
    </row>
    <row r="62" ht="15" customHeight="1" s="108">
      <c r="A62" s="1" t="inlineStr">
        <is>
          <t>#</t>
        </is>
      </c>
      <c r="B62" s="1" t="inlineStr">
        <is>
          <t>TENTATIVA</t>
        </is>
      </c>
      <c r="C62" s="1" t="inlineStr">
        <is>
          <t>CANAL</t>
        </is>
      </c>
      <c r="D62" s="1" t="inlineStr">
        <is>
          <t>INTERVALO</t>
        </is>
      </c>
    </row>
    <row r="63" ht="15" customHeight="1" s="108">
      <c r="A63" s="2" t="n">
        <v>1</v>
      </c>
      <c r="B63" s="3" t="inlineStr">
        <is>
          <t>T1</t>
        </is>
      </c>
      <c r="C63" s="4" t="inlineStr">
        <is>
          <t>WhatsApp</t>
        </is>
      </c>
      <c r="D63" s="4" t="inlineStr">
        <is>
          <t>Dia 0</t>
        </is>
      </c>
    </row>
    <row r="64" ht="15" customHeight="1" s="108">
      <c r="A64" s="2" t="n">
        <v>2</v>
      </c>
      <c r="B64" s="3" t="inlineStr">
        <is>
          <t>T2</t>
        </is>
      </c>
      <c r="C64" s="4" t="inlineStr">
        <is>
          <t>Ligação</t>
        </is>
      </c>
      <c r="D64" s="4" t="inlineStr">
        <is>
          <t>+1 dia</t>
        </is>
      </c>
    </row>
    <row r="65" ht="15" customHeight="1" s="108">
      <c r="A65" s="2" t="n">
        <v>3</v>
      </c>
      <c r="B65" s="3" t="inlineStr">
        <is>
          <t>T3</t>
        </is>
      </c>
      <c r="C65" s="4" t="inlineStr">
        <is>
          <t>WhatsApp</t>
        </is>
      </c>
      <c r="D65" s="4" t="inlineStr">
        <is>
          <t>+2 dias</t>
        </is>
      </c>
    </row>
    <row r="66" ht="15" customHeight="1" s="108">
      <c r="A66" s="2" t="n">
        <v>4</v>
      </c>
      <c r="B66" s="3" t="inlineStr">
        <is>
          <t>T4</t>
        </is>
      </c>
      <c r="C66" s="4" t="inlineStr">
        <is>
          <t>Ligação final</t>
        </is>
      </c>
      <c r="D66" s="4" t="inlineStr">
        <is>
          <t>+2 dias</t>
        </is>
      </c>
    </row>
    <row r="67" ht="15" customHeight="1" s="108">
      <c r="A67" s="2" t="n">
        <v>5</v>
      </c>
      <c r="B67" s="3" t="inlineStr">
        <is>
          <t>NUTRIÇÃO</t>
        </is>
      </c>
      <c r="C67" s="4" t="inlineStr">
        <is>
          <t>Email+WhatsApp</t>
        </is>
      </c>
      <c r="D67" s="4" t="inlineStr">
        <is>
          <t>Ciclo 15d</t>
        </is>
      </c>
    </row>
    <row r="68" ht="15" customHeight="1" s="108">
      <c r="A68" s="2" t="n">
        <v>6</v>
      </c>
      <c r="B68" s="3" t="inlineStr">
        <is>
          <t>RESET</t>
        </is>
      </c>
      <c r="C68" s="4" t="inlineStr">
        <is>
          <t>Qualquer</t>
        </is>
      </c>
      <c r="D68" s="4" t="inlineStr">
        <is>
          <t>Quando responde</t>
        </is>
      </c>
    </row>
    <row r="70" ht="15" customHeight="1" s="108">
      <c r="A70" s="4" t="n"/>
    </row>
    <row r="71" ht="15" customHeight="1" s="108">
      <c r="A71" s="1" t="inlineStr">
        <is>
          <t>SINALEIRO</t>
        </is>
      </c>
      <c r="B71" s="1" t="inlineStr">
        <is>
          <t>CONDIÇÃO</t>
        </is>
      </c>
    </row>
    <row r="72" ht="17.25" customHeight="1" s="108">
      <c r="A72" s="11" t="inlineStr">
        <is>
          <t>🟢</t>
        </is>
      </c>
      <c r="B72" s="4" t="inlineStr">
        <is>
          <t>Dias ≤ Ciclo Médio</t>
        </is>
      </c>
    </row>
    <row r="73" ht="17.25" customHeight="1" s="108">
      <c r="A73" s="11" t="inlineStr">
        <is>
          <t>🟡</t>
        </is>
      </c>
      <c r="B73" s="4" t="inlineStr">
        <is>
          <t>Dias ≤ Ciclo+30</t>
        </is>
      </c>
    </row>
    <row r="74" ht="17.25" customHeight="1" s="108">
      <c r="A74" s="11" t="inlineStr">
        <is>
          <t>🔴</t>
        </is>
      </c>
      <c r="B74" s="4" t="inlineStr">
        <is>
          <t>Dias &gt; Ciclo+30</t>
        </is>
      </c>
    </row>
    <row r="75" ht="17.25" customHeight="1" s="108">
      <c r="A75" s="11" t="inlineStr">
        <is>
          <t>🟣</t>
        </is>
      </c>
      <c r="B75" s="4" t="inlineStr">
        <is>
          <t>Nunca comprou</t>
        </is>
      </c>
    </row>
    <row r="77" ht="15" customHeight="1" s="108">
      <c r="A77" s="4" t="n"/>
    </row>
    <row r="78" ht="15" customHeight="1" s="108">
      <c r="A78" s="1" t="inlineStr">
        <is>
          <t>#</t>
        </is>
      </c>
      <c r="B78" s="1" t="inlineStr">
        <is>
          <t>TIPO CLIENTE</t>
        </is>
      </c>
      <c r="C78" s="1" t="inlineStr">
        <is>
          <t>CRITÉRIO</t>
        </is>
      </c>
    </row>
    <row r="79" ht="15" customHeight="1" s="108">
      <c r="A79" s="2" t="n">
        <v>1</v>
      </c>
      <c r="B79" s="3" t="inlineStr">
        <is>
          <t>NOVO</t>
        </is>
      </c>
      <c r="C79" s="4" t="inlineStr">
        <is>
          <t>1ª compra</t>
        </is>
      </c>
    </row>
    <row r="80" ht="15" customHeight="1" s="108">
      <c r="A80" s="2" t="n">
        <v>2</v>
      </c>
      <c r="B80" s="3" t="inlineStr">
        <is>
          <t>EM DESENVOLVIMENTO</t>
        </is>
      </c>
      <c r="C80" s="4" t="inlineStr">
        <is>
          <t>2-3 compras</t>
        </is>
      </c>
    </row>
    <row r="81" ht="15" customHeight="1" s="108">
      <c r="A81" s="2" t="n">
        <v>3</v>
      </c>
      <c r="B81" s="3" t="inlineStr">
        <is>
          <t>RECORRENTE</t>
        </is>
      </c>
      <c r="C81" s="4" t="inlineStr">
        <is>
          <t>4+ compras 3+ meses</t>
        </is>
      </c>
    </row>
    <row r="82" ht="15" customHeight="1" s="108">
      <c r="A82" s="2" t="n">
        <v>4</v>
      </c>
      <c r="B82" s="3" t="inlineStr">
        <is>
          <t>FIDELIZADO</t>
        </is>
      </c>
      <c r="C82" s="4" t="inlineStr">
        <is>
          <t>6+ compras 6+ meses</t>
        </is>
      </c>
    </row>
    <row r="83" ht="15" customHeight="1" s="108">
      <c r="A83" s="2" t="n">
        <v>5</v>
      </c>
      <c r="B83" s="3" t="inlineStr">
        <is>
          <t>PROSPECT</t>
        </is>
      </c>
      <c r="C83" s="4" t="inlineStr">
        <is>
          <t>Nunca comprou</t>
        </is>
      </c>
    </row>
    <row r="84" ht="15" customHeight="1" s="108">
      <c r="A84" s="2" t="n">
        <v>6</v>
      </c>
      <c r="B84" s="3" t="inlineStr">
        <is>
          <t>LEAD</t>
        </is>
      </c>
      <c r="C84" s="4" t="inlineStr">
        <is>
          <t>Manual Daiane</t>
        </is>
      </c>
    </row>
    <row r="86" ht="15" customHeight="1" s="108">
      <c r="A86" s="4" t="n"/>
    </row>
    <row r="87" ht="15" customHeight="1" s="108">
      <c r="A87" s="1" t="inlineStr">
        <is>
          <t>CONSULTOR</t>
        </is>
      </c>
      <c r="B87" s="1" t="inlineStr">
        <is>
          <t>TERRITÓRIO</t>
        </is>
      </c>
    </row>
    <row r="88" ht="15" customHeight="1" s="108">
      <c r="A88" s="3" t="inlineStr">
        <is>
          <t>MANU DITZEL</t>
        </is>
      </c>
      <c r="B88" s="4" t="inlineStr">
        <is>
          <t>SC/PR/RS</t>
        </is>
      </c>
    </row>
    <row r="89" ht="15" customHeight="1" s="108">
      <c r="A89" s="3" t="inlineStr">
        <is>
          <t>LARISSA PADILHA</t>
        </is>
      </c>
      <c r="B89" s="4" t="inlineStr">
        <is>
          <t>Resto do Brasil</t>
        </is>
      </c>
    </row>
    <row r="90" ht="15" customHeight="1" s="108">
      <c r="A90" s="3" t="inlineStr">
        <is>
          <t>JULIO GADRET</t>
        </is>
      </c>
      <c r="B90" s="4" t="inlineStr">
        <is>
          <t>CIA DA SAUDE / FITLAND</t>
        </is>
      </c>
    </row>
    <row r="91" ht="15" customHeight="1" s="108">
      <c r="A91" s="3" t="inlineStr">
        <is>
          <t>DAIANE STAVICKI</t>
        </is>
      </c>
      <c r="B91" s="4" t="inlineStr">
        <is>
          <t>Redes de Franquia</t>
        </is>
      </c>
    </row>
    <row r="93" ht="15" customHeight="1" s="108">
      <c r="A93" s="4" t="n"/>
    </row>
    <row r="94" ht="15" customHeight="1" s="108">
      <c r="A94" s="1" t="inlineStr">
        <is>
          <t>LISTA</t>
        </is>
      </c>
      <c r="B94" s="1" t="inlineStr">
        <is>
          <t>VALORES</t>
        </is>
      </c>
    </row>
    <row r="95" ht="15" customHeight="1" s="108">
      <c r="A95" s="3" t="inlineStr">
        <is>
          <t>SIM_NAO</t>
        </is>
      </c>
      <c r="B95" s="4" t="inlineStr">
        <is>
          <t>SIM</t>
        </is>
      </c>
    </row>
    <row r="96" ht="15" customHeight="1" s="108">
      <c r="B96" s="4" t="inlineStr">
        <is>
          <t>NÃO</t>
        </is>
      </c>
    </row>
    <row r="97" ht="15" customHeight="1" s="108">
      <c r="A97" s="3" t="inlineStr">
        <is>
          <t>SIM_NAO_NA</t>
        </is>
      </c>
      <c r="B97" s="4" t="inlineStr">
        <is>
          <t>SIM</t>
        </is>
      </c>
    </row>
    <row r="98" ht="15" customHeight="1" s="108">
      <c r="B98" s="4" t="inlineStr">
        <is>
          <t>NÃO</t>
        </is>
      </c>
    </row>
    <row r="99" ht="15" customHeight="1" s="108">
      <c r="B99" s="4" t="inlineStr">
        <is>
          <t>N/A</t>
        </is>
      </c>
    </row>
    <row r="100" ht="15" customHeight="1" s="108">
      <c r="A100" s="3" t="inlineStr">
        <is>
          <t>ATIVO_RECEPTIVO</t>
        </is>
      </c>
      <c r="B100" s="4" t="inlineStr">
        <is>
          <t>ATIVO</t>
        </is>
      </c>
    </row>
    <row r="101" ht="15" customHeight="1" s="108">
      <c r="B101" s="4" t="inlineStr">
        <is>
          <t>RECEPTIVO</t>
        </is>
      </c>
    </row>
    <row r="102" ht="15" customHeight="1" s="108">
      <c r="A102" s="3" t="inlineStr">
        <is>
          <t>CURVA_ABC</t>
        </is>
      </c>
      <c r="B102" s="4" t="inlineStr">
        <is>
          <t>A</t>
        </is>
      </c>
    </row>
    <row r="103" ht="15" customHeight="1" s="108">
      <c r="B103" s="4" t="inlineStr">
        <is>
          <t>B</t>
        </is>
      </c>
    </row>
    <row r="104" ht="15" customHeight="1" s="108">
      <c r="B104" s="4" t="inlineStr">
        <is>
          <t>C</t>
        </is>
      </c>
    </row>
    <row r="105" ht="15" customHeight="1" s="108">
      <c r="A105" s="3" t="inlineStr">
        <is>
          <t>TIPO_CLIENTE</t>
        </is>
      </c>
      <c r="B105" s="4" t="inlineStr">
        <is>
          <t>NOVO</t>
        </is>
      </c>
    </row>
    <row r="106" ht="15" customHeight="1" s="108">
      <c r="B106" s="4" t="inlineStr">
        <is>
          <t>EM DESENVOLVIMENTO</t>
        </is>
      </c>
    </row>
    <row r="107" ht="15" customHeight="1" s="108">
      <c r="B107" s="4" t="inlineStr">
        <is>
          <t>RECORRENTE</t>
        </is>
      </c>
    </row>
    <row r="108" ht="15" customHeight="1" s="108">
      <c r="B108" s="4" t="inlineStr">
        <is>
          <t>FIDELIZADO</t>
        </is>
      </c>
    </row>
    <row r="109" ht="15" customHeight="1" s="108">
      <c r="B109" s="4" t="inlineStr">
        <is>
          <t>PROSPECT</t>
        </is>
      </c>
    </row>
    <row r="110" ht="15" customHeight="1" s="108">
      <c r="B110" s="4" t="inlineStr">
        <is>
          <t>LEAD</t>
        </is>
      </c>
    </row>
    <row r="111" ht="15" customHeight="1" s="108">
      <c r="A111" s="3" t="inlineStr">
        <is>
          <t>GRUPO_DASH</t>
        </is>
      </c>
      <c r="B111" s="4" t="inlineStr">
        <is>
          <t>FUNIL</t>
        </is>
      </c>
    </row>
    <row r="112" ht="15" customHeight="1" s="108">
      <c r="B112" s="4" t="inlineStr">
        <is>
          <t>RELAC.</t>
        </is>
      </c>
    </row>
    <row r="113" ht="15" customHeight="1" s="108">
      <c r="B113" s="4" t="inlineStr">
        <is>
          <t>NÃO VENDA</t>
        </is>
      </c>
    </row>
    <row r="114" ht="15" customHeight="1" s="108">
      <c r="A114" s="3" t="inlineStr">
        <is>
          <t>ACAO_FUTURA</t>
        </is>
      </c>
      <c r="B114" s="4" t="inlineStr">
        <is>
          <t>RECOMPRA</t>
        </is>
      </c>
    </row>
    <row r="115" ht="15" customHeight="1" s="108">
      <c r="B115" s="4" t="inlineStr">
        <is>
          <t>PÓS-VENDA</t>
        </is>
      </c>
    </row>
    <row r="116" ht="15" customHeight="1" s="108">
      <c r="B116" s="4" t="inlineStr">
        <is>
          <t>CS</t>
        </is>
      </c>
    </row>
    <row r="117" ht="15" customHeight="1" s="108">
      <c r="B117" s="4" t="inlineStr">
        <is>
          <t>REATIVAÇÃO</t>
        </is>
      </c>
    </row>
    <row r="118" ht="15" customHeight="1" s="108">
      <c r="B118" s="4" t="inlineStr">
        <is>
          <t>PROSPECÇÃO</t>
        </is>
      </c>
    </row>
    <row r="119" ht="15" customHeight="1" s="108">
      <c r="B119" s="4" t="inlineStr">
        <is>
          <t>NUTRIÇÃO</t>
        </is>
      </c>
    </row>
    <row r="120" ht="15" customHeight="1" s="108">
      <c r="B120" s="4" t="inlineStr">
        <is>
          <t>SALVAMENTO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0B050"/>
    <outlinePr summaryRight="0"/>
    <pageSetUpPr/>
  </sheetPr>
  <dimension ref="A1:IW200"/>
  <sheetViews>
    <sheetView zoomScaleNormal="100" workbookViewId="0">
      <pane ySplit="3" topLeftCell="A4" activePane="bottomLeft" state="frozen"/>
      <selection pane="bottomLeft" activeCell="JB9" sqref="JB9"/>
    </sheetView>
  </sheetViews>
  <sheetFormatPr baseColWidth="8" defaultColWidth="8.6640625" defaultRowHeight="14.4"/>
  <cols>
    <col collapsed="1" width="22" customWidth="1" style="108" min="1" max="1"/>
    <col hidden="1" outlineLevel="1" collapsed="1" width="18" customWidth="1" style="108" min="2" max="2"/>
    <col hidden="1" outlineLevel="2" width="20" customWidth="1" style="108" min="3" max="3"/>
    <col hidden="1" outlineLevel="2" width="5" customWidth="1" style="108" min="4" max="4"/>
    <col hidden="1" outlineLevel="2" width="14" customWidth="1" style="108" min="5" max="5"/>
    <col hidden="1" outlineLevel="2" width="20" customWidth="1" style="108" min="6" max="6"/>
    <col hidden="1" outlineLevel="2" width="14" customWidth="1" style="108" min="7" max="7"/>
    <col hidden="1" outlineLevel="2" width="12" customWidth="1" style="108" min="8" max="8"/>
    <col hidden="1" outlineLevel="1" collapsed="1" width="16" customWidth="1" style="108" min="9" max="9"/>
    <col hidden="1" outlineLevel="2" width="10" customWidth="1" style="108" min="10" max="10"/>
    <col hidden="1" outlineLevel="2" width="28" customWidth="1" style="108" min="11" max="11"/>
    <col hidden="1" outlineLevel="1" collapsed="1" width="16" customWidth="1" style="108" min="12" max="12"/>
    <col hidden="1" outlineLevel="2" width="18" customWidth="1" style="108" min="13" max="13"/>
    <col hidden="1" outlineLevel="1" collapsed="1" width="12" customWidth="1" style="108" min="14" max="14"/>
    <col hidden="1" outlineLevel="2" width="10" customWidth="1" style="108" min="15" max="15"/>
    <col hidden="1" outlineLevel="1" collapsed="1" width="10" customWidth="1" style="108" min="16" max="16"/>
    <col hidden="1" outlineLevel="2" width="14" customWidth="1" style="108" min="17" max="17"/>
    <col hidden="1" outlineLevel="2" width="13" customWidth="1" style="108" min="18" max="18"/>
    <col hidden="1" outlineLevel="1" collapsed="1" width="12" customWidth="1" style="108" min="19" max="19"/>
    <col hidden="1" outlineLevel="2" width="10" customWidth="1" style="108" min="20" max="20"/>
    <col hidden="1" outlineLevel="2" width="12" customWidth="1" style="108" min="21" max="21"/>
    <col hidden="1" outlineLevel="2" width="13" customWidth="1" style="108" min="22" max="23"/>
    <col hidden="1" outlineLevel="2" width="14" customWidth="1" style="108" min="24" max="24"/>
    <col hidden="1" outlineLevel="1" collapsed="1" width="12" customWidth="1" style="108" min="25" max="25"/>
    <col hidden="1" outlineLevel="2" width="9" customWidth="1" style="108" min="26" max="26"/>
    <col hidden="1" outlineLevel="2" width="13" customWidth="1" style="108" min="27" max="36"/>
    <col hidden="1" outlineLevel="1" collapsed="1" width="10" customWidth="1" style="108" min="37" max="37"/>
    <col hidden="1" outlineLevel="2" width="10" customWidth="1" style="108" min="38" max="38"/>
    <col hidden="1" outlineLevel="2" width="8" customWidth="1" style="108" min="39" max="39"/>
    <col hidden="1" outlineLevel="2" width="12" customWidth="1" style="108" min="40" max="40"/>
    <col hidden="1" outlineLevel="2" width="13" customWidth="1" style="108" min="41" max="42"/>
    <col hidden="1" outlineLevel="2" width="16" customWidth="1" style="108" min="43" max="43"/>
    <col collapsed="1" width="16" customWidth="1" style="108" min="44" max="44"/>
    <col hidden="1" outlineLevel="1" collapsed="1" width="14" customWidth="1" style="108" min="45" max="45"/>
    <col hidden="1" outlineLevel="2" width="13" customWidth="1" style="108" min="46" max="46"/>
    <col hidden="1" outlineLevel="2" width="16" customWidth="1" style="108" min="47" max="47"/>
    <col hidden="1" outlineLevel="2" width="20" customWidth="1" style="108" min="48" max="48"/>
    <col hidden="1" outlineLevel="1" collapsed="1" width="14" customWidth="1" style="108" min="49" max="49"/>
    <col hidden="1" outlineLevel="2" width="10" customWidth="1" style="108" min="50" max="50"/>
    <col hidden="1" outlineLevel="1" collapsed="1" width="14" customWidth="1" style="108" min="51" max="51"/>
    <col hidden="1" outlineLevel="2" width="14" customWidth="1" style="108" min="52" max="52"/>
    <col hidden="1" outlineLevel="1" collapsed="1" width="10" customWidth="1" style="108" min="53" max="53"/>
    <col hidden="1" outlineLevel="2" width="12" customWidth="1" style="108" min="54" max="54"/>
    <col hidden="1" outlineLevel="2" width="14" customWidth="1" style="108" min="55" max="55"/>
    <col hidden="1" outlineLevel="2" width="13" customWidth="1" style="108" min="56" max="57"/>
    <col hidden="1" outlineLevel="2" width="12" customWidth="1" style="108" min="58" max="58"/>
    <col hidden="1" outlineLevel="1" collapsed="1" width="20" customWidth="1" style="108" min="59" max="59"/>
    <col hidden="1" outlineLevel="2" width="22" customWidth="1" style="108" min="60" max="60"/>
    <col hidden="1" outlineLevel="1" width="8" customWidth="1" style="108" min="61" max="61"/>
    <col collapsed="1" width="16" customWidth="1" style="108" min="62" max="62"/>
    <col hidden="1" outlineLevel="1" width="20" customWidth="1" style="108" min="63" max="63"/>
    <col hidden="1" outlineLevel="1" width="13" customWidth="1" style="108" min="64" max="64"/>
    <col hidden="1" outlineLevel="1" width="18" customWidth="1" style="108" min="65" max="65"/>
    <col hidden="1" outlineLevel="1" width="13" customWidth="1" style="108" min="66" max="66"/>
    <col hidden="1" outlineLevel="1" width="16" customWidth="1" style="108" min="67" max="67"/>
    <col hidden="1" outlineLevel="1" width="13" customWidth="1" style="108" min="68" max="70"/>
    <col hidden="1" outlineLevel="1" width="18" customWidth="1" style="108" min="71" max="71"/>
    <col hidden="1" outlineLevel="1" width="10" customWidth="1" style="108" min="72" max="72"/>
    <col width="9" customWidth="1" style="108" min="73" max="73"/>
    <col outlineLevel="1" collapsed="1" width="7" customWidth="1" style="108" min="74" max="74"/>
    <col hidden="1" outlineLevel="2" collapsed="1" width="6" customWidth="1" style="108" min="75" max="75"/>
    <col hidden="1" outlineLevel="3" width="12" customWidth="1" style="108" min="76" max="76"/>
    <col hidden="1" outlineLevel="3" width="13" customWidth="1" style="108" min="77" max="77"/>
    <col hidden="1" outlineLevel="2" collapsed="1" width="6" customWidth="1" style="108" min="78" max="78"/>
    <col hidden="1" outlineLevel="3" width="12" customWidth="1" style="108" min="79" max="79"/>
    <col hidden="1" outlineLevel="3" width="13" customWidth="1" style="108" min="80" max="80"/>
    <col hidden="1" outlineLevel="2" collapsed="1" width="6" customWidth="1" style="108" min="81" max="81"/>
    <col hidden="1" outlineLevel="3" width="12" customWidth="1" style="108" min="82" max="82"/>
    <col hidden="1" outlineLevel="3" width="13" customWidth="1" style="108" min="83" max="83"/>
    <col hidden="1" outlineLevel="3" width="11" customWidth="1" style="108" min="84" max="84"/>
    <col hidden="1" outlineLevel="3" width="18" customWidth="1" style="108" min="85" max="85"/>
    <col hidden="1" outlineLevel="3" width="13" customWidth="1" style="108" min="86" max="88"/>
    <col hidden="1" outlineLevel="3" width="20" customWidth="1" style="108" min="89" max="89"/>
    <col hidden="1" outlineLevel="2" collapsed="1" width="6" customWidth="1" style="108" min="90" max="90"/>
    <col hidden="1" outlineLevel="3" width="12" customWidth="1" style="108" min="91" max="91"/>
    <col hidden="1" outlineLevel="3" width="13" customWidth="1" style="108" min="92" max="92"/>
    <col hidden="1" outlineLevel="2" collapsed="1" width="6" customWidth="1" style="108" min="93" max="93"/>
    <col hidden="1" outlineLevel="3" width="12" customWidth="1" style="108" min="94" max="94"/>
    <col hidden="1" outlineLevel="3" width="13" customWidth="1" style="108" min="95" max="95"/>
    <col hidden="1" outlineLevel="2" collapsed="1" width="6" customWidth="1" style="108" min="96" max="96"/>
    <col hidden="1" outlineLevel="3" width="12" customWidth="1" style="108" min="97" max="97"/>
    <col hidden="1" outlineLevel="3" width="13" customWidth="1" style="108" min="98" max="98"/>
    <col hidden="1" outlineLevel="3" width="11" customWidth="1" style="108" min="99" max="99"/>
    <col hidden="1" outlineLevel="3" width="18" customWidth="1" style="108" min="100" max="100"/>
    <col hidden="1" outlineLevel="3" width="13" customWidth="1" style="108" min="101" max="103"/>
    <col hidden="1" outlineLevel="3" width="20" customWidth="1" style="108" min="104" max="104"/>
    <col hidden="1" outlineLevel="2" collapsed="1" width="6" customWidth="1" style="108" min="105" max="105"/>
    <col hidden="1" outlineLevel="3" width="12" customWidth="1" style="108" min="106" max="106"/>
    <col hidden="1" outlineLevel="3" width="13" customWidth="1" style="108" min="107" max="107"/>
    <col hidden="1" outlineLevel="2" collapsed="1" width="6" customWidth="1" style="108" min="108" max="108"/>
    <col hidden="1" outlineLevel="3" width="12" customWidth="1" style="108" min="109" max="109"/>
    <col hidden="1" outlineLevel="3" width="13" customWidth="1" style="108" min="110" max="110"/>
    <col hidden="1" outlineLevel="2" collapsed="1" width="6" customWidth="1" style="108" min="111" max="111"/>
    <col hidden="1" outlineLevel="3" width="12" customWidth="1" style="108" min="112" max="112"/>
    <col hidden="1" outlineLevel="3" width="13" customWidth="1" style="108" min="113" max="113"/>
    <col hidden="1" outlineLevel="3" width="11" customWidth="1" style="108" min="114" max="114"/>
    <col hidden="1" outlineLevel="3" width="18" customWidth="1" style="108" min="115" max="115"/>
    <col hidden="1" outlineLevel="3" width="13" customWidth="1" style="108" min="116" max="118"/>
    <col hidden="1" outlineLevel="3" width="20" customWidth="1" style="108" min="119" max="119"/>
    <col outlineLevel="1" collapsed="1" width="7" customWidth="1" style="108" min="120" max="120"/>
    <col hidden="1" outlineLevel="2" collapsed="1" width="6" customWidth="1" style="108" min="121" max="121"/>
    <col hidden="1" outlineLevel="3" width="12" customWidth="1" style="108" min="122" max="122"/>
    <col hidden="1" outlineLevel="3" width="13" customWidth="1" style="108" min="123" max="123"/>
    <col hidden="1" outlineLevel="2" collapsed="1" width="6" customWidth="1" style="108" min="124" max="124"/>
    <col hidden="1" outlineLevel="3" width="12" customWidth="1" style="108" min="125" max="125"/>
    <col hidden="1" outlineLevel="3" width="13" customWidth="1" style="108" min="126" max="126"/>
    <col hidden="1" outlineLevel="2" collapsed="1" width="6" customWidth="1" style="108" min="127" max="127"/>
    <col hidden="1" outlineLevel="3" width="12" customWidth="1" style="108" min="128" max="128"/>
    <col hidden="1" outlineLevel="3" width="13" customWidth="1" style="108" min="129" max="129"/>
    <col hidden="1" outlineLevel="3" width="11" customWidth="1" style="108" min="130" max="130"/>
    <col hidden="1" outlineLevel="3" width="18" customWidth="1" style="108" min="131" max="131"/>
    <col hidden="1" outlineLevel="3" width="13" customWidth="1" style="108" min="132" max="134"/>
    <col hidden="1" outlineLevel="3" width="20" customWidth="1" style="108" min="135" max="135"/>
    <col hidden="1" outlineLevel="2" collapsed="1" width="6" customWidth="1" style="108" min="136" max="136"/>
    <col hidden="1" outlineLevel="3" width="12" customWidth="1" style="108" min="137" max="137"/>
    <col hidden="1" outlineLevel="3" width="13" customWidth="1" style="108" min="138" max="138"/>
    <col hidden="1" outlineLevel="2" collapsed="1" width="6" customWidth="1" style="108" min="139" max="139"/>
    <col hidden="1" outlineLevel="3" width="12" customWidth="1" style="108" min="140" max="140"/>
    <col hidden="1" outlineLevel="3" width="13" customWidth="1" style="108" min="141" max="141"/>
    <col hidden="1" outlineLevel="2" collapsed="1" width="6" customWidth="1" style="108" min="142" max="142"/>
    <col hidden="1" outlineLevel="3" width="12" customWidth="1" style="108" min="143" max="143"/>
    <col hidden="1" outlineLevel="3" width="13" customWidth="1" style="108" min="144" max="144"/>
    <col hidden="1" outlineLevel="3" width="11" customWidth="1" style="108" min="145" max="145"/>
    <col hidden="1" outlineLevel="3" width="18" customWidth="1" style="108" min="146" max="146"/>
    <col hidden="1" outlineLevel="3" width="13" customWidth="1" style="108" min="147" max="149"/>
    <col hidden="1" outlineLevel="3" width="20" customWidth="1" style="108" min="150" max="150"/>
    <col hidden="1" outlineLevel="2" collapsed="1" width="6" customWidth="1" style="108" min="151" max="151"/>
    <col hidden="1" outlineLevel="3" width="12" customWidth="1" style="108" min="152" max="152"/>
    <col hidden="1" outlineLevel="3" width="13" customWidth="1" style="108" min="153" max="153"/>
    <col hidden="1" outlineLevel="2" collapsed="1" width="6" customWidth="1" style="108" min="154" max="154"/>
    <col hidden="1" outlineLevel="3" width="12" customWidth="1" style="108" min="155" max="155"/>
    <col hidden="1" outlineLevel="3" width="13" customWidth="1" style="108" min="156" max="156"/>
    <col hidden="1" outlineLevel="2" collapsed="1" width="6" customWidth="1" style="108" min="157" max="157"/>
    <col hidden="1" outlineLevel="3" width="12" customWidth="1" style="108" min="158" max="158"/>
    <col hidden="1" outlineLevel="3" width="13" customWidth="1" style="108" min="159" max="159"/>
    <col hidden="1" outlineLevel="3" width="11" customWidth="1" style="108" min="160" max="160"/>
    <col hidden="1" outlineLevel="3" width="18" customWidth="1" style="108" min="161" max="161"/>
    <col hidden="1" outlineLevel="3" width="13" customWidth="1" style="108" min="162" max="164"/>
    <col hidden="1" outlineLevel="3" width="20" customWidth="1" style="108" min="165" max="165"/>
    <col outlineLevel="1" collapsed="1" width="7" customWidth="1" style="108" min="166" max="166"/>
    <col hidden="1" outlineLevel="2" collapsed="1" width="6" customWidth="1" style="108" min="167" max="167"/>
    <col hidden="1" outlineLevel="3" width="12" customWidth="1" style="108" min="168" max="168"/>
    <col hidden="1" outlineLevel="3" width="13" customWidth="1" style="108" min="169" max="169"/>
    <col hidden="1" outlineLevel="2" collapsed="1" width="6" customWidth="1" style="108" min="170" max="170"/>
    <col hidden="1" outlineLevel="3" width="12" customWidth="1" style="108" min="171" max="171"/>
    <col hidden="1" outlineLevel="3" width="13" customWidth="1" style="108" min="172" max="172"/>
    <col hidden="1" outlineLevel="2" collapsed="1" width="6" customWidth="1" style="108" min="173" max="173"/>
    <col hidden="1" outlineLevel="3" width="12" customWidth="1" style="108" min="174" max="174"/>
    <col hidden="1" outlineLevel="3" width="13" customWidth="1" style="108" min="175" max="175"/>
    <col hidden="1" outlineLevel="3" width="11" customWidth="1" style="108" min="176" max="176"/>
    <col hidden="1" outlineLevel="3" width="18" customWidth="1" style="108" min="177" max="177"/>
    <col hidden="1" outlineLevel="3" width="13" customWidth="1" style="108" min="178" max="180"/>
    <col hidden="1" outlineLevel="3" width="20" customWidth="1" style="108" min="181" max="181"/>
    <col hidden="1" outlineLevel="2" collapsed="1" width="6" customWidth="1" style="108" min="182" max="182"/>
    <col hidden="1" outlineLevel="3" width="12" customWidth="1" style="108" min="183" max="183"/>
    <col hidden="1" outlineLevel="3" width="13" customWidth="1" style="108" min="184" max="184"/>
    <col hidden="1" outlineLevel="2" collapsed="1" width="6" customWidth="1" style="108" min="185" max="185"/>
    <col hidden="1" outlineLevel="3" width="12" customWidth="1" style="108" min="186" max="186"/>
    <col hidden="1" outlineLevel="3" width="13" customWidth="1" style="108" min="187" max="187"/>
    <col hidden="1" outlineLevel="2" collapsed="1" width="6" customWidth="1" style="108" min="188" max="188"/>
    <col hidden="1" outlineLevel="3" width="12" customWidth="1" style="108" min="189" max="189"/>
    <col hidden="1" outlineLevel="3" width="13" customWidth="1" style="108" min="190" max="190"/>
    <col hidden="1" outlineLevel="3" width="11" customWidth="1" style="108" min="191" max="191"/>
    <col hidden="1" outlineLevel="3" width="18" customWidth="1" style="108" min="192" max="192"/>
    <col hidden="1" outlineLevel="3" width="13" customWidth="1" style="108" min="193" max="195"/>
    <col hidden="1" outlineLevel="3" width="20" customWidth="1" style="108" min="196" max="196"/>
    <col hidden="1" outlineLevel="2" collapsed="1" width="6" customWidth="1" style="108" min="197" max="197"/>
    <col hidden="1" outlineLevel="3" width="12" customWidth="1" style="108" min="198" max="198"/>
    <col hidden="1" outlineLevel="3" width="13" customWidth="1" style="108" min="199" max="199"/>
    <col hidden="1" outlineLevel="2" collapsed="1" width="6" customWidth="1" style="108" min="200" max="200"/>
    <col hidden="1" outlineLevel="3" width="12" customWidth="1" style="108" min="201" max="201"/>
    <col hidden="1" outlineLevel="3" width="13" customWidth="1" style="108" min="202" max="202"/>
    <col hidden="1" outlineLevel="2" collapsed="1" width="6" customWidth="1" style="108" min="203" max="203"/>
    <col hidden="1" outlineLevel="3" width="12" customWidth="1" style="108" min="204" max="204"/>
    <col hidden="1" outlineLevel="3" width="13" customWidth="1" style="108" min="205" max="205"/>
    <col hidden="1" outlineLevel="3" width="11" customWidth="1" style="108" min="206" max="206"/>
    <col hidden="1" outlineLevel="3" width="18" customWidth="1" style="108" min="207" max="207"/>
    <col hidden="1" outlineLevel="3" width="13" customWidth="1" style="108" min="208" max="210"/>
    <col hidden="1" outlineLevel="3" width="20" customWidth="1" style="108" min="211" max="211"/>
    <col outlineLevel="1" collapsed="1" width="7" customWidth="1" style="108" min="212" max="212"/>
    <col hidden="1" outlineLevel="2" collapsed="1" width="6" customWidth="1" style="108" min="213" max="213"/>
    <col hidden="1" outlineLevel="3" width="12" customWidth="1" style="108" min="214" max="214"/>
    <col hidden="1" outlineLevel="3" width="13" customWidth="1" style="108" min="215" max="215"/>
    <col hidden="1" outlineLevel="2" collapsed="1" width="6" customWidth="1" style="108" min="216" max="216"/>
    <col hidden="1" outlineLevel="3" width="12" customWidth="1" style="108" min="217" max="217"/>
    <col hidden="1" outlineLevel="3" width="13" customWidth="1" style="108" min="218" max="218"/>
    <col hidden="1" outlineLevel="2" collapsed="1" width="6" customWidth="1" style="108" min="219" max="219"/>
    <col hidden="1" outlineLevel="3" width="12" customWidth="1" style="108" min="220" max="220"/>
    <col hidden="1" outlineLevel="3" width="13" customWidth="1" style="108" min="221" max="221"/>
    <col hidden="1" outlineLevel="3" width="11" customWidth="1" style="108" min="222" max="222"/>
    <col hidden="1" outlineLevel="3" width="18" customWidth="1" style="108" min="223" max="223"/>
    <col hidden="1" outlineLevel="3" width="13" customWidth="1" style="108" min="224" max="226"/>
    <col hidden="1" outlineLevel="3" width="20" customWidth="1" style="108" min="227" max="227"/>
    <col hidden="1" outlineLevel="2" collapsed="1" width="6" customWidth="1" style="108" min="228" max="228"/>
    <col hidden="1" outlineLevel="3" width="12" customWidth="1" style="108" min="229" max="229"/>
    <col hidden="1" outlineLevel="3" width="13" customWidth="1" style="108" min="230" max="230"/>
    <col hidden="1" outlineLevel="2" collapsed="1" width="6" customWidth="1" style="108" min="231" max="231"/>
    <col hidden="1" outlineLevel="3" width="12" customWidth="1" style="108" min="232" max="232"/>
    <col hidden="1" outlineLevel="3" width="13" customWidth="1" style="108" min="233" max="233"/>
    <col hidden="1" outlineLevel="2" collapsed="1" width="6" customWidth="1" style="108" min="234" max="234"/>
    <col hidden="1" outlineLevel="3" width="12" customWidth="1" style="108" min="235" max="235"/>
    <col hidden="1" outlineLevel="3" width="13" customWidth="1" style="108" min="236" max="236"/>
    <col hidden="1" outlineLevel="3" width="11" customWidth="1" style="108" min="237" max="237"/>
    <col hidden="1" outlineLevel="3" width="18" customWidth="1" style="108" min="238" max="238"/>
    <col hidden="1" outlineLevel="3" width="13" customWidth="1" style="108" min="239" max="241"/>
    <col hidden="1" outlineLevel="3" width="20" customWidth="1" style="108" min="242" max="242"/>
    <col hidden="1" outlineLevel="2" collapsed="1" width="6" customWidth="1" style="108" min="243" max="243"/>
    <col hidden="1" outlineLevel="3" width="12" customWidth="1" style="108" min="244" max="244"/>
    <col hidden="1" outlineLevel="3" width="13" customWidth="1" style="108" min="245" max="245"/>
    <col hidden="1" outlineLevel="2" collapsed="1" width="6" customWidth="1" style="108" min="246" max="246"/>
    <col hidden="1" outlineLevel="3" width="12" customWidth="1" style="108" min="247" max="247"/>
    <col hidden="1" outlineLevel="3" width="13" customWidth="1" style="108" min="248" max="248"/>
    <col hidden="1" outlineLevel="2" collapsed="1" width="6" customWidth="1" style="108" min="249" max="249"/>
    <col hidden="1" outlineLevel="3" width="12" customWidth="1" style="108" min="250" max="250"/>
    <col hidden="1" outlineLevel="3" width="13" customWidth="1" style="108" min="251" max="251"/>
    <col hidden="1" outlineLevel="3" width="11" customWidth="1" style="108" min="252" max="252"/>
    <col hidden="1" outlineLevel="3" width="18" customWidth="1" style="108" min="253" max="253"/>
    <col hidden="1" outlineLevel="3" width="13" customWidth="1" style="108" min="254" max="256"/>
    <col hidden="1" outlineLevel="3" width="20" customWidth="1" style="108" min="257" max="257"/>
  </cols>
  <sheetData>
    <row r="1" ht="24" customHeight="1" s="108">
      <c r="A1" s="98" t="inlineStr">
        <is>
          <t>🟣 MERCOS</t>
        </is>
      </c>
      <c r="B1" s="88" t="n"/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8" t="n"/>
      <c r="AH1" s="88" t="n"/>
      <c r="AI1" s="88" t="n"/>
      <c r="AJ1" s="88" t="n"/>
      <c r="AK1" s="88" t="n"/>
      <c r="AL1" s="88" t="n"/>
      <c r="AM1" s="88" t="n"/>
      <c r="AN1" s="88" t="n"/>
      <c r="AO1" s="88" t="n"/>
      <c r="AP1" s="88" t="n"/>
      <c r="AQ1" s="88" t="n"/>
      <c r="AR1" s="97" t="inlineStr">
        <is>
          <t>🔵 FUNIL</t>
        </is>
      </c>
      <c r="AS1" s="88" t="n"/>
      <c r="AT1" s="88" t="n"/>
      <c r="AU1" s="88" t="n"/>
      <c r="AV1" s="88" t="n"/>
      <c r="AW1" s="88" t="n"/>
      <c r="AX1" s="88" t="n"/>
      <c r="AY1" s="88" t="n"/>
      <c r="AZ1" s="88" t="n"/>
      <c r="BA1" s="88" t="n"/>
      <c r="BB1" s="88" t="n"/>
      <c r="BC1" s="88" t="n"/>
      <c r="BD1" s="88" t="n"/>
      <c r="BE1" s="88" t="n"/>
      <c r="BF1" s="88" t="n"/>
      <c r="BG1" s="88" t="n"/>
      <c r="BH1" s="88" t="n"/>
      <c r="BI1" s="88" t="n"/>
      <c r="BJ1" s="95" t="inlineStr">
        <is>
          <t>⚫ SAP</t>
        </is>
      </c>
      <c r="BK1" s="88" t="n"/>
      <c r="BL1" s="88" t="n"/>
      <c r="BM1" s="88" t="n"/>
      <c r="BN1" s="88" t="n"/>
      <c r="BO1" s="88" t="n"/>
      <c r="BP1" s="88" t="n"/>
      <c r="BQ1" s="88" t="n"/>
      <c r="BR1" s="88" t="n"/>
      <c r="BS1" s="88" t="n"/>
      <c r="BT1" s="88" t="n"/>
      <c r="BU1" s="12" t="inlineStr">
        <is>
          <t>🟢 ACOMPANHAMENTO</t>
        </is>
      </c>
      <c r="BV1" s="13" t="inlineStr">
        <is>
          <t>Q1</t>
        </is>
      </c>
      <c r="BW1" s="93" t="inlineStr">
        <is>
          <t>JAN</t>
        </is>
      </c>
      <c r="BX1" s="88" t="n"/>
      <c r="BY1" s="88" t="n"/>
      <c r="BZ1" s="88" t="n"/>
      <c r="CA1" s="88" t="n"/>
      <c r="CB1" s="88" t="n"/>
      <c r="CC1" s="14" t="inlineStr">
        <is>
          <t>100%</t>
        </is>
      </c>
      <c r="CD1" s="15">
        <f>SUBTOTAL(109,CD4:CD5000)</f>
        <v/>
      </c>
      <c r="CE1" s="15">
        <f>SUBTOTAL(109,CE4:CE5000)</f>
        <v/>
      </c>
      <c r="CF1" s="16" t="n"/>
      <c r="CG1" s="16" t="n"/>
      <c r="CH1" s="16" t="n"/>
      <c r="CI1" s="16" t="n"/>
      <c r="CJ1" s="16" t="n"/>
      <c r="CK1" s="16" t="n"/>
      <c r="CL1" s="93" t="inlineStr">
        <is>
          <t>FEV</t>
        </is>
      </c>
      <c r="CM1" s="88" t="n"/>
      <c r="CN1" s="88" t="n"/>
      <c r="CO1" s="88" t="n"/>
      <c r="CP1" s="88" t="n"/>
      <c r="CQ1" s="88" t="n"/>
      <c r="CR1" s="14" t="inlineStr">
        <is>
          <t>100%</t>
        </is>
      </c>
      <c r="CS1" s="15">
        <f>SUBTOTAL(109,CS4:CS5000)</f>
        <v/>
      </c>
      <c r="CT1" s="15">
        <f>SUBTOTAL(109,CT4:CT5000)</f>
        <v/>
      </c>
      <c r="CU1" s="16" t="n"/>
      <c r="CV1" s="16" t="n"/>
      <c r="CW1" s="16" t="n"/>
      <c r="CX1" s="16" t="n"/>
      <c r="CY1" s="16" t="n"/>
      <c r="CZ1" s="16" t="n"/>
      <c r="DA1" s="93" t="inlineStr">
        <is>
          <t>MAR</t>
        </is>
      </c>
      <c r="DB1" s="88" t="n"/>
      <c r="DC1" s="88" t="n"/>
      <c r="DD1" s="88" t="n"/>
      <c r="DE1" s="88" t="n"/>
      <c r="DF1" s="88" t="n"/>
      <c r="DG1" s="14" t="inlineStr">
        <is>
          <t>100%</t>
        </is>
      </c>
      <c r="DH1" s="15">
        <f>SUBTOTAL(109,DH4:DH5000)</f>
        <v/>
      </c>
      <c r="DI1" s="15">
        <f>SUBTOTAL(109,DI4:DI5000)</f>
        <v/>
      </c>
      <c r="DJ1" s="16" t="n"/>
      <c r="DK1" s="16" t="n"/>
      <c r="DL1" s="16" t="n"/>
      <c r="DM1" s="16" t="n"/>
      <c r="DN1" s="16" t="n"/>
      <c r="DO1" s="16" t="n"/>
      <c r="DP1" s="17" t="inlineStr">
        <is>
          <t>Q2</t>
        </is>
      </c>
      <c r="DQ1" s="96" t="inlineStr">
        <is>
          <t>ABR</t>
        </is>
      </c>
      <c r="DR1" s="88" t="n"/>
      <c r="DS1" s="88" t="n"/>
      <c r="DT1" s="88" t="n"/>
      <c r="DU1" s="88" t="n"/>
      <c r="DV1" s="88" t="n"/>
      <c r="DW1" s="12" t="inlineStr">
        <is>
          <t>100%</t>
        </is>
      </c>
      <c r="DX1" s="18">
        <f>SUBTOTAL(109,DX4:DX5000)</f>
        <v/>
      </c>
      <c r="DY1" s="18">
        <f>SUBTOTAL(109,DY4:DY5000)</f>
        <v/>
      </c>
      <c r="DZ1" s="19" t="n"/>
      <c r="EA1" s="19" t="n"/>
      <c r="EB1" s="19" t="n"/>
      <c r="EC1" s="19" t="n"/>
      <c r="ED1" s="19" t="n"/>
      <c r="EE1" s="19" t="n"/>
      <c r="EF1" s="96" t="inlineStr">
        <is>
          <t>MAI</t>
        </is>
      </c>
      <c r="EG1" s="88" t="n"/>
      <c r="EH1" s="88" t="n"/>
      <c r="EI1" s="88" t="n"/>
      <c r="EJ1" s="88" t="n"/>
      <c r="EK1" s="88" t="n"/>
      <c r="EL1" s="12" t="inlineStr">
        <is>
          <t>100%</t>
        </is>
      </c>
      <c r="EM1" s="18">
        <f>SUBTOTAL(109,EM4:EM5000)</f>
        <v/>
      </c>
      <c r="EN1" s="18">
        <f>SUBTOTAL(109,EN4:EN5000)</f>
        <v/>
      </c>
      <c r="EO1" s="19" t="n"/>
      <c r="EP1" s="19" t="n"/>
      <c r="EQ1" s="19" t="n"/>
      <c r="ER1" s="19" t="n"/>
      <c r="ES1" s="19" t="n"/>
      <c r="ET1" s="19" t="n"/>
      <c r="EU1" s="96" t="inlineStr">
        <is>
          <t>JUN</t>
        </is>
      </c>
      <c r="EV1" s="88" t="n"/>
      <c r="EW1" s="88" t="n"/>
      <c r="EX1" s="88" t="n"/>
      <c r="EY1" s="88" t="n"/>
      <c r="EZ1" s="88" t="n"/>
      <c r="FA1" s="12" t="inlineStr">
        <is>
          <t>100%</t>
        </is>
      </c>
      <c r="FB1" s="18">
        <f>SUBTOTAL(109,FB4:FB5000)</f>
        <v/>
      </c>
      <c r="FC1" s="18">
        <f>SUBTOTAL(109,FC4:FC5000)</f>
        <v/>
      </c>
      <c r="FD1" s="19" t="n"/>
      <c r="FE1" s="19" t="n"/>
      <c r="FF1" s="19" t="n"/>
      <c r="FG1" s="19" t="n"/>
      <c r="FH1" s="19" t="n"/>
      <c r="FI1" s="19" t="n"/>
      <c r="FJ1" s="20" t="inlineStr">
        <is>
          <t>Q3</t>
        </is>
      </c>
      <c r="FK1" s="87" t="inlineStr">
        <is>
          <t>JUL</t>
        </is>
      </c>
      <c r="FL1" s="88" t="n"/>
      <c r="FM1" s="88" t="n"/>
      <c r="FN1" s="88" t="n"/>
      <c r="FO1" s="88" t="n"/>
      <c r="FP1" s="88" t="n"/>
      <c r="FQ1" s="21" t="inlineStr">
        <is>
          <t>100%</t>
        </is>
      </c>
      <c r="FR1" s="22">
        <f>SUBTOTAL(109,FR4:FR5000)</f>
        <v/>
      </c>
      <c r="FS1" s="22">
        <f>SUBTOTAL(109,FS4:FS5000)</f>
        <v/>
      </c>
      <c r="FT1" s="23" t="n"/>
      <c r="FU1" s="23" t="n"/>
      <c r="FV1" s="23" t="n"/>
      <c r="FW1" s="23" t="n"/>
      <c r="FX1" s="23" t="n"/>
      <c r="FY1" s="23" t="n"/>
      <c r="FZ1" s="87" t="inlineStr">
        <is>
          <t>AGO</t>
        </is>
      </c>
      <c r="GA1" s="88" t="n"/>
      <c r="GB1" s="88" t="n"/>
      <c r="GC1" s="88" t="n"/>
      <c r="GD1" s="88" t="n"/>
      <c r="GE1" s="88" t="n"/>
      <c r="GF1" s="21" t="inlineStr">
        <is>
          <t>100%</t>
        </is>
      </c>
      <c r="GG1" s="22">
        <f>SUBTOTAL(109,GG4:GG5000)</f>
        <v/>
      </c>
      <c r="GH1" s="22">
        <f>SUBTOTAL(109,GH4:GH5000)</f>
        <v/>
      </c>
      <c r="GI1" s="23" t="n"/>
      <c r="GJ1" s="23" t="n"/>
      <c r="GK1" s="23" t="n"/>
      <c r="GL1" s="23" t="n"/>
      <c r="GM1" s="23" t="n"/>
      <c r="GN1" s="23" t="n"/>
      <c r="GO1" s="87" t="inlineStr">
        <is>
          <t>SET</t>
        </is>
      </c>
      <c r="GP1" s="88" t="n"/>
      <c r="GQ1" s="88" t="n"/>
      <c r="GR1" s="88" t="n"/>
      <c r="GS1" s="88" t="n"/>
      <c r="GT1" s="88" t="n"/>
      <c r="GU1" s="21" t="inlineStr">
        <is>
          <t>100%</t>
        </is>
      </c>
      <c r="GV1" s="22">
        <f>SUBTOTAL(109,GV4:GV5000)</f>
        <v/>
      </c>
      <c r="GW1" s="22">
        <f>SUBTOTAL(109,GW4:GW5000)</f>
        <v/>
      </c>
      <c r="GX1" s="23" t="n"/>
      <c r="GY1" s="23" t="n"/>
      <c r="GZ1" s="23" t="n"/>
      <c r="HA1" s="23" t="n"/>
      <c r="HB1" s="23" t="n"/>
      <c r="HC1" s="23" t="n"/>
      <c r="HD1" s="24" t="inlineStr">
        <is>
          <t>Q4</t>
        </is>
      </c>
      <c r="HE1" s="92" t="inlineStr">
        <is>
          <t>OUT</t>
        </is>
      </c>
      <c r="HF1" s="88" t="n"/>
      <c r="HG1" s="88" t="n"/>
      <c r="HH1" s="88" t="n"/>
      <c r="HI1" s="88" t="n"/>
      <c r="HJ1" s="88" t="n"/>
      <c r="HK1" s="25" t="inlineStr">
        <is>
          <t>100%</t>
        </is>
      </c>
      <c r="HL1" s="26">
        <f>SUBTOTAL(109,HL4:HL5000)</f>
        <v/>
      </c>
      <c r="HM1" s="26">
        <f>SUBTOTAL(109,HM4:HM5000)</f>
        <v/>
      </c>
      <c r="HN1" s="27" t="n"/>
      <c r="HO1" s="27" t="n"/>
      <c r="HP1" s="27" t="n"/>
      <c r="HQ1" s="27" t="n"/>
      <c r="HR1" s="27" t="n"/>
      <c r="HS1" s="27" t="n"/>
      <c r="HT1" s="92" t="inlineStr">
        <is>
          <t>NOV</t>
        </is>
      </c>
      <c r="HU1" s="88" t="n"/>
      <c r="HV1" s="88" t="n"/>
      <c r="HW1" s="88" t="n"/>
      <c r="HX1" s="88" t="n"/>
      <c r="HY1" s="88" t="n"/>
      <c r="HZ1" s="25" t="inlineStr">
        <is>
          <t>100%</t>
        </is>
      </c>
      <c r="IA1" s="26">
        <f>SUBTOTAL(109,IA4:IA5000)</f>
        <v/>
      </c>
      <c r="IB1" s="26">
        <f>SUBTOTAL(109,IB4:IB5000)</f>
        <v/>
      </c>
      <c r="IC1" s="27" t="n"/>
      <c r="ID1" s="27" t="n"/>
      <c r="IE1" s="27" t="n"/>
      <c r="IF1" s="27" t="n"/>
      <c r="IG1" s="27" t="n"/>
      <c r="IH1" s="27" t="n"/>
      <c r="II1" s="92" t="inlineStr">
        <is>
          <t>DEZ</t>
        </is>
      </c>
      <c r="IJ1" s="88" t="n"/>
      <c r="IK1" s="88" t="n"/>
      <c r="IL1" s="88" t="n"/>
      <c r="IM1" s="88" t="n"/>
      <c r="IN1" s="88" t="n"/>
      <c r="IO1" s="25" t="inlineStr">
        <is>
          <t>100%</t>
        </is>
      </c>
      <c r="IP1" s="26">
        <f>SUBTOTAL(109,IP4:IP5000)</f>
        <v/>
      </c>
      <c r="IQ1" s="26">
        <f>SUBTOTAL(109,IQ4:IQ5000)</f>
        <v/>
      </c>
      <c r="IR1" s="27" t="n"/>
      <c r="IS1" s="27" t="n"/>
      <c r="IT1" s="27" t="n"/>
      <c r="IU1" s="27" t="n"/>
      <c r="IV1" s="27" t="n"/>
      <c r="IW1" s="27" t="n"/>
    </row>
    <row r="2" ht="18" customHeight="1" s="108">
      <c r="A2" s="28" t="inlineStr">
        <is>
          <t>ANCORA</t>
        </is>
      </c>
      <c r="B2" s="28" t="inlineStr">
        <is>
          <t>IDENTIDADE</t>
        </is>
      </c>
      <c r="C2" s="28" t="inlineStr">
        <is>
          <t>IDENTIDADE</t>
        </is>
      </c>
      <c r="D2" s="28" t="inlineStr">
        <is>
          <t>IDENTIDADE</t>
        </is>
      </c>
      <c r="E2" s="28" t="inlineStr">
        <is>
          <t>IDENTIDADE</t>
        </is>
      </c>
      <c r="F2" s="28" t="inlineStr">
        <is>
          <t>IDENTIDADE</t>
        </is>
      </c>
      <c r="G2" s="28" t="inlineStr">
        <is>
          <t>IDENTIDADE</t>
        </is>
      </c>
      <c r="H2" s="28" t="inlineStr">
        <is>
          <t>IDENTIDADE</t>
        </is>
      </c>
      <c r="I2" s="28" t="inlineStr">
        <is>
          <t>REDE</t>
        </is>
      </c>
      <c r="J2" s="28" t="inlineStr">
        <is>
          <t>REDE</t>
        </is>
      </c>
      <c r="K2" s="28" t="inlineStr">
        <is>
          <t>REDE</t>
        </is>
      </c>
      <c r="L2" s="28" t="inlineStr">
        <is>
          <t>EQUIPE</t>
        </is>
      </c>
      <c r="M2" s="28" t="inlineStr">
        <is>
          <t>EQUIPE</t>
        </is>
      </c>
      <c r="N2" s="28" t="inlineStr">
        <is>
          <t>STATUS</t>
        </is>
      </c>
      <c r="O2" s="28" t="inlineStr">
        <is>
          <t>STATUS</t>
        </is>
      </c>
      <c r="P2" s="28" t="inlineStr">
        <is>
          <t>COMPRA</t>
        </is>
      </c>
      <c r="Q2" s="28" t="inlineStr">
        <is>
          <t>COMPRA</t>
        </is>
      </c>
      <c r="R2" s="28" t="inlineStr">
        <is>
          <t>COMPRA</t>
        </is>
      </c>
      <c r="S2" s="28" t="inlineStr">
        <is>
          <t>ECOMMERCE</t>
        </is>
      </c>
      <c r="T2" s="28" t="inlineStr">
        <is>
          <t>ECOMMERCE</t>
        </is>
      </c>
      <c r="U2" s="28" t="inlineStr">
        <is>
          <t>ECOMMERCE</t>
        </is>
      </c>
      <c r="V2" s="28" t="inlineStr">
        <is>
          <t>ECOMMERCE</t>
        </is>
      </c>
      <c r="W2" s="28" t="inlineStr">
        <is>
          <t>ECOMMERCE</t>
        </is>
      </c>
      <c r="X2" s="28" t="inlineStr">
        <is>
          <t>ECOMMERCE</t>
        </is>
      </c>
      <c r="Y2" s="28" t="inlineStr">
        <is>
          <t>VENDAS</t>
        </is>
      </c>
      <c r="Z2" s="28" t="inlineStr">
        <is>
          <t>VENDAS</t>
        </is>
      </c>
      <c r="AA2" s="28" t="inlineStr">
        <is>
          <t>VENDAS</t>
        </is>
      </c>
      <c r="AB2" s="28" t="inlineStr">
        <is>
          <t>VENDAS</t>
        </is>
      </c>
      <c r="AC2" s="28" t="inlineStr">
        <is>
          <t>VENDAS</t>
        </is>
      </c>
      <c r="AD2" s="28" t="inlineStr">
        <is>
          <t>VENDAS</t>
        </is>
      </c>
      <c r="AE2" s="28" t="inlineStr">
        <is>
          <t>VENDAS</t>
        </is>
      </c>
      <c r="AF2" s="28" t="inlineStr">
        <is>
          <t>VENDAS</t>
        </is>
      </c>
      <c r="AG2" s="28" t="inlineStr">
        <is>
          <t>VENDAS</t>
        </is>
      </c>
      <c r="AH2" s="28" t="inlineStr">
        <is>
          <t>VENDAS</t>
        </is>
      </c>
      <c r="AI2" s="28" t="inlineStr">
        <is>
          <t>VENDAS</t>
        </is>
      </c>
      <c r="AJ2" s="28" t="inlineStr">
        <is>
          <t>VENDAS</t>
        </is>
      </c>
      <c r="AK2" s="28" t="inlineStr">
        <is>
          <t>RECORRÊNCIA</t>
        </is>
      </c>
      <c r="AL2" s="28" t="inlineStr">
        <is>
          <t>RECORRÊNCIA</t>
        </is>
      </c>
      <c r="AM2" s="28" t="inlineStr">
        <is>
          <t>RECORRÊNCIA</t>
        </is>
      </c>
      <c r="AN2" s="28" t="inlineStr">
        <is>
          <t>RECORRÊNCIA</t>
        </is>
      </c>
      <c r="AO2" s="28" t="inlineStr">
        <is>
          <t>RECORRÊNCIA</t>
        </is>
      </c>
      <c r="AP2" s="28" t="inlineStr">
        <is>
          <t>RECORRÊNCIA</t>
        </is>
      </c>
      <c r="AQ2" s="28" t="inlineStr">
        <is>
          <t>RECORRÊNCIA</t>
        </is>
      </c>
      <c r="AR2" s="29" t="inlineStr">
        <is>
          <t>ANCORA</t>
        </is>
      </c>
      <c r="AS2" s="29" t="inlineStr">
        <is>
          <t>PIPELINE</t>
        </is>
      </c>
      <c r="AT2" s="29" t="inlineStr">
        <is>
          <t>PIPELINE</t>
        </is>
      </c>
      <c r="AU2" s="29" t="inlineStr">
        <is>
          <t>PIPELINE</t>
        </is>
      </c>
      <c r="AV2" s="29" t="inlineStr">
        <is>
          <t>PIPELINE</t>
        </is>
      </c>
      <c r="AW2" s="29" t="inlineStr">
        <is>
          <t>PERFIL</t>
        </is>
      </c>
      <c r="AX2" s="29" t="inlineStr">
        <is>
          <t>PERFIL</t>
        </is>
      </c>
      <c r="AY2" s="29" t="inlineStr">
        <is>
          <t>MATURIDADE</t>
        </is>
      </c>
      <c r="AZ2" s="29" t="inlineStr">
        <is>
          <t>MATURIDADE</t>
        </is>
      </c>
      <c r="BA2" s="29" t="inlineStr">
        <is>
          <t>CONVERSÃO</t>
        </is>
      </c>
      <c r="BB2" s="29" t="inlineStr">
        <is>
          <t>CONVERSÃO</t>
        </is>
      </c>
      <c r="BC2" s="29" t="inlineStr">
        <is>
          <t>CONVERSÃO</t>
        </is>
      </c>
      <c r="BD2" s="29" t="inlineStr">
        <is>
          <t>CONVERSÃO</t>
        </is>
      </c>
      <c r="BE2" s="29" t="inlineStr">
        <is>
          <t>CONVERSÃO</t>
        </is>
      </c>
      <c r="BF2" s="29" t="inlineStr">
        <is>
          <t>CONVERSÃO</t>
        </is>
      </c>
      <c r="BG2" s="29" t="inlineStr">
        <is>
          <t>AÇÃO</t>
        </is>
      </c>
      <c r="BH2" s="29" t="inlineStr">
        <is>
          <t>AÇÃO</t>
        </is>
      </c>
      <c r="BI2" s="29" t="inlineStr">
        <is>
          <t>SINAL</t>
        </is>
      </c>
      <c r="BJ2" s="30" t="inlineStr">
        <is>
          <t>DADOS SAP</t>
        </is>
      </c>
      <c r="BK2" s="30" t="inlineStr">
        <is>
          <t>SAP</t>
        </is>
      </c>
      <c r="BL2" s="30" t="inlineStr">
        <is>
          <t>SAP</t>
        </is>
      </c>
      <c r="BM2" s="30" t="inlineStr">
        <is>
          <t>SAP</t>
        </is>
      </c>
      <c r="BN2" s="30" t="inlineStr">
        <is>
          <t>SAP</t>
        </is>
      </c>
      <c r="BO2" s="30" t="inlineStr">
        <is>
          <t>SAP</t>
        </is>
      </c>
      <c r="BP2" s="30" t="inlineStr">
        <is>
          <t>SAP</t>
        </is>
      </c>
      <c r="BQ2" s="30" t="inlineStr">
        <is>
          <t>SAP</t>
        </is>
      </c>
      <c r="BR2" s="30" t="inlineStr">
        <is>
          <t>SAP</t>
        </is>
      </c>
      <c r="BS2" s="30" t="inlineStr">
        <is>
          <t>SAP</t>
        </is>
      </c>
      <c r="BT2" s="30" t="inlineStr">
        <is>
          <t>SAP</t>
        </is>
      </c>
      <c r="BU2" s="5" t="n"/>
      <c r="BV2" s="31" t="n"/>
      <c r="BW2" s="91" t="inlineStr">
        <is>
          <t>YTD</t>
        </is>
      </c>
      <c r="BX2" s="88" t="n"/>
      <c r="BY2" s="88" t="n"/>
      <c r="BZ2" s="91" t="inlineStr">
        <is>
          <t>TRI</t>
        </is>
      </c>
      <c r="CA2" s="88" t="n"/>
      <c r="CB2" s="88" t="n"/>
      <c r="CC2" s="14" t="inlineStr">
        <is>
          <t>MÊS</t>
        </is>
      </c>
      <c r="CD2" s="16" t="n"/>
      <c r="CE2" s="16" t="n"/>
      <c r="CF2" s="16" t="n"/>
      <c r="CG2" s="16" t="n"/>
      <c r="CH2" s="16" t="n"/>
      <c r="CI2" s="16" t="n"/>
      <c r="CJ2" s="16" t="n"/>
      <c r="CK2" s="16" t="n"/>
      <c r="CL2" s="91" t="inlineStr">
        <is>
          <t>YTD</t>
        </is>
      </c>
      <c r="CM2" s="88" t="n"/>
      <c r="CN2" s="88" t="n"/>
      <c r="CO2" s="91" t="inlineStr">
        <is>
          <t>TRI</t>
        </is>
      </c>
      <c r="CP2" s="88" t="n"/>
      <c r="CQ2" s="88" t="n"/>
      <c r="CR2" s="14" t="inlineStr">
        <is>
          <t>MÊS</t>
        </is>
      </c>
      <c r="CS2" s="16" t="n"/>
      <c r="CT2" s="16" t="n"/>
      <c r="CU2" s="16" t="n"/>
      <c r="CV2" s="16" t="n"/>
      <c r="CW2" s="16" t="n"/>
      <c r="CX2" s="16" t="n"/>
      <c r="CY2" s="16" t="n"/>
      <c r="CZ2" s="16" t="n"/>
      <c r="DA2" s="91" t="inlineStr">
        <is>
          <t>YTD</t>
        </is>
      </c>
      <c r="DB2" s="88" t="n"/>
      <c r="DC2" s="88" t="n"/>
      <c r="DD2" s="91" t="inlineStr">
        <is>
          <t>TRI</t>
        </is>
      </c>
      <c r="DE2" s="88" t="n"/>
      <c r="DF2" s="88" t="n"/>
      <c r="DG2" s="14" t="inlineStr">
        <is>
          <t>MÊS</t>
        </is>
      </c>
      <c r="DH2" s="16" t="n"/>
      <c r="DI2" s="16" t="n"/>
      <c r="DJ2" s="16" t="n"/>
      <c r="DK2" s="16" t="n"/>
      <c r="DL2" s="16" t="n"/>
      <c r="DM2" s="16" t="n"/>
      <c r="DN2" s="16" t="n"/>
      <c r="DO2" s="16" t="n"/>
      <c r="DP2" s="32" t="n"/>
      <c r="DQ2" s="94" t="inlineStr">
        <is>
          <t>YTD</t>
        </is>
      </c>
      <c r="DR2" s="88" t="n"/>
      <c r="DS2" s="88" t="n"/>
      <c r="DT2" s="94" t="inlineStr">
        <is>
          <t>TRI</t>
        </is>
      </c>
      <c r="DU2" s="88" t="n"/>
      <c r="DV2" s="88" t="n"/>
      <c r="DW2" s="12" t="inlineStr">
        <is>
          <t>MÊS</t>
        </is>
      </c>
      <c r="DX2" s="19" t="n"/>
      <c r="DY2" s="19" t="n"/>
      <c r="DZ2" s="19" t="n"/>
      <c r="EA2" s="19" t="n"/>
      <c r="EB2" s="19" t="n"/>
      <c r="EC2" s="19" t="n"/>
      <c r="ED2" s="19" t="n"/>
      <c r="EE2" s="19" t="n"/>
      <c r="EF2" s="94" t="inlineStr">
        <is>
          <t>YTD</t>
        </is>
      </c>
      <c r="EG2" s="88" t="n"/>
      <c r="EH2" s="88" t="n"/>
      <c r="EI2" s="94" t="inlineStr">
        <is>
          <t>TRI</t>
        </is>
      </c>
      <c r="EJ2" s="88" t="n"/>
      <c r="EK2" s="88" t="n"/>
      <c r="EL2" s="12" t="inlineStr">
        <is>
          <t>MÊS</t>
        </is>
      </c>
      <c r="EM2" s="19" t="n"/>
      <c r="EN2" s="19" t="n"/>
      <c r="EO2" s="19" t="n"/>
      <c r="EP2" s="19" t="n"/>
      <c r="EQ2" s="19" t="n"/>
      <c r="ER2" s="19" t="n"/>
      <c r="ES2" s="19" t="n"/>
      <c r="ET2" s="19" t="n"/>
      <c r="EU2" s="94" t="inlineStr">
        <is>
          <t>YTD</t>
        </is>
      </c>
      <c r="EV2" s="88" t="n"/>
      <c r="EW2" s="88" t="n"/>
      <c r="EX2" s="94" t="inlineStr">
        <is>
          <t>TRI</t>
        </is>
      </c>
      <c r="EY2" s="88" t="n"/>
      <c r="EZ2" s="88" t="n"/>
      <c r="FA2" s="12" t="inlineStr">
        <is>
          <t>MÊS</t>
        </is>
      </c>
      <c r="FB2" s="19" t="n"/>
      <c r="FC2" s="19" t="n"/>
      <c r="FD2" s="19" t="n"/>
      <c r="FE2" s="19" t="n"/>
      <c r="FF2" s="19" t="n"/>
      <c r="FG2" s="19" t="n"/>
      <c r="FH2" s="19" t="n"/>
      <c r="FI2" s="19" t="n"/>
      <c r="FJ2" s="33" t="n"/>
      <c r="FK2" s="89" t="inlineStr">
        <is>
          <t>YTD</t>
        </is>
      </c>
      <c r="FL2" s="88" t="n"/>
      <c r="FM2" s="88" t="n"/>
      <c r="FN2" s="89" t="inlineStr">
        <is>
          <t>TRI</t>
        </is>
      </c>
      <c r="FO2" s="88" t="n"/>
      <c r="FP2" s="88" t="n"/>
      <c r="FQ2" s="21" t="inlineStr">
        <is>
          <t>MÊS</t>
        </is>
      </c>
      <c r="FR2" s="23" t="n"/>
      <c r="FS2" s="23" t="n"/>
      <c r="FT2" s="23" t="n"/>
      <c r="FU2" s="23" t="n"/>
      <c r="FV2" s="23" t="n"/>
      <c r="FW2" s="23" t="n"/>
      <c r="FX2" s="23" t="n"/>
      <c r="FY2" s="23" t="n"/>
      <c r="FZ2" s="89" t="inlineStr">
        <is>
          <t>YTD</t>
        </is>
      </c>
      <c r="GA2" s="88" t="n"/>
      <c r="GB2" s="88" t="n"/>
      <c r="GC2" s="89" t="inlineStr">
        <is>
          <t>TRI</t>
        </is>
      </c>
      <c r="GD2" s="88" t="n"/>
      <c r="GE2" s="88" t="n"/>
      <c r="GF2" s="21" t="inlineStr">
        <is>
          <t>MÊS</t>
        </is>
      </c>
      <c r="GG2" s="23" t="n"/>
      <c r="GH2" s="23" t="n"/>
      <c r="GI2" s="23" t="n"/>
      <c r="GJ2" s="23" t="n"/>
      <c r="GK2" s="23" t="n"/>
      <c r="GL2" s="23" t="n"/>
      <c r="GM2" s="23" t="n"/>
      <c r="GN2" s="23" t="n"/>
      <c r="GO2" s="89" t="inlineStr">
        <is>
          <t>YTD</t>
        </is>
      </c>
      <c r="GP2" s="88" t="n"/>
      <c r="GQ2" s="88" t="n"/>
      <c r="GR2" s="89" t="inlineStr">
        <is>
          <t>TRI</t>
        </is>
      </c>
      <c r="GS2" s="88" t="n"/>
      <c r="GT2" s="88" t="n"/>
      <c r="GU2" s="21" t="inlineStr">
        <is>
          <t>MÊS</t>
        </is>
      </c>
      <c r="GV2" s="23" t="n"/>
      <c r="GW2" s="23" t="n"/>
      <c r="GX2" s="23" t="n"/>
      <c r="GY2" s="23" t="n"/>
      <c r="GZ2" s="23" t="n"/>
      <c r="HA2" s="23" t="n"/>
      <c r="HB2" s="23" t="n"/>
      <c r="HC2" s="23" t="n"/>
      <c r="HD2" s="34" t="n"/>
      <c r="HE2" s="90" t="inlineStr">
        <is>
          <t>YTD</t>
        </is>
      </c>
      <c r="HF2" s="88" t="n"/>
      <c r="HG2" s="88" t="n"/>
      <c r="HH2" s="90" t="inlineStr">
        <is>
          <t>TRI</t>
        </is>
      </c>
      <c r="HI2" s="88" t="n"/>
      <c r="HJ2" s="88" t="n"/>
      <c r="HK2" s="25" t="inlineStr">
        <is>
          <t>MÊS</t>
        </is>
      </c>
      <c r="HL2" s="27" t="n"/>
      <c r="HM2" s="27" t="n"/>
      <c r="HN2" s="27" t="n"/>
      <c r="HO2" s="27" t="n"/>
      <c r="HP2" s="27" t="n"/>
      <c r="HQ2" s="27" t="n"/>
      <c r="HR2" s="27" t="n"/>
      <c r="HS2" s="27" t="n"/>
      <c r="HT2" s="90" t="inlineStr">
        <is>
          <t>YTD</t>
        </is>
      </c>
      <c r="HU2" s="88" t="n"/>
      <c r="HV2" s="88" t="n"/>
      <c r="HW2" s="90" t="inlineStr">
        <is>
          <t>TRI</t>
        </is>
      </c>
      <c r="HX2" s="88" t="n"/>
      <c r="HY2" s="88" t="n"/>
      <c r="HZ2" s="25" t="inlineStr">
        <is>
          <t>MÊS</t>
        </is>
      </c>
      <c r="IA2" s="27" t="n"/>
      <c r="IB2" s="27" t="n"/>
      <c r="IC2" s="27" t="n"/>
      <c r="ID2" s="27" t="n"/>
      <c r="IE2" s="27" t="n"/>
      <c r="IF2" s="27" t="n"/>
      <c r="IG2" s="27" t="n"/>
      <c r="IH2" s="27" t="n"/>
      <c r="II2" s="90" t="inlineStr">
        <is>
          <t>YTD</t>
        </is>
      </c>
      <c r="IJ2" s="88" t="n"/>
      <c r="IK2" s="88" t="n"/>
      <c r="IL2" s="90" t="inlineStr">
        <is>
          <t>TRI</t>
        </is>
      </c>
      <c r="IM2" s="88" t="n"/>
      <c r="IN2" s="88" t="n"/>
      <c r="IO2" s="25" t="inlineStr">
        <is>
          <t>MÊS</t>
        </is>
      </c>
      <c r="IP2" s="27" t="n"/>
      <c r="IQ2" s="27" t="n"/>
      <c r="IR2" s="27" t="n"/>
      <c r="IS2" s="27" t="n"/>
      <c r="IT2" s="27" t="n"/>
      <c r="IU2" s="27" t="n"/>
      <c r="IV2" s="27" t="n"/>
      <c r="IW2" s="27" t="n"/>
    </row>
    <row r="3" ht="31.5" customHeight="1" s="108">
      <c r="A3" s="35" t="inlineStr">
        <is>
          <t>NOME FANTASIA</t>
        </is>
      </c>
      <c r="B3" s="36" t="inlineStr">
        <is>
          <t>CNPJ</t>
        </is>
      </c>
      <c r="C3" s="36" t="inlineStr">
        <is>
          <t>RAZÃO SOCIAL</t>
        </is>
      </c>
      <c r="D3" s="36" t="inlineStr">
        <is>
          <t>UF</t>
        </is>
      </c>
      <c r="E3" s="36" t="inlineStr">
        <is>
          <t>CIDADE</t>
        </is>
      </c>
      <c r="F3" s="36" t="inlineStr">
        <is>
          <t>EMAIL</t>
        </is>
      </c>
      <c r="G3" s="36" t="inlineStr">
        <is>
          <t>TELEFONE</t>
        </is>
      </c>
      <c r="H3" s="36" t="inlineStr">
        <is>
          <t>DATA CADASTRO</t>
        </is>
      </c>
      <c r="I3" s="35" t="inlineStr">
        <is>
          <t>REDE / REGIONAL</t>
        </is>
      </c>
      <c r="J3" s="36" t="n"/>
      <c r="K3" s="36" t="inlineStr">
        <is>
          <t>ÚLT. REGISTRO MERCOS</t>
        </is>
      </c>
      <c r="L3" s="35" t="inlineStr">
        <is>
          <t>CONSULTOR</t>
        </is>
      </c>
      <c r="M3" s="36" t="inlineStr">
        <is>
          <t>VENDEDOR ÚLTIMO PEDIDO</t>
        </is>
      </c>
      <c r="N3" s="35" t="inlineStr">
        <is>
          <t>SITUAÇÃO</t>
        </is>
      </c>
      <c r="O3" s="36" t="inlineStr">
        <is>
          <t>PRIORIDADE</t>
        </is>
      </c>
      <c r="P3" s="35" t="inlineStr">
        <is>
          <t>DIAS SEM COMPRA</t>
        </is>
      </c>
      <c r="Q3" s="36" t="inlineStr">
        <is>
          <t>DATA ÚLTIMO PEDIDO</t>
        </is>
      </c>
      <c r="R3" s="36" t="inlineStr">
        <is>
          <t>VALOR ÚLTIMO PEDIDO</t>
        </is>
      </c>
      <c r="S3" s="35" t="inlineStr">
        <is>
          <t>📊 ACESSOS SEMANA</t>
        </is>
      </c>
      <c r="T3" s="36" t="inlineStr">
        <is>
          <t>ACESSO B2B</t>
        </is>
      </c>
      <c r="U3" s="36" t="inlineStr">
        <is>
          <t>ACESSOS PORTAL</t>
        </is>
      </c>
      <c r="V3" s="36" t="inlineStr">
        <is>
          <t>ITENS CARRINHO</t>
        </is>
      </c>
      <c r="W3" s="36" t="inlineStr">
        <is>
          <t>VALOR B2B</t>
        </is>
      </c>
      <c r="X3" s="36" t="inlineStr">
        <is>
          <t>OPORTUNIDADE</t>
        </is>
      </c>
      <c r="Y3" s="35" t="inlineStr">
        <is>
          <t>TOTAL PERÍODO</t>
        </is>
      </c>
      <c r="Z3" s="36" t="inlineStr">
        <is>
          <t>MAR/25</t>
        </is>
      </c>
      <c r="AA3" s="36" t="inlineStr">
        <is>
          <t>ABR/25</t>
        </is>
      </c>
      <c r="AB3" s="36" t="inlineStr">
        <is>
          <t>MAI/25</t>
        </is>
      </c>
      <c r="AC3" s="36" t="inlineStr">
        <is>
          <t>JUN/25</t>
        </is>
      </c>
      <c r="AD3" s="36" t="inlineStr">
        <is>
          <t>JUL/25</t>
        </is>
      </c>
      <c r="AE3" s="36" t="inlineStr">
        <is>
          <t>AGO/25</t>
        </is>
      </c>
      <c r="AF3" s="36" t="inlineStr">
        <is>
          <t>SET/25</t>
        </is>
      </c>
      <c r="AG3" s="36" t="inlineStr">
        <is>
          <t>OUT/25</t>
        </is>
      </c>
      <c r="AH3" s="36" t="inlineStr">
        <is>
          <t>NOV/25</t>
        </is>
      </c>
      <c r="AI3" s="36" t="inlineStr">
        <is>
          <t>DEZ/25</t>
        </is>
      </c>
      <c r="AJ3" s="36" t="inlineStr">
        <is>
          <t>JAN/26</t>
        </is>
      </c>
      <c r="AK3" s="35" t="inlineStr">
        <is>
          <t>CICLO MÉDIO</t>
        </is>
      </c>
      <c r="AL3" s="36" t="inlineStr">
        <is>
          <t>Nº COMPRAS</t>
        </is>
      </c>
      <c r="AM3" s="36" t="inlineStr">
        <is>
          <t>CURVA ABC</t>
        </is>
      </c>
      <c r="AN3" s="36" t="inlineStr">
        <is>
          <t>MESES POSITIVADO</t>
        </is>
      </c>
      <c r="AO3" s="36" t="inlineStr">
        <is>
          <t>MÉDIA MENSAL</t>
        </is>
      </c>
      <c r="AP3" s="36" t="inlineStr">
        <is>
          <t>TICKET MÉDIO</t>
        </is>
      </c>
      <c r="AQ3" s="36" t="inlineStr">
        <is>
          <t>MESES LISTA</t>
        </is>
      </c>
      <c r="AR3" s="37" t="inlineStr">
        <is>
          <t>ESTÁGIO FUNIL</t>
        </is>
      </c>
      <c r="AS3" s="38" t="inlineStr">
        <is>
          <t>PRÓX. FOLLOW-UP</t>
        </is>
      </c>
      <c r="AT3" s="38" t="inlineStr">
        <is>
          <t>DATA ÚLT.ATENDIMENTO</t>
        </is>
      </c>
      <c r="AU3" s="38" t="inlineStr">
        <is>
          <t>ÚLTIMO RESULTADO</t>
        </is>
      </c>
      <c r="AV3" s="38" t="inlineStr">
        <is>
          <t>MOTIVO</t>
        </is>
      </c>
      <c r="AW3" s="37" t="inlineStr">
        <is>
          <t>TIPO CLIENTE</t>
        </is>
      </c>
      <c r="AX3" s="38" t="inlineStr">
        <is>
          <t>TENTATIVA</t>
        </is>
      </c>
      <c r="AY3" s="37" t="inlineStr">
        <is>
          <t>FASE</t>
        </is>
      </c>
      <c r="AZ3" s="38" t="inlineStr">
        <is>
          <t>ÚLTIMA RECOMPRA</t>
        </is>
      </c>
      <c r="BA3" s="37" t="inlineStr">
        <is>
          <t>🔥 TEMPERATURA</t>
        </is>
      </c>
      <c r="BB3" s="38" t="inlineStr">
        <is>
          <t>DIAS ATÉ CONVERSÃO</t>
        </is>
      </c>
      <c r="BC3" s="38" t="inlineStr">
        <is>
          <t>DATA 1º CONTATO</t>
        </is>
      </c>
      <c r="BD3" s="38" t="inlineStr">
        <is>
          <t>DATA 1º ORÇAMENTO</t>
        </is>
      </c>
      <c r="BE3" s="38" t="inlineStr">
        <is>
          <t>DATA 1ª VENDA</t>
        </is>
      </c>
      <c r="BF3" s="38" t="inlineStr">
        <is>
          <t>TOTAL TENTATIVAS</t>
        </is>
      </c>
      <c r="BG3" s="37" t="inlineStr">
        <is>
          <t>PRÓX. AÇÃO</t>
        </is>
      </c>
      <c r="BH3" s="38" t="inlineStr">
        <is>
          <t>AÇÃO DETALHADA</t>
        </is>
      </c>
      <c r="BI3" s="37" t="inlineStr">
        <is>
          <t>🚦 SINALEIRO</t>
        </is>
      </c>
      <c r="BJ3" s="39" t="inlineStr">
        <is>
          <t>CÓDIGO DO CLIENTE</t>
        </is>
      </c>
      <c r="BK3" s="39" t="inlineStr">
        <is>
          <t>DESCRIÇÃO GRUPO CLIENTE</t>
        </is>
      </c>
      <c r="BL3" s="39" t="inlineStr">
        <is>
          <t>ZP NOME GERENTE NACIONAL</t>
        </is>
      </c>
      <c r="BM3" s="39" t="inlineStr">
        <is>
          <t>ZR NOME REPRESENTANTE</t>
        </is>
      </c>
      <c r="BN3" s="39" t="inlineStr">
        <is>
          <t>ZV NOME VEND. INTERNO</t>
        </is>
      </c>
      <c r="BO3" s="39" t="inlineStr">
        <is>
          <t>01 NOME DO CANAL</t>
        </is>
      </c>
      <c r="BP3" s="39" t="inlineStr">
        <is>
          <t>02 NOME TIPO CLIENTE</t>
        </is>
      </c>
      <c r="BQ3" s="39" t="inlineStr">
        <is>
          <t>03 NOME MACROREGIÃO</t>
        </is>
      </c>
      <c r="BR3" s="39" t="inlineStr">
        <is>
          <t>04 NOME MICROREGIÃO</t>
        </is>
      </c>
      <c r="BS3" s="39" t="inlineStr">
        <is>
          <t>06 NOME GRUPO CHAVE</t>
        </is>
      </c>
      <c r="BT3" s="39" t="inlineStr">
        <is>
          <t>VENDA</t>
        </is>
      </c>
      <c r="BU3" s="40" t="inlineStr">
        <is>
          <t>% ATING.</t>
        </is>
      </c>
      <c r="BV3" s="41" t="inlineStr">
        <is>
          <t>% Q1</t>
        </is>
      </c>
      <c r="BW3" s="41" t="inlineStr">
        <is>
          <t>% YTD</t>
        </is>
      </c>
      <c r="BX3" s="41" t="inlineStr">
        <is>
          <t>META</t>
        </is>
      </c>
      <c r="BY3" s="41" t="inlineStr">
        <is>
          <t>REALIZADO</t>
        </is>
      </c>
      <c r="BZ3" s="41" t="inlineStr">
        <is>
          <t>% TRI</t>
        </is>
      </c>
      <c r="CA3" s="41" t="inlineStr">
        <is>
          <t>META</t>
        </is>
      </c>
      <c r="CB3" s="41" t="inlineStr">
        <is>
          <t>REALIZADO</t>
        </is>
      </c>
      <c r="CC3" s="41" t="inlineStr">
        <is>
          <t>% MÊS</t>
        </is>
      </c>
      <c r="CD3" s="41" t="inlineStr">
        <is>
          <t>META</t>
        </is>
      </c>
      <c r="CE3" s="41" t="inlineStr">
        <is>
          <t>REALIZADO</t>
        </is>
      </c>
      <c r="CF3" s="41" t="inlineStr">
        <is>
          <t>DATA PEDIDO</t>
        </is>
      </c>
      <c r="CG3" s="41" t="inlineStr">
        <is>
          <t>JUSTIFICATIVA SEMANA 1</t>
        </is>
      </c>
      <c r="CH3" s="41" t="inlineStr">
        <is>
          <t>JUSTIFICATIVA SEMANA 2</t>
        </is>
      </c>
      <c r="CI3" s="41" t="inlineStr">
        <is>
          <t>JUSTIFICATIVA SEMANA 3</t>
        </is>
      </c>
      <c r="CJ3" s="41" t="inlineStr">
        <is>
          <t>JUSTIFICATIVA SEMANA 4</t>
        </is>
      </c>
      <c r="CK3" s="41" t="inlineStr">
        <is>
          <t>JUSTIFICATIVA MENSAL</t>
        </is>
      </c>
      <c r="CL3" s="41" t="inlineStr">
        <is>
          <t>% YTD</t>
        </is>
      </c>
      <c r="CM3" s="41" t="inlineStr">
        <is>
          <t>META</t>
        </is>
      </c>
      <c r="CN3" s="41" t="inlineStr">
        <is>
          <t>REALIZADO</t>
        </is>
      </c>
      <c r="CO3" s="41" t="inlineStr">
        <is>
          <t>% TRI</t>
        </is>
      </c>
      <c r="CP3" s="41" t="inlineStr">
        <is>
          <t>META</t>
        </is>
      </c>
      <c r="CQ3" s="41" t="inlineStr">
        <is>
          <t>REALIZADO</t>
        </is>
      </c>
      <c r="CR3" s="41" t="inlineStr">
        <is>
          <t>% MÊS</t>
        </is>
      </c>
      <c r="CS3" s="41" t="inlineStr">
        <is>
          <t>META</t>
        </is>
      </c>
      <c r="CT3" s="41" t="inlineStr">
        <is>
          <t>REALIZADO</t>
        </is>
      </c>
      <c r="CU3" s="41" t="inlineStr">
        <is>
          <t>DATA PEDIDO</t>
        </is>
      </c>
      <c r="CV3" s="41" t="inlineStr">
        <is>
          <t>JUSTIFICATIVA SEMANA 1</t>
        </is>
      </c>
      <c r="CW3" s="41" t="inlineStr">
        <is>
          <t>JUSTIFICATIVA SEMANA 2</t>
        </is>
      </c>
      <c r="CX3" s="41" t="inlineStr">
        <is>
          <t>JUSTIFICATIVA SEMANA 3</t>
        </is>
      </c>
      <c r="CY3" s="41" t="inlineStr">
        <is>
          <t>JUSTIFICATIVA SEMANA 4</t>
        </is>
      </c>
      <c r="CZ3" s="41" t="inlineStr">
        <is>
          <t>JUSTIFICATIVA MENSAL</t>
        </is>
      </c>
      <c r="DA3" s="41" t="inlineStr">
        <is>
          <t>% YTD</t>
        </is>
      </c>
      <c r="DB3" s="41" t="inlineStr">
        <is>
          <t>META</t>
        </is>
      </c>
      <c r="DC3" s="41" t="inlineStr">
        <is>
          <t>REALIZADO</t>
        </is>
      </c>
      <c r="DD3" s="41" t="inlineStr">
        <is>
          <t>% TRI</t>
        </is>
      </c>
      <c r="DE3" s="41" t="inlineStr">
        <is>
          <t>META</t>
        </is>
      </c>
      <c r="DF3" s="41" t="inlineStr">
        <is>
          <t>REALIZADO</t>
        </is>
      </c>
      <c r="DG3" s="41" t="inlineStr">
        <is>
          <t>% MÊS</t>
        </is>
      </c>
      <c r="DH3" s="41" t="inlineStr">
        <is>
          <t>META</t>
        </is>
      </c>
      <c r="DI3" s="41" t="inlineStr">
        <is>
          <t>REALIZADO</t>
        </is>
      </c>
      <c r="DJ3" s="41" t="inlineStr">
        <is>
          <t>DATA PEDIDO</t>
        </is>
      </c>
      <c r="DK3" s="41" t="inlineStr">
        <is>
          <t>JUSTIFICATIVA SEMANA 1</t>
        </is>
      </c>
      <c r="DL3" s="41" t="inlineStr">
        <is>
          <t>JUSTIFICATIVA SEMANA 2</t>
        </is>
      </c>
      <c r="DM3" s="41" t="inlineStr">
        <is>
          <t>JUSTIFICATIVA SEMANA 3</t>
        </is>
      </c>
      <c r="DN3" s="41" t="inlineStr">
        <is>
          <t>JUSTIFICATIVA SEMANA 4</t>
        </is>
      </c>
      <c r="DO3" s="41" t="inlineStr">
        <is>
          <t>JUSTIFICATIVA MENSAL</t>
        </is>
      </c>
      <c r="DP3" s="40" t="inlineStr">
        <is>
          <t>% Q2</t>
        </is>
      </c>
      <c r="DQ3" s="40" t="inlineStr">
        <is>
          <t>% YTD</t>
        </is>
      </c>
      <c r="DR3" s="40" t="inlineStr">
        <is>
          <t>META</t>
        </is>
      </c>
      <c r="DS3" s="40" t="inlineStr">
        <is>
          <t>REALIZADO</t>
        </is>
      </c>
      <c r="DT3" s="40" t="inlineStr">
        <is>
          <t>% TRI</t>
        </is>
      </c>
      <c r="DU3" s="40" t="inlineStr">
        <is>
          <t>META</t>
        </is>
      </c>
      <c r="DV3" s="40" t="inlineStr">
        <is>
          <t>REALIZADO</t>
        </is>
      </c>
      <c r="DW3" s="40" t="inlineStr">
        <is>
          <t>% MÊS</t>
        </is>
      </c>
      <c r="DX3" s="40" t="inlineStr">
        <is>
          <t>META</t>
        </is>
      </c>
      <c r="DY3" s="40" t="inlineStr">
        <is>
          <t>REALIZADO</t>
        </is>
      </c>
      <c r="DZ3" s="40" t="inlineStr">
        <is>
          <t>DATA PEDIDO</t>
        </is>
      </c>
      <c r="EA3" s="40" t="inlineStr">
        <is>
          <t>JUSTIFICATIVA SEMANA 1</t>
        </is>
      </c>
      <c r="EB3" s="40" t="inlineStr">
        <is>
          <t>JUSTIFICATIVA SEMANA 2</t>
        </is>
      </c>
      <c r="EC3" s="40" t="inlineStr">
        <is>
          <t>JUSTIFICATIVA SEMANA 3</t>
        </is>
      </c>
      <c r="ED3" s="40" t="inlineStr">
        <is>
          <t>JUSTIFICATIVA SEMANA 4</t>
        </is>
      </c>
      <c r="EE3" s="40" t="inlineStr">
        <is>
          <t>JUSTIFICATIVA MENSAL</t>
        </is>
      </c>
      <c r="EF3" s="40" t="inlineStr">
        <is>
          <t>% YTD</t>
        </is>
      </c>
      <c r="EG3" s="40" t="inlineStr">
        <is>
          <t>META</t>
        </is>
      </c>
      <c r="EH3" s="40" t="inlineStr">
        <is>
          <t>REALIZADO</t>
        </is>
      </c>
      <c r="EI3" s="40" t="inlineStr">
        <is>
          <t>% TRI</t>
        </is>
      </c>
      <c r="EJ3" s="40" t="inlineStr">
        <is>
          <t>META</t>
        </is>
      </c>
      <c r="EK3" s="40" t="inlineStr">
        <is>
          <t>REALIZADO</t>
        </is>
      </c>
      <c r="EL3" s="40" t="inlineStr">
        <is>
          <t>% MÊS</t>
        </is>
      </c>
      <c r="EM3" s="40" t="inlineStr">
        <is>
          <t>META</t>
        </is>
      </c>
      <c r="EN3" s="40" t="inlineStr">
        <is>
          <t>REALIZADO</t>
        </is>
      </c>
      <c r="EO3" s="40" t="inlineStr">
        <is>
          <t>DATA PEDIDO</t>
        </is>
      </c>
      <c r="EP3" s="40" t="inlineStr">
        <is>
          <t>JUSTIFICATIVA SEMANA 1</t>
        </is>
      </c>
      <c r="EQ3" s="40" t="inlineStr">
        <is>
          <t>JUSTIFICATIVA SEMANA 2</t>
        </is>
      </c>
      <c r="ER3" s="40" t="inlineStr">
        <is>
          <t>JUSTIFICATIVA SEMANA 3</t>
        </is>
      </c>
      <c r="ES3" s="40" t="inlineStr">
        <is>
          <t>JUSTIFICATIVA SEMANA 4</t>
        </is>
      </c>
      <c r="ET3" s="40" t="inlineStr">
        <is>
          <t>JUSTIFICATIVA MENSAL</t>
        </is>
      </c>
      <c r="EU3" s="40" t="inlineStr">
        <is>
          <t>% YTD</t>
        </is>
      </c>
      <c r="EV3" s="40" t="inlineStr">
        <is>
          <t>META</t>
        </is>
      </c>
      <c r="EW3" s="40" t="inlineStr">
        <is>
          <t>REALIZADO</t>
        </is>
      </c>
      <c r="EX3" s="40" t="inlineStr">
        <is>
          <t>% TRI</t>
        </is>
      </c>
      <c r="EY3" s="40" t="inlineStr">
        <is>
          <t>META</t>
        </is>
      </c>
      <c r="EZ3" s="40" t="inlineStr">
        <is>
          <t>REALIZADO</t>
        </is>
      </c>
      <c r="FA3" s="40" t="inlineStr">
        <is>
          <t>% MÊS</t>
        </is>
      </c>
      <c r="FB3" s="40" t="inlineStr">
        <is>
          <t>META</t>
        </is>
      </c>
      <c r="FC3" s="40" t="inlineStr">
        <is>
          <t>REALIZADO</t>
        </is>
      </c>
      <c r="FD3" s="40" t="inlineStr">
        <is>
          <t>DATA PEDIDO</t>
        </is>
      </c>
      <c r="FE3" s="40" t="inlineStr">
        <is>
          <t>JUSTIFICATIVA SEMANA 1</t>
        </is>
      </c>
      <c r="FF3" s="40" t="inlineStr">
        <is>
          <t>JUSTIFICATIVA SEMANA 2</t>
        </is>
      </c>
      <c r="FG3" s="40" t="inlineStr">
        <is>
          <t>JUSTIFICATIVA SEMANA 3</t>
        </is>
      </c>
      <c r="FH3" s="40" t="inlineStr">
        <is>
          <t>JUSTIFICATIVA SEMANA 4</t>
        </is>
      </c>
      <c r="FI3" s="40" t="inlineStr">
        <is>
          <t>JUSTIFICATIVA MENSAL</t>
        </is>
      </c>
      <c r="FJ3" s="42" t="inlineStr">
        <is>
          <t>% Q3</t>
        </is>
      </c>
      <c r="FK3" s="42" t="inlineStr">
        <is>
          <t>% YTD</t>
        </is>
      </c>
      <c r="FL3" s="42" t="inlineStr">
        <is>
          <t>META</t>
        </is>
      </c>
      <c r="FM3" s="42" t="inlineStr">
        <is>
          <t>REALIZADO</t>
        </is>
      </c>
      <c r="FN3" s="42" t="inlineStr">
        <is>
          <t>% TRI</t>
        </is>
      </c>
      <c r="FO3" s="42" t="inlineStr">
        <is>
          <t>META</t>
        </is>
      </c>
      <c r="FP3" s="42" t="inlineStr">
        <is>
          <t>REALIZADO</t>
        </is>
      </c>
      <c r="FQ3" s="42" t="inlineStr">
        <is>
          <t>% MÊS</t>
        </is>
      </c>
      <c r="FR3" s="42" t="inlineStr">
        <is>
          <t>META</t>
        </is>
      </c>
      <c r="FS3" s="42" t="inlineStr">
        <is>
          <t>REALIZADO</t>
        </is>
      </c>
      <c r="FT3" s="42" t="inlineStr">
        <is>
          <t>DATA PEDIDO</t>
        </is>
      </c>
      <c r="FU3" s="42" t="inlineStr">
        <is>
          <t>JUSTIFICATIVA SEMANA 1</t>
        </is>
      </c>
      <c r="FV3" s="42" t="inlineStr">
        <is>
          <t>JUSTIFICATIVA SEMANA 2</t>
        </is>
      </c>
      <c r="FW3" s="42" t="inlineStr">
        <is>
          <t>JUSTIFICATIVA SEMANA 3</t>
        </is>
      </c>
      <c r="FX3" s="42" t="inlineStr">
        <is>
          <t>JUSTIFICATIVA SEMANA 4</t>
        </is>
      </c>
      <c r="FY3" s="42" t="inlineStr">
        <is>
          <t>JUSTIFICATIVA MENSAL</t>
        </is>
      </c>
      <c r="FZ3" s="42" t="inlineStr">
        <is>
          <t>% YTD</t>
        </is>
      </c>
      <c r="GA3" s="42" t="inlineStr">
        <is>
          <t>META</t>
        </is>
      </c>
      <c r="GB3" s="42" t="inlineStr">
        <is>
          <t>REALIZADO</t>
        </is>
      </c>
      <c r="GC3" s="42" t="inlineStr">
        <is>
          <t>% TRI</t>
        </is>
      </c>
      <c r="GD3" s="42" t="inlineStr">
        <is>
          <t>META</t>
        </is>
      </c>
      <c r="GE3" s="42" t="inlineStr">
        <is>
          <t>REALIZADO</t>
        </is>
      </c>
      <c r="GF3" s="42" t="inlineStr">
        <is>
          <t>% MÊS</t>
        </is>
      </c>
      <c r="GG3" s="42" t="inlineStr">
        <is>
          <t>META</t>
        </is>
      </c>
      <c r="GH3" s="42" t="inlineStr">
        <is>
          <t>REALIZADO</t>
        </is>
      </c>
      <c r="GI3" s="42" t="inlineStr">
        <is>
          <t>DATA PEDIDO</t>
        </is>
      </c>
      <c r="GJ3" s="42" t="inlineStr">
        <is>
          <t>JUSTIFICATIVA SEMANA 1</t>
        </is>
      </c>
      <c r="GK3" s="42" t="inlineStr">
        <is>
          <t>JUSTIFICATIVA SEMANA 2</t>
        </is>
      </c>
      <c r="GL3" s="42" t="inlineStr">
        <is>
          <t>JUSTIFICATIVA SEMANA 3</t>
        </is>
      </c>
      <c r="GM3" s="42" t="inlineStr">
        <is>
          <t>JUSTIFICATIVA SEMANA 4</t>
        </is>
      </c>
      <c r="GN3" s="42" t="inlineStr">
        <is>
          <t>JUSTIFICATIVA MENSAL</t>
        </is>
      </c>
      <c r="GO3" s="42" t="inlineStr">
        <is>
          <t>% YTD</t>
        </is>
      </c>
      <c r="GP3" s="42" t="inlineStr">
        <is>
          <t>META</t>
        </is>
      </c>
      <c r="GQ3" s="42" t="inlineStr">
        <is>
          <t>REALIZADO</t>
        </is>
      </c>
      <c r="GR3" s="42" t="inlineStr">
        <is>
          <t>% TRI</t>
        </is>
      </c>
      <c r="GS3" s="42" t="inlineStr">
        <is>
          <t>META</t>
        </is>
      </c>
      <c r="GT3" s="42" t="inlineStr">
        <is>
          <t>REALIZADO</t>
        </is>
      </c>
      <c r="GU3" s="42" t="inlineStr">
        <is>
          <t>% MÊS</t>
        </is>
      </c>
      <c r="GV3" s="42" t="inlineStr">
        <is>
          <t>META</t>
        </is>
      </c>
      <c r="GW3" s="42" t="inlineStr">
        <is>
          <t>REALIZADO</t>
        </is>
      </c>
      <c r="GX3" s="42" t="inlineStr">
        <is>
          <t>DATA PEDIDO</t>
        </is>
      </c>
      <c r="GY3" s="42" t="inlineStr">
        <is>
          <t>JUSTIFICATIVA SEMANA 1</t>
        </is>
      </c>
      <c r="GZ3" s="42" t="inlineStr">
        <is>
          <t>JUSTIFICATIVA SEMANA 2</t>
        </is>
      </c>
      <c r="HA3" s="42" t="inlineStr">
        <is>
          <t>JUSTIFICATIVA SEMANA 3</t>
        </is>
      </c>
      <c r="HB3" s="42" t="inlineStr">
        <is>
          <t>JUSTIFICATIVA SEMANA 4</t>
        </is>
      </c>
      <c r="HC3" s="42" t="inlineStr">
        <is>
          <t>JUSTIFICATIVA MENSAL</t>
        </is>
      </c>
      <c r="HD3" s="43" t="inlineStr">
        <is>
          <t>% Q4</t>
        </is>
      </c>
      <c r="HE3" s="43" t="inlineStr">
        <is>
          <t>% YTD</t>
        </is>
      </c>
      <c r="HF3" s="43" t="inlineStr">
        <is>
          <t>META</t>
        </is>
      </c>
      <c r="HG3" s="43" t="inlineStr">
        <is>
          <t>REALIZADO</t>
        </is>
      </c>
      <c r="HH3" s="43" t="inlineStr">
        <is>
          <t>% TRI</t>
        </is>
      </c>
      <c r="HI3" s="43" t="inlineStr">
        <is>
          <t>META</t>
        </is>
      </c>
      <c r="HJ3" s="43" t="inlineStr">
        <is>
          <t>REALIZADO</t>
        </is>
      </c>
      <c r="HK3" s="43" t="inlineStr">
        <is>
          <t>% MÊS</t>
        </is>
      </c>
      <c r="HL3" s="43" t="inlineStr">
        <is>
          <t>META</t>
        </is>
      </c>
      <c r="HM3" s="43" t="inlineStr">
        <is>
          <t>REALIZADO</t>
        </is>
      </c>
      <c r="HN3" s="43" t="inlineStr">
        <is>
          <t>DATA PEDIDO</t>
        </is>
      </c>
      <c r="HO3" s="43" t="inlineStr">
        <is>
          <t>JUSTIFICATIVA SEMANA 1</t>
        </is>
      </c>
      <c r="HP3" s="43" t="inlineStr">
        <is>
          <t>JUSTIFICATIVA SEMANA 2</t>
        </is>
      </c>
      <c r="HQ3" s="43" t="inlineStr">
        <is>
          <t>JUSTIFICATIVA SEMANA 3</t>
        </is>
      </c>
      <c r="HR3" s="43" t="inlineStr">
        <is>
          <t>JUSTIFICATIVA SEMANA 4</t>
        </is>
      </c>
      <c r="HS3" s="43" t="inlineStr">
        <is>
          <t>JUSTIFICATIVA MENSAL</t>
        </is>
      </c>
      <c r="HT3" s="43" t="inlineStr">
        <is>
          <t>% YTD</t>
        </is>
      </c>
      <c r="HU3" s="43" t="inlineStr">
        <is>
          <t>META</t>
        </is>
      </c>
      <c r="HV3" s="43" t="inlineStr">
        <is>
          <t>REALIZADO</t>
        </is>
      </c>
      <c r="HW3" s="43" t="inlineStr">
        <is>
          <t>% TRI</t>
        </is>
      </c>
      <c r="HX3" s="43" t="inlineStr">
        <is>
          <t>META</t>
        </is>
      </c>
      <c r="HY3" s="43" t="inlineStr">
        <is>
          <t>REALIZADO</t>
        </is>
      </c>
      <c r="HZ3" s="43" t="inlineStr">
        <is>
          <t>% MÊS</t>
        </is>
      </c>
      <c r="IA3" s="43" t="inlineStr">
        <is>
          <t>META</t>
        </is>
      </c>
      <c r="IB3" s="43" t="inlineStr">
        <is>
          <t>REALIZADO</t>
        </is>
      </c>
      <c r="IC3" s="43" t="inlineStr">
        <is>
          <t>DATA PEDIDO</t>
        </is>
      </c>
      <c r="ID3" s="43" t="inlineStr">
        <is>
          <t>JUSTIFICATIVA SEMANA 1</t>
        </is>
      </c>
      <c r="IE3" s="43" t="inlineStr">
        <is>
          <t>JUSTIFICATIVA SEMANA 2</t>
        </is>
      </c>
      <c r="IF3" s="43" t="inlineStr">
        <is>
          <t>JUSTIFICATIVA SEMANA 3</t>
        </is>
      </c>
      <c r="IG3" s="43" t="inlineStr">
        <is>
          <t>JUSTIFICATIVA SEMANA 4</t>
        </is>
      </c>
      <c r="IH3" s="43" t="inlineStr">
        <is>
          <t>JUSTIFICATIVA MENSAL</t>
        </is>
      </c>
      <c r="II3" s="43" t="inlineStr">
        <is>
          <t>% YTD</t>
        </is>
      </c>
      <c r="IJ3" s="43" t="inlineStr">
        <is>
          <t>META</t>
        </is>
      </c>
      <c r="IK3" s="43" t="inlineStr">
        <is>
          <t>REALIZADO</t>
        </is>
      </c>
      <c r="IL3" s="43" t="inlineStr">
        <is>
          <t>% TRI</t>
        </is>
      </c>
      <c r="IM3" s="43" t="inlineStr">
        <is>
          <t>META</t>
        </is>
      </c>
      <c r="IN3" s="43" t="inlineStr">
        <is>
          <t>REALIZADO</t>
        </is>
      </c>
      <c r="IO3" s="43" t="inlineStr">
        <is>
          <t>% MÊS</t>
        </is>
      </c>
      <c r="IP3" s="43" t="inlineStr">
        <is>
          <t>META</t>
        </is>
      </c>
      <c r="IQ3" s="43" t="inlineStr">
        <is>
          <t>REALIZADO</t>
        </is>
      </c>
      <c r="IR3" s="43" t="inlineStr">
        <is>
          <t>DATA PEDIDO</t>
        </is>
      </c>
      <c r="IS3" s="43" t="inlineStr">
        <is>
          <t>JUSTIFICATIVA SEMANA 1</t>
        </is>
      </c>
      <c r="IT3" s="43" t="inlineStr">
        <is>
          <t>JUSTIFICATIVA SEMANA 2</t>
        </is>
      </c>
      <c r="IU3" s="43" t="inlineStr">
        <is>
          <t>JUSTIFICATIVA SEMANA 3</t>
        </is>
      </c>
      <c r="IV3" s="43" t="inlineStr">
        <is>
          <t>JUSTIFICATIVA SEMANA 4</t>
        </is>
      </c>
      <c r="IW3" s="43" t="inlineStr">
        <is>
          <t>JUSTIFICATIVA MENSAL</t>
        </is>
      </c>
    </row>
    <row r="4" ht="15" customHeight="1" s="108">
      <c r="A4">
        <f>IFERROR(INDEX('DRAFT 1'!$A:$A,MATCH($B4,'DRAFT 1'!$B:$B,0)),"")</f>
        <v/>
      </c>
      <c r="B4" t="inlineStr">
        <is>
          <t>32828171000108</t>
        </is>
      </c>
      <c r="C4">
        <f>IFERROR(INDEX('DRAFT 1'!$C:$C,MATCH($B4,'DRAFT 1'!$B:$B,0)),"")</f>
        <v/>
      </c>
      <c r="D4">
        <f>IFERROR(INDEX('DRAFT 1'!$D:$D,MATCH($B4,'DRAFT 1'!$B:$B,0)),"")</f>
        <v/>
      </c>
      <c r="E4">
        <f>IFERROR(INDEX('DRAFT 1'!$E:$E,MATCH($B4,'DRAFT 1'!$B:$B,0)),"")</f>
        <v/>
      </c>
      <c r="F4">
        <f>IFERROR(INDEX('DRAFT 1'!$F:$F,MATCH($B4,'DRAFT 1'!$B:$B,0)),"")</f>
        <v/>
      </c>
      <c r="G4">
        <f>IFERROR(INDEX('DRAFT 1'!$G:$G,MATCH($B4,'DRAFT 1'!$B:$B,0)),"")</f>
        <v/>
      </c>
      <c r="H4">
        <f>IFERROR(INDEX('DRAFT 1'!$H:$H,MATCH($B4,'DRAFT 1'!$B:$B,0)),"")</f>
        <v/>
      </c>
      <c r="I4" t="inlineStr">
        <is>
          <t>MUNDO VERDE</t>
        </is>
      </c>
      <c r="K4">
        <f>IFERROR(INDEX('DRAFT 1'!$AL:$AL,MATCH($B4,'DRAFT 1'!$B:$B,0)),"")</f>
        <v/>
      </c>
      <c r="L4">
        <f>IFERROR(INDEX('DRAFT 1'!$J:$J,MATCH($B4,'DRAFT 1'!$B:$B,0)),"")</f>
        <v/>
      </c>
      <c r="M4">
        <f>IFERROR(INDEX('DRAFT 1'!$K:$K,MATCH($B4,'DRAFT 1'!$B:$B,0)),"")</f>
        <v/>
      </c>
      <c r="N4" t="inlineStr">
        <is>
          <t>EM RISCO</t>
        </is>
      </c>
      <c r="O4">
        <f>IF(N4="EM RISCO",1,IF(N4="INAT.REC",2,IF(N4="ATIVO",3,IF(N4="INAT.ANT",4,5))))</f>
        <v/>
      </c>
      <c r="P4">
        <f>IFERROR(INDEX('DRAFT 1'!$L:$L,MATCH($B4,'DRAFT 1'!$B:$B,0)),"")</f>
        <v/>
      </c>
      <c r="Q4">
        <f>IFERROR(INDEX('DRAFT 1'!$M:$M,MATCH($B4,'DRAFT 1'!$B:$B,0)),"")</f>
        <v/>
      </c>
      <c r="R4">
        <f>IFERROR(INDEX('DRAFT 1'!$N:$N,MATCH($B4,'DRAFT 1'!$B:$B,0)),"")</f>
        <v/>
      </c>
      <c r="S4">
        <f>IFERROR(INDEX('DRAFT 1'!$O:$O,MATCH($B4,'DRAFT 1'!$B:$B,0)),"")</f>
        <v/>
      </c>
      <c r="T4">
        <f>IFERROR(INDEX('DRAFT 1'!$P:$P,MATCH($B4,'DRAFT 1'!$B:$B,0)),"")</f>
        <v/>
      </c>
      <c r="U4">
        <f>IFERROR(INDEX('DRAFT 1'!$Q:$Q,MATCH($B4,'DRAFT 1'!$B:$B,0)),"")</f>
        <v/>
      </c>
      <c r="V4">
        <f>IFERROR(INDEX('DRAFT 1'!$R:$R,MATCH($B4,'DRAFT 1'!$B:$B,0)),"")</f>
        <v/>
      </c>
      <c r="W4">
        <f>IFERROR(INDEX('DRAFT 1'!$S:$S,MATCH($B4,'DRAFT 1'!$B:$B,0)),"")</f>
        <v/>
      </c>
      <c r="X4">
        <f>IFERROR(INDEX('DRAFT 1'!$T:$T,MATCH($B4,'DRAFT 1'!$B:$B,0)),"")</f>
        <v/>
      </c>
      <c r="Y4">
        <f>SUM(Z4:AJ4)</f>
        <v/>
      </c>
      <c r="Z4">
        <f>IFERROR(INDEX('DRAFT 1'!$U:$U,MATCH($B4,'DRAFT 1'!$B:$B,0)),"")</f>
        <v/>
      </c>
      <c r="AA4">
        <f>IFERROR(INDEX('DRAFT 1'!$V:$V,MATCH($B4,'DRAFT 1'!$B:$B,0)),"")</f>
        <v/>
      </c>
      <c r="AB4">
        <f>IFERROR(INDEX('DRAFT 1'!$W:$W,MATCH($B4,'DRAFT 1'!$B:$B,0)),"")</f>
        <v/>
      </c>
      <c r="AC4">
        <f>IFERROR(INDEX('DRAFT 1'!$X:$X,MATCH($B4,'DRAFT 1'!$B:$B,0)),"")</f>
        <v/>
      </c>
      <c r="AD4">
        <f>IFERROR(INDEX('DRAFT 1'!$Y:$Y,MATCH($B4,'DRAFT 1'!$B:$B,0)),"")</f>
        <v/>
      </c>
      <c r="AE4">
        <f>IFERROR(INDEX('DRAFT 1'!$Z:$Z,MATCH($B4,'DRAFT 1'!$B:$B,0)),"")</f>
        <v/>
      </c>
      <c r="AF4">
        <f>IFERROR(INDEX('DRAFT 1'!$AA:$AA,MATCH($B4,'DRAFT 1'!$B:$B,0)),"")</f>
        <v/>
      </c>
      <c r="AG4">
        <f>IFERROR(INDEX('DRAFT 1'!$AB:$AB,MATCH($B4,'DRAFT 1'!$B:$B,0)),"")</f>
        <v/>
      </c>
      <c r="AH4">
        <f>IFERROR(INDEX('DRAFT 1'!$AC:$AC,MATCH($B4,'DRAFT 1'!$B:$B,0)),"")</f>
        <v/>
      </c>
      <c r="AI4">
        <f>IFERROR(INDEX('DRAFT 1'!$AD:$AD,MATCH($B4,'DRAFT 1'!$B:$B,0)),"")</f>
        <v/>
      </c>
      <c r="AJ4">
        <f>IFERROR(INDEX('DRAFT 1'!$AE:$AE,MATCH($B4,'DRAFT 1'!$B:$B,0)),"")</f>
        <v/>
      </c>
      <c r="AK4">
        <f>IFERROR(INDEX('DRAFT 1'!$AG:$AG,MATCH($B4,'DRAFT 1'!$B:$B,0)),"")</f>
        <v/>
      </c>
      <c r="AL4">
        <f>IFERROR(INDEX('DRAFT 1'!$AH:$AH,MATCH($B4,'DRAFT 1'!$B:$B,0)),"")</f>
        <v/>
      </c>
      <c r="AM4">
        <f>IFERROR(INDEX('DRAFT 1'!$AI:$AI,MATCH($B4,'DRAFT 1'!$B:$B,0)),"")</f>
        <v/>
      </c>
      <c r="AN4">
        <f>IFERROR(INDEX('DRAFT 1'!$AJ:$AJ,MATCH($B4,'DRAFT 1'!$B:$B,0)),"")</f>
        <v/>
      </c>
      <c r="AO4">
        <f>IFERROR(Y4/AN4,0)</f>
        <v/>
      </c>
      <c r="AP4">
        <f>IFERROR(INDEX('DRAFT 1'!$AK:$AK,MATCH($B4,'DRAFT 1'!$B:$B,0)),"")</f>
        <v/>
      </c>
      <c r="AR4" t="inlineStr">
        <is>
          <t>RECOMPRA</t>
        </is>
      </c>
      <c r="AS4">
        <f>IFERROR(LOOKUP(2,1/('DRAFT 2'!$D:$D=$B4),'DRAFT 2'!$T:$T),"")</f>
        <v/>
      </c>
      <c r="AT4">
        <f>IFERROR(LOOKUP(2,1/('DRAFT 2'!$D:$D=$B4),'DRAFT 2'!$A:$A),"")</f>
        <v/>
      </c>
      <c r="AU4">
        <f>IFERROR(LOOKUP(2,1/('DRAFT 2'!$D:$D=$B4),'DRAFT 2'!$R:$R),"")</f>
        <v/>
      </c>
      <c r="AV4">
        <f>IFERROR(LOOKUP(2,1/('DRAFT 2'!$D:$D=$B4),'DRAFT 2'!$S:$S),"")</f>
        <v/>
      </c>
      <c r="AW4" t="inlineStr">
        <is>
          <t>PROSPECT</t>
        </is>
      </c>
      <c r="AX4">
        <f>IFERROR(LOOKUP(2,1/('DRAFT 2'!$D:$D=$B4),'DRAFT 2'!$M:$M),"")</f>
        <v/>
      </c>
      <c r="AY4">
        <f>IFERROR(LOOKUP(2,1/('DRAFT 2'!$D:$D=$B4),'DRAFT 2'!$K:$K),"")</f>
        <v/>
      </c>
      <c r="BA4">
        <f>IF(N4="PROSPECT","❄️ FRIO",IF(OR(AR4="ORÇAMENTO",AR4="NEGOCIAÇÃO",AR4="CADASTRO"),"🔥 QUENTE",IF(OR(AR4="FOLLOW UP 7",AR4="FOLLOW UP 15",AR4="ATENDIMENTO"),"⚡ MORNO","❄️ FRIO")))</f>
        <v/>
      </c>
      <c r="BB4">
        <f>IF(BE4="","",BE4-BC4)</f>
        <v/>
      </c>
      <c r="BG4">
        <f>IFERROR(LOOKUP(2,1/('DRAFT 2'!$D:$D=$B4),'DRAFT 2'!$U:$U),"")</f>
        <v/>
      </c>
      <c r="BH4">
        <f>IFERROR(LOOKUP(2,1/('DRAFT 2'!$D:$D=$B4),'DRAFT 2'!$V:$V),"")</f>
        <v/>
      </c>
      <c r="BI4">
        <f>IF(Q4="","🟣",IF(P4&lt;=IF(AK4="",45,AK4),"🟢",IF(P4&lt;=IF(AK4="",45,AK4)+30,"🟡","🔴")))</f>
        <v/>
      </c>
      <c r="BJ4" t="inlineStr">
        <is>
          <t>SAP001</t>
        </is>
      </c>
      <c r="BU4" s="44">
        <f>CR4</f>
        <v/>
      </c>
      <c r="BV4" s="44">
        <f>AVERAGE(CC4,CR4,DG4)</f>
        <v/>
      </c>
      <c r="BW4" s="45">
        <f>IF(BX4=0,1,BY4/BX4)</f>
        <v/>
      </c>
      <c r="BX4" s="46" t="n"/>
      <c r="BY4" s="46" t="n"/>
      <c r="BZ4" s="45">
        <f>IF(CA4=0,1,CB4/CA4)</f>
        <v/>
      </c>
      <c r="CA4" s="46" t="n"/>
      <c r="CB4" s="46" t="n"/>
      <c r="CC4" s="45">
        <f>IF(CD4=0,1,CE4/CD4)</f>
        <v/>
      </c>
      <c r="CD4" s="46" t="n"/>
      <c r="CE4" s="46">
        <f>IFERROR(AJ4,0)</f>
        <v/>
      </c>
      <c r="CF4" s="47">
        <f>IFERROR(LOOKUP(2,1/('DRAFT 2'!$D:$D=$B4)*('DRAFT 2'!$A:$A&gt;=DATE(2026,1,1))*('DRAFT 2'!$A:$A&lt;DATE(2026,IF(1=12,1+1,1+1),1)),'DRAFT 2'!$A:$A),"")</f>
        <v/>
      </c>
      <c r="CG4">
        <f>COUNTIFS('DRAFT 2'!$D:$D,$B4,'DRAFT 2'!$A:$A,"&gt;="&amp;DATE(2026,1,1),'DRAFT 2'!$A:$A,"&lt;="&amp;DATE(2026,1,7))</f>
        <v/>
      </c>
      <c r="CH4">
        <f>COUNTIFS('DRAFT 2'!$D:$D,$B4,'DRAFT 2'!$A:$A,"&gt;="&amp;DATE(2026,1,8),'DRAFT 2'!$A:$A,"&lt;="&amp;DATE(2026,1,14))</f>
        <v/>
      </c>
      <c r="CI4">
        <f>COUNTIFS('DRAFT 2'!$D:$D,$B4,'DRAFT 2'!$A:$A,"&gt;="&amp;DATE(2026,1,15),'DRAFT 2'!$A:$A,"&lt;="&amp;DATE(2026,1,21))</f>
        <v/>
      </c>
      <c r="CJ4">
        <f>COUNTIFS('DRAFT 2'!$D:$D,$B4,'DRAFT 2'!$A:$A,"&gt;="&amp;DATE(2026,1,22),'DRAFT 2'!$A:$A,"&lt;"&amp;DATE(2026,IF(1=12,1+1,1+1),1))</f>
        <v/>
      </c>
      <c r="CK4">
        <f>SUM(CG4:CJ4)</f>
        <v/>
      </c>
      <c r="CL4" s="45">
        <f>IF(CM4=0,1,CN4/CM4)</f>
        <v/>
      </c>
      <c r="CM4" s="46" t="n"/>
      <c r="CN4" s="46" t="n"/>
      <c r="CO4" s="45">
        <f>IF(CP4=0,1,CQ4/CP4)</f>
        <v/>
      </c>
      <c r="CP4" s="46" t="n"/>
      <c r="CQ4" s="46" t="n"/>
      <c r="CR4" s="45">
        <f>IF(CS4=0,1,CT4/CS4)</f>
        <v/>
      </c>
      <c r="CS4" s="46" t="n"/>
      <c r="CT4" s="46" t="n">
        <v>0</v>
      </c>
      <c r="CU4" s="47">
        <f>IFERROR(LOOKUP(2,1/('DRAFT 2'!$D:$D=$B4)*('DRAFT 2'!$A:$A&gt;=DATE(2026,2,1))*('DRAFT 2'!$A:$A&lt;DATE(2026,IF(2=12,2+1,2+1),1)),'DRAFT 2'!$A:$A),"")</f>
        <v/>
      </c>
      <c r="CV4">
        <f>COUNTIFS('DRAFT 2'!$D:$D,$B4,'DRAFT 2'!$A:$A,"&gt;="&amp;DATE(2026,2,1),'DRAFT 2'!$A:$A,"&lt;="&amp;DATE(2026,2,7))</f>
        <v/>
      </c>
      <c r="CW4">
        <f>COUNTIFS('DRAFT 2'!$D:$D,$B4,'DRAFT 2'!$A:$A,"&gt;="&amp;DATE(2026,2,8),'DRAFT 2'!$A:$A,"&lt;="&amp;DATE(2026,2,14))</f>
        <v/>
      </c>
      <c r="CX4">
        <f>COUNTIFS('DRAFT 2'!$D:$D,$B4,'DRAFT 2'!$A:$A,"&gt;="&amp;DATE(2026,2,15),'DRAFT 2'!$A:$A,"&lt;="&amp;DATE(2026,2,21))</f>
        <v/>
      </c>
      <c r="CY4">
        <f>COUNTIFS('DRAFT 2'!$D:$D,$B4,'DRAFT 2'!$A:$A,"&gt;="&amp;DATE(2026,2,22),'DRAFT 2'!$A:$A,"&lt;"&amp;DATE(2026,IF(2=12,2+1,2+1),1))</f>
        <v/>
      </c>
      <c r="CZ4">
        <f>SUM(CV4:CY4)</f>
        <v/>
      </c>
      <c r="DA4" s="45">
        <f>IF(DB4=0,1,DC4/DB4)</f>
        <v/>
      </c>
      <c r="DB4" s="46" t="n"/>
      <c r="DC4" s="46" t="n"/>
      <c r="DD4" s="45">
        <f>IF(DE4=0,1,DF4/DE4)</f>
        <v/>
      </c>
      <c r="DE4" s="46" t="n"/>
      <c r="DF4" s="46" t="n"/>
      <c r="DG4" s="45">
        <f>IF(DH4=0,1,DI4/DH4)</f>
        <v/>
      </c>
      <c r="DH4" s="46" t="n"/>
      <c r="DI4" s="46" t="n"/>
      <c r="DJ4" s="47">
        <f>IFERROR(LOOKUP(2,1/('DRAFT 2'!$D:$D=$B4)*('DRAFT 2'!$A:$A&gt;=DATE(2026,3,1))*('DRAFT 2'!$A:$A&lt;DATE(2026,IF(3=12,3+1,3+1),1)),'DRAFT 2'!$A:$A),"")</f>
        <v/>
      </c>
      <c r="DK4">
        <f>COUNTIFS('DRAFT 2'!$D:$D,$B4,'DRAFT 2'!$A:$A,"&gt;="&amp;DATE(2026,3,1),'DRAFT 2'!$A:$A,"&lt;="&amp;DATE(2026,3,7))</f>
        <v/>
      </c>
      <c r="DL4">
        <f>COUNTIFS('DRAFT 2'!$D:$D,$B4,'DRAFT 2'!$A:$A,"&gt;="&amp;DATE(2026,3,8),'DRAFT 2'!$A:$A,"&lt;="&amp;DATE(2026,3,14))</f>
        <v/>
      </c>
      <c r="DM4">
        <f>COUNTIFS('DRAFT 2'!$D:$D,$B4,'DRAFT 2'!$A:$A,"&gt;="&amp;DATE(2026,3,15),'DRAFT 2'!$A:$A,"&lt;="&amp;DATE(2026,3,21))</f>
        <v/>
      </c>
      <c r="DN4">
        <f>COUNTIFS('DRAFT 2'!$D:$D,$B4,'DRAFT 2'!$A:$A,"&gt;="&amp;DATE(2026,3,22),'DRAFT 2'!$A:$A,"&lt;"&amp;DATE(2026,IF(3=12,3+1,3+1),1))</f>
        <v/>
      </c>
      <c r="DO4">
        <f>SUM(DK4:DN4)</f>
        <v/>
      </c>
      <c r="DP4" s="44">
        <f>AVERAGE(DW4,EL4,FA4)</f>
        <v/>
      </c>
      <c r="DQ4" s="48">
        <f>IF(DR4=0,1,DS4/DR4)</f>
        <v/>
      </c>
      <c r="DR4" s="46" t="n"/>
      <c r="DS4" s="46" t="n"/>
      <c r="DT4" s="48">
        <f>IF(DU4=0,1,DV4/DU4)</f>
        <v/>
      </c>
      <c r="DU4" s="46" t="n"/>
      <c r="DV4" s="46" t="n"/>
      <c r="DW4" s="48">
        <f>IF(DX4=0,1,DY4/DX4)</f>
        <v/>
      </c>
      <c r="DX4" s="46" t="n"/>
      <c r="DY4" s="46" t="n"/>
      <c r="DZ4" s="47">
        <f>IFERROR(LOOKUP(2,1/('DRAFT 2'!$D:$D=$B4)*('DRAFT 2'!$A:$A&gt;=DATE(2026,4,1))*('DRAFT 2'!$A:$A&lt;DATE(2026,IF(4=12,4+1,4+1),1)),'DRAFT 2'!$A:$A),"")</f>
        <v/>
      </c>
      <c r="EA4">
        <f>COUNTIFS('DRAFT 2'!$D:$D,$B4,'DRAFT 2'!$A:$A,"&gt;="&amp;DATE(2026,4,1),'DRAFT 2'!$A:$A,"&lt;="&amp;DATE(2026,4,7))</f>
        <v/>
      </c>
      <c r="EB4">
        <f>COUNTIFS('DRAFT 2'!$D:$D,$B4,'DRAFT 2'!$A:$A,"&gt;="&amp;DATE(2026,4,8),'DRAFT 2'!$A:$A,"&lt;="&amp;DATE(2026,4,14))</f>
        <v/>
      </c>
      <c r="EC4">
        <f>COUNTIFS('DRAFT 2'!$D:$D,$B4,'DRAFT 2'!$A:$A,"&gt;="&amp;DATE(2026,4,15),'DRAFT 2'!$A:$A,"&lt;="&amp;DATE(2026,4,21))</f>
        <v/>
      </c>
      <c r="ED4">
        <f>COUNTIFS('DRAFT 2'!$D:$D,$B4,'DRAFT 2'!$A:$A,"&gt;="&amp;DATE(2026,4,22),'DRAFT 2'!$A:$A,"&lt;"&amp;DATE(2026,IF(4=12,4+1,4+1),1))</f>
        <v/>
      </c>
      <c r="EE4">
        <f>SUM(EA4:ED4)</f>
        <v/>
      </c>
      <c r="EF4" s="48">
        <f>IF(EG4=0,1,EH4/EG4)</f>
        <v/>
      </c>
      <c r="EG4" s="46" t="n"/>
      <c r="EH4" s="46" t="n"/>
      <c r="EI4" s="48">
        <f>IF(EJ4=0,1,EK4/EJ4)</f>
        <v/>
      </c>
      <c r="EJ4" s="46" t="n"/>
      <c r="EK4" s="46" t="n"/>
      <c r="EL4" s="48">
        <f>IF(EM4=0,1,EN4/EM4)</f>
        <v/>
      </c>
      <c r="EM4" s="46" t="n"/>
      <c r="EN4" s="46" t="n"/>
      <c r="EO4" s="47">
        <f>IFERROR(LOOKUP(2,1/('DRAFT 2'!$D:$D=$B4)*('DRAFT 2'!$A:$A&gt;=DATE(2026,5,1))*('DRAFT 2'!$A:$A&lt;DATE(2026,IF(5=12,5+1,5+1),1)),'DRAFT 2'!$A:$A),"")</f>
        <v/>
      </c>
      <c r="EP4">
        <f>COUNTIFS('DRAFT 2'!$D:$D,$B4,'DRAFT 2'!$A:$A,"&gt;="&amp;DATE(2026,5,1),'DRAFT 2'!$A:$A,"&lt;="&amp;DATE(2026,5,7))</f>
        <v/>
      </c>
      <c r="EQ4">
        <f>COUNTIFS('DRAFT 2'!$D:$D,$B4,'DRAFT 2'!$A:$A,"&gt;="&amp;DATE(2026,5,8),'DRAFT 2'!$A:$A,"&lt;="&amp;DATE(2026,5,14))</f>
        <v/>
      </c>
      <c r="ER4">
        <f>COUNTIFS('DRAFT 2'!$D:$D,$B4,'DRAFT 2'!$A:$A,"&gt;="&amp;DATE(2026,5,15),'DRAFT 2'!$A:$A,"&lt;="&amp;DATE(2026,5,21))</f>
        <v/>
      </c>
      <c r="ES4">
        <f>COUNTIFS('DRAFT 2'!$D:$D,$B4,'DRAFT 2'!$A:$A,"&gt;="&amp;DATE(2026,5,22),'DRAFT 2'!$A:$A,"&lt;"&amp;DATE(2026,IF(5=12,5+1,5+1),1))</f>
        <v/>
      </c>
      <c r="ET4">
        <f>SUM(EP4:ES4)</f>
        <v/>
      </c>
      <c r="EU4" s="48">
        <f>IF(EV4=0,1,EW4/EV4)</f>
        <v/>
      </c>
      <c r="EV4" s="46" t="n"/>
      <c r="EW4" s="46" t="n"/>
      <c r="EX4" s="48">
        <f>IF(EY4=0,1,EZ4/EY4)</f>
        <v/>
      </c>
      <c r="EY4" s="46" t="n"/>
      <c r="EZ4" s="46" t="n"/>
      <c r="FA4" s="48">
        <f>IF(FB4=0,1,FC4/FB4)</f>
        <v/>
      </c>
      <c r="FB4" s="46" t="n"/>
      <c r="FC4" s="46" t="n"/>
      <c r="FD4" s="47">
        <f>IFERROR(LOOKUP(2,1/('DRAFT 2'!$D:$D=$B4)*('DRAFT 2'!$A:$A&gt;=DATE(2026,6,1))*('DRAFT 2'!$A:$A&lt;DATE(2026,IF(6=12,6+1,6+1),1)),'DRAFT 2'!$A:$A),"")</f>
        <v/>
      </c>
      <c r="FE4">
        <f>COUNTIFS('DRAFT 2'!$D:$D,$B4,'DRAFT 2'!$A:$A,"&gt;="&amp;DATE(2026,6,1),'DRAFT 2'!$A:$A,"&lt;="&amp;DATE(2026,6,7))</f>
        <v/>
      </c>
      <c r="FF4">
        <f>COUNTIFS('DRAFT 2'!$D:$D,$B4,'DRAFT 2'!$A:$A,"&gt;="&amp;DATE(2026,6,8),'DRAFT 2'!$A:$A,"&lt;="&amp;DATE(2026,6,14))</f>
        <v/>
      </c>
      <c r="FG4">
        <f>COUNTIFS('DRAFT 2'!$D:$D,$B4,'DRAFT 2'!$A:$A,"&gt;="&amp;DATE(2026,6,15),'DRAFT 2'!$A:$A,"&lt;="&amp;DATE(2026,6,21))</f>
        <v/>
      </c>
      <c r="FH4">
        <f>COUNTIFS('DRAFT 2'!$D:$D,$B4,'DRAFT 2'!$A:$A,"&gt;="&amp;DATE(2026,6,22),'DRAFT 2'!$A:$A,"&lt;"&amp;DATE(2026,IF(6=12,6+1,6+1),1))</f>
        <v/>
      </c>
      <c r="FI4">
        <f>SUM(FE4:FH4)</f>
        <v/>
      </c>
      <c r="FJ4" s="44">
        <f>AVERAGE(FQ4,GF4,GU4)</f>
        <v/>
      </c>
      <c r="FK4" s="49">
        <f>IF(FL4=0,1,FM4/FL4)</f>
        <v/>
      </c>
      <c r="FL4" s="46" t="n"/>
      <c r="FM4" s="46" t="n"/>
      <c r="FN4" s="49">
        <f>IF(FO4=0,1,FP4/FO4)</f>
        <v/>
      </c>
      <c r="FO4" s="46" t="n"/>
      <c r="FP4" s="46" t="n"/>
      <c r="FQ4" s="49">
        <f>IF(FR4=0,1,FS4/FR4)</f>
        <v/>
      </c>
      <c r="FR4" s="46" t="n"/>
      <c r="FS4" s="46" t="n"/>
      <c r="FT4" s="47">
        <f>IFERROR(LOOKUP(2,1/('DRAFT 2'!$D:$D=$B4)*('DRAFT 2'!$A:$A&gt;=DATE(2026,7,1))*('DRAFT 2'!$A:$A&lt;DATE(2026,IF(7=12,7+1,7+1),1)),'DRAFT 2'!$A:$A),"")</f>
        <v/>
      </c>
      <c r="FU4">
        <f>COUNTIFS('DRAFT 2'!$D:$D,$B4,'DRAFT 2'!$A:$A,"&gt;="&amp;DATE(2026,7,1),'DRAFT 2'!$A:$A,"&lt;="&amp;DATE(2026,7,7))</f>
        <v/>
      </c>
      <c r="FV4">
        <f>COUNTIFS('DRAFT 2'!$D:$D,$B4,'DRAFT 2'!$A:$A,"&gt;="&amp;DATE(2026,7,8),'DRAFT 2'!$A:$A,"&lt;="&amp;DATE(2026,7,14))</f>
        <v/>
      </c>
      <c r="FW4">
        <f>COUNTIFS('DRAFT 2'!$D:$D,$B4,'DRAFT 2'!$A:$A,"&gt;="&amp;DATE(2026,7,15),'DRAFT 2'!$A:$A,"&lt;="&amp;DATE(2026,7,21))</f>
        <v/>
      </c>
      <c r="FX4">
        <f>COUNTIFS('DRAFT 2'!$D:$D,$B4,'DRAFT 2'!$A:$A,"&gt;="&amp;DATE(2026,7,22),'DRAFT 2'!$A:$A,"&lt;"&amp;DATE(2026,IF(7=12,7+1,7+1),1))</f>
        <v/>
      </c>
      <c r="FY4">
        <f>SUM(FU4:FX4)</f>
        <v/>
      </c>
      <c r="FZ4" s="49">
        <f>IF(GA4=0,1,GB4/GA4)</f>
        <v/>
      </c>
      <c r="GA4" s="46" t="n"/>
      <c r="GB4" s="46" t="n"/>
      <c r="GC4" s="49">
        <f>IF(GD4=0,1,GE4/GD4)</f>
        <v/>
      </c>
      <c r="GD4" s="46" t="n"/>
      <c r="GE4" s="46" t="n"/>
      <c r="GF4" s="49">
        <f>IF(GG4=0,1,GH4/GG4)</f>
        <v/>
      </c>
      <c r="GG4" s="46" t="n"/>
      <c r="GH4" s="46" t="n"/>
      <c r="GI4" s="47">
        <f>IFERROR(LOOKUP(2,1/('DRAFT 2'!$D:$D=$B4)*('DRAFT 2'!$A:$A&gt;=DATE(2026,8,1))*('DRAFT 2'!$A:$A&lt;DATE(2026,IF(8=12,8+1,8+1),1)),'DRAFT 2'!$A:$A),"")</f>
        <v/>
      </c>
      <c r="GJ4">
        <f>COUNTIFS('DRAFT 2'!$D:$D,$B4,'DRAFT 2'!$A:$A,"&gt;="&amp;DATE(2026,8,1),'DRAFT 2'!$A:$A,"&lt;="&amp;DATE(2026,8,7))</f>
        <v/>
      </c>
      <c r="GK4">
        <f>COUNTIFS('DRAFT 2'!$D:$D,$B4,'DRAFT 2'!$A:$A,"&gt;="&amp;DATE(2026,8,8),'DRAFT 2'!$A:$A,"&lt;="&amp;DATE(2026,8,14))</f>
        <v/>
      </c>
      <c r="GL4">
        <f>COUNTIFS('DRAFT 2'!$D:$D,$B4,'DRAFT 2'!$A:$A,"&gt;="&amp;DATE(2026,8,15),'DRAFT 2'!$A:$A,"&lt;="&amp;DATE(2026,8,21))</f>
        <v/>
      </c>
      <c r="GM4">
        <f>COUNTIFS('DRAFT 2'!$D:$D,$B4,'DRAFT 2'!$A:$A,"&gt;="&amp;DATE(2026,8,22),'DRAFT 2'!$A:$A,"&lt;"&amp;DATE(2026,IF(8=12,8+1,8+1),1))</f>
        <v/>
      </c>
      <c r="GN4">
        <f>SUM(GJ4:GM4)</f>
        <v/>
      </c>
      <c r="GO4" s="49">
        <f>IF(GP4=0,1,GQ4/GP4)</f>
        <v/>
      </c>
      <c r="GP4" s="46" t="n"/>
      <c r="GQ4" s="46" t="n"/>
      <c r="GR4" s="49">
        <f>IF(GS4=0,1,GT4/GS4)</f>
        <v/>
      </c>
      <c r="GS4" s="46" t="n"/>
      <c r="GT4" s="46" t="n"/>
      <c r="GU4" s="49">
        <f>IF(GV4=0,1,GW4/GV4)</f>
        <v/>
      </c>
      <c r="GV4" s="46" t="n"/>
      <c r="GW4" s="46" t="n"/>
      <c r="GX4" s="47">
        <f>IFERROR(LOOKUP(2,1/('DRAFT 2'!$D:$D=$B4)*('DRAFT 2'!$A:$A&gt;=DATE(2026,9,1))*('DRAFT 2'!$A:$A&lt;DATE(2026,IF(9=12,9+1,9+1),1)),'DRAFT 2'!$A:$A),"")</f>
        <v/>
      </c>
      <c r="GY4">
        <f>COUNTIFS('DRAFT 2'!$D:$D,$B4,'DRAFT 2'!$A:$A,"&gt;="&amp;DATE(2026,9,1),'DRAFT 2'!$A:$A,"&lt;="&amp;DATE(2026,9,7))</f>
        <v/>
      </c>
      <c r="GZ4">
        <f>COUNTIFS('DRAFT 2'!$D:$D,$B4,'DRAFT 2'!$A:$A,"&gt;="&amp;DATE(2026,9,8),'DRAFT 2'!$A:$A,"&lt;="&amp;DATE(2026,9,14))</f>
        <v/>
      </c>
      <c r="HA4">
        <f>COUNTIFS('DRAFT 2'!$D:$D,$B4,'DRAFT 2'!$A:$A,"&gt;="&amp;DATE(2026,9,15),'DRAFT 2'!$A:$A,"&lt;="&amp;DATE(2026,9,21))</f>
        <v/>
      </c>
      <c r="HB4">
        <f>COUNTIFS('DRAFT 2'!$D:$D,$B4,'DRAFT 2'!$A:$A,"&gt;="&amp;DATE(2026,9,22),'DRAFT 2'!$A:$A,"&lt;"&amp;DATE(2026,IF(9=12,9+1,9+1),1))</f>
        <v/>
      </c>
      <c r="HC4">
        <f>SUM(GY4:HB4)</f>
        <v/>
      </c>
      <c r="HD4" s="44">
        <f>AVERAGE(HK4,HZ4,IO4)</f>
        <v/>
      </c>
      <c r="HE4" s="50">
        <f>IF(HF4=0,1,HG4/HF4)</f>
        <v/>
      </c>
      <c r="HF4" s="46" t="n"/>
      <c r="HG4" s="46" t="n"/>
      <c r="HH4" s="50">
        <f>IF(HI4=0,1,HJ4/HI4)</f>
        <v/>
      </c>
      <c r="HI4" s="46" t="n"/>
      <c r="HJ4" s="46" t="n"/>
      <c r="HK4" s="50">
        <f>IF(HL4=0,1,HM4/HL4)</f>
        <v/>
      </c>
      <c r="HL4" s="46" t="n"/>
      <c r="HM4" s="46" t="n"/>
      <c r="HN4" s="47">
        <f>IFERROR(LOOKUP(2,1/('DRAFT 2'!$D:$D=$B4)*('DRAFT 2'!$A:$A&gt;=DATE(2026,10,1))*('DRAFT 2'!$A:$A&lt;DATE(2026,IF(10=12,10+1,10+1),1)),'DRAFT 2'!$A:$A),"")</f>
        <v/>
      </c>
      <c r="HO4">
        <f>COUNTIFS('DRAFT 2'!$D:$D,$B4,'DRAFT 2'!$A:$A,"&gt;="&amp;DATE(2026,10,1),'DRAFT 2'!$A:$A,"&lt;="&amp;DATE(2026,10,7))</f>
        <v/>
      </c>
      <c r="HP4">
        <f>COUNTIFS('DRAFT 2'!$D:$D,$B4,'DRAFT 2'!$A:$A,"&gt;="&amp;DATE(2026,10,8),'DRAFT 2'!$A:$A,"&lt;="&amp;DATE(2026,10,14))</f>
        <v/>
      </c>
      <c r="HQ4">
        <f>COUNTIFS('DRAFT 2'!$D:$D,$B4,'DRAFT 2'!$A:$A,"&gt;="&amp;DATE(2026,10,15),'DRAFT 2'!$A:$A,"&lt;="&amp;DATE(2026,10,21))</f>
        <v/>
      </c>
      <c r="HR4">
        <f>COUNTIFS('DRAFT 2'!$D:$D,$B4,'DRAFT 2'!$A:$A,"&gt;="&amp;DATE(2026,10,22),'DRAFT 2'!$A:$A,"&lt;"&amp;DATE(2026,IF(10=12,10+1,10+1),1))</f>
        <v/>
      </c>
      <c r="HS4">
        <f>SUM(HO4:HR4)</f>
        <v/>
      </c>
      <c r="HT4" s="50">
        <f>IF(HU4=0,1,HV4/HU4)</f>
        <v/>
      </c>
      <c r="HU4" s="46" t="n"/>
      <c r="HV4" s="46" t="n"/>
      <c r="HW4" s="50">
        <f>IF(HX4=0,1,HY4/HX4)</f>
        <v/>
      </c>
      <c r="HX4" s="46" t="n"/>
      <c r="HY4" s="46" t="n"/>
      <c r="HZ4" s="50">
        <f>IF(IA4=0,1,IB4/IA4)</f>
        <v/>
      </c>
      <c r="IA4" s="46" t="n"/>
      <c r="IB4" s="46" t="n"/>
      <c r="IC4" s="47">
        <f>IFERROR(LOOKUP(2,1/('DRAFT 2'!$D:$D=$B4)*('DRAFT 2'!$A:$A&gt;=DATE(2026,11,1))*('DRAFT 2'!$A:$A&lt;DATE(2026,IF(11=12,11+1,11+1),1)),'DRAFT 2'!$A:$A),"")</f>
        <v/>
      </c>
      <c r="ID4">
        <f>COUNTIFS('DRAFT 2'!$D:$D,$B4,'DRAFT 2'!$A:$A,"&gt;="&amp;DATE(2026,11,1),'DRAFT 2'!$A:$A,"&lt;="&amp;DATE(2026,11,7))</f>
        <v/>
      </c>
      <c r="IE4">
        <f>COUNTIFS('DRAFT 2'!$D:$D,$B4,'DRAFT 2'!$A:$A,"&gt;="&amp;DATE(2026,11,8),'DRAFT 2'!$A:$A,"&lt;="&amp;DATE(2026,11,14))</f>
        <v/>
      </c>
      <c r="IF4">
        <f>COUNTIFS('DRAFT 2'!$D:$D,$B4,'DRAFT 2'!$A:$A,"&gt;="&amp;DATE(2026,11,15),'DRAFT 2'!$A:$A,"&lt;="&amp;DATE(2026,11,21))</f>
        <v/>
      </c>
      <c r="IG4">
        <f>COUNTIFS('DRAFT 2'!$D:$D,$B4,'DRAFT 2'!$A:$A,"&gt;="&amp;DATE(2026,11,22),'DRAFT 2'!$A:$A,"&lt;"&amp;DATE(2026,IF(11=12,11+1,11+1),1))</f>
        <v/>
      </c>
      <c r="IH4">
        <f>SUM(ID4:IG4)</f>
        <v/>
      </c>
      <c r="II4" s="50">
        <f>IF(IJ4=0,1,IK4/IJ4)</f>
        <v/>
      </c>
      <c r="IJ4" s="46" t="n"/>
      <c r="IK4" s="46" t="n"/>
      <c r="IL4" s="50">
        <f>IF(IM4=0,1,IN4/IM4)</f>
        <v/>
      </c>
      <c r="IM4" s="46" t="n"/>
      <c r="IN4" s="46" t="n"/>
      <c r="IO4" s="50">
        <f>IF(IP4=0,1,IQ4/IP4)</f>
        <v/>
      </c>
      <c r="IP4" s="46" t="n"/>
      <c r="IQ4" s="46" t="n"/>
      <c r="IR4" s="47">
        <f>IFERROR(LOOKUP(2,1/('DRAFT 2'!$D:$D=$B4)*('DRAFT 2'!$A:$A&gt;=DATE(2026,12,1))*('DRAFT 2'!$A:$A&lt;DATE(2026,IF(12=12,12+1,12+1),1)),'DRAFT 2'!$A:$A),"")</f>
        <v/>
      </c>
      <c r="IS4">
        <f>COUNTIFS('DRAFT 2'!$D:$D,$B4,'DRAFT 2'!$A:$A,"&gt;="&amp;DATE(2026,12,1),'DRAFT 2'!$A:$A,"&lt;="&amp;DATE(2026,12,7))</f>
        <v/>
      </c>
      <c r="IT4">
        <f>COUNTIFS('DRAFT 2'!$D:$D,$B4,'DRAFT 2'!$A:$A,"&gt;="&amp;DATE(2026,12,8),'DRAFT 2'!$A:$A,"&lt;="&amp;DATE(2026,12,14))</f>
        <v/>
      </c>
      <c r="IU4">
        <f>COUNTIFS('DRAFT 2'!$D:$D,$B4,'DRAFT 2'!$A:$A,"&gt;="&amp;DATE(2026,12,15),'DRAFT 2'!$A:$A,"&lt;="&amp;DATE(2026,12,21))</f>
        <v/>
      </c>
      <c r="IV4">
        <f>COUNTIFS('DRAFT 2'!$D:$D,$B4,'DRAFT 2'!$A:$A,"&gt;="&amp;DATE(2026,12,22),'DRAFT 2'!$A:$A,"&lt;"&amp;DATE(2026,IF(12=12,12+1,12+1),1))</f>
        <v/>
      </c>
      <c r="IW4">
        <f>SUM(IS4:IV4)</f>
        <v/>
      </c>
    </row>
    <row r="5" ht="15" customHeight="1" s="108">
      <c r="A5">
        <f>IFERROR(INDEX('DRAFT 1'!$A:$A,MATCH($B5,'DRAFT 1'!$B:$B,0)),"")</f>
        <v/>
      </c>
      <c r="B5" t="inlineStr">
        <is>
          <t>41626544000140</t>
        </is>
      </c>
      <c r="C5">
        <f>IFERROR(INDEX('DRAFT 1'!$C:$C,MATCH($B5,'DRAFT 1'!$B:$B,0)),"")</f>
        <v/>
      </c>
      <c r="D5">
        <f>IFERROR(INDEX('DRAFT 1'!$D:$D,MATCH($B5,'DRAFT 1'!$B:$B,0)),"")</f>
        <v/>
      </c>
      <c r="E5">
        <f>IFERROR(INDEX('DRAFT 1'!$E:$E,MATCH($B5,'DRAFT 1'!$B:$B,0)),"")</f>
        <v/>
      </c>
      <c r="F5">
        <f>IFERROR(INDEX('DRAFT 1'!$F:$F,MATCH($B5,'DRAFT 1'!$B:$B,0)),"")</f>
        <v/>
      </c>
      <c r="G5">
        <f>IFERROR(INDEX('DRAFT 1'!$G:$G,MATCH($B5,'DRAFT 1'!$B:$B,0)),"")</f>
        <v/>
      </c>
      <c r="H5">
        <f>IFERROR(INDEX('DRAFT 1'!$H:$H,MATCH($B5,'DRAFT 1'!$B:$B,0)),"")</f>
        <v/>
      </c>
      <c r="I5" t="inlineStr">
        <is>
          <t>FIT LAND</t>
        </is>
      </c>
      <c r="K5">
        <f>IFERROR(INDEX('DRAFT 1'!$AL:$AL,MATCH($B5,'DRAFT 1'!$B:$B,0)),"")</f>
        <v/>
      </c>
      <c r="L5">
        <f>IFERROR(INDEX('DRAFT 1'!$J:$J,MATCH($B5,'DRAFT 1'!$B:$B,0)),"")</f>
        <v/>
      </c>
      <c r="M5">
        <f>IFERROR(INDEX('DRAFT 1'!$K:$K,MATCH($B5,'DRAFT 1'!$B:$B,0)),"")</f>
        <v/>
      </c>
      <c r="N5" t="inlineStr">
        <is>
          <t>EM RISCO</t>
        </is>
      </c>
      <c r="O5">
        <f>IF(N5="EM RISCO",1,IF(N5="INAT.REC",2,IF(N5="ATIVO",3,IF(N5="INAT.ANT",4,5))))</f>
        <v/>
      </c>
      <c r="P5">
        <f>IFERROR(INDEX('DRAFT 1'!$L:$L,MATCH($B5,'DRAFT 1'!$B:$B,0)),"")</f>
        <v/>
      </c>
      <c r="Q5">
        <f>IFERROR(INDEX('DRAFT 1'!$M:$M,MATCH($B5,'DRAFT 1'!$B:$B,0)),"")</f>
        <v/>
      </c>
      <c r="R5">
        <f>IFERROR(INDEX('DRAFT 1'!$N:$N,MATCH($B5,'DRAFT 1'!$B:$B,0)),"")</f>
        <v/>
      </c>
      <c r="S5">
        <f>IFERROR(INDEX('DRAFT 1'!$O:$O,MATCH($B5,'DRAFT 1'!$B:$B,0)),"")</f>
        <v/>
      </c>
      <c r="T5">
        <f>IFERROR(INDEX('DRAFT 1'!$P:$P,MATCH($B5,'DRAFT 1'!$B:$B,0)),"")</f>
        <v/>
      </c>
      <c r="U5">
        <f>IFERROR(INDEX('DRAFT 1'!$Q:$Q,MATCH($B5,'DRAFT 1'!$B:$B,0)),"")</f>
        <v/>
      </c>
      <c r="V5">
        <f>IFERROR(INDEX('DRAFT 1'!$R:$R,MATCH($B5,'DRAFT 1'!$B:$B,0)),"")</f>
        <v/>
      </c>
      <c r="W5">
        <f>IFERROR(INDEX('DRAFT 1'!$S:$S,MATCH($B5,'DRAFT 1'!$B:$B,0)),"")</f>
        <v/>
      </c>
      <c r="X5">
        <f>IFERROR(INDEX('DRAFT 1'!$T:$T,MATCH($B5,'DRAFT 1'!$B:$B,0)),"")</f>
        <v/>
      </c>
      <c r="Y5">
        <f>SUM(Z5:AJ5)</f>
        <v/>
      </c>
      <c r="Z5">
        <f>IFERROR(INDEX('DRAFT 1'!$U:$U,MATCH($B5,'DRAFT 1'!$B:$B,0)),"")</f>
        <v/>
      </c>
      <c r="AA5">
        <f>IFERROR(INDEX('DRAFT 1'!$V:$V,MATCH($B5,'DRAFT 1'!$B:$B,0)),"")</f>
        <v/>
      </c>
      <c r="AB5">
        <f>IFERROR(INDEX('DRAFT 1'!$W:$W,MATCH($B5,'DRAFT 1'!$B:$B,0)),"")</f>
        <v/>
      </c>
      <c r="AC5">
        <f>IFERROR(INDEX('DRAFT 1'!$X:$X,MATCH($B5,'DRAFT 1'!$B:$B,0)),"")</f>
        <v/>
      </c>
      <c r="AD5">
        <f>IFERROR(INDEX('DRAFT 1'!$Y:$Y,MATCH($B5,'DRAFT 1'!$B:$B,0)),"")</f>
        <v/>
      </c>
      <c r="AE5">
        <f>IFERROR(INDEX('DRAFT 1'!$Z:$Z,MATCH($B5,'DRAFT 1'!$B:$B,0)),"")</f>
        <v/>
      </c>
      <c r="AF5">
        <f>IFERROR(INDEX('DRAFT 1'!$AA:$AA,MATCH($B5,'DRAFT 1'!$B:$B,0)),"")</f>
        <v/>
      </c>
      <c r="AG5">
        <f>IFERROR(INDEX('DRAFT 1'!$AB:$AB,MATCH($B5,'DRAFT 1'!$B:$B,0)),"")</f>
        <v/>
      </c>
      <c r="AH5">
        <f>IFERROR(INDEX('DRAFT 1'!$AC:$AC,MATCH($B5,'DRAFT 1'!$B:$B,0)),"")</f>
        <v/>
      </c>
      <c r="AI5">
        <f>IFERROR(INDEX('DRAFT 1'!$AD:$AD,MATCH($B5,'DRAFT 1'!$B:$B,0)),"")</f>
        <v/>
      </c>
      <c r="AJ5">
        <f>IFERROR(INDEX('DRAFT 1'!$AE:$AE,MATCH($B5,'DRAFT 1'!$B:$B,0)),"")</f>
        <v/>
      </c>
      <c r="AK5">
        <f>IFERROR(INDEX('DRAFT 1'!$AG:$AG,MATCH($B5,'DRAFT 1'!$B:$B,0)),"")</f>
        <v/>
      </c>
      <c r="AL5">
        <f>IFERROR(INDEX('DRAFT 1'!$AH:$AH,MATCH($B5,'DRAFT 1'!$B:$B,0)),"")</f>
        <v/>
      </c>
      <c r="AM5">
        <f>IFERROR(INDEX('DRAFT 1'!$AI:$AI,MATCH($B5,'DRAFT 1'!$B:$B,0)),"")</f>
        <v/>
      </c>
      <c r="AN5">
        <f>IFERROR(INDEX('DRAFT 1'!$AJ:$AJ,MATCH($B5,'DRAFT 1'!$B:$B,0)),"")</f>
        <v/>
      </c>
      <c r="AO5">
        <f>IFERROR(Y5/AN5,0)</f>
        <v/>
      </c>
      <c r="AP5">
        <f>IFERROR(INDEX('DRAFT 1'!$AK:$AK,MATCH($B5,'DRAFT 1'!$B:$B,0)),"")</f>
        <v/>
      </c>
      <c r="AR5" t="inlineStr">
        <is>
          <t>PÓS-VENDA</t>
        </is>
      </c>
      <c r="AS5">
        <f>IFERROR(LOOKUP(2,1/('DRAFT 2'!$D:$D=$B5),'DRAFT 2'!$T:$T),"")</f>
        <v/>
      </c>
      <c r="AT5">
        <f>IFERROR(LOOKUP(2,1/('DRAFT 2'!$D:$D=$B5),'DRAFT 2'!$A:$A),"")</f>
        <v/>
      </c>
      <c r="AU5">
        <f>IFERROR(LOOKUP(2,1/('DRAFT 2'!$D:$D=$B5),'DRAFT 2'!$R:$R),"")</f>
        <v/>
      </c>
      <c r="AV5">
        <f>IFERROR(LOOKUP(2,1/('DRAFT 2'!$D:$D=$B5),'DRAFT 2'!$S:$S),"")</f>
        <v/>
      </c>
      <c r="AW5" t="inlineStr">
        <is>
          <t>LEAD</t>
        </is>
      </c>
      <c r="AX5">
        <f>IFERROR(LOOKUP(2,1/('DRAFT 2'!$D:$D=$B5),'DRAFT 2'!$M:$M),"")</f>
        <v/>
      </c>
      <c r="AY5">
        <f>IFERROR(LOOKUP(2,1/('DRAFT 2'!$D:$D=$B5),'DRAFT 2'!$K:$K),"")</f>
        <v/>
      </c>
      <c r="BA5">
        <f>IF(N5="PROSPECT","❄️ FRIO",IF(OR(AR5="ORÇAMENTO",AR5="NEGOCIAÇÃO",AR5="CADASTRO"),"🔥 QUENTE",IF(OR(AR5="FOLLOW UP 7",AR5="FOLLOW UP 15",AR5="ATENDIMENTO"),"⚡ MORNO","❄️ FRIO")))</f>
        <v/>
      </c>
      <c r="BB5">
        <f>IF(BE5="","",BE5-BC5)</f>
        <v/>
      </c>
      <c r="BG5">
        <f>IFERROR(LOOKUP(2,1/('DRAFT 2'!$D:$D=$B5),'DRAFT 2'!$U:$U),"")</f>
        <v/>
      </c>
      <c r="BH5">
        <f>IFERROR(LOOKUP(2,1/('DRAFT 2'!$D:$D=$B5),'DRAFT 2'!$V:$V),"")</f>
        <v/>
      </c>
      <c r="BI5">
        <f>IF(Q5="","🟣",IF(P5&lt;=IF(AK5="",45,AK5),"🟢",IF(P5&lt;=IF(AK5="",45,AK5)+30,"🟡","🔴")))</f>
        <v/>
      </c>
      <c r="BJ5" t="inlineStr">
        <is>
          <t>SAP002</t>
        </is>
      </c>
      <c r="BU5" s="44">
        <f>CR5</f>
        <v/>
      </c>
      <c r="BV5" s="44">
        <f>AVERAGE(CC5,CR5,DG5)</f>
        <v/>
      </c>
      <c r="BW5" s="45">
        <f>IF(BX5=0,1,BY5/BX5)</f>
        <v/>
      </c>
      <c r="BX5" s="46" t="n"/>
      <c r="BY5" s="46" t="n"/>
      <c r="BZ5" s="45">
        <f>IF(CA5=0,1,CB5/CA5)</f>
        <v/>
      </c>
      <c r="CA5" s="46" t="n"/>
      <c r="CB5" s="46" t="n"/>
      <c r="CC5" s="45">
        <f>IF(CD5=0,1,CE5/CD5)</f>
        <v/>
      </c>
      <c r="CD5" s="46" t="n"/>
      <c r="CE5" s="46">
        <f>IFERROR(AJ5,0)</f>
        <v/>
      </c>
      <c r="CF5" s="47">
        <f>IFERROR(LOOKUP(2,1/('DRAFT 2'!$D:$D=$B5)*('DRAFT 2'!$A:$A&gt;=DATE(2026,1,1))*('DRAFT 2'!$A:$A&lt;DATE(2026,IF(1=12,1+1,1+1),1)),'DRAFT 2'!$A:$A),"")</f>
        <v/>
      </c>
      <c r="CG5">
        <f>COUNTIFS('DRAFT 2'!$D:$D,$B5,'DRAFT 2'!$A:$A,"&gt;="&amp;DATE(2026,1,1),'DRAFT 2'!$A:$A,"&lt;="&amp;DATE(2026,1,7))</f>
        <v/>
      </c>
      <c r="CH5">
        <f>COUNTIFS('DRAFT 2'!$D:$D,$B5,'DRAFT 2'!$A:$A,"&gt;="&amp;DATE(2026,1,8),'DRAFT 2'!$A:$A,"&lt;="&amp;DATE(2026,1,14))</f>
        <v/>
      </c>
      <c r="CI5">
        <f>COUNTIFS('DRAFT 2'!$D:$D,$B5,'DRAFT 2'!$A:$A,"&gt;="&amp;DATE(2026,1,15),'DRAFT 2'!$A:$A,"&lt;="&amp;DATE(2026,1,21))</f>
        <v/>
      </c>
      <c r="CJ5">
        <f>COUNTIFS('DRAFT 2'!$D:$D,$B5,'DRAFT 2'!$A:$A,"&gt;="&amp;DATE(2026,1,22),'DRAFT 2'!$A:$A,"&lt;"&amp;DATE(2026,IF(1=12,1+1,1+1),1))</f>
        <v/>
      </c>
      <c r="CK5">
        <f>SUM(CG5:CJ5)</f>
        <v/>
      </c>
      <c r="CL5" s="45">
        <f>IF(CM5=0,1,CN5/CM5)</f>
        <v/>
      </c>
      <c r="CM5" s="46" t="n"/>
      <c r="CN5" s="46" t="n"/>
      <c r="CO5" s="45">
        <f>IF(CP5=0,1,CQ5/CP5)</f>
        <v/>
      </c>
      <c r="CP5" s="46" t="n"/>
      <c r="CQ5" s="46" t="n"/>
      <c r="CR5" s="45">
        <f>IF(CS5=0,1,CT5/CS5)</f>
        <v/>
      </c>
      <c r="CS5" s="46" t="n"/>
      <c r="CT5" s="46" t="n">
        <v>0</v>
      </c>
      <c r="CU5" s="47">
        <f>IFERROR(LOOKUP(2,1/('DRAFT 2'!$D:$D=$B5)*('DRAFT 2'!$A:$A&gt;=DATE(2026,2,1))*('DRAFT 2'!$A:$A&lt;DATE(2026,IF(2=12,2+1,2+1),1)),'DRAFT 2'!$A:$A),"")</f>
        <v/>
      </c>
      <c r="CV5">
        <f>COUNTIFS('DRAFT 2'!$D:$D,$B5,'DRAFT 2'!$A:$A,"&gt;="&amp;DATE(2026,2,1),'DRAFT 2'!$A:$A,"&lt;="&amp;DATE(2026,2,7))</f>
        <v/>
      </c>
      <c r="CW5">
        <f>COUNTIFS('DRAFT 2'!$D:$D,$B5,'DRAFT 2'!$A:$A,"&gt;="&amp;DATE(2026,2,8),'DRAFT 2'!$A:$A,"&lt;="&amp;DATE(2026,2,14))</f>
        <v/>
      </c>
      <c r="CX5">
        <f>COUNTIFS('DRAFT 2'!$D:$D,$B5,'DRAFT 2'!$A:$A,"&gt;="&amp;DATE(2026,2,15),'DRAFT 2'!$A:$A,"&lt;="&amp;DATE(2026,2,21))</f>
        <v/>
      </c>
      <c r="CY5">
        <f>COUNTIFS('DRAFT 2'!$D:$D,$B5,'DRAFT 2'!$A:$A,"&gt;="&amp;DATE(2026,2,22),'DRAFT 2'!$A:$A,"&lt;"&amp;DATE(2026,IF(2=12,2+1,2+1),1))</f>
        <v/>
      </c>
      <c r="CZ5">
        <f>SUM(CV5:CY5)</f>
        <v/>
      </c>
      <c r="DA5" s="45">
        <f>IF(DB5=0,1,DC5/DB5)</f>
        <v/>
      </c>
      <c r="DB5" s="46" t="n"/>
      <c r="DC5" s="46" t="n"/>
      <c r="DD5" s="45">
        <f>IF(DE5=0,1,DF5/DE5)</f>
        <v/>
      </c>
      <c r="DE5" s="46" t="n"/>
      <c r="DF5" s="46" t="n"/>
      <c r="DG5" s="45">
        <f>IF(DH5=0,1,DI5/DH5)</f>
        <v/>
      </c>
      <c r="DH5" s="46" t="n"/>
      <c r="DI5" s="46" t="n"/>
      <c r="DJ5" s="47">
        <f>IFERROR(LOOKUP(2,1/('DRAFT 2'!$D:$D=$B5)*('DRAFT 2'!$A:$A&gt;=DATE(2026,3,1))*('DRAFT 2'!$A:$A&lt;DATE(2026,IF(3=12,3+1,3+1),1)),'DRAFT 2'!$A:$A),"")</f>
        <v/>
      </c>
      <c r="DK5">
        <f>COUNTIFS('DRAFT 2'!$D:$D,$B5,'DRAFT 2'!$A:$A,"&gt;="&amp;DATE(2026,3,1),'DRAFT 2'!$A:$A,"&lt;="&amp;DATE(2026,3,7))</f>
        <v/>
      </c>
      <c r="DL5">
        <f>COUNTIFS('DRAFT 2'!$D:$D,$B5,'DRAFT 2'!$A:$A,"&gt;="&amp;DATE(2026,3,8),'DRAFT 2'!$A:$A,"&lt;="&amp;DATE(2026,3,14))</f>
        <v/>
      </c>
      <c r="DM5">
        <f>COUNTIFS('DRAFT 2'!$D:$D,$B5,'DRAFT 2'!$A:$A,"&gt;="&amp;DATE(2026,3,15),'DRAFT 2'!$A:$A,"&lt;="&amp;DATE(2026,3,21))</f>
        <v/>
      </c>
      <c r="DN5">
        <f>COUNTIFS('DRAFT 2'!$D:$D,$B5,'DRAFT 2'!$A:$A,"&gt;="&amp;DATE(2026,3,22),'DRAFT 2'!$A:$A,"&lt;"&amp;DATE(2026,IF(3=12,3+1,3+1),1))</f>
        <v/>
      </c>
      <c r="DO5">
        <f>SUM(DK5:DN5)</f>
        <v/>
      </c>
      <c r="DP5" s="44">
        <f>AVERAGE(DW5,EL5,FA5)</f>
        <v/>
      </c>
      <c r="DQ5" s="48">
        <f>IF(DR5=0,1,DS5/DR5)</f>
        <v/>
      </c>
      <c r="DR5" s="46" t="n"/>
      <c r="DS5" s="46" t="n"/>
      <c r="DT5" s="48">
        <f>IF(DU5=0,1,DV5/DU5)</f>
        <v/>
      </c>
      <c r="DU5" s="46" t="n"/>
      <c r="DV5" s="46" t="n"/>
      <c r="DW5" s="48">
        <f>IF(DX5=0,1,DY5/DX5)</f>
        <v/>
      </c>
      <c r="DX5" s="46" t="n"/>
      <c r="DY5" s="46" t="n"/>
      <c r="DZ5" s="47">
        <f>IFERROR(LOOKUP(2,1/('DRAFT 2'!$D:$D=$B5)*('DRAFT 2'!$A:$A&gt;=DATE(2026,4,1))*('DRAFT 2'!$A:$A&lt;DATE(2026,IF(4=12,4+1,4+1),1)),'DRAFT 2'!$A:$A),"")</f>
        <v/>
      </c>
      <c r="EA5">
        <f>COUNTIFS('DRAFT 2'!$D:$D,$B5,'DRAFT 2'!$A:$A,"&gt;="&amp;DATE(2026,4,1),'DRAFT 2'!$A:$A,"&lt;="&amp;DATE(2026,4,7))</f>
        <v/>
      </c>
      <c r="EB5">
        <f>COUNTIFS('DRAFT 2'!$D:$D,$B5,'DRAFT 2'!$A:$A,"&gt;="&amp;DATE(2026,4,8),'DRAFT 2'!$A:$A,"&lt;="&amp;DATE(2026,4,14))</f>
        <v/>
      </c>
      <c r="EC5">
        <f>COUNTIFS('DRAFT 2'!$D:$D,$B5,'DRAFT 2'!$A:$A,"&gt;="&amp;DATE(2026,4,15),'DRAFT 2'!$A:$A,"&lt;="&amp;DATE(2026,4,21))</f>
        <v/>
      </c>
      <c r="ED5">
        <f>COUNTIFS('DRAFT 2'!$D:$D,$B5,'DRAFT 2'!$A:$A,"&gt;="&amp;DATE(2026,4,22),'DRAFT 2'!$A:$A,"&lt;"&amp;DATE(2026,IF(4=12,4+1,4+1),1))</f>
        <v/>
      </c>
      <c r="EE5">
        <f>SUM(EA5:ED5)</f>
        <v/>
      </c>
      <c r="EF5" s="48">
        <f>IF(EG5=0,1,EH5/EG5)</f>
        <v/>
      </c>
      <c r="EG5" s="46" t="n"/>
      <c r="EH5" s="46" t="n"/>
      <c r="EI5" s="48">
        <f>IF(EJ5=0,1,EK5/EJ5)</f>
        <v/>
      </c>
      <c r="EJ5" s="46" t="n"/>
      <c r="EK5" s="46" t="n"/>
      <c r="EL5" s="48">
        <f>IF(EM5=0,1,EN5/EM5)</f>
        <v/>
      </c>
      <c r="EM5" s="46" t="n"/>
      <c r="EN5" s="46" t="n"/>
      <c r="EO5" s="47">
        <f>IFERROR(LOOKUP(2,1/('DRAFT 2'!$D:$D=$B5)*('DRAFT 2'!$A:$A&gt;=DATE(2026,5,1))*('DRAFT 2'!$A:$A&lt;DATE(2026,IF(5=12,5+1,5+1),1)),'DRAFT 2'!$A:$A),"")</f>
        <v/>
      </c>
      <c r="EP5">
        <f>COUNTIFS('DRAFT 2'!$D:$D,$B5,'DRAFT 2'!$A:$A,"&gt;="&amp;DATE(2026,5,1),'DRAFT 2'!$A:$A,"&lt;="&amp;DATE(2026,5,7))</f>
        <v/>
      </c>
      <c r="EQ5">
        <f>COUNTIFS('DRAFT 2'!$D:$D,$B5,'DRAFT 2'!$A:$A,"&gt;="&amp;DATE(2026,5,8),'DRAFT 2'!$A:$A,"&lt;="&amp;DATE(2026,5,14))</f>
        <v/>
      </c>
      <c r="ER5">
        <f>COUNTIFS('DRAFT 2'!$D:$D,$B5,'DRAFT 2'!$A:$A,"&gt;="&amp;DATE(2026,5,15),'DRAFT 2'!$A:$A,"&lt;="&amp;DATE(2026,5,21))</f>
        <v/>
      </c>
      <c r="ES5">
        <f>COUNTIFS('DRAFT 2'!$D:$D,$B5,'DRAFT 2'!$A:$A,"&gt;="&amp;DATE(2026,5,22),'DRAFT 2'!$A:$A,"&lt;"&amp;DATE(2026,IF(5=12,5+1,5+1),1))</f>
        <v/>
      </c>
      <c r="ET5">
        <f>SUM(EP5:ES5)</f>
        <v/>
      </c>
      <c r="EU5" s="48">
        <f>IF(EV5=0,1,EW5/EV5)</f>
        <v/>
      </c>
      <c r="EV5" s="46" t="n"/>
      <c r="EW5" s="46" t="n"/>
      <c r="EX5" s="48">
        <f>IF(EY5=0,1,EZ5/EY5)</f>
        <v/>
      </c>
      <c r="EY5" s="46" t="n"/>
      <c r="EZ5" s="46" t="n"/>
      <c r="FA5" s="48">
        <f>IF(FB5=0,1,FC5/FB5)</f>
        <v/>
      </c>
      <c r="FB5" s="46" t="n"/>
      <c r="FC5" s="46" t="n"/>
      <c r="FD5" s="47">
        <f>IFERROR(LOOKUP(2,1/('DRAFT 2'!$D:$D=$B5)*('DRAFT 2'!$A:$A&gt;=DATE(2026,6,1))*('DRAFT 2'!$A:$A&lt;DATE(2026,IF(6=12,6+1,6+1),1)),'DRAFT 2'!$A:$A),"")</f>
        <v/>
      </c>
      <c r="FE5">
        <f>COUNTIFS('DRAFT 2'!$D:$D,$B5,'DRAFT 2'!$A:$A,"&gt;="&amp;DATE(2026,6,1),'DRAFT 2'!$A:$A,"&lt;="&amp;DATE(2026,6,7))</f>
        <v/>
      </c>
      <c r="FF5">
        <f>COUNTIFS('DRAFT 2'!$D:$D,$B5,'DRAFT 2'!$A:$A,"&gt;="&amp;DATE(2026,6,8),'DRAFT 2'!$A:$A,"&lt;="&amp;DATE(2026,6,14))</f>
        <v/>
      </c>
      <c r="FG5">
        <f>COUNTIFS('DRAFT 2'!$D:$D,$B5,'DRAFT 2'!$A:$A,"&gt;="&amp;DATE(2026,6,15),'DRAFT 2'!$A:$A,"&lt;="&amp;DATE(2026,6,21))</f>
        <v/>
      </c>
      <c r="FH5">
        <f>COUNTIFS('DRAFT 2'!$D:$D,$B5,'DRAFT 2'!$A:$A,"&gt;="&amp;DATE(2026,6,22),'DRAFT 2'!$A:$A,"&lt;"&amp;DATE(2026,IF(6=12,6+1,6+1),1))</f>
        <v/>
      </c>
      <c r="FI5">
        <f>SUM(FE5:FH5)</f>
        <v/>
      </c>
      <c r="FJ5" s="44">
        <f>AVERAGE(FQ5,GF5,GU5)</f>
        <v/>
      </c>
      <c r="FK5" s="49">
        <f>IF(FL5=0,1,FM5/FL5)</f>
        <v/>
      </c>
      <c r="FL5" s="46" t="n"/>
      <c r="FM5" s="46" t="n"/>
      <c r="FN5" s="49">
        <f>IF(FO5=0,1,FP5/FO5)</f>
        <v/>
      </c>
      <c r="FO5" s="46" t="n"/>
      <c r="FP5" s="46" t="n"/>
      <c r="FQ5" s="49">
        <f>IF(FR5=0,1,FS5/FR5)</f>
        <v/>
      </c>
      <c r="FR5" s="46" t="n"/>
      <c r="FS5" s="46" t="n"/>
      <c r="FT5" s="47">
        <f>IFERROR(LOOKUP(2,1/('DRAFT 2'!$D:$D=$B5)*('DRAFT 2'!$A:$A&gt;=DATE(2026,7,1))*('DRAFT 2'!$A:$A&lt;DATE(2026,IF(7=12,7+1,7+1),1)),'DRAFT 2'!$A:$A),"")</f>
        <v/>
      </c>
      <c r="FU5">
        <f>COUNTIFS('DRAFT 2'!$D:$D,$B5,'DRAFT 2'!$A:$A,"&gt;="&amp;DATE(2026,7,1),'DRAFT 2'!$A:$A,"&lt;="&amp;DATE(2026,7,7))</f>
        <v/>
      </c>
      <c r="FV5">
        <f>COUNTIFS('DRAFT 2'!$D:$D,$B5,'DRAFT 2'!$A:$A,"&gt;="&amp;DATE(2026,7,8),'DRAFT 2'!$A:$A,"&lt;="&amp;DATE(2026,7,14))</f>
        <v/>
      </c>
      <c r="FW5">
        <f>COUNTIFS('DRAFT 2'!$D:$D,$B5,'DRAFT 2'!$A:$A,"&gt;="&amp;DATE(2026,7,15),'DRAFT 2'!$A:$A,"&lt;="&amp;DATE(2026,7,21))</f>
        <v/>
      </c>
      <c r="FX5">
        <f>COUNTIFS('DRAFT 2'!$D:$D,$B5,'DRAFT 2'!$A:$A,"&gt;="&amp;DATE(2026,7,22),'DRAFT 2'!$A:$A,"&lt;"&amp;DATE(2026,IF(7=12,7+1,7+1),1))</f>
        <v/>
      </c>
      <c r="FY5">
        <f>SUM(FU5:FX5)</f>
        <v/>
      </c>
      <c r="FZ5" s="49">
        <f>IF(GA5=0,1,GB5/GA5)</f>
        <v/>
      </c>
      <c r="GA5" s="46" t="n"/>
      <c r="GB5" s="46" t="n"/>
      <c r="GC5" s="49">
        <f>IF(GD5=0,1,GE5/GD5)</f>
        <v/>
      </c>
      <c r="GD5" s="46" t="n"/>
      <c r="GE5" s="46" t="n"/>
      <c r="GF5" s="49">
        <f>IF(GG5=0,1,GH5/GG5)</f>
        <v/>
      </c>
      <c r="GG5" s="46" t="n"/>
      <c r="GH5" s="46" t="n"/>
      <c r="GI5" s="47">
        <f>IFERROR(LOOKUP(2,1/('DRAFT 2'!$D:$D=$B5)*('DRAFT 2'!$A:$A&gt;=DATE(2026,8,1))*('DRAFT 2'!$A:$A&lt;DATE(2026,IF(8=12,8+1,8+1),1)),'DRAFT 2'!$A:$A),"")</f>
        <v/>
      </c>
      <c r="GJ5">
        <f>COUNTIFS('DRAFT 2'!$D:$D,$B5,'DRAFT 2'!$A:$A,"&gt;="&amp;DATE(2026,8,1),'DRAFT 2'!$A:$A,"&lt;="&amp;DATE(2026,8,7))</f>
        <v/>
      </c>
      <c r="GK5">
        <f>COUNTIFS('DRAFT 2'!$D:$D,$B5,'DRAFT 2'!$A:$A,"&gt;="&amp;DATE(2026,8,8),'DRAFT 2'!$A:$A,"&lt;="&amp;DATE(2026,8,14))</f>
        <v/>
      </c>
      <c r="GL5">
        <f>COUNTIFS('DRAFT 2'!$D:$D,$B5,'DRAFT 2'!$A:$A,"&gt;="&amp;DATE(2026,8,15),'DRAFT 2'!$A:$A,"&lt;="&amp;DATE(2026,8,21))</f>
        <v/>
      </c>
      <c r="GM5">
        <f>COUNTIFS('DRAFT 2'!$D:$D,$B5,'DRAFT 2'!$A:$A,"&gt;="&amp;DATE(2026,8,22),'DRAFT 2'!$A:$A,"&lt;"&amp;DATE(2026,IF(8=12,8+1,8+1),1))</f>
        <v/>
      </c>
      <c r="GN5">
        <f>SUM(GJ5:GM5)</f>
        <v/>
      </c>
      <c r="GO5" s="49">
        <f>IF(GP5=0,1,GQ5/GP5)</f>
        <v/>
      </c>
      <c r="GP5" s="46" t="n"/>
      <c r="GQ5" s="46" t="n"/>
      <c r="GR5" s="49">
        <f>IF(GS5=0,1,GT5/GS5)</f>
        <v/>
      </c>
      <c r="GS5" s="46" t="n"/>
      <c r="GT5" s="46" t="n"/>
      <c r="GU5" s="49">
        <f>IF(GV5=0,1,GW5/GV5)</f>
        <v/>
      </c>
      <c r="GV5" s="46" t="n"/>
      <c r="GW5" s="46" t="n"/>
      <c r="GX5" s="47">
        <f>IFERROR(LOOKUP(2,1/('DRAFT 2'!$D:$D=$B5)*('DRAFT 2'!$A:$A&gt;=DATE(2026,9,1))*('DRAFT 2'!$A:$A&lt;DATE(2026,IF(9=12,9+1,9+1),1)),'DRAFT 2'!$A:$A),"")</f>
        <v/>
      </c>
      <c r="GY5">
        <f>COUNTIFS('DRAFT 2'!$D:$D,$B5,'DRAFT 2'!$A:$A,"&gt;="&amp;DATE(2026,9,1),'DRAFT 2'!$A:$A,"&lt;="&amp;DATE(2026,9,7))</f>
        <v/>
      </c>
      <c r="GZ5">
        <f>COUNTIFS('DRAFT 2'!$D:$D,$B5,'DRAFT 2'!$A:$A,"&gt;="&amp;DATE(2026,9,8),'DRAFT 2'!$A:$A,"&lt;="&amp;DATE(2026,9,14))</f>
        <v/>
      </c>
      <c r="HA5">
        <f>COUNTIFS('DRAFT 2'!$D:$D,$B5,'DRAFT 2'!$A:$A,"&gt;="&amp;DATE(2026,9,15),'DRAFT 2'!$A:$A,"&lt;="&amp;DATE(2026,9,21))</f>
        <v/>
      </c>
      <c r="HB5">
        <f>COUNTIFS('DRAFT 2'!$D:$D,$B5,'DRAFT 2'!$A:$A,"&gt;="&amp;DATE(2026,9,22),'DRAFT 2'!$A:$A,"&lt;"&amp;DATE(2026,IF(9=12,9+1,9+1),1))</f>
        <v/>
      </c>
      <c r="HC5">
        <f>SUM(GY5:HB5)</f>
        <v/>
      </c>
      <c r="HD5" s="44">
        <f>AVERAGE(HK5,HZ5,IO5)</f>
        <v/>
      </c>
      <c r="HE5" s="50">
        <f>IF(HF5=0,1,HG5/HF5)</f>
        <v/>
      </c>
      <c r="HF5" s="46" t="n"/>
      <c r="HG5" s="46" t="n"/>
      <c r="HH5" s="50">
        <f>IF(HI5=0,1,HJ5/HI5)</f>
        <v/>
      </c>
      <c r="HI5" s="46" t="n"/>
      <c r="HJ5" s="46" t="n"/>
      <c r="HK5" s="50">
        <f>IF(HL5=0,1,HM5/HL5)</f>
        <v/>
      </c>
      <c r="HL5" s="46" t="n"/>
      <c r="HM5" s="46" t="n"/>
      <c r="HN5" s="47">
        <f>IFERROR(LOOKUP(2,1/('DRAFT 2'!$D:$D=$B5)*('DRAFT 2'!$A:$A&gt;=DATE(2026,10,1))*('DRAFT 2'!$A:$A&lt;DATE(2026,IF(10=12,10+1,10+1),1)),'DRAFT 2'!$A:$A),"")</f>
        <v/>
      </c>
      <c r="HO5">
        <f>COUNTIFS('DRAFT 2'!$D:$D,$B5,'DRAFT 2'!$A:$A,"&gt;="&amp;DATE(2026,10,1),'DRAFT 2'!$A:$A,"&lt;="&amp;DATE(2026,10,7))</f>
        <v/>
      </c>
      <c r="HP5">
        <f>COUNTIFS('DRAFT 2'!$D:$D,$B5,'DRAFT 2'!$A:$A,"&gt;="&amp;DATE(2026,10,8),'DRAFT 2'!$A:$A,"&lt;="&amp;DATE(2026,10,14))</f>
        <v/>
      </c>
      <c r="HQ5">
        <f>COUNTIFS('DRAFT 2'!$D:$D,$B5,'DRAFT 2'!$A:$A,"&gt;="&amp;DATE(2026,10,15),'DRAFT 2'!$A:$A,"&lt;="&amp;DATE(2026,10,21))</f>
        <v/>
      </c>
      <c r="HR5">
        <f>COUNTIFS('DRAFT 2'!$D:$D,$B5,'DRAFT 2'!$A:$A,"&gt;="&amp;DATE(2026,10,22),'DRAFT 2'!$A:$A,"&lt;"&amp;DATE(2026,IF(10=12,10+1,10+1),1))</f>
        <v/>
      </c>
      <c r="HS5">
        <f>SUM(HO5:HR5)</f>
        <v/>
      </c>
      <c r="HT5" s="50">
        <f>IF(HU5=0,1,HV5/HU5)</f>
        <v/>
      </c>
      <c r="HU5" s="46" t="n"/>
      <c r="HV5" s="46" t="n"/>
      <c r="HW5" s="50">
        <f>IF(HX5=0,1,HY5/HX5)</f>
        <v/>
      </c>
      <c r="HX5" s="46" t="n"/>
      <c r="HY5" s="46" t="n"/>
      <c r="HZ5" s="50">
        <f>IF(IA5=0,1,IB5/IA5)</f>
        <v/>
      </c>
      <c r="IA5" s="46" t="n"/>
      <c r="IB5" s="46" t="n"/>
      <c r="IC5" s="47">
        <f>IFERROR(LOOKUP(2,1/('DRAFT 2'!$D:$D=$B5)*('DRAFT 2'!$A:$A&gt;=DATE(2026,11,1))*('DRAFT 2'!$A:$A&lt;DATE(2026,IF(11=12,11+1,11+1),1)),'DRAFT 2'!$A:$A),"")</f>
        <v/>
      </c>
      <c r="ID5">
        <f>COUNTIFS('DRAFT 2'!$D:$D,$B5,'DRAFT 2'!$A:$A,"&gt;="&amp;DATE(2026,11,1),'DRAFT 2'!$A:$A,"&lt;="&amp;DATE(2026,11,7))</f>
        <v/>
      </c>
      <c r="IE5">
        <f>COUNTIFS('DRAFT 2'!$D:$D,$B5,'DRAFT 2'!$A:$A,"&gt;="&amp;DATE(2026,11,8),'DRAFT 2'!$A:$A,"&lt;="&amp;DATE(2026,11,14))</f>
        <v/>
      </c>
      <c r="IF5">
        <f>COUNTIFS('DRAFT 2'!$D:$D,$B5,'DRAFT 2'!$A:$A,"&gt;="&amp;DATE(2026,11,15),'DRAFT 2'!$A:$A,"&lt;="&amp;DATE(2026,11,21))</f>
        <v/>
      </c>
      <c r="IG5">
        <f>COUNTIFS('DRAFT 2'!$D:$D,$B5,'DRAFT 2'!$A:$A,"&gt;="&amp;DATE(2026,11,22),'DRAFT 2'!$A:$A,"&lt;"&amp;DATE(2026,IF(11=12,11+1,11+1),1))</f>
        <v/>
      </c>
      <c r="IH5">
        <f>SUM(ID5:IG5)</f>
        <v/>
      </c>
      <c r="II5" s="50">
        <f>IF(IJ5=0,1,IK5/IJ5)</f>
        <v/>
      </c>
      <c r="IJ5" s="46" t="n"/>
      <c r="IK5" s="46" t="n"/>
      <c r="IL5" s="50">
        <f>IF(IM5=0,1,IN5/IM5)</f>
        <v/>
      </c>
      <c r="IM5" s="46" t="n"/>
      <c r="IN5" s="46" t="n"/>
      <c r="IO5" s="50">
        <f>IF(IP5=0,1,IQ5/IP5)</f>
        <v/>
      </c>
      <c r="IP5" s="46" t="n"/>
      <c r="IQ5" s="46" t="n"/>
      <c r="IR5" s="47">
        <f>IFERROR(LOOKUP(2,1/('DRAFT 2'!$D:$D=$B5)*('DRAFT 2'!$A:$A&gt;=DATE(2026,12,1))*('DRAFT 2'!$A:$A&lt;DATE(2026,IF(12=12,12+1,12+1),1)),'DRAFT 2'!$A:$A),"")</f>
        <v/>
      </c>
      <c r="IS5">
        <f>COUNTIFS('DRAFT 2'!$D:$D,$B5,'DRAFT 2'!$A:$A,"&gt;="&amp;DATE(2026,12,1),'DRAFT 2'!$A:$A,"&lt;="&amp;DATE(2026,12,7))</f>
        <v/>
      </c>
      <c r="IT5">
        <f>COUNTIFS('DRAFT 2'!$D:$D,$B5,'DRAFT 2'!$A:$A,"&gt;="&amp;DATE(2026,12,8),'DRAFT 2'!$A:$A,"&lt;="&amp;DATE(2026,12,14))</f>
        <v/>
      </c>
      <c r="IU5">
        <f>COUNTIFS('DRAFT 2'!$D:$D,$B5,'DRAFT 2'!$A:$A,"&gt;="&amp;DATE(2026,12,15),'DRAFT 2'!$A:$A,"&lt;="&amp;DATE(2026,12,21))</f>
        <v/>
      </c>
      <c r="IV5">
        <f>COUNTIFS('DRAFT 2'!$D:$D,$B5,'DRAFT 2'!$A:$A,"&gt;="&amp;DATE(2026,12,22),'DRAFT 2'!$A:$A,"&lt;"&amp;DATE(2026,IF(12=12,12+1,12+1),1))</f>
        <v/>
      </c>
      <c r="IW5">
        <f>SUM(IS5:IV5)</f>
        <v/>
      </c>
    </row>
    <row r="6" ht="15" customHeight="1" s="108">
      <c r="A6">
        <f>IFERROR(INDEX('DRAFT 1'!$A:$A,MATCH($B6,'DRAFT 1'!$B:$B,0)),"")</f>
        <v/>
      </c>
      <c r="B6" t="inlineStr">
        <is>
          <t>12345678000199</t>
        </is>
      </c>
      <c r="C6">
        <f>IFERROR(INDEX('DRAFT 1'!$C:$C,MATCH($B6,'DRAFT 1'!$B:$B,0)),"")</f>
        <v/>
      </c>
      <c r="D6">
        <f>IFERROR(INDEX('DRAFT 1'!$D:$D,MATCH($B6,'DRAFT 1'!$B:$B,0)),"")</f>
        <v/>
      </c>
      <c r="E6">
        <f>IFERROR(INDEX('DRAFT 1'!$E:$E,MATCH($B6,'DRAFT 1'!$B:$B,0)),"")</f>
        <v/>
      </c>
      <c r="F6">
        <f>IFERROR(INDEX('DRAFT 1'!$F:$F,MATCH($B6,'DRAFT 1'!$B:$B,0)),"")</f>
        <v/>
      </c>
      <c r="G6">
        <f>IFERROR(INDEX('DRAFT 1'!$G:$G,MATCH($B6,'DRAFT 1'!$B:$B,0)),"")</f>
        <v/>
      </c>
      <c r="H6">
        <f>IFERROR(INDEX('DRAFT 1'!$H:$H,MATCH($B6,'DRAFT 1'!$B:$B,0)),"")</f>
        <v/>
      </c>
      <c r="I6" t="inlineStr">
        <is>
          <t>BIOMUNDO</t>
        </is>
      </c>
      <c r="K6">
        <f>IFERROR(INDEX('DRAFT 1'!$AL:$AL,MATCH($B6,'DRAFT 1'!$B:$B,0)),"")</f>
        <v/>
      </c>
      <c r="L6">
        <f>IFERROR(INDEX('DRAFT 1'!$J:$J,MATCH($B6,'DRAFT 1'!$B:$B,0)),"")</f>
        <v/>
      </c>
      <c r="M6">
        <f>IFERROR(INDEX('DRAFT 1'!$K:$K,MATCH($B6,'DRAFT 1'!$B:$B,0)),"")</f>
        <v/>
      </c>
      <c r="N6" t="inlineStr">
        <is>
          <t>INAT.ANT</t>
        </is>
      </c>
      <c r="O6">
        <f>IF(N6="EM RISCO",1,IF(N6="INAT.REC",2,IF(N6="ATIVO",3,IF(N6="INAT.ANT",4,5))))</f>
        <v/>
      </c>
      <c r="P6">
        <f>IFERROR(INDEX('DRAFT 1'!$L:$L,MATCH($B6,'DRAFT 1'!$B:$B,0)),"")</f>
        <v/>
      </c>
      <c r="Q6">
        <f>IFERROR(INDEX('DRAFT 1'!$M:$M,MATCH($B6,'DRAFT 1'!$B:$B,0)),"")</f>
        <v/>
      </c>
      <c r="R6">
        <f>IFERROR(INDEX('DRAFT 1'!$N:$N,MATCH($B6,'DRAFT 1'!$B:$B,0)),"")</f>
        <v/>
      </c>
      <c r="S6">
        <f>IFERROR(INDEX('DRAFT 1'!$O:$O,MATCH($B6,'DRAFT 1'!$B:$B,0)),"")</f>
        <v/>
      </c>
      <c r="T6">
        <f>IFERROR(INDEX('DRAFT 1'!$P:$P,MATCH($B6,'DRAFT 1'!$B:$B,0)),"")</f>
        <v/>
      </c>
      <c r="U6">
        <f>IFERROR(INDEX('DRAFT 1'!$Q:$Q,MATCH($B6,'DRAFT 1'!$B:$B,0)),"")</f>
        <v/>
      </c>
      <c r="V6">
        <f>IFERROR(INDEX('DRAFT 1'!$R:$R,MATCH($B6,'DRAFT 1'!$B:$B,0)),"")</f>
        <v/>
      </c>
      <c r="W6">
        <f>IFERROR(INDEX('DRAFT 1'!$S:$S,MATCH($B6,'DRAFT 1'!$B:$B,0)),"")</f>
        <v/>
      </c>
      <c r="X6">
        <f>IFERROR(INDEX('DRAFT 1'!$T:$T,MATCH($B6,'DRAFT 1'!$B:$B,0)),"")</f>
        <v/>
      </c>
      <c r="Y6">
        <f>SUM(Z6:AJ6)</f>
        <v/>
      </c>
      <c r="Z6">
        <f>IFERROR(INDEX('DRAFT 1'!$U:$U,MATCH($B6,'DRAFT 1'!$B:$B,0)),"")</f>
        <v/>
      </c>
      <c r="AA6">
        <f>IFERROR(INDEX('DRAFT 1'!$V:$V,MATCH($B6,'DRAFT 1'!$B:$B,0)),"")</f>
        <v/>
      </c>
      <c r="AB6">
        <f>IFERROR(INDEX('DRAFT 1'!$W:$W,MATCH($B6,'DRAFT 1'!$B:$B,0)),"")</f>
        <v/>
      </c>
      <c r="AC6">
        <f>IFERROR(INDEX('DRAFT 1'!$X:$X,MATCH($B6,'DRAFT 1'!$B:$B,0)),"")</f>
        <v/>
      </c>
      <c r="AD6">
        <f>IFERROR(INDEX('DRAFT 1'!$Y:$Y,MATCH($B6,'DRAFT 1'!$B:$B,0)),"")</f>
        <v/>
      </c>
      <c r="AE6">
        <f>IFERROR(INDEX('DRAFT 1'!$Z:$Z,MATCH($B6,'DRAFT 1'!$B:$B,0)),"")</f>
        <v/>
      </c>
      <c r="AF6">
        <f>IFERROR(INDEX('DRAFT 1'!$AA:$AA,MATCH($B6,'DRAFT 1'!$B:$B,0)),"")</f>
        <v/>
      </c>
      <c r="AG6">
        <f>IFERROR(INDEX('DRAFT 1'!$AB:$AB,MATCH($B6,'DRAFT 1'!$B:$B,0)),"")</f>
        <v/>
      </c>
      <c r="AH6">
        <f>IFERROR(INDEX('DRAFT 1'!$AC:$AC,MATCH($B6,'DRAFT 1'!$B:$B,0)),"")</f>
        <v/>
      </c>
      <c r="AI6">
        <f>IFERROR(INDEX('DRAFT 1'!$AD:$AD,MATCH($B6,'DRAFT 1'!$B:$B,0)),"")</f>
        <v/>
      </c>
      <c r="AJ6">
        <f>IFERROR(INDEX('DRAFT 1'!$AE:$AE,MATCH($B6,'DRAFT 1'!$B:$B,0)),"")</f>
        <v/>
      </c>
      <c r="AK6">
        <f>IFERROR(INDEX('DRAFT 1'!$AG:$AG,MATCH($B6,'DRAFT 1'!$B:$B,0)),"")</f>
        <v/>
      </c>
      <c r="AL6">
        <f>IFERROR(INDEX('DRAFT 1'!$AH:$AH,MATCH($B6,'DRAFT 1'!$B:$B,0)),"")</f>
        <v/>
      </c>
      <c r="AM6">
        <f>IFERROR(INDEX('DRAFT 1'!$AI:$AI,MATCH($B6,'DRAFT 1'!$B:$B,0)),"")</f>
        <v/>
      </c>
      <c r="AN6">
        <f>IFERROR(INDEX('DRAFT 1'!$AJ:$AJ,MATCH($B6,'DRAFT 1'!$B:$B,0)),"")</f>
        <v/>
      </c>
      <c r="AO6">
        <f>IFERROR(Y6/AN6,0)</f>
        <v/>
      </c>
      <c r="AP6">
        <f>IFERROR(INDEX('DRAFT 1'!$AK:$AK,MATCH($B6,'DRAFT 1'!$B:$B,0)),"")</f>
        <v/>
      </c>
      <c r="AR6" t="inlineStr">
        <is>
          <t>EM ATENDIMENTO</t>
        </is>
      </c>
      <c r="AS6">
        <f>IFERROR(LOOKUP(2,1/('DRAFT 2'!$D:$D=$B6),'DRAFT 2'!$T:$T),"")</f>
        <v/>
      </c>
      <c r="AT6">
        <f>IFERROR(LOOKUP(2,1/('DRAFT 2'!$D:$D=$B6),'DRAFT 2'!$A:$A),"")</f>
        <v/>
      </c>
      <c r="AU6">
        <f>IFERROR(LOOKUP(2,1/('DRAFT 2'!$D:$D=$B6),'DRAFT 2'!$R:$R),"")</f>
        <v/>
      </c>
      <c r="AV6">
        <f>IFERROR(LOOKUP(2,1/('DRAFT 2'!$D:$D=$B6),'DRAFT 2'!$S:$S),"")</f>
        <v/>
      </c>
      <c r="AW6" t="inlineStr">
        <is>
          <t>LEAD</t>
        </is>
      </c>
      <c r="AX6">
        <f>IFERROR(LOOKUP(2,1/('DRAFT 2'!$D:$D=$B6),'DRAFT 2'!$M:$M),"")</f>
        <v/>
      </c>
      <c r="AY6">
        <f>IFERROR(LOOKUP(2,1/('DRAFT 2'!$D:$D=$B6),'DRAFT 2'!$K:$K),"")</f>
        <v/>
      </c>
      <c r="BA6">
        <f>IF(N6="PROSPECT","❄️ FRIO",IF(OR(AR6="ORÇAMENTO",AR6="NEGOCIAÇÃO",AR6="CADASTRO"),"🔥 QUENTE",IF(OR(AR6="FOLLOW UP 7",AR6="FOLLOW UP 15",AR6="ATENDIMENTO"),"⚡ MORNO","❄️ FRIO")))</f>
        <v/>
      </c>
      <c r="BB6">
        <f>IF(BE6="","",BE6-BC6)</f>
        <v/>
      </c>
      <c r="BG6">
        <f>IFERROR(LOOKUP(2,1/('DRAFT 2'!$D:$D=$B6),'DRAFT 2'!$U:$U),"")</f>
        <v/>
      </c>
      <c r="BH6">
        <f>IFERROR(LOOKUP(2,1/('DRAFT 2'!$D:$D=$B6),'DRAFT 2'!$V:$V),"")</f>
        <v/>
      </c>
      <c r="BI6">
        <f>IF(Q6="","🟣",IF(P6&lt;=IF(AK6="",45,AK6),"🟢",IF(P6&lt;=IF(AK6="",45,AK6)+30,"🟡","🔴")))</f>
        <v/>
      </c>
      <c r="BJ6" t="inlineStr">
        <is>
          <t>SAP003</t>
        </is>
      </c>
      <c r="BU6" s="44">
        <f>CR6</f>
        <v/>
      </c>
      <c r="BV6" s="44">
        <f>AVERAGE(CC6,CR6,DG6)</f>
        <v/>
      </c>
      <c r="BW6" s="45">
        <f>IF(BX6=0,1,BY6/BX6)</f>
        <v/>
      </c>
      <c r="BX6" s="46" t="n"/>
      <c r="BY6" s="46" t="n"/>
      <c r="BZ6" s="45">
        <f>IF(CA6=0,1,CB6/CA6)</f>
        <v/>
      </c>
      <c r="CA6" s="46" t="n"/>
      <c r="CB6" s="46" t="n"/>
      <c r="CC6" s="45">
        <f>IF(CD6=0,1,CE6/CD6)</f>
        <v/>
      </c>
      <c r="CD6" s="46" t="n"/>
      <c r="CE6" s="46">
        <f>IFERROR(AJ6,0)</f>
        <v/>
      </c>
      <c r="CF6" s="47">
        <f>IFERROR(LOOKUP(2,1/('DRAFT 2'!$D:$D=$B6)*('DRAFT 2'!$A:$A&gt;=DATE(2026,1,1))*('DRAFT 2'!$A:$A&lt;DATE(2026,IF(1=12,1+1,1+1),1)),'DRAFT 2'!$A:$A),"")</f>
        <v/>
      </c>
      <c r="CG6">
        <f>COUNTIFS('DRAFT 2'!$D:$D,$B6,'DRAFT 2'!$A:$A,"&gt;="&amp;DATE(2026,1,1),'DRAFT 2'!$A:$A,"&lt;="&amp;DATE(2026,1,7))</f>
        <v/>
      </c>
      <c r="CH6">
        <f>COUNTIFS('DRAFT 2'!$D:$D,$B6,'DRAFT 2'!$A:$A,"&gt;="&amp;DATE(2026,1,8),'DRAFT 2'!$A:$A,"&lt;="&amp;DATE(2026,1,14))</f>
        <v/>
      </c>
      <c r="CI6">
        <f>COUNTIFS('DRAFT 2'!$D:$D,$B6,'DRAFT 2'!$A:$A,"&gt;="&amp;DATE(2026,1,15),'DRAFT 2'!$A:$A,"&lt;="&amp;DATE(2026,1,21))</f>
        <v/>
      </c>
      <c r="CJ6">
        <f>COUNTIFS('DRAFT 2'!$D:$D,$B6,'DRAFT 2'!$A:$A,"&gt;="&amp;DATE(2026,1,22),'DRAFT 2'!$A:$A,"&lt;"&amp;DATE(2026,IF(1=12,1+1,1+1),1))</f>
        <v/>
      </c>
      <c r="CK6">
        <f>SUM(CG6:CJ6)</f>
        <v/>
      </c>
      <c r="CL6" s="45">
        <f>IF(CM6=0,1,CN6/CM6)</f>
        <v/>
      </c>
      <c r="CM6" s="46" t="n"/>
      <c r="CN6" s="46" t="n"/>
      <c r="CO6" s="45">
        <f>IF(CP6=0,1,CQ6/CP6)</f>
        <v/>
      </c>
      <c r="CP6" s="46" t="n"/>
      <c r="CQ6" s="46" t="n"/>
      <c r="CR6" s="45">
        <f>IF(CS6=0,1,CT6/CS6)</f>
        <v/>
      </c>
      <c r="CS6" s="46" t="n"/>
      <c r="CT6" s="46" t="n">
        <v>0</v>
      </c>
      <c r="CU6" s="47">
        <f>IFERROR(LOOKUP(2,1/('DRAFT 2'!$D:$D=$B6)*('DRAFT 2'!$A:$A&gt;=DATE(2026,2,1))*('DRAFT 2'!$A:$A&lt;DATE(2026,IF(2=12,2+1,2+1),1)),'DRAFT 2'!$A:$A),"")</f>
        <v/>
      </c>
      <c r="CV6">
        <f>COUNTIFS('DRAFT 2'!$D:$D,$B6,'DRAFT 2'!$A:$A,"&gt;="&amp;DATE(2026,2,1),'DRAFT 2'!$A:$A,"&lt;="&amp;DATE(2026,2,7))</f>
        <v/>
      </c>
      <c r="CW6">
        <f>COUNTIFS('DRAFT 2'!$D:$D,$B6,'DRAFT 2'!$A:$A,"&gt;="&amp;DATE(2026,2,8),'DRAFT 2'!$A:$A,"&lt;="&amp;DATE(2026,2,14))</f>
        <v/>
      </c>
      <c r="CX6">
        <f>COUNTIFS('DRAFT 2'!$D:$D,$B6,'DRAFT 2'!$A:$A,"&gt;="&amp;DATE(2026,2,15),'DRAFT 2'!$A:$A,"&lt;="&amp;DATE(2026,2,21))</f>
        <v/>
      </c>
      <c r="CY6">
        <f>COUNTIFS('DRAFT 2'!$D:$D,$B6,'DRAFT 2'!$A:$A,"&gt;="&amp;DATE(2026,2,22),'DRAFT 2'!$A:$A,"&lt;"&amp;DATE(2026,IF(2=12,2+1,2+1),1))</f>
        <v/>
      </c>
      <c r="CZ6">
        <f>SUM(CV6:CY6)</f>
        <v/>
      </c>
      <c r="DA6" s="45">
        <f>IF(DB6=0,1,DC6/DB6)</f>
        <v/>
      </c>
      <c r="DB6" s="46" t="n"/>
      <c r="DC6" s="46" t="n"/>
      <c r="DD6" s="45">
        <f>IF(DE6=0,1,DF6/DE6)</f>
        <v/>
      </c>
      <c r="DE6" s="46" t="n"/>
      <c r="DF6" s="46" t="n"/>
      <c r="DG6" s="45">
        <f>IF(DH6=0,1,DI6/DH6)</f>
        <v/>
      </c>
      <c r="DH6" s="46" t="n"/>
      <c r="DI6" s="46" t="n"/>
      <c r="DJ6" s="47">
        <f>IFERROR(LOOKUP(2,1/('DRAFT 2'!$D:$D=$B6)*('DRAFT 2'!$A:$A&gt;=DATE(2026,3,1))*('DRAFT 2'!$A:$A&lt;DATE(2026,IF(3=12,3+1,3+1),1)),'DRAFT 2'!$A:$A),"")</f>
        <v/>
      </c>
      <c r="DK6">
        <f>COUNTIFS('DRAFT 2'!$D:$D,$B6,'DRAFT 2'!$A:$A,"&gt;="&amp;DATE(2026,3,1),'DRAFT 2'!$A:$A,"&lt;="&amp;DATE(2026,3,7))</f>
        <v/>
      </c>
      <c r="DL6">
        <f>COUNTIFS('DRAFT 2'!$D:$D,$B6,'DRAFT 2'!$A:$A,"&gt;="&amp;DATE(2026,3,8),'DRAFT 2'!$A:$A,"&lt;="&amp;DATE(2026,3,14))</f>
        <v/>
      </c>
      <c r="DM6">
        <f>COUNTIFS('DRAFT 2'!$D:$D,$B6,'DRAFT 2'!$A:$A,"&gt;="&amp;DATE(2026,3,15),'DRAFT 2'!$A:$A,"&lt;="&amp;DATE(2026,3,21))</f>
        <v/>
      </c>
      <c r="DN6">
        <f>COUNTIFS('DRAFT 2'!$D:$D,$B6,'DRAFT 2'!$A:$A,"&gt;="&amp;DATE(2026,3,22),'DRAFT 2'!$A:$A,"&lt;"&amp;DATE(2026,IF(3=12,3+1,3+1),1))</f>
        <v/>
      </c>
      <c r="DO6">
        <f>SUM(DK6:DN6)</f>
        <v/>
      </c>
      <c r="DP6" s="44">
        <f>AVERAGE(DW6,EL6,FA6)</f>
        <v/>
      </c>
      <c r="DQ6" s="48">
        <f>IF(DR6=0,1,DS6/DR6)</f>
        <v/>
      </c>
      <c r="DR6" s="46" t="n"/>
      <c r="DS6" s="46" t="n"/>
      <c r="DT6" s="48">
        <f>IF(DU6=0,1,DV6/DU6)</f>
        <v/>
      </c>
      <c r="DU6" s="46" t="n"/>
      <c r="DV6" s="46" t="n"/>
      <c r="DW6" s="48">
        <f>IF(DX6=0,1,DY6/DX6)</f>
        <v/>
      </c>
      <c r="DX6" s="46" t="n"/>
      <c r="DY6" s="46" t="n"/>
      <c r="DZ6" s="47">
        <f>IFERROR(LOOKUP(2,1/('DRAFT 2'!$D:$D=$B6)*('DRAFT 2'!$A:$A&gt;=DATE(2026,4,1))*('DRAFT 2'!$A:$A&lt;DATE(2026,IF(4=12,4+1,4+1),1)),'DRAFT 2'!$A:$A),"")</f>
        <v/>
      </c>
      <c r="EA6">
        <f>COUNTIFS('DRAFT 2'!$D:$D,$B6,'DRAFT 2'!$A:$A,"&gt;="&amp;DATE(2026,4,1),'DRAFT 2'!$A:$A,"&lt;="&amp;DATE(2026,4,7))</f>
        <v/>
      </c>
      <c r="EB6">
        <f>COUNTIFS('DRAFT 2'!$D:$D,$B6,'DRAFT 2'!$A:$A,"&gt;="&amp;DATE(2026,4,8),'DRAFT 2'!$A:$A,"&lt;="&amp;DATE(2026,4,14))</f>
        <v/>
      </c>
      <c r="EC6">
        <f>COUNTIFS('DRAFT 2'!$D:$D,$B6,'DRAFT 2'!$A:$A,"&gt;="&amp;DATE(2026,4,15),'DRAFT 2'!$A:$A,"&lt;="&amp;DATE(2026,4,21))</f>
        <v/>
      </c>
      <c r="ED6">
        <f>COUNTIFS('DRAFT 2'!$D:$D,$B6,'DRAFT 2'!$A:$A,"&gt;="&amp;DATE(2026,4,22),'DRAFT 2'!$A:$A,"&lt;"&amp;DATE(2026,IF(4=12,4+1,4+1),1))</f>
        <v/>
      </c>
      <c r="EE6">
        <f>SUM(EA6:ED6)</f>
        <v/>
      </c>
      <c r="EF6" s="48">
        <f>IF(EG6=0,1,EH6/EG6)</f>
        <v/>
      </c>
      <c r="EG6" s="46" t="n"/>
      <c r="EH6" s="46" t="n"/>
      <c r="EI6" s="48">
        <f>IF(EJ6=0,1,EK6/EJ6)</f>
        <v/>
      </c>
      <c r="EJ6" s="46" t="n"/>
      <c r="EK6" s="46" t="n"/>
      <c r="EL6" s="48">
        <f>IF(EM6=0,1,EN6/EM6)</f>
        <v/>
      </c>
      <c r="EM6" s="46" t="n"/>
      <c r="EN6" s="46" t="n"/>
      <c r="EO6" s="47">
        <f>IFERROR(LOOKUP(2,1/('DRAFT 2'!$D:$D=$B6)*('DRAFT 2'!$A:$A&gt;=DATE(2026,5,1))*('DRAFT 2'!$A:$A&lt;DATE(2026,IF(5=12,5+1,5+1),1)),'DRAFT 2'!$A:$A),"")</f>
        <v/>
      </c>
      <c r="EP6">
        <f>COUNTIFS('DRAFT 2'!$D:$D,$B6,'DRAFT 2'!$A:$A,"&gt;="&amp;DATE(2026,5,1),'DRAFT 2'!$A:$A,"&lt;="&amp;DATE(2026,5,7))</f>
        <v/>
      </c>
      <c r="EQ6">
        <f>COUNTIFS('DRAFT 2'!$D:$D,$B6,'DRAFT 2'!$A:$A,"&gt;="&amp;DATE(2026,5,8),'DRAFT 2'!$A:$A,"&lt;="&amp;DATE(2026,5,14))</f>
        <v/>
      </c>
      <c r="ER6">
        <f>COUNTIFS('DRAFT 2'!$D:$D,$B6,'DRAFT 2'!$A:$A,"&gt;="&amp;DATE(2026,5,15),'DRAFT 2'!$A:$A,"&lt;="&amp;DATE(2026,5,21))</f>
        <v/>
      </c>
      <c r="ES6">
        <f>COUNTIFS('DRAFT 2'!$D:$D,$B6,'DRAFT 2'!$A:$A,"&gt;="&amp;DATE(2026,5,22),'DRAFT 2'!$A:$A,"&lt;"&amp;DATE(2026,IF(5=12,5+1,5+1),1))</f>
        <v/>
      </c>
      <c r="ET6">
        <f>SUM(EP6:ES6)</f>
        <v/>
      </c>
      <c r="EU6" s="48">
        <f>IF(EV6=0,1,EW6/EV6)</f>
        <v/>
      </c>
      <c r="EV6" s="46" t="n"/>
      <c r="EW6" s="46" t="n"/>
      <c r="EX6" s="48">
        <f>IF(EY6=0,1,EZ6/EY6)</f>
        <v/>
      </c>
      <c r="EY6" s="46" t="n"/>
      <c r="EZ6" s="46" t="n"/>
      <c r="FA6" s="48">
        <f>IF(FB6=0,1,FC6/FB6)</f>
        <v/>
      </c>
      <c r="FB6" s="46" t="n"/>
      <c r="FC6" s="46" t="n"/>
      <c r="FD6" s="47">
        <f>IFERROR(LOOKUP(2,1/('DRAFT 2'!$D:$D=$B6)*('DRAFT 2'!$A:$A&gt;=DATE(2026,6,1))*('DRAFT 2'!$A:$A&lt;DATE(2026,IF(6=12,6+1,6+1),1)),'DRAFT 2'!$A:$A),"")</f>
        <v/>
      </c>
      <c r="FE6">
        <f>COUNTIFS('DRAFT 2'!$D:$D,$B6,'DRAFT 2'!$A:$A,"&gt;="&amp;DATE(2026,6,1),'DRAFT 2'!$A:$A,"&lt;="&amp;DATE(2026,6,7))</f>
        <v/>
      </c>
      <c r="FF6">
        <f>COUNTIFS('DRAFT 2'!$D:$D,$B6,'DRAFT 2'!$A:$A,"&gt;="&amp;DATE(2026,6,8),'DRAFT 2'!$A:$A,"&lt;="&amp;DATE(2026,6,14))</f>
        <v/>
      </c>
      <c r="FG6">
        <f>COUNTIFS('DRAFT 2'!$D:$D,$B6,'DRAFT 2'!$A:$A,"&gt;="&amp;DATE(2026,6,15),'DRAFT 2'!$A:$A,"&lt;="&amp;DATE(2026,6,21))</f>
        <v/>
      </c>
      <c r="FH6">
        <f>COUNTIFS('DRAFT 2'!$D:$D,$B6,'DRAFT 2'!$A:$A,"&gt;="&amp;DATE(2026,6,22),'DRAFT 2'!$A:$A,"&lt;"&amp;DATE(2026,IF(6=12,6+1,6+1),1))</f>
        <v/>
      </c>
      <c r="FI6">
        <f>SUM(FE6:FH6)</f>
        <v/>
      </c>
      <c r="FJ6" s="44">
        <f>AVERAGE(FQ6,GF6,GU6)</f>
        <v/>
      </c>
      <c r="FK6" s="49">
        <f>IF(FL6=0,1,FM6/FL6)</f>
        <v/>
      </c>
      <c r="FL6" s="46" t="n"/>
      <c r="FM6" s="46" t="n"/>
      <c r="FN6" s="49">
        <f>IF(FO6=0,1,FP6/FO6)</f>
        <v/>
      </c>
      <c r="FO6" s="46" t="n"/>
      <c r="FP6" s="46" t="n"/>
      <c r="FQ6" s="49">
        <f>IF(FR6=0,1,FS6/FR6)</f>
        <v/>
      </c>
      <c r="FR6" s="46" t="n"/>
      <c r="FS6" s="46" t="n"/>
      <c r="FT6" s="47">
        <f>IFERROR(LOOKUP(2,1/('DRAFT 2'!$D:$D=$B6)*('DRAFT 2'!$A:$A&gt;=DATE(2026,7,1))*('DRAFT 2'!$A:$A&lt;DATE(2026,IF(7=12,7+1,7+1),1)),'DRAFT 2'!$A:$A),"")</f>
        <v/>
      </c>
      <c r="FU6">
        <f>COUNTIFS('DRAFT 2'!$D:$D,$B6,'DRAFT 2'!$A:$A,"&gt;="&amp;DATE(2026,7,1),'DRAFT 2'!$A:$A,"&lt;="&amp;DATE(2026,7,7))</f>
        <v/>
      </c>
      <c r="FV6">
        <f>COUNTIFS('DRAFT 2'!$D:$D,$B6,'DRAFT 2'!$A:$A,"&gt;="&amp;DATE(2026,7,8),'DRAFT 2'!$A:$A,"&lt;="&amp;DATE(2026,7,14))</f>
        <v/>
      </c>
      <c r="FW6">
        <f>COUNTIFS('DRAFT 2'!$D:$D,$B6,'DRAFT 2'!$A:$A,"&gt;="&amp;DATE(2026,7,15),'DRAFT 2'!$A:$A,"&lt;="&amp;DATE(2026,7,21))</f>
        <v/>
      </c>
      <c r="FX6">
        <f>COUNTIFS('DRAFT 2'!$D:$D,$B6,'DRAFT 2'!$A:$A,"&gt;="&amp;DATE(2026,7,22),'DRAFT 2'!$A:$A,"&lt;"&amp;DATE(2026,IF(7=12,7+1,7+1),1))</f>
        <v/>
      </c>
      <c r="FY6">
        <f>SUM(FU6:FX6)</f>
        <v/>
      </c>
      <c r="FZ6" s="49">
        <f>IF(GA6=0,1,GB6/GA6)</f>
        <v/>
      </c>
      <c r="GA6" s="46" t="n"/>
      <c r="GB6" s="46" t="n"/>
      <c r="GC6" s="49">
        <f>IF(GD6=0,1,GE6/GD6)</f>
        <v/>
      </c>
      <c r="GD6" s="46" t="n"/>
      <c r="GE6" s="46" t="n"/>
      <c r="GF6" s="49">
        <f>IF(GG6=0,1,GH6/GG6)</f>
        <v/>
      </c>
      <c r="GG6" s="46" t="n"/>
      <c r="GH6" s="46" t="n"/>
      <c r="GI6" s="47">
        <f>IFERROR(LOOKUP(2,1/('DRAFT 2'!$D:$D=$B6)*('DRAFT 2'!$A:$A&gt;=DATE(2026,8,1))*('DRAFT 2'!$A:$A&lt;DATE(2026,IF(8=12,8+1,8+1),1)),'DRAFT 2'!$A:$A),"")</f>
        <v/>
      </c>
      <c r="GJ6">
        <f>COUNTIFS('DRAFT 2'!$D:$D,$B6,'DRAFT 2'!$A:$A,"&gt;="&amp;DATE(2026,8,1),'DRAFT 2'!$A:$A,"&lt;="&amp;DATE(2026,8,7))</f>
        <v/>
      </c>
      <c r="GK6">
        <f>COUNTIFS('DRAFT 2'!$D:$D,$B6,'DRAFT 2'!$A:$A,"&gt;="&amp;DATE(2026,8,8),'DRAFT 2'!$A:$A,"&lt;="&amp;DATE(2026,8,14))</f>
        <v/>
      </c>
      <c r="GL6">
        <f>COUNTIFS('DRAFT 2'!$D:$D,$B6,'DRAFT 2'!$A:$A,"&gt;="&amp;DATE(2026,8,15),'DRAFT 2'!$A:$A,"&lt;="&amp;DATE(2026,8,21))</f>
        <v/>
      </c>
      <c r="GM6">
        <f>COUNTIFS('DRAFT 2'!$D:$D,$B6,'DRAFT 2'!$A:$A,"&gt;="&amp;DATE(2026,8,22),'DRAFT 2'!$A:$A,"&lt;"&amp;DATE(2026,IF(8=12,8+1,8+1),1))</f>
        <v/>
      </c>
      <c r="GN6">
        <f>SUM(GJ6:GM6)</f>
        <v/>
      </c>
      <c r="GO6" s="49">
        <f>IF(GP6=0,1,GQ6/GP6)</f>
        <v/>
      </c>
      <c r="GP6" s="46" t="n"/>
      <c r="GQ6" s="46" t="n"/>
      <c r="GR6" s="49">
        <f>IF(GS6=0,1,GT6/GS6)</f>
        <v/>
      </c>
      <c r="GS6" s="46" t="n"/>
      <c r="GT6" s="46" t="n"/>
      <c r="GU6" s="49">
        <f>IF(GV6=0,1,GW6/GV6)</f>
        <v/>
      </c>
      <c r="GV6" s="46" t="n"/>
      <c r="GW6" s="46" t="n"/>
      <c r="GX6" s="47">
        <f>IFERROR(LOOKUP(2,1/('DRAFT 2'!$D:$D=$B6)*('DRAFT 2'!$A:$A&gt;=DATE(2026,9,1))*('DRAFT 2'!$A:$A&lt;DATE(2026,IF(9=12,9+1,9+1),1)),'DRAFT 2'!$A:$A),"")</f>
        <v/>
      </c>
      <c r="GY6">
        <f>COUNTIFS('DRAFT 2'!$D:$D,$B6,'DRAFT 2'!$A:$A,"&gt;="&amp;DATE(2026,9,1),'DRAFT 2'!$A:$A,"&lt;="&amp;DATE(2026,9,7))</f>
        <v/>
      </c>
      <c r="GZ6">
        <f>COUNTIFS('DRAFT 2'!$D:$D,$B6,'DRAFT 2'!$A:$A,"&gt;="&amp;DATE(2026,9,8),'DRAFT 2'!$A:$A,"&lt;="&amp;DATE(2026,9,14))</f>
        <v/>
      </c>
      <c r="HA6">
        <f>COUNTIFS('DRAFT 2'!$D:$D,$B6,'DRAFT 2'!$A:$A,"&gt;="&amp;DATE(2026,9,15),'DRAFT 2'!$A:$A,"&lt;="&amp;DATE(2026,9,21))</f>
        <v/>
      </c>
      <c r="HB6">
        <f>COUNTIFS('DRAFT 2'!$D:$D,$B6,'DRAFT 2'!$A:$A,"&gt;="&amp;DATE(2026,9,22),'DRAFT 2'!$A:$A,"&lt;"&amp;DATE(2026,IF(9=12,9+1,9+1),1))</f>
        <v/>
      </c>
      <c r="HC6">
        <f>SUM(GY6:HB6)</f>
        <v/>
      </c>
      <c r="HD6" s="44">
        <f>AVERAGE(HK6,HZ6,IO6)</f>
        <v/>
      </c>
      <c r="HE6" s="50">
        <f>IF(HF6=0,1,HG6/HF6)</f>
        <v/>
      </c>
      <c r="HF6" s="46" t="n"/>
      <c r="HG6" s="46" t="n"/>
      <c r="HH6" s="50">
        <f>IF(HI6=0,1,HJ6/HI6)</f>
        <v/>
      </c>
      <c r="HI6" s="46" t="n"/>
      <c r="HJ6" s="46" t="n"/>
      <c r="HK6" s="50">
        <f>IF(HL6=0,1,HM6/HL6)</f>
        <v/>
      </c>
      <c r="HL6" s="46" t="n"/>
      <c r="HM6" s="46" t="n"/>
      <c r="HN6" s="47">
        <f>IFERROR(LOOKUP(2,1/('DRAFT 2'!$D:$D=$B6)*('DRAFT 2'!$A:$A&gt;=DATE(2026,10,1))*('DRAFT 2'!$A:$A&lt;DATE(2026,IF(10=12,10+1,10+1),1)),'DRAFT 2'!$A:$A),"")</f>
        <v/>
      </c>
      <c r="HO6">
        <f>COUNTIFS('DRAFT 2'!$D:$D,$B6,'DRAFT 2'!$A:$A,"&gt;="&amp;DATE(2026,10,1),'DRAFT 2'!$A:$A,"&lt;="&amp;DATE(2026,10,7))</f>
        <v/>
      </c>
      <c r="HP6">
        <f>COUNTIFS('DRAFT 2'!$D:$D,$B6,'DRAFT 2'!$A:$A,"&gt;="&amp;DATE(2026,10,8),'DRAFT 2'!$A:$A,"&lt;="&amp;DATE(2026,10,14))</f>
        <v/>
      </c>
      <c r="HQ6">
        <f>COUNTIFS('DRAFT 2'!$D:$D,$B6,'DRAFT 2'!$A:$A,"&gt;="&amp;DATE(2026,10,15),'DRAFT 2'!$A:$A,"&lt;="&amp;DATE(2026,10,21))</f>
        <v/>
      </c>
      <c r="HR6">
        <f>COUNTIFS('DRAFT 2'!$D:$D,$B6,'DRAFT 2'!$A:$A,"&gt;="&amp;DATE(2026,10,22),'DRAFT 2'!$A:$A,"&lt;"&amp;DATE(2026,IF(10=12,10+1,10+1),1))</f>
        <v/>
      </c>
      <c r="HS6">
        <f>SUM(HO6:HR6)</f>
        <v/>
      </c>
      <c r="HT6" s="50">
        <f>IF(HU6=0,1,HV6/HU6)</f>
        <v/>
      </c>
      <c r="HU6" s="46" t="n"/>
      <c r="HV6" s="46" t="n"/>
      <c r="HW6" s="50">
        <f>IF(HX6=0,1,HY6/HX6)</f>
        <v/>
      </c>
      <c r="HX6" s="46" t="n"/>
      <c r="HY6" s="46" t="n"/>
      <c r="HZ6" s="50">
        <f>IF(IA6=0,1,IB6/IA6)</f>
        <v/>
      </c>
      <c r="IA6" s="46" t="n"/>
      <c r="IB6" s="46" t="n"/>
      <c r="IC6" s="47">
        <f>IFERROR(LOOKUP(2,1/('DRAFT 2'!$D:$D=$B6)*('DRAFT 2'!$A:$A&gt;=DATE(2026,11,1))*('DRAFT 2'!$A:$A&lt;DATE(2026,IF(11=12,11+1,11+1),1)),'DRAFT 2'!$A:$A),"")</f>
        <v/>
      </c>
      <c r="ID6">
        <f>COUNTIFS('DRAFT 2'!$D:$D,$B6,'DRAFT 2'!$A:$A,"&gt;="&amp;DATE(2026,11,1),'DRAFT 2'!$A:$A,"&lt;="&amp;DATE(2026,11,7))</f>
        <v/>
      </c>
      <c r="IE6">
        <f>COUNTIFS('DRAFT 2'!$D:$D,$B6,'DRAFT 2'!$A:$A,"&gt;="&amp;DATE(2026,11,8),'DRAFT 2'!$A:$A,"&lt;="&amp;DATE(2026,11,14))</f>
        <v/>
      </c>
      <c r="IF6">
        <f>COUNTIFS('DRAFT 2'!$D:$D,$B6,'DRAFT 2'!$A:$A,"&gt;="&amp;DATE(2026,11,15),'DRAFT 2'!$A:$A,"&lt;="&amp;DATE(2026,11,21))</f>
        <v/>
      </c>
      <c r="IG6">
        <f>COUNTIFS('DRAFT 2'!$D:$D,$B6,'DRAFT 2'!$A:$A,"&gt;="&amp;DATE(2026,11,22),'DRAFT 2'!$A:$A,"&lt;"&amp;DATE(2026,IF(11=12,11+1,11+1),1))</f>
        <v/>
      </c>
      <c r="IH6">
        <f>SUM(ID6:IG6)</f>
        <v/>
      </c>
      <c r="II6" s="50">
        <f>IF(IJ6=0,1,IK6/IJ6)</f>
        <v/>
      </c>
      <c r="IJ6" s="46" t="n"/>
      <c r="IK6" s="46" t="n"/>
      <c r="IL6" s="50">
        <f>IF(IM6=0,1,IN6/IM6)</f>
        <v/>
      </c>
      <c r="IM6" s="46" t="n"/>
      <c r="IN6" s="46" t="n"/>
      <c r="IO6" s="50">
        <f>IF(IP6=0,1,IQ6/IP6)</f>
        <v/>
      </c>
      <c r="IP6" s="46" t="n"/>
      <c r="IQ6" s="46" t="n"/>
      <c r="IR6" s="47">
        <f>IFERROR(LOOKUP(2,1/('DRAFT 2'!$D:$D=$B6)*('DRAFT 2'!$A:$A&gt;=DATE(2026,12,1))*('DRAFT 2'!$A:$A&lt;DATE(2026,IF(12=12,12+1,12+1),1)),'DRAFT 2'!$A:$A),"")</f>
        <v/>
      </c>
      <c r="IS6">
        <f>COUNTIFS('DRAFT 2'!$D:$D,$B6,'DRAFT 2'!$A:$A,"&gt;="&amp;DATE(2026,12,1),'DRAFT 2'!$A:$A,"&lt;="&amp;DATE(2026,12,7))</f>
        <v/>
      </c>
      <c r="IT6">
        <f>COUNTIFS('DRAFT 2'!$D:$D,$B6,'DRAFT 2'!$A:$A,"&gt;="&amp;DATE(2026,12,8),'DRAFT 2'!$A:$A,"&lt;="&amp;DATE(2026,12,14))</f>
        <v/>
      </c>
      <c r="IU6">
        <f>COUNTIFS('DRAFT 2'!$D:$D,$B6,'DRAFT 2'!$A:$A,"&gt;="&amp;DATE(2026,12,15),'DRAFT 2'!$A:$A,"&lt;="&amp;DATE(2026,12,21))</f>
        <v/>
      </c>
      <c r="IV6">
        <f>COUNTIFS('DRAFT 2'!$D:$D,$B6,'DRAFT 2'!$A:$A,"&gt;="&amp;DATE(2026,12,22),'DRAFT 2'!$A:$A,"&lt;"&amp;DATE(2026,IF(12=12,12+1,12+1),1))</f>
        <v/>
      </c>
      <c r="IW6">
        <f>SUM(IS6:IV6)</f>
        <v/>
      </c>
    </row>
    <row r="7" ht="15" customHeight="1" s="108">
      <c r="A7">
        <f>IFERROR(INDEX('DRAFT 1'!$A:$A,MATCH($B7,'DRAFT 1'!$B:$B,0)),"")</f>
        <v/>
      </c>
      <c r="B7" t="inlineStr">
        <is>
          <t>98765432000188</t>
        </is>
      </c>
      <c r="C7">
        <f>IFERROR(INDEX('DRAFT 1'!$C:$C,MATCH($B7,'DRAFT 1'!$B:$B,0)),"")</f>
        <v/>
      </c>
      <c r="D7">
        <f>IFERROR(INDEX('DRAFT 1'!$D:$D,MATCH($B7,'DRAFT 1'!$B:$B,0)),"")</f>
        <v/>
      </c>
      <c r="E7">
        <f>IFERROR(INDEX('DRAFT 1'!$E:$E,MATCH($B7,'DRAFT 1'!$B:$B,0)),"")</f>
        <v/>
      </c>
      <c r="F7">
        <f>IFERROR(INDEX('DRAFT 1'!$F:$F,MATCH($B7,'DRAFT 1'!$B:$B,0)),"")</f>
        <v/>
      </c>
      <c r="G7">
        <f>IFERROR(INDEX('DRAFT 1'!$G:$G,MATCH($B7,'DRAFT 1'!$B:$B,0)),"")</f>
        <v/>
      </c>
      <c r="H7">
        <f>IFERROR(INDEX('DRAFT 1'!$H:$H,MATCH($B7,'DRAFT 1'!$B:$B,0)),"")</f>
        <v/>
      </c>
      <c r="I7" t="inlineStr">
        <is>
          <t>DEMAIS CLIENTES</t>
        </is>
      </c>
      <c r="K7">
        <f>IFERROR(INDEX('DRAFT 1'!$AL:$AL,MATCH($B7,'DRAFT 1'!$B:$B,0)),"")</f>
        <v/>
      </c>
      <c r="L7">
        <f>IFERROR(INDEX('DRAFT 1'!$J:$J,MATCH($B7,'DRAFT 1'!$B:$B,0)),"")</f>
        <v/>
      </c>
      <c r="M7">
        <f>IFERROR(INDEX('DRAFT 1'!$K:$K,MATCH($B7,'DRAFT 1'!$B:$B,0)),"")</f>
        <v/>
      </c>
      <c r="N7" t="inlineStr">
        <is>
          <t>PROSPECT</t>
        </is>
      </c>
      <c r="O7">
        <f>IF(N7="EM RISCO",1,IF(N7="INAT.REC",2,IF(N7="ATIVO",3,IF(N7="INAT.ANT",4,5))))</f>
        <v/>
      </c>
      <c r="P7">
        <f>IFERROR(INDEX('DRAFT 1'!$L:$L,MATCH($B7,'DRAFT 1'!$B:$B,0)),"")</f>
        <v/>
      </c>
      <c r="Q7">
        <f>IFERROR(INDEX('DRAFT 1'!$M:$M,MATCH($B7,'DRAFT 1'!$B:$B,0)),"")</f>
        <v/>
      </c>
      <c r="R7">
        <f>IFERROR(INDEX('DRAFT 1'!$N:$N,MATCH($B7,'DRAFT 1'!$B:$B,0)),"")</f>
        <v/>
      </c>
      <c r="S7">
        <f>IFERROR(INDEX('DRAFT 1'!$O:$O,MATCH($B7,'DRAFT 1'!$B:$B,0)),"")</f>
        <v/>
      </c>
      <c r="T7">
        <f>IFERROR(INDEX('DRAFT 1'!$P:$P,MATCH($B7,'DRAFT 1'!$B:$B,0)),"")</f>
        <v/>
      </c>
      <c r="U7">
        <f>IFERROR(INDEX('DRAFT 1'!$Q:$Q,MATCH($B7,'DRAFT 1'!$B:$B,0)),"")</f>
        <v/>
      </c>
      <c r="V7">
        <f>IFERROR(INDEX('DRAFT 1'!$R:$R,MATCH($B7,'DRAFT 1'!$B:$B,0)),"")</f>
        <v/>
      </c>
      <c r="W7">
        <f>IFERROR(INDEX('DRAFT 1'!$S:$S,MATCH($B7,'DRAFT 1'!$B:$B,0)),"")</f>
        <v/>
      </c>
      <c r="X7">
        <f>IFERROR(INDEX('DRAFT 1'!$T:$T,MATCH($B7,'DRAFT 1'!$B:$B,0)),"")</f>
        <v/>
      </c>
      <c r="Y7">
        <f>SUM(Z7:AJ7)</f>
        <v/>
      </c>
      <c r="Z7">
        <f>IFERROR(INDEX('DRAFT 1'!$U:$U,MATCH($B7,'DRAFT 1'!$B:$B,0)),"")</f>
        <v/>
      </c>
      <c r="AA7">
        <f>IFERROR(INDEX('DRAFT 1'!$V:$V,MATCH($B7,'DRAFT 1'!$B:$B,0)),"")</f>
        <v/>
      </c>
      <c r="AB7">
        <f>IFERROR(INDEX('DRAFT 1'!$W:$W,MATCH($B7,'DRAFT 1'!$B:$B,0)),"")</f>
        <v/>
      </c>
      <c r="AC7">
        <f>IFERROR(INDEX('DRAFT 1'!$X:$X,MATCH($B7,'DRAFT 1'!$B:$B,0)),"")</f>
        <v/>
      </c>
      <c r="AD7">
        <f>IFERROR(INDEX('DRAFT 1'!$Y:$Y,MATCH($B7,'DRAFT 1'!$B:$B,0)),"")</f>
        <v/>
      </c>
      <c r="AE7">
        <f>IFERROR(INDEX('DRAFT 1'!$Z:$Z,MATCH($B7,'DRAFT 1'!$B:$B,0)),"")</f>
        <v/>
      </c>
      <c r="AF7">
        <f>IFERROR(INDEX('DRAFT 1'!$AA:$AA,MATCH($B7,'DRAFT 1'!$B:$B,0)),"")</f>
        <v/>
      </c>
      <c r="AG7">
        <f>IFERROR(INDEX('DRAFT 1'!$AB:$AB,MATCH($B7,'DRAFT 1'!$B:$B,0)),"")</f>
        <v/>
      </c>
      <c r="AH7">
        <f>IFERROR(INDEX('DRAFT 1'!$AC:$AC,MATCH($B7,'DRAFT 1'!$B:$B,0)),"")</f>
        <v/>
      </c>
      <c r="AI7">
        <f>IFERROR(INDEX('DRAFT 1'!$AD:$AD,MATCH($B7,'DRAFT 1'!$B:$B,0)),"")</f>
        <v/>
      </c>
      <c r="AJ7">
        <f>IFERROR(INDEX('DRAFT 1'!$AE:$AE,MATCH($B7,'DRAFT 1'!$B:$B,0)),"")</f>
        <v/>
      </c>
      <c r="AK7">
        <f>IFERROR(INDEX('DRAFT 1'!$AG:$AG,MATCH($B7,'DRAFT 1'!$B:$B,0)),"")</f>
        <v/>
      </c>
      <c r="AL7">
        <f>IFERROR(INDEX('DRAFT 1'!$AH:$AH,MATCH($B7,'DRAFT 1'!$B:$B,0)),"")</f>
        <v/>
      </c>
      <c r="AM7">
        <f>IFERROR(INDEX('DRAFT 1'!$AI:$AI,MATCH($B7,'DRAFT 1'!$B:$B,0)),"")</f>
        <v/>
      </c>
      <c r="AN7">
        <f>IFERROR(INDEX('DRAFT 1'!$AJ:$AJ,MATCH($B7,'DRAFT 1'!$B:$B,0)),"")</f>
        <v/>
      </c>
      <c r="AO7">
        <f>IFERROR(Y7/AN7,0)</f>
        <v/>
      </c>
      <c r="AP7">
        <f>IFERROR(INDEX('DRAFT 1'!$AK:$AK,MATCH($B7,'DRAFT 1'!$B:$B,0)),"")</f>
        <v/>
      </c>
      <c r="AR7" t="inlineStr">
        <is>
          <t>EM ATENDIMENTO</t>
        </is>
      </c>
      <c r="AS7">
        <f>IFERROR(LOOKUP(2,1/('DRAFT 2'!$D:$D=$B7),'DRAFT 2'!$T:$T),"")</f>
        <v/>
      </c>
      <c r="AT7">
        <f>IFERROR(LOOKUP(2,1/('DRAFT 2'!$D:$D=$B7),'DRAFT 2'!$A:$A),"")</f>
        <v/>
      </c>
      <c r="AU7">
        <f>IFERROR(LOOKUP(2,1/('DRAFT 2'!$D:$D=$B7),'DRAFT 2'!$R:$R),"")</f>
        <v/>
      </c>
      <c r="AV7">
        <f>IFERROR(LOOKUP(2,1/('DRAFT 2'!$D:$D=$B7),'DRAFT 2'!$S:$S),"")</f>
        <v/>
      </c>
      <c r="AW7" t="inlineStr">
        <is>
          <t>EM DESENVOLVIMENTO</t>
        </is>
      </c>
      <c r="AX7">
        <f>IFERROR(LOOKUP(2,1/('DRAFT 2'!$D:$D=$B7),'DRAFT 2'!$M:$M),"")</f>
        <v/>
      </c>
      <c r="AY7">
        <f>IFERROR(LOOKUP(2,1/('DRAFT 2'!$D:$D=$B7),'DRAFT 2'!$K:$K),"")</f>
        <v/>
      </c>
      <c r="BA7">
        <f>IF(N7="PROSPECT","❄️ FRIO",IF(OR(AR7="ORÇAMENTO",AR7="NEGOCIAÇÃO",AR7="CADASTRO"),"🔥 QUENTE",IF(OR(AR7="FOLLOW UP 7",AR7="FOLLOW UP 15",AR7="ATENDIMENTO"),"⚡ MORNO","❄️ FRIO")))</f>
        <v/>
      </c>
      <c r="BB7">
        <f>IF(BE7="","",BE7-BC7)</f>
        <v/>
      </c>
      <c r="BG7">
        <f>IFERROR(LOOKUP(2,1/('DRAFT 2'!$D:$D=$B7),'DRAFT 2'!$U:$U),"")</f>
        <v/>
      </c>
      <c r="BH7">
        <f>IFERROR(LOOKUP(2,1/('DRAFT 2'!$D:$D=$B7),'DRAFT 2'!$V:$V),"")</f>
        <v/>
      </c>
      <c r="BI7">
        <f>IF(Q7="","🟣",IF(P7&lt;=IF(AK7="",45,AK7),"🟢",IF(P7&lt;=IF(AK7="",45,AK7)+30,"🟡","🔴")))</f>
        <v/>
      </c>
      <c r="BJ7" t="inlineStr">
        <is>
          <t>SAP004</t>
        </is>
      </c>
      <c r="BU7" s="44">
        <f>CR7</f>
        <v/>
      </c>
      <c r="BV7" s="44">
        <f>AVERAGE(CC7,CR7,DG7)</f>
        <v/>
      </c>
      <c r="BW7" s="45">
        <f>IF(BX7=0,1,BY7/BX7)</f>
        <v/>
      </c>
      <c r="BX7" s="46" t="n"/>
      <c r="BY7" s="46" t="n"/>
      <c r="BZ7" s="45">
        <f>IF(CA7=0,1,CB7/CA7)</f>
        <v/>
      </c>
      <c r="CA7" s="46" t="n"/>
      <c r="CB7" s="46" t="n"/>
      <c r="CC7" s="45">
        <f>IF(CD7=0,1,CE7/CD7)</f>
        <v/>
      </c>
      <c r="CD7" s="46" t="n"/>
      <c r="CE7" s="46">
        <f>IFERROR(AJ7,0)</f>
        <v/>
      </c>
      <c r="CF7" s="47">
        <f>IFERROR(LOOKUP(2,1/('DRAFT 2'!$D:$D=$B7)*('DRAFT 2'!$A:$A&gt;=DATE(2026,1,1))*('DRAFT 2'!$A:$A&lt;DATE(2026,IF(1=12,1+1,1+1),1)),'DRAFT 2'!$A:$A),"")</f>
        <v/>
      </c>
      <c r="CG7">
        <f>COUNTIFS('DRAFT 2'!$D:$D,$B7,'DRAFT 2'!$A:$A,"&gt;="&amp;DATE(2026,1,1),'DRAFT 2'!$A:$A,"&lt;="&amp;DATE(2026,1,7))</f>
        <v/>
      </c>
      <c r="CH7">
        <f>COUNTIFS('DRAFT 2'!$D:$D,$B7,'DRAFT 2'!$A:$A,"&gt;="&amp;DATE(2026,1,8),'DRAFT 2'!$A:$A,"&lt;="&amp;DATE(2026,1,14))</f>
        <v/>
      </c>
      <c r="CI7">
        <f>COUNTIFS('DRAFT 2'!$D:$D,$B7,'DRAFT 2'!$A:$A,"&gt;="&amp;DATE(2026,1,15),'DRAFT 2'!$A:$A,"&lt;="&amp;DATE(2026,1,21))</f>
        <v/>
      </c>
      <c r="CJ7">
        <f>COUNTIFS('DRAFT 2'!$D:$D,$B7,'DRAFT 2'!$A:$A,"&gt;="&amp;DATE(2026,1,22),'DRAFT 2'!$A:$A,"&lt;"&amp;DATE(2026,IF(1=12,1+1,1+1),1))</f>
        <v/>
      </c>
      <c r="CK7">
        <f>SUM(CG7:CJ7)</f>
        <v/>
      </c>
      <c r="CL7" s="45">
        <f>IF(CM7=0,1,CN7/CM7)</f>
        <v/>
      </c>
      <c r="CM7" s="46" t="n"/>
      <c r="CN7" s="46" t="n"/>
      <c r="CO7" s="45">
        <f>IF(CP7=0,1,CQ7/CP7)</f>
        <v/>
      </c>
      <c r="CP7" s="46" t="n"/>
      <c r="CQ7" s="46" t="n"/>
      <c r="CR7" s="45">
        <f>IF(CS7=0,1,CT7/CS7)</f>
        <v/>
      </c>
      <c r="CS7" s="46" t="n"/>
      <c r="CT7" s="46" t="n">
        <v>0</v>
      </c>
      <c r="CU7" s="47">
        <f>IFERROR(LOOKUP(2,1/('DRAFT 2'!$D:$D=$B7)*('DRAFT 2'!$A:$A&gt;=DATE(2026,2,1))*('DRAFT 2'!$A:$A&lt;DATE(2026,IF(2=12,2+1,2+1),1)),'DRAFT 2'!$A:$A),"")</f>
        <v/>
      </c>
      <c r="CV7">
        <f>COUNTIFS('DRAFT 2'!$D:$D,$B7,'DRAFT 2'!$A:$A,"&gt;="&amp;DATE(2026,2,1),'DRAFT 2'!$A:$A,"&lt;="&amp;DATE(2026,2,7))</f>
        <v/>
      </c>
      <c r="CW7">
        <f>COUNTIFS('DRAFT 2'!$D:$D,$B7,'DRAFT 2'!$A:$A,"&gt;="&amp;DATE(2026,2,8),'DRAFT 2'!$A:$A,"&lt;="&amp;DATE(2026,2,14))</f>
        <v/>
      </c>
      <c r="CX7">
        <f>COUNTIFS('DRAFT 2'!$D:$D,$B7,'DRAFT 2'!$A:$A,"&gt;="&amp;DATE(2026,2,15),'DRAFT 2'!$A:$A,"&lt;="&amp;DATE(2026,2,21))</f>
        <v/>
      </c>
      <c r="CY7">
        <f>COUNTIFS('DRAFT 2'!$D:$D,$B7,'DRAFT 2'!$A:$A,"&gt;="&amp;DATE(2026,2,22),'DRAFT 2'!$A:$A,"&lt;"&amp;DATE(2026,IF(2=12,2+1,2+1),1))</f>
        <v/>
      </c>
      <c r="CZ7">
        <f>SUM(CV7:CY7)</f>
        <v/>
      </c>
      <c r="DA7" s="45">
        <f>IF(DB7=0,1,DC7/DB7)</f>
        <v/>
      </c>
      <c r="DB7" s="46" t="n"/>
      <c r="DC7" s="46" t="n"/>
      <c r="DD7" s="45">
        <f>IF(DE7=0,1,DF7/DE7)</f>
        <v/>
      </c>
      <c r="DE7" s="46" t="n"/>
      <c r="DF7" s="46" t="n"/>
      <c r="DG7" s="45">
        <f>IF(DH7=0,1,DI7/DH7)</f>
        <v/>
      </c>
      <c r="DH7" s="46" t="n"/>
      <c r="DI7" s="46" t="n"/>
      <c r="DJ7" s="47">
        <f>IFERROR(LOOKUP(2,1/('DRAFT 2'!$D:$D=$B7)*('DRAFT 2'!$A:$A&gt;=DATE(2026,3,1))*('DRAFT 2'!$A:$A&lt;DATE(2026,IF(3=12,3+1,3+1),1)),'DRAFT 2'!$A:$A),"")</f>
        <v/>
      </c>
      <c r="DK7">
        <f>COUNTIFS('DRAFT 2'!$D:$D,$B7,'DRAFT 2'!$A:$A,"&gt;="&amp;DATE(2026,3,1),'DRAFT 2'!$A:$A,"&lt;="&amp;DATE(2026,3,7))</f>
        <v/>
      </c>
      <c r="DL7">
        <f>COUNTIFS('DRAFT 2'!$D:$D,$B7,'DRAFT 2'!$A:$A,"&gt;="&amp;DATE(2026,3,8),'DRAFT 2'!$A:$A,"&lt;="&amp;DATE(2026,3,14))</f>
        <v/>
      </c>
      <c r="DM7">
        <f>COUNTIFS('DRAFT 2'!$D:$D,$B7,'DRAFT 2'!$A:$A,"&gt;="&amp;DATE(2026,3,15),'DRAFT 2'!$A:$A,"&lt;="&amp;DATE(2026,3,21))</f>
        <v/>
      </c>
      <c r="DN7">
        <f>COUNTIFS('DRAFT 2'!$D:$D,$B7,'DRAFT 2'!$A:$A,"&gt;="&amp;DATE(2026,3,22),'DRAFT 2'!$A:$A,"&lt;"&amp;DATE(2026,IF(3=12,3+1,3+1),1))</f>
        <v/>
      </c>
      <c r="DO7">
        <f>SUM(DK7:DN7)</f>
        <v/>
      </c>
      <c r="DP7" s="44">
        <f>AVERAGE(DW7,EL7,FA7)</f>
        <v/>
      </c>
      <c r="DQ7" s="48">
        <f>IF(DR7=0,1,DS7/DR7)</f>
        <v/>
      </c>
      <c r="DR7" s="46" t="n"/>
      <c r="DS7" s="46" t="n"/>
      <c r="DT7" s="48">
        <f>IF(DU7=0,1,DV7/DU7)</f>
        <v/>
      </c>
      <c r="DU7" s="46" t="n"/>
      <c r="DV7" s="46" t="n"/>
      <c r="DW7" s="48">
        <f>IF(DX7=0,1,DY7/DX7)</f>
        <v/>
      </c>
      <c r="DX7" s="46" t="n"/>
      <c r="DY7" s="46" t="n"/>
      <c r="DZ7" s="47">
        <f>IFERROR(LOOKUP(2,1/('DRAFT 2'!$D:$D=$B7)*('DRAFT 2'!$A:$A&gt;=DATE(2026,4,1))*('DRAFT 2'!$A:$A&lt;DATE(2026,IF(4=12,4+1,4+1),1)),'DRAFT 2'!$A:$A),"")</f>
        <v/>
      </c>
      <c r="EA7">
        <f>COUNTIFS('DRAFT 2'!$D:$D,$B7,'DRAFT 2'!$A:$A,"&gt;="&amp;DATE(2026,4,1),'DRAFT 2'!$A:$A,"&lt;="&amp;DATE(2026,4,7))</f>
        <v/>
      </c>
      <c r="EB7">
        <f>COUNTIFS('DRAFT 2'!$D:$D,$B7,'DRAFT 2'!$A:$A,"&gt;="&amp;DATE(2026,4,8),'DRAFT 2'!$A:$A,"&lt;="&amp;DATE(2026,4,14))</f>
        <v/>
      </c>
      <c r="EC7">
        <f>COUNTIFS('DRAFT 2'!$D:$D,$B7,'DRAFT 2'!$A:$A,"&gt;="&amp;DATE(2026,4,15),'DRAFT 2'!$A:$A,"&lt;="&amp;DATE(2026,4,21))</f>
        <v/>
      </c>
      <c r="ED7">
        <f>COUNTIFS('DRAFT 2'!$D:$D,$B7,'DRAFT 2'!$A:$A,"&gt;="&amp;DATE(2026,4,22),'DRAFT 2'!$A:$A,"&lt;"&amp;DATE(2026,IF(4=12,4+1,4+1),1))</f>
        <v/>
      </c>
      <c r="EE7">
        <f>SUM(EA7:ED7)</f>
        <v/>
      </c>
      <c r="EF7" s="48">
        <f>IF(EG7=0,1,EH7/EG7)</f>
        <v/>
      </c>
      <c r="EG7" s="46" t="n"/>
      <c r="EH7" s="46" t="n"/>
      <c r="EI7" s="48">
        <f>IF(EJ7=0,1,EK7/EJ7)</f>
        <v/>
      </c>
      <c r="EJ7" s="46" t="n"/>
      <c r="EK7" s="46" t="n"/>
      <c r="EL7" s="48">
        <f>IF(EM7=0,1,EN7/EM7)</f>
        <v/>
      </c>
      <c r="EM7" s="46" t="n"/>
      <c r="EN7" s="46" t="n"/>
      <c r="EO7" s="47">
        <f>IFERROR(LOOKUP(2,1/('DRAFT 2'!$D:$D=$B7)*('DRAFT 2'!$A:$A&gt;=DATE(2026,5,1))*('DRAFT 2'!$A:$A&lt;DATE(2026,IF(5=12,5+1,5+1),1)),'DRAFT 2'!$A:$A),"")</f>
        <v/>
      </c>
      <c r="EP7">
        <f>COUNTIFS('DRAFT 2'!$D:$D,$B7,'DRAFT 2'!$A:$A,"&gt;="&amp;DATE(2026,5,1),'DRAFT 2'!$A:$A,"&lt;="&amp;DATE(2026,5,7))</f>
        <v/>
      </c>
      <c r="EQ7">
        <f>COUNTIFS('DRAFT 2'!$D:$D,$B7,'DRAFT 2'!$A:$A,"&gt;="&amp;DATE(2026,5,8),'DRAFT 2'!$A:$A,"&lt;="&amp;DATE(2026,5,14))</f>
        <v/>
      </c>
      <c r="ER7">
        <f>COUNTIFS('DRAFT 2'!$D:$D,$B7,'DRAFT 2'!$A:$A,"&gt;="&amp;DATE(2026,5,15),'DRAFT 2'!$A:$A,"&lt;="&amp;DATE(2026,5,21))</f>
        <v/>
      </c>
      <c r="ES7">
        <f>COUNTIFS('DRAFT 2'!$D:$D,$B7,'DRAFT 2'!$A:$A,"&gt;="&amp;DATE(2026,5,22),'DRAFT 2'!$A:$A,"&lt;"&amp;DATE(2026,IF(5=12,5+1,5+1),1))</f>
        <v/>
      </c>
      <c r="ET7">
        <f>SUM(EP7:ES7)</f>
        <v/>
      </c>
      <c r="EU7" s="48">
        <f>IF(EV7=0,1,EW7/EV7)</f>
        <v/>
      </c>
      <c r="EV7" s="46" t="n"/>
      <c r="EW7" s="46" t="n"/>
      <c r="EX7" s="48">
        <f>IF(EY7=0,1,EZ7/EY7)</f>
        <v/>
      </c>
      <c r="EY7" s="46" t="n"/>
      <c r="EZ7" s="46" t="n"/>
      <c r="FA7" s="48">
        <f>IF(FB7=0,1,FC7/FB7)</f>
        <v/>
      </c>
      <c r="FB7" s="46" t="n"/>
      <c r="FC7" s="46" t="n"/>
      <c r="FD7" s="47">
        <f>IFERROR(LOOKUP(2,1/('DRAFT 2'!$D:$D=$B7)*('DRAFT 2'!$A:$A&gt;=DATE(2026,6,1))*('DRAFT 2'!$A:$A&lt;DATE(2026,IF(6=12,6+1,6+1),1)),'DRAFT 2'!$A:$A),"")</f>
        <v/>
      </c>
      <c r="FE7">
        <f>COUNTIFS('DRAFT 2'!$D:$D,$B7,'DRAFT 2'!$A:$A,"&gt;="&amp;DATE(2026,6,1),'DRAFT 2'!$A:$A,"&lt;="&amp;DATE(2026,6,7))</f>
        <v/>
      </c>
      <c r="FF7">
        <f>COUNTIFS('DRAFT 2'!$D:$D,$B7,'DRAFT 2'!$A:$A,"&gt;="&amp;DATE(2026,6,8),'DRAFT 2'!$A:$A,"&lt;="&amp;DATE(2026,6,14))</f>
        <v/>
      </c>
      <c r="FG7">
        <f>COUNTIFS('DRAFT 2'!$D:$D,$B7,'DRAFT 2'!$A:$A,"&gt;="&amp;DATE(2026,6,15),'DRAFT 2'!$A:$A,"&lt;="&amp;DATE(2026,6,21))</f>
        <v/>
      </c>
      <c r="FH7">
        <f>COUNTIFS('DRAFT 2'!$D:$D,$B7,'DRAFT 2'!$A:$A,"&gt;="&amp;DATE(2026,6,22),'DRAFT 2'!$A:$A,"&lt;"&amp;DATE(2026,IF(6=12,6+1,6+1),1))</f>
        <v/>
      </c>
      <c r="FI7">
        <f>SUM(FE7:FH7)</f>
        <v/>
      </c>
      <c r="FJ7" s="44">
        <f>AVERAGE(FQ7,GF7,GU7)</f>
        <v/>
      </c>
      <c r="FK7" s="49">
        <f>IF(FL7=0,1,FM7/FL7)</f>
        <v/>
      </c>
      <c r="FL7" s="46" t="n"/>
      <c r="FM7" s="46" t="n"/>
      <c r="FN7" s="49">
        <f>IF(FO7=0,1,FP7/FO7)</f>
        <v/>
      </c>
      <c r="FO7" s="46" t="n"/>
      <c r="FP7" s="46" t="n"/>
      <c r="FQ7" s="49">
        <f>IF(FR7=0,1,FS7/FR7)</f>
        <v/>
      </c>
      <c r="FR7" s="46" t="n"/>
      <c r="FS7" s="46" t="n"/>
      <c r="FT7" s="47">
        <f>IFERROR(LOOKUP(2,1/('DRAFT 2'!$D:$D=$B7)*('DRAFT 2'!$A:$A&gt;=DATE(2026,7,1))*('DRAFT 2'!$A:$A&lt;DATE(2026,IF(7=12,7+1,7+1),1)),'DRAFT 2'!$A:$A),"")</f>
        <v/>
      </c>
      <c r="FU7">
        <f>COUNTIFS('DRAFT 2'!$D:$D,$B7,'DRAFT 2'!$A:$A,"&gt;="&amp;DATE(2026,7,1),'DRAFT 2'!$A:$A,"&lt;="&amp;DATE(2026,7,7))</f>
        <v/>
      </c>
      <c r="FV7">
        <f>COUNTIFS('DRAFT 2'!$D:$D,$B7,'DRAFT 2'!$A:$A,"&gt;="&amp;DATE(2026,7,8),'DRAFT 2'!$A:$A,"&lt;="&amp;DATE(2026,7,14))</f>
        <v/>
      </c>
      <c r="FW7">
        <f>COUNTIFS('DRAFT 2'!$D:$D,$B7,'DRAFT 2'!$A:$A,"&gt;="&amp;DATE(2026,7,15),'DRAFT 2'!$A:$A,"&lt;="&amp;DATE(2026,7,21))</f>
        <v/>
      </c>
      <c r="FX7">
        <f>COUNTIFS('DRAFT 2'!$D:$D,$B7,'DRAFT 2'!$A:$A,"&gt;="&amp;DATE(2026,7,22),'DRAFT 2'!$A:$A,"&lt;"&amp;DATE(2026,IF(7=12,7+1,7+1),1))</f>
        <v/>
      </c>
      <c r="FY7">
        <f>SUM(FU7:FX7)</f>
        <v/>
      </c>
      <c r="FZ7" s="49">
        <f>IF(GA7=0,1,GB7/GA7)</f>
        <v/>
      </c>
      <c r="GA7" s="46" t="n"/>
      <c r="GB7" s="46" t="n"/>
      <c r="GC7" s="49">
        <f>IF(GD7=0,1,GE7/GD7)</f>
        <v/>
      </c>
      <c r="GD7" s="46" t="n"/>
      <c r="GE7" s="46" t="n"/>
      <c r="GF7" s="49">
        <f>IF(GG7=0,1,GH7/GG7)</f>
        <v/>
      </c>
      <c r="GG7" s="46" t="n"/>
      <c r="GH7" s="46" t="n"/>
      <c r="GI7" s="47">
        <f>IFERROR(LOOKUP(2,1/('DRAFT 2'!$D:$D=$B7)*('DRAFT 2'!$A:$A&gt;=DATE(2026,8,1))*('DRAFT 2'!$A:$A&lt;DATE(2026,IF(8=12,8+1,8+1),1)),'DRAFT 2'!$A:$A),"")</f>
        <v/>
      </c>
      <c r="GJ7">
        <f>COUNTIFS('DRAFT 2'!$D:$D,$B7,'DRAFT 2'!$A:$A,"&gt;="&amp;DATE(2026,8,1),'DRAFT 2'!$A:$A,"&lt;="&amp;DATE(2026,8,7))</f>
        <v/>
      </c>
      <c r="GK7">
        <f>COUNTIFS('DRAFT 2'!$D:$D,$B7,'DRAFT 2'!$A:$A,"&gt;="&amp;DATE(2026,8,8),'DRAFT 2'!$A:$A,"&lt;="&amp;DATE(2026,8,14))</f>
        <v/>
      </c>
      <c r="GL7">
        <f>COUNTIFS('DRAFT 2'!$D:$D,$B7,'DRAFT 2'!$A:$A,"&gt;="&amp;DATE(2026,8,15),'DRAFT 2'!$A:$A,"&lt;="&amp;DATE(2026,8,21))</f>
        <v/>
      </c>
      <c r="GM7">
        <f>COUNTIFS('DRAFT 2'!$D:$D,$B7,'DRAFT 2'!$A:$A,"&gt;="&amp;DATE(2026,8,22),'DRAFT 2'!$A:$A,"&lt;"&amp;DATE(2026,IF(8=12,8+1,8+1),1))</f>
        <v/>
      </c>
      <c r="GN7">
        <f>SUM(GJ7:GM7)</f>
        <v/>
      </c>
      <c r="GO7" s="49">
        <f>IF(GP7=0,1,GQ7/GP7)</f>
        <v/>
      </c>
      <c r="GP7" s="46" t="n"/>
      <c r="GQ7" s="46" t="n"/>
      <c r="GR7" s="49">
        <f>IF(GS7=0,1,GT7/GS7)</f>
        <v/>
      </c>
      <c r="GS7" s="46" t="n"/>
      <c r="GT7" s="46" t="n"/>
      <c r="GU7" s="49">
        <f>IF(GV7=0,1,GW7/GV7)</f>
        <v/>
      </c>
      <c r="GV7" s="46" t="n"/>
      <c r="GW7" s="46" t="n"/>
      <c r="GX7" s="47">
        <f>IFERROR(LOOKUP(2,1/('DRAFT 2'!$D:$D=$B7)*('DRAFT 2'!$A:$A&gt;=DATE(2026,9,1))*('DRAFT 2'!$A:$A&lt;DATE(2026,IF(9=12,9+1,9+1),1)),'DRAFT 2'!$A:$A),"")</f>
        <v/>
      </c>
      <c r="GY7">
        <f>COUNTIFS('DRAFT 2'!$D:$D,$B7,'DRAFT 2'!$A:$A,"&gt;="&amp;DATE(2026,9,1),'DRAFT 2'!$A:$A,"&lt;="&amp;DATE(2026,9,7))</f>
        <v/>
      </c>
      <c r="GZ7">
        <f>COUNTIFS('DRAFT 2'!$D:$D,$B7,'DRAFT 2'!$A:$A,"&gt;="&amp;DATE(2026,9,8),'DRAFT 2'!$A:$A,"&lt;="&amp;DATE(2026,9,14))</f>
        <v/>
      </c>
      <c r="HA7">
        <f>COUNTIFS('DRAFT 2'!$D:$D,$B7,'DRAFT 2'!$A:$A,"&gt;="&amp;DATE(2026,9,15),'DRAFT 2'!$A:$A,"&lt;="&amp;DATE(2026,9,21))</f>
        <v/>
      </c>
      <c r="HB7">
        <f>COUNTIFS('DRAFT 2'!$D:$D,$B7,'DRAFT 2'!$A:$A,"&gt;="&amp;DATE(2026,9,22),'DRAFT 2'!$A:$A,"&lt;"&amp;DATE(2026,IF(9=12,9+1,9+1),1))</f>
        <v/>
      </c>
      <c r="HC7">
        <f>SUM(GY7:HB7)</f>
        <v/>
      </c>
      <c r="HD7" s="44">
        <f>AVERAGE(HK7,HZ7,IO7)</f>
        <v/>
      </c>
      <c r="HE7" s="50">
        <f>IF(HF7=0,1,HG7/HF7)</f>
        <v/>
      </c>
      <c r="HF7" s="46" t="n"/>
      <c r="HG7" s="46" t="n"/>
      <c r="HH7" s="50">
        <f>IF(HI7=0,1,HJ7/HI7)</f>
        <v/>
      </c>
      <c r="HI7" s="46" t="n"/>
      <c r="HJ7" s="46" t="n"/>
      <c r="HK7" s="50">
        <f>IF(HL7=0,1,HM7/HL7)</f>
        <v/>
      </c>
      <c r="HL7" s="46" t="n"/>
      <c r="HM7" s="46" t="n"/>
      <c r="HN7" s="47">
        <f>IFERROR(LOOKUP(2,1/('DRAFT 2'!$D:$D=$B7)*('DRAFT 2'!$A:$A&gt;=DATE(2026,10,1))*('DRAFT 2'!$A:$A&lt;DATE(2026,IF(10=12,10+1,10+1),1)),'DRAFT 2'!$A:$A),"")</f>
        <v/>
      </c>
      <c r="HO7">
        <f>COUNTIFS('DRAFT 2'!$D:$D,$B7,'DRAFT 2'!$A:$A,"&gt;="&amp;DATE(2026,10,1),'DRAFT 2'!$A:$A,"&lt;="&amp;DATE(2026,10,7))</f>
        <v/>
      </c>
      <c r="HP7">
        <f>COUNTIFS('DRAFT 2'!$D:$D,$B7,'DRAFT 2'!$A:$A,"&gt;="&amp;DATE(2026,10,8),'DRAFT 2'!$A:$A,"&lt;="&amp;DATE(2026,10,14))</f>
        <v/>
      </c>
      <c r="HQ7">
        <f>COUNTIFS('DRAFT 2'!$D:$D,$B7,'DRAFT 2'!$A:$A,"&gt;="&amp;DATE(2026,10,15),'DRAFT 2'!$A:$A,"&lt;="&amp;DATE(2026,10,21))</f>
        <v/>
      </c>
      <c r="HR7">
        <f>COUNTIFS('DRAFT 2'!$D:$D,$B7,'DRAFT 2'!$A:$A,"&gt;="&amp;DATE(2026,10,22),'DRAFT 2'!$A:$A,"&lt;"&amp;DATE(2026,IF(10=12,10+1,10+1),1))</f>
        <v/>
      </c>
      <c r="HS7">
        <f>SUM(HO7:HR7)</f>
        <v/>
      </c>
      <c r="HT7" s="50">
        <f>IF(HU7=0,1,HV7/HU7)</f>
        <v/>
      </c>
      <c r="HU7" s="46" t="n"/>
      <c r="HV7" s="46" t="n"/>
      <c r="HW7" s="50">
        <f>IF(HX7=0,1,HY7/HX7)</f>
        <v/>
      </c>
      <c r="HX7" s="46" t="n"/>
      <c r="HY7" s="46" t="n"/>
      <c r="HZ7" s="50">
        <f>IF(IA7=0,1,IB7/IA7)</f>
        <v/>
      </c>
      <c r="IA7" s="46" t="n"/>
      <c r="IB7" s="46" t="n"/>
      <c r="IC7" s="47">
        <f>IFERROR(LOOKUP(2,1/('DRAFT 2'!$D:$D=$B7)*('DRAFT 2'!$A:$A&gt;=DATE(2026,11,1))*('DRAFT 2'!$A:$A&lt;DATE(2026,IF(11=12,11+1,11+1),1)),'DRAFT 2'!$A:$A),"")</f>
        <v/>
      </c>
      <c r="ID7">
        <f>COUNTIFS('DRAFT 2'!$D:$D,$B7,'DRAFT 2'!$A:$A,"&gt;="&amp;DATE(2026,11,1),'DRAFT 2'!$A:$A,"&lt;="&amp;DATE(2026,11,7))</f>
        <v/>
      </c>
      <c r="IE7">
        <f>COUNTIFS('DRAFT 2'!$D:$D,$B7,'DRAFT 2'!$A:$A,"&gt;="&amp;DATE(2026,11,8),'DRAFT 2'!$A:$A,"&lt;="&amp;DATE(2026,11,14))</f>
        <v/>
      </c>
      <c r="IF7">
        <f>COUNTIFS('DRAFT 2'!$D:$D,$B7,'DRAFT 2'!$A:$A,"&gt;="&amp;DATE(2026,11,15),'DRAFT 2'!$A:$A,"&lt;="&amp;DATE(2026,11,21))</f>
        <v/>
      </c>
      <c r="IG7">
        <f>COUNTIFS('DRAFT 2'!$D:$D,$B7,'DRAFT 2'!$A:$A,"&gt;="&amp;DATE(2026,11,22),'DRAFT 2'!$A:$A,"&lt;"&amp;DATE(2026,IF(11=12,11+1,11+1),1))</f>
        <v/>
      </c>
      <c r="IH7">
        <f>SUM(ID7:IG7)</f>
        <v/>
      </c>
      <c r="II7" s="50">
        <f>IF(IJ7=0,1,IK7/IJ7)</f>
        <v/>
      </c>
      <c r="IJ7" s="46" t="n"/>
      <c r="IK7" s="46" t="n"/>
      <c r="IL7" s="50">
        <f>IF(IM7=0,1,IN7/IM7)</f>
        <v/>
      </c>
      <c r="IM7" s="46" t="n"/>
      <c r="IN7" s="46" t="n"/>
      <c r="IO7" s="50">
        <f>IF(IP7=0,1,IQ7/IP7)</f>
        <v/>
      </c>
      <c r="IP7" s="46" t="n"/>
      <c r="IQ7" s="46" t="n"/>
      <c r="IR7" s="47">
        <f>IFERROR(LOOKUP(2,1/('DRAFT 2'!$D:$D=$B7)*('DRAFT 2'!$A:$A&gt;=DATE(2026,12,1))*('DRAFT 2'!$A:$A&lt;DATE(2026,IF(12=12,12+1,12+1),1)),'DRAFT 2'!$A:$A),"")</f>
        <v/>
      </c>
      <c r="IS7">
        <f>COUNTIFS('DRAFT 2'!$D:$D,$B7,'DRAFT 2'!$A:$A,"&gt;="&amp;DATE(2026,12,1),'DRAFT 2'!$A:$A,"&lt;="&amp;DATE(2026,12,7))</f>
        <v/>
      </c>
      <c r="IT7">
        <f>COUNTIFS('DRAFT 2'!$D:$D,$B7,'DRAFT 2'!$A:$A,"&gt;="&amp;DATE(2026,12,8),'DRAFT 2'!$A:$A,"&lt;="&amp;DATE(2026,12,14))</f>
        <v/>
      </c>
      <c r="IU7">
        <f>COUNTIFS('DRAFT 2'!$D:$D,$B7,'DRAFT 2'!$A:$A,"&gt;="&amp;DATE(2026,12,15),'DRAFT 2'!$A:$A,"&lt;="&amp;DATE(2026,12,21))</f>
        <v/>
      </c>
      <c r="IV7">
        <f>COUNTIFS('DRAFT 2'!$D:$D,$B7,'DRAFT 2'!$A:$A,"&gt;="&amp;DATE(2026,12,22),'DRAFT 2'!$A:$A,"&lt;"&amp;DATE(2026,IF(12=12,12+1,12+1),1))</f>
        <v/>
      </c>
      <c r="IW7">
        <f>SUM(IS7:IV7)</f>
        <v/>
      </c>
    </row>
    <row r="8" ht="15" customHeight="1" s="108">
      <c r="A8">
        <f>IFERROR(INDEX('DRAFT 1'!$A:$A,MATCH($B8,'DRAFT 1'!$B:$B,0)),"")</f>
        <v/>
      </c>
      <c r="B8" t="inlineStr">
        <is>
          <t>55566677000122</t>
        </is>
      </c>
      <c r="C8">
        <f>IFERROR(INDEX('DRAFT 1'!$C:$C,MATCH($B8,'DRAFT 1'!$B:$B,0)),"")</f>
        <v/>
      </c>
      <c r="D8">
        <f>IFERROR(INDEX('DRAFT 1'!$D:$D,MATCH($B8,'DRAFT 1'!$B:$B,0)),"")</f>
        <v/>
      </c>
      <c r="E8">
        <f>IFERROR(INDEX('DRAFT 1'!$E:$E,MATCH($B8,'DRAFT 1'!$B:$B,0)),"")</f>
        <v/>
      </c>
      <c r="F8">
        <f>IFERROR(INDEX('DRAFT 1'!$F:$F,MATCH($B8,'DRAFT 1'!$B:$B,0)),"")</f>
        <v/>
      </c>
      <c r="G8">
        <f>IFERROR(INDEX('DRAFT 1'!$G:$G,MATCH($B8,'DRAFT 1'!$B:$B,0)),"")</f>
        <v/>
      </c>
      <c r="H8">
        <f>IFERROR(INDEX('DRAFT 1'!$H:$H,MATCH($B8,'DRAFT 1'!$B:$B,0)),"")</f>
        <v/>
      </c>
      <c r="I8" t="inlineStr">
        <is>
          <t>DEMAIS CLIENTES</t>
        </is>
      </c>
      <c r="K8">
        <f>IFERROR(INDEX('DRAFT 1'!$AL:$AL,MATCH($B8,'DRAFT 1'!$B:$B,0)),"")</f>
        <v/>
      </c>
      <c r="L8">
        <f>IFERROR(INDEX('DRAFT 1'!$J:$J,MATCH($B8,'DRAFT 1'!$B:$B,0)),"")</f>
        <v/>
      </c>
      <c r="M8">
        <f>IFERROR(INDEX('DRAFT 1'!$K:$K,MATCH($B8,'DRAFT 1'!$B:$B,0)),"")</f>
        <v/>
      </c>
      <c r="N8" t="inlineStr">
        <is>
          <t>INAT.ANT</t>
        </is>
      </c>
      <c r="O8">
        <f>IF(N8="EM RISCO",1,IF(N8="INAT.REC",2,IF(N8="ATIVO",3,IF(N8="INAT.ANT",4,5))))</f>
        <v/>
      </c>
      <c r="P8">
        <f>IFERROR(INDEX('DRAFT 1'!$L:$L,MATCH($B8,'DRAFT 1'!$B:$B,0)),"")</f>
        <v/>
      </c>
      <c r="Q8">
        <f>IFERROR(INDEX('DRAFT 1'!$M:$M,MATCH($B8,'DRAFT 1'!$B:$B,0)),"")</f>
        <v/>
      </c>
      <c r="R8">
        <f>IFERROR(INDEX('DRAFT 1'!$N:$N,MATCH($B8,'DRAFT 1'!$B:$B,0)),"")</f>
        <v/>
      </c>
      <c r="S8">
        <f>IFERROR(INDEX('DRAFT 1'!$O:$O,MATCH($B8,'DRAFT 1'!$B:$B,0)),"")</f>
        <v/>
      </c>
      <c r="T8">
        <f>IFERROR(INDEX('DRAFT 1'!$P:$P,MATCH($B8,'DRAFT 1'!$B:$B,0)),"")</f>
        <v/>
      </c>
      <c r="U8">
        <f>IFERROR(INDEX('DRAFT 1'!$Q:$Q,MATCH($B8,'DRAFT 1'!$B:$B,0)),"")</f>
        <v/>
      </c>
      <c r="V8">
        <f>IFERROR(INDEX('DRAFT 1'!$R:$R,MATCH($B8,'DRAFT 1'!$B:$B,0)),"")</f>
        <v/>
      </c>
      <c r="W8">
        <f>IFERROR(INDEX('DRAFT 1'!$S:$S,MATCH($B8,'DRAFT 1'!$B:$B,0)),"")</f>
        <v/>
      </c>
      <c r="X8">
        <f>IFERROR(INDEX('DRAFT 1'!$T:$T,MATCH($B8,'DRAFT 1'!$B:$B,0)),"")</f>
        <v/>
      </c>
      <c r="Y8">
        <f>SUM(Z8:AJ8)</f>
        <v/>
      </c>
      <c r="Z8">
        <f>IFERROR(INDEX('DRAFT 1'!$U:$U,MATCH($B8,'DRAFT 1'!$B:$B,0)),"")</f>
        <v/>
      </c>
      <c r="AA8">
        <f>IFERROR(INDEX('DRAFT 1'!$V:$V,MATCH($B8,'DRAFT 1'!$B:$B,0)),"")</f>
        <v/>
      </c>
      <c r="AB8">
        <f>IFERROR(INDEX('DRAFT 1'!$W:$W,MATCH($B8,'DRAFT 1'!$B:$B,0)),"")</f>
        <v/>
      </c>
      <c r="AC8">
        <f>IFERROR(INDEX('DRAFT 1'!$X:$X,MATCH($B8,'DRAFT 1'!$B:$B,0)),"")</f>
        <v/>
      </c>
      <c r="AD8">
        <f>IFERROR(INDEX('DRAFT 1'!$Y:$Y,MATCH($B8,'DRAFT 1'!$B:$B,0)),"")</f>
        <v/>
      </c>
      <c r="AE8">
        <f>IFERROR(INDEX('DRAFT 1'!$Z:$Z,MATCH($B8,'DRAFT 1'!$B:$B,0)),"")</f>
        <v/>
      </c>
      <c r="AF8">
        <f>IFERROR(INDEX('DRAFT 1'!$AA:$AA,MATCH($B8,'DRAFT 1'!$B:$B,0)),"")</f>
        <v/>
      </c>
      <c r="AG8">
        <f>IFERROR(INDEX('DRAFT 1'!$AB:$AB,MATCH($B8,'DRAFT 1'!$B:$B,0)),"")</f>
        <v/>
      </c>
      <c r="AH8">
        <f>IFERROR(INDEX('DRAFT 1'!$AC:$AC,MATCH($B8,'DRAFT 1'!$B:$B,0)),"")</f>
        <v/>
      </c>
      <c r="AI8">
        <f>IFERROR(INDEX('DRAFT 1'!$AD:$AD,MATCH($B8,'DRAFT 1'!$B:$B,0)),"")</f>
        <v/>
      </c>
      <c r="AJ8">
        <f>IFERROR(INDEX('DRAFT 1'!$AE:$AE,MATCH($B8,'DRAFT 1'!$B:$B,0)),"")</f>
        <v/>
      </c>
      <c r="AK8">
        <f>IFERROR(INDEX('DRAFT 1'!$AG:$AG,MATCH($B8,'DRAFT 1'!$B:$B,0)),"")</f>
        <v/>
      </c>
      <c r="AL8">
        <f>IFERROR(INDEX('DRAFT 1'!$AH:$AH,MATCH($B8,'DRAFT 1'!$B:$B,0)),"")</f>
        <v/>
      </c>
      <c r="AM8">
        <f>IFERROR(INDEX('DRAFT 1'!$AI:$AI,MATCH($B8,'DRAFT 1'!$B:$B,0)),"")</f>
        <v/>
      </c>
      <c r="AN8">
        <f>IFERROR(INDEX('DRAFT 1'!$AJ:$AJ,MATCH($B8,'DRAFT 1'!$B:$B,0)),"")</f>
        <v/>
      </c>
      <c r="AO8">
        <f>IFERROR(Y8/AN8,0)</f>
        <v/>
      </c>
      <c r="AP8">
        <f>IFERROR(INDEX('DRAFT 1'!$AK:$AK,MATCH($B8,'DRAFT 1'!$B:$B,0)),"")</f>
        <v/>
      </c>
      <c r="AR8" t="inlineStr">
        <is>
          <t>PROSPECÇÃO</t>
        </is>
      </c>
      <c r="AS8">
        <f>IFERROR(LOOKUP(2,1/('DRAFT 2'!$D:$D=$B8),'DRAFT 2'!$T:$T),"")</f>
        <v/>
      </c>
      <c r="AT8">
        <f>IFERROR(LOOKUP(2,1/('DRAFT 2'!$D:$D=$B8),'DRAFT 2'!$A:$A),"")</f>
        <v/>
      </c>
      <c r="AU8">
        <f>IFERROR(LOOKUP(2,1/('DRAFT 2'!$D:$D=$B8),'DRAFT 2'!$R:$R),"")</f>
        <v/>
      </c>
      <c r="AV8">
        <f>IFERROR(LOOKUP(2,1/('DRAFT 2'!$D:$D=$B8),'DRAFT 2'!$S:$S),"")</f>
        <v/>
      </c>
      <c r="AW8" t="inlineStr">
        <is>
          <t>PROSPECT</t>
        </is>
      </c>
      <c r="AX8">
        <f>IFERROR(LOOKUP(2,1/('DRAFT 2'!$D:$D=$B8),'DRAFT 2'!$M:$M),"")</f>
        <v/>
      </c>
      <c r="AY8">
        <f>IFERROR(LOOKUP(2,1/('DRAFT 2'!$D:$D=$B8),'DRAFT 2'!$K:$K),"")</f>
        <v/>
      </c>
      <c r="BA8">
        <f>IF(N8="PROSPECT","❄️ FRIO",IF(OR(AR8="ORÇAMENTO",AR8="NEGOCIAÇÃO",AR8="CADASTRO"),"🔥 QUENTE",IF(OR(AR8="FOLLOW UP 7",AR8="FOLLOW UP 15",AR8="ATENDIMENTO"),"⚡ MORNO","❄️ FRIO")))</f>
        <v/>
      </c>
      <c r="BB8">
        <f>IF(BE8="","",BE8-BC8)</f>
        <v/>
      </c>
      <c r="BG8">
        <f>IFERROR(LOOKUP(2,1/('DRAFT 2'!$D:$D=$B8),'DRAFT 2'!$U:$U),"")</f>
        <v/>
      </c>
      <c r="BH8">
        <f>IFERROR(LOOKUP(2,1/('DRAFT 2'!$D:$D=$B8),'DRAFT 2'!$V:$V),"")</f>
        <v/>
      </c>
      <c r="BI8">
        <f>IF(Q8="","🟣",IF(P8&lt;=IF(AK8="",45,AK8),"🟢",IF(P8&lt;=IF(AK8="",45,AK8)+30,"🟡","🔴")))</f>
        <v/>
      </c>
      <c r="BU8" s="44">
        <f>CR8</f>
        <v/>
      </c>
      <c r="BV8" s="44">
        <f>AVERAGE(CC8,CR8,DG8)</f>
        <v/>
      </c>
      <c r="BW8" s="45">
        <f>IF(BX8=0,1,BY8/BX8)</f>
        <v/>
      </c>
      <c r="BX8" s="46" t="n"/>
      <c r="BY8" s="46" t="n"/>
      <c r="BZ8" s="45">
        <f>IF(CA8=0,1,CB8/CA8)</f>
        <v/>
      </c>
      <c r="CA8" s="46" t="n"/>
      <c r="CB8" s="46" t="n"/>
      <c r="CC8" s="45">
        <f>IF(CD8=0,1,CE8/CD8)</f>
        <v/>
      </c>
      <c r="CD8" s="46" t="n"/>
      <c r="CE8" s="46">
        <f>IFERROR(AJ8,0)</f>
        <v/>
      </c>
      <c r="CF8" s="47">
        <f>IFERROR(LOOKUP(2,1/('DRAFT 2'!$D:$D=$B8)*('DRAFT 2'!$A:$A&gt;=DATE(2026,1,1))*('DRAFT 2'!$A:$A&lt;DATE(2026,IF(1=12,1+1,1+1),1)),'DRAFT 2'!$A:$A),"")</f>
        <v/>
      </c>
      <c r="CG8">
        <f>COUNTIFS('DRAFT 2'!$D:$D,$B8,'DRAFT 2'!$A:$A,"&gt;="&amp;DATE(2026,1,1),'DRAFT 2'!$A:$A,"&lt;="&amp;DATE(2026,1,7))</f>
        <v/>
      </c>
      <c r="CH8">
        <f>COUNTIFS('DRAFT 2'!$D:$D,$B8,'DRAFT 2'!$A:$A,"&gt;="&amp;DATE(2026,1,8),'DRAFT 2'!$A:$A,"&lt;="&amp;DATE(2026,1,14))</f>
        <v/>
      </c>
      <c r="CI8">
        <f>COUNTIFS('DRAFT 2'!$D:$D,$B8,'DRAFT 2'!$A:$A,"&gt;="&amp;DATE(2026,1,15),'DRAFT 2'!$A:$A,"&lt;="&amp;DATE(2026,1,21))</f>
        <v/>
      </c>
      <c r="CJ8">
        <f>COUNTIFS('DRAFT 2'!$D:$D,$B8,'DRAFT 2'!$A:$A,"&gt;="&amp;DATE(2026,1,22),'DRAFT 2'!$A:$A,"&lt;"&amp;DATE(2026,IF(1=12,1+1,1+1),1))</f>
        <v/>
      </c>
      <c r="CK8">
        <f>SUM(CG8:CJ8)</f>
        <v/>
      </c>
      <c r="CL8" s="45">
        <f>IF(CM8=0,1,CN8/CM8)</f>
        <v/>
      </c>
      <c r="CM8" s="46" t="n"/>
      <c r="CN8" s="46" t="n"/>
      <c r="CO8" s="45">
        <f>IF(CP8=0,1,CQ8/CP8)</f>
        <v/>
      </c>
      <c r="CP8" s="46" t="n"/>
      <c r="CQ8" s="46" t="n"/>
      <c r="CR8" s="45">
        <f>IF(CS8=0,1,CT8/CS8)</f>
        <v/>
      </c>
      <c r="CS8" s="46" t="n"/>
      <c r="CT8" s="46" t="n">
        <v>0</v>
      </c>
      <c r="CU8" s="47">
        <f>IFERROR(LOOKUP(2,1/('DRAFT 2'!$D:$D=$B8)*('DRAFT 2'!$A:$A&gt;=DATE(2026,2,1))*('DRAFT 2'!$A:$A&lt;DATE(2026,IF(2=12,2+1,2+1),1)),'DRAFT 2'!$A:$A),"")</f>
        <v/>
      </c>
      <c r="CV8">
        <f>COUNTIFS('DRAFT 2'!$D:$D,$B8,'DRAFT 2'!$A:$A,"&gt;="&amp;DATE(2026,2,1),'DRAFT 2'!$A:$A,"&lt;="&amp;DATE(2026,2,7))</f>
        <v/>
      </c>
      <c r="CW8">
        <f>COUNTIFS('DRAFT 2'!$D:$D,$B8,'DRAFT 2'!$A:$A,"&gt;="&amp;DATE(2026,2,8),'DRAFT 2'!$A:$A,"&lt;="&amp;DATE(2026,2,14))</f>
        <v/>
      </c>
      <c r="CX8">
        <f>COUNTIFS('DRAFT 2'!$D:$D,$B8,'DRAFT 2'!$A:$A,"&gt;="&amp;DATE(2026,2,15),'DRAFT 2'!$A:$A,"&lt;="&amp;DATE(2026,2,21))</f>
        <v/>
      </c>
      <c r="CY8">
        <f>COUNTIFS('DRAFT 2'!$D:$D,$B8,'DRAFT 2'!$A:$A,"&gt;="&amp;DATE(2026,2,22),'DRAFT 2'!$A:$A,"&lt;"&amp;DATE(2026,IF(2=12,2+1,2+1),1))</f>
        <v/>
      </c>
      <c r="CZ8">
        <f>SUM(CV8:CY8)</f>
        <v/>
      </c>
      <c r="DA8" s="45">
        <f>IF(DB8=0,1,DC8/DB8)</f>
        <v/>
      </c>
      <c r="DB8" s="46" t="n"/>
      <c r="DC8" s="46" t="n"/>
      <c r="DD8" s="45">
        <f>IF(DE8=0,1,DF8/DE8)</f>
        <v/>
      </c>
      <c r="DE8" s="46" t="n"/>
      <c r="DF8" s="46" t="n"/>
      <c r="DG8" s="45">
        <f>IF(DH8=0,1,DI8/DH8)</f>
        <v/>
      </c>
      <c r="DH8" s="46" t="n"/>
      <c r="DI8" s="46" t="n"/>
      <c r="DJ8" s="47">
        <f>IFERROR(LOOKUP(2,1/('DRAFT 2'!$D:$D=$B8)*('DRAFT 2'!$A:$A&gt;=DATE(2026,3,1))*('DRAFT 2'!$A:$A&lt;DATE(2026,IF(3=12,3+1,3+1),1)),'DRAFT 2'!$A:$A),"")</f>
        <v/>
      </c>
      <c r="DK8">
        <f>COUNTIFS('DRAFT 2'!$D:$D,$B8,'DRAFT 2'!$A:$A,"&gt;="&amp;DATE(2026,3,1),'DRAFT 2'!$A:$A,"&lt;="&amp;DATE(2026,3,7))</f>
        <v/>
      </c>
      <c r="DL8">
        <f>COUNTIFS('DRAFT 2'!$D:$D,$B8,'DRAFT 2'!$A:$A,"&gt;="&amp;DATE(2026,3,8),'DRAFT 2'!$A:$A,"&lt;="&amp;DATE(2026,3,14))</f>
        <v/>
      </c>
      <c r="DM8">
        <f>COUNTIFS('DRAFT 2'!$D:$D,$B8,'DRAFT 2'!$A:$A,"&gt;="&amp;DATE(2026,3,15),'DRAFT 2'!$A:$A,"&lt;="&amp;DATE(2026,3,21))</f>
        <v/>
      </c>
      <c r="DN8">
        <f>COUNTIFS('DRAFT 2'!$D:$D,$B8,'DRAFT 2'!$A:$A,"&gt;="&amp;DATE(2026,3,22),'DRAFT 2'!$A:$A,"&lt;"&amp;DATE(2026,IF(3=12,3+1,3+1),1))</f>
        <v/>
      </c>
      <c r="DO8">
        <f>SUM(DK8:DN8)</f>
        <v/>
      </c>
      <c r="DP8" s="44">
        <f>AVERAGE(DW8,EL8,FA8)</f>
        <v/>
      </c>
      <c r="DQ8" s="48">
        <f>IF(DR8=0,1,DS8/DR8)</f>
        <v/>
      </c>
      <c r="DR8" s="46" t="n"/>
      <c r="DS8" s="46" t="n"/>
      <c r="DT8" s="48">
        <f>IF(DU8=0,1,DV8/DU8)</f>
        <v/>
      </c>
      <c r="DU8" s="46" t="n"/>
      <c r="DV8" s="46" t="n"/>
      <c r="DW8" s="48">
        <f>IF(DX8=0,1,DY8/DX8)</f>
        <v/>
      </c>
      <c r="DX8" s="46" t="n"/>
      <c r="DY8" s="46" t="n"/>
      <c r="DZ8" s="47">
        <f>IFERROR(LOOKUP(2,1/('DRAFT 2'!$D:$D=$B8)*('DRAFT 2'!$A:$A&gt;=DATE(2026,4,1))*('DRAFT 2'!$A:$A&lt;DATE(2026,IF(4=12,4+1,4+1),1)),'DRAFT 2'!$A:$A),"")</f>
        <v/>
      </c>
      <c r="EA8">
        <f>COUNTIFS('DRAFT 2'!$D:$D,$B8,'DRAFT 2'!$A:$A,"&gt;="&amp;DATE(2026,4,1),'DRAFT 2'!$A:$A,"&lt;="&amp;DATE(2026,4,7))</f>
        <v/>
      </c>
      <c r="EB8">
        <f>COUNTIFS('DRAFT 2'!$D:$D,$B8,'DRAFT 2'!$A:$A,"&gt;="&amp;DATE(2026,4,8),'DRAFT 2'!$A:$A,"&lt;="&amp;DATE(2026,4,14))</f>
        <v/>
      </c>
      <c r="EC8">
        <f>COUNTIFS('DRAFT 2'!$D:$D,$B8,'DRAFT 2'!$A:$A,"&gt;="&amp;DATE(2026,4,15),'DRAFT 2'!$A:$A,"&lt;="&amp;DATE(2026,4,21))</f>
        <v/>
      </c>
      <c r="ED8">
        <f>COUNTIFS('DRAFT 2'!$D:$D,$B8,'DRAFT 2'!$A:$A,"&gt;="&amp;DATE(2026,4,22),'DRAFT 2'!$A:$A,"&lt;"&amp;DATE(2026,IF(4=12,4+1,4+1),1))</f>
        <v/>
      </c>
      <c r="EE8">
        <f>SUM(EA8:ED8)</f>
        <v/>
      </c>
      <c r="EF8" s="48">
        <f>IF(EG8=0,1,EH8/EG8)</f>
        <v/>
      </c>
      <c r="EG8" s="46" t="n"/>
      <c r="EH8" s="46" t="n"/>
      <c r="EI8" s="48">
        <f>IF(EJ8=0,1,EK8/EJ8)</f>
        <v/>
      </c>
      <c r="EJ8" s="46" t="n"/>
      <c r="EK8" s="46" t="n"/>
      <c r="EL8" s="48">
        <f>IF(EM8=0,1,EN8/EM8)</f>
        <v/>
      </c>
      <c r="EM8" s="46" t="n"/>
      <c r="EN8" s="46" t="n"/>
      <c r="EO8" s="47">
        <f>IFERROR(LOOKUP(2,1/('DRAFT 2'!$D:$D=$B8)*('DRAFT 2'!$A:$A&gt;=DATE(2026,5,1))*('DRAFT 2'!$A:$A&lt;DATE(2026,IF(5=12,5+1,5+1),1)),'DRAFT 2'!$A:$A),"")</f>
        <v/>
      </c>
      <c r="EP8">
        <f>COUNTIFS('DRAFT 2'!$D:$D,$B8,'DRAFT 2'!$A:$A,"&gt;="&amp;DATE(2026,5,1),'DRAFT 2'!$A:$A,"&lt;="&amp;DATE(2026,5,7))</f>
        <v/>
      </c>
      <c r="EQ8">
        <f>COUNTIFS('DRAFT 2'!$D:$D,$B8,'DRAFT 2'!$A:$A,"&gt;="&amp;DATE(2026,5,8),'DRAFT 2'!$A:$A,"&lt;="&amp;DATE(2026,5,14))</f>
        <v/>
      </c>
      <c r="ER8">
        <f>COUNTIFS('DRAFT 2'!$D:$D,$B8,'DRAFT 2'!$A:$A,"&gt;="&amp;DATE(2026,5,15),'DRAFT 2'!$A:$A,"&lt;="&amp;DATE(2026,5,21))</f>
        <v/>
      </c>
      <c r="ES8">
        <f>COUNTIFS('DRAFT 2'!$D:$D,$B8,'DRAFT 2'!$A:$A,"&gt;="&amp;DATE(2026,5,22),'DRAFT 2'!$A:$A,"&lt;"&amp;DATE(2026,IF(5=12,5+1,5+1),1))</f>
        <v/>
      </c>
      <c r="ET8">
        <f>SUM(EP8:ES8)</f>
        <v/>
      </c>
      <c r="EU8" s="48">
        <f>IF(EV8=0,1,EW8/EV8)</f>
        <v/>
      </c>
      <c r="EV8" s="46" t="n"/>
      <c r="EW8" s="46" t="n"/>
      <c r="EX8" s="48">
        <f>IF(EY8=0,1,EZ8/EY8)</f>
        <v/>
      </c>
      <c r="EY8" s="46" t="n"/>
      <c r="EZ8" s="46" t="n"/>
      <c r="FA8" s="48">
        <f>IF(FB8=0,1,FC8/FB8)</f>
        <v/>
      </c>
      <c r="FB8" s="46" t="n"/>
      <c r="FC8" s="46" t="n"/>
      <c r="FD8" s="47">
        <f>IFERROR(LOOKUP(2,1/('DRAFT 2'!$D:$D=$B8)*('DRAFT 2'!$A:$A&gt;=DATE(2026,6,1))*('DRAFT 2'!$A:$A&lt;DATE(2026,IF(6=12,6+1,6+1),1)),'DRAFT 2'!$A:$A),"")</f>
        <v/>
      </c>
      <c r="FE8">
        <f>COUNTIFS('DRAFT 2'!$D:$D,$B8,'DRAFT 2'!$A:$A,"&gt;="&amp;DATE(2026,6,1),'DRAFT 2'!$A:$A,"&lt;="&amp;DATE(2026,6,7))</f>
        <v/>
      </c>
      <c r="FF8">
        <f>COUNTIFS('DRAFT 2'!$D:$D,$B8,'DRAFT 2'!$A:$A,"&gt;="&amp;DATE(2026,6,8),'DRAFT 2'!$A:$A,"&lt;="&amp;DATE(2026,6,14))</f>
        <v/>
      </c>
      <c r="FG8">
        <f>COUNTIFS('DRAFT 2'!$D:$D,$B8,'DRAFT 2'!$A:$A,"&gt;="&amp;DATE(2026,6,15),'DRAFT 2'!$A:$A,"&lt;="&amp;DATE(2026,6,21))</f>
        <v/>
      </c>
      <c r="FH8">
        <f>COUNTIFS('DRAFT 2'!$D:$D,$B8,'DRAFT 2'!$A:$A,"&gt;="&amp;DATE(2026,6,22),'DRAFT 2'!$A:$A,"&lt;"&amp;DATE(2026,IF(6=12,6+1,6+1),1))</f>
        <v/>
      </c>
      <c r="FI8">
        <f>SUM(FE8:FH8)</f>
        <v/>
      </c>
      <c r="FJ8" s="44">
        <f>AVERAGE(FQ8,GF8,GU8)</f>
        <v/>
      </c>
      <c r="FK8" s="49">
        <f>IF(FL8=0,1,FM8/FL8)</f>
        <v/>
      </c>
      <c r="FL8" s="46" t="n"/>
      <c r="FM8" s="46" t="n"/>
      <c r="FN8" s="49">
        <f>IF(FO8=0,1,FP8/FO8)</f>
        <v/>
      </c>
      <c r="FO8" s="46" t="n"/>
      <c r="FP8" s="46" t="n"/>
      <c r="FQ8" s="49">
        <f>IF(FR8=0,1,FS8/FR8)</f>
        <v/>
      </c>
      <c r="FR8" s="46" t="n"/>
      <c r="FS8" s="46" t="n"/>
      <c r="FT8" s="47">
        <f>IFERROR(LOOKUP(2,1/('DRAFT 2'!$D:$D=$B8)*('DRAFT 2'!$A:$A&gt;=DATE(2026,7,1))*('DRAFT 2'!$A:$A&lt;DATE(2026,IF(7=12,7+1,7+1),1)),'DRAFT 2'!$A:$A),"")</f>
        <v/>
      </c>
      <c r="FU8">
        <f>COUNTIFS('DRAFT 2'!$D:$D,$B8,'DRAFT 2'!$A:$A,"&gt;="&amp;DATE(2026,7,1),'DRAFT 2'!$A:$A,"&lt;="&amp;DATE(2026,7,7))</f>
        <v/>
      </c>
      <c r="FV8">
        <f>COUNTIFS('DRAFT 2'!$D:$D,$B8,'DRAFT 2'!$A:$A,"&gt;="&amp;DATE(2026,7,8),'DRAFT 2'!$A:$A,"&lt;="&amp;DATE(2026,7,14))</f>
        <v/>
      </c>
      <c r="FW8">
        <f>COUNTIFS('DRAFT 2'!$D:$D,$B8,'DRAFT 2'!$A:$A,"&gt;="&amp;DATE(2026,7,15),'DRAFT 2'!$A:$A,"&lt;="&amp;DATE(2026,7,21))</f>
        <v/>
      </c>
      <c r="FX8">
        <f>COUNTIFS('DRAFT 2'!$D:$D,$B8,'DRAFT 2'!$A:$A,"&gt;="&amp;DATE(2026,7,22),'DRAFT 2'!$A:$A,"&lt;"&amp;DATE(2026,IF(7=12,7+1,7+1),1))</f>
        <v/>
      </c>
      <c r="FY8">
        <f>SUM(FU8:FX8)</f>
        <v/>
      </c>
      <c r="FZ8" s="49">
        <f>IF(GA8=0,1,GB8/GA8)</f>
        <v/>
      </c>
      <c r="GA8" s="46" t="n"/>
      <c r="GB8" s="46" t="n"/>
      <c r="GC8" s="49">
        <f>IF(GD8=0,1,GE8/GD8)</f>
        <v/>
      </c>
      <c r="GD8" s="46" t="n"/>
      <c r="GE8" s="46" t="n"/>
      <c r="GF8" s="49">
        <f>IF(GG8=0,1,GH8/GG8)</f>
        <v/>
      </c>
      <c r="GG8" s="46" t="n"/>
      <c r="GH8" s="46" t="n"/>
      <c r="GI8" s="47">
        <f>IFERROR(LOOKUP(2,1/('DRAFT 2'!$D:$D=$B8)*('DRAFT 2'!$A:$A&gt;=DATE(2026,8,1))*('DRAFT 2'!$A:$A&lt;DATE(2026,IF(8=12,8+1,8+1),1)),'DRAFT 2'!$A:$A),"")</f>
        <v/>
      </c>
      <c r="GJ8">
        <f>COUNTIFS('DRAFT 2'!$D:$D,$B8,'DRAFT 2'!$A:$A,"&gt;="&amp;DATE(2026,8,1),'DRAFT 2'!$A:$A,"&lt;="&amp;DATE(2026,8,7))</f>
        <v/>
      </c>
      <c r="GK8">
        <f>COUNTIFS('DRAFT 2'!$D:$D,$B8,'DRAFT 2'!$A:$A,"&gt;="&amp;DATE(2026,8,8),'DRAFT 2'!$A:$A,"&lt;="&amp;DATE(2026,8,14))</f>
        <v/>
      </c>
      <c r="GL8">
        <f>COUNTIFS('DRAFT 2'!$D:$D,$B8,'DRAFT 2'!$A:$A,"&gt;="&amp;DATE(2026,8,15),'DRAFT 2'!$A:$A,"&lt;="&amp;DATE(2026,8,21))</f>
        <v/>
      </c>
      <c r="GM8">
        <f>COUNTIFS('DRAFT 2'!$D:$D,$B8,'DRAFT 2'!$A:$A,"&gt;="&amp;DATE(2026,8,22),'DRAFT 2'!$A:$A,"&lt;"&amp;DATE(2026,IF(8=12,8+1,8+1),1))</f>
        <v/>
      </c>
      <c r="GN8">
        <f>SUM(GJ8:GM8)</f>
        <v/>
      </c>
      <c r="GO8" s="49">
        <f>IF(GP8=0,1,GQ8/GP8)</f>
        <v/>
      </c>
      <c r="GP8" s="46" t="n"/>
      <c r="GQ8" s="46" t="n"/>
      <c r="GR8" s="49">
        <f>IF(GS8=0,1,GT8/GS8)</f>
        <v/>
      </c>
      <c r="GS8" s="46" t="n"/>
      <c r="GT8" s="46" t="n"/>
      <c r="GU8" s="49">
        <f>IF(GV8=0,1,GW8/GV8)</f>
        <v/>
      </c>
      <c r="GV8" s="46" t="n"/>
      <c r="GW8" s="46" t="n"/>
      <c r="GX8" s="47">
        <f>IFERROR(LOOKUP(2,1/('DRAFT 2'!$D:$D=$B8)*('DRAFT 2'!$A:$A&gt;=DATE(2026,9,1))*('DRAFT 2'!$A:$A&lt;DATE(2026,IF(9=12,9+1,9+1),1)),'DRAFT 2'!$A:$A),"")</f>
        <v/>
      </c>
      <c r="GY8">
        <f>COUNTIFS('DRAFT 2'!$D:$D,$B8,'DRAFT 2'!$A:$A,"&gt;="&amp;DATE(2026,9,1),'DRAFT 2'!$A:$A,"&lt;="&amp;DATE(2026,9,7))</f>
        <v/>
      </c>
      <c r="GZ8">
        <f>COUNTIFS('DRAFT 2'!$D:$D,$B8,'DRAFT 2'!$A:$A,"&gt;="&amp;DATE(2026,9,8),'DRAFT 2'!$A:$A,"&lt;="&amp;DATE(2026,9,14))</f>
        <v/>
      </c>
      <c r="HA8">
        <f>COUNTIFS('DRAFT 2'!$D:$D,$B8,'DRAFT 2'!$A:$A,"&gt;="&amp;DATE(2026,9,15),'DRAFT 2'!$A:$A,"&lt;="&amp;DATE(2026,9,21))</f>
        <v/>
      </c>
      <c r="HB8">
        <f>COUNTIFS('DRAFT 2'!$D:$D,$B8,'DRAFT 2'!$A:$A,"&gt;="&amp;DATE(2026,9,22),'DRAFT 2'!$A:$A,"&lt;"&amp;DATE(2026,IF(9=12,9+1,9+1),1))</f>
        <v/>
      </c>
      <c r="HC8">
        <f>SUM(GY8:HB8)</f>
        <v/>
      </c>
      <c r="HD8" s="44">
        <f>AVERAGE(HK8,HZ8,IO8)</f>
        <v/>
      </c>
      <c r="HE8" s="50">
        <f>IF(HF8=0,1,HG8/HF8)</f>
        <v/>
      </c>
      <c r="HF8" s="46" t="n"/>
      <c r="HG8" s="46" t="n"/>
      <c r="HH8" s="50">
        <f>IF(HI8=0,1,HJ8/HI8)</f>
        <v/>
      </c>
      <c r="HI8" s="46" t="n"/>
      <c r="HJ8" s="46" t="n"/>
      <c r="HK8" s="50">
        <f>IF(HL8=0,1,HM8/HL8)</f>
        <v/>
      </c>
      <c r="HL8" s="46" t="n"/>
      <c r="HM8" s="46" t="n"/>
      <c r="HN8" s="47">
        <f>IFERROR(LOOKUP(2,1/('DRAFT 2'!$D:$D=$B8)*('DRAFT 2'!$A:$A&gt;=DATE(2026,10,1))*('DRAFT 2'!$A:$A&lt;DATE(2026,IF(10=12,10+1,10+1),1)),'DRAFT 2'!$A:$A),"")</f>
        <v/>
      </c>
      <c r="HO8">
        <f>COUNTIFS('DRAFT 2'!$D:$D,$B8,'DRAFT 2'!$A:$A,"&gt;="&amp;DATE(2026,10,1),'DRAFT 2'!$A:$A,"&lt;="&amp;DATE(2026,10,7))</f>
        <v/>
      </c>
      <c r="HP8">
        <f>COUNTIFS('DRAFT 2'!$D:$D,$B8,'DRAFT 2'!$A:$A,"&gt;="&amp;DATE(2026,10,8),'DRAFT 2'!$A:$A,"&lt;="&amp;DATE(2026,10,14))</f>
        <v/>
      </c>
      <c r="HQ8">
        <f>COUNTIFS('DRAFT 2'!$D:$D,$B8,'DRAFT 2'!$A:$A,"&gt;="&amp;DATE(2026,10,15),'DRAFT 2'!$A:$A,"&lt;="&amp;DATE(2026,10,21))</f>
        <v/>
      </c>
      <c r="HR8">
        <f>COUNTIFS('DRAFT 2'!$D:$D,$B8,'DRAFT 2'!$A:$A,"&gt;="&amp;DATE(2026,10,22),'DRAFT 2'!$A:$A,"&lt;"&amp;DATE(2026,IF(10=12,10+1,10+1),1))</f>
        <v/>
      </c>
      <c r="HS8">
        <f>SUM(HO8:HR8)</f>
        <v/>
      </c>
      <c r="HT8" s="50">
        <f>IF(HU8=0,1,HV8/HU8)</f>
        <v/>
      </c>
      <c r="HU8" s="46" t="n"/>
      <c r="HV8" s="46" t="n"/>
      <c r="HW8" s="50">
        <f>IF(HX8=0,1,HY8/HX8)</f>
        <v/>
      </c>
      <c r="HX8" s="46" t="n"/>
      <c r="HY8" s="46" t="n"/>
      <c r="HZ8" s="50">
        <f>IF(IA8=0,1,IB8/IA8)</f>
        <v/>
      </c>
      <c r="IA8" s="46" t="n"/>
      <c r="IB8" s="46" t="n"/>
      <c r="IC8" s="47">
        <f>IFERROR(LOOKUP(2,1/('DRAFT 2'!$D:$D=$B8)*('DRAFT 2'!$A:$A&gt;=DATE(2026,11,1))*('DRAFT 2'!$A:$A&lt;DATE(2026,IF(11=12,11+1,11+1),1)),'DRAFT 2'!$A:$A),"")</f>
        <v/>
      </c>
      <c r="ID8">
        <f>COUNTIFS('DRAFT 2'!$D:$D,$B8,'DRAFT 2'!$A:$A,"&gt;="&amp;DATE(2026,11,1),'DRAFT 2'!$A:$A,"&lt;="&amp;DATE(2026,11,7))</f>
        <v/>
      </c>
      <c r="IE8">
        <f>COUNTIFS('DRAFT 2'!$D:$D,$B8,'DRAFT 2'!$A:$A,"&gt;="&amp;DATE(2026,11,8),'DRAFT 2'!$A:$A,"&lt;="&amp;DATE(2026,11,14))</f>
        <v/>
      </c>
      <c r="IF8">
        <f>COUNTIFS('DRAFT 2'!$D:$D,$B8,'DRAFT 2'!$A:$A,"&gt;="&amp;DATE(2026,11,15),'DRAFT 2'!$A:$A,"&lt;="&amp;DATE(2026,11,21))</f>
        <v/>
      </c>
      <c r="IG8">
        <f>COUNTIFS('DRAFT 2'!$D:$D,$B8,'DRAFT 2'!$A:$A,"&gt;="&amp;DATE(2026,11,22),'DRAFT 2'!$A:$A,"&lt;"&amp;DATE(2026,IF(11=12,11+1,11+1),1))</f>
        <v/>
      </c>
      <c r="IH8">
        <f>SUM(ID8:IG8)</f>
        <v/>
      </c>
      <c r="II8" s="50">
        <f>IF(IJ8=0,1,IK8/IJ8)</f>
        <v/>
      </c>
      <c r="IJ8" s="46" t="n"/>
      <c r="IK8" s="46" t="n"/>
      <c r="IL8" s="50">
        <f>IF(IM8=0,1,IN8/IM8)</f>
        <v/>
      </c>
      <c r="IM8" s="46" t="n"/>
      <c r="IN8" s="46" t="n"/>
      <c r="IO8" s="50">
        <f>IF(IP8=0,1,IQ8/IP8)</f>
        <v/>
      </c>
      <c r="IP8" s="46" t="n"/>
      <c r="IQ8" s="46" t="n"/>
      <c r="IR8" s="47">
        <f>IFERROR(LOOKUP(2,1/('DRAFT 2'!$D:$D=$B8)*('DRAFT 2'!$A:$A&gt;=DATE(2026,12,1))*('DRAFT 2'!$A:$A&lt;DATE(2026,IF(12=12,12+1,12+1),1)),'DRAFT 2'!$A:$A),"")</f>
        <v/>
      </c>
      <c r="IS8">
        <f>COUNTIFS('DRAFT 2'!$D:$D,$B8,'DRAFT 2'!$A:$A,"&gt;="&amp;DATE(2026,12,1),'DRAFT 2'!$A:$A,"&lt;="&amp;DATE(2026,12,7))</f>
        <v/>
      </c>
      <c r="IT8">
        <f>COUNTIFS('DRAFT 2'!$D:$D,$B8,'DRAFT 2'!$A:$A,"&gt;="&amp;DATE(2026,12,8),'DRAFT 2'!$A:$A,"&lt;="&amp;DATE(2026,12,14))</f>
        <v/>
      </c>
      <c r="IU8">
        <f>COUNTIFS('DRAFT 2'!$D:$D,$B8,'DRAFT 2'!$A:$A,"&gt;="&amp;DATE(2026,12,15),'DRAFT 2'!$A:$A,"&lt;="&amp;DATE(2026,12,21))</f>
        <v/>
      </c>
      <c r="IV8">
        <f>COUNTIFS('DRAFT 2'!$D:$D,$B8,'DRAFT 2'!$A:$A,"&gt;="&amp;DATE(2026,12,22),'DRAFT 2'!$A:$A,"&lt;"&amp;DATE(2026,IF(12=12,12+1,12+1),1))</f>
        <v/>
      </c>
      <c r="IW8">
        <f>SUM(IS8:IV8)</f>
        <v/>
      </c>
    </row>
    <row r="9">
      <c r="A9">
        <f>IFERROR(INDEX('DRAFT 1'!$A:$A,MATCH($B9,'DRAFT 1'!$B:$B,0)),"")</f>
        <v/>
      </c>
      <c r="C9">
        <f>IFERROR(INDEX('DRAFT 1'!$C:$C,MATCH($B9,'DRAFT 1'!$B:$B,0)),"")</f>
        <v/>
      </c>
      <c r="D9">
        <f>IFERROR(INDEX('DRAFT 1'!$D:$D,MATCH($B9,'DRAFT 1'!$B:$B,0)),"")</f>
        <v/>
      </c>
      <c r="E9">
        <f>IFERROR(INDEX('DRAFT 1'!$E:$E,MATCH($B9,'DRAFT 1'!$B:$B,0)),"")</f>
        <v/>
      </c>
      <c r="F9">
        <f>IFERROR(INDEX('DRAFT 1'!$F:$F,MATCH($B9,'DRAFT 1'!$B:$B,0)),"")</f>
        <v/>
      </c>
      <c r="G9">
        <f>IFERROR(INDEX('DRAFT 1'!$G:$G,MATCH($B9,'DRAFT 1'!$B:$B,0)),"")</f>
        <v/>
      </c>
      <c r="H9">
        <f>IFERROR(INDEX('DRAFT 1'!$H:$H,MATCH($B9,'DRAFT 1'!$B:$B,0)),"")</f>
        <v/>
      </c>
      <c r="I9" t="inlineStr">
        <is>
          <t>CIA DA SAUDE</t>
        </is>
      </c>
      <c r="K9">
        <f>IFERROR(INDEX('DRAFT 1'!$AL:$AL,MATCH($B9,'DRAFT 1'!$B:$B,0)),"")</f>
        <v/>
      </c>
      <c r="L9">
        <f>IFERROR(INDEX('DRAFT 1'!$J:$J,MATCH($B9,'DRAFT 1'!$B:$B,0)),"")</f>
        <v/>
      </c>
      <c r="M9">
        <f>IFERROR(INDEX('DRAFT 1'!$K:$K,MATCH($B9,'DRAFT 1'!$B:$B,0)),"")</f>
        <v/>
      </c>
      <c r="N9" t="inlineStr">
        <is>
          <t>EM RISCO</t>
        </is>
      </c>
      <c r="P9">
        <f>IFERROR(INDEX('DRAFT 1'!$L:$L,MATCH($B9,'DRAFT 1'!$B:$B,0)),"")</f>
        <v/>
      </c>
      <c r="Q9">
        <f>IFERROR(INDEX('DRAFT 1'!$M:$M,MATCH($B9,'DRAFT 1'!$B:$B,0)),"")</f>
        <v/>
      </c>
      <c r="R9">
        <f>IFERROR(INDEX('DRAFT 1'!$N:$N,MATCH($B9,'DRAFT 1'!$B:$B,0)),"")</f>
        <v/>
      </c>
      <c r="S9">
        <f>IFERROR(INDEX('DRAFT 1'!$O:$O,MATCH($B9,'DRAFT 1'!$B:$B,0)),"")</f>
        <v/>
      </c>
      <c r="T9">
        <f>IFERROR(INDEX('DRAFT 1'!$P:$P,MATCH($B9,'DRAFT 1'!$B:$B,0)),"")</f>
        <v/>
      </c>
      <c r="U9">
        <f>IFERROR(INDEX('DRAFT 1'!$Q:$Q,MATCH($B9,'DRAFT 1'!$B:$B,0)),"")</f>
        <v/>
      </c>
      <c r="V9">
        <f>IFERROR(INDEX('DRAFT 1'!$R:$R,MATCH($B9,'DRAFT 1'!$B:$B,0)),"")</f>
        <v/>
      </c>
      <c r="W9">
        <f>IFERROR(INDEX('DRAFT 1'!$S:$S,MATCH($B9,'DRAFT 1'!$B:$B,0)),"")</f>
        <v/>
      </c>
      <c r="X9">
        <f>IFERROR(INDEX('DRAFT 1'!$T:$T,MATCH($B9,'DRAFT 1'!$B:$B,0)),"")</f>
        <v/>
      </c>
      <c r="Z9">
        <f>IFERROR(INDEX('DRAFT 1'!$U:$U,MATCH($B9,'DRAFT 1'!$B:$B,0)),"")</f>
        <v/>
      </c>
      <c r="AA9">
        <f>IFERROR(INDEX('DRAFT 1'!$V:$V,MATCH($B9,'DRAFT 1'!$B:$B,0)),"")</f>
        <v/>
      </c>
      <c r="AB9">
        <f>IFERROR(INDEX('DRAFT 1'!$W:$W,MATCH($B9,'DRAFT 1'!$B:$B,0)),"")</f>
        <v/>
      </c>
      <c r="AC9">
        <f>IFERROR(INDEX('DRAFT 1'!$X:$X,MATCH($B9,'DRAFT 1'!$B:$B,0)),"")</f>
        <v/>
      </c>
      <c r="AD9">
        <f>IFERROR(INDEX('DRAFT 1'!$Y:$Y,MATCH($B9,'DRAFT 1'!$B:$B,0)),"")</f>
        <v/>
      </c>
      <c r="AE9">
        <f>IFERROR(INDEX('DRAFT 1'!$Z:$Z,MATCH($B9,'DRAFT 1'!$B:$B,0)),"")</f>
        <v/>
      </c>
      <c r="AF9">
        <f>IFERROR(INDEX('DRAFT 1'!$AA:$AA,MATCH($B9,'DRAFT 1'!$B:$B,0)),"")</f>
        <v/>
      </c>
      <c r="AG9">
        <f>IFERROR(INDEX('DRAFT 1'!$AB:$AB,MATCH($B9,'DRAFT 1'!$B:$B,0)),"")</f>
        <v/>
      </c>
      <c r="AH9">
        <f>IFERROR(INDEX('DRAFT 1'!$AC:$AC,MATCH($B9,'DRAFT 1'!$B:$B,0)),"")</f>
        <v/>
      </c>
      <c r="AI9">
        <f>IFERROR(INDEX('DRAFT 1'!$AD:$AD,MATCH($B9,'DRAFT 1'!$B:$B,0)),"")</f>
        <v/>
      </c>
      <c r="AJ9">
        <f>IFERROR(INDEX('DRAFT 1'!$AE:$AE,MATCH($B9,'DRAFT 1'!$B:$B,0)),"")</f>
        <v/>
      </c>
      <c r="AK9">
        <f>IFERROR(INDEX('DRAFT 1'!$AG:$AG,MATCH($B9,'DRAFT 1'!$B:$B,0)),"")</f>
        <v/>
      </c>
      <c r="AL9">
        <f>IFERROR(INDEX('DRAFT 1'!$AH:$AH,MATCH($B9,'DRAFT 1'!$B:$B,0)),"")</f>
        <v/>
      </c>
      <c r="AM9">
        <f>IFERROR(INDEX('DRAFT 1'!$AI:$AI,MATCH($B9,'DRAFT 1'!$B:$B,0)),"")</f>
        <v/>
      </c>
      <c r="AN9">
        <f>IFERROR(INDEX('DRAFT 1'!$AJ:$AJ,MATCH($B9,'DRAFT 1'!$B:$B,0)),"")</f>
        <v/>
      </c>
      <c r="AO9">
        <f>IFERROR(Y9/AN9,0)</f>
        <v/>
      </c>
      <c r="AP9">
        <f>IFERROR(INDEX('DRAFT 1'!$AK:$AK,MATCH($B9,'DRAFT 1'!$B:$B,0)),"")</f>
        <v/>
      </c>
      <c r="AR9" t="inlineStr">
        <is>
          <t>PROSPECÇÃO</t>
        </is>
      </c>
      <c r="AS9">
        <f>IFERROR(LOOKUP(2,1/('DRAFT 2'!$D:$D=$B9),'DRAFT 2'!$T:$T),"")</f>
        <v/>
      </c>
      <c r="AT9">
        <f>IFERROR(LOOKUP(2,1/('DRAFT 2'!$D:$D=$B9),'DRAFT 2'!$A:$A),"")</f>
        <v/>
      </c>
      <c r="AU9">
        <f>IFERROR(LOOKUP(2,1/('DRAFT 2'!$D:$D=$B9),'DRAFT 2'!$R:$R),"")</f>
        <v/>
      </c>
      <c r="AV9">
        <f>IFERROR(LOOKUP(2,1/('DRAFT 2'!$D:$D=$B9),'DRAFT 2'!$S:$S),"")</f>
        <v/>
      </c>
      <c r="AW9" t="inlineStr">
        <is>
          <t>LEAD</t>
        </is>
      </c>
      <c r="AX9">
        <f>IFERROR(LOOKUP(2,1/('DRAFT 2'!$D:$D=$B9),'DRAFT 2'!$M:$M),"")</f>
        <v/>
      </c>
      <c r="AY9">
        <f>IFERROR(LOOKUP(2,1/('DRAFT 2'!$D:$D=$B9),'DRAFT 2'!$K:$K),"")</f>
        <v/>
      </c>
      <c r="BG9">
        <f>IFERROR(LOOKUP(2,1/('DRAFT 2'!$D:$D=$B9),'DRAFT 2'!$U:$U),"")</f>
        <v/>
      </c>
      <c r="BH9">
        <f>IFERROR(LOOKUP(2,1/('DRAFT 2'!$D:$D=$B9),'DRAFT 2'!$V:$V),"")</f>
        <v/>
      </c>
      <c r="CE9">
        <f>IFERROR(AJ9,0)</f>
        <v/>
      </c>
      <c r="CF9">
        <f>IFERROR(LOOKUP(2,1/('DRAFT 2'!$D:$D=$B9)*('DRAFT 2'!$A:$A&gt;=DATE(2026,1,1))*('DRAFT 2'!$A:$A&lt;DATE(2026,IF(1=12,1+1,1+1),1)),'DRAFT 2'!$A:$A),"")</f>
        <v/>
      </c>
      <c r="CG9">
        <f>COUNTIFS('DRAFT 2'!$D:$D,$B9,'DRAFT 2'!$A:$A,"&gt;="&amp;DATE(2026,1,1),'DRAFT 2'!$A:$A,"&lt;="&amp;DATE(2026,1,7))</f>
        <v/>
      </c>
      <c r="CH9">
        <f>COUNTIFS('DRAFT 2'!$D:$D,$B9,'DRAFT 2'!$A:$A,"&gt;="&amp;DATE(2026,1,8),'DRAFT 2'!$A:$A,"&lt;="&amp;DATE(2026,1,14))</f>
        <v/>
      </c>
      <c r="CI9">
        <f>COUNTIFS('DRAFT 2'!$D:$D,$B9,'DRAFT 2'!$A:$A,"&gt;="&amp;DATE(2026,1,15),'DRAFT 2'!$A:$A,"&lt;="&amp;DATE(2026,1,21))</f>
        <v/>
      </c>
      <c r="CJ9">
        <f>COUNTIFS('DRAFT 2'!$D:$D,$B9,'DRAFT 2'!$A:$A,"&gt;="&amp;DATE(2026,1,22),'DRAFT 2'!$A:$A,"&lt;"&amp;DATE(2026,IF(1=12,1+1,1+1),1))</f>
        <v/>
      </c>
      <c r="CK9">
        <f>SUM(CG9:CJ9)</f>
        <v/>
      </c>
      <c r="CT9" t="n">
        <v>0</v>
      </c>
      <c r="CU9">
        <f>IFERROR(LOOKUP(2,1/('DRAFT 2'!$D:$D=$B9)*('DRAFT 2'!$A:$A&gt;=DATE(2026,2,1))*('DRAFT 2'!$A:$A&lt;DATE(2026,IF(2=12,2+1,2+1),1)),'DRAFT 2'!$A:$A),"")</f>
        <v/>
      </c>
      <c r="CV9">
        <f>COUNTIFS('DRAFT 2'!$D:$D,$B9,'DRAFT 2'!$A:$A,"&gt;="&amp;DATE(2026,2,1),'DRAFT 2'!$A:$A,"&lt;="&amp;DATE(2026,2,7))</f>
        <v/>
      </c>
      <c r="CW9">
        <f>COUNTIFS('DRAFT 2'!$D:$D,$B9,'DRAFT 2'!$A:$A,"&gt;="&amp;DATE(2026,2,8),'DRAFT 2'!$A:$A,"&lt;="&amp;DATE(2026,2,14))</f>
        <v/>
      </c>
      <c r="CX9">
        <f>COUNTIFS('DRAFT 2'!$D:$D,$B9,'DRAFT 2'!$A:$A,"&gt;="&amp;DATE(2026,2,15),'DRAFT 2'!$A:$A,"&lt;="&amp;DATE(2026,2,21))</f>
        <v/>
      </c>
      <c r="CY9">
        <f>COUNTIFS('DRAFT 2'!$D:$D,$B9,'DRAFT 2'!$A:$A,"&gt;="&amp;DATE(2026,2,22),'DRAFT 2'!$A:$A,"&lt;"&amp;DATE(2026,IF(2=12,2+1,2+1),1))</f>
        <v/>
      </c>
      <c r="CZ9">
        <f>SUM(CV9:CY9)</f>
        <v/>
      </c>
      <c r="DJ9">
        <f>IFERROR(LOOKUP(2,1/('DRAFT 2'!$D:$D=$B9)*('DRAFT 2'!$A:$A&gt;=DATE(2026,3,1))*('DRAFT 2'!$A:$A&lt;DATE(2026,IF(3=12,3+1,3+1),1)),'DRAFT 2'!$A:$A),"")</f>
        <v/>
      </c>
      <c r="DK9">
        <f>COUNTIFS('DRAFT 2'!$D:$D,$B9,'DRAFT 2'!$A:$A,"&gt;="&amp;DATE(2026,3,1),'DRAFT 2'!$A:$A,"&lt;="&amp;DATE(2026,3,7))</f>
        <v/>
      </c>
      <c r="DL9">
        <f>COUNTIFS('DRAFT 2'!$D:$D,$B9,'DRAFT 2'!$A:$A,"&gt;="&amp;DATE(2026,3,8),'DRAFT 2'!$A:$A,"&lt;="&amp;DATE(2026,3,14))</f>
        <v/>
      </c>
      <c r="DM9">
        <f>COUNTIFS('DRAFT 2'!$D:$D,$B9,'DRAFT 2'!$A:$A,"&gt;="&amp;DATE(2026,3,15),'DRAFT 2'!$A:$A,"&lt;="&amp;DATE(2026,3,21))</f>
        <v/>
      </c>
      <c r="DN9">
        <f>COUNTIFS('DRAFT 2'!$D:$D,$B9,'DRAFT 2'!$A:$A,"&gt;="&amp;DATE(2026,3,22),'DRAFT 2'!$A:$A,"&lt;"&amp;DATE(2026,IF(3=12,3+1,3+1),1))</f>
        <v/>
      </c>
      <c r="DO9">
        <f>SUM(DK9:DN9)</f>
        <v/>
      </c>
      <c r="DZ9">
        <f>IFERROR(LOOKUP(2,1/('DRAFT 2'!$D:$D=$B9)*('DRAFT 2'!$A:$A&gt;=DATE(2026,4,1))*('DRAFT 2'!$A:$A&lt;DATE(2026,IF(4=12,4+1,4+1),1)),'DRAFT 2'!$A:$A),"")</f>
        <v/>
      </c>
      <c r="EA9">
        <f>COUNTIFS('DRAFT 2'!$D:$D,$B9,'DRAFT 2'!$A:$A,"&gt;="&amp;DATE(2026,4,1),'DRAFT 2'!$A:$A,"&lt;="&amp;DATE(2026,4,7))</f>
        <v/>
      </c>
      <c r="EB9">
        <f>COUNTIFS('DRAFT 2'!$D:$D,$B9,'DRAFT 2'!$A:$A,"&gt;="&amp;DATE(2026,4,8),'DRAFT 2'!$A:$A,"&lt;="&amp;DATE(2026,4,14))</f>
        <v/>
      </c>
      <c r="EC9">
        <f>COUNTIFS('DRAFT 2'!$D:$D,$B9,'DRAFT 2'!$A:$A,"&gt;="&amp;DATE(2026,4,15),'DRAFT 2'!$A:$A,"&lt;="&amp;DATE(2026,4,21))</f>
        <v/>
      </c>
      <c r="ED9">
        <f>COUNTIFS('DRAFT 2'!$D:$D,$B9,'DRAFT 2'!$A:$A,"&gt;="&amp;DATE(2026,4,22),'DRAFT 2'!$A:$A,"&lt;"&amp;DATE(2026,IF(4=12,4+1,4+1),1))</f>
        <v/>
      </c>
      <c r="EE9">
        <f>SUM(EA9:ED9)</f>
        <v/>
      </c>
      <c r="EO9">
        <f>IFERROR(LOOKUP(2,1/('DRAFT 2'!$D:$D=$B9)*('DRAFT 2'!$A:$A&gt;=DATE(2026,5,1))*('DRAFT 2'!$A:$A&lt;DATE(2026,IF(5=12,5+1,5+1),1)),'DRAFT 2'!$A:$A),"")</f>
        <v/>
      </c>
      <c r="EP9">
        <f>COUNTIFS('DRAFT 2'!$D:$D,$B9,'DRAFT 2'!$A:$A,"&gt;="&amp;DATE(2026,5,1),'DRAFT 2'!$A:$A,"&lt;="&amp;DATE(2026,5,7))</f>
        <v/>
      </c>
      <c r="EQ9">
        <f>COUNTIFS('DRAFT 2'!$D:$D,$B9,'DRAFT 2'!$A:$A,"&gt;="&amp;DATE(2026,5,8),'DRAFT 2'!$A:$A,"&lt;="&amp;DATE(2026,5,14))</f>
        <v/>
      </c>
      <c r="ER9">
        <f>COUNTIFS('DRAFT 2'!$D:$D,$B9,'DRAFT 2'!$A:$A,"&gt;="&amp;DATE(2026,5,15),'DRAFT 2'!$A:$A,"&lt;="&amp;DATE(2026,5,21))</f>
        <v/>
      </c>
      <c r="ES9">
        <f>COUNTIFS('DRAFT 2'!$D:$D,$B9,'DRAFT 2'!$A:$A,"&gt;="&amp;DATE(2026,5,22),'DRAFT 2'!$A:$A,"&lt;"&amp;DATE(2026,IF(5=12,5+1,5+1),1))</f>
        <v/>
      </c>
      <c r="ET9">
        <f>SUM(EP9:ES9)</f>
        <v/>
      </c>
      <c r="FD9">
        <f>IFERROR(LOOKUP(2,1/('DRAFT 2'!$D:$D=$B9)*('DRAFT 2'!$A:$A&gt;=DATE(2026,6,1))*('DRAFT 2'!$A:$A&lt;DATE(2026,IF(6=12,6+1,6+1),1)),'DRAFT 2'!$A:$A),"")</f>
        <v/>
      </c>
      <c r="FE9">
        <f>COUNTIFS('DRAFT 2'!$D:$D,$B9,'DRAFT 2'!$A:$A,"&gt;="&amp;DATE(2026,6,1),'DRAFT 2'!$A:$A,"&lt;="&amp;DATE(2026,6,7))</f>
        <v/>
      </c>
      <c r="FF9">
        <f>COUNTIFS('DRAFT 2'!$D:$D,$B9,'DRAFT 2'!$A:$A,"&gt;="&amp;DATE(2026,6,8),'DRAFT 2'!$A:$A,"&lt;="&amp;DATE(2026,6,14))</f>
        <v/>
      </c>
      <c r="FG9">
        <f>COUNTIFS('DRAFT 2'!$D:$D,$B9,'DRAFT 2'!$A:$A,"&gt;="&amp;DATE(2026,6,15),'DRAFT 2'!$A:$A,"&lt;="&amp;DATE(2026,6,21))</f>
        <v/>
      </c>
      <c r="FH9">
        <f>COUNTIFS('DRAFT 2'!$D:$D,$B9,'DRAFT 2'!$A:$A,"&gt;="&amp;DATE(2026,6,22),'DRAFT 2'!$A:$A,"&lt;"&amp;DATE(2026,IF(6=12,6+1,6+1),1))</f>
        <v/>
      </c>
      <c r="FI9">
        <f>SUM(FE9:FH9)</f>
        <v/>
      </c>
      <c r="FT9">
        <f>IFERROR(LOOKUP(2,1/('DRAFT 2'!$D:$D=$B9)*('DRAFT 2'!$A:$A&gt;=DATE(2026,7,1))*('DRAFT 2'!$A:$A&lt;DATE(2026,IF(7=12,7+1,7+1),1)),'DRAFT 2'!$A:$A),"")</f>
        <v/>
      </c>
      <c r="FU9">
        <f>COUNTIFS('DRAFT 2'!$D:$D,$B9,'DRAFT 2'!$A:$A,"&gt;="&amp;DATE(2026,7,1),'DRAFT 2'!$A:$A,"&lt;="&amp;DATE(2026,7,7))</f>
        <v/>
      </c>
      <c r="FV9">
        <f>COUNTIFS('DRAFT 2'!$D:$D,$B9,'DRAFT 2'!$A:$A,"&gt;="&amp;DATE(2026,7,8),'DRAFT 2'!$A:$A,"&lt;="&amp;DATE(2026,7,14))</f>
        <v/>
      </c>
      <c r="FW9">
        <f>COUNTIFS('DRAFT 2'!$D:$D,$B9,'DRAFT 2'!$A:$A,"&gt;="&amp;DATE(2026,7,15),'DRAFT 2'!$A:$A,"&lt;="&amp;DATE(2026,7,21))</f>
        <v/>
      </c>
      <c r="FX9">
        <f>COUNTIFS('DRAFT 2'!$D:$D,$B9,'DRAFT 2'!$A:$A,"&gt;="&amp;DATE(2026,7,22),'DRAFT 2'!$A:$A,"&lt;"&amp;DATE(2026,IF(7=12,7+1,7+1),1))</f>
        <v/>
      </c>
      <c r="FY9">
        <f>SUM(FU9:FX9)</f>
        <v/>
      </c>
      <c r="GI9">
        <f>IFERROR(LOOKUP(2,1/('DRAFT 2'!$D:$D=$B9)*('DRAFT 2'!$A:$A&gt;=DATE(2026,8,1))*('DRAFT 2'!$A:$A&lt;DATE(2026,IF(8=12,8+1,8+1),1)),'DRAFT 2'!$A:$A),"")</f>
        <v/>
      </c>
      <c r="GJ9">
        <f>COUNTIFS('DRAFT 2'!$D:$D,$B9,'DRAFT 2'!$A:$A,"&gt;="&amp;DATE(2026,8,1),'DRAFT 2'!$A:$A,"&lt;="&amp;DATE(2026,8,7))</f>
        <v/>
      </c>
      <c r="GK9">
        <f>COUNTIFS('DRAFT 2'!$D:$D,$B9,'DRAFT 2'!$A:$A,"&gt;="&amp;DATE(2026,8,8),'DRAFT 2'!$A:$A,"&lt;="&amp;DATE(2026,8,14))</f>
        <v/>
      </c>
      <c r="GL9">
        <f>COUNTIFS('DRAFT 2'!$D:$D,$B9,'DRAFT 2'!$A:$A,"&gt;="&amp;DATE(2026,8,15),'DRAFT 2'!$A:$A,"&lt;="&amp;DATE(2026,8,21))</f>
        <v/>
      </c>
      <c r="GM9">
        <f>COUNTIFS('DRAFT 2'!$D:$D,$B9,'DRAFT 2'!$A:$A,"&gt;="&amp;DATE(2026,8,22),'DRAFT 2'!$A:$A,"&lt;"&amp;DATE(2026,IF(8=12,8+1,8+1),1))</f>
        <v/>
      </c>
      <c r="GN9">
        <f>SUM(GJ9:GM9)</f>
        <v/>
      </c>
      <c r="GX9">
        <f>IFERROR(LOOKUP(2,1/('DRAFT 2'!$D:$D=$B9)*('DRAFT 2'!$A:$A&gt;=DATE(2026,9,1))*('DRAFT 2'!$A:$A&lt;DATE(2026,IF(9=12,9+1,9+1),1)),'DRAFT 2'!$A:$A),"")</f>
        <v/>
      </c>
      <c r="GY9">
        <f>COUNTIFS('DRAFT 2'!$D:$D,$B9,'DRAFT 2'!$A:$A,"&gt;="&amp;DATE(2026,9,1),'DRAFT 2'!$A:$A,"&lt;="&amp;DATE(2026,9,7))</f>
        <v/>
      </c>
      <c r="GZ9">
        <f>COUNTIFS('DRAFT 2'!$D:$D,$B9,'DRAFT 2'!$A:$A,"&gt;="&amp;DATE(2026,9,8),'DRAFT 2'!$A:$A,"&lt;="&amp;DATE(2026,9,14))</f>
        <v/>
      </c>
      <c r="HA9">
        <f>COUNTIFS('DRAFT 2'!$D:$D,$B9,'DRAFT 2'!$A:$A,"&gt;="&amp;DATE(2026,9,15),'DRAFT 2'!$A:$A,"&lt;="&amp;DATE(2026,9,21))</f>
        <v/>
      </c>
      <c r="HB9">
        <f>COUNTIFS('DRAFT 2'!$D:$D,$B9,'DRAFT 2'!$A:$A,"&gt;="&amp;DATE(2026,9,22),'DRAFT 2'!$A:$A,"&lt;"&amp;DATE(2026,IF(9=12,9+1,9+1),1))</f>
        <v/>
      </c>
      <c r="HC9">
        <f>SUM(GY9:HB9)</f>
        <v/>
      </c>
      <c r="HN9">
        <f>IFERROR(LOOKUP(2,1/('DRAFT 2'!$D:$D=$B9)*('DRAFT 2'!$A:$A&gt;=DATE(2026,10,1))*('DRAFT 2'!$A:$A&lt;DATE(2026,IF(10=12,10+1,10+1),1)),'DRAFT 2'!$A:$A),"")</f>
        <v/>
      </c>
      <c r="HO9">
        <f>COUNTIFS('DRAFT 2'!$D:$D,$B9,'DRAFT 2'!$A:$A,"&gt;="&amp;DATE(2026,10,1),'DRAFT 2'!$A:$A,"&lt;="&amp;DATE(2026,10,7))</f>
        <v/>
      </c>
      <c r="HP9">
        <f>COUNTIFS('DRAFT 2'!$D:$D,$B9,'DRAFT 2'!$A:$A,"&gt;="&amp;DATE(2026,10,8),'DRAFT 2'!$A:$A,"&lt;="&amp;DATE(2026,10,14))</f>
        <v/>
      </c>
      <c r="HQ9">
        <f>COUNTIFS('DRAFT 2'!$D:$D,$B9,'DRAFT 2'!$A:$A,"&gt;="&amp;DATE(2026,10,15),'DRAFT 2'!$A:$A,"&lt;="&amp;DATE(2026,10,21))</f>
        <v/>
      </c>
      <c r="HR9">
        <f>COUNTIFS('DRAFT 2'!$D:$D,$B9,'DRAFT 2'!$A:$A,"&gt;="&amp;DATE(2026,10,22),'DRAFT 2'!$A:$A,"&lt;"&amp;DATE(2026,IF(10=12,10+1,10+1),1))</f>
        <v/>
      </c>
      <c r="HS9">
        <f>SUM(HO9:HR9)</f>
        <v/>
      </c>
      <c r="IC9">
        <f>IFERROR(LOOKUP(2,1/('DRAFT 2'!$D:$D=$B9)*('DRAFT 2'!$A:$A&gt;=DATE(2026,11,1))*('DRAFT 2'!$A:$A&lt;DATE(2026,IF(11=12,11+1,11+1),1)),'DRAFT 2'!$A:$A),"")</f>
        <v/>
      </c>
      <c r="ID9">
        <f>COUNTIFS('DRAFT 2'!$D:$D,$B9,'DRAFT 2'!$A:$A,"&gt;="&amp;DATE(2026,11,1),'DRAFT 2'!$A:$A,"&lt;="&amp;DATE(2026,11,7))</f>
        <v/>
      </c>
      <c r="IE9">
        <f>COUNTIFS('DRAFT 2'!$D:$D,$B9,'DRAFT 2'!$A:$A,"&gt;="&amp;DATE(2026,11,8),'DRAFT 2'!$A:$A,"&lt;="&amp;DATE(2026,11,14))</f>
        <v/>
      </c>
      <c r="IF9">
        <f>COUNTIFS('DRAFT 2'!$D:$D,$B9,'DRAFT 2'!$A:$A,"&gt;="&amp;DATE(2026,11,15),'DRAFT 2'!$A:$A,"&lt;="&amp;DATE(2026,11,21))</f>
        <v/>
      </c>
      <c r="IG9">
        <f>COUNTIFS('DRAFT 2'!$D:$D,$B9,'DRAFT 2'!$A:$A,"&gt;="&amp;DATE(2026,11,22),'DRAFT 2'!$A:$A,"&lt;"&amp;DATE(2026,IF(11=12,11+1,11+1),1))</f>
        <v/>
      </c>
      <c r="IH9">
        <f>SUM(ID9:IG9)</f>
        <v/>
      </c>
      <c r="IR9">
        <f>IFERROR(LOOKUP(2,1/('DRAFT 2'!$D:$D=$B9)*('DRAFT 2'!$A:$A&gt;=DATE(2026,12,1))*('DRAFT 2'!$A:$A&lt;DATE(2026,IF(12=12,12+1,12+1),1)),'DRAFT 2'!$A:$A),"")</f>
        <v/>
      </c>
      <c r="IS9">
        <f>COUNTIFS('DRAFT 2'!$D:$D,$B9,'DRAFT 2'!$A:$A,"&gt;="&amp;DATE(2026,12,1),'DRAFT 2'!$A:$A,"&lt;="&amp;DATE(2026,12,7))</f>
        <v/>
      </c>
      <c r="IT9">
        <f>COUNTIFS('DRAFT 2'!$D:$D,$B9,'DRAFT 2'!$A:$A,"&gt;="&amp;DATE(2026,12,8),'DRAFT 2'!$A:$A,"&lt;="&amp;DATE(2026,12,14))</f>
        <v/>
      </c>
      <c r="IU9">
        <f>COUNTIFS('DRAFT 2'!$D:$D,$B9,'DRAFT 2'!$A:$A,"&gt;="&amp;DATE(2026,12,15),'DRAFT 2'!$A:$A,"&lt;="&amp;DATE(2026,12,21))</f>
        <v/>
      </c>
      <c r="IV9">
        <f>COUNTIFS('DRAFT 2'!$D:$D,$B9,'DRAFT 2'!$A:$A,"&gt;="&amp;DATE(2026,12,22),'DRAFT 2'!$A:$A,"&lt;"&amp;DATE(2026,IF(12=12,12+1,12+1),1))</f>
        <v/>
      </c>
      <c r="IW9">
        <f>SUM(IS9:IV9)</f>
        <v/>
      </c>
    </row>
    <row r="10">
      <c r="A10">
        <f>IFERROR(INDEX('DRAFT 1'!$A:$A,MATCH($B10,'DRAFT 1'!$B:$B,0)),"")</f>
        <v/>
      </c>
      <c r="C10">
        <f>IFERROR(INDEX('DRAFT 1'!$C:$C,MATCH($B10,'DRAFT 1'!$B:$B,0)),"")</f>
        <v/>
      </c>
      <c r="D10">
        <f>IFERROR(INDEX('DRAFT 1'!$D:$D,MATCH($B10,'DRAFT 1'!$B:$B,0)),"")</f>
        <v/>
      </c>
      <c r="E10">
        <f>IFERROR(INDEX('DRAFT 1'!$E:$E,MATCH($B10,'DRAFT 1'!$B:$B,0)),"")</f>
        <v/>
      </c>
      <c r="F10">
        <f>IFERROR(INDEX('DRAFT 1'!$F:$F,MATCH($B10,'DRAFT 1'!$B:$B,0)),"")</f>
        <v/>
      </c>
      <c r="G10">
        <f>IFERROR(INDEX('DRAFT 1'!$G:$G,MATCH($B10,'DRAFT 1'!$B:$B,0)),"")</f>
        <v/>
      </c>
      <c r="H10">
        <f>IFERROR(INDEX('DRAFT 1'!$H:$H,MATCH($B10,'DRAFT 1'!$B:$B,0)),"")</f>
        <v/>
      </c>
      <c r="I10" t="inlineStr">
        <is>
          <t>VIDA LEVE</t>
        </is>
      </c>
      <c r="K10">
        <f>IFERROR(INDEX('DRAFT 1'!$AL:$AL,MATCH($B10,'DRAFT 1'!$B:$B,0)),"")</f>
        <v/>
      </c>
      <c r="L10">
        <f>IFERROR(INDEX('DRAFT 1'!$J:$J,MATCH($B10,'DRAFT 1'!$B:$B,0)),"")</f>
        <v/>
      </c>
      <c r="M10">
        <f>IFERROR(INDEX('DRAFT 1'!$K:$K,MATCH($B10,'DRAFT 1'!$B:$B,0)),"")</f>
        <v/>
      </c>
      <c r="N10" t="inlineStr">
        <is>
          <t>ATIVO</t>
        </is>
      </c>
      <c r="P10">
        <f>IFERROR(INDEX('DRAFT 1'!$L:$L,MATCH($B10,'DRAFT 1'!$B:$B,0)),"")</f>
        <v/>
      </c>
      <c r="Q10">
        <f>IFERROR(INDEX('DRAFT 1'!$M:$M,MATCH($B10,'DRAFT 1'!$B:$B,0)),"")</f>
        <v/>
      </c>
      <c r="R10">
        <f>IFERROR(INDEX('DRAFT 1'!$N:$N,MATCH($B10,'DRAFT 1'!$B:$B,0)),"")</f>
        <v/>
      </c>
      <c r="S10">
        <f>IFERROR(INDEX('DRAFT 1'!$O:$O,MATCH($B10,'DRAFT 1'!$B:$B,0)),"")</f>
        <v/>
      </c>
      <c r="T10">
        <f>IFERROR(INDEX('DRAFT 1'!$P:$P,MATCH($B10,'DRAFT 1'!$B:$B,0)),"")</f>
        <v/>
      </c>
      <c r="U10">
        <f>IFERROR(INDEX('DRAFT 1'!$Q:$Q,MATCH($B10,'DRAFT 1'!$B:$B,0)),"")</f>
        <v/>
      </c>
      <c r="V10">
        <f>IFERROR(INDEX('DRAFT 1'!$R:$R,MATCH($B10,'DRAFT 1'!$B:$B,0)),"")</f>
        <v/>
      </c>
      <c r="W10">
        <f>IFERROR(INDEX('DRAFT 1'!$S:$S,MATCH($B10,'DRAFT 1'!$B:$B,0)),"")</f>
        <v/>
      </c>
      <c r="X10">
        <f>IFERROR(INDEX('DRAFT 1'!$T:$T,MATCH($B10,'DRAFT 1'!$B:$B,0)),"")</f>
        <v/>
      </c>
      <c r="Z10">
        <f>IFERROR(INDEX('DRAFT 1'!$U:$U,MATCH($B10,'DRAFT 1'!$B:$B,0)),"")</f>
        <v/>
      </c>
      <c r="AA10">
        <f>IFERROR(INDEX('DRAFT 1'!$V:$V,MATCH($B10,'DRAFT 1'!$B:$B,0)),"")</f>
        <v/>
      </c>
      <c r="AB10">
        <f>IFERROR(INDEX('DRAFT 1'!$W:$W,MATCH($B10,'DRAFT 1'!$B:$B,0)),"")</f>
        <v/>
      </c>
      <c r="AC10">
        <f>IFERROR(INDEX('DRAFT 1'!$X:$X,MATCH($B10,'DRAFT 1'!$B:$B,0)),"")</f>
        <v/>
      </c>
      <c r="AD10">
        <f>IFERROR(INDEX('DRAFT 1'!$Y:$Y,MATCH($B10,'DRAFT 1'!$B:$B,0)),"")</f>
        <v/>
      </c>
      <c r="AE10">
        <f>IFERROR(INDEX('DRAFT 1'!$Z:$Z,MATCH($B10,'DRAFT 1'!$B:$B,0)),"")</f>
        <v/>
      </c>
      <c r="AF10">
        <f>IFERROR(INDEX('DRAFT 1'!$AA:$AA,MATCH($B10,'DRAFT 1'!$B:$B,0)),"")</f>
        <v/>
      </c>
      <c r="AG10">
        <f>IFERROR(INDEX('DRAFT 1'!$AB:$AB,MATCH($B10,'DRAFT 1'!$B:$B,0)),"")</f>
        <v/>
      </c>
      <c r="AH10">
        <f>IFERROR(INDEX('DRAFT 1'!$AC:$AC,MATCH($B10,'DRAFT 1'!$B:$B,0)),"")</f>
        <v/>
      </c>
      <c r="AI10">
        <f>IFERROR(INDEX('DRAFT 1'!$AD:$AD,MATCH($B10,'DRAFT 1'!$B:$B,0)),"")</f>
        <v/>
      </c>
      <c r="AJ10">
        <f>IFERROR(INDEX('DRAFT 1'!$AE:$AE,MATCH($B10,'DRAFT 1'!$B:$B,0)),"")</f>
        <v/>
      </c>
      <c r="AK10">
        <f>IFERROR(INDEX('DRAFT 1'!$AG:$AG,MATCH($B10,'DRAFT 1'!$B:$B,0)),"")</f>
        <v/>
      </c>
      <c r="AL10">
        <f>IFERROR(INDEX('DRAFT 1'!$AH:$AH,MATCH($B10,'DRAFT 1'!$B:$B,0)),"")</f>
        <v/>
      </c>
      <c r="AM10">
        <f>IFERROR(INDEX('DRAFT 1'!$AI:$AI,MATCH($B10,'DRAFT 1'!$B:$B,0)),"")</f>
        <v/>
      </c>
      <c r="AN10">
        <f>IFERROR(INDEX('DRAFT 1'!$AJ:$AJ,MATCH($B10,'DRAFT 1'!$B:$B,0)),"")</f>
        <v/>
      </c>
      <c r="AO10">
        <f>IFERROR(Y10/AN10,0)</f>
        <v/>
      </c>
      <c r="AP10">
        <f>IFERROR(INDEX('DRAFT 1'!$AK:$AK,MATCH($B10,'DRAFT 1'!$B:$B,0)),"")</f>
        <v/>
      </c>
      <c r="AR10" t="inlineStr">
        <is>
          <t>RECOMPRA</t>
        </is>
      </c>
      <c r="AS10">
        <f>IFERROR(LOOKUP(2,1/('DRAFT 2'!$D:$D=$B10),'DRAFT 2'!$T:$T),"")</f>
        <v/>
      </c>
      <c r="AT10">
        <f>IFERROR(LOOKUP(2,1/('DRAFT 2'!$D:$D=$B10),'DRAFT 2'!$A:$A),"")</f>
        <v/>
      </c>
      <c r="AU10">
        <f>IFERROR(LOOKUP(2,1/('DRAFT 2'!$D:$D=$B10),'DRAFT 2'!$R:$R),"")</f>
        <v/>
      </c>
      <c r="AV10">
        <f>IFERROR(LOOKUP(2,1/('DRAFT 2'!$D:$D=$B10),'DRAFT 2'!$S:$S),"")</f>
        <v/>
      </c>
      <c r="AW10" t="inlineStr">
        <is>
          <t>NOVO</t>
        </is>
      </c>
      <c r="AX10">
        <f>IFERROR(LOOKUP(2,1/('DRAFT 2'!$D:$D=$B10),'DRAFT 2'!$M:$M),"")</f>
        <v/>
      </c>
      <c r="AY10">
        <f>IFERROR(LOOKUP(2,1/('DRAFT 2'!$D:$D=$B10),'DRAFT 2'!$K:$K),"")</f>
        <v/>
      </c>
      <c r="BG10">
        <f>IFERROR(LOOKUP(2,1/('DRAFT 2'!$D:$D=$B10),'DRAFT 2'!$U:$U),"")</f>
        <v/>
      </c>
      <c r="BH10">
        <f>IFERROR(LOOKUP(2,1/('DRAFT 2'!$D:$D=$B10),'DRAFT 2'!$V:$V),"")</f>
        <v/>
      </c>
      <c r="CE10">
        <f>IFERROR(AJ10,0)</f>
        <v/>
      </c>
      <c r="CF10">
        <f>IFERROR(LOOKUP(2,1/('DRAFT 2'!$D:$D=$B10)*('DRAFT 2'!$A:$A&gt;=DATE(2026,1,1))*('DRAFT 2'!$A:$A&lt;DATE(2026,IF(1=12,1+1,1+1),1)),'DRAFT 2'!$A:$A),"")</f>
        <v/>
      </c>
      <c r="CG10">
        <f>COUNTIFS('DRAFT 2'!$D:$D,$B10,'DRAFT 2'!$A:$A,"&gt;="&amp;DATE(2026,1,1),'DRAFT 2'!$A:$A,"&lt;="&amp;DATE(2026,1,7))</f>
        <v/>
      </c>
      <c r="CH10">
        <f>COUNTIFS('DRAFT 2'!$D:$D,$B10,'DRAFT 2'!$A:$A,"&gt;="&amp;DATE(2026,1,8),'DRAFT 2'!$A:$A,"&lt;="&amp;DATE(2026,1,14))</f>
        <v/>
      </c>
      <c r="CI10">
        <f>COUNTIFS('DRAFT 2'!$D:$D,$B10,'DRAFT 2'!$A:$A,"&gt;="&amp;DATE(2026,1,15),'DRAFT 2'!$A:$A,"&lt;="&amp;DATE(2026,1,21))</f>
        <v/>
      </c>
      <c r="CJ10">
        <f>COUNTIFS('DRAFT 2'!$D:$D,$B10,'DRAFT 2'!$A:$A,"&gt;="&amp;DATE(2026,1,22),'DRAFT 2'!$A:$A,"&lt;"&amp;DATE(2026,IF(1=12,1+1,1+1),1))</f>
        <v/>
      </c>
      <c r="CK10">
        <f>SUM(CG10:CJ10)</f>
        <v/>
      </c>
      <c r="CT10" t="n">
        <v>0</v>
      </c>
      <c r="CU10">
        <f>IFERROR(LOOKUP(2,1/('DRAFT 2'!$D:$D=$B10)*('DRAFT 2'!$A:$A&gt;=DATE(2026,2,1))*('DRAFT 2'!$A:$A&lt;DATE(2026,IF(2=12,2+1,2+1),1)),'DRAFT 2'!$A:$A),"")</f>
        <v/>
      </c>
      <c r="CV10">
        <f>COUNTIFS('DRAFT 2'!$D:$D,$B10,'DRAFT 2'!$A:$A,"&gt;="&amp;DATE(2026,2,1),'DRAFT 2'!$A:$A,"&lt;="&amp;DATE(2026,2,7))</f>
        <v/>
      </c>
      <c r="CW10">
        <f>COUNTIFS('DRAFT 2'!$D:$D,$B10,'DRAFT 2'!$A:$A,"&gt;="&amp;DATE(2026,2,8),'DRAFT 2'!$A:$A,"&lt;="&amp;DATE(2026,2,14))</f>
        <v/>
      </c>
      <c r="CX10">
        <f>COUNTIFS('DRAFT 2'!$D:$D,$B10,'DRAFT 2'!$A:$A,"&gt;="&amp;DATE(2026,2,15),'DRAFT 2'!$A:$A,"&lt;="&amp;DATE(2026,2,21))</f>
        <v/>
      </c>
      <c r="CY10">
        <f>COUNTIFS('DRAFT 2'!$D:$D,$B10,'DRAFT 2'!$A:$A,"&gt;="&amp;DATE(2026,2,22),'DRAFT 2'!$A:$A,"&lt;"&amp;DATE(2026,IF(2=12,2+1,2+1),1))</f>
        <v/>
      </c>
      <c r="CZ10">
        <f>SUM(CV10:CY10)</f>
        <v/>
      </c>
      <c r="DJ10">
        <f>IFERROR(LOOKUP(2,1/('DRAFT 2'!$D:$D=$B10)*('DRAFT 2'!$A:$A&gt;=DATE(2026,3,1))*('DRAFT 2'!$A:$A&lt;DATE(2026,IF(3=12,3+1,3+1),1)),'DRAFT 2'!$A:$A),"")</f>
        <v/>
      </c>
      <c r="DK10">
        <f>COUNTIFS('DRAFT 2'!$D:$D,$B10,'DRAFT 2'!$A:$A,"&gt;="&amp;DATE(2026,3,1),'DRAFT 2'!$A:$A,"&lt;="&amp;DATE(2026,3,7))</f>
        <v/>
      </c>
      <c r="DL10">
        <f>COUNTIFS('DRAFT 2'!$D:$D,$B10,'DRAFT 2'!$A:$A,"&gt;="&amp;DATE(2026,3,8),'DRAFT 2'!$A:$A,"&lt;="&amp;DATE(2026,3,14))</f>
        <v/>
      </c>
      <c r="DM10">
        <f>COUNTIFS('DRAFT 2'!$D:$D,$B10,'DRAFT 2'!$A:$A,"&gt;="&amp;DATE(2026,3,15),'DRAFT 2'!$A:$A,"&lt;="&amp;DATE(2026,3,21))</f>
        <v/>
      </c>
      <c r="DN10">
        <f>COUNTIFS('DRAFT 2'!$D:$D,$B10,'DRAFT 2'!$A:$A,"&gt;="&amp;DATE(2026,3,22),'DRAFT 2'!$A:$A,"&lt;"&amp;DATE(2026,IF(3=12,3+1,3+1),1))</f>
        <v/>
      </c>
      <c r="DO10">
        <f>SUM(DK10:DN10)</f>
        <v/>
      </c>
      <c r="DZ10">
        <f>IFERROR(LOOKUP(2,1/('DRAFT 2'!$D:$D=$B10)*('DRAFT 2'!$A:$A&gt;=DATE(2026,4,1))*('DRAFT 2'!$A:$A&lt;DATE(2026,IF(4=12,4+1,4+1),1)),'DRAFT 2'!$A:$A),"")</f>
        <v/>
      </c>
      <c r="EA10">
        <f>COUNTIFS('DRAFT 2'!$D:$D,$B10,'DRAFT 2'!$A:$A,"&gt;="&amp;DATE(2026,4,1),'DRAFT 2'!$A:$A,"&lt;="&amp;DATE(2026,4,7))</f>
        <v/>
      </c>
      <c r="EB10">
        <f>COUNTIFS('DRAFT 2'!$D:$D,$B10,'DRAFT 2'!$A:$A,"&gt;="&amp;DATE(2026,4,8),'DRAFT 2'!$A:$A,"&lt;="&amp;DATE(2026,4,14))</f>
        <v/>
      </c>
      <c r="EC10">
        <f>COUNTIFS('DRAFT 2'!$D:$D,$B10,'DRAFT 2'!$A:$A,"&gt;="&amp;DATE(2026,4,15),'DRAFT 2'!$A:$A,"&lt;="&amp;DATE(2026,4,21))</f>
        <v/>
      </c>
      <c r="ED10">
        <f>COUNTIFS('DRAFT 2'!$D:$D,$B10,'DRAFT 2'!$A:$A,"&gt;="&amp;DATE(2026,4,22),'DRAFT 2'!$A:$A,"&lt;"&amp;DATE(2026,IF(4=12,4+1,4+1),1))</f>
        <v/>
      </c>
      <c r="EE10">
        <f>SUM(EA10:ED10)</f>
        <v/>
      </c>
      <c r="EO10">
        <f>IFERROR(LOOKUP(2,1/('DRAFT 2'!$D:$D=$B10)*('DRAFT 2'!$A:$A&gt;=DATE(2026,5,1))*('DRAFT 2'!$A:$A&lt;DATE(2026,IF(5=12,5+1,5+1),1)),'DRAFT 2'!$A:$A),"")</f>
        <v/>
      </c>
      <c r="EP10">
        <f>COUNTIFS('DRAFT 2'!$D:$D,$B10,'DRAFT 2'!$A:$A,"&gt;="&amp;DATE(2026,5,1),'DRAFT 2'!$A:$A,"&lt;="&amp;DATE(2026,5,7))</f>
        <v/>
      </c>
      <c r="EQ10">
        <f>COUNTIFS('DRAFT 2'!$D:$D,$B10,'DRAFT 2'!$A:$A,"&gt;="&amp;DATE(2026,5,8),'DRAFT 2'!$A:$A,"&lt;="&amp;DATE(2026,5,14))</f>
        <v/>
      </c>
      <c r="ER10">
        <f>COUNTIFS('DRAFT 2'!$D:$D,$B10,'DRAFT 2'!$A:$A,"&gt;="&amp;DATE(2026,5,15),'DRAFT 2'!$A:$A,"&lt;="&amp;DATE(2026,5,21))</f>
        <v/>
      </c>
      <c r="ES10">
        <f>COUNTIFS('DRAFT 2'!$D:$D,$B10,'DRAFT 2'!$A:$A,"&gt;="&amp;DATE(2026,5,22),'DRAFT 2'!$A:$A,"&lt;"&amp;DATE(2026,IF(5=12,5+1,5+1),1))</f>
        <v/>
      </c>
      <c r="ET10">
        <f>SUM(EP10:ES10)</f>
        <v/>
      </c>
      <c r="FD10">
        <f>IFERROR(LOOKUP(2,1/('DRAFT 2'!$D:$D=$B10)*('DRAFT 2'!$A:$A&gt;=DATE(2026,6,1))*('DRAFT 2'!$A:$A&lt;DATE(2026,IF(6=12,6+1,6+1),1)),'DRAFT 2'!$A:$A),"")</f>
        <v/>
      </c>
      <c r="FE10">
        <f>COUNTIFS('DRAFT 2'!$D:$D,$B10,'DRAFT 2'!$A:$A,"&gt;="&amp;DATE(2026,6,1),'DRAFT 2'!$A:$A,"&lt;="&amp;DATE(2026,6,7))</f>
        <v/>
      </c>
      <c r="FF10">
        <f>COUNTIFS('DRAFT 2'!$D:$D,$B10,'DRAFT 2'!$A:$A,"&gt;="&amp;DATE(2026,6,8),'DRAFT 2'!$A:$A,"&lt;="&amp;DATE(2026,6,14))</f>
        <v/>
      </c>
      <c r="FG10">
        <f>COUNTIFS('DRAFT 2'!$D:$D,$B10,'DRAFT 2'!$A:$A,"&gt;="&amp;DATE(2026,6,15),'DRAFT 2'!$A:$A,"&lt;="&amp;DATE(2026,6,21))</f>
        <v/>
      </c>
      <c r="FH10">
        <f>COUNTIFS('DRAFT 2'!$D:$D,$B10,'DRAFT 2'!$A:$A,"&gt;="&amp;DATE(2026,6,22),'DRAFT 2'!$A:$A,"&lt;"&amp;DATE(2026,IF(6=12,6+1,6+1),1))</f>
        <v/>
      </c>
      <c r="FI10">
        <f>SUM(FE10:FH10)</f>
        <v/>
      </c>
      <c r="FT10">
        <f>IFERROR(LOOKUP(2,1/('DRAFT 2'!$D:$D=$B10)*('DRAFT 2'!$A:$A&gt;=DATE(2026,7,1))*('DRAFT 2'!$A:$A&lt;DATE(2026,IF(7=12,7+1,7+1),1)),'DRAFT 2'!$A:$A),"")</f>
        <v/>
      </c>
      <c r="FU10">
        <f>COUNTIFS('DRAFT 2'!$D:$D,$B10,'DRAFT 2'!$A:$A,"&gt;="&amp;DATE(2026,7,1),'DRAFT 2'!$A:$A,"&lt;="&amp;DATE(2026,7,7))</f>
        <v/>
      </c>
      <c r="FV10">
        <f>COUNTIFS('DRAFT 2'!$D:$D,$B10,'DRAFT 2'!$A:$A,"&gt;="&amp;DATE(2026,7,8),'DRAFT 2'!$A:$A,"&lt;="&amp;DATE(2026,7,14))</f>
        <v/>
      </c>
      <c r="FW10">
        <f>COUNTIFS('DRAFT 2'!$D:$D,$B10,'DRAFT 2'!$A:$A,"&gt;="&amp;DATE(2026,7,15),'DRAFT 2'!$A:$A,"&lt;="&amp;DATE(2026,7,21))</f>
        <v/>
      </c>
      <c r="FX10">
        <f>COUNTIFS('DRAFT 2'!$D:$D,$B10,'DRAFT 2'!$A:$A,"&gt;="&amp;DATE(2026,7,22),'DRAFT 2'!$A:$A,"&lt;"&amp;DATE(2026,IF(7=12,7+1,7+1),1))</f>
        <v/>
      </c>
      <c r="FY10">
        <f>SUM(FU10:FX10)</f>
        <v/>
      </c>
      <c r="GI10">
        <f>IFERROR(LOOKUP(2,1/('DRAFT 2'!$D:$D=$B10)*('DRAFT 2'!$A:$A&gt;=DATE(2026,8,1))*('DRAFT 2'!$A:$A&lt;DATE(2026,IF(8=12,8+1,8+1),1)),'DRAFT 2'!$A:$A),"")</f>
        <v/>
      </c>
      <c r="GJ10">
        <f>COUNTIFS('DRAFT 2'!$D:$D,$B10,'DRAFT 2'!$A:$A,"&gt;="&amp;DATE(2026,8,1),'DRAFT 2'!$A:$A,"&lt;="&amp;DATE(2026,8,7))</f>
        <v/>
      </c>
      <c r="GK10">
        <f>COUNTIFS('DRAFT 2'!$D:$D,$B10,'DRAFT 2'!$A:$A,"&gt;="&amp;DATE(2026,8,8),'DRAFT 2'!$A:$A,"&lt;="&amp;DATE(2026,8,14))</f>
        <v/>
      </c>
      <c r="GL10">
        <f>COUNTIFS('DRAFT 2'!$D:$D,$B10,'DRAFT 2'!$A:$A,"&gt;="&amp;DATE(2026,8,15),'DRAFT 2'!$A:$A,"&lt;="&amp;DATE(2026,8,21))</f>
        <v/>
      </c>
      <c r="GM10">
        <f>COUNTIFS('DRAFT 2'!$D:$D,$B10,'DRAFT 2'!$A:$A,"&gt;="&amp;DATE(2026,8,22),'DRAFT 2'!$A:$A,"&lt;"&amp;DATE(2026,IF(8=12,8+1,8+1),1))</f>
        <v/>
      </c>
      <c r="GN10">
        <f>SUM(GJ10:GM10)</f>
        <v/>
      </c>
      <c r="GX10">
        <f>IFERROR(LOOKUP(2,1/('DRAFT 2'!$D:$D=$B10)*('DRAFT 2'!$A:$A&gt;=DATE(2026,9,1))*('DRAFT 2'!$A:$A&lt;DATE(2026,IF(9=12,9+1,9+1),1)),'DRAFT 2'!$A:$A),"")</f>
        <v/>
      </c>
      <c r="GY10">
        <f>COUNTIFS('DRAFT 2'!$D:$D,$B10,'DRAFT 2'!$A:$A,"&gt;="&amp;DATE(2026,9,1),'DRAFT 2'!$A:$A,"&lt;="&amp;DATE(2026,9,7))</f>
        <v/>
      </c>
      <c r="GZ10">
        <f>COUNTIFS('DRAFT 2'!$D:$D,$B10,'DRAFT 2'!$A:$A,"&gt;="&amp;DATE(2026,9,8),'DRAFT 2'!$A:$A,"&lt;="&amp;DATE(2026,9,14))</f>
        <v/>
      </c>
      <c r="HA10">
        <f>COUNTIFS('DRAFT 2'!$D:$D,$B10,'DRAFT 2'!$A:$A,"&gt;="&amp;DATE(2026,9,15),'DRAFT 2'!$A:$A,"&lt;="&amp;DATE(2026,9,21))</f>
        <v/>
      </c>
      <c r="HB10">
        <f>COUNTIFS('DRAFT 2'!$D:$D,$B10,'DRAFT 2'!$A:$A,"&gt;="&amp;DATE(2026,9,22),'DRAFT 2'!$A:$A,"&lt;"&amp;DATE(2026,IF(9=12,9+1,9+1),1))</f>
        <v/>
      </c>
      <c r="HC10">
        <f>SUM(GY10:HB10)</f>
        <v/>
      </c>
      <c r="HN10">
        <f>IFERROR(LOOKUP(2,1/('DRAFT 2'!$D:$D=$B10)*('DRAFT 2'!$A:$A&gt;=DATE(2026,10,1))*('DRAFT 2'!$A:$A&lt;DATE(2026,IF(10=12,10+1,10+1),1)),'DRAFT 2'!$A:$A),"")</f>
        <v/>
      </c>
      <c r="HO10">
        <f>COUNTIFS('DRAFT 2'!$D:$D,$B10,'DRAFT 2'!$A:$A,"&gt;="&amp;DATE(2026,10,1),'DRAFT 2'!$A:$A,"&lt;="&amp;DATE(2026,10,7))</f>
        <v/>
      </c>
      <c r="HP10">
        <f>COUNTIFS('DRAFT 2'!$D:$D,$B10,'DRAFT 2'!$A:$A,"&gt;="&amp;DATE(2026,10,8),'DRAFT 2'!$A:$A,"&lt;="&amp;DATE(2026,10,14))</f>
        <v/>
      </c>
      <c r="HQ10">
        <f>COUNTIFS('DRAFT 2'!$D:$D,$B10,'DRAFT 2'!$A:$A,"&gt;="&amp;DATE(2026,10,15),'DRAFT 2'!$A:$A,"&lt;="&amp;DATE(2026,10,21))</f>
        <v/>
      </c>
      <c r="HR10">
        <f>COUNTIFS('DRAFT 2'!$D:$D,$B10,'DRAFT 2'!$A:$A,"&gt;="&amp;DATE(2026,10,22),'DRAFT 2'!$A:$A,"&lt;"&amp;DATE(2026,IF(10=12,10+1,10+1),1))</f>
        <v/>
      </c>
      <c r="HS10">
        <f>SUM(HO10:HR10)</f>
        <v/>
      </c>
      <c r="IC10">
        <f>IFERROR(LOOKUP(2,1/('DRAFT 2'!$D:$D=$B10)*('DRAFT 2'!$A:$A&gt;=DATE(2026,11,1))*('DRAFT 2'!$A:$A&lt;DATE(2026,IF(11=12,11+1,11+1),1)),'DRAFT 2'!$A:$A),"")</f>
        <v/>
      </c>
      <c r="ID10">
        <f>COUNTIFS('DRAFT 2'!$D:$D,$B10,'DRAFT 2'!$A:$A,"&gt;="&amp;DATE(2026,11,1),'DRAFT 2'!$A:$A,"&lt;="&amp;DATE(2026,11,7))</f>
        <v/>
      </c>
      <c r="IE10">
        <f>COUNTIFS('DRAFT 2'!$D:$D,$B10,'DRAFT 2'!$A:$A,"&gt;="&amp;DATE(2026,11,8),'DRAFT 2'!$A:$A,"&lt;="&amp;DATE(2026,11,14))</f>
        <v/>
      </c>
      <c r="IF10">
        <f>COUNTIFS('DRAFT 2'!$D:$D,$B10,'DRAFT 2'!$A:$A,"&gt;="&amp;DATE(2026,11,15),'DRAFT 2'!$A:$A,"&lt;="&amp;DATE(2026,11,21))</f>
        <v/>
      </c>
      <c r="IG10">
        <f>COUNTIFS('DRAFT 2'!$D:$D,$B10,'DRAFT 2'!$A:$A,"&gt;="&amp;DATE(2026,11,22),'DRAFT 2'!$A:$A,"&lt;"&amp;DATE(2026,IF(11=12,11+1,11+1),1))</f>
        <v/>
      </c>
      <c r="IH10">
        <f>SUM(ID10:IG10)</f>
        <v/>
      </c>
      <c r="IR10">
        <f>IFERROR(LOOKUP(2,1/('DRAFT 2'!$D:$D=$B10)*('DRAFT 2'!$A:$A&gt;=DATE(2026,12,1))*('DRAFT 2'!$A:$A&lt;DATE(2026,IF(12=12,12+1,12+1),1)),'DRAFT 2'!$A:$A),"")</f>
        <v/>
      </c>
      <c r="IS10">
        <f>COUNTIFS('DRAFT 2'!$D:$D,$B10,'DRAFT 2'!$A:$A,"&gt;="&amp;DATE(2026,12,1),'DRAFT 2'!$A:$A,"&lt;="&amp;DATE(2026,12,7))</f>
        <v/>
      </c>
      <c r="IT10">
        <f>COUNTIFS('DRAFT 2'!$D:$D,$B10,'DRAFT 2'!$A:$A,"&gt;="&amp;DATE(2026,12,8),'DRAFT 2'!$A:$A,"&lt;="&amp;DATE(2026,12,14))</f>
        <v/>
      </c>
      <c r="IU10">
        <f>COUNTIFS('DRAFT 2'!$D:$D,$B10,'DRAFT 2'!$A:$A,"&gt;="&amp;DATE(2026,12,15),'DRAFT 2'!$A:$A,"&lt;="&amp;DATE(2026,12,21))</f>
        <v/>
      </c>
      <c r="IV10">
        <f>COUNTIFS('DRAFT 2'!$D:$D,$B10,'DRAFT 2'!$A:$A,"&gt;="&amp;DATE(2026,12,22),'DRAFT 2'!$A:$A,"&lt;"&amp;DATE(2026,IF(12=12,12+1,12+1),1))</f>
        <v/>
      </c>
      <c r="IW10">
        <f>SUM(IS10:IV10)</f>
        <v/>
      </c>
    </row>
    <row r="11">
      <c r="A11">
        <f>IFERROR(INDEX('DRAFT 1'!$A:$A,MATCH($B11,'DRAFT 1'!$B:$B,0)),"")</f>
        <v/>
      </c>
      <c r="C11">
        <f>IFERROR(INDEX('DRAFT 1'!$C:$C,MATCH($B11,'DRAFT 1'!$B:$B,0)),"")</f>
        <v/>
      </c>
      <c r="D11">
        <f>IFERROR(INDEX('DRAFT 1'!$D:$D,MATCH($B11,'DRAFT 1'!$B:$B,0)),"")</f>
        <v/>
      </c>
      <c r="E11">
        <f>IFERROR(INDEX('DRAFT 1'!$E:$E,MATCH($B11,'DRAFT 1'!$B:$B,0)),"")</f>
        <v/>
      </c>
      <c r="F11">
        <f>IFERROR(INDEX('DRAFT 1'!$F:$F,MATCH($B11,'DRAFT 1'!$B:$B,0)),"")</f>
        <v/>
      </c>
      <c r="G11">
        <f>IFERROR(INDEX('DRAFT 1'!$G:$G,MATCH($B11,'DRAFT 1'!$B:$B,0)),"")</f>
        <v/>
      </c>
      <c r="H11">
        <f>IFERROR(INDEX('DRAFT 1'!$H:$H,MATCH($B11,'DRAFT 1'!$B:$B,0)),"")</f>
        <v/>
      </c>
      <c r="I11" t="inlineStr">
        <is>
          <t>DEMAIS CLIENTES</t>
        </is>
      </c>
      <c r="K11">
        <f>IFERROR(INDEX('DRAFT 1'!$AL:$AL,MATCH($B11,'DRAFT 1'!$B:$B,0)),"")</f>
        <v/>
      </c>
      <c r="L11">
        <f>IFERROR(INDEX('DRAFT 1'!$J:$J,MATCH($B11,'DRAFT 1'!$B:$B,0)),"")</f>
        <v/>
      </c>
      <c r="M11">
        <f>IFERROR(INDEX('DRAFT 1'!$K:$K,MATCH($B11,'DRAFT 1'!$B:$B,0)),"")</f>
        <v/>
      </c>
      <c r="N11" t="inlineStr">
        <is>
          <t>INAT.ANT</t>
        </is>
      </c>
      <c r="P11">
        <f>IFERROR(INDEX('DRAFT 1'!$L:$L,MATCH($B11,'DRAFT 1'!$B:$B,0)),"")</f>
        <v/>
      </c>
      <c r="Q11">
        <f>IFERROR(INDEX('DRAFT 1'!$M:$M,MATCH($B11,'DRAFT 1'!$B:$B,0)),"")</f>
        <v/>
      </c>
      <c r="R11">
        <f>IFERROR(INDEX('DRAFT 1'!$N:$N,MATCH($B11,'DRAFT 1'!$B:$B,0)),"")</f>
        <v/>
      </c>
      <c r="S11">
        <f>IFERROR(INDEX('DRAFT 1'!$O:$O,MATCH($B11,'DRAFT 1'!$B:$B,0)),"")</f>
        <v/>
      </c>
      <c r="T11">
        <f>IFERROR(INDEX('DRAFT 1'!$P:$P,MATCH($B11,'DRAFT 1'!$B:$B,0)),"")</f>
        <v/>
      </c>
      <c r="U11">
        <f>IFERROR(INDEX('DRAFT 1'!$Q:$Q,MATCH($B11,'DRAFT 1'!$B:$B,0)),"")</f>
        <v/>
      </c>
      <c r="V11">
        <f>IFERROR(INDEX('DRAFT 1'!$R:$R,MATCH($B11,'DRAFT 1'!$B:$B,0)),"")</f>
        <v/>
      </c>
      <c r="W11">
        <f>IFERROR(INDEX('DRAFT 1'!$S:$S,MATCH($B11,'DRAFT 1'!$B:$B,0)),"")</f>
        <v/>
      </c>
      <c r="X11">
        <f>IFERROR(INDEX('DRAFT 1'!$T:$T,MATCH($B11,'DRAFT 1'!$B:$B,0)),"")</f>
        <v/>
      </c>
      <c r="Z11">
        <f>IFERROR(INDEX('DRAFT 1'!$U:$U,MATCH($B11,'DRAFT 1'!$B:$B,0)),"")</f>
        <v/>
      </c>
      <c r="AA11">
        <f>IFERROR(INDEX('DRAFT 1'!$V:$V,MATCH($B11,'DRAFT 1'!$B:$B,0)),"")</f>
        <v/>
      </c>
      <c r="AB11">
        <f>IFERROR(INDEX('DRAFT 1'!$W:$W,MATCH($B11,'DRAFT 1'!$B:$B,0)),"")</f>
        <v/>
      </c>
      <c r="AC11">
        <f>IFERROR(INDEX('DRAFT 1'!$X:$X,MATCH($B11,'DRAFT 1'!$B:$B,0)),"")</f>
        <v/>
      </c>
      <c r="AD11">
        <f>IFERROR(INDEX('DRAFT 1'!$Y:$Y,MATCH($B11,'DRAFT 1'!$B:$B,0)),"")</f>
        <v/>
      </c>
      <c r="AE11">
        <f>IFERROR(INDEX('DRAFT 1'!$Z:$Z,MATCH($B11,'DRAFT 1'!$B:$B,0)),"")</f>
        <v/>
      </c>
      <c r="AF11">
        <f>IFERROR(INDEX('DRAFT 1'!$AA:$AA,MATCH($B11,'DRAFT 1'!$B:$B,0)),"")</f>
        <v/>
      </c>
      <c r="AG11">
        <f>IFERROR(INDEX('DRAFT 1'!$AB:$AB,MATCH($B11,'DRAFT 1'!$B:$B,0)),"")</f>
        <v/>
      </c>
      <c r="AH11">
        <f>IFERROR(INDEX('DRAFT 1'!$AC:$AC,MATCH($B11,'DRAFT 1'!$B:$B,0)),"")</f>
        <v/>
      </c>
      <c r="AI11">
        <f>IFERROR(INDEX('DRAFT 1'!$AD:$AD,MATCH($B11,'DRAFT 1'!$B:$B,0)),"")</f>
        <v/>
      </c>
      <c r="AJ11">
        <f>IFERROR(INDEX('DRAFT 1'!$AE:$AE,MATCH($B11,'DRAFT 1'!$B:$B,0)),"")</f>
        <v/>
      </c>
      <c r="AK11">
        <f>IFERROR(INDEX('DRAFT 1'!$AG:$AG,MATCH($B11,'DRAFT 1'!$B:$B,0)),"")</f>
        <v/>
      </c>
      <c r="AL11">
        <f>IFERROR(INDEX('DRAFT 1'!$AH:$AH,MATCH($B11,'DRAFT 1'!$B:$B,0)),"")</f>
        <v/>
      </c>
      <c r="AM11">
        <f>IFERROR(INDEX('DRAFT 1'!$AI:$AI,MATCH($B11,'DRAFT 1'!$B:$B,0)),"")</f>
        <v/>
      </c>
      <c r="AN11">
        <f>IFERROR(INDEX('DRAFT 1'!$AJ:$AJ,MATCH($B11,'DRAFT 1'!$B:$B,0)),"")</f>
        <v/>
      </c>
      <c r="AO11">
        <f>IFERROR(Y11/AN11,0)</f>
        <v/>
      </c>
      <c r="AP11">
        <f>IFERROR(INDEX('DRAFT 1'!$AK:$AK,MATCH($B11,'DRAFT 1'!$B:$B,0)),"")</f>
        <v/>
      </c>
      <c r="AR11" t="inlineStr">
        <is>
          <t>SALVAMENTO</t>
        </is>
      </c>
      <c r="AS11">
        <f>IFERROR(LOOKUP(2,1/('DRAFT 2'!$D:$D=$B11),'DRAFT 2'!$T:$T),"")</f>
        <v/>
      </c>
      <c r="AT11">
        <f>IFERROR(LOOKUP(2,1/('DRAFT 2'!$D:$D=$B11),'DRAFT 2'!$A:$A),"")</f>
        <v/>
      </c>
      <c r="AU11">
        <f>IFERROR(LOOKUP(2,1/('DRAFT 2'!$D:$D=$B11),'DRAFT 2'!$R:$R),"")</f>
        <v/>
      </c>
      <c r="AV11">
        <f>IFERROR(LOOKUP(2,1/('DRAFT 2'!$D:$D=$B11),'DRAFT 2'!$S:$S),"")</f>
        <v/>
      </c>
      <c r="AW11" t="inlineStr">
        <is>
          <t>EM DESENVOLVIMENTO</t>
        </is>
      </c>
      <c r="AX11">
        <f>IFERROR(LOOKUP(2,1/('DRAFT 2'!$D:$D=$B11),'DRAFT 2'!$M:$M),"")</f>
        <v/>
      </c>
      <c r="AY11">
        <f>IFERROR(LOOKUP(2,1/('DRAFT 2'!$D:$D=$B11),'DRAFT 2'!$K:$K),"")</f>
        <v/>
      </c>
      <c r="BG11">
        <f>IFERROR(LOOKUP(2,1/('DRAFT 2'!$D:$D=$B11),'DRAFT 2'!$U:$U),"")</f>
        <v/>
      </c>
      <c r="BH11">
        <f>IFERROR(LOOKUP(2,1/('DRAFT 2'!$D:$D=$B11),'DRAFT 2'!$V:$V),"")</f>
        <v/>
      </c>
      <c r="CE11">
        <f>IFERROR(AJ11,0)</f>
        <v/>
      </c>
      <c r="CF11">
        <f>IFERROR(LOOKUP(2,1/('DRAFT 2'!$D:$D=$B11)*('DRAFT 2'!$A:$A&gt;=DATE(2026,1,1))*('DRAFT 2'!$A:$A&lt;DATE(2026,IF(1=12,1+1,1+1),1)),'DRAFT 2'!$A:$A),"")</f>
        <v/>
      </c>
      <c r="CG11">
        <f>COUNTIFS('DRAFT 2'!$D:$D,$B11,'DRAFT 2'!$A:$A,"&gt;="&amp;DATE(2026,1,1),'DRAFT 2'!$A:$A,"&lt;="&amp;DATE(2026,1,7))</f>
        <v/>
      </c>
      <c r="CH11">
        <f>COUNTIFS('DRAFT 2'!$D:$D,$B11,'DRAFT 2'!$A:$A,"&gt;="&amp;DATE(2026,1,8),'DRAFT 2'!$A:$A,"&lt;="&amp;DATE(2026,1,14))</f>
        <v/>
      </c>
      <c r="CI11">
        <f>COUNTIFS('DRAFT 2'!$D:$D,$B11,'DRAFT 2'!$A:$A,"&gt;="&amp;DATE(2026,1,15),'DRAFT 2'!$A:$A,"&lt;="&amp;DATE(2026,1,21))</f>
        <v/>
      </c>
      <c r="CJ11">
        <f>COUNTIFS('DRAFT 2'!$D:$D,$B11,'DRAFT 2'!$A:$A,"&gt;="&amp;DATE(2026,1,22),'DRAFT 2'!$A:$A,"&lt;"&amp;DATE(2026,IF(1=12,1+1,1+1),1))</f>
        <v/>
      </c>
      <c r="CK11">
        <f>SUM(CG11:CJ11)</f>
        <v/>
      </c>
      <c r="CT11" t="n">
        <v>0</v>
      </c>
      <c r="CU11">
        <f>IFERROR(LOOKUP(2,1/('DRAFT 2'!$D:$D=$B11)*('DRAFT 2'!$A:$A&gt;=DATE(2026,2,1))*('DRAFT 2'!$A:$A&lt;DATE(2026,IF(2=12,2+1,2+1),1)),'DRAFT 2'!$A:$A),"")</f>
        <v/>
      </c>
      <c r="CV11">
        <f>COUNTIFS('DRAFT 2'!$D:$D,$B11,'DRAFT 2'!$A:$A,"&gt;="&amp;DATE(2026,2,1),'DRAFT 2'!$A:$A,"&lt;="&amp;DATE(2026,2,7))</f>
        <v/>
      </c>
      <c r="CW11">
        <f>COUNTIFS('DRAFT 2'!$D:$D,$B11,'DRAFT 2'!$A:$A,"&gt;="&amp;DATE(2026,2,8),'DRAFT 2'!$A:$A,"&lt;="&amp;DATE(2026,2,14))</f>
        <v/>
      </c>
      <c r="CX11">
        <f>COUNTIFS('DRAFT 2'!$D:$D,$B11,'DRAFT 2'!$A:$A,"&gt;="&amp;DATE(2026,2,15),'DRAFT 2'!$A:$A,"&lt;="&amp;DATE(2026,2,21))</f>
        <v/>
      </c>
      <c r="CY11">
        <f>COUNTIFS('DRAFT 2'!$D:$D,$B11,'DRAFT 2'!$A:$A,"&gt;="&amp;DATE(2026,2,22),'DRAFT 2'!$A:$A,"&lt;"&amp;DATE(2026,IF(2=12,2+1,2+1),1))</f>
        <v/>
      </c>
      <c r="CZ11">
        <f>SUM(CV11:CY11)</f>
        <v/>
      </c>
      <c r="DJ11">
        <f>IFERROR(LOOKUP(2,1/('DRAFT 2'!$D:$D=$B11)*('DRAFT 2'!$A:$A&gt;=DATE(2026,3,1))*('DRAFT 2'!$A:$A&lt;DATE(2026,IF(3=12,3+1,3+1),1)),'DRAFT 2'!$A:$A),"")</f>
        <v/>
      </c>
      <c r="DK11">
        <f>COUNTIFS('DRAFT 2'!$D:$D,$B11,'DRAFT 2'!$A:$A,"&gt;="&amp;DATE(2026,3,1),'DRAFT 2'!$A:$A,"&lt;="&amp;DATE(2026,3,7))</f>
        <v/>
      </c>
      <c r="DL11">
        <f>COUNTIFS('DRAFT 2'!$D:$D,$B11,'DRAFT 2'!$A:$A,"&gt;="&amp;DATE(2026,3,8),'DRAFT 2'!$A:$A,"&lt;="&amp;DATE(2026,3,14))</f>
        <v/>
      </c>
      <c r="DM11">
        <f>COUNTIFS('DRAFT 2'!$D:$D,$B11,'DRAFT 2'!$A:$A,"&gt;="&amp;DATE(2026,3,15),'DRAFT 2'!$A:$A,"&lt;="&amp;DATE(2026,3,21))</f>
        <v/>
      </c>
      <c r="DN11">
        <f>COUNTIFS('DRAFT 2'!$D:$D,$B11,'DRAFT 2'!$A:$A,"&gt;="&amp;DATE(2026,3,22),'DRAFT 2'!$A:$A,"&lt;"&amp;DATE(2026,IF(3=12,3+1,3+1),1))</f>
        <v/>
      </c>
      <c r="DO11">
        <f>SUM(DK11:DN11)</f>
        <v/>
      </c>
      <c r="DZ11">
        <f>IFERROR(LOOKUP(2,1/('DRAFT 2'!$D:$D=$B11)*('DRAFT 2'!$A:$A&gt;=DATE(2026,4,1))*('DRAFT 2'!$A:$A&lt;DATE(2026,IF(4=12,4+1,4+1),1)),'DRAFT 2'!$A:$A),"")</f>
        <v/>
      </c>
      <c r="EA11">
        <f>COUNTIFS('DRAFT 2'!$D:$D,$B11,'DRAFT 2'!$A:$A,"&gt;="&amp;DATE(2026,4,1),'DRAFT 2'!$A:$A,"&lt;="&amp;DATE(2026,4,7))</f>
        <v/>
      </c>
      <c r="EB11">
        <f>COUNTIFS('DRAFT 2'!$D:$D,$B11,'DRAFT 2'!$A:$A,"&gt;="&amp;DATE(2026,4,8),'DRAFT 2'!$A:$A,"&lt;="&amp;DATE(2026,4,14))</f>
        <v/>
      </c>
      <c r="EC11">
        <f>COUNTIFS('DRAFT 2'!$D:$D,$B11,'DRAFT 2'!$A:$A,"&gt;="&amp;DATE(2026,4,15),'DRAFT 2'!$A:$A,"&lt;="&amp;DATE(2026,4,21))</f>
        <v/>
      </c>
      <c r="ED11">
        <f>COUNTIFS('DRAFT 2'!$D:$D,$B11,'DRAFT 2'!$A:$A,"&gt;="&amp;DATE(2026,4,22),'DRAFT 2'!$A:$A,"&lt;"&amp;DATE(2026,IF(4=12,4+1,4+1),1))</f>
        <v/>
      </c>
      <c r="EE11">
        <f>SUM(EA11:ED11)</f>
        <v/>
      </c>
      <c r="EO11">
        <f>IFERROR(LOOKUP(2,1/('DRAFT 2'!$D:$D=$B11)*('DRAFT 2'!$A:$A&gt;=DATE(2026,5,1))*('DRAFT 2'!$A:$A&lt;DATE(2026,IF(5=12,5+1,5+1),1)),'DRAFT 2'!$A:$A),"")</f>
        <v/>
      </c>
      <c r="EP11">
        <f>COUNTIFS('DRAFT 2'!$D:$D,$B11,'DRAFT 2'!$A:$A,"&gt;="&amp;DATE(2026,5,1),'DRAFT 2'!$A:$A,"&lt;="&amp;DATE(2026,5,7))</f>
        <v/>
      </c>
      <c r="EQ11">
        <f>COUNTIFS('DRAFT 2'!$D:$D,$B11,'DRAFT 2'!$A:$A,"&gt;="&amp;DATE(2026,5,8),'DRAFT 2'!$A:$A,"&lt;="&amp;DATE(2026,5,14))</f>
        <v/>
      </c>
      <c r="ER11">
        <f>COUNTIFS('DRAFT 2'!$D:$D,$B11,'DRAFT 2'!$A:$A,"&gt;="&amp;DATE(2026,5,15),'DRAFT 2'!$A:$A,"&lt;="&amp;DATE(2026,5,21))</f>
        <v/>
      </c>
      <c r="ES11">
        <f>COUNTIFS('DRAFT 2'!$D:$D,$B11,'DRAFT 2'!$A:$A,"&gt;="&amp;DATE(2026,5,22),'DRAFT 2'!$A:$A,"&lt;"&amp;DATE(2026,IF(5=12,5+1,5+1),1))</f>
        <v/>
      </c>
      <c r="ET11">
        <f>SUM(EP11:ES11)</f>
        <v/>
      </c>
      <c r="FD11">
        <f>IFERROR(LOOKUP(2,1/('DRAFT 2'!$D:$D=$B11)*('DRAFT 2'!$A:$A&gt;=DATE(2026,6,1))*('DRAFT 2'!$A:$A&lt;DATE(2026,IF(6=12,6+1,6+1),1)),'DRAFT 2'!$A:$A),"")</f>
        <v/>
      </c>
      <c r="FE11">
        <f>COUNTIFS('DRAFT 2'!$D:$D,$B11,'DRAFT 2'!$A:$A,"&gt;="&amp;DATE(2026,6,1),'DRAFT 2'!$A:$A,"&lt;="&amp;DATE(2026,6,7))</f>
        <v/>
      </c>
      <c r="FF11">
        <f>COUNTIFS('DRAFT 2'!$D:$D,$B11,'DRAFT 2'!$A:$A,"&gt;="&amp;DATE(2026,6,8),'DRAFT 2'!$A:$A,"&lt;="&amp;DATE(2026,6,14))</f>
        <v/>
      </c>
      <c r="FG11">
        <f>COUNTIFS('DRAFT 2'!$D:$D,$B11,'DRAFT 2'!$A:$A,"&gt;="&amp;DATE(2026,6,15),'DRAFT 2'!$A:$A,"&lt;="&amp;DATE(2026,6,21))</f>
        <v/>
      </c>
      <c r="FH11">
        <f>COUNTIFS('DRAFT 2'!$D:$D,$B11,'DRAFT 2'!$A:$A,"&gt;="&amp;DATE(2026,6,22),'DRAFT 2'!$A:$A,"&lt;"&amp;DATE(2026,IF(6=12,6+1,6+1),1))</f>
        <v/>
      </c>
      <c r="FI11">
        <f>SUM(FE11:FH11)</f>
        <v/>
      </c>
      <c r="FT11">
        <f>IFERROR(LOOKUP(2,1/('DRAFT 2'!$D:$D=$B11)*('DRAFT 2'!$A:$A&gt;=DATE(2026,7,1))*('DRAFT 2'!$A:$A&lt;DATE(2026,IF(7=12,7+1,7+1),1)),'DRAFT 2'!$A:$A),"")</f>
        <v/>
      </c>
      <c r="FU11">
        <f>COUNTIFS('DRAFT 2'!$D:$D,$B11,'DRAFT 2'!$A:$A,"&gt;="&amp;DATE(2026,7,1),'DRAFT 2'!$A:$A,"&lt;="&amp;DATE(2026,7,7))</f>
        <v/>
      </c>
      <c r="FV11">
        <f>COUNTIFS('DRAFT 2'!$D:$D,$B11,'DRAFT 2'!$A:$A,"&gt;="&amp;DATE(2026,7,8),'DRAFT 2'!$A:$A,"&lt;="&amp;DATE(2026,7,14))</f>
        <v/>
      </c>
      <c r="FW11">
        <f>COUNTIFS('DRAFT 2'!$D:$D,$B11,'DRAFT 2'!$A:$A,"&gt;="&amp;DATE(2026,7,15),'DRAFT 2'!$A:$A,"&lt;="&amp;DATE(2026,7,21))</f>
        <v/>
      </c>
      <c r="FX11">
        <f>COUNTIFS('DRAFT 2'!$D:$D,$B11,'DRAFT 2'!$A:$A,"&gt;="&amp;DATE(2026,7,22),'DRAFT 2'!$A:$A,"&lt;"&amp;DATE(2026,IF(7=12,7+1,7+1),1))</f>
        <v/>
      </c>
      <c r="FY11">
        <f>SUM(FU11:FX11)</f>
        <v/>
      </c>
      <c r="GI11">
        <f>IFERROR(LOOKUP(2,1/('DRAFT 2'!$D:$D=$B11)*('DRAFT 2'!$A:$A&gt;=DATE(2026,8,1))*('DRAFT 2'!$A:$A&lt;DATE(2026,IF(8=12,8+1,8+1),1)),'DRAFT 2'!$A:$A),"")</f>
        <v/>
      </c>
      <c r="GJ11">
        <f>COUNTIFS('DRAFT 2'!$D:$D,$B11,'DRAFT 2'!$A:$A,"&gt;="&amp;DATE(2026,8,1),'DRAFT 2'!$A:$A,"&lt;="&amp;DATE(2026,8,7))</f>
        <v/>
      </c>
      <c r="GK11">
        <f>COUNTIFS('DRAFT 2'!$D:$D,$B11,'DRAFT 2'!$A:$A,"&gt;="&amp;DATE(2026,8,8),'DRAFT 2'!$A:$A,"&lt;="&amp;DATE(2026,8,14))</f>
        <v/>
      </c>
      <c r="GL11">
        <f>COUNTIFS('DRAFT 2'!$D:$D,$B11,'DRAFT 2'!$A:$A,"&gt;="&amp;DATE(2026,8,15),'DRAFT 2'!$A:$A,"&lt;="&amp;DATE(2026,8,21))</f>
        <v/>
      </c>
      <c r="GM11">
        <f>COUNTIFS('DRAFT 2'!$D:$D,$B11,'DRAFT 2'!$A:$A,"&gt;="&amp;DATE(2026,8,22),'DRAFT 2'!$A:$A,"&lt;"&amp;DATE(2026,IF(8=12,8+1,8+1),1))</f>
        <v/>
      </c>
      <c r="GN11">
        <f>SUM(GJ11:GM11)</f>
        <v/>
      </c>
      <c r="GX11">
        <f>IFERROR(LOOKUP(2,1/('DRAFT 2'!$D:$D=$B11)*('DRAFT 2'!$A:$A&gt;=DATE(2026,9,1))*('DRAFT 2'!$A:$A&lt;DATE(2026,IF(9=12,9+1,9+1),1)),'DRAFT 2'!$A:$A),"")</f>
        <v/>
      </c>
      <c r="GY11">
        <f>COUNTIFS('DRAFT 2'!$D:$D,$B11,'DRAFT 2'!$A:$A,"&gt;="&amp;DATE(2026,9,1),'DRAFT 2'!$A:$A,"&lt;="&amp;DATE(2026,9,7))</f>
        <v/>
      </c>
      <c r="GZ11">
        <f>COUNTIFS('DRAFT 2'!$D:$D,$B11,'DRAFT 2'!$A:$A,"&gt;="&amp;DATE(2026,9,8),'DRAFT 2'!$A:$A,"&lt;="&amp;DATE(2026,9,14))</f>
        <v/>
      </c>
      <c r="HA11">
        <f>COUNTIFS('DRAFT 2'!$D:$D,$B11,'DRAFT 2'!$A:$A,"&gt;="&amp;DATE(2026,9,15),'DRAFT 2'!$A:$A,"&lt;="&amp;DATE(2026,9,21))</f>
        <v/>
      </c>
      <c r="HB11">
        <f>COUNTIFS('DRAFT 2'!$D:$D,$B11,'DRAFT 2'!$A:$A,"&gt;="&amp;DATE(2026,9,22),'DRAFT 2'!$A:$A,"&lt;"&amp;DATE(2026,IF(9=12,9+1,9+1),1))</f>
        <v/>
      </c>
      <c r="HC11">
        <f>SUM(GY11:HB11)</f>
        <v/>
      </c>
      <c r="HN11">
        <f>IFERROR(LOOKUP(2,1/('DRAFT 2'!$D:$D=$B11)*('DRAFT 2'!$A:$A&gt;=DATE(2026,10,1))*('DRAFT 2'!$A:$A&lt;DATE(2026,IF(10=12,10+1,10+1),1)),'DRAFT 2'!$A:$A),"")</f>
        <v/>
      </c>
      <c r="HO11">
        <f>COUNTIFS('DRAFT 2'!$D:$D,$B11,'DRAFT 2'!$A:$A,"&gt;="&amp;DATE(2026,10,1),'DRAFT 2'!$A:$A,"&lt;="&amp;DATE(2026,10,7))</f>
        <v/>
      </c>
      <c r="HP11">
        <f>COUNTIFS('DRAFT 2'!$D:$D,$B11,'DRAFT 2'!$A:$A,"&gt;="&amp;DATE(2026,10,8),'DRAFT 2'!$A:$A,"&lt;="&amp;DATE(2026,10,14))</f>
        <v/>
      </c>
      <c r="HQ11">
        <f>COUNTIFS('DRAFT 2'!$D:$D,$B11,'DRAFT 2'!$A:$A,"&gt;="&amp;DATE(2026,10,15),'DRAFT 2'!$A:$A,"&lt;="&amp;DATE(2026,10,21))</f>
        <v/>
      </c>
      <c r="HR11">
        <f>COUNTIFS('DRAFT 2'!$D:$D,$B11,'DRAFT 2'!$A:$A,"&gt;="&amp;DATE(2026,10,22),'DRAFT 2'!$A:$A,"&lt;"&amp;DATE(2026,IF(10=12,10+1,10+1),1))</f>
        <v/>
      </c>
      <c r="HS11">
        <f>SUM(HO11:HR11)</f>
        <v/>
      </c>
      <c r="IC11">
        <f>IFERROR(LOOKUP(2,1/('DRAFT 2'!$D:$D=$B11)*('DRAFT 2'!$A:$A&gt;=DATE(2026,11,1))*('DRAFT 2'!$A:$A&lt;DATE(2026,IF(11=12,11+1,11+1),1)),'DRAFT 2'!$A:$A),"")</f>
        <v/>
      </c>
      <c r="ID11">
        <f>COUNTIFS('DRAFT 2'!$D:$D,$B11,'DRAFT 2'!$A:$A,"&gt;="&amp;DATE(2026,11,1),'DRAFT 2'!$A:$A,"&lt;="&amp;DATE(2026,11,7))</f>
        <v/>
      </c>
      <c r="IE11">
        <f>COUNTIFS('DRAFT 2'!$D:$D,$B11,'DRAFT 2'!$A:$A,"&gt;="&amp;DATE(2026,11,8),'DRAFT 2'!$A:$A,"&lt;="&amp;DATE(2026,11,14))</f>
        <v/>
      </c>
      <c r="IF11">
        <f>COUNTIFS('DRAFT 2'!$D:$D,$B11,'DRAFT 2'!$A:$A,"&gt;="&amp;DATE(2026,11,15),'DRAFT 2'!$A:$A,"&lt;="&amp;DATE(2026,11,21))</f>
        <v/>
      </c>
      <c r="IG11">
        <f>COUNTIFS('DRAFT 2'!$D:$D,$B11,'DRAFT 2'!$A:$A,"&gt;="&amp;DATE(2026,11,22),'DRAFT 2'!$A:$A,"&lt;"&amp;DATE(2026,IF(11=12,11+1,11+1),1))</f>
        <v/>
      </c>
      <c r="IH11">
        <f>SUM(ID11:IG11)</f>
        <v/>
      </c>
      <c r="IR11">
        <f>IFERROR(LOOKUP(2,1/('DRAFT 2'!$D:$D=$B11)*('DRAFT 2'!$A:$A&gt;=DATE(2026,12,1))*('DRAFT 2'!$A:$A&lt;DATE(2026,IF(12=12,12+1,12+1),1)),'DRAFT 2'!$A:$A),"")</f>
        <v/>
      </c>
      <c r="IS11">
        <f>COUNTIFS('DRAFT 2'!$D:$D,$B11,'DRAFT 2'!$A:$A,"&gt;="&amp;DATE(2026,12,1),'DRAFT 2'!$A:$A,"&lt;="&amp;DATE(2026,12,7))</f>
        <v/>
      </c>
      <c r="IT11">
        <f>COUNTIFS('DRAFT 2'!$D:$D,$B11,'DRAFT 2'!$A:$A,"&gt;="&amp;DATE(2026,12,8),'DRAFT 2'!$A:$A,"&lt;="&amp;DATE(2026,12,14))</f>
        <v/>
      </c>
      <c r="IU11">
        <f>COUNTIFS('DRAFT 2'!$D:$D,$B11,'DRAFT 2'!$A:$A,"&gt;="&amp;DATE(2026,12,15),'DRAFT 2'!$A:$A,"&lt;="&amp;DATE(2026,12,21))</f>
        <v/>
      </c>
      <c r="IV11">
        <f>COUNTIFS('DRAFT 2'!$D:$D,$B11,'DRAFT 2'!$A:$A,"&gt;="&amp;DATE(2026,12,22),'DRAFT 2'!$A:$A,"&lt;"&amp;DATE(2026,IF(12=12,12+1,12+1),1))</f>
        <v/>
      </c>
      <c r="IW11">
        <f>SUM(IS11:IV11)</f>
        <v/>
      </c>
    </row>
    <row r="12">
      <c r="A12">
        <f>IFERROR(INDEX('DRAFT 1'!$A:$A,MATCH($B12,'DRAFT 1'!$B:$B,0)),"")</f>
        <v/>
      </c>
      <c r="C12">
        <f>IFERROR(INDEX('DRAFT 1'!$C:$C,MATCH($B12,'DRAFT 1'!$B:$B,0)),"")</f>
        <v/>
      </c>
      <c r="D12">
        <f>IFERROR(INDEX('DRAFT 1'!$D:$D,MATCH($B12,'DRAFT 1'!$B:$B,0)),"")</f>
        <v/>
      </c>
      <c r="E12">
        <f>IFERROR(INDEX('DRAFT 1'!$E:$E,MATCH($B12,'DRAFT 1'!$B:$B,0)),"")</f>
        <v/>
      </c>
      <c r="F12">
        <f>IFERROR(INDEX('DRAFT 1'!$F:$F,MATCH($B12,'DRAFT 1'!$B:$B,0)),"")</f>
        <v/>
      </c>
      <c r="G12">
        <f>IFERROR(INDEX('DRAFT 1'!$G:$G,MATCH($B12,'DRAFT 1'!$B:$B,0)),"")</f>
        <v/>
      </c>
      <c r="H12">
        <f>IFERROR(INDEX('DRAFT 1'!$H:$H,MATCH($B12,'DRAFT 1'!$B:$B,0)),"")</f>
        <v/>
      </c>
      <c r="I12" t="inlineStr">
        <is>
          <t>CIA DA SAUDE</t>
        </is>
      </c>
      <c r="K12">
        <f>IFERROR(INDEX('DRAFT 1'!$AL:$AL,MATCH($B12,'DRAFT 1'!$B:$B,0)),"")</f>
        <v/>
      </c>
      <c r="L12">
        <f>IFERROR(INDEX('DRAFT 1'!$J:$J,MATCH($B12,'DRAFT 1'!$B:$B,0)),"")</f>
        <v/>
      </c>
      <c r="M12">
        <f>IFERROR(INDEX('DRAFT 1'!$K:$K,MATCH($B12,'DRAFT 1'!$B:$B,0)),"")</f>
        <v/>
      </c>
      <c r="N12" t="inlineStr">
        <is>
          <t>NOVO</t>
        </is>
      </c>
      <c r="P12">
        <f>IFERROR(INDEX('DRAFT 1'!$L:$L,MATCH($B12,'DRAFT 1'!$B:$B,0)),"")</f>
        <v/>
      </c>
      <c r="Q12">
        <f>IFERROR(INDEX('DRAFT 1'!$M:$M,MATCH($B12,'DRAFT 1'!$B:$B,0)),"")</f>
        <v/>
      </c>
      <c r="R12">
        <f>IFERROR(INDEX('DRAFT 1'!$N:$N,MATCH($B12,'DRAFT 1'!$B:$B,0)),"")</f>
        <v/>
      </c>
      <c r="S12">
        <f>IFERROR(INDEX('DRAFT 1'!$O:$O,MATCH($B12,'DRAFT 1'!$B:$B,0)),"")</f>
        <v/>
      </c>
      <c r="T12">
        <f>IFERROR(INDEX('DRAFT 1'!$P:$P,MATCH($B12,'DRAFT 1'!$B:$B,0)),"")</f>
        <v/>
      </c>
      <c r="U12">
        <f>IFERROR(INDEX('DRAFT 1'!$Q:$Q,MATCH($B12,'DRAFT 1'!$B:$B,0)),"")</f>
        <v/>
      </c>
      <c r="V12">
        <f>IFERROR(INDEX('DRAFT 1'!$R:$R,MATCH($B12,'DRAFT 1'!$B:$B,0)),"")</f>
        <v/>
      </c>
      <c r="W12">
        <f>IFERROR(INDEX('DRAFT 1'!$S:$S,MATCH($B12,'DRAFT 1'!$B:$B,0)),"")</f>
        <v/>
      </c>
      <c r="X12">
        <f>IFERROR(INDEX('DRAFT 1'!$T:$T,MATCH($B12,'DRAFT 1'!$B:$B,0)),"")</f>
        <v/>
      </c>
      <c r="Z12">
        <f>IFERROR(INDEX('DRAFT 1'!$U:$U,MATCH($B12,'DRAFT 1'!$B:$B,0)),"")</f>
        <v/>
      </c>
      <c r="AA12">
        <f>IFERROR(INDEX('DRAFT 1'!$V:$V,MATCH($B12,'DRAFT 1'!$B:$B,0)),"")</f>
        <v/>
      </c>
      <c r="AB12">
        <f>IFERROR(INDEX('DRAFT 1'!$W:$W,MATCH($B12,'DRAFT 1'!$B:$B,0)),"")</f>
        <v/>
      </c>
      <c r="AC12">
        <f>IFERROR(INDEX('DRAFT 1'!$X:$X,MATCH($B12,'DRAFT 1'!$B:$B,0)),"")</f>
        <v/>
      </c>
      <c r="AD12">
        <f>IFERROR(INDEX('DRAFT 1'!$Y:$Y,MATCH($B12,'DRAFT 1'!$B:$B,0)),"")</f>
        <v/>
      </c>
      <c r="AE12">
        <f>IFERROR(INDEX('DRAFT 1'!$Z:$Z,MATCH($B12,'DRAFT 1'!$B:$B,0)),"")</f>
        <v/>
      </c>
      <c r="AF12">
        <f>IFERROR(INDEX('DRAFT 1'!$AA:$AA,MATCH($B12,'DRAFT 1'!$B:$B,0)),"")</f>
        <v/>
      </c>
      <c r="AG12">
        <f>IFERROR(INDEX('DRAFT 1'!$AB:$AB,MATCH($B12,'DRAFT 1'!$B:$B,0)),"")</f>
        <v/>
      </c>
      <c r="AH12">
        <f>IFERROR(INDEX('DRAFT 1'!$AC:$AC,MATCH($B12,'DRAFT 1'!$B:$B,0)),"")</f>
        <v/>
      </c>
      <c r="AI12">
        <f>IFERROR(INDEX('DRAFT 1'!$AD:$AD,MATCH($B12,'DRAFT 1'!$B:$B,0)),"")</f>
        <v/>
      </c>
      <c r="AJ12">
        <f>IFERROR(INDEX('DRAFT 1'!$AE:$AE,MATCH($B12,'DRAFT 1'!$B:$B,0)),"")</f>
        <v/>
      </c>
      <c r="AK12">
        <f>IFERROR(INDEX('DRAFT 1'!$AG:$AG,MATCH($B12,'DRAFT 1'!$B:$B,0)),"")</f>
        <v/>
      </c>
      <c r="AL12">
        <f>IFERROR(INDEX('DRAFT 1'!$AH:$AH,MATCH($B12,'DRAFT 1'!$B:$B,0)),"")</f>
        <v/>
      </c>
      <c r="AM12">
        <f>IFERROR(INDEX('DRAFT 1'!$AI:$AI,MATCH($B12,'DRAFT 1'!$B:$B,0)),"")</f>
        <v/>
      </c>
      <c r="AN12">
        <f>IFERROR(INDEX('DRAFT 1'!$AJ:$AJ,MATCH($B12,'DRAFT 1'!$B:$B,0)),"")</f>
        <v/>
      </c>
      <c r="AO12">
        <f>IFERROR(Y12/AN12,0)</f>
        <v/>
      </c>
      <c r="AP12">
        <f>IFERROR(INDEX('DRAFT 1'!$AK:$AK,MATCH($B12,'DRAFT 1'!$B:$B,0)),"")</f>
        <v/>
      </c>
      <c r="AR12" t="inlineStr">
        <is>
          <t>SALVAMENTO</t>
        </is>
      </c>
      <c r="AS12">
        <f>IFERROR(LOOKUP(2,1/('DRAFT 2'!$D:$D=$B12),'DRAFT 2'!$T:$T),"")</f>
        <v/>
      </c>
      <c r="AT12">
        <f>IFERROR(LOOKUP(2,1/('DRAFT 2'!$D:$D=$B12),'DRAFT 2'!$A:$A),"")</f>
        <v/>
      </c>
      <c r="AU12">
        <f>IFERROR(LOOKUP(2,1/('DRAFT 2'!$D:$D=$B12),'DRAFT 2'!$R:$R),"")</f>
        <v/>
      </c>
      <c r="AV12">
        <f>IFERROR(LOOKUP(2,1/('DRAFT 2'!$D:$D=$B12),'DRAFT 2'!$S:$S),"")</f>
        <v/>
      </c>
      <c r="AW12" t="inlineStr">
        <is>
          <t>PROSPECT</t>
        </is>
      </c>
      <c r="AX12">
        <f>IFERROR(LOOKUP(2,1/('DRAFT 2'!$D:$D=$B12),'DRAFT 2'!$M:$M),"")</f>
        <v/>
      </c>
      <c r="AY12">
        <f>IFERROR(LOOKUP(2,1/('DRAFT 2'!$D:$D=$B12),'DRAFT 2'!$K:$K),"")</f>
        <v/>
      </c>
      <c r="BG12">
        <f>IFERROR(LOOKUP(2,1/('DRAFT 2'!$D:$D=$B12),'DRAFT 2'!$U:$U),"")</f>
        <v/>
      </c>
      <c r="BH12">
        <f>IFERROR(LOOKUP(2,1/('DRAFT 2'!$D:$D=$B12),'DRAFT 2'!$V:$V),"")</f>
        <v/>
      </c>
      <c r="CE12">
        <f>IFERROR(AJ12,0)</f>
        <v/>
      </c>
      <c r="CF12">
        <f>IFERROR(LOOKUP(2,1/('DRAFT 2'!$D:$D=$B12)*('DRAFT 2'!$A:$A&gt;=DATE(2026,1,1))*('DRAFT 2'!$A:$A&lt;DATE(2026,IF(1=12,1+1,1+1),1)),'DRAFT 2'!$A:$A),"")</f>
        <v/>
      </c>
      <c r="CG12">
        <f>COUNTIFS('DRAFT 2'!$D:$D,$B12,'DRAFT 2'!$A:$A,"&gt;="&amp;DATE(2026,1,1),'DRAFT 2'!$A:$A,"&lt;="&amp;DATE(2026,1,7))</f>
        <v/>
      </c>
      <c r="CH12">
        <f>COUNTIFS('DRAFT 2'!$D:$D,$B12,'DRAFT 2'!$A:$A,"&gt;="&amp;DATE(2026,1,8),'DRAFT 2'!$A:$A,"&lt;="&amp;DATE(2026,1,14))</f>
        <v/>
      </c>
      <c r="CI12">
        <f>COUNTIFS('DRAFT 2'!$D:$D,$B12,'DRAFT 2'!$A:$A,"&gt;="&amp;DATE(2026,1,15),'DRAFT 2'!$A:$A,"&lt;="&amp;DATE(2026,1,21))</f>
        <v/>
      </c>
      <c r="CJ12">
        <f>COUNTIFS('DRAFT 2'!$D:$D,$B12,'DRAFT 2'!$A:$A,"&gt;="&amp;DATE(2026,1,22),'DRAFT 2'!$A:$A,"&lt;"&amp;DATE(2026,IF(1=12,1+1,1+1),1))</f>
        <v/>
      </c>
      <c r="CK12">
        <f>SUM(CG12:CJ12)</f>
        <v/>
      </c>
      <c r="CT12" t="n">
        <v>0</v>
      </c>
      <c r="CU12">
        <f>IFERROR(LOOKUP(2,1/('DRAFT 2'!$D:$D=$B12)*('DRAFT 2'!$A:$A&gt;=DATE(2026,2,1))*('DRAFT 2'!$A:$A&lt;DATE(2026,IF(2=12,2+1,2+1),1)),'DRAFT 2'!$A:$A),"")</f>
        <v/>
      </c>
      <c r="CV12">
        <f>COUNTIFS('DRAFT 2'!$D:$D,$B12,'DRAFT 2'!$A:$A,"&gt;="&amp;DATE(2026,2,1),'DRAFT 2'!$A:$A,"&lt;="&amp;DATE(2026,2,7))</f>
        <v/>
      </c>
      <c r="CW12">
        <f>COUNTIFS('DRAFT 2'!$D:$D,$B12,'DRAFT 2'!$A:$A,"&gt;="&amp;DATE(2026,2,8),'DRAFT 2'!$A:$A,"&lt;="&amp;DATE(2026,2,14))</f>
        <v/>
      </c>
      <c r="CX12">
        <f>COUNTIFS('DRAFT 2'!$D:$D,$B12,'DRAFT 2'!$A:$A,"&gt;="&amp;DATE(2026,2,15),'DRAFT 2'!$A:$A,"&lt;="&amp;DATE(2026,2,21))</f>
        <v/>
      </c>
      <c r="CY12">
        <f>COUNTIFS('DRAFT 2'!$D:$D,$B12,'DRAFT 2'!$A:$A,"&gt;="&amp;DATE(2026,2,22),'DRAFT 2'!$A:$A,"&lt;"&amp;DATE(2026,IF(2=12,2+1,2+1),1))</f>
        <v/>
      </c>
      <c r="CZ12">
        <f>SUM(CV12:CY12)</f>
        <v/>
      </c>
      <c r="DJ12">
        <f>IFERROR(LOOKUP(2,1/('DRAFT 2'!$D:$D=$B12)*('DRAFT 2'!$A:$A&gt;=DATE(2026,3,1))*('DRAFT 2'!$A:$A&lt;DATE(2026,IF(3=12,3+1,3+1),1)),'DRAFT 2'!$A:$A),"")</f>
        <v/>
      </c>
      <c r="DK12">
        <f>COUNTIFS('DRAFT 2'!$D:$D,$B12,'DRAFT 2'!$A:$A,"&gt;="&amp;DATE(2026,3,1),'DRAFT 2'!$A:$A,"&lt;="&amp;DATE(2026,3,7))</f>
        <v/>
      </c>
      <c r="DL12">
        <f>COUNTIFS('DRAFT 2'!$D:$D,$B12,'DRAFT 2'!$A:$A,"&gt;="&amp;DATE(2026,3,8),'DRAFT 2'!$A:$A,"&lt;="&amp;DATE(2026,3,14))</f>
        <v/>
      </c>
      <c r="DM12">
        <f>COUNTIFS('DRAFT 2'!$D:$D,$B12,'DRAFT 2'!$A:$A,"&gt;="&amp;DATE(2026,3,15),'DRAFT 2'!$A:$A,"&lt;="&amp;DATE(2026,3,21))</f>
        <v/>
      </c>
      <c r="DN12">
        <f>COUNTIFS('DRAFT 2'!$D:$D,$B12,'DRAFT 2'!$A:$A,"&gt;="&amp;DATE(2026,3,22),'DRAFT 2'!$A:$A,"&lt;"&amp;DATE(2026,IF(3=12,3+1,3+1),1))</f>
        <v/>
      </c>
      <c r="DO12">
        <f>SUM(DK12:DN12)</f>
        <v/>
      </c>
      <c r="DZ12">
        <f>IFERROR(LOOKUP(2,1/('DRAFT 2'!$D:$D=$B12)*('DRAFT 2'!$A:$A&gt;=DATE(2026,4,1))*('DRAFT 2'!$A:$A&lt;DATE(2026,IF(4=12,4+1,4+1),1)),'DRAFT 2'!$A:$A),"")</f>
        <v/>
      </c>
      <c r="EA12">
        <f>COUNTIFS('DRAFT 2'!$D:$D,$B12,'DRAFT 2'!$A:$A,"&gt;="&amp;DATE(2026,4,1),'DRAFT 2'!$A:$A,"&lt;="&amp;DATE(2026,4,7))</f>
        <v/>
      </c>
      <c r="EB12">
        <f>COUNTIFS('DRAFT 2'!$D:$D,$B12,'DRAFT 2'!$A:$A,"&gt;="&amp;DATE(2026,4,8),'DRAFT 2'!$A:$A,"&lt;="&amp;DATE(2026,4,14))</f>
        <v/>
      </c>
      <c r="EC12">
        <f>COUNTIFS('DRAFT 2'!$D:$D,$B12,'DRAFT 2'!$A:$A,"&gt;="&amp;DATE(2026,4,15),'DRAFT 2'!$A:$A,"&lt;="&amp;DATE(2026,4,21))</f>
        <v/>
      </c>
      <c r="ED12">
        <f>COUNTIFS('DRAFT 2'!$D:$D,$B12,'DRAFT 2'!$A:$A,"&gt;="&amp;DATE(2026,4,22),'DRAFT 2'!$A:$A,"&lt;"&amp;DATE(2026,IF(4=12,4+1,4+1),1))</f>
        <v/>
      </c>
      <c r="EE12">
        <f>SUM(EA12:ED12)</f>
        <v/>
      </c>
      <c r="EO12">
        <f>IFERROR(LOOKUP(2,1/('DRAFT 2'!$D:$D=$B12)*('DRAFT 2'!$A:$A&gt;=DATE(2026,5,1))*('DRAFT 2'!$A:$A&lt;DATE(2026,IF(5=12,5+1,5+1),1)),'DRAFT 2'!$A:$A),"")</f>
        <v/>
      </c>
      <c r="EP12">
        <f>COUNTIFS('DRAFT 2'!$D:$D,$B12,'DRAFT 2'!$A:$A,"&gt;="&amp;DATE(2026,5,1),'DRAFT 2'!$A:$A,"&lt;="&amp;DATE(2026,5,7))</f>
        <v/>
      </c>
      <c r="EQ12">
        <f>COUNTIFS('DRAFT 2'!$D:$D,$B12,'DRAFT 2'!$A:$A,"&gt;="&amp;DATE(2026,5,8),'DRAFT 2'!$A:$A,"&lt;="&amp;DATE(2026,5,14))</f>
        <v/>
      </c>
      <c r="ER12">
        <f>COUNTIFS('DRAFT 2'!$D:$D,$B12,'DRAFT 2'!$A:$A,"&gt;="&amp;DATE(2026,5,15),'DRAFT 2'!$A:$A,"&lt;="&amp;DATE(2026,5,21))</f>
        <v/>
      </c>
      <c r="ES12">
        <f>COUNTIFS('DRAFT 2'!$D:$D,$B12,'DRAFT 2'!$A:$A,"&gt;="&amp;DATE(2026,5,22),'DRAFT 2'!$A:$A,"&lt;"&amp;DATE(2026,IF(5=12,5+1,5+1),1))</f>
        <v/>
      </c>
      <c r="ET12">
        <f>SUM(EP12:ES12)</f>
        <v/>
      </c>
      <c r="FD12">
        <f>IFERROR(LOOKUP(2,1/('DRAFT 2'!$D:$D=$B12)*('DRAFT 2'!$A:$A&gt;=DATE(2026,6,1))*('DRAFT 2'!$A:$A&lt;DATE(2026,IF(6=12,6+1,6+1),1)),'DRAFT 2'!$A:$A),"")</f>
        <v/>
      </c>
      <c r="FE12">
        <f>COUNTIFS('DRAFT 2'!$D:$D,$B12,'DRAFT 2'!$A:$A,"&gt;="&amp;DATE(2026,6,1),'DRAFT 2'!$A:$A,"&lt;="&amp;DATE(2026,6,7))</f>
        <v/>
      </c>
      <c r="FF12">
        <f>COUNTIFS('DRAFT 2'!$D:$D,$B12,'DRAFT 2'!$A:$A,"&gt;="&amp;DATE(2026,6,8),'DRAFT 2'!$A:$A,"&lt;="&amp;DATE(2026,6,14))</f>
        <v/>
      </c>
      <c r="FG12">
        <f>COUNTIFS('DRAFT 2'!$D:$D,$B12,'DRAFT 2'!$A:$A,"&gt;="&amp;DATE(2026,6,15),'DRAFT 2'!$A:$A,"&lt;="&amp;DATE(2026,6,21))</f>
        <v/>
      </c>
      <c r="FH12">
        <f>COUNTIFS('DRAFT 2'!$D:$D,$B12,'DRAFT 2'!$A:$A,"&gt;="&amp;DATE(2026,6,22),'DRAFT 2'!$A:$A,"&lt;"&amp;DATE(2026,IF(6=12,6+1,6+1),1))</f>
        <v/>
      </c>
      <c r="FI12">
        <f>SUM(FE12:FH12)</f>
        <v/>
      </c>
      <c r="FT12">
        <f>IFERROR(LOOKUP(2,1/('DRAFT 2'!$D:$D=$B12)*('DRAFT 2'!$A:$A&gt;=DATE(2026,7,1))*('DRAFT 2'!$A:$A&lt;DATE(2026,IF(7=12,7+1,7+1),1)),'DRAFT 2'!$A:$A),"")</f>
        <v/>
      </c>
      <c r="FU12">
        <f>COUNTIFS('DRAFT 2'!$D:$D,$B12,'DRAFT 2'!$A:$A,"&gt;="&amp;DATE(2026,7,1),'DRAFT 2'!$A:$A,"&lt;="&amp;DATE(2026,7,7))</f>
        <v/>
      </c>
      <c r="FV12">
        <f>COUNTIFS('DRAFT 2'!$D:$D,$B12,'DRAFT 2'!$A:$A,"&gt;="&amp;DATE(2026,7,8),'DRAFT 2'!$A:$A,"&lt;="&amp;DATE(2026,7,14))</f>
        <v/>
      </c>
      <c r="FW12">
        <f>COUNTIFS('DRAFT 2'!$D:$D,$B12,'DRAFT 2'!$A:$A,"&gt;="&amp;DATE(2026,7,15),'DRAFT 2'!$A:$A,"&lt;="&amp;DATE(2026,7,21))</f>
        <v/>
      </c>
      <c r="FX12">
        <f>COUNTIFS('DRAFT 2'!$D:$D,$B12,'DRAFT 2'!$A:$A,"&gt;="&amp;DATE(2026,7,22),'DRAFT 2'!$A:$A,"&lt;"&amp;DATE(2026,IF(7=12,7+1,7+1),1))</f>
        <v/>
      </c>
      <c r="FY12">
        <f>SUM(FU12:FX12)</f>
        <v/>
      </c>
      <c r="GI12">
        <f>IFERROR(LOOKUP(2,1/('DRAFT 2'!$D:$D=$B12)*('DRAFT 2'!$A:$A&gt;=DATE(2026,8,1))*('DRAFT 2'!$A:$A&lt;DATE(2026,IF(8=12,8+1,8+1),1)),'DRAFT 2'!$A:$A),"")</f>
        <v/>
      </c>
      <c r="GJ12">
        <f>COUNTIFS('DRAFT 2'!$D:$D,$B12,'DRAFT 2'!$A:$A,"&gt;="&amp;DATE(2026,8,1),'DRAFT 2'!$A:$A,"&lt;="&amp;DATE(2026,8,7))</f>
        <v/>
      </c>
      <c r="GK12">
        <f>COUNTIFS('DRAFT 2'!$D:$D,$B12,'DRAFT 2'!$A:$A,"&gt;="&amp;DATE(2026,8,8),'DRAFT 2'!$A:$A,"&lt;="&amp;DATE(2026,8,14))</f>
        <v/>
      </c>
      <c r="GL12">
        <f>COUNTIFS('DRAFT 2'!$D:$D,$B12,'DRAFT 2'!$A:$A,"&gt;="&amp;DATE(2026,8,15),'DRAFT 2'!$A:$A,"&lt;="&amp;DATE(2026,8,21))</f>
        <v/>
      </c>
      <c r="GM12">
        <f>COUNTIFS('DRAFT 2'!$D:$D,$B12,'DRAFT 2'!$A:$A,"&gt;="&amp;DATE(2026,8,22),'DRAFT 2'!$A:$A,"&lt;"&amp;DATE(2026,IF(8=12,8+1,8+1),1))</f>
        <v/>
      </c>
      <c r="GN12">
        <f>SUM(GJ12:GM12)</f>
        <v/>
      </c>
      <c r="GX12">
        <f>IFERROR(LOOKUP(2,1/('DRAFT 2'!$D:$D=$B12)*('DRAFT 2'!$A:$A&gt;=DATE(2026,9,1))*('DRAFT 2'!$A:$A&lt;DATE(2026,IF(9=12,9+1,9+1),1)),'DRAFT 2'!$A:$A),"")</f>
        <v/>
      </c>
      <c r="GY12">
        <f>COUNTIFS('DRAFT 2'!$D:$D,$B12,'DRAFT 2'!$A:$A,"&gt;="&amp;DATE(2026,9,1),'DRAFT 2'!$A:$A,"&lt;="&amp;DATE(2026,9,7))</f>
        <v/>
      </c>
      <c r="GZ12">
        <f>COUNTIFS('DRAFT 2'!$D:$D,$B12,'DRAFT 2'!$A:$A,"&gt;="&amp;DATE(2026,9,8),'DRAFT 2'!$A:$A,"&lt;="&amp;DATE(2026,9,14))</f>
        <v/>
      </c>
      <c r="HA12">
        <f>COUNTIFS('DRAFT 2'!$D:$D,$B12,'DRAFT 2'!$A:$A,"&gt;="&amp;DATE(2026,9,15),'DRAFT 2'!$A:$A,"&lt;="&amp;DATE(2026,9,21))</f>
        <v/>
      </c>
      <c r="HB12">
        <f>COUNTIFS('DRAFT 2'!$D:$D,$B12,'DRAFT 2'!$A:$A,"&gt;="&amp;DATE(2026,9,22),'DRAFT 2'!$A:$A,"&lt;"&amp;DATE(2026,IF(9=12,9+1,9+1),1))</f>
        <v/>
      </c>
      <c r="HC12">
        <f>SUM(GY12:HB12)</f>
        <v/>
      </c>
      <c r="HN12">
        <f>IFERROR(LOOKUP(2,1/('DRAFT 2'!$D:$D=$B12)*('DRAFT 2'!$A:$A&gt;=DATE(2026,10,1))*('DRAFT 2'!$A:$A&lt;DATE(2026,IF(10=12,10+1,10+1),1)),'DRAFT 2'!$A:$A),"")</f>
        <v/>
      </c>
      <c r="HO12">
        <f>COUNTIFS('DRAFT 2'!$D:$D,$B12,'DRAFT 2'!$A:$A,"&gt;="&amp;DATE(2026,10,1),'DRAFT 2'!$A:$A,"&lt;="&amp;DATE(2026,10,7))</f>
        <v/>
      </c>
      <c r="HP12">
        <f>COUNTIFS('DRAFT 2'!$D:$D,$B12,'DRAFT 2'!$A:$A,"&gt;="&amp;DATE(2026,10,8),'DRAFT 2'!$A:$A,"&lt;="&amp;DATE(2026,10,14))</f>
        <v/>
      </c>
      <c r="HQ12">
        <f>COUNTIFS('DRAFT 2'!$D:$D,$B12,'DRAFT 2'!$A:$A,"&gt;="&amp;DATE(2026,10,15),'DRAFT 2'!$A:$A,"&lt;="&amp;DATE(2026,10,21))</f>
        <v/>
      </c>
      <c r="HR12">
        <f>COUNTIFS('DRAFT 2'!$D:$D,$B12,'DRAFT 2'!$A:$A,"&gt;="&amp;DATE(2026,10,22),'DRAFT 2'!$A:$A,"&lt;"&amp;DATE(2026,IF(10=12,10+1,10+1),1))</f>
        <v/>
      </c>
      <c r="HS12">
        <f>SUM(HO12:HR12)</f>
        <v/>
      </c>
      <c r="IC12">
        <f>IFERROR(LOOKUP(2,1/('DRAFT 2'!$D:$D=$B12)*('DRAFT 2'!$A:$A&gt;=DATE(2026,11,1))*('DRAFT 2'!$A:$A&lt;DATE(2026,IF(11=12,11+1,11+1),1)),'DRAFT 2'!$A:$A),"")</f>
        <v/>
      </c>
      <c r="ID12">
        <f>COUNTIFS('DRAFT 2'!$D:$D,$B12,'DRAFT 2'!$A:$A,"&gt;="&amp;DATE(2026,11,1),'DRAFT 2'!$A:$A,"&lt;="&amp;DATE(2026,11,7))</f>
        <v/>
      </c>
      <c r="IE12">
        <f>COUNTIFS('DRAFT 2'!$D:$D,$B12,'DRAFT 2'!$A:$A,"&gt;="&amp;DATE(2026,11,8),'DRAFT 2'!$A:$A,"&lt;="&amp;DATE(2026,11,14))</f>
        <v/>
      </c>
      <c r="IF12">
        <f>COUNTIFS('DRAFT 2'!$D:$D,$B12,'DRAFT 2'!$A:$A,"&gt;="&amp;DATE(2026,11,15),'DRAFT 2'!$A:$A,"&lt;="&amp;DATE(2026,11,21))</f>
        <v/>
      </c>
      <c r="IG12">
        <f>COUNTIFS('DRAFT 2'!$D:$D,$B12,'DRAFT 2'!$A:$A,"&gt;="&amp;DATE(2026,11,22),'DRAFT 2'!$A:$A,"&lt;"&amp;DATE(2026,IF(11=12,11+1,11+1),1))</f>
        <v/>
      </c>
      <c r="IH12">
        <f>SUM(ID12:IG12)</f>
        <v/>
      </c>
      <c r="IR12">
        <f>IFERROR(LOOKUP(2,1/('DRAFT 2'!$D:$D=$B12)*('DRAFT 2'!$A:$A&gt;=DATE(2026,12,1))*('DRAFT 2'!$A:$A&lt;DATE(2026,IF(12=12,12+1,12+1),1)),'DRAFT 2'!$A:$A),"")</f>
        <v/>
      </c>
      <c r="IS12">
        <f>COUNTIFS('DRAFT 2'!$D:$D,$B12,'DRAFT 2'!$A:$A,"&gt;="&amp;DATE(2026,12,1),'DRAFT 2'!$A:$A,"&lt;="&amp;DATE(2026,12,7))</f>
        <v/>
      </c>
      <c r="IT12">
        <f>COUNTIFS('DRAFT 2'!$D:$D,$B12,'DRAFT 2'!$A:$A,"&gt;="&amp;DATE(2026,12,8),'DRAFT 2'!$A:$A,"&lt;="&amp;DATE(2026,12,14))</f>
        <v/>
      </c>
      <c r="IU12">
        <f>COUNTIFS('DRAFT 2'!$D:$D,$B12,'DRAFT 2'!$A:$A,"&gt;="&amp;DATE(2026,12,15),'DRAFT 2'!$A:$A,"&lt;="&amp;DATE(2026,12,21))</f>
        <v/>
      </c>
      <c r="IV12">
        <f>COUNTIFS('DRAFT 2'!$D:$D,$B12,'DRAFT 2'!$A:$A,"&gt;="&amp;DATE(2026,12,22),'DRAFT 2'!$A:$A,"&lt;"&amp;DATE(2026,IF(12=12,12+1,12+1),1))</f>
        <v/>
      </c>
      <c r="IW12">
        <f>SUM(IS12:IV12)</f>
        <v/>
      </c>
    </row>
    <row r="13">
      <c r="A13">
        <f>IFERROR(INDEX('DRAFT 1'!$A:$A,MATCH($B13,'DRAFT 1'!$B:$B,0)),"")</f>
        <v/>
      </c>
      <c r="C13">
        <f>IFERROR(INDEX('DRAFT 1'!$C:$C,MATCH($B13,'DRAFT 1'!$B:$B,0)),"")</f>
        <v/>
      </c>
      <c r="D13">
        <f>IFERROR(INDEX('DRAFT 1'!$D:$D,MATCH($B13,'DRAFT 1'!$B:$B,0)),"")</f>
        <v/>
      </c>
      <c r="E13">
        <f>IFERROR(INDEX('DRAFT 1'!$E:$E,MATCH($B13,'DRAFT 1'!$B:$B,0)),"")</f>
        <v/>
      </c>
      <c r="F13">
        <f>IFERROR(INDEX('DRAFT 1'!$F:$F,MATCH($B13,'DRAFT 1'!$B:$B,0)),"")</f>
        <v/>
      </c>
      <c r="G13">
        <f>IFERROR(INDEX('DRAFT 1'!$G:$G,MATCH($B13,'DRAFT 1'!$B:$B,0)),"")</f>
        <v/>
      </c>
      <c r="H13">
        <f>IFERROR(INDEX('DRAFT 1'!$H:$H,MATCH($B13,'DRAFT 1'!$B:$B,0)),"")</f>
        <v/>
      </c>
      <c r="I13" t="inlineStr">
        <is>
          <t>DEMAIS CLIENTES</t>
        </is>
      </c>
      <c r="K13">
        <f>IFERROR(INDEX('DRAFT 1'!$AL:$AL,MATCH($B13,'DRAFT 1'!$B:$B,0)),"")</f>
        <v/>
      </c>
      <c r="L13">
        <f>IFERROR(INDEX('DRAFT 1'!$J:$J,MATCH($B13,'DRAFT 1'!$B:$B,0)),"")</f>
        <v/>
      </c>
      <c r="M13">
        <f>IFERROR(INDEX('DRAFT 1'!$K:$K,MATCH($B13,'DRAFT 1'!$B:$B,0)),"")</f>
        <v/>
      </c>
      <c r="N13" t="inlineStr">
        <is>
          <t>ATIVO</t>
        </is>
      </c>
      <c r="P13">
        <f>IFERROR(INDEX('DRAFT 1'!$L:$L,MATCH($B13,'DRAFT 1'!$B:$B,0)),"")</f>
        <v/>
      </c>
      <c r="Q13">
        <f>IFERROR(INDEX('DRAFT 1'!$M:$M,MATCH($B13,'DRAFT 1'!$B:$B,0)),"")</f>
        <v/>
      </c>
      <c r="R13">
        <f>IFERROR(INDEX('DRAFT 1'!$N:$N,MATCH($B13,'DRAFT 1'!$B:$B,0)),"")</f>
        <v/>
      </c>
      <c r="S13">
        <f>IFERROR(INDEX('DRAFT 1'!$O:$O,MATCH($B13,'DRAFT 1'!$B:$B,0)),"")</f>
        <v/>
      </c>
      <c r="T13">
        <f>IFERROR(INDEX('DRAFT 1'!$P:$P,MATCH($B13,'DRAFT 1'!$B:$B,0)),"")</f>
        <v/>
      </c>
      <c r="U13">
        <f>IFERROR(INDEX('DRAFT 1'!$Q:$Q,MATCH($B13,'DRAFT 1'!$B:$B,0)),"")</f>
        <v/>
      </c>
      <c r="V13">
        <f>IFERROR(INDEX('DRAFT 1'!$R:$R,MATCH($B13,'DRAFT 1'!$B:$B,0)),"")</f>
        <v/>
      </c>
      <c r="W13">
        <f>IFERROR(INDEX('DRAFT 1'!$S:$S,MATCH($B13,'DRAFT 1'!$B:$B,0)),"")</f>
        <v/>
      </c>
      <c r="X13">
        <f>IFERROR(INDEX('DRAFT 1'!$T:$T,MATCH($B13,'DRAFT 1'!$B:$B,0)),"")</f>
        <v/>
      </c>
      <c r="Z13">
        <f>IFERROR(INDEX('DRAFT 1'!$U:$U,MATCH($B13,'DRAFT 1'!$B:$B,0)),"")</f>
        <v/>
      </c>
      <c r="AA13">
        <f>IFERROR(INDEX('DRAFT 1'!$V:$V,MATCH($B13,'DRAFT 1'!$B:$B,0)),"")</f>
        <v/>
      </c>
      <c r="AB13">
        <f>IFERROR(INDEX('DRAFT 1'!$W:$W,MATCH($B13,'DRAFT 1'!$B:$B,0)),"")</f>
        <v/>
      </c>
      <c r="AC13">
        <f>IFERROR(INDEX('DRAFT 1'!$X:$X,MATCH($B13,'DRAFT 1'!$B:$B,0)),"")</f>
        <v/>
      </c>
      <c r="AD13">
        <f>IFERROR(INDEX('DRAFT 1'!$Y:$Y,MATCH($B13,'DRAFT 1'!$B:$B,0)),"")</f>
        <v/>
      </c>
      <c r="AE13">
        <f>IFERROR(INDEX('DRAFT 1'!$Z:$Z,MATCH($B13,'DRAFT 1'!$B:$B,0)),"")</f>
        <v/>
      </c>
      <c r="AF13">
        <f>IFERROR(INDEX('DRAFT 1'!$AA:$AA,MATCH($B13,'DRAFT 1'!$B:$B,0)),"")</f>
        <v/>
      </c>
      <c r="AG13">
        <f>IFERROR(INDEX('DRAFT 1'!$AB:$AB,MATCH($B13,'DRAFT 1'!$B:$B,0)),"")</f>
        <v/>
      </c>
      <c r="AH13">
        <f>IFERROR(INDEX('DRAFT 1'!$AC:$AC,MATCH($B13,'DRAFT 1'!$B:$B,0)),"")</f>
        <v/>
      </c>
      <c r="AI13">
        <f>IFERROR(INDEX('DRAFT 1'!$AD:$AD,MATCH($B13,'DRAFT 1'!$B:$B,0)),"")</f>
        <v/>
      </c>
      <c r="AJ13">
        <f>IFERROR(INDEX('DRAFT 1'!$AE:$AE,MATCH($B13,'DRAFT 1'!$B:$B,0)),"")</f>
        <v/>
      </c>
      <c r="AK13">
        <f>IFERROR(INDEX('DRAFT 1'!$AG:$AG,MATCH($B13,'DRAFT 1'!$B:$B,0)),"")</f>
        <v/>
      </c>
      <c r="AL13">
        <f>IFERROR(INDEX('DRAFT 1'!$AH:$AH,MATCH($B13,'DRAFT 1'!$B:$B,0)),"")</f>
        <v/>
      </c>
      <c r="AM13">
        <f>IFERROR(INDEX('DRAFT 1'!$AI:$AI,MATCH($B13,'DRAFT 1'!$B:$B,0)),"")</f>
        <v/>
      </c>
      <c r="AN13">
        <f>IFERROR(INDEX('DRAFT 1'!$AJ:$AJ,MATCH($B13,'DRAFT 1'!$B:$B,0)),"")</f>
        <v/>
      </c>
      <c r="AO13">
        <f>IFERROR(Y13/AN13,0)</f>
        <v/>
      </c>
      <c r="AP13">
        <f>IFERROR(INDEX('DRAFT 1'!$AK:$AK,MATCH($B13,'DRAFT 1'!$B:$B,0)),"")</f>
        <v/>
      </c>
      <c r="AR13" t="inlineStr">
        <is>
          <t>RECOMPRA</t>
        </is>
      </c>
      <c r="AS13">
        <f>IFERROR(LOOKUP(2,1/('DRAFT 2'!$D:$D=$B13),'DRAFT 2'!$T:$T),"")</f>
        <v/>
      </c>
      <c r="AT13">
        <f>IFERROR(LOOKUP(2,1/('DRAFT 2'!$D:$D=$B13),'DRAFT 2'!$A:$A),"")</f>
        <v/>
      </c>
      <c r="AU13">
        <f>IFERROR(LOOKUP(2,1/('DRAFT 2'!$D:$D=$B13),'DRAFT 2'!$R:$R),"")</f>
        <v/>
      </c>
      <c r="AV13">
        <f>IFERROR(LOOKUP(2,1/('DRAFT 2'!$D:$D=$B13),'DRAFT 2'!$S:$S),"")</f>
        <v/>
      </c>
      <c r="AW13" t="inlineStr">
        <is>
          <t>EM DESENVOLVIMENTO</t>
        </is>
      </c>
      <c r="AX13">
        <f>IFERROR(LOOKUP(2,1/('DRAFT 2'!$D:$D=$B13),'DRAFT 2'!$M:$M),"")</f>
        <v/>
      </c>
      <c r="AY13">
        <f>IFERROR(LOOKUP(2,1/('DRAFT 2'!$D:$D=$B13),'DRAFT 2'!$K:$K),"")</f>
        <v/>
      </c>
      <c r="BG13">
        <f>IFERROR(LOOKUP(2,1/('DRAFT 2'!$D:$D=$B13),'DRAFT 2'!$U:$U),"")</f>
        <v/>
      </c>
      <c r="BH13">
        <f>IFERROR(LOOKUP(2,1/('DRAFT 2'!$D:$D=$B13),'DRAFT 2'!$V:$V),"")</f>
        <v/>
      </c>
      <c r="CE13">
        <f>IFERROR(AJ13,0)</f>
        <v/>
      </c>
      <c r="CF13">
        <f>IFERROR(LOOKUP(2,1/('DRAFT 2'!$D:$D=$B13)*('DRAFT 2'!$A:$A&gt;=DATE(2026,1,1))*('DRAFT 2'!$A:$A&lt;DATE(2026,IF(1=12,1+1,1+1),1)),'DRAFT 2'!$A:$A),"")</f>
        <v/>
      </c>
      <c r="CG13">
        <f>COUNTIFS('DRAFT 2'!$D:$D,$B13,'DRAFT 2'!$A:$A,"&gt;="&amp;DATE(2026,1,1),'DRAFT 2'!$A:$A,"&lt;="&amp;DATE(2026,1,7))</f>
        <v/>
      </c>
      <c r="CH13">
        <f>COUNTIFS('DRAFT 2'!$D:$D,$B13,'DRAFT 2'!$A:$A,"&gt;="&amp;DATE(2026,1,8),'DRAFT 2'!$A:$A,"&lt;="&amp;DATE(2026,1,14))</f>
        <v/>
      </c>
      <c r="CI13">
        <f>COUNTIFS('DRAFT 2'!$D:$D,$B13,'DRAFT 2'!$A:$A,"&gt;="&amp;DATE(2026,1,15),'DRAFT 2'!$A:$A,"&lt;="&amp;DATE(2026,1,21))</f>
        <v/>
      </c>
      <c r="CJ13">
        <f>COUNTIFS('DRAFT 2'!$D:$D,$B13,'DRAFT 2'!$A:$A,"&gt;="&amp;DATE(2026,1,22),'DRAFT 2'!$A:$A,"&lt;"&amp;DATE(2026,IF(1=12,1+1,1+1),1))</f>
        <v/>
      </c>
      <c r="CK13">
        <f>SUM(CG13:CJ13)</f>
        <v/>
      </c>
      <c r="CT13" t="n">
        <v>0</v>
      </c>
      <c r="CU13">
        <f>IFERROR(LOOKUP(2,1/('DRAFT 2'!$D:$D=$B13)*('DRAFT 2'!$A:$A&gt;=DATE(2026,2,1))*('DRAFT 2'!$A:$A&lt;DATE(2026,IF(2=12,2+1,2+1),1)),'DRAFT 2'!$A:$A),"")</f>
        <v/>
      </c>
      <c r="CV13">
        <f>COUNTIFS('DRAFT 2'!$D:$D,$B13,'DRAFT 2'!$A:$A,"&gt;="&amp;DATE(2026,2,1),'DRAFT 2'!$A:$A,"&lt;="&amp;DATE(2026,2,7))</f>
        <v/>
      </c>
      <c r="CW13">
        <f>COUNTIFS('DRAFT 2'!$D:$D,$B13,'DRAFT 2'!$A:$A,"&gt;="&amp;DATE(2026,2,8),'DRAFT 2'!$A:$A,"&lt;="&amp;DATE(2026,2,14))</f>
        <v/>
      </c>
      <c r="CX13">
        <f>COUNTIFS('DRAFT 2'!$D:$D,$B13,'DRAFT 2'!$A:$A,"&gt;="&amp;DATE(2026,2,15),'DRAFT 2'!$A:$A,"&lt;="&amp;DATE(2026,2,21))</f>
        <v/>
      </c>
      <c r="CY13">
        <f>COUNTIFS('DRAFT 2'!$D:$D,$B13,'DRAFT 2'!$A:$A,"&gt;="&amp;DATE(2026,2,22),'DRAFT 2'!$A:$A,"&lt;"&amp;DATE(2026,IF(2=12,2+1,2+1),1))</f>
        <v/>
      </c>
      <c r="CZ13">
        <f>SUM(CV13:CY13)</f>
        <v/>
      </c>
      <c r="DJ13">
        <f>IFERROR(LOOKUP(2,1/('DRAFT 2'!$D:$D=$B13)*('DRAFT 2'!$A:$A&gt;=DATE(2026,3,1))*('DRAFT 2'!$A:$A&lt;DATE(2026,IF(3=12,3+1,3+1),1)),'DRAFT 2'!$A:$A),"")</f>
        <v/>
      </c>
      <c r="DK13">
        <f>COUNTIFS('DRAFT 2'!$D:$D,$B13,'DRAFT 2'!$A:$A,"&gt;="&amp;DATE(2026,3,1),'DRAFT 2'!$A:$A,"&lt;="&amp;DATE(2026,3,7))</f>
        <v/>
      </c>
      <c r="DL13">
        <f>COUNTIFS('DRAFT 2'!$D:$D,$B13,'DRAFT 2'!$A:$A,"&gt;="&amp;DATE(2026,3,8),'DRAFT 2'!$A:$A,"&lt;="&amp;DATE(2026,3,14))</f>
        <v/>
      </c>
      <c r="DM13">
        <f>COUNTIFS('DRAFT 2'!$D:$D,$B13,'DRAFT 2'!$A:$A,"&gt;="&amp;DATE(2026,3,15),'DRAFT 2'!$A:$A,"&lt;="&amp;DATE(2026,3,21))</f>
        <v/>
      </c>
      <c r="DN13">
        <f>COUNTIFS('DRAFT 2'!$D:$D,$B13,'DRAFT 2'!$A:$A,"&gt;="&amp;DATE(2026,3,22),'DRAFT 2'!$A:$A,"&lt;"&amp;DATE(2026,IF(3=12,3+1,3+1),1))</f>
        <v/>
      </c>
      <c r="DO13">
        <f>SUM(DK13:DN13)</f>
        <v/>
      </c>
      <c r="DZ13">
        <f>IFERROR(LOOKUP(2,1/('DRAFT 2'!$D:$D=$B13)*('DRAFT 2'!$A:$A&gt;=DATE(2026,4,1))*('DRAFT 2'!$A:$A&lt;DATE(2026,IF(4=12,4+1,4+1),1)),'DRAFT 2'!$A:$A),"")</f>
        <v/>
      </c>
      <c r="EA13">
        <f>COUNTIFS('DRAFT 2'!$D:$D,$B13,'DRAFT 2'!$A:$A,"&gt;="&amp;DATE(2026,4,1),'DRAFT 2'!$A:$A,"&lt;="&amp;DATE(2026,4,7))</f>
        <v/>
      </c>
      <c r="EB13">
        <f>COUNTIFS('DRAFT 2'!$D:$D,$B13,'DRAFT 2'!$A:$A,"&gt;="&amp;DATE(2026,4,8),'DRAFT 2'!$A:$A,"&lt;="&amp;DATE(2026,4,14))</f>
        <v/>
      </c>
      <c r="EC13">
        <f>COUNTIFS('DRAFT 2'!$D:$D,$B13,'DRAFT 2'!$A:$A,"&gt;="&amp;DATE(2026,4,15),'DRAFT 2'!$A:$A,"&lt;="&amp;DATE(2026,4,21))</f>
        <v/>
      </c>
      <c r="ED13">
        <f>COUNTIFS('DRAFT 2'!$D:$D,$B13,'DRAFT 2'!$A:$A,"&gt;="&amp;DATE(2026,4,22),'DRAFT 2'!$A:$A,"&lt;"&amp;DATE(2026,IF(4=12,4+1,4+1),1))</f>
        <v/>
      </c>
      <c r="EE13">
        <f>SUM(EA13:ED13)</f>
        <v/>
      </c>
      <c r="EO13">
        <f>IFERROR(LOOKUP(2,1/('DRAFT 2'!$D:$D=$B13)*('DRAFT 2'!$A:$A&gt;=DATE(2026,5,1))*('DRAFT 2'!$A:$A&lt;DATE(2026,IF(5=12,5+1,5+1),1)),'DRAFT 2'!$A:$A),"")</f>
        <v/>
      </c>
      <c r="EP13">
        <f>COUNTIFS('DRAFT 2'!$D:$D,$B13,'DRAFT 2'!$A:$A,"&gt;="&amp;DATE(2026,5,1),'DRAFT 2'!$A:$A,"&lt;="&amp;DATE(2026,5,7))</f>
        <v/>
      </c>
      <c r="EQ13">
        <f>COUNTIFS('DRAFT 2'!$D:$D,$B13,'DRAFT 2'!$A:$A,"&gt;="&amp;DATE(2026,5,8),'DRAFT 2'!$A:$A,"&lt;="&amp;DATE(2026,5,14))</f>
        <v/>
      </c>
      <c r="ER13">
        <f>COUNTIFS('DRAFT 2'!$D:$D,$B13,'DRAFT 2'!$A:$A,"&gt;="&amp;DATE(2026,5,15),'DRAFT 2'!$A:$A,"&lt;="&amp;DATE(2026,5,21))</f>
        <v/>
      </c>
      <c r="ES13">
        <f>COUNTIFS('DRAFT 2'!$D:$D,$B13,'DRAFT 2'!$A:$A,"&gt;="&amp;DATE(2026,5,22),'DRAFT 2'!$A:$A,"&lt;"&amp;DATE(2026,IF(5=12,5+1,5+1),1))</f>
        <v/>
      </c>
      <c r="ET13">
        <f>SUM(EP13:ES13)</f>
        <v/>
      </c>
      <c r="FD13">
        <f>IFERROR(LOOKUP(2,1/('DRAFT 2'!$D:$D=$B13)*('DRAFT 2'!$A:$A&gt;=DATE(2026,6,1))*('DRAFT 2'!$A:$A&lt;DATE(2026,IF(6=12,6+1,6+1),1)),'DRAFT 2'!$A:$A),"")</f>
        <v/>
      </c>
      <c r="FE13">
        <f>COUNTIFS('DRAFT 2'!$D:$D,$B13,'DRAFT 2'!$A:$A,"&gt;="&amp;DATE(2026,6,1),'DRAFT 2'!$A:$A,"&lt;="&amp;DATE(2026,6,7))</f>
        <v/>
      </c>
      <c r="FF13">
        <f>COUNTIFS('DRAFT 2'!$D:$D,$B13,'DRAFT 2'!$A:$A,"&gt;="&amp;DATE(2026,6,8),'DRAFT 2'!$A:$A,"&lt;="&amp;DATE(2026,6,14))</f>
        <v/>
      </c>
      <c r="FG13">
        <f>COUNTIFS('DRAFT 2'!$D:$D,$B13,'DRAFT 2'!$A:$A,"&gt;="&amp;DATE(2026,6,15),'DRAFT 2'!$A:$A,"&lt;="&amp;DATE(2026,6,21))</f>
        <v/>
      </c>
      <c r="FH13">
        <f>COUNTIFS('DRAFT 2'!$D:$D,$B13,'DRAFT 2'!$A:$A,"&gt;="&amp;DATE(2026,6,22),'DRAFT 2'!$A:$A,"&lt;"&amp;DATE(2026,IF(6=12,6+1,6+1),1))</f>
        <v/>
      </c>
      <c r="FI13">
        <f>SUM(FE13:FH13)</f>
        <v/>
      </c>
      <c r="FT13">
        <f>IFERROR(LOOKUP(2,1/('DRAFT 2'!$D:$D=$B13)*('DRAFT 2'!$A:$A&gt;=DATE(2026,7,1))*('DRAFT 2'!$A:$A&lt;DATE(2026,IF(7=12,7+1,7+1),1)),'DRAFT 2'!$A:$A),"")</f>
        <v/>
      </c>
      <c r="FU13">
        <f>COUNTIFS('DRAFT 2'!$D:$D,$B13,'DRAFT 2'!$A:$A,"&gt;="&amp;DATE(2026,7,1),'DRAFT 2'!$A:$A,"&lt;="&amp;DATE(2026,7,7))</f>
        <v/>
      </c>
      <c r="FV13">
        <f>COUNTIFS('DRAFT 2'!$D:$D,$B13,'DRAFT 2'!$A:$A,"&gt;="&amp;DATE(2026,7,8),'DRAFT 2'!$A:$A,"&lt;="&amp;DATE(2026,7,14))</f>
        <v/>
      </c>
      <c r="FW13">
        <f>COUNTIFS('DRAFT 2'!$D:$D,$B13,'DRAFT 2'!$A:$A,"&gt;="&amp;DATE(2026,7,15),'DRAFT 2'!$A:$A,"&lt;="&amp;DATE(2026,7,21))</f>
        <v/>
      </c>
      <c r="FX13">
        <f>COUNTIFS('DRAFT 2'!$D:$D,$B13,'DRAFT 2'!$A:$A,"&gt;="&amp;DATE(2026,7,22),'DRAFT 2'!$A:$A,"&lt;"&amp;DATE(2026,IF(7=12,7+1,7+1),1))</f>
        <v/>
      </c>
      <c r="FY13">
        <f>SUM(FU13:FX13)</f>
        <v/>
      </c>
      <c r="GI13">
        <f>IFERROR(LOOKUP(2,1/('DRAFT 2'!$D:$D=$B13)*('DRAFT 2'!$A:$A&gt;=DATE(2026,8,1))*('DRAFT 2'!$A:$A&lt;DATE(2026,IF(8=12,8+1,8+1),1)),'DRAFT 2'!$A:$A),"")</f>
        <v/>
      </c>
      <c r="GJ13">
        <f>COUNTIFS('DRAFT 2'!$D:$D,$B13,'DRAFT 2'!$A:$A,"&gt;="&amp;DATE(2026,8,1),'DRAFT 2'!$A:$A,"&lt;="&amp;DATE(2026,8,7))</f>
        <v/>
      </c>
      <c r="GK13">
        <f>COUNTIFS('DRAFT 2'!$D:$D,$B13,'DRAFT 2'!$A:$A,"&gt;="&amp;DATE(2026,8,8),'DRAFT 2'!$A:$A,"&lt;="&amp;DATE(2026,8,14))</f>
        <v/>
      </c>
      <c r="GL13">
        <f>COUNTIFS('DRAFT 2'!$D:$D,$B13,'DRAFT 2'!$A:$A,"&gt;="&amp;DATE(2026,8,15),'DRAFT 2'!$A:$A,"&lt;="&amp;DATE(2026,8,21))</f>
        <v/>
      </c>
      <c r="GM13">
        <f>COUNTIFS('DRAFT 2'!$D:$D,$B13,'DRAFT 2'!$A:$A,"&gt;="&amp;DATE(2026,8,22),'DRAFT 2'!$A:$A,"&lt;"&amp;DATE(2026,IF(8=12,8+1,8+1),1))</f>
        <v/>
      </c>
      <c r="GN13">
        <f>SUM(GJ13:GM13)</f>
        <v/>
      </c>
      <c r="GX13">
        <f>IFERROR(LOOKUP(2,1/('DRAFT 2'!$D:$D=$B13)*('DRAFT 2'!$A:$A&gt;=DATE(2026,9,1))*('DRAFT 2'!$A:$A&lt;DATE(2026,IF(9=12,9+1,9+1),1)),'DRAFT 2'!$A:$A),"")</f>
        <v/>
      </c>
      <c r="GY13">
        <f>COUNTIFS('DRAFT 2'!$D:$D,$B13,'DRAFT 2'!$A:$A,"&gt;="&amp;DATE(2026,9,1),'DRAFT 2'!$A:$A,"&lt;="&amp;DATE(2026,9,7))</f>
        <v/>
      </c>
      <c r="GZ13">
        <f>COUNTIFS('DRAFT 2'!$D:$D,$B13,'DRAFT 2'!$A:$A,"&gt;="&amp;DATE(2026,9,8),'DRAFT 2'!$A:$A,"&lt;="&amp;DATE(2026,9,14))</f>
        <v/>
      </c>
      <c r="HA13">
        <f>COUNTIFS('DRAFT 2'!$D:$D,$B13,'DRAFT 2'!$A:$A,"&gt;="&amp;DATE(2026,9,15),'DRAFT 2'!$A:$A,"&lt;="&amp;DATE(2026,9,21))</f>
        <v/>
      </c>
      <c r="HB13">
        <f>COUNTIFS('DRAFT 2'!$D:$D,$B13,'DRAFT 2'!$A:$A,"&gt;="&amp;DATE(2026,9,22),'DRAFT 2'!$A:$A,"&lt;"&amp;DATE(2026,IF(9=12,9+1,9+1),1))</f>
        <v/>
      </c>
      <c r="HC13">
        <f>SUM(GY13:HB13)</f>
        <v/>
      </c>
      <c r="HN13">
        <f>IFERROR(LOOKUP(2,1/('DRAFT 2'!$D:$D=$B13)*('DRAFT 2'!$A:$A&gt;=DATE(2026,10,1))*('DRAFT 2'!$A:$A&lt;DATE(2026,IF(10=12,10+1,10+1),1)),'DRAFT 2'!$A:$A),"")</f>
        <v/>
      </c>
      <c r="HO13">
        <f>COUNTIFS('DRAFT 2'!$D:$D,$B13,'DRAFT 2'!$A:$A,"&gt;="&amp;DATE(2026,10,1),'DRAFT 2'!$A:$A,"&lt;="&amp;DATE(2026,10,7))</f>
        <v/>
      </c>
      <c r="HP13">
        <f>COUNTIFS('DRAFT 2'!$D:$D,$B13,'DRAFT 2'!$A:$A,"&gt;="&amp;DATE(2026,10,8),'DRAFT 2'!$A:$A,"&lt;="&amp;DATE(2026,10,14))</f>
        <v/>
      </c>
      <c r="HQ13">
        <f>COUNTIFS('DRAFT 2'!$D:$D,$B13,'DRAFT 2'!$A:$A,"&gt;="&amp;DATE(2026,10,15),'DRAFT 2'!$A:$A,"&lt;="&amp;DATE(2026,10,21))</f>
        <v/>
      </c>
      <c r="HR13">
        <f>COUNTIFS('DRAFT 2'!$D:$D,$B13,'DRAFT 2'!$A:$A,"&gt;="&amp;DATE(2026,10,22),'DRAFT 2'!$A:$A,"&lt;"&amp;DATE(2026,IF(10=12,10+1,10+1),1))</f>
        <v/>
      </c>
      <c r="HS13">
        <f>SUM(HO13:HR13)</f>
        <v/>
      </c>
      <c r="IC13">
        <f>IFERROR(LOOKUP(2,1/('DRAFT 2'!$D:$D=$B13)*('DRAFT 2'!$A:$A&gt;=DATE(2026,11,1))*('DRAFT 2'!$A:$A&lt;DATE(2026,IF(11=12,11+1,11+1),1)),'DRAFT 2'!$A:$A),"")</f>
        <v/>
      </c>
      <c r="ID13">
        <f>COUNTIFS('DRAFT 2'!$D:$D,$B13,'DRAFT 2'!$A:$A,"&gt;="&amp;DATE(2026,11,1),'DRAFT 2'!$A:$A,"&lt;="&amp;DATE(2026,11,7))</f>
        <v/>
      </c>
      <c r="IE13">
        <f>COUNTIFS('DRAFT 2'!$D:$D,$B13,'DRAFT 2'!$A:$A,"&gt;="&amp;DATE(2026,11,8),'DRAFT 2'!$A:$A,"&lt;="&amp;DATE(2026,11,14))</f>
        <v/>
      </c>
      <c r="IF13">
        <f>COUNTIFS('DRAFT 2'!$D:$D,$B13,'DRAFT 2'!$A:$A,"&gt;="&amp;DATE(2026,11,15),'DRAFT 2'!$A:$A,"&lt;="&amp;DATE(2026,11,21))</f>
        <v/>
      </c>
      <c r="IG13">
        <f>COUNTIFS('DRAFT 2'!$D:$D,$B13,'DRAFT 2'!$A:$A,"&gt;="&amp;DATE(2026,11,22),'DRAFT 2'!$A:$A,"&lt;"&amp;DATE(2026,IF(11=12,11+1,11+1),1))</f>
        <v/>
      </c>
      <c r="IH13">
        <f>SUM(ID13:IG13)</f>
        <v/>
      </c>
      <c r="IR13">
        <f>IFERROR(LOOKUP(2,1/('DRAFT 2'!$D:$D=$B13)*('DRAFT 2'!$A:$A&gt;=DATE(2026,12,1))*('DRAFT 2'!$A:$A&lt;DATE(2026,IF(12=12,12+1,12+1),1)),'DRAFT 2'!$A:$A),"")</f>
        <v/>
      </c>
      <c r="IS13">
        <f>COUNTIFS('DRAFT 2'!$D:$D,$B13,'DRAFT 2'!$A:$A,"&gt;="&amp;DATE(2026,12,1),'DRAFT 2'!$A:$A,"&lt;="&amp;DATE(2026,12,7))</f>
        <v/>
      </c>
      <c r="IT13">
        <f>COUNTIFS('DRAFT 2'!$D:$D,$B13,'DRAFT 2'!$A:$A,"&gt;="&amp;DATE(2026,12,8),'DRAFT 2'!$A:$A,"&lt;="&amp;DATE(2026,12,14))</f>
        <v/>
      </c>
      <c r="IU13">
        <f>COUNTIFS('DRAFT 2'!$D:$D,$B13,'DRAFT 2'!$A:$A,"&gt;="&amp;DATE(2026,12,15),'DRAFT 2'!$A:$A,"&lt;="&amp;DATE(2026,12,21))</f>
        <v/>
      </c>
      <c r="IV13">
        <f>COUNTIFS('DRAFT 2'!$D:$D,$B13,'DRAFT 2'!$A:$A,"&gt;="&amp;DATE(2026,12,22),'DRAFT 2'!$A:$A,"&lt;"&amp;DATE(2026,IF(12=12,12+1,12+1),1))</f>
        <v/>
      </c>
      <c r="IW13">
        <f>SUM(IS13:IV13)</f>
        <v/>
      </c>
    </row>
    <row r="14">
      <c r="A14">
        <f>IFERROR(INDEX('DRAFT 1'!$A:$A,MATCH($B14,'DRAFT 1'!$B:$B,0)),"")</f>
        <v/>
      </c>
      <c r="C14">
        <f>IFERROR(INDEX('DRAFT 1'!$C:$C,MATCH($B14,'DRAFT 1'!$B:$B,0)),"")</f>
        <v/>
      </c>
      <c r="D14">
        <f>IFERROR(INDEX('DRAFT 1'!$D:$D,MATCH($B14,'DRAFT 1'!$B:$B,0)),"")</f>
        <v/>
      </c>
      <c r="E14">
        <f>IFERROR(INDEX('DRAFT 1'!$E:$E,MATCH($B14,'DRAFT 1'!$B:$B,0)),"")</f>
        <v/>
      </c>
      <c r="F14">
        <f>IFERROR(INDEX('DRAFT 1'!$F:$F,MATCH($B14,'DRAFT 1'!$B:$B,0)),"")</f>
        <v/>
      </c>
      <c r="G14">
        <f>IFERROR(INDEX('DRAFT 1'!$G:$G,MATCH($B14,'DRAFT 1'!$B:$B,0)),"")</f>
        <v/>
      </c>
      <c r="H14">
        <f>IFERROR(INDEX('DRAFT 1'!$H:$H,MATCH($B14,'DRAFT 1'!$B:$B,0)),"")</f>
        <v/>
      </c>
      <c r="I14" t="inlineStr">
        <is>
          <t>DEMAIS CLIENTES</t>
        </is>
      </c>
      <c r="K14">
        <f>IFERROR(INDEX('DRAFT 1'!$AL:$AL,MATCH($B14,'DRAFT 1'!$B:$B,0)),"")</f>
        <v/>
      </c>
      <c r="L14">
        <f>IFERROR(INDEX('DRAFT 1'!$J:$J,MATCH($B14,'DRAFT 1'!$B:$B,0)),"")</f>
        <v/>
      </c>
      <c r="M14">
        <f>IFERROR(INDEX('DRAFT 1'!$K:$K,MATCH($B14,'DRAFT 1'!$B:$B,0)),"")</f>
        <v/>
      </c>
      <c r="N14" t="inlineStr">
        <is>
          <t>PROSPECT</t>
        </is>
      </c>
      <c r="P14">
        <f>IFERROR(INDEX('DRAFT 1'!$L:$L,MATCH($B14,'DRAFT 1'!$B:$B,0)),"")</f>
        <v/>
      </c>
      <c r="Q14">
        <f>IFERROR(INDEX('DRAFT 1'!$M:$M,MATCH($B14,'DRAFT 1'!$B:$B,0)),"")</f>
        <v/>
      </c>
      <c r="R14">
        <f>IFERROR(INDEX('DRAFT 1'!$N:$N,MATCH($B14,'DRAFT 1'!$B:$B,0)),"")</f>
        <v/>
      </c>
      <c r="S14">
        <f>IFERROR(INDEX('DRAFT 1'!$O:$O,MATCH($B14,'DRAFT 1'!$B:$B,0)),"")</f>
        <v/>
      </c>
      <c r="T14">
        <f>IFERROR(INDEX('DRAFT 1'!$P:$P,MATCH($B14,'DRAFT 1'!$B:$B,0)),"")</f>
        <v/>
      </c>
      <c r="U14">
        <f>IFERROR(INDEX('DRAFT 1'!$Q:$Q,MATCH($B14,'DRAFT 1'!$B:$B,0)),"")</f>
        <v/>
      </c>
      <c r="V14">
        <f>IFERROR(INDEX('DRAFT 1'!$R:$R,MATCH($B14,'DRAFT 1'!$B:$B,0)),"")</f>
        <v/>
      </c>
      <c r="W14">
        <f>IFERROR(INDEX('DRAFT 1'!$S:$S,MATCH($B14,'DRAFT 1'!$B:$B,0)),"")</f>
        <v/>
      </c>
      <c r="X14">
        <f>IFERROR(INDEX('DRAFT 1'!$T:$T,MATCH($B14,'DRAFT 1'!$B:$B,0)),"")</f>
        <v/>
      </c>
      <c r="Z14">
        <f>IFERROR(INDEX('DRAFT 1'!$U:$U,MATCH($B14,'DRAFT 1'!$B:$B,0)),"")</f>
        <v/>
      </c>
      <c r="AA14">
        <f>IFERROR(INDEX('DRAFT 1'!$V:$V,MATCH($B14,'DRAFT 1'!$B:$B,0)),"")</f>
        <v/>
      </c>
      <c r="AB14">
        <f>IFERROR(INDEX('DRAFT 1'!$W:$W,MATCH($B14,'DRAFT 1'!$B:$B,0)),"")</f>
        <v/>
      </c>
      <c r="AC14">
        <f>IFERROR(INDEX('DRAFT 1'!$X:$X,MATCH($B14,'DRAFT 1'!$B:$B,0)),"")</f>
        <v/>
      </c>
      <c r="AD14">
        <f>IFERROR(INDEX('DRAFT 1'!$Y:$Y,MATCH($B14,'DRAFT 1'!$B:$B,0)),"")</f>
        <v/>
      </c>
      <c r="AE14">
        <f>IFERROR(INDEX('DRAFT 1'!$Z:$Z,MATCH($B14,'DRAFT 1'!$B:$B,0)),"")</f>
        <v/>
      </c>
      <c r="AF14">
        <f>IFERROR(INDEX('DRAFT 1'!$AA:$AA,MATCH($B14,'DRAFT 1'!$B:$B,0)),"")</f>
        <v/>
      </c>
      <c r="AG14">
        <f>IFERROR(INDEX('DRAFT 1'!$AB:$AB,MATCH($B14,'DRAFT 1'!$B:$B,0)),"")</f>
        <v/>
      </c>
      <c r="AH14">
        <f>IFERROR(INDEX('DRAFT 1'!$AC:$AC,MATCH($B14,'DRAFT 1'!$B:$B,0)),"")</f>
        <v/>
      </c>
      <c r="AI14">
        <f>IFERROR(INDEX('DRAFT 1'!$AD:$AD,MATCH($B14,'DRAFT 1'!$B:$B,0)),"")</f>
        <v/>
      </c>
      <c r="AJ14">
        <f>IFERROR(INDEX('DRAFT 1'!$AE:$AE,MATCH($B14,'DRAFT 1'!$B:$B,0)),"")</f>
        <v/>
      </c>
      <c r="AK14">
        <f>IFERROR(INDEX('DRAFT 1'!$AG:$AG,MATCH($B14,'DRAFT 1'!$B:$B,0)),"")</f>
        <v/>
      </c>
      <c r="AL14">
        <f>IFERROR(INDEX('DRAFT 1'!$AH:$AH,MATCH($B14,'DRAFT 1'!$B:$B,0)),"")</f>
        <v/>
      </c>
      <c r="AM14">
        <f>IFERROR(INDEX('DRAFT 1'!$AI:$AI,MATCH($B14,'DRAFT 1'!$B:$B,0)),"")</f>
        <v/>
      </c>
      <c r="AN14">
        <f>IFERROR(INDEX('DRAFT 1'!$AJ:$AJ,MATCH($B14,'DRAFT 1'!$B:$B,0)),"")</f>
        <v/>
      </c>
      <c r="AO14">
        <f>IFERROR(Y14/AN14,0)</f>
        <v/>
      </c>
      <c r="AP14">
        <f>IFERROR(INDEX('DRAFT 1'!$AK:$AK,MATCH($B14,'DRAFT 1'!$B:$B,0)),"")</f>
        <v/>
      </c>
      <c r="AR14" t="inlineStr">
        <is>
          <t>RECOMPRA</t>
        </is>
      </c>
      <c r="AS14">
        <f>IFERROR(LOOKUP(2,1/('DRAFT 2'!$D:$D=$B14),'DRAFT 2'!$T:$T),"")</f>
        <v/>
      </c>
      <c r="AT14">
        <f>IFERROR(LOOKUP(2,1/('DRAFT 2'!$D:$D=$B14),'DRAFT 2'!$A:$A),"")</f>
        <v/>
      </c>
      <c r="AU14">
        <f>IFERROR(LOOKUP(2,1/('DRAFT 2'!$D:$D=$B14),'DRAFT 2'!$R:$R),"")</f>
        <v/>
      </c>
      <c r="AV14">
        <f>IFERROR(LOOKUP(2,1/('DRAFT 2'!$D:$D=$B14),'DRAFT 2'!$S:$S),"")</f>
        <v/>
      </c>
      <c r="AW14" t="inlineStr">
        <is>
          <t>NOVO</t>
        </is>
      </c>
      <c r="AX14">
        <f>IFERROR(LOOKUP(2,1/('DRAFT 2'!$D:$D=$B14),'DRAFT 2'!$M:$M),"")</f>
        <v/>
      </c>
      <c r="AY14">
        <f>IFERROR(LOOKUP(2,1/('DRAFT 2'!$D:$D=$B14),'DRAFT 2'!$K:$K),"")</f>
        <v/>
      </c>
      <c r="BG14">
        <f>IFERROR(LOOKUP(2,1/('DRAFT 2'!$D:$D=$B14),'DRAFT 2'!$U:$U),"")</f>
        <v/>
      </c>
      <c r="BH14">
        <f>IFERROR(LOOKUP(2,1/('DRAFT 2'!$D:$D=$B14),'DRAFT 2'!$V:$V),"")</f>
        <v/>
      </c>
      <c r="CE14">
        <f>IFERROR(AJ14,0)</f>
        <v/>
      </c>
      <c r="CF14">
        <f>IFERROR(LOOKUP(2,1/('DRAFT 2'!$D:$D=$B14)*('DRAFT 2'!$A:$A&gt;=DATE(2026,1,1))*('DRAFT 2'!$A:$A&lt;DATE(2026,IF(1=12,1+1,1+1),1)),'DRAFT 2'!$A:$A),"")</f>
        <v/>
      </c>
      <c r="CG14">
        <f>COUNTIFS('DRAFT 2'!$D:$D,$B14,'DRAFT 2'!$A:$A,"&gt;="&amp;DATE(2026,1,1),'DRAFT 2'!$A:$A,"&lt;="&amp;DATE(2026,1,7))</f>
        <v/>
      </c>
      <c r="CH14">
        <f>COUNTIFS('DRAFT 2'!$D:$D,$B14,'DRAFT 2'!$A:$A,"&gt;="&amp;DATE(2026,1,8),'DRAFT 2'!$A:$A,"&lt;="&amp;DATE(2026,1,14))</f>
        <v/>
      </c>
      <c r="CI14">
        <f>COUNTIFS('DRAFT 2'!$D:$D,$B14,'DRAFT 2'!$A:$A,"&gt;="&amp;DATE(2026,1,15),'DRAFT 2'!$A:$A,"&lt;="&amp;DATE(2026,1,21))</f>
        <v/>
      </c>
      <c r="CJ14">
        <f>COUNTIFS('DRAFT 2'!$D:$D,$B14,'DRAFT 2'!$A:$A,"&gt;="&amp;DATE(2026,1,22),'DRAFT 2'!$A:$A,"&lt;"&amp;DATE(2026,IF(1=12,1+1,1+1),1))</f>
        <v/>
      </c>
      <c r="CK14">
        <f>SUM(CG14:CJ14)</f>
        <v/>
      </c>
      <c r="CT14" t="n">
        <v>0</v>
      </c>
      <c r="CU14">
        <f>IFERROR(LOOKUP(2,1/('DRAFT 2'!$D:$D=$B14)*('DRAFT 2'!$A:$A&gt;=DATE(2026,2,1))*('DRAFT 2'!$A:$A&lt;DATE(2026,IF(2=12,2+1,2+1),1)),'DRAFT 2'!$A:$A),"")</f>
        <v/>
      </c>
      <c r="CV14">
        <f>COUNTIFS('DRAFT 2'!$D:$D,$B14,'DRAFT 2'!$A:$A,"&gt;="&amp;DATE(2026,2,1),'DRAFT 2'!$A:$A,"&lt;="&amp;DATE(2026,2,7))</f>
        <v/>
      </c>
      <c r="CW14">
        <f>COUNTIFS('DRAFT 2'!$D:$D,$B14,'DRAFT 2'!$A:$A,"&gt;="&amp;DATE(2026,2,8),'DRAFT 2'!$A:$A,"&lt;="&amp;DATE(2026,2,14))</f>
        <v/>
      </c>
      <c r="CX14">
        <f>COUNTIFS('DRAFT 2'!$D:$D,$B14,'DRAFT 2'!$A:$A,"&gt;="&amp;DATE(2026,2,15),'DRAFT 2'!$A:$A,"&lt;="&amp;DATE(2026,2,21))</f>
        <v/>
      </c>
      <c r="CY14">
        <f>COUNTIFS('DRAFT 2'!$D:$D,$B14,'DRAFT 2'!$A:$A,"&gt;="&amp;DATE(2026,2,22),'DRAFT 2'!$A:$A,"&lt;"&amp;DATE(2026,IF(2=12,2+1,2+1),1))</f>
        <v/>
      </c>
      <c r="CZ14">
        <f>SUM(CV14:CY14)</f>
        <v/>
      </c>
      <c r="DJ14">
        <f>IFERROR(LOOKUP(2,1/('DRAFT 2'!$D:$D=$B14)*('DRAFT 2'!$A:$A&gt;=DATE(2026,3,1))*('DRAFT 2'!$A:$A&lt;DATE(2026,IF(3=12,3+1,3+1),1)),'DRAFT 2'!$A:$A),"")</f>
        <v/>
      </c>
      <c r="DK14">
        <f>COUNTIFS('DRAFT 2'!$D:$D,$B14,'DRAFT 2'!$A:$A,"&gt;="&amp;DATE(2026,3,1),'DRAFT 2'!$A:$A,"&lt;="&amp;DATE(2026,3,7))</f>
        <v/>
      </c>
      <c r="DL14">
        <f>COUNTIFS('DRAFT 2'!$D:$D,$B14,'DRAFT 2'!$A:$A,"&gt;="&amp;DATE(2026,3,8),'DRAFT 2'!$A:$A,"&lt;="&amp;DATE(2026,3,14))</f>
        <v/>
      </c>
      <c r="DM14">
        <f>COUNTIFS('DRAFT 2'!$D:$D,$B14,'DRAFT 2'!$A:$A,"&gt;="&amp;DATE(2026,3,15),'DRAFT 2'!$A:$A,"&lt;="&amp;DATE(2026,3,21))</f>
        <v/>
      </c>
      <c r="DN14">
        <f>COUNTIFS('DRAFT 2'!$D:$D,$B14,'DRAFT 2'!$A:$A,"&gt;="&amp;DATE(2026,3,22),'DRAFT 2'!$A:$A,"&lt;"&amp;DATE(2026,IF(3=12,3+1,3+1),1))</f>
        <v/>
      </c>
      <c r="DO14">
        <f>SUM(DK14:DN14)</f>
        <v/>
      </c>
      <c r="DZ14">
        <f>IFERROR(LOOKUP(2,1/('DRAFT 2'!$D:$D=$B14)*('DRAFT 2'!$A:$A&gt;=DATE(2026,4,1))*('DRAFT 2'!$A:$A&lt;DATE(2026,IF(4=12,4+1,4+1),1)),'DRAFT 2'!$A:$A),"")</f>
        <v/>
      </c>
      <c r="EA14">
        <f>COUNTIFS('DRAFT 2'!$D:$D,$B14,'DRAFT 2'!$A:$A,"&gt;="&amp;DATE(2026,4,1),'DRAFT 2'!$A:$A,"&lt;="&amp;DATE(2026,4,7))</f>
        <v/>
      </c>
      <c r="EB14">
        <f>COUNTIFS('DRAFT 2'!$D:$D,$B14,'DRAFT 2'!$A:$A,"&gt;="&amp;DATE(2026,4,8),'DRAFT 2'!$A:$A,"&lt;="&amp;DATE(2026,4,14))</f>
        <v/>
      </c>
      <c r="EC14">
        <f>COUNTIFS('DRAFT 2'!$D:$D,$B14,'DRAFT 2'!$A:$A,"&gt;="&amp;DATE(2026,4,15),'DRAFT 2'!$A:$A,"&lt;="&amp;DATE(2026,4,21))</f>
        <v/>
      </c>
      <c r="ED14">
        <f>COUNTIFS('DRAFT 2'!$D:$D,$B14,'DRAFT 2'!$A:$A,"&gt;="&amp;DATE(2026,4,22),'DRAFT 2'!$A:$A,"&lt;"&amp;DATE(2026,IF(4=12,4+1,4+1),1))</f>
        <v/>
      </c>
      <c r="EE14">
        <f>SUM(EA14:ED14)</f>
        <v/>
      </c>
      <c r="EO14">
        <f>IFERROR(LOOKUP(2,1/('DRAFT 2'!$D:$D=$B14)*('DRAFT 2'!$A:$A&gt;=DATE(2026,5,1))*('DRAFT 2'!$A:$A&lt;DATE(2026,IF(5=12,5+1,5+1),1)),'DRAFT 2'!$A:$A),"")</f>
        <v/>
      </c>
      <c r="EP14">
        <f>COUNTIFS('DRAFT 2'!$D:$D,$B14,'DRAFT 2'!$A:$A,"&gt;="&amp;DATE(2026,5,1),'DRAFT 2'!$A:$A,"&lt;="&amp;DATE(2026,5,7))</f>
        <v/>
      </c>
      <c r="EQ14">
        <f>COUNTIFS('DRAFT 2'!$D:$D,$B14,'DRAFT 2'!$A:$A,"&gt;="&amp;DATE(2026,5,8),'DRAFT 2'!$A:$A,"&lt;="&amp;DATE(2026,5,14))</f>
        <v/>
      </c>
      <c r="ER14">
        <f>COUNTIFS('DRAFT 2'!$D:$D,$B14,'DRAFT 2'!$A:$A,"&gt;="&amp;DATE(2026,5,15),'DRAFT 2'!$A:$A,"&lt;="&amp;DATE(2026,5,21))</f>
        <v/>
      </c>
      <c r="ES14">
        <f>COUNTIFS('DRAFT 2'!$D:$D,$B14,'DRAFT 2'!$A:$A,"&gt;="&amp;DATE(2026,5,22),'DRAFT 2'!$A:$A,"&lt;"&amp;DATE(2026,IF(5=12,5+1,5+1),1))</f>
        <v/>
      </c>
      <c r="ET14">
        <f>SUM(EP14:ES14)</f>
        <v/>
      </c>
      <c r="FD14">
        <f>IFERROR(LOOKUP(2,1/('DRAFT 2'!$D:$D=$B14)*('DRAFT 2'!$A:$A&gt;=DATE(2026,6,1))*('DRAFT 2'!$A:$A&lt;DATE(2026,IF(6=12,6+1,6+1),1)),'DRAFT 2'!$A:$A),"")</f>
        <v/>
      </c>
      <c r="FE14">
        <f>COUNTIFS('DRAFT 2'!$D:$D,$B14,'DRAFT 2'!$A:$A,"&gt;="&amp;DATE(2026,6,1),'DRAFT 2'!$A:$A,"&lt;="&amp;DATE(2026,6,7))</f>
        <v/>
      </c>
      <c r="FF14">
        <f>COUNTIFS('DRAFT 2'!$D:$D,$B14,'DRAFT 2'!$A:$A,"&gt;="&amp;DATE(2026,6,8),'DRAFT 2'!$A:$A,"&lt;="&amp;DATE(2026,6,14))</f>
        <v/>
      </c>
      <c r="FG14">
        <f>COUNTIFS('DRAFT 2'!$D:$D,$B14,'DRAFT 2'!$A:$A,"&gt;="&amp;DATE(2026,6,15),'DRAFT 2'!$A:$A,"&lt;="&amp;DATE(2026,6,21))</f>
        <v/>
      </c>
      <c r="FH14">
        <f>COUNTIFS('DRAFT 2'!$D:$D,$B14,'DRAFT 2'!$A:$A,"&gt;="&amp;DATE(2026,6,22),'DRAFT 2'!$A:$A,"&lt;"&amp;DATE(2026,IF(6=12,6+1,6+1),1))</f>
        <v/>
      </c>
      <c r="FI14">
        <f>SUM(FE14:FH14)</f>
        <v/>
      </c>
      <c r="FT14">
        <f>IFERROR(LOOKUP(2,1/('DRAFT 2'!$D:$D=$B14)*('DRAFT 2'!$A:$A&gt;=DATE(2026,7,1))*('DRAFT 2'!$A:$A&lt;DATE(2026,IF(7=12,7+1,7+1),1)),'DRAFT 2'!$A:$A),"")</f>
        <v/>
      </c>
      <c r="FU14">
        <f>COUNTIFS('DRAFT 2'!$D:$D,$B14,'DRAFT 2'!$A:$A,"&gt;="&amp;DATE(2026,7,1),'DRAFT 2'!$A:$A,"&lt;="&amp;DATE(2026,7,7))</f>
        <v/>
      </c>
      <c r="FV14">
        <f>COUNTIFS('DRAFT 2'!$D:$D,$B14,'DRAFT 2'!$A:$A,"&gt;="&amp;DATE(2026,7,8),'DRAFT 2'!$A:$A,"&lt;="&amp;DATE(2026,7,14))</f>
        <v/>
      </c>
      <c r="FW14">
        <f>COUNTIFS('DRAFT 2'!$D:$D,$B14,'DRAFT 2'!$A:$A,"&gt;="&amp;DATE(2026,7,15),'DRAFT 2'!$A:$A,"&lt;="&amp;DATE(2026,7,21))</f>
        <v/>
      </c>
      <c r="FX14">
        <f>COUNTIFS('DRAFT 2'!$D:$D,$B14,'DRAFT 2'!$A:$A,"&gt;="&amp;DATE(2026,7,22),'DRAFT 2'!$A:$A,"&lt;"&amp;DATE(2026,IF(7=12,7+1,7+1),1))</f>
        <v/>
      </c>
      <c r="FY14">
        <f>SUM(FU14:FX14)</f>
        <v/>
      </c>
      <c r="GI14">
        <f>IFERROR(LOOKUP(2,1/('DRAFT 2'!$D:$D=$B14)*('DRAFT 2'!$A:$A&gt;=DATE(2026,8,1))*('DRAFT 2'!$A:$A&lt;DATE(2026,IF(8=12,8+1,8+1),1)),'DRAFT 2'!$A:$A),"")</f>
        <v/>
      </c>
      <c r="GJ14">
        <f>COUNTIFS('DRAFT 2'!$D:$D,$B14,'DRAFT 2'!$A:$A,"&gt;="&amp;DATE(2026,8,1),'DRAFT 2'!$A:$A,"&lt;="&amp;DATE(2026,8,7))</f>
        <v/>
      </c>
      <c r="GK14">
        <f>COUNTIFS('DRAFT 2'!$D:$D,$B14,'DRAFT 2'!$A:$A,"&gt;="&amp;DATE(2026,8,8),'DRAFT 2'!$A:$A,"&lt;="&amp;DATE(2026,8,14))</f>
        <v/>
      </c>
      <c r="GL14">
        <f>COUNTIFS('DRAFT 2'!$D:$D,$B14,'DRAFT 2'!$A:$A,"&gt;="&amp;DATE(2026,8,15),'DRAFT 2'!$A:$A,"&lt;="&amp;DATE(2026,8,21))</f>
        <v/>
      </c>
      <c r="GM14">
        <f>COUNTIFS('DRAFT 2'!$D:$D,$B14,'DRAFT 2'!$A:$A,"&gt;="&amp;DATE(2026,8,22),'DRAFT 2'!$A:$A,"&lt;"&amp;DATE(2026,IF(8=12,8+1,8+1),1))</f>
        <v/>
      </c>
      <c r="GN14">
        <f>SUM(GJ14:GM14)</f>
        <v/>
      </c>
      <c r="GX14">
        <f>IFERROR(LOOKUP(2,1/('DRAFT 2'!$D:$D=$B14)*('DRAFT 2'!$A:$A&gt;=DATE(2026,9,1))*('DRAFT 2'!$A:$A&lt;DATE(2026,IF(9=12,9+1,9+1),1)),'DRAFT 2'!$A:$A),"")</f>
        <v/>
      </c>
      <c r="GY14">
        <f>COUNTIFS('DRAFT 2'!$D:$D,$B14,'DRAFT 2'!$A:$A,"&gt;="&amp;DATE(2026,9,1),'DRAFT 2'!$A:$A,"&lt;="&amp;DATE(2026,9,7))</f>
        <v/>
      </c>
      <c r="GZ14">
        <f>COUNTIFS('DRAFT 2'!$D:$D,$B14,'DRAFT 2'!$A:$A,"&gt;="&amp;DATE(2026,9,8),'DRAFT 2'!$A:$A,"&lt;="&amp;DATE(2026,9,14))</f>
        <v/>
      </c>
      <c r="HA14">
        <f>COUNTIFS('DRAFT 2'!$D:$D,$B14,'DRAFT 2'!$A:$A,"&gt;="&amp;DATE(2026,9,15),'DRAFT 2'!$A:$A,"&lt;="&amp;DATE(2026,9,21))</f>
        <v/>
      </c>
      <c r="HB14">
        <f>COUNTIFS('DRAFT 2'!$D:$D,$B14,'DRAFT 2'!$A:$A,"&gt;="&amp;DATE(2026,9,22),'DRAFT 2'!$A:$A,"&lt;"&amp;DATE(2026,IF(9=12,9+1,9+1),1))</f>
        <v/>
      </c>
      <c r="HC14">
        <f>SUM(GY14:HB14)</f>
        <v/>
      </c>
      <c r="HN14">
        <f>IFERROR(LOOKUP(2,1/('DRAFT 2'!$D:$D=$B14)*('DRAFT 2'!$A:$A&gt;=DATE(2026,10,1))*('DRAFT 2'!$A:$A&lt;DATE(2026,IF(10=12,10+1,10+1),1)),'DRAFT 2'!$A:$A),"")</f>
        <v/>
      </c>
      <c r="HO14">
        <f>COUNTIFS('DRAFT 2'!$D:$D,$B14,'DRAFT 2'!$A:$A,"&gt;="&amp;DATE(2026,10,1),'DRAFT 2'!$A:$A,"&lt;="&amp;DATE(2026,10,7))</f>
        <v/>
      </c>
      <c r="HP14">
        <f>COUNTIFS('DRAFT 2'!$D:$D,$B14,'DRAFT 2'!$A:$A,"&gt;="&amp;DATE(2026,10,8),'DRAFT 2'!$A:$A,"&lt;="&amp;DATE(2026,10,14))</f>
        <v/>
      </c>
      <c r="HQ14">
        <f>COUNTIFS('DRAFT 2'!$D:$D,$B14,'DRAFT 2'!$A:$A,"&gt;="&amp;DATE(2026,10,15),'DRAFT 2'!$A:$A,"&lt;="&amp;DATE(2026,10,21))</f>
        <v/>
      </c>
      <c r="HR14">
        <f>COUNTIFS('DRAFT 2'!$D:$D,$B14,'DRAFT 2'!$A:$A,"&gt;="&amp;DATE(2026,10,22),'DRAFT 2'!$A:$A,"&lt;"&amp;DATE(2026,IF(10=12,10+1,10+1),1))</f>
        <v/>
      </c>
      <c r="HS14">
        <f>SUM(HO14:HR14)</f>
        <v/>
      </c>
      <c r="IC14">
        <f>IFERROR(LOOKUP(2,1/('DRAFT 2'!$D:$D=$B14)*('DRAFT 2'!$A:$A&gt;=DATE(2026,11,1))*('DRAFT 2'!$A:$A&lt;DATE(2026,IF(11=12,11+1,11+1),1)),'DRAFT 2'!$A:$A),"")</f>
        <v/>
      </c>
      <c r="ID14">
        <f>COUNTIFS('DRAFT 2'!$D:$D,$B14,'DRAFT 2'!$A:$A,"&gt;="&amp;DATE(2026,11,1),'DRAFT 2'!$A:$A,"&lt;="&amp;DATE(2026,11,7))</f>
        <v/>
      </c>
      <c r="IE14">
        <f>COUNTIFS('DRAFT 2'!$D:$D,$B14,'DRAFT 2'!$A:$A,"&gt;="&amp;DATE(2026,11,8),'DRAFT 2'!$A:$A,"&lt;="&amp;DATE(2026,11,14))</f>
        <v/>
      </c>
      <c r="IF14">
        <f>COUNTIFS('DRAFT 2'!$D:$D,$B14,'DRAFT 2'!$A:$A,"&gt;="&amp;DATE(2026,11,15),'DRAFT 2'!$A:$A,"&lt;="&amp;DATE(2026,11,21))</f>
        <v/>
      </c>
      <c r="IG14">
        <f>COUNTIFS('DRAFT 2'!$D:$D,$B14,'DRAFT 2'!$A:$A,"&gt;="&amp;DATE(2026,11,22),'DRAFT 2'!$A:$A,"&lt;"&amp;DATE(2026,IF(11=12,11+1,11+1),1))</f>
        <v/>
      </c>
      <c r="IH14">
        <f>SUM(ID14:IG14)</f>
        <v/>
      </c>
      <c r="IR14">
        <f>IFERROR(LOOKUP(2,1/('DRAFT 2'!$D:$D=$B14)*('DRAFT 2'!$A:$A&gt;=DATE(2026,12,1))*('DRAFT 2'!$A:$A&lt;DATE(2026,IF(12=12,12+1,12+1),1)),'DRAFT 2'!$A:$A),"")</f>
        <v/>
      </c>
      <c r="IS14">
        <f>COUNTIFS('DRAFT 2'!$D:$D,$B14,'DRAFT 2'!$A:$A,"&gt;="&amp;DATE(2026,12,1),'DRAFT 2'!$A:$A,"&lt;="&amp;DATE(2026,12,7))</f>
        <v/>
      </c>
      <c r="IT14">
        <f>COUNTIFS('DRAFT 2'!$D:$D,$B14,'DRAFT 2'!$A:$A,"&gt;="&amp;DATE(2026,12,8),'DRAFT 2'!$A:$A,"&lt;="&amp;DATE(2026,12,14))</f>
        <v/>
      </c>
      <c r="IU14">
        <f>COUNTIFS('DRAFT 2'!$D:$D,$B14,'DRAFT 2'!$A:$A,"&gt;="&amp;DATE(2026,12,15),'DRAFT 2'!$A:$A,"&lt;="&amp;DATE(2026,12,21))</f>
        <v/>
      </c>
      <c r="IV14">
        <f>COUNTIFS('DRAFT 2'!$D:$D,$B14,'DRAFT 2'!$A:$A,"&gt;="&amp;DATE(2026,12,22),'DRAFT 2'!$A:$A,"&lt;"&amp;DATE(2026,IF(12=12,12+1,12+1),1))</f>
        <v/>
      </c>
      <c r="IW14">
        <f>SUM(IS14:IV14)</f>
        <v/>
      </c>
    </row>
    <row r="15">
      <c r="A15">
        <f>IFERROR(INDEX('DRAFT 1'!$A:$A,MATCH($B15,'DRAFT 1'!$B:$B,0)),"")</f>
        <v/>
      </c>
      <c r="C15">
        <f>IFERROR(INDEX('DRAFT 1'!$C:$C,MATCH($B15,'DRAFT 1'!$B:$B,0)),"")</f>
        <v/>
      </c>
      <c r="D15">
        <f>IFERROR(INDEX('DRAFT 1'!$D:$D,MATCH($B15,'DRAFT 1'!$B:$B,0)),"")</f>
        <v/>
      </c>
      <c r="E15">
        <f>IFERROR(INDEX('DRAFT 1'!$E:$E,MATCH($B15,'DRAFT 1'!$B:$B,0)),"")</f>
        <v/>
      </c>
      <c r="F15">
        <f>IFERROR(INDEX('DRAFT 1'!$F:$F,MATCH($B15,'DRAFT 1'!$B:$B,0)),"")</f>
        <v/>
      </c>
      <c r="G15">
        <f>IFERROR(INDEX('DRAFT 1'!$G:$G,MATCH($B15,'DRAFT 1'!$B:$B,0)),"")</f>
        <v/>
      </c>
      <c r="H15">
        <f>IFERROR(INDEX('DRAFT 1'!$H:$H,MATCH($B15,'DRAFT 1'!$B:$B,0)),"")</f>
        <v/>
      </c>
      <c r="I15" t="inlineStr">
        <is>
          <t>BIOMUNDO</t>
        </is>
      </c>
      <c r="K15">
        <f>IFERROR(INDEX('DRAFT 1'!$AL:$AL,MATCH($B15,'DRAFT 1'!$B:$B,0)),"")</f>
        <v/>
      </c>
      <c r="L15">
        <f>IFERROR(INDEX('DRAFT 1'!$J:$J,MATCH($B15,'DRAFT 1'!$B:$B,0)),"")</f>
        <v/>
      </c>
      <c r="M15">
        <f>IFERROR(INDEX('DRAFT 1'!$K:$K,MATCH($B15,'DRAFT 1'!$B:$B,0)),"")</f>
        <v/>
      </c>
      <c r="N15" t="inlineStr">
        <is>
          <t>INAT.REC</t>
        </is>
      </c>
      <c r="P15">
        <f>IFERROR(INDEX('DRAFT 1'!$L:$L,MATCH($B15,'DRAFT 1'!$B:$B,0)),"")</f>
        <v/>
      </c>
      <c r="Q15">
        <f>IFERROR(INDEX('DRAFT 1'!$M:$M,MATCH($B15,'DRAFT 1'!$B:$B,0)),"")</f>
        <v/>
      </c>
      <c r="R15">
        <f>IFERROR(INDEX('DRAFT 1'!$N:$N,MATCH($B15,'DRAFT 1'!$B:$B,0)),"")</f>
        <v/>
      </c>
      <c r="S15">
        <f>IFERROR(INDEX('DRAFT 1'!$O:$O,MATCH($B15,'DRAFT 1'!$B:$B,0)),"")</f>
        <v/>
      </c>
      <c r="T15">
        <f>IFERROR(INDEX('DRAFT 1'!$P:$P,MATCH($B15,'DRAFT 1'!$B:$B,0)),"")</f>
        <v/>
      </c>
      <c r="U15">
        <f>IFERROR(INDEX('DRAFT 1'!$Q:$Q,MATCH($B15,'DRAFT 1'!$B:$B,0)),"")</f>
        <v/>
      </c>
      <c r="V15">
        <f>IFERROR(INDEX('DRAFT 1'!$R:$R,MATCH($B15,'DRAFT 1'!$B:$B,0)),"")</f>
        <v/>
      </c>
      <c r="W15">
        <f>IFERROR(INDEX('DRAFT 1'!$S:$S,MATCH($B15,'DRAFT 1'!$B:$B,0)),"")</f>
        <v/>
      </c>
      <c r="X15">
        <f>IFERROR(INDEX('DRAFT 1'!$T:$T,MATCH($B15,'DRAFT 1'!$B:$B,0)),"")</f>
        <v/>
      </c>
      <c r="Z15">
        <f>IFERROR(INDEX('DRAFT 1'!$U:$U,MATCH($B15,'DRAFT 1'!$B:$B,0)),"")</f>
        <v/>
      </c>
      <c r="AA15">
        <f>IFERROR(INDEX('DRAFT 1'!$V:$V,MATCH($B15,'DRAFT 1'!$B:$B,0)),"")</f>
        <v/>
      </c>
      <c r="AB15">
        <f>IFERROR(INDEX('DRAFT 1'!$W:$W,MATCH($B15,'DRAFT 1'!$B:$B,0)),"")</f>
        <v/>
      </c>
      <c r="AC15">
        <f>IFERROR(INDEX('DRAFT 1'!$X:$X,MATCH($B15,'DRAFT 1'!$B:$B,0)),"")</f>
        <v/>
      </c>
      <c r="AD15">
        <f>IFERROR(INDEX('DRAFT 1'!$Y:$Y,MATCH($B15,'DRAFT 1'!$B:$B,0)),"")</f>
        <v/>
      </c>
      <c r="AE15">
        <f>IFERROR(INDEX('DRAFT 1'!$Z:$Z,MATCH($B15,'DRAFT 1'!$B:$B,0)),"")</f>
        <v/>
      </c>
      <c r="AF15">
        <f>IFERROR(INDEX('DRAFT 1'!$AA:$AA,MATCH($B15,'DRAFT 1'!$B:$B,0)),"")</f>
        <v/>
      </c>
      <c r="AG15">
        <f>IFERROR(INDEX('DRAFT 1'!$AB:$AB,MATCH($B15,'DRAFT 1'!$B:$B,0)),"")</f>
        <v/>
      </c>
      <c r="AH15">
        <f>IFERROR(INDEX('DRAFT 1'!$AC:$AC,MATCH($B15,'DRAFT 1'!$B:$B,0)),"")</f>
        <v/>
      </c>
      <c r="AI15">
        <f>IFERROR(INDEX('DRAFT 1'!$AD:$AD,MATCH($B15,'DRAFT 1'!$B:$B,0)),"")</f>
        <v/>
      </c>
      <c r="AJ15">
        <f>IFERROR(INDEX('DRAFT 1'!$AE:$AE,MATCH($B15,'DRAFT 1'!$B:$B,0)),"")</f>
        <v/>
      </c>
      <c r="AK15">
        <f>IFERROR(INDEX('DRAFT 1'!$AG:$AG,MATCH($B15,'DRAFT 1'!$B:$B,0)),"")</f>
        <v/>
      </c>
      <c r="AL15">
        <f>IFERROR(INDEX('DRAFT 1'!$AH:$AH,MATCH($B15,'DRAFT 1'!$B:$B,0)),"")</f>
        <v/>
      </c>
      <c r="AM15">
        <f>IFERROR(INDEX('DRAFT 1'!$AI:$AI,MATCH($B15,'DRAFT 1'!$B:$B,0)),"")</f>
        <v/>
      </c>
      <c r="AN15">
        <f>IFERROR(INDEX('DRAFT 1'!$AJ:$AJ,MATCH($B15,'DRAFT 1'!$B:$B,0)),"")</f>
        <v/>
      </c>
      <c r="AO15">
        <f>IFERROR(Y15/AN15,0)</f>
        <v/>
      </c>
      <c r="AP15">
        <f>IFERROR(INDEX('DRAFT 1'!$AK:$AK,MATCH($B15,'DRAFT 1'!$B:$B,0)),"")</f>
        <v/>
      </c>
      <c r="AR15" t="inlineStr">
        <is>
          <t>CS</t>
        </is>
      </c>
      <c r="AS15">
        <f>IFERROR(LOOKUP(2,1/('DRAFT 2'!$D:$D=$B15),'DRAFT 2'!$T:$T),"")</f>
        <v/>
      </c>
      <c r="AT15">
        <f>IFERROR(LOOKUP(2,1/('DRAFT 2'!$D:$D=$B15),'DRAFT 2'!$A:$A),"")</f>
        <v/>
      </c>
      <c r="AU15">
        <f>IFERROR(LOOKUP(2,1/('DRAFT 2'!$D:$D=$B15),'DRAFT 2'!$R:$R),"")</f>
        <v/>
      </c>
      <c r="AV15">
        <f>IFERROR(LOOKUP(2,1/('DRAFT 2'!$D:$D=$B15),'DRAFT 2'!$S:$S),"")</f>
        <v/>
      </c>
      <c r="AW15" t="inlineStr">
        <is>
          <t>RECORRENTE</t>
        </is>
      </c>
      <c r="AX15">
        <f>IFERROR(LOOKUP(2,1/('DRAFT 2'!$D:$D=$B15),'DRAFT 2'!$M:$M),"")</f>
        <v/>
      </c>
      <c r="AY15">
        <f>IFERROR(LOOKUP(2,1/('DRAFT 2'!$D:$D=$B15),'DRAFT 2'!$K:$K),"")</f>
        <v/>
      </c>
      <c r="BG15">
        <f>IFERROR(LOOKUP(2,1/('DRAFT 2'!$D:$D=$B15),'DRAFT 2'!$U:$U),"")</f>
        <v/>
      </c>
      <c r="BH15">
        <f>IFERROR(LOOKUP(2,1/('DRAFT 2'!$D:$D=$B15),'DRAFT 2'!$V:$V),"")</f>
        <v/>
      </c>
      <c r="CE15">
        <f>IFERROR(AJ15,0)</f>
        <v/>
      </c>
      <c r="CF15">
        <f>IFERROR(LOOKUP(2,1/('DRAFT 2'!$D:$D=$B15)*('DRAFT 2'!$A:$A&gt;=DATE(2026,1,1))*('DRAFT 2'!$A:$A&lt;DATE(2026,IF(1=12,1+1,1+1),1)),'DRAFT 2'!$A:$A),"")</f>
        <v/>
      </c>
      <c r="CG15">
        <f>COUNTIFS('DRAFT 2'!$D:$D,$B15,'DRAFT 2'!$A:$A,"&gt;="&amp;DATE(2026,1,1),'DRAFT 2'!$A:$A,"&lt;="&amp;DATE(2026,1,7))</f>
        <v/>
      </c>
      <c r="CH15">
        <f>COUNTIFS('DRAFT 2'!$D:$D,$B15,'DRAFT 2'!$A:$A,"&gt;="&amp;DATE(2026,1,8),'DRAFT 2'!$A:$A,"&lt;="&amp;DATE(2026,1,14))</f>
        <v/>
      </c>
      <c r="CI15">
        <f>COUNTIFS('DRAFT 2'!$D:$D,$B15,'DRAFT 2'!$A:$A,"&gt;="&amp;DATE(2026,1,15),'DRAFT 2'!$A:$A,"&lt;="&amp;DATE(2026,1,21))</f>
        <v/>
      </c>
      <c r="CJ15">
        <f>COUNTIFS('DRAFT 2'!$D:$D,$B15,'DRAFT 2'!$A:$A,"&gt;="&amp;DATE(2026,1,22),'DRAFT 2'!$A:$A,"&lt;"&amp;DATE(2026,IF(1=12,1+1,1+1),1))</f>
        <v/>
      </c>
      <c r="CK15">
        <f>SUM(CG15:CJ15)</f>
        <v/>
      </c>
      <c r="CT15" t="n">
        <v>0</v>
      </c>
      <c r="CU15">
        <f>IFERROR(LOOKUP(2,1/('DRAFT 2'!$D:$D=$B15)*('DRAFT 2'!$A:$A&gt;=DATE(2026,2,1))*('DRAFT 2'!$A:$A&lt;DATE(2026,IF(2=12,2+1,2+1),1)),'DRAFT 2'!$A:$A),"")</f>
        <v/>
      </c>
      <c r="CV15">
        <f>COUNTIFS('DRAFT 2'!$D:$D,$B15,'DRAFT 2'!$A:$A,"&gt;="&amp;DATE(2026,2,1),'DRAFT 2'!$A:$A,"&lt;="&amp;DATE(2026,2,7))</f>
        <v/>
      </c>
      <c r="CW15">
        <f>COUNTIFS('DRAFT 2'!$D:$D,$B15,'DRAFT 2'!$A:$A,"&gt;="&amp;DATE(2026,2,8),'DRAFT 2'!$A:$A,"&lt;="&amp;DATE(2026,2,14))</f>
        <v/>
      </c>
      <c r="CX15">
        <f>COUNTIFS('DRAFT 2'!$D:$D,$B15,'DRAFT 2'!$A:$A,"&gt;="&amp;DATE(2026,2,15),'DRAFT 2'!$A:$A,"&lt;="&amp;DATE(2026,2,21))</f>
        <v/>
      </c>
      <c r="CY15">
        <f>COUNTIFS('DRAFT 2'!$D:$D,$B15,'DRAFT 2'!$A:$A,"&gt;="&amp;DATE(2026,2,22),'DRAFT 2'!$A:$A,"&lt;"&amp;DATE(2026,IF(2=12,2+1,2+1),1))</f>
        <v/>
      </c>
      <c r="CZ15">
        <f>SUM(CV15:CY15)</f>
        <v/>
      </c>
      <c r="DJ15">
        <f>IFERROR(LOOKUP(2,1/('DRAFT 2'!$D:$D=$B15)*('DRAFT 2'!$A:$A&gt;=DATE(2026,3,1))*('DRAFT 2'!$A:$A&lt;DATE(2026,IF(3=12,3+1,3+1),1)),'DRAFT 2'!$A:$A),"")</f>
        <v/>
      </c>
      <c r="DK15">
        <f>COUNTIFS('DRAFT 2'!$D:$D,$B15,'DRAFT 2'!$A:$A,"&gt;="&amp;DATE(2026,3,1),'DRAFT 2'!$A:$A,"&lt;="&amp;DATE(2026,3,7))</f>
        <v/>
      </c>
      <c r="DL15">
        <f>COUNTIFS('DRAFT 2'!$D:$D,$B15,'DRAFT 2'!$A:$A,"&gt;="&amp;DATE(2026,3,8),'DRAFT 2'!$A:$A,"&lt;="&amp;DATE(2026,3,14))</f>
        <v/>
      </c>
      <c r="DM15">
        <f>COUNTIFS('DRAFT 2'!$D:$D,$B15,'DRAFT 2'!$A:$A,"&gt;="&amp;DATE(2026,3,15),'DRAFT 2'!$A:$A,"&lt;="&amp;DATE(2026,3,21))</f>
        <v/>
      </c>
      <c r="DN15">
        <f>COUNTIFS('DRAFT 2'!$D:$D,$B15,'DRAFT 2'!$A:$A,"&gt;="&amp;DATE(2026,3,22),'DRAFT 2'!$A:$A,"&lt;"&amp;DATE(2026,IF(3=12,3+1,3+1),1))</f>
        <v/>
      </c>
      <c r="DO15">
        <f>SUM(DK15:DN15)</f>
        <v/>
      </c>
      <c r="DZ15">
        <f>IFERROR(LOOKUP(2,1/('DRAFT 2'!$D:$D=$B15)*('DRAFT 2'!$A:$A&gt;=DATE(2026,4,1))*('DRAFT 2'!$A:$A&lt;DATE(2026,IF(4=12,4+1,4+1),1)),'DRAFT 2'!$A:$A),"")</f>
        <v/>
      </c>
      <c r="EA15">
        <f>COUNTIFS('DRAFT 2'!$D:$D,$B15,'DRAFT 2'!$A:$A,"&gt;="&amp;DATE(2026,4,1),'DRAFT 2'!$A:$A,"&lt;="&amp;DATE(2026,4,7))</f>
        <v/>
      </c>
      <c r="EB15">
        <f>COUNTIFS('DRAFT 2'!$D:$D,$B15,'DRAFT 2'!$A:$A,"&gt;="&amp;DATE(2026,4,8),'DRAFT 2'!$A:$A,"&lt;="&amp;DATE(2026,4,14))</f>
        <v/>
      </c>
      <c r="EC15">
        <f>COUNTIFS('DRAFT 2'!$D:$D,$B15,'DRAFT 2'!$A:$A,"&gt;="&amp;DATE(2026,4,15),'DRAFT 2'!$A:$A,"&lt;="&amp;DATE(2026,4,21))</f>
        <v/>
      </c>
      <c r="ED15">
        <f>COUNTIFS('DRAFT 2'!$D:$D,$B15,'DRAFT 2'!$A:$A,"&gt;="&amp;DATE(2026,4,22),'DRAFT 2'!$A:$A,"&lt;"&amp;DATE(2026,IF(4=12,4+1,4+1),1))</f>
        <v/>
      </c>
      <c r="EE15">
        <f>SUM(EA15:ED15)</f>
        <v/>
      </c>
      <c r="EO15">
        <f>IFERROR(LOOKUP(2,1/('DRAFT 2'!$D:$D=$B15)*('DRAFT 2'!$A:$A&gt;=DATE(2026,5,1))*('DRAFT 2'!$A:$A&lt;DATE(2026,IF(5=12,5+1,5+1),1)),'DRAFT 2'!$A:$A),"")</f>
        <v/>
      </c>
      <c r="EP15">
        <f>COUNTIFS('DRAFT 2'!$D:$D,$B15,'DRAFT 2'!$A:$A,"&gt;="&amp;DATE(2026,5,1),'DRAFT 2'!$A:$A,"&lt;="&amp;DATE(2026,5,7))</f>
        <v/>
      </c>
      <c r="EQ15">
        <f>COUNTIFS('DRAFT 2'!$D:$D,$B15,'DRAFT 2'!$A:$A,"&gt;="&amp;DATE(2026,5,8),'DRAFT 2'!$A:$A,"&lt;="&amp;DATE(2026,5,14))</f>
        <v/>
      </c>
      <c r="ER15">
        <f>COUNTIFS('DRAFT 2'!$D:$D,$B15,'DRAFT 2'!$A:$A,"&gt;="&amp;DATE(2026,5,15),'DRAFT 2'!$A:$A,"&lt;="&amp;DATE(2026,5,21))</f>
        <v/>
      </c>
      <c r="ES15">
        <f>COUNTIFS('DRAFT 2'!$D:$D,$B15,'DRAFT 2'!$A:$A,"&gt;="&amp;DATE(2026,5,22),'DRAFT 2'!$A:$A,"&lt;"&amp;DATE(2026,IF(5=12,5+1,5+1),1))</f>
        <v/>
      </c>
      <c r="ET15">
        <f>SUM(EP15:ES15)</f>
        <v/>
      </c>
      <c r="FD15">
        <f>IFERROR(LOOKUP(2,1/('DRAFT 2'!$D:$D=$B15)*('DRAFT 2'!$A:$A&gt;=DATE(2026,6,1))*('DRAFT 2'!$A:$A&lt;DATE(2026,IF(6=12,6+1,6+1),1)),'DRAFT 2'!$A:$A),"")</f>
        <v/>
      </c>
      <c r="FE15">
        <f>COUNTIFS('DRAFT 2'!$D:$D,$B15,'DRAFT 2'!$A:$A,"&gt;="&amp;DATE(2026,6,1),'DRAFT 2'!$A:$A,"&lt;="&amp;DATE(2026,6,7))</f>
        <v/>
      </c>
      <c r="FF15">
        <f>COUNTIFS('DRAFT 2'!$D:$D,$B15,'DRAFT 2'!$A:$A,"&gt;="&amp;DATE(2026,6,8),'DRAFT 2'!$A:$A,"&lt;="&amp;DATE(2026,6,14))</f>
        <v/>
      </c>
      <c r="FG15">
        <f>COUNTIFS('DRAFT 2'!$D:$D,$B15,'DRAFT 2'!$A:$A,"&gt;="&amp;DATE(2026,6,15),'DRAFT 2'!$A:$A,"&lt;="&amp;DATE(2026,6,21))</f>
        <v/>
      </c>
      <c r="FH15">
        <f>COUNTIFS('DRAFT 2'!$D:$D,$B15,'DRAFT 2'!$A:$A,"&gt;="&amp;DATE(2026,6,22),'DRAFT 2'!$A:$A,"&lt;"&amp;DATE(2026,IF(6=12,6+1,6+1),1))</f>
        <v/>
      </c>
      <c r="FI15">
        <f>SUM(FE15:FH15)</f>
        <v/>
      </c>
      <c r="FT15">
        <f>IFERROR(LOOKUP(2,1/('DRAFT 2'!$D:$D=$B15)*('DRAFT 2'!$A:$A&gt;=DATE(2026,7,1))*('DRAFT 2'!$A:$A&lt;DATE(2026,IF(7=12,7+1,7+1),1)),'DRAFT 2'!$A:$A),"")</f>
        <v/>
      </c>
      <c r="FU15">
        <f>COUNTIFS('DRAFT 2'!$D:$D,$B15,'DRAFT 2'!$A:$A,"&gt;="&amp;DATE(2026,7,1),'DRAFT 2'!$A:$A,"&lt;="&amp;DATE(2026,7,7))</f>
        <v/>
      </c>
      <c r="FV15">
        <f>COUNTIFS('DRAFT 2'!$D:$D,$B15,'DRAFT 2'!$A:$A,"&gt;="&amp;DATE(2026,7,8),'DRAFT 2'!$A:$A,"&lt;="&amp;DATE(2026,7,14))</f>
        <v/>
      </c>
      <c r="FW15">
        <f>COUNTIFS('DRAFT 2'!$D:$D,$B15,'DRAFT 2'!$A:$A,"&gt;="&amp;DATE(2026,7,15),'DRAFT 2'!$A:$A,"&lt;="&amp;DATE(2026,7,21))</f>
        <v/>
      </c>
      <c r="FX15">
        <f>COUNTIFS('DRAFT 2'!$D:$D,$B15,'DRAFT 2'!$A:$A,"&gt;="&amp;DATE(2026,7,22),'DRAFT 2'!$A:$A,"&lt;"&amp;DATE(2026,IF(7=12,7+1,7+1),1))</f>
        <v/>
      </c>
      <c r="FY15">
        <f>SUM(FU15:FX15)</f>
        <v/>
      </c>
      <c r="GI15">
        <f>IFERROR(LOOKUP(2,1/('DRAFT 2'!$D:$D=$B15)*('DRAFT 2'!$A:$A&gt;=DATE(2026,8,1))*('DRAFT 2'!$A:$A&lt;DATE(2026,IF(8=12,8+1,8+1),1)),'DRAFT 2'!$A:$A),"")</f>
        <v/>
      </c>
      <c r="GJ15">
        <f>COUNTIFS('DRAFT 2'!$D:$D,$B15,'DRAFT 2'!$A:$A,"&gt;="&amp;DATE(2026,8,1),'DRAFT 2'!$A:$A,"&lt;="&amp;DATE(2026,8,7))</f>
        <v/>
      </c>
      <c r="GK15">
        <f>COUNTIFS('DRAFT 2'!$D:$D,$B15,'DRAFT 2'!$A:$A,"&gt;="&amp;DATE(2026,8,8),'DRAFT 2'!$A:$A,"&lt;="&amp;DATE(2026,8,14))</f>
        <v/>
      </c>
      <c r="GL15">
        <f>COUNTIFS('DRAFT 2'!$D:$D,$B15,'DRAFT 2'!$A:$A,"&gt;="&amp;DATE(2026,8,15),'DRAFT 2'!$A:$A,"&lt;="&amp;DATE(2026,8,21))</f>
        <v/>
      </c>
      <c r="GM15">
        <f>COUNTIFS('DRAFT 2'!$D:$D,$B15,'DRAFT 2'!$A:$A,"&gt;="&amp;DATE(2026,8,22),'DRAFT 2'!$A:$A,"&lt;"&amp;DATE(2026,IF(8=12,8+1,8+1),1))</f>
        <v/>
      </c>
      <c r="GN15">
        <f>SUM(GJ15:GM15)</f>
        <v/>
      </c>
      <c r="GX15">
        <f>IFERROR(LOOKUP(2,1/('DRAFT 2'!$D:$D=$B15)*('DRAFT 2'!$A:$A&gt;=DATE(2026,9,1))*('DRAFT 2'!$A:$A&lt;DATE(2026,IF(9=12,9+1,9+1),1)),'DRAFT 2'!$A:$A),"")</f>
        <v/>
      </c>
      <c r="GY15">
        <f>COUNTIFS('DRAFT 2'!$D:$D,$B15,'DRAFT 2'!$A:$A,"&gt;="&amp;DATE(2026,9,1),'DRAFT 2'!$A:$A,"&lt;="&amp;DATE(2026,9,7))</f>
        <v/>
      </c>
      <c r="GZ15">
        <f>COUNTIFS('DRAFT 2'!$D:$D,$B15,'DRAFT 2'!$A:$A,"&gt;="&amp;DATE(2026,9,8),'DRAFT 2'!$A:$A,"&lt;="&amp;DATE(2026,9,14))</f>
        <v/>
      </c>
      <c r="HA15">
        <f>COUNTIFS('DRAFT 2'!$D:$D,$B15,'DRAFT 2'!$A:$A,"&gt;="&amp;DATE(2026,9,15),'DRAFT 2'!$A:$A,"&lt;="&amp;DATE(2026,9,21))</f>
        <v/>
      </c>
      <c r="HB15">
        <f>COUNTIFS('DRAFT 2'!$D:$D,$B15,'DRAFT 2'!$A:$A,"&gt;="&amp;DATE(2026,9,22),'DRAFT 2'!$A:$A,"&lt;"&amp;DATE(2026,IF(9=12,9+1,9+1),1))</f>
        <v/>
      </c>
      <c r="HC15">
        <f>SUM(GY15:HB15)</f>
        <v/>
      </c>
      <c r="HN15">
        <f>IFERROR(LOOKUP(2,1/('DRAFT 2'!$D:$D=$B15)*('DRAFT 2'!$A:$A&gt;=DATE(2026,10,1))*('DRAFT 2'!$A:$A&lt;DATE(2026,IF(10=12,10+1,10+1),1)),'DRAFT 2'!$A:$A),"")</f>
        <v/>
      </c>
      <c r="HO15">
        <f>COUNTIFS('DRAFT 2'!$D:$D,$B15,'DRAFT 2'!$A:$A,"&gt;="&amp;DATE(2026,10,1),'DRAFT 2'!$A:$A,"&lt;="&amp;DATE(2026,10,7))</f>
        <v/>
      </c>
      <c r="HP15">
        <f>COUNTIFS('DRAFT 2'!$D:$D,$B15,'DRAFT 2'!$A:$A,"&gt;="&amp;DATE(2026,10,8),'DRAFT 2'!$A:$A,"&lt;="&amp;DATE(2026,10,14))</f>
        <v/>
      </c>
      <c r="HQ15">
        <f>COUNTIFS('DRAFT 2'!$D:$D,$B15,'DRAFT 2'!$A:$A,"&gt;="&amp;DATE(2026,10,15),'DRAFT 2'!$A:$A,"&lt;="&amp;DATE(2026,10,21))</f>
        <v/>
      </c>
      <c r="HR15">
        <f>COUNTIFS('DRAFT 2'!$D:$D,$B15,'DRAFT 2'!$A:$A,"&gt;="&amp;DATE(2026,10,22),'DRAFT 2'!$A:$A,"&lt;"&amp;DATE(2026,IF(10=12,10+1,10+1),1))</f>
        <v/>
      </c>
      <c r="HS15">
        <f>SUM(HO15:HR15)</f>
        <v/>
      </c>
      <c r="IC15">
        <f>IFERROR(LOOKUP(2,1/('DRAFT 2'!$D:$D=$B15)*('DRAFT 2'!$A:$A&gt;=DATE(2026,11,1))*('DRAFT 2'!$A:$A&lt;DATE(2026,IF(11=12,11+1,11+1),1)),'DRAFT 2'!$A:$A),"")</f>
        <v/>
      </c>
      <c r="ID15">
        <f>COUNTIFS('DRAFT 2'!$D:$D,$B15,'DRAFT 2'!$A:$A,"&gt;="&amp;DATE(2026,11,1),'DRAFT 2'!$A:$A,"&lt;="&amp;DATE(2026,11,7))</f>
        <v/>
      </c>
      <c r="IE15">
        <f>COUNTIFS('DRAFT 2'!$D:$D,$B15,'DRAFT 2'!$A:$A,"&gt;="&amp;DATE(2026,11,8),'DRAFT 2'!$A:$A,"&lt;="&amp;DATE(2026,11,14))</f>
        <v/>
      </c>
      <c r="IF15">
        <f>COUNTIFS('DRAFT 2'!$D:$D,$B15,'DRAFT 2'!$A:$A,"&gt;="&amp;DATE(2026,11,15),'DRAFT 2'!$A:$A,"&lt;="&amp;DATE(2026,11,21))</f>
        <v/>
      </c>
      <c r="IG15">
        <f>COUNTIFS('DRAFT 2'!$D:$D,$B15,'DRAFT 2'!$A:$A,"&gt;="&amp;DATE(2026,11,22),'DRAFT 2'!$A:$A,"&lt;"&amp;DATE(2026,IF(11=12,11+1,11+1),1))</f>
        <v/>
      </c>
      <c r="IH15">
        <f>SUM(ID15:IG15)</f>
        <v/>
      </c>
      <c r="IR15">
        <f>IFERROR(LOOKUP(2,1/('DRAFT 2'!$D:$D=$B15)*('DRAFT 2'!$A:$A&gt;=DATE(2026,12,1))*('DRAFT 2'!$A:$A&lt;DATE(2026,IF(12=12,12+1,12+1),1)),'DRAFT 2'!$A:$A),"")</f>
        <v/>
      </c>
      <c r="IS15">
        <f>COUNTIFS('DRAFT 2'!$D:$D,$B15,'DRAFT 2'!$A:$A,"&gt;="&amp;DATE(2026,12,1),'DRAFT 2'!$A:$A,"&lt;="&amp;DATE(2026,12,7))</f>
        <v/>
      </c>
      <c r="IT15">
        <f>COUNTIFS('DRAFT 2'!$D:$D,$B15,'DRAFT 2'!$A:$A,"&gt;="&amp;DATE(2026,12,8),'DRAFT 2'!$A:$A,"&lt;="&amp;DATE(2026,12,14))</f>
        <v/>
      </c>
      <c r="IU15">
        <f>COUNTIFS('DRAFT 2'!$D:$D,$B15,'DRAFT 2'!$A:$A,"&gt;="&amp;DATE(2026,12,15),'DRAFT 2'!$A:$A,"&lt;="&amp;DATE(2026,12,21))</f>
        <v/>
      </c>
      <c r="IV15">
        <f>COUNTIFS('DRAFT 2'!$D:$D,$B15,'DRAFT 2'!$A:$A,"&gt;="&amp;DATE(2026,12,22),'DRAFT 2'!$A:$A,"&lt;"&amp;DATE(2026,IF(12=12,12+1,12+1),1))</f>
        <v/>
      </c>
      <c r="IW15">
        <f>SUM(IS15:IV15)</f>
        <v/>
      </c>
    </row>
    <row r="16">
      <c r="A16">
        <f>IFERROR(INDEX('DRAFT 1'!$A:$A,MATCH($B16,'DRAFT 1'!$B:$B,0)),"")</f>
        <v/>
      </c>
      <c r="C16">
        <f>IFERROR(INDEX('DRAFT 1'!$C:$C,MATCH($B16,'DRAFT 1'!$B:$B,0)),"")</f>
        <v/>
      </c>
      <c r="D16">
        <f>IFERROR(INDEX('DRAFT 1'!$D:$D,MATCH($B16,'DRAFT 1'!$B:$B,0)),"")</f>
        <v/>
      </c>
      <c r="E16">
        <f>IFERROR(INDEX('DRAFT 1'!$E:$E,MATCH($B16,'DRAFT 1'!$B:$B,0)),"")</f>
        <v/>
      </c>
      <c r="F16">
        <f>IFERROR(INDEX('DRAFT 1'!$F:$F,MATCH($B16,'DRAFT 1'!$B:$B,0)),"")</f>
        <v/>
      </c>
      <c r="G16">
        <f>IFERROR(INDEX('DRAFT 1'!$G:$G,MATCH($B16,'DRAFT 1'!$B:$B,0)),"")</f>
        <v/>
      </c>
      <c r="H16">
        <f>IFERROR(INDEX('DRAFT 1'!$H:$H,MATCH($B16,'DRAFT 1'!$B:$B,0)),"")</f>
        <v/>
      </c>
      <c r="I16" t="inlineStr">
        <is>
          <t>TUDO EM GRAOS</t>
        </is>
      </c>
      <c r="K16">
        <f>IFERROR(INDEX('DRAFT 1'!$AL:$AL,MATCH($B16,'DRAFT 1'!$B:$B,0)),"")</f>
        <v/>
      </c>
      <c r="L16">
        <f>IFERROR(INDEX('DRAFT 1'!$J:$J,MATCH($B16,'DRAFT 1'!$B:$B,0)),"")</f>
        <v/>
      </c>
      <c r="M16">
        <f>IFERROR(INDEX('DRAFT 1'!$K:$K,MATCH($B16,'DRAFT 1'!$B:$B,0)),"")</f>
        <v/>
      </c>
      <c r="N16" t="inlineStr">
        <is>
          <t>ATIVO</t>
        </is>
      </c>
      <c r="P16">
        <f>IFERROR(INDEX('DRAFT 1'!$L:$L,MATCH($B16,'DRAFT 1'!$B:$B,0)),"")</f>
        <v/>
      </c>
      <c r="Q16">
        <f>IFERROR(INDEX('DRAFT 1'!$M:$M,MATCH($B16,'DRAFT 1'!$B:$B,0)),"")</f>
        <v/>
      </c>
      <c r="R16">
        <f>IFERROR(INDEX('DRAFT 1'!$N:$N,MATCH($B16,'DRAFT 1'!$B:$B,0)),"")</f>
        <v/>
      </c>
      <c r="S16">
        <f>IFERROR(INDEX('DRAFT 1'!$O:$O,MATCH($B16,'DRAFT 1'!$B:$B,0)),"")</f>
        <v/>
      </c>
      <c r="T16">
        <f>IFERROR(INDEX('DRAFT 1'!$P:$P,MATCH($B16,'DRAFT 1'!$B:$B,0)),"")</f>
        <v/>
      </c>
      <c r="U16">
        <f>IFERROR(INDEX('DRAFT 1'!$Q:$Q,MATCH($B16,'DRAFT 1'!$B:$B,0)),"")</f>
        <v/>
      </c>
      <c r="V16">
        <f>IFERROR(INDEX('DRAFT 1'!$R:$R,MATCH($B16,'DRAFT 1'!$B:$B,0)),"")</f>
        <v/>
      </c>
      <c r="W16">
        <f>IFERROR(INDEX('DRAFT 1'!$S:$S,MATCH($B16,'DRAFT 1'!$B:$B,0)),"")</f>
        <v/>
      </c>
      <c r="X16">
        <f>IFERROR(INDEX('DRAFT 1'!$T:$T,MATCH($B16,'DRAFT 1'!$B:$B,0)),"")</f>
        <v/>
      </c>
      <c r="Z16">
        <f>IFERROR(INDEX('DRAFT 1'!$U:$U,MATCH($B16,'DRAFT 1'!$B:$B,0)),"")</f>
        <v/>
      </c>
      <c r="AA16">
        <f>IFERROR(INDEX('DRAFT 1'!$V:$V,MATCH($B16,'DRAFT 1'!$B:$B,0)),"")</f>
        <v/>
      </c>
      <c r="AB16">
        <f>IFERROR(INDEX('DRAFT 1'!$W:$W,MATCH($B16,'DRAFT 1'!$B:$B,0)),"")</f>
        <v/>
      </c>
      <c r="AC16">
        <f>IFERROR(INDEX('DRAFT 1'!$X:$X,MATCH($B16,'DRAFT 1'!$B:$B,0)),"")</f>
        <v/>
      </c>
      <c r="AD16">
        <f>IFERROR(INDEX('DRAFT 1'!$Y:$Y,MATCH($B16,'DRAFT 1'!$B:$B,0)),"")</f>
        <v/>
      </c>
      <c r="AE16">
        <f>IFERROR(INDEX('DRAFT 1'!$Z:$Z,MATCH($B16,'DRAFT 1'!$B:$B,0)),"")</f>
        <v/>
      </c>
      <c r="AF16">
        <f>IFERROR(INDEX('DRAFT 1'!$AA:$AA,MATCH($B16,'DRAFT 1'!$B:$B,0)),"")</f>
        <v/>
      </c>
      <c r="AG16">
        <f>IFERROR(INDEX('DRAFT 1'!$AB:$AB,MATCH($B16,'DRAFT 1'!$B:$B,0)),"")</f>
        <v/>
      </c>
      <c r="AH16">
        <f>IFERROR(INDEX('DRAFT 1'!$AC:$AC,MATCH($B16,'DRAFT 1'!$B:$B,0)),"")</f>
        <v/>
      </c>
      <c r="AI16">
        <f>IFERROR(INDEX('DRAFT 1'!$AD:$AD,MATCH($B16,'DRAFT 1'!$B:$B,0)),"")</f>
        <v/>
      </c>
      <c r="AJ16">
        <f>IFERROR(INDEX('DRAFT 1'!$AE:$AE,MATCH($B16,'DRAFT 1'!$B:$B,0)),"")</f>
        <v/>
      </c>
      <c r="AK16">
        <f>IFERROR(INDEX('DRAFT 1'!$AG:$AG,MATCH($B16,'DRAFT 1'!$B:$B,0)),"")</f>
        <v/>
      </c>
      <c r="AL16">
        <f>IFERROR(INDEX('DRAFT 1'!$AH:$AH,MATCH($B16,'DRAFT 1'!$B:$B,0)),"")</f>
        <v/>
      </c>
      <c r="AM16">
        <f>IFERROR(INDEX('DRAFT 1'!$AI:$AI,MATCH($B16,'DRAFT 1'!$B:$B,0)),"")</f>
        <v/>
      </c>
      <c r="AN16">
        <f>IFERROR(INDEX('DRAFT 1'!$AJ:$AJ,MATCH($B16,'DRAFT 1'!$B:$B,0)),"")</f>
        <v/>
      </c>
      <c r="AO16">
        <f>IFERROR(Y16/AN16,0)</f>
        <v/>
      </c>
      <c r="AP16">
        <f>IFERROR(INDEX('DRAFT 1'!$AK:$AK,MATCH($B16,'DRAFT 1'!$B:$B,0)),"")</f>
        <v/>
      </c>
      <c r="AR16" t="inlineStr">
        <is>
          <t>PROSPECÇÃO</t>
        </is>
      </c>
      <c r="AS16">
        <f>IFERROR(LOOKUP(2,1/('DRAFT 2'!$D:$D=$B16),'DRAFT 2'!$T:$T),"")</f>
        <v/>
      </c>
      <c r="AT16">
        <f>IFERROR(LOOKUP(2,1/('DRAFT 2'!$D:$D=$B16),'DRAFT 2'!$A:$A),"")</f>
        <v/>
      </c>
      <c r="AU16">
        <f>IFERROR(LOOKUP(2,1/('DRAFT 2'!$D:$D=$B16),'DRAFT 2'!$R:$R),"")</f>
        <v/>
      </c>
      <c r="AV16">
        <f>IFERROR(LOOKUP(2,1/('DRAFT 2'!$D:$D=$B16),'DRAFT 2'!$S:$S),"")</f>
        <v/>
      </c>
      <c r="AW16" t="inlineStr">
        <is>
          <t>NOVO</t>
        </is>
      </c>
      <c r="AX16">
        <f>IFERROR(LOOKUP(2,1/('DRAFT 2'!$D:$D=$B16),'DRAFT 2'!$M:$M),"")</f>
        <v/>
      </c>
      <c r="AY16">
        <f>IFERROR(LOOKUP(2,1/('DRAFT 2'!$D:$D=$B16),'DRAFT 2'!$K:$K),"")</f>
        <v/>
      </c>
      <c r="BG16">
        <f>IFERROR(LOOKUP(2,1/('DRAFT 2'!$D:$D=$B16),'DRAFT 2'!$U:$U),"")</f>
        <v/>
      </c>
      <c r="BH16">
        <f>IFERROR(LOOKUP(2,1/('DRAFT 2'!$D:$D=$B16),'DRAFT 2'!$V:$V),"")</f>
        <v/>
      </c>
      <c r="CE16">
        <f>IFERROR(AJ16,0)</f>
        <v/>
      </c>
      <c r="CF16">
        <f>IFERROR(LOOKUP(2,1/('DRAFT 2'!$D:$D=$B16)*('DRAFT 2'!$A:$A&gt;=DATE(2026,1,1))*('DRAFT 2'!$A:$A&lt;DATE(2026,IF(1=12,1+1,1+1),1)),'DRAFT 2'!$A:$A),"")</f>
        <v/>
      </c>
      <c r="CG16">
        <f>COUNTIFS('DRAFT 2'!$D:$D,$B16,'DRAFT 2'!$A:$A,"&gt;="&amp;DATE(2026,1,1),'DRAFT 2'!$A:$A,"&lt;="&amp;DATE(2026,1,7))</f>
        <v/>
      </c>
      <c r="CH16">
        <f>COUNTIFS('DRAFT 2'!$D:$D,$B16,'DRAFT 2'!$A:$A,"&gt;="&amp;DATE(2026,1,8),'DRAFT 2'!$A:$A,"&lt;="&amp;DATE(2026,1,14))</f>
        <v/>
      </c>
      <c r="CI16">
        <f>COUNTIFS('DRAFT 2'!$D:$D,$B16,'DRAFT 2'!$A:$A,"&gt;="&amp;DATE(2026,1,15),'DRAFT 2'!$A:$A,"&lt;="&amp;DATE(2026,1,21))</f>
        <v/>
      </c>
      <c r="CJ16">
        <f>COUNTIFS('DRAFT 2'!$D:$D,$B16,'DRAFT 2'!$A:$A,"&gt;="&amp;DATE(2026,1,22),'DRAFT 2'!$A:$A,"&lt;"&amp;DATE(2026,IF(1=12,1+1,1+1),1))</f>
        <v/>
      </c>
      <c r="CK16">
        <f>SUM(CG16:CJ16)</f>
        <v/>
      </c>
      <c r="CT16" t="n">
        <v>0</v>
      </c>
      <c r="CU16">
        <f>IFERROR(LOOKUP(2,1/('DRAFT 2'!$D:$D=$B16)*('DRAFT 2'!$A:$A&gt;=DATE(2026,2,1))*('DRAFT 2'!$A:$A&lt;DATE(2026,IF(2=12,2+1,2+1),1)),'DRAFT 2'!$A:$A),"")</f>
        <v/>
      </c>
      <c r="CV16">
        <f>COUNTIFS('DRAFT 2'!$D:$D,$B16,'DRAFT 2'!$A:$A,"&gt;="&amp;DATE(2026,2,1),'DRAFT 2'!$A:$A,"&lt;="&amp;DATE(2026,2,7))</f>
        <v/>
      </c>
      <c r="CW16">
        <f>COUNTIFS('DRAFT 2'!$D:$D,$B16,'DRAFT 2'!$A:$A,"&gt;="&amp;DATE(2026,2,8),'DRAFT 2'!$A:$A,"&lt;="&amp;DATE(2026,2,14))</f>
        <v/>
      </c>
      <c r="CX16">
        <f>COUNTIFS('DRAFT 2'!$D:$D,$B16,'DRAFT 2'!$A:$A,"&gt;="&amp;DATE(2026,2,15),'DRAFT 2'!$A:$A,"&lt;="&amp;DATE(2026,2,21))</f>
        <v/>
      </c>
      <c r="CY16">
        <f>COUNTIFS('DRAFT 2'!$D:$D,$B16,'DRAFT 2'!$A:$A,"&gt;="&amp;DATE(2026,2,22),'DRAFT 2'!$A:$A,"&lt;"&amp;DATE(2026,IF(2=12,2+1,2+1),1))</f>
        <v/>
      </c>
      <c r="CZ16">
        <f>SUM(CV16:CY16)</f>
        <v/>
      </c>
      <c r="DJ16">
        <f>IFERROR(LOOKUP(2,1/('DRAFT 2'!$D:$D=$B16)*('DRAFT 2'!$A:$A&gt;=DATE(2026,3,1))*('DRAFT 2'!$A:$A&lt;DATE(2026,IF(3=12,3+1,3+1),1)),'DRAFT 2'!$A:$A),"")</f>
        <v/>
      </c>
      <c r="DK16">
        <f>COUNTIFS('DRAFT 2'!$D:$D,$B16,'DRAFT 2'!$A:$A,"&gt;="&amp;DATE(2026,3,1),'DRAFT 2'!$A:$A,"&lt;="&amp;DATE(2026,3,7))</f>
        <v/>
      </c>
      <c r="DL16">
        <f>COUNTIFS('DRAFT 2'!$D:$D,$B16,'DRAFT 2'!$A:$A,"&gt;="&amp;DATE(2026,3,8),'DRAFT 2'!$A:$A,"&lt;="&amp;DATE(2026,3,14))</f>
        <v/>
      </c>
      <c r="DM16">
        <f>COUNTIFS('DRAFT 2'!$D:$D,$B16,'DRAFT 2'!$A:$A,"&gt;="&amp;DATE(2026,3,15),'DRAFT 2'!$A:$A,"&lt;="&amp;DATE(2026,3,21))</f>
        <v/>
      </c>
      <c r="DN16">
        <f>COUNTIFS('DRAFT 2'!$D:$D,$B16,'DRAFT 2'!$A:$A,"&gt;="&amp;DATE(2026,3,22),'DRAFT 2'!$A:$A,"&lt;"&amp;DATE(2026,IF(3=12,3+1,3+1),1))</f>
        <v/>
      </c>
      <c r="DO16">
        <f>SUM(DK16:DN16)</f>
        <v/>
      </c>
      <c r="DZ16">
        <f>IFERROR(LOOKUP(2,1/('DRAFT 2'!$D:$D=$B16)*('DRAFT 2'!$A:$A&gt;=DATE(2026,4,1))*('DRAFT 2'!$A:$A&lt;DATE(2026,IF(4=12,4+1,4+1),1)),'DRAFT 2'!$A:$A),"")</f>
        <v/>
      </c>
      <c r="EA16">
        <f>COUNTIFS('DRAFT 2'!$D:$D,$B16,'DRAFT 2'!$A:$A,"&gt;="&amp;DATE(2026,4,1),'DRAFT 2'!$A:$A,"&lt;="&amp;DATE(2026,4,7))</f>
        <v/>
      </c>
      <c r="EB16">
        <f>COUNTIFS('DRAFT 2'!$D:$D,$B16,'DRAFT 2'!$A:$A,"&gt;="&amp;DATE(2026,4,8),'DRAFT 2'!$A:$A,"&lt;="&amp;DATE(2026,4,14))</f>
        <v/>
      </c>
      <c r="EC16">
        <f>COUNTIFS('DRAFT 2'!$D:$D,$B16,'DRAFT 2'!$A:$A,"&gt;="&amp;DATE(2026,4,15),'DRAFT 2'!$A:$A,"&lt;="&amp;DATE(2026,4,21))</f>
        <v/>
      </c>
      <c r="ED16">
        <f>COUNTIFS('DRAFT 2'!$D:$D,$B16,'DRAFT 2'!$A:$A,"&gt;="&amp;DATE(2026,4,22),'DRAFT 2'!$A:$A,"&lt;"&amp;DATE(2026,IF(4=12,4+1,4+1),1))</f>
        <v/>
      </c>
      <c r="EE16">
        <f>SUM(EA16:ED16)</f>
        <v/>
      </c>
      <c r="EO16">
        <f>IFERROR(LOOKUP(2,1/('DRAFT 2'!$D:$D=$B16)*('DRAFT 2'!$A:$A&gt;=DATE(2026,5,1))*('DRAFT 2'!$A:$A&lt;DATE(2026,IF(5=12,5+1,5+1),1)),'DRAFT 2'!$A:$A),"")</f>
        <v/>
      </c>
      <c r="EP16">
        <f>COUNTIFS('DRAFT 2'!$D:$D,$B16,'DRAFT 2'!$A:$A,"&gt;="&amp;DATE(2026,5,1),'DRAFT 2'!$A:$A,"&lt;="&amp;DATE(2026,5,7))</f>
        <v/>
      </c>
      <c r="EQ16">
        <f>COUNTIFS('DRAFT 2'!$D:$D,$B16,'DRAFT 2'!$A:$A,"&gt;="&amp;DATE(2026,5,8),'DRAFT 2'!$A:$A,"&lt;="&amp;DATE(2026,5,14))</f>
        <v/>
      </c>
      <c r="ER16">
        <f>COUNTIFS('DRAFT 2'!$D:$D,$B16,'DRAFT 2'!$A:$A,"&gt;="&amp;DATE(2026,5,15),'DRAFT 2'!$A:$A,"&lt;="&amp;DATE(2026,5,21))</f>
        <v/>
      </c>
      <c r="ES16">
        <f>COUNTIFS('DRAFT 2'!$D:$D,$B16,'DRAFT 2'!$A:$A,"&gt;="&amp;DATE(2026,5,22),'DRAFT 2'!$A:$A,"&lt;"&amp;DATE(2026,IF(5=12,5+1,5+1),1))</f>
        <v/>
      </c>
      <c r="ET16">
        <f>SUM(EP16:ES16)</f>
        <v/>
      </c>
      <c r="FD16">
        <f>IFERROR(LOOKUP(2,1/('DRAFT 2'!$D:$D=$B16)*('DRAFT 2'!$A:$A&gt;=DATE(2026,6,1))*('DRAFT 2'!$A:$A&lt;DATE(2026,IF(6=12,6+1,6+1),1)),'DRAFT 2'!$A:$A),"")</f>
        <v/>
      </c>
      <c r="FE16">
        <f>COUNTIFS('DRAFT 2'!$D:$D,$B16,'DRAFT 2'!$A:$A,"&gt;="&amp;DATE(2026,6,1),'DRAFT 2'!$A:$A,"&lt;="&amp;DATE(2026,6,7))</f>
        <v/>
      </c>
      <c r="FF16">
        <f>COUNTIFS('DRAFT 2'!$D:$D,$B16,'DRAFT 2'!$A:$A,"&gt;="&amp;DATE(2026,6,8),'DRAFT 2'!$A:$A,"&lt;="&amp;DATE(2026,6,14))</f>
        <v/>
      </c>
      <c r="FG16">
        <f>COUNTIFS('DRAFT 2'!$D:$D,$B16,'DRAFT 2'!$A:$A,"&gt;="&amp;DATE(2026,6,15),'DRAFT 2'!$A:$A,"&lt;="&amp;DATE(2026,6,21))</f>
        <v/>
      </c>
      <c r="FH16">
        <f>COUNTIFS('DRAFT 2'!$D:$D,$B16,'DRAFT 2'!$A:$A,"&gt;="&amp;DATE(2026,6,22),'DRAFT 2'!$A:$A,"&lt;"&amp;DATE(2026,IF(6=12,6+1,6+1),1))</f>
        <v/>
      </c>
      <c r="FI16">
        <f>SUM(FE16:FH16)</f>
        <v/>
      </c>
      <c r="FT16">
        <f>IFERROR(LOOKUP(2,1/('DRAFT 2'!$D:$D=$B16)*('DRAFT 2'!$A:$A&gt;=DATE(2026,7,1))*('DRAFT 2'!$A:$A&lt;DATE(2026,IF(7=12,7+1,7+1),1)),'DRAFT 2'!$A:$A),"")</f>
        <v/>
      </c>
      <c r="FU16">
        <f>COUNTIFS('DRAFT 2'!$D:$D,$B16,'DRAFT 2'!$A:$A,"&gt;="&amp;DATE(2026,7,1),'DRAFT 2'!$A:$A,"&lt;="&amp;DATE(2026,7,7))</f>
        <v/>
      </c>
      <c r="FV16">
        <f>COUNTIFS('DRAFT 2'!$D:$D,$B16,'DRAFT 2'!$A:$A,"&gt;="&amp;DATE(2026,7,8),'DRAFT 2'!$A:$A,"&lt;="&amp;DATE(2026,7,14))</f>
        <v/>
      </c>
      <c r="FW16">
        <f>COUNTIFS('DRAFT 2'!$D:$D,$B16,'DRAFT 2'!$A:$A,"&gt;="&amp;DATE(2026,7,15),'DRAFT 2'!$A:$A,"&lt;="&amp;DATE(2026,7,21))</f>
        <v/>
      </c>
      <c r="FX16">
        <f>COUNTIFS('DRAFT 2'!$D:$D,$B16,'DRAFT 2'!$A:$A,"&gt;="&amp;DATE(2026,7,22),'DRAFT 2'!$A:$A,"&lt;"&amp;DATE(2026,IF(7=12,7+1,7+1),1))</f>
        <v/>
      </c>
      <c r="FY16">
        <f>SUM(FU16:FX16)</f>
        <v/>
      </c>
      <c r="GI16">
        <f>IFERROR(LOOKUP(2,1/('DRAFT 2'!$D:$D=$B16)*('DRAFT 2'!$A:$A&gt;=DATE(2026,8,1))*('DRAFT 2'!$A:$A&lt;DATE(2026,IF(8=12,8+1,8+1),1)),'DRAFT 2'!$A:$A),"")</f>
        <v/>
      </c>
      <c r="GJ16">
        <f>COUNTIFS('DRAFT 2'!$D:$D,$B16,'DRAFT 2'!$A:$A,"&gt;="&amp;DATE(2026,8,1),'DRAFT 2'!$A:$A,"&lt;="&amp;DATE(2026,8,7))</f>
        <v/>
      </c>
      <c r="GK16">
        <f>COUNTIFS('DRAFT 2'!$D:$D,$B16,'DRAFT 2'!$A:$A,"&gt;="&amp;DATE(2026,8,8),'DRAFT 2'!$A:$A,"&lt;="&amp;DATE(2026,8,14))</f>
        <v/>
      </c>
      <c r="GL16">
        <f>COUNTIFS('DRAFT 2'!$D:$D,$B16,'DRAFT 2'!$A:$A,"&gt;="&amp;DATE(2026,8,15),'DRAFT 2'!$A:$A,"&lt;="&amp;DATE(2026,8,21))</f>
        <v/>
      </c>
      <c r="GM16">
        <f>COUNTIFS('DRAFT 2'!$D:$D,$B16,'DRAFT 2'!$A:$A,"&gt;="&amp;DATE(2026,8,22),'DRAFT 2'!$A:$A,"&lt;"&amp;DATE(2026,IF(8=12,8+1,8+1),1))</f>
        <v/>
      </c>
      <c r="GN16">
        <f>SUM(GJ16:GM16)</f>
        <v/>
      </c>
      <c r="GX16">
        <f>IFERROR(LOOKUP(2,1/('DRAFT 2'!$D:$D=$B16)*('DRAFT 2'!$A:$A&gt;=DATE(2026,9,1))*('DRAFT 2'!$A:$A&lt;DATE(2026,IF(9=12,9+1,9+1),1)),'DRAFT 2'!$A:$A),"")</f>
        <v/>
      </c>
      <c r="GY16">
        <f>COUNTIFS('DRAFT 2'!$D:$D,$B16,'DRAFT 2'!$A:$A,"&gt;="&amp;DATE(2026,9,1),'DRAFT 2'!$A:$A,"&lt;="&amp;DATE(2026,9,7))</f>
        <v/>
      </c>
      <c r="GZ16">
        <f>COUNTIFS('DRAFT 2'!$D:$D,$B16,'DRAFT 2'!$A:$A,"&gt;="&amp;DATE(2026,9,8),'DRAFT 2'!$A:$A,"&lt;="&amp;DATE(2026,9,14))</f>
        <v/>
      </c>
      <c r="HA16">
        <f>COUNTIFS('DRAFT 2'!$D:$D,$B16,'DRAFT 2'!$A:$A,"&gt;="&amp;DATE(2026,9,15),'DRAFT 2'!$A:$A,"&lt;="&amp;DATE(2026,9,21))</f>
        <v/>
      </c>
      <c r="HB16">
        <f>COUNTIFS('DRAFT 2'!$D:$D,$B16,'DRAFT 2'!$A:$A,"&gt;="&amp;DATE(2026,9,22),'DRAFT 2'!$A:$A,"&lt;"&amp;DATE(2026,IF(9=12,9+1,9+1),1))</f>
        <v/>
      </c>
      <c r="HC16">
        <f>SUM(GY16:HB16)</f>
        <v/>
      </c>
      <c r="HN16">
        <f>IFERROR(LOOKUP(2,1/('DRAFT 2'!$D:$D=$B16)*('DRAFT 2'!$A:$A&gt;=DATE(2026,10,1))*('DRAFT 2'!$A:$A&lt;DATE(2026,IF(10=12,10+1,10+1),1)),'DRAFT 2'!$A:$A),"")</f>
        <v/>
      </c>
      <c r="HO16">
        <f>COUNTIFS('DRAFT 2'!$D:$D,$B16,'DRAFT 2'!$A:$A,"&gt;="&amp;DATE(2026,10,1),'DRAFT 2'!$A:$A,"&lt;="&amp;DATE(2026,10,7))</f>
        <v/>
      </c>
      <c r="HP16">
        <f>COUNTIFS('DRAFT 2'!$D:$D,$B16,'DRAFT 2'!$A:$A,"&gt;="&amp;DATE(2026,10,8),'DRAFT 2'!$A:$A,"&lt;="&amp;DATE(2026,10,14))</f>
        <v/>
      </c>
      <c r="HQ16">
        <f>COUNTIFS('DRAFT 2'!$D:$D,$B16,'DRAFT 2'!$A:$A,"&gt;="&amp;DATE(2026,10,15),'DRAFT 2'!$A:$A,"&lt;="&amp;DATE(2026,10,21))</f>
        <v/>
      </c>
      <c r="HR16">
        <f>COUNTIFS('DRAFT 2'!$D:$D,$B16,'DRAFT 2'!$A:$A,"&gt;="&amp;DATE(2026,10,22),'DRAFT 2'!$A:$A,"&lt;"&amp;DATE(2026,IF(10=12,10+1,10+1),1))</f>
        <v/>
      </c>
      <c r="HS16">
        <f>SUM(HO16:HR16)</f>
        <v/>
      </c>
      <c r="IC16">
        <f>IFERROR(LOOKUP(2,1/('DRAFT 2'!$D:$D=$B16)*('DRAFT 2'!$A:$A&gt;=DATE(2026,11,1))*('DRAFT 2'!$A:$A&lt;DATE(2026,IF(11=12,11+1,11+1),1)),'DRAFT 2'!$A:$A),"")</f>
        <v/>
      </c>
      <c r="ID16">
        <f>COUNTIFS('DRAFT 2'!$D:$D,$B16,'DRAFT 2'!$A:$A,"&gt;="&amp;DATE(2026,11,1),'DRAFT 2'!$A:$A,"&lt;="&amp;DATE(2026,11,7))</f>
        <v/>
      </c>
      <c r="IE16">
        <f>COUNTIFS('DRAFT 2'!$D:$D,$B16,'DRAFT 2'!$A:$A,"&gt;="&amp;DATE(2026,11,8),'DRAFT 2'!$A:$A,"&lt;="&amp;DATE(2026,11,14))</f>
        <v/>
      </c>
      <c r="IF16">
        <f>COUNTIFS('DRAFT 2'!$D:$D,$B16,'DRAFT 2'!$A:$A,"&gt;="&amp;DATE(2026,11,15),'DRAFT 2'!$A:$A,"&lt;="&amp;DATE(2026,11,21))</f>
        <v/>
      </c>
      <c r="IG16">
        <f>COUNTIFS('DRAFT 2'!$D:$D,$B16,'DRAFT 2'!$A:$A,"&gt;="&amp;DATE(2026,11,22),'DRAFT 2'!$A:$A,"&lt;"&amp;DATE(2026,IF(11=12,11+1,11+1),1))</f>
        <v/>
      </c>
      <c r="IH16">
        <f>SUM(ID16:IG16)</f>
        <v/>
      </c>
      <c r="IR16">
        <f>IFERROR(LOOKUP(2,1/('DRAFT 2'!$D:$D=$B16)*('DRAFT 2'!$A:$A&gt;=DATE(2026,12,1))*('DRAFT 2'!$A:$A&lt;DATE(2026,IF(12=12,12+1,12+1),1)),'DRAFT 2'!$A:$A),"")</f>
        <v/>
      </c>
      <c r="IS16">
        <f>COUNTIFS('DRAFT 2'!$D:$D,$B16,'DRAFT 2'!$A:$A,"&gt;="&amp;DATE(2026,12,1),'DRAFT 2'!$A:$A,"&lt;="&amp;DATE(2026,12,7))</f>
        <v/>
      </c>
      <c r="IT16">
        <f>COUNTIFS('DRAFT 2'!$D:$D,$B16,'DRAFT 2'!$A:$A,"&gt;="&amp;DATE(2026,12,8),'DRAFT 2'!$A:$A,"&lt;="&amp;DATE(2026,12,14))</f>
        <v/>
      </c>
      <c r="IU16">
        <f>COUNTIFS('DRAFT 2'!$D:$D,$B16,'DRAFT 2'!$A:$A,"&gt;="&amp;DATE(2026,12,15),'DRAFT 2'!$A:$A,"&lt;="&amp;DATE(2026,12,21))</f>
        <v/>
      </c>
      <c r="IV16">
        <f>COUNTIFS('DRAFT 2'!$D:$D,$B16,'DRAFT 2'!$A:$A,"&gt;="&amp;DATE(2026,12,22),'DRAFT 2'!$A:$A,"&lt;"&amp;DATE(2026,IF(12=12,12+1,12+1),1))</f>
        <v/>
      </c>
      <c r="IW16">
        <f>SUM(IS16:IV16)</f>
        <v/>
      </c>
    </row>
    <row r="17">
      <c r="A17">
        <f>IFERROR(INDEX('DRAFT 1'!$A:$A,MATCH($B17,'DRAFT 1'!$B:$B,0)),"")</f>
        <v/>
      </c>
      <c r="C17">
        <f>IFERROR(INDEX('DRAFT 1'!$C:$C,MATCH($B17,'DRAFT 1'!$B:$B,0)),"")</f>
        <v/>
      </c>
      <c r="D17">
        <f>IFERROR(INDEX('DRAFT 1'!$D:$D,MATCH($B17,'DRAFT 1'!$B:$B,0)),"")</f>
        <v/>
      </c>
      <c r="E17">
        <f>IFERROR(INDEX('DRAFT 1'!$E:$E,MATCH($B17,'DRAFT 1'!$B:$B,0)),"")</f>
        <v/>
      </c>
      <c r="F17">
        <f>IFERROR(INDEX('DRAFT 1'!$F:$F,MATCH($B17,'DRAFT 1'!$B:$B,0)),"")</f>
        <v/>
      </c>
      <c r="G17">
        <f>IFERROR(INDEX('DRAFT 1'!$G:$G,MATCH($B17,'DRAFT 1'!$B:$B,0)),"")</f>
        <v/>
      </c>
      <c r="H17">
        <f>IFERROR(INDEX('DRAFT 1'!$H:$H,MATCH($B17,'DRAFT 1'!$B:$B,0)),"")</f>
        <v/>
      </c>
      <c r="I17" t="inlineStr">
        <is>
          <t>CIA DA SAUDE</t>
        </is>
      </c>
      <c r="K17">
        <f>IFERROR(INDEX('DRAFT 1'!$AL:$AL,MATCH($B17,'DRAFT 1'!$B:$B,0)),"")</f>
        <v/>
      </c>
      <c r="L17">
        <f>IFERROR(INDEX('DRAFT 1'!$J:$J,MATCH($B17,'DRAFT 1'!$B:$B,0)),"")</f>
        <v/>
      </c>
      <c r="M17">
        <f>IFERROR(INDEX('DRAFT 1'!$K:$K,MATCH($B17,'DRAFT 1'!$B:$B,0)),"")</f>
        <v/>
      </c>
      <c r="N17" t="inlineStr">
        <is>
          <t>NOVO</t>
        </is>
      </c>
      <c r="P17">
        <f>IFERROR(INDEX('DRAFT 1'!$L:$L,MATCH($B17,'DRAFT 1'!$B:$B,0)),"")</f>
        <v/>
      </c>
      <c r="Q17">
        <f>IFERROR(INDEX('DRAFT 1'!$M:$M,MATCH($B17,'DRAFT 1'!$B:$B,0)),"")</f>
        <v/>
      </c>
      <c r="R17">
        <f>IFERROR(INDEX('DRAFT 1'!$N:$N,MATCH($B17,'DRAFT 1'!$B:$B,0)),"")</f>
        <v/>
      </c>
      <c r="S17">
        <f>IFERROR(INDEX('DRAFT 1'!$O:$O,MATCH($B17,'DRAFT 1'!$B:$B,0)),"")</f>
        <v/>
      </c>
      <c r="T17">
        <f>IFERROR(INDEX('DRAFT 1'!$P:$P,MATCH($B17,'DRAFT 1'!$B:$B,0)),"")</f>
        <v/>
      </c>
      <c r="U17">
        <f>IFERROR(INDEX('DRAFT 1'!$Q:$Q,MATCH($B17,'DRAFT 1'!$B:$B,0)),"")</f>
        <v/>
      </c>
      <c r="V17">
        <f>IFERROR(INDEX('DRAFT 1'!$R:$R,MATCH($B17,'DRAFT 1'!$B:$B,0)),"")</f>
        <v/>
      </c>
      <c r="W17">
        <f>IFERROR(INDEX('DRAFT 1'!$S:$S,MATCH($B17,'DRAFT 1'!$B:$B,0)),"")</f>
        <v/>
      </c>
      <c r="X17">
        <f>IFERROR(INDEX('DRAFT 1'!$T:$T,MATCH($B17,'DRAFT 1'!$B:$B,0)),"")</f>
        <v/>
      </c>
      <c r="Z17">
        <f>IFERROR(INDEX('DRAFT 1'!$U:$U,MATCH($B17,'DRAFT 1'!$B:$B,0)),"")</f>
        <v/>
      </c>
      <c r="AA17">
        <f>IFERROR(INDEX('DRAFT 1'!$V:$V,MATCH($B17,'DRAFT 1'!$B:$B,0)),"")</f>
        <v/>
      </c>
      <c r="AB17">
        <f>IFERROR(INDEX('DRAFT 1'!$W:$W,MATCH($B17,'DRAFT 1'!$B:$B,0)),"")</f>
        <v/>
      </c>
      <c r="AC17">
        <f>IFERROR(INDEX('DRAFT 1'!$X:$X,MATCH($B17,'DRAFT 1'!$B:$B,0)),"")</f>
        <v/>
      </c>
      <c r="AD17">
        <f>IFERROR(INDEX('DRAFT 1'!$Y:$Y,MATCH($B17,'DRAFT 1'!$B:$B,0)),"")</f>
        <v/>
      </c>
      <c r="AE17">
        <f>IFERROR(INDEX('DRAFT 1'!$Z:$Z,MATCH($B17,'DRAFT 1'!$B:$B,0)),"")</f>
        <v/>
      </c>
      <c r="AF17">
        <f>IFERROR(INDEX('DRAFT 1'!$AA:$AA,MATCH($B17,'DRAFT 1'!$B:$B,0)),"")</f>
        <v/>
      </c>
      <c r="AG17">
        <f>IFERROR(INDEX('DRAFT 1'!$AB:$AB,MATCH($B17,'DRAFT 1'!$B:$B,0)),"")</f>
        <v/>
      </c>
      <c r="AH17">
        <f>IFERROR(INDEX('DRAFT 1'!$AC:$AC,MATCH($B17,'DRAFT 1'!$B:$B,0)),"")</f>
        <v/>
      </c>
      <c r="AI17">
        <f>IFERROR(INDEX('DRAFT 1'!$AD:$AD,MATCH($B17,'DRAFT 1'!$B:$B,0)),"")</f>
        <v/>
      </c>
      <c r="AJ17">
        <f>IFERROR(INDEX('DRAFT 1'!$AE:$AE,MATCH($B17,'DRAFT 1'!$B:$B,0)),"")</f>
        <v/>
      </c>
      <c r="AK17">
        <f>IFERROR(INDEX('DRAFT 1'!$AG:$AG,MATCH($B17,'DRAFT 1'!$B:$B,0)),"")</f>
        <v/>
      </c>
      <c r="AL17">
        <f>IFERROR(INDEX('DRAFT 1'!$AH:$AH,MATCH($B17,'DRAFT 1'!$B:$B,0)),"")</f>
        <v/>
      </c>
      <c r="AM17">
        <f>IFERROR(INDEX('DRAFT 1'!$AI:$AI,MATCH($B17,'DRAFT 1'!$B:$B,0)),"")</f>
        <v/>
      </c>
      <c r="AN17">
        <f>IFERROR(INDEX('DRAFT 1'!$AJ:$AJ,MATCH($B17,'DRAFT 1'!$B:$B,0)),"")</f>
        <v/>
      </c>
      <c r="AO17">
        <f>IFERROR(Y17/AN17,0)</f>
        <v/>
      </c>
      <c r="AP17">
        <f>IFERROR(INDEX('DRAFT 1'!$AK:$AK,MATCH($B17,'DRAFT 1'!$B:$B,0)),"")</f>
        <v/>
      </c>
      <c r="AR17" t="inlineStr">
        <is>
          <t>CS</t>
        </is>
      </c>
      <c r="AS17">
        <f>IFERROR(LOOKUP(2,1/('DRAFT 2'!$D:$D=$B17),'DRAFT 2'!$T:$T),"")</f>
        <v/>
      </c>
      <c r="AT17">
        <f>IFERROR(LOOKUP(2,1/('DRAFT 2'!$D:$D=$B17),'DRAFT 2'!$A:$A),"")</f>
        <v/>
      </c>
      <c r="AU17">
        <f>IFERROR(LOOKUP(2,1/('DRAFT 2'!$D:$D=$B17),'DRAFT 2'!$R:$R),"")</f>
        <v/>
      </c>
      <c r="AV17">
        <f>IFERROR(LOOKUP(2,1/('DRAFT 2'!$D:$D=$B17),'DRAFT 2'!$S:$S),"")</f>
        <v/>
      </c>
      <c r="AW17" t="inlineStr">
        <is>
          <t>EM DESENVOLVIMENTO</t>
        </is>
      </c>
      <c r="AX17">
        <f>IFERROR(LOOKUP(2,1/('DRAFT 2'!$D:$D=$B17),'DRAFT 2'!$M:$M),"")</f>
        <v/>
      </c>
      <c r="AY17">
        <f>IFERROR(LOOKUP(2,1/('DRAFT 2'!$D:$D=$B17),'DRAFT 2'!$K:$K),"")</f>
        <v/>
      </c>
      <c r="BG17">
        <f>IFERROR(LOOKUP(2,1/('DRAFT 2'!$D:$D=$B17),'DRAFT 2'!$U:$U),"")</f>
        <v/>
      </c>
      <c r="BH17">
        <f>IFERROR(LOOKUP(2,1/('DRAFT 2'!$D:$D=$B17),'DRAFT 2'!$V:$V),"")</f>
        <v/>
      </c>
      <c r="CE17">
        <f>IFERROR(AJ17,0)</f>
        <v/>
      </c>
      <c r="CF17">
        <f>IFERROR(LOOKUP(2,1/('DRAFT 2'!$D:$D=$B17)*('DRAFT 2'!$A:$A&gt;=DATE(2026,1,1))*('DRAFT 2'!$A:$A&lt;DATE(2026,IF(1=12,1+1,1+1),1)),'DRAFT 2'!$A:$A),"")</f>
        <v/>
      </c>
      <c r="CG17">
        <f>COUNTIFS('DRAFT 2'!$D:$D,$B17,'DRAFT 2'!$A:$A,"&gt;="&amp;DATE(2026,1,1),'DRAFT 2'!$A:$A,"&lt;="&amp;DATE(2026,1,7))</f>
        <v/>
      </c>
      <c r="CH17">
        <f>COUNTIFS('DRAFT 2'!$D:$D,$B17,'DRAFT 2'!$A:$A,"&gt;="&amp;DATE(2026,1,8),'DRAFT 2'!$A:$A,"&lt;="&amp;DATE(2026,1,14))</f>
        <v/>
      </c>
      <c r="CI17">
        <f>COUNTIFS('DRAFT 2'!$D:$D,$B17,'DRAFT 2'!$A:$A,"&gt;="&amp;DATE(2026,1,15),'DRAFT 2'!$A:$A,"&lt;="&amp;DATE(2026,1,21))</f>
        <v/>
      </c>
      <c r="CJ17">
        <f>COUNTIFS('DRAFT 2'!$D:$D,$B17,'DRAFT 2'!$A:$A,"&gt;="&amp;DATE(2026,1,22),'DRAFT 2'!$A:$A,"&lt;"&amp;DATE(2026,IF(1=12,1+1,1+1),1))</f>
        <v/>
      </c>
      <c r="CK17">
        <f>SUM(CG17:CJ17)</f>
        <v/>
      </c>
      <c r="CT17" t="n">
        <v>0</v>
      </c>
      <c r="CU17">
        <f>IFERROR(LOOKUP(2,1/('DRAFT 2'!$D:$D=$B17)*('DRAFT 2'!$A:$A&gt;=DATE(2026,2,1))*('DRAFT 2'!$A:$A&lt;DATE(2026,IF(2=12,2+1,2+1),1)),'DRAFT 2'!$A:$A),"")</f>
        <v/>
      </c>
      <c r="CV17">
        <f>COUNTIFS('DRAFT 2'!$D:$D,$B17,'DRAFT 2'!$A:$A,"&gt;="&amp;DATE(2026,2,1),'DRAFT 2'!$A:$A,"&lt;="&amp;DATE(2026,2,7))</f>
        <v/>
      </c>
      <c r="CW17">
        <f>COUNTIFS('DRAFT 2'!$D:$D,$B17,'DRAFT 2'!$A:$A,"&gt;="&amp;DATE(2026,2,8),'DRAFT 2'!$A:$A,"&lt;="&amp;DATE(2026,2,14))</f>
        <v/>
      </c>
      <c r="CX17">
        <f>COUNTIFS('DRAFT 2'!$D:$D,$B17,'DRAFT 2'!$A:$A,"&gt;="&amp;DATE(2026,2,15),'DRAFT 2'!$A:$A,"&lt;="&amp;DATE(2026,2,21))</f>
        <v/>
      </c>
      <c r="CY17">
        <f>COUNTIFS('DRAFT 2'!$D:$D,$B17,'DRAFT 2'!$A:$A,"&gt;="&amp;DATE(2026,2,22),'DRAFT 2'!$A:$A,"&lt;"&amp;DATE(2026,IF(2=12,2+1,2+1),1))</f>
        <v/>
      </c>
      <c r="CZ17">
        <f>SUM(CV17:CY17)</f>
        <v/>
      </c>
      <c r="DJ17">
        <f>IFERROR(LOOKUP(2,1/('DRAFT 2'!$D:$D=$B17)*('DRAFT 2'!$A:$A&gt;=DATE(2026,3,1))*('DRAFT 2'!$A:$A&lt;DATE(2026,IF(3=12,3+1,3+1),1)),'DRAFT 2'!$A:$A),"")</f>
        <v/>
      </c>
      <c r="DK17">
        <f>COUNTIFS('DRAFT 2'!$D:$D,$B17,'DRAFT 2'!$A:$A,"&gt;="&amp;DATE(2026,3,1),'DRAFT 2'!$A:$A,"&lt;="&amp;DATE(2026,3,7))</f>
        <v/>
      </c>
      <c r="DL17">
        <f>COUNTIFS('DRAFT 2'!$D:$D,$B17,'DRAFT 2'!$A:$A,"&gt;="&amp;DATE(2026,3,8),'DRAFT 2'!$A:$A,"&lt;="&amp;DATE(2026,3,14))</f>
        <v/>
      </c>
      <c r="DM17">
        <f>COUNTIFS('DRAFT 2'!$D:$D,$B17,'DRAFT 2'!$A:$A,"&gt;="&amp;DATE(2026,3,15),'DRAFT 2'!$A:$A,"&lt;="&amp;DATE(2026,3,21))</f>
        <v/>
      </c>
      <c r="DN17">
        <f>COUNTIFS('DRAFT 2'!$D:$D,$B17,'DRAFT 2'!$A:$A,"&gt;="&amp;DATE(2026,3,22),'DRAFT 2'!$A:$A,"&lt;"&amp;DATE(2026,IF(3=12,3+1,3+1),1))</f>
        <v/>
      </c>
      <c r="DO17">
        <f>SUM(DK17:DN17)</f>
        <v/>
      </c>
      <c r="DZ17">
        <f>IFERROR(LOOKUP(2,1/('DRAFT 2'!$D:$D=$B17)*('DRAFT 2'!$A:$A&gt;=DATE(2026,4,1))*('DRAFT 2'!$A:$A&lt;DATE(2026,IF(4=12,4+1,4+1),1)),'DRAFT 2'!$A:$A),"")</f>
        <v/>
      </c>
      <c r="EA17">
        <f>COUNTIFS('DRAFT 2'!$D:$D,$B17,'DRAFT 2'!$A:$A,"&gt;="&amp;DATE(2026,4,1),'DRAFT 2'!$A:$A,"&lt;="&amp;DATE(2026,4,7))</f>
        <v/>
      </c>
      <c r="EB17">
        <f>COUNTIFS('DRAFT 2'!$D:$D,$B17,'DRAFT 2'!$A:$A,"&gt;="&amp;DATE(2026,4,8),'DRAFT 2'!$A:$A,"&lt;="&amp;DATE(2026,4,14))</f>
        <v/>
      </c>
      <c r="EC17">
        <f>COUNTIFS('DRAFT 2'!$D:$D,$B17,'DRAFT 2'!$A:$A,"&gt;="&amp;DATE(2026,4,15),'DRAFT 2'!$A:$A,"&lt;="&amp;DATE(2026,4,21))</f>
        <v/>
      </c>
      <c r="ED17">
        <f>COUNTIFS('DRAFT 2'!$D:$D,$B17,'DRAFT 2'!$A:$A,"&gt;="&amp;DATE(2026,4,22),'DRAFT 2'!$A:$A,"&lt;"&amp;DATE(2026,IF(4=12,4+1,4+1),1))</f>
        <v/>
      </c>
      <c r="EE17">
        <f>SUM(EA17:ED17)</f>
        <v/>
      </c>
      <c r="EO17">
        <f>IFERROR(LOOKUP(2,1/('DRAFT 2'!$D:$D=$B17)*('DRAFT 2'!$A:$A&gt;=DATE(2026,5,1))*('DRAFT 2'!$A:$A&lt;DATE(2026,IF(5=12,5+1,5+1),1)),'DRAFT 2'!$A:$A),"")</f>
        <v/>
      </c>
      <c r="EP17">
        <f>COUNTIFS('DRAFT 2'!$D:$D,$B17,'DRAFT 2'!$A:$A,"&gt;="&amp;DATE(2026,5,1),'DRAFT 2'!$A:$A,"&lt;="&amp;DATE(2026,5,7))</f>
        <v/>
      </c>
      <c r="EQ17">
        <f>COUNTIFS('DRAFT 2'!$D:$D,$B17,'DRAFT 2'!$A:$A,"&gt;="&amp;DATE(2026,5,8),'DRAFT 2'!$A:$A,"&lt;="&amp;DATE(2026,5,14))</f>
        <v/>
      </c>
      <c r="ER17">
        <f>COUNTIFS('DRAFT 2'!$D:$D,$B17,'DRAFT 2'!$A:$A,"&gt;="&amp;DATE(2026,5,15),'DRAFT 2'!$A:$A,"&lt;="&amp;DATE(2026,5,21))</f>
        <v/>
      </c>
      <c r="ES17">
        <f>COUNTIFS('DRAFT 2'!$D:$D,$B17,'DRAFT 2'!$A:$A,"&gt;="&amp;DATE(2026,5,22),'DRAFT 2'!$A:$A,"&lt;"&amp;DATE(2026,IF(5=12,5+1,5+1),1))</f>
        <v/>
      </c>
      <c r="ET17">
        <f>SUM(EP17:ES17)</f>
        <v/>
      </c>
      <c r="FD17">
        <f>IFERROR(LOOKUP(2,1/('DRAFT 2'!$D:$D=$B17)*('DRAFT 2'!$A:$A&gt;=DATE(2026,6,1))*('DRAFT 2'!$A:$A&lt;DATE(2026,IF(6=12,6+1,6+1),1)),'DRAFT 2'!$A:$A),"")</f>
        <v/>
      </c>
      <c r="FE17">
        <f>COUNTIFS('DRAFT 2'!$D:$D,$B17,'DRAFT 2'!$A:$A,"&gt;="&amp;DATE(2026,6,1),'DRAFT 2'!$A:$A,"&lt;="&amp;DATE(2026,6,7))</f>
        <v/>
      </c>
      <c r="FF17">
        <f>COUNTIFS('DRAFT 2'!$D:$D,$B17,'DRAFT 2'!$A:$A,"&gt;="&amp;DATE(2026,6,8),'DRAFT 2'!$A:$A,"&lt;="&amp;DATE(2026,6,14))</f>
        <v/>
      </c>
      <c r="FG17">
        <f>COUNTIFS('DRAFT 2'!$D:$D,$B17,'DRAFT 2'!$A:$A,"&gt;="&amp;DATE(2026,6,15),'DRAFT 2'!$A:$A,"&lt;="&amp;DATE(2026,6,21))</f>
        <v/>
      </c>
      <c r="FH17">
        <f>COUNTIFS('DRAFT 2'!$D:$D,$B17,'DRAFT 2'!$A:$A,"&gt;="&amp;DATE(2026,6,22),'DRAFT 2'!$A:$A,"&lt;"&amp;DATE(2026,IF(6=12,6+1,6+1),1))</f>
        <v/>
      </c>
      <c r="FI17">
        <f>SUM(FE17:FH17)</f>
        <v/>
      </c>
      <c r="FT17">
        <f>IFERROR(LOOKUP(2,1/('DRAFT 2'!$D:$D=$B17)*('DRAFT 2'!$A:$A&gt;=DATE(2026,7,1))*('DRAFT 2'!$A:$A&lt;DATE(2026,IF(7=12,7+1,7+1),1)),'DRAFT 2'!$A:$A),"")</f>
        <v/>
      </c>
      <c r="FU17">
        <f>COUNTIFS('DRAFT 2'!$D:$D,$B17,'DRAFT 2'!$A:$A,"&gt;="&amp;DATE(2026,7,1),'DRAFT 2'!$A:$A,"&lt;="&amp;DATE(2026,7,7))</f>
        <v/>
      </c>
      <c r="FV17">
        <f>COUNTIFS('DRAFT 2'!$D:$D,$B17,'DRAFT 2'!$A:$A,"&gt;="&amp;DATE(2026,7,8),'DRAFT 2'!$A:$A,"&lt;="&amp;DATE(2026,7,14))</f>
        <v/>
      </c>
      <c r="FW17">
        <f>COUNTIFS('DRAFT 2'!$D:$D,$B17,'DRAFT 2'!$A:$A,"&gt;="&amp;DATE(2026,7,15),'DRAFT 2'!$A:$A,"&lt;="&amp;DATE(2026,7,21))</f>
        <v/>
      </c>
      <c r="FX17">
        <f>COUNTIFS('DRAFT 2'!$D:$D,$B17,'DRAFT 2'!$A:$A,"&gt;="&amp;DATE(2026,7,22),'DRAFT 2'!$A:$A,"&lt;"&amp;DATE(2026,IF(7=12,7+1,7+1),1))</f>
        <v/>
      </c>
      <c r="FY17">
        <f>SUM(FU17:FX17)</f>
        <v/>
      </c>
      <c r="GI17">
        <f>IFERROR(LOOKUP(2,1/('DRAFT 2'!$D:$D=$B17)*('DRAFT 2'!$A:$A&gt;=DATE(2026,8,1))*('DRAFT 2'!$A:$A&lt;DATE(2026,IF(8=12,8+1,8+1),1)),'DRAFT 2'!$A:$A),"")</f>
        <v/>
      </c>
      <c r="GJ17">
        <f>COUNTIFS('DRAFT 2'!$D:$D,$B17,'DRAFT 2'!$A:$A,"&gt;="&amp;DATE(2026,8,1),'DRAFT 2'!$A:$A,"&lt;="&amp;DATE(2026,8,7))</f>
        <v/>
      </c>
      <c r="GK17">
        <f>COUNTIFS('DRAFT 2'!$D:$D,$B17,'DRAFT 2'!$A:$A,"&gt;="&amp;DATE(2026,8,8),'DRAFT 2'!$A:$A,"&lt;="&amp;DATE(2026,8,14))</f>
        <v/>
      </c>
      <c r="GL17">
        <f>COUNTIFS('DRAFT 2'!$D:$D,$B17,'DRAFT 2'!$A:$A,"&gt;="&amp;DATE(2026,8,15),'DRAFT 2'!$A:$A,"&lt;="&amp;DATE(2026,8,21))</f>
        <v/>
      </c>
      <c r="GM17">
        <f>COUNTIFS('DRAFT 2'!$D:$D,$B17,'DRAFT 2'!$A:$A,"&gt;="&amp;DATE(2026,8,22),'DRAFT 2'!$A:$A,"&lt;"&amp;DATE(2026,IF(8=12,8+1,8+1),1))</f>
        <v/>
      </c>
      <c r="GN17">
        <f>SUM(GJ17:GM17)</f>
        <v/>
      </c>
      <c r="GX17">
        <f>IFERROR(LOOKUP(2,1/('DRAFT 2'!$D:$D=$B17)*('DRAFT 2'!$A:$A&gt;=DATE(2026,9,1))*('DRAFT 2'!$A:$A&lt;DATE(2026,IF(9=12,9+1,9+1),1)),'DRAFT 2'!$A:$A),"")</f>
        <v/>
      </c>
      <c r="GY17">
        <f>COUNTIFS('DRAFT 2'!$D:$D,$B17,'DRAFT 2'!$A:$A,"&gt;="&amp;DATE(2026,9,1),'DRAFT 2'!$A:$A,"&lt;="&amp;DATE(2026,9,7))</f>
        <v/>
      </c>
      <c r="GZ17">
        <f>COUNTIFS('DRAFT 2'!$D:$D,$B17,'DRAFT 2'!$A:$A,"&gt;="&amp;DATE(2026,9,8),'DRAFT 2'!$A:$A,"&lt;="&amp;DATE(2026,9,14))</f>
        <v/>
      </c>
      <c r="HA17">
        <f>COUNTIFS('DRAFT 2'!$D:$D,$B17,'DRAFT 2'!$A:$A,"&gt;="&amp;DATE(2026,9,15),'DRAFT 2'!$A:$A,"&lt;="&amp;DATE(2026,9,21))</f>
        <v/>
      </c>
      <c r="HB17">
        <f>COUNTIFS('DRAFT 2'!$D:$D,$B17,'DRAFT 2'!$A:$A,"&gt;="&amp;DATE(2026,9,22),'DRAFT 2'!$A:$A,"&lt;"&amp;DATE(2026,IF(9=12,9+1,9+1),1))</f>
        <v/>
      </c>
      <c r="HC17">
        <f>SUM(GY17:HB17)</f>
        <v/>
      </c>
      <c r="HN17">
        <f>IFERROR(LOOKUP(2,1/('DRAFT 2'!$D:$D=$B17)*('DRAFT 2'!$A:$A&gt;=DATE(2026,10,1))*('DRAFT 2'!$A:$A&lt;DATE(2026,IF(10=12,10+1,10+1),1)),'DRAFT 2'!$A:$A),"")</f>
        <v/>
      </c>
      <c r="HO17">
        <f>COUNTIFS('DRAFT 2'!$D:$D,$B17,'DRAFT 2'!$A:$A,"&gt;="&amp;DATE(2026,10,1),'DRAFT 2'!$A:$A,"&lt;="&amp;DATE(2026,10,7))</f>
        <v/>
      </c>
      <c r="HP17">
        <f>COUNTIFS('DRAFT 2'!$D:$D,$B17,'DRAFT 2'!$A:$A,"&gt;="&amp;DATE(2026,10,8),'DRAFT 2'!$A:$A,"&lt;="&amp;DATE(2026,10,14))</f>
        <v/>
      </c>
      <c r="HQ17">
        <f>COUNTIFS('DRAFT 2'!$D:$D,$B17,'DRAFT 2'!$A:$A,"&gt;="&amp;DATE(2026,10,15),'DRAFT 2'!$A:$A,"&lt;="&amp;DATE(2026,10,21))</f>
        <v/>
      </c>
      <c r="HR17">
        <f>COUNTIFS('DRAFT 2'!$D:$D,$B17,'DRAFT 2'!$A:$A,"&gt;="&amp;DATE(2026,10,22),'DRAFT 2'!$A:$A,"&lt;"&amp;DATE(2026,IF(10=12,10+1,10+1),1))</f>
        <v/>
      </c>
      <c r="HS17">
        <f>SUM(HO17:HR17)</f>
        <v/>
      </c>
      <c r="IC17">
        <f>IFERROR(LOOKUP(2,1/('DRAFT 2'!$D:$D=$B17)*('DRAFT 2'!$A:$A&gt;=DATE(2026,11,1))*('DRAFT 2'!$A:$A&lt;DATE(2026,IF(11=12,11+1,11+1),1)),'DRAFT 2'!$A:$A),"")</f>
        <v/>
      </c>
      <c r="ID17">
        <f>COUNTIFS('DRAFT 2'!$D:$D,$B17,'DRAFT 2'!$A:$A,"&gt;="&amp;DATE(2026,11,1),'DRAFT 2'!$A:$A,"&lt;="&amp;DATE(2026,11,7))</f>
        <v/>
      </c>
      <c r="IE17">
        <f>COUNTIFS('DRAFT 2'!$D:$D,$B17,'DRAFT 2'!$A:$A,"&gt;="&amp;DATE(2026,11,8),'DRAFT 2'!$A:$A,"&lt;="&amp;DATE(2026,11,14))</f>
        <v/>
      </c>
      <c r="IF17">
        <f>COUNTIFS('DRAFT 2'!$D:$D,$B17,'DRAFT 2'!$A:$A,"&gt;="&amp;DATE(2026,11,15),'DRAFT 2'!$A:$A,"&lt;="&amp;DATE(2026,11,21))</f>
        <v/>
      </c>
      <c r="IG17">
        <f>COUNTIFS('DRAFT 2'!$D:$D,$B17,'DRAFT 2'!$A:$A,"&gt;="&amp;DATE(2026,11,22),'DRAFT 2'!$A:$A,"&lt;"&amp;DATE(2026,IF(11=12,11+1,11+1),1))</f>
        <v/>
      </c>
      <c r="IH17">
        <f>SUM(ID17:IG17)</f>
        <v/>
      </c>
      <c r="IR17">
        <f>IFERROR(LOOKUP(2,1/('DRAFT 2'!$D:$D=$B17)*('DRAFT 2'!$A:$A&gt;=DATE(2026,12,1))*('DRAFT 2'!$A:$A&lt;DATE(2026,IF(12=12,12+1,12+1),1)),'DRAFT 2'!$A:$A),"")</f>
        <v/>
      </c>
      <c r="IS17">
        <f>COUNTIFS('DRAFT 2'!$D:$D,$B17,'DRAFT 2'!$A:$A,"&gt;="&amp;DATE(2026,12,1),'DRAFT 2'!$A:$A,"&lt;="&amp;DATE(2026,12,7))</f>
        <v/>
      </c>
      <c r="IT17">
        <f>COUNTIFS('DRAFT 2'!$D:$D,$B17,'DRAFT 2'!$A:$A,"&gt;="&amp;DATE(2026,12,8),'DRAFT 2'!$A:$A,"&lt;="&amp;DATE(2026,12,14))</f>
        <v/>
      </c>
      <c r="IU17">
        <f>COUNTIFS('DRAFT 2'!$D:$D,$B17,'DRAFT 2'!$A:$A,"&gt;="&amp;DATE(2026,12,15),'DRAFT 2'!$A:$A,"&lt;="&amp;DATE(2026,12,21))</f>
        <v/>
      </c>
      <c r="IV17">
        <f>COUNTIFS('DRAFT 2'!$D:$D,$B17,'DRAFT 2'!$A:$A,"&gt;="&amp;DATE(2026,12,22),'DRAFT 2'!$A:$A,"&lt;"&amp;DATE(2026,IF(12=12,12+1,12+1),1))</f>
        <v/>
      </c>
      <c r="IW17">
        <f>SUM(IS17:IV17)</f>
        <v/>
      </c>
    </row>
    <row r="18">
      <c r="A18">
        <f>IFERROR(INDEX('DRAFT 1'!$A:$A,MATCH($B18,'DRAFT 1'!$B:$B,0)),"")</f>
        <v/>
      </c>
      <c r="C18">
        <f>IFERROR(INDEX('DRAFT 1'!$C:$C,MATCH($B18,'DRAFT 1'!$B:$B,0)),"")</f>
        <v/>
      </c>
      <c r="D18">
        <f>IFERROR(INDEX('DRAFT 1'!$D:$D,MATCH($B18,'DRAFT 1'!$B:$B,0)),"")</f>
        <v/>
      </c>
      <c r="E18">
        <f>IFERROR(INDEX('DRAFT 1'!$E:$E,MATCH($B18,'DRAFT 1'!$B:$B,0)),"")</f>
        <v/>
      </c>
      <c r="F18">
        <f>IFERROR(INDEX('DRAFT 1'!$F:$F,MATCH($B18,'DRAFT 1'!$B:$B,0)),"")</f>
        <v/>
      </c>
      <c r="G18">
        <f>IFERROR(INDEX('DRAFT 1'!$G:$G,MATCH($B18,'DRAFT 1'!$B:$B,0)),"")</f>
        <v/>
      </c>
      <c r="H18">
        <f>IFERROR(INDEX('DRAFT 1'!$H:$H,MATCH($B18,'DRAFT 1'!$B:$B,0)),"")</f>
        <v/>
      </c>
      <c r="I18" t="inlineStr">
        <is>
          <t>DIVINA TERRA</t>
        </is>
      </c>
      <c r="K18">
        <f>IFERROR(INDEX('DRAFT 1'!$AL:$AL,MATCH($B18,'DRAFT 1'!$B:$B,0)),"")</f>
        <v/>
      </c>
      <c r="L18">
        <f>IFERROR(INDEX('DRAFT 1'!$J:$J,MATCH($B18,'DRAFT 1'!$B:$B,0)),"")</f>
        <v/>
      </c>
      <c r="M18">
        <f>IFERROR(INDEX('DRAFT 1'!$K:$K,MATCH($B18,'DRAFT 1'!$B:$B,0)),"")</f>
        <v/>
      </c>
      <c r="N18" t="inlineStr">
        <is>
          <t>INAT.ANT</t>
        </is>
      </c>
      <c r="P18">
        <f>IFERROR(INDEX('DRAFT 1'!$L:$L,MATCH($B18,'DRAFT 1'!$B:$B,0)),"")</f>
        <v/>
      </c>
      <c r="Q18">
        <f>IFERROR(INDEX('DRAFT 1'!$M:$M,MATCH($B18,'DRAFT 1'!$B:$B,0)),"")</f>
        <v/>
      </c>
      <c r="R18">
        <f>IFERROR(INDEX('DRAFT 1'!$N:$N,MATCH($B18,'DRAFT 1'!$B:$B,0)),"")</f>
        <v/>
      </c>
      <c r="S18">
        <f>IFERROR(INDEX('DRAFT 1'!$O:$O,MATCH($B18,'DRAFT 1'!$B:$B,0)),"")</f>
        <v/>
      </c>
      <c r="T18">
        <f>IFERROR(INDEX('DRAFT 1'!$P:$P,MATCH($B18,'DRAFT 1'!$B:$B,0)),"")</f>
        <v/>
      </c>
      <c r="U18">
        <f>IFERROR(INDEX('DRAFT 1'!$Q:$Q,MATCH($B18,'DRAFT 1'!$B:$B,0)),"")</f>
        <v/>
      </c>
      <c r="V18">
        <f>IFERROR(INDEX('DRAFT 1'!$R:$R,MATCH($B18,'DRAFT 1'!$B:$B,0)),"")</f>
        <v/>
      </c>
      <c r="W18">
        <f>IFERROR(INDEX('DRAFT 1'!$S:$S,MATCH($B18,'DRAFT 1'!$B:$B,0)),"")</f>
        <v/>
      </c>
      <c r="X18">
        <f>IFERROR(INDEX('DRAFT 1'!$T:$T,MATCH($B18,'DRAFT 1'!$B:$B,0)),"")</f>
        <v/>
      </c>
      <c r="Z18">
        <f>IFERROR(INDEX('DRAFT 1'!$U:$U,MATCH($B18,'DRAFT 1'!$B:$B,0)),"")</f>
        <v/>
      </c>
      <c r="AA18">
        <f>IFERROR(INDEX('DRAFT 1'!$V:$V,MATCH($B18,'DRAFT 1'!$B:$B,0)),"")</f>
        <v/>
      </c>
      <c r="AB18">
        <f>IFERROR(INDEX('DRAFT 1'!$W:$W,MATCH($B18,'DRAFT 1'!$B:$B,0)),"")</f>
        <v/>
      </c>
      <c r="AC18">
        <f>IFERROR(INDEX('DRAFT 1'!$X:$X,MATCH($B18,'DRAFT 1'!$B:$B,0)),"")</f>
        <v/>
      </c>
      <c r="AD18">
        <f>IFERROR(INDEX('DRAFT 1'!$Y:$Y,MATCH($B18,'DRAFT 1'!$B:$B,0)),"")</f>
        <v/>
      </c>
      <c r="AE18">
        <f>IFERROR(INDEX('DRAFT 1'!$Z:$Z,MATCH($B18,'DRAFT 1'!$B:$B,0)),"")</f>
        <v/>
      </c>
      <c r="AF18">
        <f>IFERROR(INDEX('DRAFT 1'!$AA:$AA,MATCH($B18,'DRAFT 1'!$B:$B,0)),"")</f>
        <v/>
      </c>
      <c r="AG18">
        <f>IFERROR(INDEX('DRAFT 1'!$AB:$AB,MATCH($B18,'DRAFT 1'!$B:$B,0)),"")</f>
        <v/>
      </c>
      <c r="AH18">
        <f>IFERROR(INDEX('DRAFT 1'!$AC:$AC,MATCH($B18,'DRAFT 1'!$B:$B,0)),"")</f>
        <v/>
      </c>
      <c r="AI18">
        <f>IFERROR(INDEX('DRAFT 1'!$AD:$AD,MATCH($B18,'DRAFT 1'!$B:$B,0)),"")</f>
        <v/>
      </c>
      <c r="AJ18">
        <f>IFERROR(INDEX('DRAFT 1'!$AE:$AE,MATCH($B18,'DRAFT 1'!$B:$B,0)),"")</f>
        <v/>
      </c>
      <c r="AK18">
        <f>IFERROR(INDEX('DRAFT 1'!$AG:$AG,MATCH($B18,'DRAFT 1'!$B:$B,0)),"")</f>
        <v/>
      </c>
      <c r="AL18">
        <f>IFERROR(INDEX('DRAFT 1'!$AH:$AH,MATCH($B18,'DRAFT 1'!$B:$B,0)),"")</f>
        <v/>
      </c>
      <c r="AM18">
        <f>IFERROR(INDEX('DRAFT 1'!$AI:$AI,MATCH($B18,'DRAFT 1'!$B:$B,0)),"")</f>
        <v/>
      </c>
      <c r="AN18">
        <f>IFERROR(INDEX('DRAFT 1'!$AJ:$AJ,MATCH($B18,'DRAFT 1'!$B:$B,0)),"")</f>
        <v/>
      </c>
      <c r="AO18">
        <f>IFERROR(Y18/AN18,0)</f>
        <v/>
      </c>
      <c r="AP18">
        <f>IFERROR(INDEX('DRAFT 1'!$AK:$AK,MATCH($B18,'DRAFT 1'!$B:$B,0)),"")</f>
        <v/>
      </c>
      <c r="AR18" t="inlineStr">
        <is>
          <t>PROSPECÇÃO</t>
        </is>
      </c>
      <c r="AS18">
        <f>IFERROR(LOOKUP(2,1/('DRAFT 2'!$D:$D=$B18),'DRAFT 2'!$T:$T),"")</f>
        <v/>
      </c>
      <c r="AT18">
        <f>IFERROR(LOOKUP(2,1/('DRAFT 2'!$D:$D=$B18),'DRAFT 2'!$A:$A),"")</f>
        <v/>
      </c>
      <c r="AU18">
        <f>IFERROR(LOOKUP(2,1/('DRAFT 2'!$D:$D=$B18),'DRAFT 2'!$R:$R),"")</f>
        <v/>
      </c>
      <c r="AV18">
        <f>IFERROR(LOOKUP(2,1/('DRAFT 2'!$D:$D=$B18),'DRAFT 2'!$S:$S),"")</f>
        <v/>
      </c>
      <c r="AW18" t="inlineStr">
        <is>
          <t>RECORRENTE</t>
        </is>
      </c>
      <c r="AX18">
        <f>IFERROR(LOOKUP(2,1/('DRAFT 2'!$D:$D=$B18),'DRAFT 2'!$M:$M),"")</f>
        <v/>
      </c>
      <c r="AY18">
        <f>IFERROR(LOOKUP(2,1/('DRAFT 2'!$D:$D=$B18),'DRAFT 2'!$K:$K),"")</f>
        <v/>
      </c>
      <c r="BG18">
        <f>IFERROR(LOOKUP(2,1/('DRAFT 2'!$D:$D=$B18),'DRAFT 2'!$U:$U),"")</f>
        <v/>
      </c>
      <c r="BH18">
        <f>IFERROR(LOOKUP(2,1/('DRAFT 2'!$D:$D=$B18),'DRAFT 2'!$V:$V),"")</f>
        <v/>
      </c>
      <c r="CE18">
        <f>IFERROR(AJ18,0)</f>
        <v/>
      </c>
      <c r="CF18">
        <f>IFERROR(LOOKUP(2,1/('DRAFT 2'!$D:$D=$B18)*('DRAFT 2'!$A:$A&gt;=DATE(2026,1,1))*('DRAFT 2'!$A:$A&lt;DATE(2026,IF(1=12,1+1,1+1),1)),'DRAFT 2'!$A:$A),"")</f>
        <v/>
      </c>
      <c r="CG18">
        <f>COUNTIFS('DRAFT 2'!$D:$D,$B18,'DRAFT 2'!$A:$A,"&gt;="&amp;DATE(2026,1,1),'DRAFT 2'!$A:$A,"&lt;="&amp;DATE(2026,1,7))</f>
        <v/>
      </c>
      <c r="CH18">
        <f>COUNTIFS('DRAFT 2'!$D:$D,$B18,'DRAFT 2'!$A:$A,"&gt;="&amp;DATE(2026,1,8),'DRAFT 2'!$A:$A,"&lt;="&amp;DATE(2026,1,14))</f>
        <v/>
      </c>
      <c r="CI18">
        <f>COUNTIFS('DRAFT 2'!$D:$D,$B18,'DRAFT 2'!$A:$A,"&gt;="&amp;DATE(2026,1,15),'DRAFT 2'!$A:$A,"&lt;="&amp;DATE(2026,1,21))</f>
        <v/>
      </c>
      <c r="CJ18">
        <f>COUNTIFS('DRAFT 2'!$D:$D,$B18,'DRAFT 2'!$A:$A,"&gt;="&amp;DATE(2026,1,22),'DRAFT 2'!$A:$A,"&lt;"&amp;DATE(2026,IF(1=12,1+1,1+1),1))</f>
        <v/>
      </c>
      <c r="CK18">
        <f>SUM(CG18:CJ18)</f>
        <v/>
      </c>
      <c r="CT18" t="n">
        <v>0</v>
      </c>
      <c r="CU18">
        <f>IFERROR(LOOKUP(2,1/('DRAFT 2'!$D:$D=$B18)*('DRAFT 2'!$A:$A&gt;=DATE(2026,2,1))*('DRAFT 2'!$A:$A&lt;DATE(2026,IF(2=12,2+1,2+1),1)),'DRAFT 2'!$A:$A),"")</f>
        <v/>
      </c>
      <c r="CV18">
        <f>COUNTIFS('DRAFT 2'!$D:$D,$B18,'DRAFT 2'!$A:$A,"&gt;="&amp;DATE(2026,2,1),'DRAFT 2'!$A:$A,"&lt;="&amp;DATE(2026,2,7))</f>
        <v/>
      </c>
      <c r="CW18">
        <f>COUNTIFS('DRAFT 2'!$D:$D,$B18,'DRAFT 2'!$A:$A,"&gt;="&amp;DATE(2026,2,8),'DRAFT 2'!$A:$A,"&lt;="&amp;DATE(2026,2,14))</f>
        <v/>
      </c>
      <c r="CX18">
        <f>COUNTIFS('DRAFT 2'!$D:$D,$B18,'DRAFT 2'!$A:$A,"&gt;="&amp;DATE(2026,2,15),'DRAFT 2'!$A:$A,"&lt;="&amp;DATE(2026,2,21))</f>
        <v/>
      </c>
      <c r="CY18">
        <f>COUNTIFS('DRAFT 2'!$D:$D,$B18,'DRAFT 2'!$A:$A,"&gt;="&amp;DATE(2026,2,22),'DRAFT 2'!$A:$A,"&lt;"&amp;DATE(2026,IF(2=12,2+1,2+1),1))</f>
        <v/>
      </c>
      <c r="CZ18">
        <f>SUM(CV18:CY18)</f>
        <v/>
      </c>
      <c r="DJ18">
        <f>IFERROR(LOOKUP(2,1/('DRAFT 2'!$D:$D=$B18)*('DRAFT 2'!$A:$A&gt;=DATE(2026,3,1))*('DRAFT 2'!$A:$A&lt;DATE(2026,IF(3=12,3+1,3+1),1)),'DRAFT 2'!$A:$A),"")</f>
        <v/>
      </c>
      <c r="DK18">
        <f>COUNTIFS('DRAFT 2'!$D:$D,$B18,'DRAFT 2'!$A:$A,"&gt;="&amp;DATE(2026,3,1),'DRAFT 2'!$A:$A,"&lt;="&amp;DATE(2026,3,7))</f>
        <v/>
      </c>
      <c r="DL18">
        <f>COUNTIFS('DRAFT 2'!$D:$D,$B18,'DRAFT 2'!$A:$A,"&gt;="&amp;DATE(2026,3,8),'DRAFT 2'!$A:$A,"&lt;="&amp;DATE(2026,3,14))</f>
        <v/>
      </c>
      <c r="DM18">
        <f>COUNTIFS('DRAFT 2'!$D:$D,$B18,'DRAFT 2'!$A:$A,"&gt;="&amp;DATE(2026,3,15),'DRAFT 2'!$A:$A,"&lt;="&amp;DATE(2026,3,21))</f>
        <v/>
      </c>
      <c r="DN18">
        <f>COUNTIFS('DRAFT 2'!$D:$D,$B18,'DRAFT 2'!$A:$A,"&gt;="&amp;DATE(2026,3,22),'DRAFT 2'!$A:$A,"&lt;"&amp;DATE(2026,IF(3=12,3+1,3+1),1))</f>
        <v/>
      </c>
      <c r="DO18">
        <f>SUM(DK18:DN18)</f>
        <v/>
      </c>
      <c r="DZ18">
        <f>IFERROR(LOOKUP(2,1/('DRAFT 2'!$D:$D=$B18)*('DRAFT 2'!$A:$A&gt;=DATE(2026,4,1))*('DRAFT 2'!$A:$A&lt;DATE(2026,IF(4=12,4+1,4+1),1)),'DRAFT 2'!$A:$A),"")</f>
        <v/>
      </c>
      <c r="EA18">
        <f>COUNTIFS('DRAFT 2'!$D:$D,$B18,'DRAFT 2'!$A:$A,"&gt;="&amp;DATE(2026,4,1),'DRAFT 2'!$A:$A,"&lt;="&amp;DATE(2026,4,7))</f>
        <v/>
      </c>
      <c r="EB18">
        <f>COUNTIFS('DRAFT 2'!$D:$D,$B18,'DRAFT 2'!$A:$A,"&gt;="&amp;DATE(2026,4,8),'DRAFT 2'!$A:$A,"&lt;="&amp;DATE(2026,4,14))</f>
        <v/>
      </c>
      <c r="EC18">
        <f>COUNTIFS('DRAFT 2'!$D:$D,$B18,'DRAFT 2'!$A:$A,"&gt;="&amp;DATE(2026,4,15),'DRAFT 2'!$A:$A,"&lt;="&amp;DATE(2026,4,21))</f>
        <v/>
      </c>
      <c r="ED18">
        <f>COUNTIFS('DRAFT 2'!$D:$D,$B18,'DRAFT 2'!$A:$A,"&gt;="&amp;DATE(2026,4,22),'DRAFT 2'!$A:$A,"&lt;"&amp;DATE(2026,IF(4=12,4+1,4+1),1))</f>
        <v/>
      </c>
      <c r="EE18">
        <f>SUM(EA18:ED18)</f>
        <v/>
      </c>
      <c r="EO18">
        <f>IFERROR(LOOKUP(2,1/('DRAFT 2'!$D:$D=$B18)*('DRAFT 2'!$A:$A&gt;=DATE(2026,5,1))*('DRAFT 2'!$A:$A&lt;DATE(2026,IF(5=12,5+1,5+1),1)),'DRAFT 2'!$A:$A),"")</f>
        <v/>
      </c>
      <c r="EP18">
        <f>COUNTIFS('DRAFT 2'!$D:$D,$B18,'DRAFT 2'!$A:$A,"&gt;="&amp;DATE(2026,5,1),'DRAFT 2'!$A:$A,"&lt;="&amp;DATE(2026,5,7))</f>
        <v/>
      </c>
      <c r="EQ18">
        <f>COUNTIFS('DRAFT 2'!$D:$D,$B18,'DRAFT 2'!$A:$A,"&gt;="&amp;DATE(2026,5,8),'DRAFT 2'!$A:$A,"&lt;="&amp;DATE(2026,5,14))</f>
        <v/>
      </c>
      <c r="ER18">
        <f>COUNTIFS('DRAFT 2'!$D:$D,$B18,'DRAFT 2'!$A:$A,"&gt;="&amp;DATE(2026,5,15),'DRAFT 2'!$A:$A,"&lt;="&amp;DATE(2026,5,21))</f>
        <v/>
      </c>
      <c r="ES18">
        <f>COUNTIFS('DRAFT 2'!$D:$D,$B18,'DRAFT 2'!$A:$A,"&gt;="&amp;DATE(2026,5,22),'DRAFT 2'!$A:$A,"&lt;"&amp;DATE(2026,IF(5=12,5+1,5+1),1))</f>
        <v/>
      </c>
      <c r="ET18">
        <f>SUM(EP18:ES18)</f>
        <v/>
      </c>
      <c r="FD18">
        <f>IFERROR(LOOKUP(2,1/('DRAFT 2'!$D:$D=$B18)*('DRAFT 2'!$A:$A&gt;=DATE(2026,6,1))*('DRAFT 2'!$A:$A&lt;DATE(2026,IF(6=12,6+1,6+1),1)),'DRAFT 2'!$A:$A),"")</f>
        <v/>
      </c>
      <c r="FE18">
        <f>COUNTIFS('DRAFT 2'!$D:$D,$B18,'DRAFT 2'!$A:$A,"&gt;="&amp;DATE(2026,6,1),'DRAFT 2'!$A:$A,"&lt;="&amp;DATE(2026,6,7))</f>
        <v/>
      </c>
      <c r="FF18">
        <f>COUNTIFS('DRAFT 2'!$D:$D,$B18,'DRAFT 2'!$A:$A,"&gt;="&amp;DATE(2026,6,8),'DRAFT 2'!$A:$A,"&lt;="&amp;DATE(2026,6,14))</f>
        <v/>
      </c>
      <c r="FG18">
        <f>COUNTIFS('DRAFT 2'!$D:$D,$B18,'DRAFT 2'!$A:$A,"&gt;="&amp;DATE(2026,6,15),'DRAFT 2'!$A:$A,"&lt;="&amp;DATE(2026,6,21))</f>
        <v/>
      </c>
      <c r="FH18">
        <f>COUNTIFS('DRAFT 2'!$D:$D,$B18,'DRAFT 2'!$A:$A,"&gt;="&amp;DATE(2026,6,22),'DRAFT 2'!$A:$A,"&lt;"&amp;DATE(2026,IF(6=12,6+1,6+1),1))</f>
        <v/>
      </c>
      <c r="FI18">
        <f>SUM(FE18:FH18)</f>
        <v/>
      </c>
      <c r="FT18">
        <f>IFERROR(LOOKUP(2,1/('DRAFT 2'!$D:$D=$B18)*('DRAFT 2'!$A:$A&gt;=DATE(2026,7,1))*('DRAFT 2'!$A:$A&lt;DATE(2026,IF(7=12,7+1,7+1),1)),'DRAFT 2'!$A:$A),"")</f>
        <v/>
      </c>
      <c r="FU18">
        <f>COUNTIFS('DRAFT 2'!$D:$D,$B18,'DRAFT 2'!$A:$A,"&gt;="&amp;DATE(2026,7,1),'DRAFT 2'!$A:$A,"&lt;="&amp;DATE(2026,7,7))</f>
        <v/>
      </c>
      <c r="FV18">
        <f>COUNTIFS('DRAFT 2'!$D:$D,$B18,'DRAFT 2'!$A:$A,"&gt;="&amp;DATE(2026,7,8),'DRAFT 2'!$A:$A,"&lt;="&amp;DATE(2026,7,14))</f>
        <v/>
      </c>
      <c r="FW18">
        <f>COUNTIFS('DRAFT 2'!$D:$D,$B18,'DRAFT 2'!$A:$A,"&gt;="&amp;DATE(2026,7,15),'DRAFT 2'!$A:$A,"&lt;="&amp;DATE(2026,7,21))</f>
        <v/>
      </c>
      <c r="FX18">
        <f>COUNTIFS('DRAFT 2'!$D:$D,$B18,'DRAFT 2'!$A:$A,"&gt;="&amp;DATE(2026,7,22),'DRAFT 2'!$A:$A,"&lt;"&amp;DATE(2026,IF(7=12,7+1,7+1),1))</f>
        <v/>
      </c>
      <c r="FY18">
        <f>SUM(FU18:FX18)</f>
        <v/>
      </c>
      <c r="GI18">
        <f>IFERROR(LOOKUP(2,1/('DRAFT 2'!$D:$D=$B18)*('DRAFT 2'!$A:$A&gt;=DATE(2026,8,1))*('DRAFT 2'!$A:$A&lt;DATE(2026,IF(8=12,8+1,8+1),1)),'DRAFT 2'!$A:$A),"")</f>
        <v/>
      </c>
      <c r="GJ18">
        <f>COUNTIFS('DRAFT 2'!$D:$D,$B18,'DRAFT 2'!$A:$A,"&gt;="&amp;DATE(2026,8,1),'DRAFT 2'!$A:$A,"&lt;="&amp;DATE(2026,8,7))</f>
        <v/>
      </c>
      <c r="GK18">
        <f>COUNTIFS('DRAFT 2'!$D:$D,$B18,'DRAFT 2'!$A:$A,"&gt;="&amp;DATE(2026,8,8),'DRAFT 2'!$A:$A,"&lt;="&amp;DATE(2026,8,14))</f>
        <v/>
      </c>
      <c r="GL18">
        <f>COUNTIFS('DRAFT 2'!$D:$D,$B18,'DRAFT 2'!$A:$A,"&gt;="&amp;DATE(2026,8,15),'DRAFT 2'!$A:$A,"&lt;="&amp;DATE(2026,8,21))</f>
        <v/>
      </c>
      <c r="GM18">
        <f>COUNTIFS('DRAFT 2'!$D:$D,$B18,'DRAFT 2'!$A:$A,"&gt;="&amp;DATE(2026,8,22),'DRAFT 2'!$A:$A,"&lt;"&amp;DATE(2026,IF(8=12,8+1,8+1),1))</f>
        <v/>
      </c>
      <c r="GN18">
        <f>SUM(GJ18:GM18)</f>
        <v/>
      </c>
      <c r="GX18">
        <f>IFERROR(LOOKUP(2,1/('DRAFT 2'!$D:$D=$B18)*('DRAFT 2'!$A:$A&gt;=DATE(2026,9,1))*('DRAFT 2'!$A:$A&lt;DATE(2026,IF(9=12,9+1,9+1),1)),'DRAFT 2'!$A:$A),"")</f>
        <v/>
      </c>
      <c r="GY18">
        <f>COUNTIFS('DRAFT 2'!$D:$D,$B18,'DRAFT 2'!$A:$A,"&gt;="&amp;DATE(2026,9,1),'DRAFT 2'!$A:$A,"&lt;="&amp;DATE(2026,9,7))</f>
        <v/>
      </c>
      <c r="GZ18">
        <f>COUNTIFS('DRAFT 2'!$D:$D,$B18,'DRAFT 2'!$A:$A,"&gt;="&amp;DATE(2026,9,8),'DRAFT 2'!$A:$A,"&lt;="&amp;DATE(2026,9,14))</f>
        <v/>
      </c>
      <c r="HA18">
        <f>COUNTIFS('DRAFT 2'!$D:$D,$B18,'DRAFT 2'!$A:$A,"&gt;="&amp;DATE(2026,9,15),'DRAFT 2'!$A:$A,"&lt;="&amp;DATE(2026,9,21))</f>
        <v/>
      </c>
      <c r="HB18">
        <f>COUNTIFS('DRAFT 2'!$D:$D,$B18,'DRAFT 2'!$A:$A,"&gt;="&amp;DATE(2026,9,22),'DRAFT 2'!$A:$A,"&lt;"&amp;DATE(2026,IF(9=12,9+1,9+1),1))</f>
        <v/>
      </c>
      <c r="HC18">
        <f>SUM(GY18:HB18)</f>
        <v/>
      </c>
      <c r="HN18">
        <f>IFERROR(LOOKUP(2,1/('DRAFT 2'!$D:$D=$B18)*('DRAFT 2'!$A:$A&gt;=DATE(2026,10,1))*('DRAFT 2'!$A:$A&lt;DATE(2026,IF(10=12,10+1,10+1),1)),'DRAFT 2'!$A:$A),"")</f>
        <v/>
      </c>
      <c r="HO18">
        <f>COUNTIFS('DRAFT 2'!$D:$D,$B18,'DRAFT 2'!$A:$A,"&gt;="&amp;DATE(2026,10,1),'DRAFT 2'!$A:$A,"&lt;="&amp;DATE(2026,10,7))</f>
        <v/>
      </c>
      <c r="HP18">
        <f>COUNTIFS('DRAFT 2'!$D:$D,$B18,'DRAFT 2'!$A:$A,"&gt;="&amp;DATE(2026,10,8),'DRAFT 2'!$A:$A,"&lt;="&amp;DATE(2026,10,14))</f>
        <v/>
      </c>
      <c r="HQ18">
        <f>COUNTIFS('DRAFT 2'!$D:$D,$B18,'DRAFT 2'!$A:$A,"&gt;="&amp;DATE(2026,10,15),'DRAFT 2'!$A:$A,"&lt;="&amp;DATE(2026,10,21))</f>
        <v/>
      </c>
      <c r="HR18">
        <f>COUNTIFS('DRAFT 2'!$D:$D,$B18,'DRAFT 2'!$A:$A,"&gt;="&amp;DATE(2026,10,22),'DRAFT 2'!$A:$A,"&lt;"&amp;DATE(2026,IF(10=12,10+1,10+1),1))</f>
        <v/>
      </c>
      <c r="HS18">
        <f>SUM(HO18:HR18)</f>
        <v/>
      </c>
      <c r="IC18">
        <f>IFERROR(LOOKUP(2,1/('DRAFT 2'!$D:$D=$B18)*('DRAFT 2'!$A:$A&gt;=DATE(2026,11,1))*('DRAFT 2'!$A:$A&lt;DATE(2026,IF(11=12,11+1,11+1),1)),'DRAFT 2'!$A:$A),"")</f>
        <v/>
      </c>
      <c r="ID18">
        <f>COUNTIFS('DRAFT 2'!$D:$D,$B18,'DRAFT 2'!$A:$A,"&gt;="&amp;DATE(2026,11,1),'DRAFT 2'!$A:$A,"&lt;="&amp;DATE(2026,11,7))</f>
        <v/>
      </c>
      <c r="IE18">
        <f>COUNTIFS('DRAFT 2'!$D:$D,$B18,'DRAFT 2'!$A:$A,"&gt;="&amp;DATE(2026,11,8),'DRAFT 2'!$A:$A,"&lt;="&amp;DATE(2026,11,14))</f>
        <v/>
      </c>
      <c r="IF18">
        <f>COUNTIFS('DRAFT 2'!$D:$D,$B18,'DRAFT 2'!$A:$A,"&gt;="&amp;DATE(2026,11,15),'DRAFT 2'!$A:$A,"&lt;="&amp;DATE(2026,11,21))</f>
        <v/>
      </c>
      <c r="IG18">
        <f>COUNTIFS('DRAFT 2'!$D:$D,$B18,'DRAFT 2'!$A:$A,"&gt;="&amp;DATE(2026,11,22),'DRAFT 2'!$A:$A,"&lt;"&amp;DATE(2026,IF(11=12,11+1,11+1),1))</f>
        <v/>
      </c>
      <c r="IH18">
        <f>SUM(ID18:IG18)</f>
        <v/>
      </c>
      <c r="IR18">
        <f>IFERROR(LOOKUP(2,1/('DRAFT 2'!$D:$D=$B18)*('DRAFT 2'!$A:$A&gt;=DATE(2026,12,1))*('DRAFT 2'!$A:$A&lt;DATE(2026,IF(12=12,12+1,12+1),1)),'DRAFT 2'!$A:$A),"")</f>
        <v/>
      </c>
      <c r="IS18">
        <f>COUNTIFS('DRAFT 2'!$D:$D,$B18,'DRAFT 2'!$A:$A,"&gt;="&amp;DATE(2026,12,1),'DRAFT 2'!$A:$A,"&lt;="&amp;DATE(2026,12,7))</f>
        <v/>
      </c>
      <c r="IT18">
        <f>COUNTIFS('DRAFT 2'!$D:$D,$B18,'DRAFT 2'!$A:$A,"&gt;="&amp;DATE(2026,12,8),'DRAFT 2'!$A:$A,"&lt;="&amp;DATE(2026,12,14))</f>
        <v/>
      </c>
      <c r="IU18">
        <f>COUNTIFS('DRAFT 2'!$D:$D,$B18,'DRAFT 2'!$A:$A,"&gt;="&amp;DATE(2026,12,15),'DRAFT 2'!$A:$A,"&lt;="&amp;DATE(2026,12,21))</f>
        <v/>
      </c>
      <c r="IV18">
        <f>COUNTIFS('DRAFT 2'!$D:$D,$B18,'DRAFT 2'!$A:$A,"&gt;="&amp;DATE(2026,12,22),'DRAFT 2'!$A:$A,"&lt;"&amp;DATE(2026,IF(12=12,12+1,12+1),1))</f>
        <v/>
      </c>
      <c r="IW18">
        <f>SUM(IS18:IV18)</f>
        <v/>
      </c>
    </row>
    <row r="19">
      <c r="A19">
        <f>IFERROR(INDEX('DRAFT 1'!$A:$A,MATCH($B19,'DRAFT 1'!$B:$B,0)),"")</f>
        <v/>
      </c>
      <c r="C19">
        <f>IFERROR(INDEX('DRAFT 1'!$C:$C,MATCH($B19,'DRAFT 1'!$B:$B,0)),"")</f>
        <v/>
      </c>
      <c r="D19">
        <f>IFERROR(INDEX('DRAFT 1'!$D:$D,MATCH($B19,'DRAFT 1'!$B:$B,0)),"")</f>
        <v/>
      </c>
      <c r="E19">
        <f>IFERROR(INDEX('DRAFT 1'!$E:$E,MATCH($B19,'DRAFT 1'!$B:$B,0)),"")</f>
        <v/>
      </c>
      <c r="F19">
        <f>IFERROR(INDEX('DRAFT 1'!$F:$F,MATCH($B19,'DRAFT 1'!$B:$B,0)),"")</f>
        <v/>
      </c>
      <c r="G19">
        <f>IFERROR(INDEX('DRAFT 1'!$G:$G,MATCH($B19,'DRAFT 1'!$B:$B,0)),"")</f>
        <v/>
      </c>
      <c r="H19">
        <f>IFERROR(INDEX('DRAFT 1'!$H:$H,MATCH($B19,'DRAFT 1'!$B:$B,0)),"")</f>
        <v/>
      </c>
      <c r="I19" t="inlineStr">
        <is>
          <t>DIVINA TERRA</t>
        </is>
      </c>
      <c r="K19">
        <f>IFERROR(INDEX('DRAFT 1'!$AL:$AL,MATCH($B19,'DRAFT 1'!$B:$B,0)),"")</f>
        <v/>
      </c>
      <c r="L19">
        <f>IFERROR(INDEX('DRAFT 1'!$J:$J,MATCH($B19,'DRAFT 1'!$B:$B,0)),"")</f>
        <v/>
      </c>
      <c r="M19">
        <f>IFERROR(INDEX('DRAFT 1'!$K:$K,MATCH($B19,'DRAFT 1'!$B:$B,0)),"")</f>
        <v/>
      </c>
      <c r="N19" t="inlineStr">
        <is>
          <t>ATIVO</t>
        </is>
      </c>
      <c r="P19">
        <f>IFERROR(INDEX('DRAFT 1'!$L:$L,MATCH($B19,'DRAFT 1'!$B:$B,0)),"")</f>
        <v/>
      </c>
      <c r="Q19">
        <f>IFERROR(INDEX('DRAFT 1'!$M:$M,MATCH($B19,'DRAFT 1'!$B:$B,0)),"")</f>
        <v/>
      </c>
      <c r="R19">
        <f>IFERROR(INDEX('DRAFT 1'!$N:$N,MATCH($B19,'DRAFT 1'!$B:$B,0)),"")</f>
        <v/>
      </c>
      <c r="S19">
        <f>IFERROR(INDEX('DRAFT 1'!$O:$O,MATCH($B19,'DRAFT 1'!$B:$B,0)),"")</f>
        <v/>
      </c>
      <c r="T19">
        <f>IFERROR(INDEX('DRAFT 1'!$P:$P,MATCH($B19,'DRAFT 1'!$B:$B,0)),"")</f>
        <v/>
      </c>
      <c r="U19">
        <f>IFERROR(INDEX('DRAFT 1'!$Q:$Q,MATCH($B19,'DRAFT 1'!$B:$B,0)),"")</f>
        <v/>
      </c>
      <c r="V19">
        <f>IFERROR(INDEX('DRAFT 1'!$R:$R,MATCH($B19,'DRAFT 1'!$B:$B,0)),"")</f>
        <v/>
      </c>
      <c r="W19">
        <f>IFERROR(INDEX('DRAFT 1'!$S:$S,MATCH($B19,'DRAFT 1'!$B:$B,0)),"")</f>
        <v/>
      </c>
      <c r="X19">
        <f>IFERROR(INDEX('DRAFT 1'!$T:$T,MATCH($B19,'DRAFT 1'!$B:$B,0)),"")</f>
        <v/>
      </c>
      <c r="Z19">
        <f>IFERROR(INDEX('DRAFT 1'!$U:$U,MATCH($B19,'DRAFT 1'!$B:$B,0)),"")</f>
        <v/>
      </c>
      <c r="AA19">
        <f>IFERROR(INDEX('DRAFT 1'!$V:$V,MATCH($B19,'DRAFT 1'!$B:$B,0)),"")</f>
        <v/>
      </c>
      <c r="AB19">
        <f>IFERROR(INDEX('DRAFT 1'!$W:$W,MATCH($B19,'DRAFT 1'!$B:$B,0)),"")</f>
        <v/>
      </c>
      <c r="AC19">
        <f>IFERROR(INDEX('DRAFT 1'!$X:$X,MATCH($B19,'DRAFT 1'!$B:$B,0)),"")</f>
        <v/>
      </c>
      <c r="AD19">
        <f>IFERROR(INDEX('DRAFT 1'!$Y:$Y,MATCH($B19,'DRAFT 1'!$B:$B,0)),"")</f>
        <v/>
      </c>
      <c r="AE19">
        <f>IFERROR(INDEX('DRAFT 1'!$Z:$Z,MATCH($B19,'DRAFT 1'!$B:$B,0)),"")</f>
        <v/>
      </c>
      <c r="AF19">
        <f>IFERROR(INDEX('DRAFT 1'!$AA:$AA,MATCH($B19,'DRAFT 1'!$B:$B,0)),"")</f>
        <v/>
      </c>
      <c r="AG19">
        <f>IFERROR(INDEX('DRAFT 1'!$AB:$AB,MATCH($B19,'DRAFT 1'!$B:$B,0)),"")</f>
        <v/>
      </c>
      <c r="AH19">
        <f>IFERROR(INDEX('DRAFT 1'!$AC:$AC,MATCH($B19,'DRAFT 1'!$B:$B,0)),"")</f>
        <v/>
      </c>
      <c r="AI19">
        <f>IFERROR(INDEX('DRAFT 1'!$AD:$AD,MATCH($B19,'DRAFT 1'!$B:$B,0)),"")</f>
        <v/>
      </c>
      <c r="AJ19">
        <f>IFERROR(INDEX('DRAFT 1'!$AE:$AE,MATCH($B19,'DRAFT 1'!$B:$B,0)),"")</f>
        <v/>
      </c>
      <c r="AK19">
        <f>IFERROR(INDEX('DRAFT 1'!$AG:$AG,MATCH($B19,'DRAFT 1'!$B:$B,0)),"")</f>
        <v/>
      </c>
      <c r="AL19">
        <f>IFERROR(INDEX('DRAFT 1'!$AH:$AH,MATCH($B19,'DRAFT 1'!$B:$B,0)),"")</f>
        <v/>
      </c>
      <c r="AM19">
        <f>IFERROR(INDEX('DRAFT 1'!$AI:$AI,MATCH($B19,'DRAFT 1'!$B:$B,0)),"")</f>
        <v/>
      </c>
      <c r="AN19">
        <f>IFERROR(INDEX('DRAFT 1'!$AJ:$AJ,MATCH($B19,'DRAFT 1'!$B:$B,0)),"")</f>
        <v/>
      </c>
      <c r="AO19">
        <f>IFERROR(Y19/AN19,0)</f>
        <v/>
      </c>
      <c r="AP19">
        <f>IFERROR(INDEX('DRAFT 1'!$AK:$AK,MATCH($B19,'DRAFT 1'!$B:$B,0)),"")</f>
        <v/>
      </c>
      <c r="AR19" t="inlineStr">
        <is>
          <t>RECUPERAÇÃO</t>
        </is>
      </c>
      <c r="AS19">
        <f>IFERROR(LOOKUP(2,1/('DRAFT 2'!$D:$D=$B19),'DRAFT 2'!$T:$T),"")</f>
        <v/>
      </c>
      <c r="AT19">
        <f>IFERROR(LOOKUP(2,1/('DRAFT 2'!$D:$D=$B19),'DRAFT 2'!$A:$A),"")</f>
        <v/>
      </c>
      <c r="AU19">
        <f>IFERROR(LOOKUP(2,1/('DRAFT 2'!$D:$D=$B19),'DRAFT 2'!$R:$R),"")</f>
        <v/>
      </c>
      <c r="AV19">
        <f>IFERROR(LOOKUP(2,1/('DRAFT 2'!$D:$D=$B19),'DRAFT 2'!$S:$S),"")</f>
        <v/>
      </c>
      <c r="AW19" t="inlineStr">
        <is>
          <t>LEAD</t>
        </is>
      </c>
      <c r="AX19">
        <f>IFERROR(LOOKUP(2,1/('DRAFT 2'!$D:$D=$B19),'DRAFT 2'!$M:$M),"")</f>
        <v/>
      </c>
      <c r="AY19">
        <f>IFERROR(LOOKUP(2,1/('DRAFT 2'!$D:$D=$B19),'DRAFT 2'!$K:$K),"")</f>
        <v/>
      </c>
      <c r="BG19">
        <f>IFERROR(LOOKUP(2,1/('DRAFT 2'!$D:$D=$B19),'DRAFT 2'!$U:$U),"")</f>
        <v/>
      </c>
      <c r="BH19">
        <f>IFERROR(LOOKUP(2,1/('DRAFT 2'!$D:$D=$B19),'DRAFT 2'!$V:$V),"")</f>
        <v/>
      </c>
      <c r="CE19">
        <f>IFERROR(AJ19,0)</f>
        <v/>
      </c>
      <c r="CF19">
        <f>IFERROR(LOOKUP(2,1/('DRAFT 2'!$D:$D=$B19)*('DRAFT 2'!$A:$A&gt;=DATE(2026,1,1))*('DRAFT 2'!$A:$A&lt;DATE(2026,IF(1=12,1+1,1+1),1)),'DRAFT 2'!$A:$A),"")</f>
        <v/>
      </c>
      <c r="CG19">
        <f>COUNTIFS('DRAFT 2'!$D:$D,$B19,'DRAFT 2'!$A:$A,"&gt;="&amp;DATE(2026,1,1),'DRAFT 2'!$A:$A,"&lt;="&amp;DATE(2026,1,7))</f>
        <v/>
      </c>
      <c r="CH19">
        <f>COUNTIFS('DRAFT 2'!$D:$D,$B19,'DRAFT 2'!$A:$A,"&gt;="&amp;DATE(2026,1,8),'DRAFT 2'!$A:$A,"&lt;="&amp;DATE(2026,1,14))</f>
        <v/>
      </c>
      <c r="CI19">
        <f>COUNTIFS('DRAFT 2'!$D:$D,$B19,'DRAFT 2'!$A:$A,"&gt;="&amp;DATE(2026,1,15),'DRAFT 2'!$A:$A,"&lt;="&amp;DATE(2026,1,21))</f>
        <v/>
      </c>
      <c r="CJ19">
        <f>COUNTIFS('DRAFT 2'!$D:$D,$B19,'DRAFT 2'!$A:$A,"&gt;="&amp;DATE(2026,1,22),'DRAFT 2'!$A:$A,"&lt;"&amp;DATE(2026,IF(1=12,1+1,1+1),1))</f>
        <v/>
      </c>
      <c r="CK19">
        <f>SUM(CG19:CJ19)</f>
        <v/>
      </c>
      <c r="CT19" t="n">
        <v>0</v>
      </c>
      <c r="CU19">
        <f>IFERROR(LOOKUP(2,1/('DRAFT 2'!$D:$D=$B19)*('DRAFT 2'!$A:$A&gt;=DATE(2026,2,1))*('DRAFT 2'!$A:$A&lt;DATE(2026,IF(2=12,2+1,2+1),1)),'DRAFT 2'!$A:$A),"")</f>
        <v/>
      </c>
      <c r="CV19">
        <f>COUNTIFS('DRAFT 2'!$D:$D,$B19,'DRAFT 2'!$A:$A,"&gt;="&amp;DATE(2026,2,1),'DRAFT 2'!$A:$A,"&lt;="&amp;DATE(2026,2,7))</f>
        <v/>
      </c>
      <c r="CW19">
        <f>COUNTIFS('DRAFT 2'!$D:$D,$B19,'DRAFT 2'!$A:$A,"&gt;="&amp;DATE(2026,2,8),'DRAFT 2'!$A:$A,"&lt;="&amp;DATE(2026,2,14))</f>
        <v/>
      </c>
      <c r="CX19">
        <f>COUNTIFS('DRAFT 2'!$D:$D,$B19,'DRAFT 2'!$A:$A,"&gt;="&amp;DATE(2026,2,15),'DRAFT 2'!$A:$A,"&lt;="&amp;DATE(2026,2,21))</f>
        <v/>
      </c>
      <c r="CY19">
        <f>COUNTIFS('DRAFT 2'!$D:$D,$B19,'DRAFT 2'!$A:$A,"&gt;="&amp;DATE(2026,2,22),'DRAFT 2'!$A:$A,"&lt;"&amp;DATE(2026,IF(2=12,2+1,2+1),1))</f>
        <v/>
      </c>
      <c r="CZ19">
        <f>SUM(CV19:CY19)</f>
        <v/>
      </c>
      <c r="DJ19">
        <f>IFERROR(LOOKUP(2,1/('DRAFT 2'!$D:$D=$B19)*('DRAFT 2'!$A:$A&gt;=DATE(2026,3,1))*('DRAFT 2'!$A:$A&lt;DATE(2026,IF(3=12,3+1,3+1),1)),'DRAFT 2'!$A:$A),"")</f>
        <v/>
      </c>
      <c r="DK19">
        <f>COUNTIFS('DRAFT 2'!$D:$D,$B19,'DRAFT 2'!$A:$A,"&gt;="&amp;DATE(2026,3,1),'DRAFT 2'!$A:$A,"&lt;="&amp;DATE(2026,3,7))</f>
        <v/>
      </c>
      <c r="DL19">
        <f>COUNTIFS('DRAFT 2'!$D:$D,$B19,'DRAFT 2'!$A:$A,"&gt;="&amp;DATE(2026,3,8),'DRAFT 2'!$A:$A,"&lt;="&amp;DATE(2026,3,14))</f>
        <v/>
      </c>
      <c r="DM19">
        <f>COUNTIFS('DRAFT 2'!$D:$D,$B19,'DRAFT 2'!$A:$A,"&gt;="&amp;DATE(2026,3,15),'DRAFT 2'!$A:$A,"&lt;="&amp;DATE(2026,3,21))</f>
        <v/>
      </c>
      <c r="DN19">
        <f>COUNTIFS('DRAFT 2'!$D:$D,$B19,'DRAFT 2'!$A:$A,"&gt;="&amp;DATE(2026,3,22),'DRAFT 2'!$A:$A,"&lt;"&amp;DATE(2026,IF(3=12,3+1,3+1),1))</f>
        <v/>
      </c>
      <c r="DO19">
        <f>SUM(DK19:DN19)</f>
        <v/>
      </c>
      <c r="DZ19">
        <f>IFERROR(LOOKUP(2,1/('DRAFT 2'!$D:$D=$B19)*('DRAFT 2'!$A:$A&gt;=DATE(2026,4,1))*('DRAFT 2'!$A:$A&lt;DATE(2026,IF(4=12,4+1,4+1),1)),'DRAFT 2'!$A:$A),"")</f>
        <v/>
      </c>
      <c r="EA19">
        <f>COUNTIFS('DRAFT 2'!$D:$D,$B19,'DRAFT 2'!$A:$A,"&gt;="&amp;DATE(2026,4,1),'DRAFT 2'!$A:$A,"&lt;="&amp;DATE(2026,4,7))</f>
        <v/>
      </c>
      <c r="EB19">
        <f>COUNTIFS('DRAFT 2'!$D:$D,$B19,'DRAFT 2'!$A:$A,"&gt;="&amp;DATE(2026,4,8),'DRAFT 2'!$A:$A,"&lt;="&amp;DATE(2026,4,14))</f>
        <v/>
      </c>
      <c r="EC19">
        <f>COUNTIFS('DRAFT 2'!$D:$D,$B19,'DRAFT 2'!$A:$A,"&gt;="&amp;DATE(2026,4,15),'DRAFT 2'!$A:$A,"&lt;="&amp;DATE(2026,4,21))</f>
        <v/>
      </c>
      <c r="ED19">
        <f>COUNTIFS('DRAFT 2'!$D:$D,$B19,'DRAFT 2'!$A:$A,"&gt;="&amp;DATE(2026,4,22),'DRAFT 2'!$A:$A,"&lt;"&amp;DATE(2026,IF(4=12,4+1,4+1),1))</f>
        <v/>
      </c>
      <c r="EE19">
        <f>SUM(EA19:ED19)</f>
        <v/>
      </c>
      <c r="EO19">
        <f>IFERROR(LOOKUP(2,1/('DRAFT 2'!$D:$D=$B19)*('DRAFT 2'!$A:$A&gt;=DATE(2026,5,1))*('DRAFT 2'!$A:$A&lt;DATE(2026,IF(5=12,5+1,5+1),1)),'DRAFT 2'!$A:$A),"")</f>
        <v/>
      </c>
      <c r="EP19">
        <f>COUNTIFS('DRAFT 2'!$D:$D,$B19,'DRAFT 2'!$A:$A,"&gt;="&amp;DATE(2026,5,1),'DRAFT 2'!$A:$A,"&lt;="&amp;DATE(2026,5,7))</f>
        <v/>
      </c>
      <c r="EQ19">
        <f>COUNTIFS('DRAFT 2'!$D:$D,$B19,'DRAFT 2'!$A:$A,"&gt;="&amp;DATE(2026,5,8),'DRAFT 2'!$A:$A,"&lt;="&amp;DATE(2026,5,14))</f>
        <v/>
      </c>
      <c r="ER19">
        <f>COUNTIFS('DRAFT 2'!$D:$D,$B19,'DRAFT 2'!$A:$A,"&gt;="&amp;DATE(2026,5,15),'DRAFT 2'!$A:$A,"&lt;="&amp;DATE(2026,5,21))</f>
        <v/>
      </c>
      <c r="ES19">
        <f>COUNTIFS('DRAFT 2'!$D:$D,$B19,'DRAFT 2'!$A:$A,"&gt;="&amp;DATE(2026,5,22),'DRAFT 2'!$A:$A,"&lt;"&amp;DATE(2026,IF(5=12,5+1,5+1),1))</f>
        <v/>
      </c>
      <c r="ET19">
        <f>SUM(EP19:ES19)</f>
        <v/>
      </c>
      <c r="FD19">
        <f>IFERROR(LOOKUP(2,1/('DRAFT 2'!$D:$D=$B19)*('DRAFT 2'!$A:$A&gt;=DATE(2026,6,1))*('DRAFT 2'!$A:$A&lt;DATE(2026,IF(6=12,6+1,6+1),1)),'DRAFT 2'!$A:$A),"")</f>
        <v/>
      </c>
      <c r="FE19">
        <f>COUNTIFS('DRAFT 2'!$D:$D,$B19,'DRAFT 2'!$A:$A,"&gt;="&amp;DATE(2026,6,1),'DRAFT 2'!$A:$A,"&lt;="&amp;DATE(2026,6,7))</f>
        <v/>
      </c>
      <c r="FF19">
        <f>COUNTIFS('DRAFT 2'!$D:$D,$B19,'DRAFT 2'!$A:$A,"&gt;="&amp;DATE(2026,6,8),'DRAFT 2'!$A:$A,"&lt;="&amp;DATE(2026,6,14))</f>
        <v/>
      </c>
      <c r="FG19">
        <f>COUNTIFS('DRAFT 2'!$D:$D,$B19,'DRAFT 2'!$A:$A,"&gt;="&amp;DATE(2026,6,15),'DRAFT 2'!$A:$A,"&lt;="&amp;DATE(2026,6,21))</f>
        <v/>
      </c>
      <c r="FH19">
        <f>COUNTIFS('DRAFT 2'!$D:$D,$B19,'DRAFT 2'!$A:$A,"&gt;="&amp;DATE(2026,6,22),'DRAFT 2'!$A:$A,"&lt;"&amp;DATE(2026,IF(6=12,6+1,6+1),1))</f>
        <v/>
      </c>
      <c r="FI19">
        <f>SUM(FE19:FH19)</f>
        <v/>
      </c>
      <c r="FT19">
        <f>IFERROR(LOOKUP(2,1/('DRAFT 2'!$D:$D=$B19)*('DRAFT 2'!$A:$A&gt;=DATE(2026,7,1))*('DRAFT 2'!$A:$A&lt;DATE(2026,IF(7=12,7+1,7+1),1)),'DRAFT 2'!$A:$A),"")</f>
        <v/>
      </c>
      <c r="FU19">
        <f>COUNTIFS('DRAFT 2'!$D:$D,$B19,'DRAFT 2'!$A:$A,"&gt;="&amp;DATE(2026,7,1),'DRAFT 2'!$A:$A,"&lt;="&amp;DATE(2026,7,7))</f>
        <v/>
      </c>
      <c r="FV19">
        <f>COUNTIFS('DRAFT 2'!$D:$D,$B19,'DRAFT 2'!$A:$A,"&gt;="&amp;DATE(2026,7,8),'DRAFT 2'!$A:$A,"&lt;="&amp;DATE(2026,7,14))</f>
        <v/>
      </c>
      <c r="FW19">
        <f>COUNTIFS('DRAFT 2'!$D:$D,$B19,'DRAFT 2'!$A:$A,"&gt;="&amp;DATE(2026,7,15),'DRAFT 2'!$A:$A,"&lt;="&amp;DATE(2026,7,21))</f>
        <v/>
      </c>
      <c r="FX19">
        <f>COUNTIFS('DRAFT 2'!$D:$D,$B19,'DRAFT 2'!$A:$A,"&gt;="&amp;DATE(2026,7,22),'DRAFT 2'!$A:$A,"&lt;"&amp;DATE(2026,IF(7=12,7+1,7+1),1))</f>
        <v/>
      </c>
      <c r="FY19">
        <f>SUM(FU19:FX19)</f>
        <v/>
      </c>
      <c r="GI19">
        <f>IFERROR(LOOKUP(2,1/('DRAFT 2'!$D:$D=$B19)*('DRAFT 2'!$A:$A&gt;=DATE(2026,8,1))*('DRAFT 2'!$A:$A&lt;DATE(2026,IF(8=12,8+1,8+1),1)),'DRAFT 2'!$A:$A),"")</f>
        <v/>
      </c>
      <c r="GJ19">
        <f>COUNTIFS('DRAFT 2'!$D:$D,$B19,'DRAFT 2'!$A:$A,"&gt;="&amp;DATE(2026,8,1),'DRAFT 2'!$A:$A,"&lt;="&amp;DATE(2026,8,7))</f>
        <v/>
      </c>
      <c r="GK19">
        <f>COUNTIFS('DRAFT 2'!$D:$D,$B19,'DRAFT 2'!$A:$A,"&gt;="&amp;DATE(2026,8,8),'DRAFT 2'!$A:$A,"&lt;="&amp;DATE(2026,8,14))</f>
        <v/>
      </c>
      <c r="GL19">
        <f>COUNTIFS('DRAFT 2'!$D:$D,$B19,'DRAFT 2'!$A:$A,"&gt;="&amp;DATE(2026,8,15),'DRAFT 2'!$A:$A,"&lt;="&amp;DATE(2026,8,21))</f>
        <v/>
      </c>
      <c r="GM19">
        <f>COUNTIFS('DRAFT 2'!$D:$D,$B19,'DRAFT 2'!$A:$A,"&gt;="&amp;DATE(2026,8,22),'DRAFT 2'!$A:$A,"&lt;"&amp;DATE(2026,IF(8=12,8+1,8+1),1))</f>
        <v/>
      </c>
      <c r="GN19">
        <f>SUM(GJ19:GM19)</f>
        <v/>
      </c>
      <c r="GX19">
        <f>IFERROR(LOOKUP(2,1/('DRAFT 2'!$D:$D=$B19)*('DRAFT 2'!$A:$A&gt;=DATE(2026,9,1))*('DRAFT 2'!$A:$A&lt;DATE(2026,IF(9=12,9+1,9+1),1)),'DRAFT 2'!$A:$A),"")</f>
        <v/>
      </c>
      <c r="GY19">
        <f>COUNTIFS('DRAFT 2'!$D:$D,$B19,'DRAFT 2'!$A:$A,"&gt;="&amp;DATE(2026,9,1),'DRAFT 2'!$A:$A,"&lt;="&amp;DATE(2026,9,7))</f>
        <v/>
      </c>
      <c r="GZ19">
        <f>COUNTIFS('DRAFT 2'!$D:$D,$B19,'DRAFT 2'!$A:$A,"&gt;="&amp;DATE(2026,9,8),'DRAFT 2'!$A:$A,"&lt;="&amp;DATE(2026,9,14))</f>
        <v/>
      </c>
      <c r="HA19">
        <f>COUNTIFS('DRAFT 2'!$D:$D,$B19,'DRAFT 2'!$A:$A,"&gt;="&amp;DATE(2026,9,15),'DRAFT 2'!$A:$A,"&lt;="&amp;DATE(2026,9,21))</f>
        <v/>
      </c>
      <c r="HB19">
        <f>COUNTIFS('DRAFT 2'!$D:$D,$B19,'DRAFT 2'!$A:$A,"&gt;="&amp;DATE(2026,9,22),'DRAFT 2'!$A:$A,"&lt;"&amp;DATE(2026,IF(9=12,9+1,9+1),1))</f>
        <v/>
      </c>
      <c r="HC19">
        <f>SUM(GY19:HB19)</f>
        <v/>
      </c>
      <c r="HN19">
        <f>IFERROR(LOOKUP(2,1/('DRAFT 2'!$D:$D=$B19)*('DRAFT 2'!$A:$A&gt;=DATE(2026,10,1))*('DRAFT 2'!$A:$A&lt;DATE(2026,IF(10=12,10+1,10+1),1)),'DRAFT 2'!$A:$A),"")</f>
        <v/>
      </c>
      <c r="HO19">
        <f>COUNTIFS('DRAFT 2'!$D:$D,$B19,'DRAFT 2'!$A:$A,"&gt;="&amp;DATE(2026,10,1),'DRAFT 2'!$A:$A,"&lt;="&amp;DATE(2026,10,7))</f>
        <v/>
      </c>
      <c r="HP19">
        <f>COUNTIFS('DRAFT 2'!$D:$D,$B19,'DRAFT 2'!$A:$A,"&gt;="&amp;DATE(2026,10,8),'DRAFT 2'!$A:$A,"&lt;="&amp;DATE(2026,10,14))</f>
        <v/>
      </c>
      <c r="HQ19">
        <f>COUNTIFS('DRAFT 2'!$D:$D,$B19,'DRAFT 2'!$A:$A,"&gt;="&amp;DATE(2026,10,15),'DRAFT 2'!$A:$A,"&lt;="&amp;DATE(2026,10,21))</f>
        <v/>
      </c>
      <c r="HR19">
        <f>COUNTIFS('DRAFT 2'!$D:$D,$B19,'DRAFT 2'!$A:$A,"&gt;="&amp;DATE(2026,10,22),'DRAFT 2'!$A:$A,"&lt;"&amp;DATE(2026,IF(10=12,10+1,10+1),1))</f>
        <v/>
      </c>
      <c r="HS19">
        <f>SUM(HO19:HR19)</f>
        <v/>
      </c>
      <c r="IC19">
        <f>IFERROR(LOOKUP(2,1/('DRAFT 2'!$D:$D=$B19)*('DRAFT 2'!$A:$A&gt;=DATE(2026,11,1))*('DRAFT 2'!$A:$A&lt;DATE(2026,IF(11=12,11+1,11+1),1)),'DRAFT 2'!$A:$A),"")</f>
        <v/>
      </c>
      <c r="ID19">
        <f>COUNTIFS('DRAFT 2'!$D:$D,$B19,'DRAFT 2'!$A:$A,"&gt;="&amp;DATE(2026,11,1),'DRAFT 2'!$A:$A,"&lt;="&amp;DATE(2026,11,7))</f>
        <v/>
      </c>
      <c r="IE19">
        <f>COUNTIFS('DRAFT 2'!$D:$D,$B19,'DRAFT 2'!$A:$A,"&gt;="&amp;DATE(2026,11,8),'DRAFT 2'!$A:$A,"&lt;="&amp;DATE(2026,11,14))</f>
        <v/>
      </c>
      <c r="IF19">
        <f>COUNTIFS('DRAFT 2'!$D:$D,$B19,'DRAFT 2'!$A:$A,"&gt;="&amp;DATE(2026,11,15),'DRAFT 2'!$A:$A,"&lt;="&amp;DATE(2026,11,21))</f>
        <v/>
      </c>
      <c r="IG19">
        <f>COUNTIFS('DRAFT 2'!$D:$D,$B19,'DRAFT 2'!$A:$A,"&gt;="&amp;DATE(2026,11,22),'DRAFT 2'!$A:$A,"&lt;"&amp;DATE(2026,IF(11=12,11+1,11+1),1))</f>
        <v/>
      </c>
      <c r="IH19">
        <f>SUM(ID19:IG19)</f>
        <v/>
      </c>
      <c r="IR19">
        <f>IFERROR(LOOKUP(2,1/('DRAFT 2'!$D:$D=$B19)*('DRAFT 2'!$A:$A&gt;=DATE(2026,12,1))*('DRAFT 2'!$A:$A&lt;DATE(2026,IF(12=12,12+1,12+1),1)),'DRAFT 2'!$A:$A),"")</f>
        <v/>
      </c>
      <c r="IS19">
        <f>COUNTIFS('DRAFT 2'!$D:$D,$B19,'DRAFT 2'!$A:$A,"&gt;="&amp;DATE(2026,12,1),'DRAFT 2'!$A:$A,"&lt;="&amp;DATE(2026,12,7))</f>
        <v/>
      </c>
      <c r="IT19">
        <f>COUNTIFS('DRAFT 2'!$D:$D,$B19,'DRAFT 2'!$A:$A,"&gt;="&amp;DATE(2026,12,8),'DRAFT 2'!$A:$A,"&lt;="&amp;DATE(2026,12,14))</f>
        <v/>
      </c>
      <c r="IU19">
        <f>COUNTIFS('DRAFT 2'!$D:$D,$B19,'DRAFT 2'!$A:$A,"&gt;="&amp;DATE(2026,12,15),'DRAFT 2'!$A:$A,"&lt;="&amp;DATE(2026,12,21))</f>
        <v/>
      </c>
      <c r="IV19">
        <f>COUNTIFS('DRAFT 2'!$D:$D,$B19,'DRAFT 2'!$A:$A,"&gt;="&amp;DATE(2026,12,22),'DRAFT 2'!$A:$A,"&lt;"&amp;DATE(2026,IF(12=12,12+1,12+1),1))</f>
        <v/>
      </c>
      <c r="IW19">
        <f>SUM(IS19:IV19)</f>
        <v/>
      </c>
    </row>
    <row r="20">
      <c r="A20">
        <f>IFERROR(INDEX('DRAFT 1'!$A:$A,MATCH($B20,'DRAFT 1'!$B:$B,0)),"")</f>
        <v/>
      </c>
      <c r="C20">
        <f>IFERROR(INDEX('DRAFT 1'!$C:$C,MATCH($B20,'DRAFT 1'!$B:$B,0)),"")</f>
        <v/>
      </c>
      <c r="D20">
        <f>IFERROR(INDEX('DRAFT 1'!$D:$D,MATCH($B20,'DRAFT 1'!$B:$B,0)),"")</f>
        <v/>
      </c>
      <c r="E20">
        <f>IFERROR(INDEX('DRAFT 1'!$E:$E,MATCH($B20,'DRAFT 1'!$B:$B,0)),"")</f>
        <v/>
      </c>
      <c r="F20">
        <f>IFERROR(INDEX('DRAFT 1'!$F:$F,MATCH($B20,'DRAFT 1'!$B:$B,0)),"")</f>
        <v/>
      </c>
      <c r="G20">
        <f>IFERROR(INDEX('DRAFT 1'!$G:$G,MATCH($B20,'DRAFT 1'!$B:$B,0)),"")</f>
        <v/>
      </c>
      <c r="H20">
        <f>IFERROR(INDEX('DRAFT 1'!$H:$H,MATCH($B20,'DRAFT 1'!$B:$B,0)),"")</f>
        <v/>
      </c>
      <c r="I20" t="inlineStr">
        <is>
          <t>FIT LAND</t>
        </is>
      </c>
      <c r="K20">
        <f>IFERROR(INDEX('DRAFT 1'!$AL:$AL,MATCH($B20,'DRAFT 1'!$B:$B,0)),"")</f>
        <v/>
      </c>
      <c r="L20">
        <f>IFERROR(INDEX('DRAFT 1'!$J:$J,MATCH($B20,'DRAFT 1'!$B:$B,0)),"")</f>
        <v/>
      </c>
      <c r="M20">
        <f>IFERROR(INDEX('DRAFT 1'!$K:$K,MATCH($B20,'DRAFT 1'!$B:$B,0)),"")</f>
        <v/>
      </c>
      <c r="N20" t="inlineStr">
        <is>
          <t>INAT.ANT</t>
        </is>
      </c>
      <c r="P20">
        <f>IFERROR(INDEX('DRAFT 1'!$L:$L,MATCH($B20,'DRAFT 1'!$B:$B,0)),"")</f>
        <v/>
      </c>
      <c r="Q20">
        <f>IFERROR(INDEX('DRAFT 1'!$M:$M,MATCH($B20,'DRAFT 1'!$B:$B,0)),"")</f>
        <v/>
      </c>
      <c r="R20">
        <f>IFERROR(INDEX('DRAFT 1'!$N:$N,MATCH($B20,'DRAFT 1'!$B:$B,0)),"")</f>
        <v/>
      </c>
      <c r="S20">
        <f>IFERROR(INDEX('DRAFT 1'!$O:$O,MATCH($B20,'DRAFT 1'!$B:$B,0)),"")</f>
        <v/>
      </c>
      <c r="T20">
        <f>IFERROR(INDEX('DRAFT 1'!$P:$P,MATCH($B20,'DRAFT 1'!$B:$B,0)),"")</f>
        <v/>
      </c>
      <c r="U20">
        <f>IFERROR(INDEX('DRAFT 1'!$Q:$Q,MATCH($B20,'DRAFT 1'!$B:$B,0)),"")</f>
        <v/>
      </c>
      <c r="V20">
        <f>IFERROR(INDEX('DRAFT 1'!$R:$R,MATCH($B20,'DRAFT 1'!$B:$B,0)),"")</f>
        <v/>
      </c>
      <c r="W20">
        <f>IFERROR(INDEX('DRAFT 1'!$S:$S,MATCH($B20,'DRAFT 1'!$B:$B,0)),"")</f>
        <v/>
      </c>
      <c r="X20">
        <f>IFERROR(INDEX('DRAFT 1'!$T:$T,MATCH($B20,'DRAFT 1'!$B:$B,0)),"")</f>
        <v/>
      </c>
      <c r="Z20">
        <f>IFERROR(INDEX('DRAFT 1'!$U:$U,MATCH($B20,'DRAFT 1'!$B:$B,0)),"")</f>
        <v/>
      </c>
      <c r="AA20">
        <f>IFERROR(INDEX('DRAFT 1'!$V:$V,MATCH($B20,'DRAFT 1'!$B:$B,0)),"")</f>
        <v/>
      </c>
      <c r="AB20">
        <f>IFERROR(INDEX('DRAFT 1'!$W:$W,MATCH($B20,'DRAFT 1'!$B:$B,0)),"")</f>
        <v/>
      </c>
      <c r="AC20">
        <f>IFERROR(INDEX('DRAFT 1'!$X:$X,MATCH($B20,'DRAFT 1'!$B:$B,0)),"")</f>
        <v/>
      </c>
      <c r="AD20">
        <f>IFERROR(INDEX('DRAFT 1'!$Y:$Y,MATCH($B20,'DRAFT 1'!$B:$B,0)),"")</f>
        <v/>
      </c>
      <c r="AE20">
        <f>IFERROR(INDEX('DRAFT 1'!$Z:$Z,MATCH($B20,'DRAFT 1'!$B:$B,0)),"")</f>
        <v/>
      </c>
      <c r="AF20">
        <f>IFERROR(INDEX('DRAFT 1'!$AA:$AA,MATCH($B20,'DRAFT 1'!$B:$B,0)),"")</f>
        <v/>
      </c>
      <c r="AG20">
        <f>IFERROR(INDEX('DRAFT 1'!$AB:$AB,MATCH($B20,'DRAFT 1'!$B:$B,0)),"")</f>
        <v/>
      </c>
      <c r="AH20">
        <f>IFERROR(INDEX('DRAFT 1'!$AC:$AC,MATCH($B20,'DRAFT 1'!$B:$B,0)),"")</f>
        <v/>
      </c>
      <c r="AI20">
        <f>IFERROR(INDEX('DRAFT 1'!$AD:$AD,MATCH($B20,'DRAFT 1'!$B:$B,0)),"")</f>
        <v/>
      </c>
      <c r="AJ20">
        <f>IFERROR(INDEX('DRAFT 1'!$AE:$AE,MATCH($B20,'DRAFT 1'!$B:$B,0)),"")</f>
        <v/>
      </c>
      <c r="AK20">
        <f>IFERROR(INDEX('DRAFT 1'!$AG:$AG,MATCH($B20,'DRAFT 1'!$B:$B,0)),"")</f>
        <v/>
      </c>
      <c r="AL20">
        <f>IFERROR(INDEX('DRAFT 1'!$AH:$AH,MATCH($B20,'DRAFT 1'!$B:$B,0)),"")</f>
        <v/>
      </c>
      <c r="AM20">
        <f>IFERROR(INDEX('DRAFT 1'!$AI:$AI,MATCH($B20,'DRAFT 1'!$B:$B,0)),"")</f>
        <v/>
      </c>
      <c r="AN20">
        <f>IFERROR(INDEX('DRAFT 1'!$AJ:$AJ,MATCH($B20,'DRAFT 1'!$B:$B,0)),"")</f>
        <v/>
      </c>
      <c r="AO20">
        <f>IFERROR(Y20/AN20,0)</f>
        <v/>
      </c>
      <c r="AP20">
        <f>IFERROR(INDEX('DRAFT 1'!$AK:$AK,MATCH($B20,'DRAFT 1'!$B:$B,0)),"")</f>
        <v/>
      </c>
      <c r="AR20" t="inlineStr">
        <is>
          <t>PÓS-VENDA</t>
        </is>
      </c>
      <c r="AS20">
        <f>IFERROR(LOOKUP(2,1/('DRAFT 2'!$D:$D=$B20),'DRAFT 2'!$T:$T),"")</f>
        <v/>
      </c>
      <c r="AT20">
        <f>IFERROR(LOOKUP(2,1/('DRAFT 2'!$D:$D=$B20),'DRAFT 2'!$A:$A),"")</f>
        <v/>
      </c>
      <c r="AU20">
        <f>IFERROR(LOOKUP(2,1/('DRAFT 2'!$D:$D=$B20),'DRAFT 2'!$R:$R),"")</f>
        <v/>
      </c>
      <c r="AV20">
        <f>IFERROR(LOOKUP(2,1/('DRAFT 2'!$D:$D=$B20),'DRAFT 2'!$S:$S),"")</f>
        <v/>
      </c>
      <c r="AW20" t="inlineStr">
        <is>
          <t>RECORRENTE</t>
        </is>
      </c>
      <c r="AX20">
        <f>IFERROR(LOOKUP(2,1/('DRAFT 2'!$D:$D=$B20),'DRAFT 2'!$M:$M),"")</f>
        <v/>
      </c>
      <c r="AY20">
        <f>IFERROR(LOOKUP(2,1/('DRAFT 2'!$D:$D=$B20),'DRAFT 2'!$K:$K),"")</f>
        <v/>
      </c>
      <c r="BG20">
        <f>IFERROR(LOOKUP(2,1/('DRAFT 2'!$D:$D=$B20),'DRAFT 2'!$U:$U),"")</f>
        <v/>
      </c>
      <c r="BH20">
        <f>IFERROR(LOOKUP(2,1/('DRAFT 2'!$D:$D=$B20),'DRAFT 2'!$V:$V),"")</f>
        <v/>
      </c>
      <c r="CE20">
        <f>IFERROR(AJ20,0)</f>
        <v/>
      </c>
      <c r="CF20">
        <f>IFERROR(LOOKUP(2,1/('DRAFT 2'!$D:$D=$B20)*('DRAFT 2'!$A:$A&gt;=DATE(2026,1,1))*('DRAFT 2'!$A:$A&lt;DATE(2026,IF(1=12,1+1,1+1),1)),'DRAFT 2'!$A:$A),"")</f>
        <v/>
      </c>
      <c r="CG20">
        <f>COUNTIFS('DRAFT 2'!$D:$D,$B20,'DRAFT 2'!$A:$A,"&gt;="&amp;DATE(2026,1,1),'DRAFT 2'!$A:$A,"&lt;="&amp;DATE(2026,1,7))</f>
        <v/>
      </c>
      <c r="CH20">
        <f>COUNTIFS('DRAFT 2'!$D:$D,$B20,'DRAFT 2'!$A:$A,"&gt;="&amp;DATE(2026,1,8),'DRAFT 2'!$A:$A,"&lt;="&amp;DATE(2026,1,14))</f>
        <v/>
      </c>
      <c r="CI20">
        <f>COUNTIFS('DRAFT 2'!$D:$D,$B20,'DRAFT 2'!$A:$A,"&gt;="&amp;DATE(2026,1,15),'DRAFT 2'!$A:$A,"&lt;="&amp;DATE(2026,1,21))</f>
        <v/>
      </c>
      <c r="CJ20">
        <f>COUNTIFS('DRAFT 2'!$D:$D,$B20,'DRAFT 2'!$A:$A,"&gt;="&amp;DATE(2026,1,22),'DRAFT 2'!$A:$A,"&lt;"&amp;DATE(2026,IF(1=12,1+1,1+1),1))</f>
        <v/>
      </c>
      <c r="CK20">
        <f>SUM(CG20:CJ20)</f>
        <v/>
      </c>
      <c r="CT20" t="n">
        <v>0</v>
      </c>
      <c r="CU20">
        <f>IFERROR(LOOKUP(2,1/('DRAFT 2'!$D:$D=$B20)*('DRAFT 2'!$A:$A&gt;=DATE(2026,2,1))*('DRAFT 2'!$A:$A&lt;DATE(2026,IF(2=12,2+1,2+1),1)),'DRAFT 2'!$A:$A),"")</f>
        <v/>
      </c>
      <c r="CV20">
        <f>COUNTIFS('DRAFT 2'!$D:$D,$B20,'DRAFT 2'!$A:$A,"&gt;="&amp;DATE(2026,2,1),'DRAFT 2'!$A:$A,"&lt;="&amp;DATE(2026,2,7))</f>
        <v/>
      </c>
      <c r="CW20">
        <f>COUNTIFS('DRAFT 2'!$D:$D,$B20,'DRAFT 2'!$A:$A,"&gt;="&amp;DATE(2026,2,8),'DRAFT 2'!$A:$A,"&lt;="&amp;DATE(2026,2,14))</f>
        <v/>
      </c>
      <c r="CX20">
        <f>COUNTIFS('DRAFT 2'!$D:$D,$B20,'DRAFT 2'!$A:$A,"&gt;="&amp;DATE(2026,2,15),'DRAFT 2'!$A:$A,"&lt;="&amp;DATE(2026,2,21))</f>
        <v/>
      </c>
      <c r="CY20">
        <f>COUNTIFS('DRAFT 2'!$D:$D,$B20,'DRAFT 2'!$A:$A,"&gt;="&amp;DATE(2026,2,22),'DRAFT 2'!$A:$A,"&lt;"&amp;DATE(2026,IF(2=12,2+1,2+1),1))</f>
        <v/>
      </c>
      <c r="CZ20">
        <f>SUM(CV20:CY20)</f>
        <v/>
      </c>
      <c r="DJ20">
        <f>IFERROR(LOOKUP(2,1/('DRAFT 2'!$D:$D=$B20)*('DRAFT 2'!$A:$A&gt;=DATE(2026,3,1))*('DRAFT 2'!$A:$A&lt;DATE(2026,IF(3=12,3+1,3+1),1)),'DRAFT 2'!$A:$A),"")</f>
        <v/>
      </c>
      <c r="DK20">
        <f>COUNTIFS('DRAFT 2'!$D:$D,$B20,'DRAFT 2'!$A:$A,"&gt;="&amp;DATE(2026,3,1),'DRAFT 2'!$A:$A,"&lt;="&amp;DATE(2026,3,7))</f>
        <v/>
      </c>
      <c r="DL20">
        <f>COUNTIFS('DRAFT 2'!$D:$D,$B20,'DRAFT 2'!$A:$A,"&gt;="&amp;DATE(2026,3,8),'DRAFT 2'!$A:$A,"&lt;="&amp;DATE(2026,3,14))</f>
        <v/>
      </c>
      <c r="DM20">
        <f>COUNTIFS('DRAFT 2'!$D:$D,$B20,'DRAFT 2'!$A:$A,"&gt;="&amp;DATE(2026,3,15),'DRAFT 2'!$A:$A,"&lt;="&amp;DATE(2026,3,21))</f>
        <v/>
      </c>
      <c r="DN20">
        <f>COUNTIFS('DRAFT 2'!$D:$D,$B20,'DRAFT 2'!$A:$A,"&gt;="&amp;DATE(2026,3,22),'DRAFT 2'!$A:$A,"&lt;"&amp;DATE(2026,IF(3=12,3+1,3+1),1))</f>
        <v/>
      </c>
      <c r="DO20">
        <f>SUM(DK20:DN20)</f>
        <v/>
      </c>
      <c r="DZ20">
        <f>IFERROR(LOOKUP(2,1/('DRAFT 2'!$D:$D=$B20)*('DRAFT 2'!$A:$A&gt;=DATE(2026,4,1))*('DRAFT 2'!$A:$A&lt;DATE(2026,IF(4=12,4+1,4+1),1)),'DRAFT 2'!$A:$A),"")</f>
        <v/>
      </c>
      <c r="EA20">
        <f>COUNTIFS('DRAFT 2'!$D:$D,$B20,'DRAFT 2'!$A:$A,"&gt;="&amp;DATE(2026,4,1),'DRAFT 2'!$A:$A,"&lt;="&amp;DATE(2026,4,7))</f>
        <v/>
      </c>
      <c r="EB20">
        <f>COUNTIFS('DRAFT 2'!$D:$D,$B20,'DRAFT 2'!$A:$A,"&gt;="&amp;DATE(2026,4,8),'DRAFT 2'!$A:$A,"&lt;="&amp;DATE(2026,4,14))</f>
        <v/>
      </c>
      <c r="EC20">
        <f>COUNTIFS('DRAFT 2'!$D:$D,$B20,'DRAFT 2'!$A:$A,"&gt;="&amp;DATE(2026,4,15),'DRAFT 2'!$A:$A,"&lt;="&amp;DATE(2026,4,21))</f>
        <v/>
      </c>
      <c r="ED20">
        <f>COUNTIFS('DRAFT 2'!$D:$D,$B20,'DRAFT 2'!$A:$A,"&gt;="&amp;DATE(2026,4,22),'DRAFT 2'!$A:$A,"&lt;"&amp;DATE(2026,IF(4=12,4+1,4+1),1))</f>
        <v/>
      </c>
      <c r="EE20">
        <f>SUM(EA20:ED20)</f>
        <v/>
      </c>
      <c r="EO20">
        <f>IFERROR(LOOKUP(2,1/('DRAFT 2'!$D:$D=$B20)*('DRAFT 2'!$A:$A&gt;=DATE(2026,5,1))*('DRAFT 2'!$A:$A&lt;DATE(2026,IF(5=12,5+1,5+1),1)),'DRAFT 2'!$A:$A),"")</f>
        <v/>
      </c>
      <c r="EP20">
        <f>COUNTIFS('DRAFT 2'!$D:$D,$B20,'DRAFT 2'!$A:$A,"&gt;="&amp;DATE(2026,5,1),'DRAFT 2'!$A:$A,"&lt;="&amp;DATE(2026,5,7))</f>
        <v/>
      </c>
      <c r="EQ20">
        <f>COUNTIFS('DRAFT 2'!$D:$D,$B20,'DRAFT 2'!$A:$A,"&gt;="&amp;DATE(2026,5,8),'DRAFT 2'!$A:$A,"&lt;="&amp;DATE(2026,5,14))</f>
        <v/>
      </c>
      <c r="ER20">
        <f>COUNTIFS('DRAFT 2'!$D:$D,$B20,'DRAFT 2'!$A:$A,"&gt;="&amp;DATE(2026,5,15),'DRAFT 2'!$A:$A,"&lt;="&amp;DATE(2026,5,21))</f>
        <v/>
      </c>
      <c r="ES20">
        <f>COUNTIFS('DRAFT 2'!$D:$D,$B20,'DRAFT 2'!$A:$A,"&gt;="&amp;DATE(2026,5,22),'DRAFT 2'!$A:$A,"&lt;"&amp;DATE(2026,IF(5=12,5+1,5+1),1))</f>
        <v/>
      </c>
      <c r="ET20">
        <f>SUM(EP20:ES20)</f>
        <v/>
      </c>
      <c r="FD20">
        <f>IFERROR(LOOKUP(2,1/('DRAFT 2'!$D:$D=$B20)*('DRAFT 2'!$A:$A&gt;=DATE(2026,6,1))*('DRAFT 2'!$A:$A&lt;DATE(2026,IF(6=12,6+1,6+1),1)),'DRAFT 2'!$A:$A),"")</f>
        <v/>
      </c>
      <c r="FE20">
        <f>COUNTIFS('DRAFT 2'!$D:$D,$B20,'DRAFT 2'!$A:$A,"&gt;="&amp;DATE(2026,6,1),'DRAFT 2'!$A:$A,"&lt;="&amp;DATE(2026,6,7))</f>
        <v/>
      </c>
      <c r="FF20">
        <f>COUNTIFS('DRAFT 2'!$D:$D,$B20,'DRAFT 2'!$A:$A,"&gt;="&amp;DATE(2026,6,8),'DRAFT 2'!$A:$A,"&lt;="&amp;DATE(2026,6,14))</f>
        <v/>
      </c>
      <c r="FG20">
        <f>COUNTIFS('DRAFT 2'!$D:$D,$B20,'DRAFT 2'!$A:$A,"&gt;="&amp;DATE(2026,6,15),'DRAFT 2'!$A:$A,"&lt;="&amp;DATE(2026,6,21))</f>
        <v/>
      </c>
      <c r="FH20">
        <f>COUNTIFS('DRAFT 2'!$D:$D,$B20,'DRAFT 2'!$A:$A,"&gt;="&amp;DATE(2026,6,22),'DRAFT 2'!$A:$A,"&lt;"&amp;DATE(2026,IF(6=12,6+1,6+1),1))</f>
        <v/>
      </c>
      <c r="FI20">
        <f>SUM(FE20:FH20)</f>
        <v/>
      </c>
      <c r="FT20">
        <f>IFERROR(LOOKUP(2,1/('DRAFT 2'!$D:$D=$B20)*('DRAFT 2'!$A:$A&gt;=DATE(2026,7,1))*('DRAFT 2'!$A:$A&lt;DATE(2026,IF(7=12,7+1,7+1),1)),'DRAFT 2'!$A:$A),"")</f>
        <v/>
      </c>
      <c r="FU20">
        <f>COUNTIFS('DRAFT 2'!$D:$D,$B20,'DRAFT 2'!$A:$A,"&gt;="&amp;DATE(2026,7,1),'DRAFT 2'!$A:$A,"&lt;="&amp;DATE(2026,7,7))</f>
        <v/>
      </c>
      <c r="FV20">
        <f>COUNTIFS('DRAFT 2'!$D:$D,$B20,'DRAFT 2'!$A:$A,"&gt;="&amp;DATE(2026,7,8),'DRAFT 2'!$A:$A,"&lt;="&amp;DATE(2026,7,14))</f>
        <v/>
      </c>
      <c r="FW20">
        <f>COUNTIFS('DRAFT 2'!$D:$D,$B20,'DRAFT 2'!$A:$A,"&gt;="&amp;DATE(2026,7,15),'DRAFT 2'!$A:$A,"&lt;="&amp;DATE(2026,7,21))</f>
        <v/>
      </c>
      <c r="FX20">
        <f>COUNTIFS('DRAFT 2'!$D:$D,$B20,'DRAFT 2'!$A:$A,"&gt;="&amp;DATE(2026,7,22),'DRAFT 2'!$A:$A,"&lt;"&amp;DATE(2026,IF(7=12,7+1,7+1),1))</f>
        <v/>
      </c>
      <c r="FY20">
        <f>SUM(FU20:FX20)</f>
        <v/>
      </c>
      <c r="GI20">
        <f>IFERROR(LOOKUP(2,1/('DRAFT 2'!$D:$D=$B20)*('DRAFT 2'!$A:$A&gt;=DATE(2026,8,1))*('DRAFT 2'!$A:$A&lt;DATE(2026,IF(8=12,8+1,8+1),1)),'DRAFT 2'!$A:$A),"")</f>
        <v/>
      </c>
      <c r="GJ20">
        <f>COUNTIFS('DRAFT 2'!$D:$D,$B20,'DRAFT 2'!$A:$A,"&gt;="&amp;DATE(2026,8,1),'DRAFT 2'!$A:$A,"&lt;="&amp;DATE(2026,8,7))</f>
        <v/>
      </c>
      <c r="GK20">
        <f>COUNTIFS('DRAFT 2'!$D:$D,$B20,'DRAFT 2'!$A:$A,"&gt;="&amp;DATE(2026,8,8),'DRAFT 2'!$A:$A,"&lt;="&amp;DATE(2026,8,14))</f>
        <v/>
      </c>
      <c r="GL20">
        <f>COUNTIFS('DRAFT 2'!$D:$D,$B20,'DRAFT 2'!$A:$A,"&gt;="&amp;DATE(2026,8,15),'DRAFT 2'!$A:$A,"&lt;="&amp;DATE(2026,8,21))</f>
        <v/>
      </c>
      <c r="GM20">
        <f>COUNTIFS('DRAFT 2'!$D:$D,$B20,'DRAFT 2'!$A:$A,"&gt;="&amp;DATE(2026,8,22),'DRAFT 2'!$A:$A,"&lt;"&amp;DATE(2026,IF(8=12,8+1,8+1),1))</f>
        <v/>
      </c>
      <c r="GN20">
        <f>SUM(GJ20:GM20)</f>
        <v/>
      </c>
      <c r="GX20">
        <f>IFERROR(LOOKUP(2,1/('DRAFT 2'!$D:$D=$B20)*('DRAFT 2'!$A:$A&gt;=DATE(2026,9,1))*('DRAFT 2'!$A:$A&lt;DATE(2026,IF(9=12,9+1,9+1),1)),'DRAFT 2'!$A:$A),"")</f>
        <v/>
      </c>
      <c r="GY20">
        <f>COUNTIFS('DRAFT 2'!$D:$D,$B20,'DRAFT 2'!$A:$A,"&gt;="&amp;DATE(2026,9,1),'DRAFT 2'!$A:$A,"&lt;="&amp;DATE(2026,9,7))</f>
        <v/>
      </c>
      <c r="GZ20">
        <f>COUNTIFS('DRAFT 2'!$D:$D,$B20,'DRAFT 2'!$A:$A,"&gt;="&amp;DATE(2026,9,8),'DRAFT 2'!$A:$A,"&lt;="&amp;DATE(2026,9,14))</f>
        <v/>
      </c>
      <c r="HA20">
        <f>COUNTIFS('DRAFT 2'!$D:$D,$B20,'DRAFT 2'!$A:$A,"&gt;="&amp;DATE(2026,9,15),'DRAFT 2'!$A:$A,"&lt;="&amp;DATE(2026,9,21))</f>
        <v/>
      </c>
      <c r="HB20">
        <f>COUNTIFS('DRAFT 2'!$D:$D,$B20,'DRAFT 2'!$A:$A,"&gt;="&amp;DATE(2026,9,22),'DRAFT 2'!$A:$A,"&lt;"&amp;DATE(2026,IF(9=12,9+1,9+1),1))</f>
        <v/>
      </c>
      <c r="HC20">
        <f>SUM(GY20:HB20)</f>
        <v/>
      </c>
      <c r="HN20">
        <f>IFERROR(LOOKUP(2,1/('DRAFT 2'!$D:$D=$B20)*('DRAFT 2'!$A:$A&gt;=DATE(2026,10,1))*('DRAFT 2'!$A:$A&lt;DATE(2026,IF(10=12,10+1,10+1),1)),'DRAFT 2'!$A:$A),"")</f>
        <v/>
      </c>
      <c r="HO20">
        <f>COUNTIFS('DRAFT 2'!$D:$D,$B20,'DRAFT 2'!$A:$A,"&gt;="&amp;DATE(2026,10,1),'DRAFT 2'!$A:$A,"&lt;="&amp;DATE(2026,10,7))</f>
        <v/>
      </c>
      <c r="HP20">
        <f>COUNTIFS('DRAFT 2'!$D:$D,$B20,'DRAFT 2'!$A:$A,"&gt;="&amp;DATE(2026,10,8),'DRAFT 2'!$A:$A,"&lt;="&amp;DATE(2026,10,14))</f>
        <v/>
      </c>
      <c r="HQ20">
        <f>COUNTIFS('DRAFT 2'!$D:$D,$B20,'DRAFT 2'!$A:$A,"&gt;="&amp;DATE(2026,10,15),'DRAFT 2'!$A:$A,"&lt;="&amp;DATE(2026,10,21))</f>
        <v/>
      </c>
      <c r="HR20">
        <f>COUNTIFS('DRAFT 2'!$D:$D,$B20,'DRAFT 2'!$A:$A,"&gt;="&amp;DATE(2026,10,22),'DRAFT 2'!$A:$A,"&lt;"&amp;DATE(2026,IF(10=12,10+1,10+1),1))</f>
        <v/>
      </c>
      <c r="HS20">
        <f>SUM(HO20:HR20)</f>
        <v/>
      </c>
      <c r="IC20">
        <f>IFERROR(LOOKUP(2,1/('DRAFT 2'!$D:$D=$B20)*('DRAFT 2'!$A:$A&gt;=DATE(2026,11,1))*('DRAFT 2'!$A:$A&lt;DATE(2026,IF(11=12,11+1,11+1),1)),'DRAFT 2'!$A:$A),"")</f>
        <v/>
      </c>
      <c r="ID20">
        <f>COUNTIFS('DRAFT 2'!$D:$D,$B20,'DRAFT 2'!$A:$A,"&gt;="&amp;DATE(2026,11,1),'DRAFT 2'!$A:$A,"&lt;="&amp;DATE(2026,11,7))</f>
        <v/>
      </c>
      <c r="IE20">
        <f>COUNTIFS('DRAFT 2'!$D:$D,$B20,'DRAFT 2'!$A:$A,"&gt;="&amp;DATE(2026,11,8),'DRAFT 2'!$A:$A,"&lt;="&amp;DATE(2026,11,14))</f>
        <v/>
      </c>
      <c r="IF20">
        <f>COUNTIFS('DRAFT 2'!$D:$D,$B20,'DRAFT 2'!$A:$A,"&gt;="&amp;DATE(2026,11,15),'DRAFT 2'!$A:$A,"&lt;="&amp;DATE(2026,11,21))</f>
        <v/>
      </c>
      <c r="IG20">
        <f>COUNTIFS('DRAFT 2'!$D:$D,$B20,'DRAFT 2'!$A:$A,"&gt;="&amp;DATE(2026,11,22),'DRAFT 2'!$A:$A,"&lt;"&amp;DATE(2026,IF(11=12,11+1,11+1),1))</f>
        <v/>
      </c>
      <c r="IH20">
        <f>SUM(ID20:IG20)</f>
        <v/>
      </c>
      <c r="IR20">
        <f>IFERROR(LOOKUP(2,1/('DRAFT 2'!$D:$D=$B20)*('DRAFT 2'!$A:$A&gt;=DATE(2026,12,1))*('DRAFT 2'!$A:$A&lt;DATE(2026,IF(12=12,12+1,12+1),1)),'DRAFT 2'!$A:$A),"")</f>
        <v/>
      </c>
      <c r="IS20">
        <f>COUNTIFS('DRAFT 2'!$D:$D,$B20,'DRAFT 2'!$A:$A,"&gt;="&amp;DATE(2026,12,1),'DRAFT 2'!$A:$A,"&lt;="&amp;DATE(2026,12,7))</f>
        <v/>
      </c>
      <c r="IT20">
        <f>COUNTIFS('DRAFT 2'!$D:$D,$B20,'DRAFT 2'!$A:$A,"&gt;="&amp;DATE(2026,12,8),'DRAFT 2'!$A:$A,"&lt;="&amp;DATE(2026,12,14))</f>
        <v/>
      </c>
      <c r="IU20">
        <f>COUNTIFS('DRAFT 2'!$D:$D,$B20,'DRAFT 2'!$A:$A,"&gt;="&amp;DATE(2026,12,15),'DRAFT 2'!$A:$A,"&lt;="&amp;DATE(2026,12,21))</f>
        <v/>
      </c>
      <c r="IV20">
        <f>COUNTIFS('DRAFT 2'!$D:$D,$B20,'DRAFT 2'!$A:$A,"&gt;="&amp;DATE(2026,12,22),'DRAFT 2'!$A:$A,"&lt;"&amp;DATE(2026,IF(12=12,12+1,12+1),1))</f>
        <v/>
      </c>
      <c r="IW20">
        <f>SUM(IS20:IV20)</f>
        <v/>
      </c>
    </row>
    <row r="21">
      <c r="A21">
        <f>IFERROR(INDEX('DRAFT 1'!$A:$A,MATCH($B21,'DRAFT 1'!$B:$B,0)),"")</f>
        <v/>
      </c>
      <c r="C21">
        <f>IFERROR(INDEX('DRAFT 1'!$C:$C,MATCH($B21,'DRAFT 1'!$B:$B,0)),"")</f>
        <v/>
      </c>
      <c r="D21">
        <f>IFERROR(INDEX('DRAFT 1'!$D:$D,MATCH($B21,'DRAFT 1'!$B:$B,0)),"")</f>
        <v/>
      </c>
      <c r="E21">
        <f>IFERROR(INDEX('DRAFT 1'!$E:$E,MATCH($B21,'DRAFT 1'!$B:$B,0)),"")</f>
        <v/>
      </c>
      <c r="F21">
        <f>IFERROR(INDEX('DRAFT 1'!$F:$F,MATCH($B21,'DRAFT 1'!$B:$B,0)),"")</f>
        <v/>
      </c>
      <c r="G21">
        <f>IFERROR(INDEX('DRAFT 1'!$G:$G,MATCH($B21,'DRAFT 1'!$B:$B,0)),"")</f>
        <v/>
      </c>
      <c r="H21">
        <f>IFERROR(INDEX('DRAFT 1'!$H:$H,MATCH($B21,'DRAFT 1'!$B:$B,0)),"")</f>
        <v/>
      </c>
      <c r="I21" t="inlineStr">
        <is>
          <t>BIOMUNDO</t>
        </is>
      </c>
      <c r="K21">
        <f>IFERROR(INDEX('DRAFT 1'!$AL:$AL,MATCH($B21,'DRAFT 1'!$B:$B,0)),"")</f>
        <v/>
      </c>
      <c r="L21">
        <f>IFERROR(INDEX('DRAFT 1'!$J:$J,MATCH($B21,'DRAFT 1'!$B:$B,0)),"")</f>
        <v/>
      </c>
      <c r="M21">
        <f>IFERROR(INDEX('DRAFT 1'!$K:$K,MATCH($B21,'DRAFT 1'!$B:$B,0)),"")</f>
        <v/>
      </c>
      <c r="N21" t="inlineStr">
        <is>
          <t>INAT.ANT</t>
        </is>
      </c>
      <c r="P21">
        <f>IFERROR(INDEX('DRAFT 1'!$L:$L,MATCH($B21,'DRAFT 1'!$B:$B,0)),"")</f>
        <v/>
      </c>
      <c r="Q21">
        <f>IFERROR(INDEX('DRAFT 1'!$M:$M,MATCH($B21,'DRAFT 1'!$B:$B,0)),"")</f>
        <v/>
      </c>
      <c r="R21">
        <f>IFERROR(INDEX('DRAFT 1'!$N:$N,MATCH($B21,'DRAFT 1'!$B:$B,0)),"")</f>
        <v/>
      </c>
      <c r="S21">
        <f>IFERROR(INDEX('DRAFT 1'!$O:$O,MATCH($B21,'DRAFT 1'!$B:$B,0)),"")</f>
        <v/>
      </c>
      <c r="T21">
        <f>IFERROR(INDEX('DRAFT 1'!$P:$P,MATCH($B21,'DRAFT 1'!$B:$B,0)),"")</f>
        <v/>
      </c>
      <c r="U21">
        <f>IFERROR(INDEX('DRAFT 1'!$Q:$Q,MATCH($B21,'DRAFT 1'!$B:$B,0)),"")</f>
        <v/>
      </c>
      <c r="V21">
        <f>IFERROR(INDEX('DRAFT 1'!$R:$R,MATCH($B21,'DRAFT 1'!$B:$B,0)),"")</f>
        <v/>
      </c>
      <c r="W21">
        <f>IFERROR(INDEX('DRAFT 1'!$S:$S,MATCH($B21,'DRAFT 1'!$B:$B,0)),"")</f>
        <v/>
      </c>
      <c r="X21">
        <f>IFERROR(INDEX('DRAFT 1'!$T:$T,MATCH($B21,'DRAFT 1'!$B:$B,0)),"")</f>
        <v/>
      </c>
      <c r="Z21">
        <f>IFERROR(INDEX('DRAFT 1'!$U:$U,MATCH($B21,'DRAFT 1'!$B:$B,0)),"")</f>
        <v/>
      </c>
      <c r="AA21">
        <f>IFERROR(INDEX('DRAFT 1'!$V:$V,MATCH($B21,'DRAFT 1'!$B:$B,0)),"")</f>
        <v/>
      </c>
      <c r="AB21">
        <f>IFERROR(INDEX('DRAFT 1'!$W:$W,MATCH($B21,'DRAFT 1'!$B:$B,0)),"")</f>
        <v/>
      </c>
      <c r="AC21">
        <f>IFERROR(INDEX('DRAFT 1'!$X:$X,MATCH($B21,'DRAFT 1'!$B:$B,0)),"")</f>
        <v/>
      </c>
      <c r="AD21">
        <f>IFERROR(INDEX('DRAFT 1'!$Y:$Y,MATCH($B21,'DRAFT 1'!$B:$B,0)),"")</f>
        <v/>
      </c>
      <c r="AE21">
        <f>IFERROR(INDEX('DRAFT 1'!$Z:$Z,MATCH($B21,'DRAFT 1'!$B:$B,0)),"")</f>
        <v/>
      </c>
      <c r="AF21">
        <f>IFERROR(INDEX('DRAFT 1'!$AA:$AA,MATCH($B21,'DRAFT 1'!$B:$B,0)),"")</f>
        <v/>
      </c>
      <c r="AG21">
        <f>IFERROR(INDEX('DRAFT 1'!$AB:$AB,MATCH($B21,'DRAFT 1'!$B:$B,0)),"")</f>
        <v/>
      </c>
      <c r="AH21">
        <f>IFERROR(INDEX('DRAFT 1'!$AC:$AC,MATCH($B21,'DRAFT 1'!$B:$B,0)),"")</f>
        <v/>
      </c>
      <c r="AI21">
        <f>IFERROR(INDEX('DRAFT 1'!$AD:$AD,MATCH($B21,'DRAFT 1'!$B:$B,0)),"")</f>
        <v/>
      </c>
      <c r="AJ21">
        <f>IFERROR(INDEX('DRAFT 1'!$AE:$AE,MATCH($B21,'DRAFT 1'!$B:$B,0)),"")</f>
        <v/>
      </c>
      <c r="AK21">
        <f>IFERROR(INDEX('DRAFT 1'!$AG:$AG,MATCH($B21,'DRAFT 1'!$B:$B,0)),"")</f>
        <v/>
      </c>
      <c r="AL21">
        <f>IFERROR(INDEX('DRAFT 1'!$AH:$AH,MATCH($B21,'DRAFT 1'!$B:$B,0)),"")</f>
        <v/>
      </c>
      <c r="AM21">
        <f>IFERROR(INDEX('DRAFT 1'!$AI:$AI,MATCH($B21,'DRAFT 1'!$B:$B,0)),"")</f>
        <v/>
      </c>
      <c r="AN21">
        <f>IFERROR(INDEX('DRAFT 1'!$AJ:$AJ,MATCH($B21,'DRAFT 1'!$B:$B,0)),"")</f>
        <v/>
      </c>
      <c r="AO21">
        <f>IFERROR(Y21/AN21,0)</f>
        <v/>
      </c>
      <c r="AP21">
        <f>IFERROR(INDEX('DRAFT 1'!$AK:$AK,MATCH($B21,'DRAFT 1'!$B:$B,0)),"")</f>
        <v/>
      </c>
      <c r="AR21" t="inlineStr">
        <is>
          <t>RECOMPRA</t>
        </is>
      </c>
      <c r="AS21">
        <f>IFERROR(LOOKUP(2,1/('DRAFT 2'!$D:$D=$B21),'DRAFT 2'!$T:$T),"")</f>
        <v/>
      </c>
      <c r="AT21">
        <f>IFERROR(LOOKUP(2,1/('DRAFT 2'!$D:$D=$B21),'DRAFT 2'!$A:$A),"")</f>
        <v/>
      </c>
      <c r="AU21">
        <f>IFERROR(LOOKUP(2,1/('DRAFT 2'!$D:$D=$B21),'DRAFT 2'!$R:$R),"")</f>
        <v/>
      </c>
      <c r="AV21">
        <f>IFERROR(LOOKUP(2,1/('DRAFT 2'!$D:$D=$B21),'DRAFT 2'!$S:$S),"")</f>
        <v/>
      </c>
      <c r="AW21" t="inlineStr">
        <is>
          <t>PROSPECT</t>
        </is>
      </c>
      <c r="AX21">
        <f>IFERROR(LOOKUP(2,1/('DRAFT 2'!$D:$D=$B21),'DRAFT 2'!$M:$M),"")</f>
        <v/>
      </c>
      <c r="AY21">
        <f>IFERROR(LOOKUP(2,1/('DRAFT 2'!$D:$D=$B21),'DRAFT 2'!$K:$K),"")</f>
        <v/>
      </c>
      <c r="BG21">
        <f>IFERROR(LOOKUP(2,1/('DRAFT 2'!$D:$D=$B21),'DRAFT 2'!$U:$U),"")</f>
        <v/>
      </c>
      <c r="BH21">
        <f>IFERROR(LOOKUP(2,1/('DRAFT 2'!$D:$D=$B21),'DRAFT 2'!$V:$V),"")</f>
        <v/>
      </c>
      <c r="CE21">
        <f>IFERROR(AJ21,0)</f>
        <v/>
      </c>
      <c r="CF21">
        <f>IFERROR(LOOKUP(2,1/('DRAFT 2'!$D:$D=$B21)*('DRAFT 2'!$A:$A&gt;=DATE(2026,1,1))*('DRAFT 2'!$A:$A&lt;DATE(2026,IF(1=12,1+1,1+1),1)),'DRAFT 2'!$A:$A),"")</f>
        <v/>
      </c>
      <c r="CG21">
        <f>COUNTIFS('DRAFT 2'!$D:$D,$B21,'DRAFT 2'!$A:$A,"&gt;="&amp;DATE(2026,1,1),'DRAFT 2'!$A:$A,"&lt;="&amp;DATE(2026,1,7))</f>
        <v/>
      </c>
      <c r="CH21">
        <f>COUNTIFS('DRAFT 2'!$D:$D,$B21,'DRAFT 2'!$A:$A,"&gt;="&amp;DATE(2026,1,8),'DRAFT 2'!$A:$A,"&lt;="&amp;DATE(2026,1,14))</f>
        <v/>
      </c>
      <c r="CI21">
        <f>COUNTIFS('DRAFT 2'!$D:$D,$B21,'DRAFT 2'!$A:$A,"&gt;="&amp;DATE(2026,1,15),'DRAFT 2'!$A:$A,"&lt;="&amp;DATE(2026,1,21))</f>
        <v/>
      </c>
      <c r="CJ21">
        <f>COUNTIFS('DRAFT 2'!$D:$D,$B21,'DRAFT 2'!$A:$A,"&gt;="&amp;DATE(2026,1,22),'DRAFT 2'!$A:$A,"&lt;"&amp;DATE(2026,IF(1=12,1+1,1+1),1))</f>
        <v/>
      </c>
      <c r="CK21">
        <f>SUM(CG21:CJ21)</f>
        <v/>
      </c>
      <c r="CT21" t="n">
        <v>0</v>
      </c>
      <c r="CU21">
        <f>IFERROR(LOOKUP(2,1/('DRAFT 2'!$D:$D=$B21)*('DRAFT 2'!$A:$A&gt;=DATE(2026,2,1))*('DRAFT 2'!$A:$A&lt;DATE(2026,IF(2=12,2+1,2+1),1)),'DRAFT 2'!$A:$A),"")</f>
        <v/>
      </c>
      <c r="CV21">
        <f>COUNTIFS('DRAFT 2'!$D:$D,$B21,'DRAFT 2'!$A:$A,"&gt;="&amp;DATE(2026,2,1),'DRAFT 2'!$A:$A,"&lt;="&amp;DATE(2026,2,7))</f>
        <v/>
      </c>
      <c r="CW21">
        <f>COUNTIFS('DRAFT 2'!$D:$D,$B21,'DRAFT 2'!$A:$A,"&gt;="&amp;DATE(2026,2,8),'DRAFT 2'!$A:$A,"&lt;="&amp;DATE(2026,2,14))</f>
        <v/>
      </c>
      <c r="CX21">
        <f>COUNTIFS('DRAFT 2'!$D:$D,$B21,'DRAFT 2'!$A:$A,"&gt;="&amp;DATE(2026,2,15),'DRAFT 2'!$A:$A,"&lt;="&amp;DATE(2026,2,21))</f>
        <v/>
      </c>
      <c r="CY21">
        <f>COUNTIFS('DRAFT 2'!$D:$D,$B21,'DRAFT 2'!$A:$A,"&gt;="&amp;DATE(2026,2,22),'DRAFT 2'!$A:$A,"&lt;"&amp;DATE(2026,IF(2=12,2+1,2+1),1))</f>
        <v/>
      </c>
      <c r="CZ21">
        <f>SUM(CV21:CY21)</f>
        <v/>
      </c>
      <c r="DJ21">
        <f>IFERROR(LOOKUP(2,1/('DRAFT 2'!$D:$D=$B21)*('DRAFT 2'!$A:$A&gt;=DATE(2026,3,1))*('DRAFT 2'!$A:$A&lt;DATE(2026,IF(3=12,3+1,3+1),1)),'DRAFT 2'!$A:$A),"")</f>
        <v/>
      </c>
      <c r="DK21">
        <f>COUNTIFS('DRAFT 2'!$D:$D,$B21,'DRAFT 2'!$A:$A,"&gt;="&amp;DATE(2026,3,1),'DRAFT 2'!$A:$A,"&lt;="&amp;DATE(2026,3,7))</f>
        <v/>
      </c>
      <c r="DL21">
        <f>COUNTIFS('DRAFT 2'!$D:$D,$B21,'DRAFT 2'!$A:$A,"&gt;="&amp;DATE(2026,3,8),'DRAFT 2'!$A:$A,"&lt;="&amp;DATE(2026,3,14))</f>
        <v/>
      </c>
      <c r="DM21">
        <f>COUNTIFS('DRAFT 2'!$D:$D,$B21,'DRAFT 2'!$A:$A,"&gt;="&amp;DATE(2026,3,15),'DRAFT 2'!$A:$A,"&lt;="&amp;DATE(2026,3,21))</f>
        <v/>
      </c>
      <c r="DN21">
        <f>COUNTIFS('DRAFT 2'!$D:$D,$B21,'DRAFT 2'!$A:$A,"&gt;="&amp;DATE(2026,3,22),'DRAFT 2'!$A:$A,"&lt;"&amp;DATE(2026,IF(3=12,3+1,3+1),1))</f>
        <v/>
      </c>
      <c r="DO21">
        <f>SUM(DK21:DN21)</f>
        <v/>
      </c>
      <c r="DZ21">
        <f>IFERROR(LOOKUP(2,1/('DRAFT 2'!$D:$D=$B21)*('DRAFT 2'!$A:$A&gt;=DATE(2026,4,1))*('DRAFT 2'!$A:$A&lt;DATE(2026,IF(4=12,4+1,4+1),1)),'DRAFT 2'!$A:$A),"")</f>
        <v/>
      </c>
      <c r="EA21">
        <f>COUNTIFS('DRAFT 2'!$D:$D,$B21,'DRAFT 2'!$A:$A,"&gt;="&amp;DATE(2026,4,1),'DRAFT 2'!$A:$A,"&lt;="&amp;DATE(2026,4,7))</f>
        <v/>
      </c>
      <c r="EB21">
        <f>COUNTIFS('DRAFT 2'!$D:$D,$B21,'DRAFT 2'!$A:$A,"&gt;="&amp;DATE(2026,4,8),'DRAFT 2'!$A:$A,"&lt;="&amp;DATE(2026,4,14))</f>
        <v/>
      </c>
      <c r="EC21">
        <f>COUNTIFS('DRAFT 2'!$D:$D,$B21,'DRAFT 2'!$A:$A,"&gt;="&amp;DATE(2026,4,15),'DRAFT 2'!$A:$A,"&lt;="&amp;DATE(2026,4,21))</f>
        <v/>
      </c>
      <c r="ED21">
        <f>COUNTIFS('DRAFT 2'!$D:$D,$B21,'DRAFT 2'!$A:$A,"&gt;="&amp;DATE(2026,4,22),'DRAFT 2'!$A:$A,"&lt;"&amp;DATE(2026,IF(4=12,4+1,4+1),1))</f>
        <v/>
      </c>
      <c r="EE21">
        <f>SUM(EA21:ED21)</f>
        <v/>
      </c>
      <c r="EO21">
        <f>IFERROR(LOOKUP(2,1/('DRAFT 2'!$D:$D=$B21)*('DRAFT 2'!$A:$A&gt;=DATE(2026,5,1))*('DRAFT 2'!$A:$A&lt;DATE(2026,IF(5=12,5+1,5+1),1)),'DRAFT 2'!$A:$A),"")</f>
        <v/>
      </c>
      <c r="EP21">
        <f>COUNTIFS('DRAFT 2'!$D:$D,$B21,'DRAFT 2'!$A:$A,"&gt;="&amp;DATE(2026,5,1),'DRAFT 2'!$A:$A,"&lt;="&amp;DATE(2026,5,7))</f>
        <v/>
      </c>
      <c r="EQ21">
        <f>COUNTIFS('DRAFT 2'!$D:$D,$B21,'DRAFT 2'!$A:$A,"&gt;="&amp;DATE(2026,5,8),'DRAFT 2'!$A:$A,"&lt;="&amp;DATE(2026,5,14))</f>
        <v/>
      </c>
      <c r="ER21">
        <f>COUNTIFS('DRAFT 2'!$D:$D,$B21,'DRAFT 2'!$A:$A,"&gt;="&amp;DATE(2026,5,15),'DRAFT 2'!$A:$A,"&lt;="&amp;DATE(2026,5,21))</f>
        <v/>
      </c>
      <c r="ES21">
        <f>COUNTIFS('DRAFT 2'!$D:$D,$B21,'DRAFT 2'!$A:$A,"&gt;="&amp;DATE(2026,5,22),'DRAFT 2'!$A:$A,"&lt;"&amp;DATE(2026,IF(5=12,5+1,5+1),1))</f>
        <v/>
      </c>
      <c r="ET21">
        <f>SUM(EP21:ES21)</f>
        <v/>
      </c>
      <c r="FD21">
        <f>IFERROR(LOOKUP(2,1/('DRAFT 2'!$D:$D=$B21)*('DRAFT 2'!$A:$A&gt;=DATE(2026,6,1))*('DRAFT 2'!$A:$A&lt;DATE(2026,IF(6=12,6+1,6+1),1)),'DRAFT 2'!$A:$A),"")</f>
        <v/>
      </c>
      <c r="FE21">
        <f>COUNTIFS('DRAFT 2'!$D:$D,$B21,'DRAFT 2'!$A:$A,"&gt;="&amp;DATE(2026,6,1),'DRAFT 2'!$A:$A,"&lt;="&amp;DATE(2026,6,7))</f>
        <v/>
      </c>
      <c r="FF21">
        <f>COUNTIFS('DRAFT 2'!$D:$D,$B21,'DRAFT 2'!$A:$A,"&gt;="&amp;DATE(2026,6,8),'DRAFT 2'!$A:$A,"&lt;="&amp;DATE(2026,6,14))</f>
        <v/>
      </c>
      <c r="FG21">
        <f>COUNTIFS('DRAFT 2'!$D:$D,$B21,'DRAFT 2'!$A:$A,"&gt;="&amp;DATE(2026,6,15),'DRAFT 2'!$A:$A,"&lt;="&amp;DATE(2026,6,21))</f>
        <v/>
      </c>
      <c r="FH21">
        <f>COUNTIFS('DRAFT 2'!$D:$D,$B21,'DRAFT 2'!$A:$A,"&gt;="&amp;DATE(2026,6,22),'DRAFT 2'!$A:$A,"&lt;"&amp;DATE(2026,IF(6=12,6+1,6+1),1))</f>
        <v/>
      </c>
      <c r="FI21">
        <f>SUM(FE21:FH21)</f>
        <v/>
      </c>
      <c r="FT21">
        <f>IFERROR(LOOKUP(2,1/('DRAFT 2'!$D:$D=$B21)*('DRAFT 2'!$A:$A&gt;=DATE(2026,7,1))*('DRAFT 2'!$A:$A&lt;DATE(2026,IF(7=12,7+1,7+1),1)),'DRAFT 2'!$A:$A),"")</f>
        <v/>
      </c>
      <c r="FU21">
        <f>COUNTIFS('DRAFT 2'!$D:$D,$B21,'DRAFT 2'!$A:$A,"&gt;="&amp;DATE(2026,7,1),'DRAFT 2'!$A:$A,"&lt;="&amp;DATE(2026,7,7))</f>
        <v/>
      </c>
      <c r="FV21">
        <f>COUNTIFS('DRAFT 2'!$D:$D,$B21,'DRAFT 2'!$A:$A,"&gt;="&amp;DATE(2026,7,8),'DRAFT 2'!$A:$A,"&lt;="&amp;DATE(2026,7,14))</f>
        <v/>
      </c>
      <c r="FW21">
        <f>COUNTIFS('DRAFT 2'!$D:$D,$B21,'DRAFT 2'!$A:$A,"&gt;="&amp;DATE(2026,7,15),'DRAFT 2'!$A:$A,"&lt;="&amp;DATE(2026,7,21))</f>
        <v/>
      </c>
      <c r="FX21">
        <f>COUNTIFS('DRAFT 2'!$D:$D,$B21,'DRAFT 2'!$A:$A,"&gt;="&amp;DATE(2026,7,22),'DRAFT 2'!$A:$A,"&lt;"&amp;DATE(2026,IF(7=12,7+1,7+1),1))</f>
        <v/>
      </c>
      <c r="FY21">
        <f>SUM(FU21:FX21)</f>
        <v/>
      </c>
      <c r="GI21">
        <f>IFERROR(LOOKUP(2,1/('DRAFT 2'!$D:$D=$B21)*('DRAFT 2'!$A:$A&gt;=DATE(2026,8,1))*('DRAFT 2'!$A:$A&lt;DATE(2026,IF(8=12,8+1,8+1),1)),'DRAFT 2'!$A:$A),"")</f>
        <v/>
      </c>
      <c r="GJ21">
        <f>COUNTIFS('DRAFT 2'!$D:$D,$B21,'DRAFT 2'!$A:$A,"&gt;="&amp;DATE(2026,8,1),'DRAFT 2'!$A:$A,"&lt;="&amp;DATE(2026,8,7))</f>
        <v/>
      </c>
      <c r="GK21">
        <f>COUNTIFS('DRAFT 2'!$D:$D,$B21,'DRAFT 2'!$A:$A,"&gt;="&amp;DATE(2026,8,8),'DRAFT 2'!$A:$A,"&lt;="&amp;DATE(2026,8,14))</f>
        <v/>
      </c>
      <c r="GL21">
        <f>COUNTIFS('DRAFT 2'!$D:$D,$B21,'DRAFT 2'!$A:$A,"&gt;="&amp;DATE(2026,8,15),'DRAFT 2'!$A:$A,"&lt;="&amp;DATE(2026,8,21))</f>
        <v/>
      </c>
      <c r="GM21">
        <f>COUNTIFS('DRAFT 2'!$D:$D,$B21,'DRAFT 2'!$A:$A,"&gt;="&amp;DATE(2026,8,22),'DRAFT 2'!$A:$A,"&lt;"&amp;DATE(2026,IF(8=12,8+1,8+1),1))</f>
        <v/>
      </c>
      <c r="GN21">
        <f>SUM(GJ21:GM21)</f>
        <v/>
      </c>
      <c r="GX21">
        <f>IFERROR(LOOKUP(2,1/('DRAFT 2'!$D:$D=$B21)*('DRAFT 2'!$A:$A&gt;=DATE(2026,9,1))*('DRAFT 2'!$A:$A&lt;DATE(2026,IF(9=12,9+1,9+1),1)),'DRAFT 2'!$A:$A),"")</f>
        <v/>
      </c>
      <c r="GY21">
        <f>COUNTIFS('DRAFT 2'!$D:$D,$B21,'DRAFT 2'!$A:$A,"&gt;="&amp;DATE(2026,9,1),'DRAFT 2'!$A:$A,"&lt;="&amp;DATE(2026,9,7))</f>
        <v/>
      </c>
      <c r="GZ21">
        <f>COUNTIFS('DRAFT 2'!$D:$D,$B21,'DRAFT 2'!$A:$A,"&gt;="&amp;DATE(2026,9,8),'DRAFT 2'!$A:$A,"&lt;="&amp;DATE(2026,9,14))</f>
        <v/>
      </c>
      <c r="HA21">
        <f>COUNTIFS('DRAFT 2'!$D:$D,$B21,'DRAFT 2'!$A:$A,"&gt;="&amp;DATE(2026,9,15),'DRAFT 2'!$A:$A,"&lt;="&amp;DATE(2026,9,21))</f>
        <v/>
      </c>
      <c r="HB21">
        <f>COUNTIFS('DRAFT 2'!$D:$D,$B21,'DRAFT 2'!$A:$A,"&gt;="&amp;DATE(2026,9,22),'DRAFT 2'!$A:$A,"&lt;"&amp;DATE(2026,IF(9=12,9+1,9+1),1))</f>
        <v/>
      </c>
      <c r="HC21">
        <f>SUM(GY21:HB21)</f>
        <v/>
      </c>
      <c r="HN21">
        <f>IFERROR(LOOKUP(2,1/('DRAFT 2'!$D:$D=$B21)*('DRAFT 2'!$A:$A&gt;=DATE(2026,10,1))*('DRAFT 2'!$A:$A&lt;DATE(2026,IF(10=12,10+1,10+1),1)),'DRAFT 2'!$A:$A),"")</f>
        <v/>
      </c>
      <c r="HO21">
        <f>COUNTIFS('DRAFT 2'!$D:$D,$B21,'DRAFT 2'!$A:$A,"&gt;="&amp;DATE(2026,10,1),'DRAFT 2'!$A:$A,"&lt;="&amp;DATE(2026,10,7))</f>
        <v/>
      </c>
      <c r="HP21">
        <f>COUNTIFS('DRAFT 2'!$D:$D,$B21,'DRAFT 2'!$A:$A,"&gt;="&amp;DATE(2026,10,8),'DRAFT 2'!$A:$A,"&lt;="&amp;DATE(2026,10,14))</f>
        <v/>
      </c>
      <c r="HQ21">
        <f>COUNTIFS('DRAFT 2'!$D:$D,$B21,'DRAFT 2'!$A:$A,"&gt;="&amp;DATE(2026,10,15),'DRAFT 2'!$A:$A,"&lt;="&amp;DATE(2026,10,21))</f>
        <v/>
      </c>
      <c r="HR21">
        <f>COUNTIFS('DRAFT 2'!$D:$D,$B21,'DRAFT 2'!$A:$A,"&gt;="&amp;DATE(2026,10,22),'DRAFT 2'!$A:$A,"&lt;"&amp;DATE(2026,IF(10=12,10+1,10+1),1))</f>
        <v/>
      </c>
      <c r="HS21">
        <f>SUM(HO21:HR21)</f>
        <v/>
      </c>
      <c r="IC21">
        <f>IFERROR(LOOKUP(2,1/('DRAFT 2'!$D:$D=$B21)*('DRAFT 2'!$A:$A&gt;=DATE(2026,11,1))*('DRAFT 2'!$A:$A&lt;DATE(2026,IF(11=12,11+1,11+1),1)),'DRAFT 2'!$A:$A),"")</f>
        <v/>
      </c>
      <c r="ID21">
        <f>COUNTIFS('DRAFT 2'!$D:$D,$B21,'DRAFT 2'!$A:$A,"&gt;="&amp;DATE(2026,11,1),'DRAFT 2'!$A:$A,"&lt;="&amp;DATE(2026,11,7))</f>
        <v/>
      </c>
      <c r="IE21">
        <f>COUNTIFS('DRAFT 2'!$D:$D,$B21,'DRAFT 2'!$A:$A,"&gt;="&amp;DATE(2026,11,8),'DRAFT 2'!$A:$A,"&lt;="&amp;DATE(2026,11,14))</f>
        <v/>
      </c>
      <c r="IF21">
        <f>COUNTIFS('DRAFT 2'!$D:$D,$B21,'DRAFT 2'!$A:$A,"&gt;="&amp;DATE(2026,11,15),'DRAFT 2'!$A:$A,"&lt;="&amp;DATE(2026,11,21))</f>
        <v/>
      </c>
      <c r="IG21">
        <f>COUNTIFS('DRAFT 2'!$D:$D,$B21,'DRAFT 2'!$A:$A,"&gt;="&amp;DATE(2026,11,22),'DRAFT 2'!$A:$A,"&lt;"&amp;DATE(2026,IF(11=12,11+1,11+1),1))</f>
        <v/>
      </c>
      <c r="IH21">
        <f>SUM(ID21:IG21)</f>
        <v/>
      </c>
      <c r="IR21">
        <f>IFERROR(LOOKUP(2,1/('DRAFT 2'!$D:$D=$B21)*('DRAFT 2'!$A:$A&gt;=DATE(2026,12,1))*('DRAFT 2'!$A:$A&lt;DATE(2026,IF(12=12,12+1,12+1),1)),'DRAFT 2'!$A:$A),"")</f>
        <v/>
      </c>
      <c r="IS21">
        <f>COUNTIFS('DRAFT 2'!$D:$D,$B21,'DRAFT 2'!$A:$A,"&gt;="&amp;DATE(2026,12,1),'DRAFT 2'!$A:$A,"&lt;="&amp;DATE(2026,12,7))</f>
        <v/>
      </c>
      <c r="IT21">
        <f>COUNTIFS('DRAFT 2'!$D:$D,$B21,'DRAFT 2'!$A:$A,"&gt;="&amp;DATE(2026,12,8),'DRAFT 2'!$A:$A,"&lt;="&amp;DATE(2026,12,14))</f>
        <v/>
      </c>
      <c r="IU21">
        <f>COUNTIFS('DRAFT 2'!$D:$D,$B21,'DRAFT 2'!$A:$A,"&gt;="&amp;DATE(2026,12,15),'DRAFT 2'!$A:$A,"&lt;="&amp;DATE(2026,12,21))</f>
        <v/>
      </c>
      <c r="IV21">
        <f>COUNTIFS('DRAFT 2'!$D:$D,$B21,'DRAFT 2'!$A:$A,"&gt;="&amp;DATE(2026,12,22),'DRAFT 2'!$A:$A,"&lt;"&amp;DATE(2026,IF(12=12,12+1,12+1),1))</f>
        <v/>
      </c>
      <c r="IW21">
        <f>SUM(IS21:IV21)</f>
        <v/>
      </c>
    </row>
    <row r="22">
      <c r="A22">
        <f>IFERROR(INDEX('DRAFT 1'!$A:$A,MATCH($B22,'DRAFT 1'!$B:$B,0)),"")</f>
        <v/>
      </c>
      <c r="C22">
        <f>IFERROR(INDEX('DRAFT 1'!$C:$C,MATCH($B22,'DRAFT 1'!$B:$B,0)),"")</f>
        <v/>
      </c>
      <c r="D22">
        <f>IFERROR(INDEX('DRAFT 1'!$D:$D,MATCH($B22,'DRAFT 1'!$B:$B,0)),"")</f>
        <v/>
      </c>
      <c r="E22">
        <f>IFERROR(INDEX('DRAFT 1'!$E:$E,MATCH($B22,'DRAFT 1'!$B:$B,0)),"")</f>
        <v/>
      </c>
      <c r="F22">
        <f>IFERROR(INDEX('DRAFT 1'!$F:$F,MATCH($B22,'DRAFT 1'!$B:$B,0)),"")</f>
        <v/>
      </c>
      <c r="G22">
        <f>IFERROR(INDEX('DRAFT 1'!$G:$G,MATCH($B22,'DRAFT 1'!$B:$B,0)),"")</f>
        <v/>
      </c>
      <c r="H22">
        <f>IFERROR(INDEX('DRAFT 1'!$H:$H,MATCH($B22,'DRAFT 1'!$B:$B,0)),"")</f>
        <v/>
      </c>
      <c r="I22" t="inlineStr">
        <is>
          <t>DEMAIS CLIENTES</t>
        </is>
      </c>
      <c r="K22">
        <f>IFERROR(INDEX('DRAFT 1'!$AL:$AL,MATCH($B22,'DRAFT 1'!$B:$B,0)),"")</f>
        <v/>
      </c>
      <c r="L22">
        <f>IFERROR(INDEX('DRAFT 1'!$J:$J,MATCH($B22,'DRAFT 1'!$B:$B,0)),"")</f>
        <v/>
      </c>
      <c r="M22">
        <f>IFERROR(INDEX('DRAFT 1'!$K:$K,MATCH($B22,'DRAFT 1'!$B:$B,0)),"")</f>
        <v/>
      </c>
      <c r="N22" t="inlineStr">
        <is>
          <t>INAT.ANT</t>
        </is>
      </c>
      <c r="P22">
        <f>IFERROR(INDEX('DRAFT 1'!$L:$L,MATCH($B22,'DRAFT 1'!$B:$B,0)),"")</f>
        <v/>
      </c>
      <c r="Q22">
        <f>IFERROR(INDEX('DRAFT 1'!$M:$M,MATCH($B22,'DRAFT 1'!$B:$B,0)),"")</f>
        <v/>
      </c>
      <c r="R22">
        <f>IFERROR(INDEX('DRAFT 1'!$N:$N,MATCH($B22,'DRAFT 1'!$B:$B,0)),"")</f>
        <v/>
      </c>
      <c r="S22">
        <f>IFERROR(INDEX('DRAFT 1'!$O:$O,MATCH($B22,'DRAFT 1'!$B:$B,0)),"")</f>
        <v/>
      </c>
      <c r="T22">
        <f>IFERROR(INDEX('DRAFT 1'!$P:$P,MATCH($B22,'DRAFT 1'!$B:$B,0)),"")</f>
        <v/>
      </c>
      <c r="U22">
        <f>IFERROR(INDEX('DRAFT 1'!$Q:$Q,MATCH($B22,'DRAFT 1'!$B:$B,0)),"")</f>
        <v/>
      </c>
      <c r="V22">
        <f>IFERROR(INDEX('DRAFT 1'!$R:$R,MATCH($B22,'DRAFT 1'!$B:$B,0)),"")</f>
        <v/>
      </c>
      <c r="W22">
        <f>IFERROR(INDEX('DRAFT 1'!$S:$S,MATCH($B22,'DRAFT 1'!$B:$B,0)),"")</f>
        <v/>
      </c>
      <c r="X22">
        <f>IFERROR(INDEX('DRAFT 1'!$T:$T,MATCH($B22,'DRAFT 1'!$B:$B,0)),"")</f>
        <v/>
      </c>
      <c r="Z22">
        <f>IFERROR(INDEX('DRAFT 1'!$U:$U,MATCH($B22,'DRAFT 1'!$B:$B,0)),"")</f>
        <v/>
      </c>
      <c r="AA22">
        <f>IFERROR(INDEX('DRAFT 1'!$V:$V,MATCH($B22,'DRAFT 1'!$B:$B,0)),"")</f>
        <v/>
      </c>
      <c r="AB22">
        <f>IFERROR(INDEX('DRAFT 1'!$W:$W,MATCH($B22,'DRAFT 1'!$B:$B,0)),"")</f>
        <v/>
      </c>
      <c r="AC22">
        <f>IFERROR(INDEX('DRAFT 1'!$X:$X,MATCH($B22,'DRAFT 1'!$B:$B,0)),"")</f>
        <v/>
      </c>
      <c r="AD22">
        <f>IFERROR(INDEX('DRAFT 1'!$Y:$Y,MATCH($B22,'DRAFT 1'!$B:$B,0)),"")</f>
        <v/>
      </c>
      <c r="AE22">
        <f>IFERROR(INDEX('DRAFT 1'!$Z:$Z,MATCH($B22,'DRAFT 1'!$B:$B,0)),"")</f>
        <v/>
      </c>
      <c r="AF22">
        <f>IFERROR(INDEX('DRAFT 1'!$AA:$AA,MATCH($B22,'DRAFT 1'!$B:$B,0)),"")</f>
        <v/>
      </c>
      <c r="AG22">
        <f>IFERROR(INDEX('DRAFT 1'!$AB:$AB,MATCH($B22,'DRAFT 1'!$B:$B,0)),"")</f>
        <v/>
      </c>
      <c r="AH22">
        <f>IFERROR(INDEX('DRAFT 1'!$AC:$AC,MATCH($B22,'DRAFT 1'!$B:$B,0)),"")</f>
        <v/>
      </c>
      <c r="AI22">
        <f>IFERROR(INDEX('DRAFT 1'!$AD:$AD,MATCH($B22,'DRAFT 1'!$B:$B,0)),"")</f>
        <v/>
      </c>
      <c r="AJ22">
        <f>IFERROR(INDEX('DRAFT 1'!$AE:$AE,MATCH($B22,'DRAFT 1'!$B:$B,0)),"")</f>
        <v/>
      </c>
      <c r="AK22">
        <f>IFERROR(INDEX('DRAFT 1'!$AG:$AG,MATCH($B22,'DRAFT 1'!$B:$B,0)),"")</f>
        <v/>
      </c>
      <c r="AL22">
        <f>IFERROR(INDEX('DRAFT 1'!$AH:$AH,MATCH($B22,'DRAFT 1'!$B:$B,0)),"")</f>
        <v/>
      </c>
      <c r="AM22">
        <f>IFERROR(INDEX('DRAFT 1'!$AI:$AI,MATCH($B22,'DRAFT 1'!$B:$B,0)),"")</f>
        <v/>
      </c>
      <c r="AN22">
        <f>IFERROR(INDEX('DRAFT 1'!$AJ:$AJ,MATCH($B22,'DRAFT 1'!$B:$B,0)),"")</f>
        <v/>
      </c>
      <c r="AO22">
        <f>IFERROR(Y22/AN22,0)</f>
        <v/>
      </c>
      <c r="AP22">
        <f>IFERROR(INDEX('DRAFT 1'!$AK:$AK,MATCH($B22,'DRAFT 1'!$B:$B,0)),"")</f>
        <v/>
      </c>
      <c r="AR22" t="inlineStr">
        <is>
          <t>PROSPECÇÃO</t>
        </is>
      </c>
      <c r="AS22">
        <f>IFERROR(LOOKUP(2,1/('DRAFT 2'!$D:$D=$B22),'DRAFT 2'!$T:$T),"")</f>
        <v/>
      </c>
      <c r="AT22">
        <f>IFERROR(LOOKUP(2,1/('DRAFT 2'!$D:$D=$B22),'DRAFT 2'!$A:$A),"")</f>
        <v/>
      </c>
      <c r="AU22">
        <f>IFERROR(LOOKUP(2,1/('DRAFT 2'!$D:$D=$B22),'DRAFT 2'!$R:$R),"")</f>
        <v/>
      </c>
      <c r="AV22">
        <f>IFERROR(LOOKUP(2,1/('DRAFT 2'!$D:$D=$B22),'DRAFT 2'!$S:$S),"")</f>
        <v/>
      </c>
      <c r="AW22" t="inlineStr">
        <is>
          <t>RECORRENTE</t>
        </is>
      </c>
      <c r="AX22">
        <f>IFERROR(LOOKUP(2,1/('DRAFT 2'!$D:$D=$B22),'DRAFT 2'!$M:$M),"")</f>
        <v/>
      </c>
      <c r="AY22">
        <f>IFERROR(LOOKUP(2,1/('DRAFT 2'!$D:$D=$B22),'DRAFT 2'!$K:$K),"")</f>
        <v/>
      </c>
      <c r="BG22">
        <f>IFERROR(LOOKUP(2,1/('DRAFT 2'!$D:$D=$B22),'DRAFT 2'!$U:$U),"")</f>
        <v/>
      </c>
      <c r="BH22">
        <f>IFERROR(LOOKUP(2,1/('DRAFT 2'!$D:$D=$B22),'DRAFT 2'!$V:$V),"")</f>
        <v/>
      </c>
      <c r="CE22">
        <f>IFERROR(AJ22,0)</f>
        <v/>
      </c>
      <c r="CF22">
        <f>IFERROR(LOOKUP(2,1/('DRAFT 2'!$D:$D=$B22)*('DRAFT 2'!$A:$A&gt;=DATE(2026,1,1))*('DRAFT 2'!$A:$A&lt;DATE(2026,IF(1=12,1+1,1+1),1)),'DRAFT 2'!$A:$A),"")</f>
        <v/>
      </c>
      <c r="CG22">
        <f>COUNTIFS('DRAFT 2'!$D:$D,$B22,'DRAFT 2'!$A:$A,"&gt;="&amp;DATE(2026,1,1),'DRAFT 2'!$A:$A,"&lt;="&amp;DATE(2026,1,7))</f>
        <v/>
      </c>
      <c r="CH22">
        <f>COUNTIFS('DRAFT 2'!$D:$D,$B22,'DRAFT 2'!$A:$A,"&gt;="&amp;DATE(2026,1,8),'DRAFT 2'!$A:$A,"&lt;="&amp;DATE(2026,1,14))</f>
        <v/>
      </c>
      <c r="CI22">
        <f>COUNTIFS('DRAFT 2'!$D:$D,$B22,'DRAFT 2'!$A:$A,"&gt;="&amp;DATE(2026,1,15),'DRAFT 2'!$A:$A,"&lt;="&amp;DATE(2026,1,21))</f>
        <v/>
      </c>
      <c r="CJ22">
        <f>COUNTIFS('DRAFT 2'!$D:$D,$B22,'DRAFT 2'!$A:$A,"&gt;="&amp;DATE(2026,1,22),'DRAFT 2'!$A:$A,"&lt;"&amp;DATE(2026,IF(1=12,1+1,1+1),1))</f>
        <v/>
      </c>
      <c r="CK22">
        <f>SUM(CG22:CJ22)</f>
        <v/>
      </c>
      <c r="CT22" t="n">
        <v>0</v>
      </c>
      <c r="CU22">
        <f>IFERROR(LOOKUP(2,1/('DRAFT 2'!$D:$D=$B22)*('DRAFT 2'!$A:$A&gt;=DATE(2026,2,1))*('DRAFT 2'!$A:$A&lt;DATE(2026,IF(2=12,2+1,2+1),1)),'DRAFT 2'!$A:$A),"")</f>
        <v/>
      </c>
      <c r="CV22">
        <f>COUNTIFS('DRAFT 2'!$D:$D,$B22,'DRAFT 2'!$A:$A,"&gt;="&amp;DATE(2026,2,1),'DRAFT 2'!$A:$A,"&lt;="&amp;DATE(2026,2,7))</f>
        <v/>
      </c>
      <c r="CW22">
        <f>COUNTIFS('DRAFT 2'!$D:$D,$B22,'DRAFT 2'!$A:$A,"&gt;="&amp;DATE(2026,2,8),'DRAFT 2'!$A:$A,"&lt;="&amp;DATE(2026,2,14))</f>
        <v/>
      </c>
      <c r="CX22">
        <f>COUNTIFS('DRAFT 2'!$D:$D,$B22,'DRAFT 2'!$A:$A,"&gt;="&amp;DATE(2026,2,15),'DRAFT 2'!$A:$A,"&lt;="&amp;DATE(2026,2,21))</f>
        <v/>
      </c>
      <c r="CY22">
        <f>COUNTIFS('DRAFT 2'!$D:$D,$B22,'DRAFT 2'!$A:$A,"&gt;="&amp;DATE(2026,2,22),'DRAFT 2'!$A:$A,"&lt;"&amp;DATE(2026,IF(2=12,2+1,2+1),1))</f>
        <v/>
      </c>
      <c r="CZ22">
        <f>SUM(CV22:CY22)</f>
        <v/>
      </c>
      <c r="DJ22">
        <f>IFERROR(LOOKUP(2,1/('DRAFT 2'!$D:$D=$B22)*('DRAFT 2'!$A:$A&gt;=DATE(2026,3,1))*('DRAFT 2'!$A:$A&lt;DATE(2026,IF(3=12,3+1,3+1),1)),'DRAFT 2'!$A:$A),"")</f>
        <v/>
      </c>
      <c r="DK22">
        <f>COUNTIFS('DRAFT 2'!$D:$D,$B22,'DRAFT 2'!$A:$A,"&gt;="&amp;DATE(2026,3,1),'DRAFT 2'!$A:$A,"&lt;="&amp;DATE(2026,3,7))</f>
        <v/>
      </c>
      <c r="DL22">
        <f>COUNTIFS('DRAFT 2'!$D:$D,$B22,'DRAFT 2'!$A:$A,"&gt;="&amp;DATE(2026,3,8),'DRAFT 2'!$A:$A,"&lt;="&amp;DATE(2026,3,14))</f>
        <v/>
      </c>
      <c r="DM22">
        <f>COUNTIFS('DRAFT 2'!$D:$D,$B22,'DRAFT 2'!$A:$A,"&gt;="&amp;DATE(2026,3,15),'DRAFT 2'!$A:$A,"&lt;="&amp;DATE(2026,3,21))</f>
        <v/>
      </c>
      <c r="DN22">
        <f>COUNTIFS('DRAFT 2'!$D:$D,$B22,'DRAFT 2'!$A:$A,"&gt;="&amp;DATE(2026,3,22),'DRAFT 2'!$A:$A,"&lt;"&amp;DATE(2026,IF(3=12,3+1,3+1),1))</f>
        <v/>
      </c>
      <c r="DO22">
        <f>SUM(DK22:DN22)</f>
        <v/>
      </c>
      <c r="DZ22">
        <f>IFERROR(LOOKUP(2,1/('DRAFT 2'!$D:$D=$B22)*('DRAFT 2'!$A:$A&gt;=DATE(2026,4,1))*('DRAFT 2'!$A:$A&lt;DATE(2026,IF(4=12,4+1,4+1),1)),'DRAFT 2'!$A:$A),"")</f>
        <v/>
      </c>
      <c r="EA22">
        <f>COUNTIFS('DRAFT 2'!$D:$D,$B22,'DRAFT 2'!$A:$A,"&gt;="&amp;DATE(2026,4,1),'DRAFT 2'!$A:$A,"&lt;="&amp;DATE(2026,4,7))</f>
        <v/>
      </c>
      <c r="EB22">
        <f>COUNTIFS('DRAFT 2'!$D:$D,$B22,'DRAFT 2'!$A:$A,"&gt;="&amp;DATE(2026,4,8),'DRAFT 2'!$A:$A,"&lt;="&amp;DATE(2026,4,14))</f>
        <v/>
      </c>
      <c r="EC22">
        <f>COUNTIFS('DRAFT 2'!$D:$D,$B22,'DRAFT 2'!$A:$A,"&gt;="&amp;DATE(2026,4,15),'DRAFT 2'!$A:$A,"&lt;="&amp;DATE(2026,4,21))</f>
        <v/>
      </c>
      <c r="ED22">
        <f>COUNTIFS('DRAFT 2'!$D:$D,$B22,'DRAFT 2'!$A:$A,"&gt;="&amp;DATE(2026,4,22),'DRAFT 2'!$A:$A,"&lt;"&amp;DATE(2026,IF(4=12,4+1,4+1),1))</f>
        <v/>
      </c>
      <c r="EE22">
        <f>SUM(EA22:ED22)</f>
        <v/>
      </c>
      <c r="EO22">
        <f>IFERROR(LOOKUP(2,1/('DRAFT 2'!$D:$D=$B22)*('DRAFT 2'!$A:$A&gt;=DATE(2026,5,1))*('DRAFT 2'!$A:$A&lt;DATE(2026,IF(5=12,5+1,5+1),1)),'DRAFT 2'!$A:$A),"")</f>
        <v/>
      </c>
      <c r="EP22">
        <f>COUNTIFS('DRAFT 2'!$D:$D,$B22,'DRAFT 2'!$A:$A,"&gt;="&amp;DATE(2026,5,1),'DRAFT 2'!$A:$A,"&lt;="&amp;DATE(2026,5,7))</f>
        <v/>
      </c>
      <c r="EQ22">
        <f>COUNTIFS('DRAFT 2'!$D:$D,$B22,'DRAFT 2'!$A:$A,"&gt;="&amp;DATE(2026,5,8),'DRAFT 2'!$A:$A,"&lt;="&amp;DATE(2026,5,14))</f>
        <v/>
      </c>
      <c r="ER22">
        <f>COUNTIFS('DRAFT 2'!$D:$D,$B22,'DRAFT 2'!$A:$A,"&gt;="&amp;DATE(2026,5,15),'DRAFT 2'!$A:$A,"&lt;="&amp;DATE(2026,5,21))</f>
        <v/>
      </c>
      <c r="ES22">
        <f>COUNTIFS('DRAFT 2'!$D:$D,$B22,'DRAFT 2'!$A:$A,"&gt;="&amp;DATE(2026,5,22),'DRAFT 2'!$A:$A,"&lt;"&amp;DATE(2026,IF(5=12,5+1,5+1),1))</f>
        <v/>
      </c>
      <c r="ET22">
        <f>SUM(EP22:ES22)</f>
        <v/>
      </c>
      <c r="FD22">
        <f>IFERROR(LOOKUP(2,1/('DRAFT 2'!$D:$D=$B22)*('DRAFT 2'!$A:$A&gt;=DATE(2026,6,1))*('DRAFT 2'!$A:$A&lt;DATE(2026,IF(6=12,6+1,6+1),1)),'DRAFT 2'!$A:$A),"")</f>
        <v/>
      </c>
      <c r="FE22">
        <f>COUNTIFS('DRAFT 2'!$D:$D,$B22,'DRAFT 2'!$A:$A,"&gt;="&amp;DATE(2026,6,1),'DRAFT 2'!$A:$A,"&lt;="&amp;DATE(2026,6,7))</f>
        <v/>
      </c>
      <c r="FF22">
        <f>COUNTIFS('DRAFT 2'!$D:$D,$B22,'DRAFT 2'!$A:$A,"&gt;="&amp;DATE(2026,6,8),'DRAFT 2'!$A:$A,"&lt;="&amp;DATE(2026,6,14))</f>
        <v/>
      </c>
      <c r="FG22">
        <f>COUNTIFS('DRAFT 2'!$D:$D,$B22,'DRAFT 2'!$A:$A,"&gt;="&amp;DATE(2026,6,15),'DRAFT 2'!$A:$A,"&lt;="&amp;DATE(2026,6,21))</f>
        <v/>
      </c>
      <c r="FH22">
        <f>COUNTIFS('DRAFT 2'!$D:$D,$B22,'DRAFT 2'!$A:$A,"&gt;="&amp;DATE(2026,6,22),'DRAFT 2'!$A:$A,"&lt;"&amp;DATE(2026,IF(6=12,6+1,6+1),1))</f>
        <v/>
      </c>
      <c r="FI22">
        <f>SUM(FE22:FH22)</f>
        <v/>
      </c>
      <c r="FT22">
        <f>IFERROR(LOOKUP(2,1/('DRAFT 2'!$D:$D=$B22)*('DRAFT 2'!$A:$A&gt;=DATE(2026,7,1))*('DRAFT 2'!$A:$A&lt;DATE(2026,IF(7=12,7+1,7+1),1)),'DRAFT 2'!$A:$A),"")</f>
        <v/>
      </c>
      <c r="FU22">
        <f>COUNTIFS('DRAFT 2'!$D:$D,$B22,'DRAFT 2'!$A:$A,"&gt;="&amp;DATE(2026,7,1),'DRAFT 2'!$A:$A,"&lt;="&amp;DATE(2026,7,7))</f>
        <v/>
      </c>
      <c r="FV22">
        <f>COUNTIFS('DRAFT 2'!$D:$D,$B22,'DRAFT 2'!$A:$A,"&gt;="&amp;DATE(2026,7,8),'DRAFT 2'!$A:$A,"&lt;="&amp;DATE(2026,7,14))</f>
        <v/>
      </c>
      <c r="FW22">
        <f>COUNTIFS('DRAFT 2'!$D:$D,$B22,'DRAFT 2'!$A:$A,"&gt;="&amp;DATE(2026,7,15),'DRAFT 2'!$A:$A,"&lt;="&amp;DATE(2026,7,21))</f>
        <v/>
      </c>
      <c r="FX22">
        <f>COUNTIFS('DRAFT 2'!$D:$D,$B22,'DRAFT 2'!$A:$A,"&gt;="&amp;DATE(2026,7,22),'DRAFT 2'!$A:$A,"&lt;"&amp;DATE(2026,IF(7=12,7+1,7+1),1))</f>
        <v/>
      </c>
      <c r="FY22">
        <f>SUM(FU22:FX22)</f>
        <v/>
      </c>
      <c r="GI22">
        <f>IFERROR(LOOKUP(2,1/('DRAFT 2'!$D:$D=$B22)*('DRAFT 2'!$A:$A&gt;=DATE(2026,8,1))*('DRAFT 2'!$A:$A&lt;DATE(2026,IF(8=12,8+1,8+1),1)),'DRAFT 2'!$A:$A),"")</f>
        <v/>
      </c>
      <c r="GJ22">
        <f>COUNTIFS('DRAFT 2'!$D:$D,$B22,'DRAFT 2'!$A:$A,"&gt;="&amp;DATE(2026,8,1),'DRAFT 2'!$A:$A,"&lt;="&amp;DATE(2026,8,7))</f>
        <v/>
      </c>
      <c r="GK22">
        <f>COUNTIFS('DRAFT 2'!$D:$D,$B22,'DRAFT 2'!$A:$A,"&gt;="&amp;DATE(2026,8,8),'DRAFT 2'!$A:$A,"&lt;="&amp;DATE(2026,8,14))</f>
        <v/>
      </c>
      <c r="GL22">
        <f>COUNTIFS('DRAFT 2'!$D:$D,$B22,'DRAFT 2'!$A:$A,"&gt;="&amp;DATE(2026,8,15),'DRAFT 2'!$A:$A,"&lt;="&amp;DATE(2026,8,21))</f>
        <v/>
      </c>
      <c r="GM22">
        <f>COUNTIFS('DRAFT 2'!$D:$D,$B22,'DRAFT 2'!$A:$A,"&gt;="&amp;DATE(2026,8,22),'DRAFT 2'!$A:$A,"&lt;"&amp;DATE(2026,IF(8=12,8+1,8+1),1))</f>
        <v/>
      </c>
      <c r="GN22">
        <f>SUM(GJ22:GM22)</f>
        <v/>
      </c>
      <c r="GX22">
        <f>IFERROR(LOOKUP(2,1/('DRAFT 2'!$D:$D=$B22)*('DRAFT 2'!$A:$A&gt;=DATE(2026,9,1))*('DRAFT 2'!$A:$A&lt;DATE(2026,IF(9=12,9+1,9+1),1)),'DRAFT 2'!$A:$A),"")</f>
        <v/>
      </c>
      <c r="GY22">
        <f>COUNTIFS('DRAFT 2'!$D:$D,$B22,'DRAFT 2'!$A:$A,"&gt;="&amp;DATE(2026,9,1),'DRAFT 2'!$A:$A,"&lt;="&amp;DATE(2026,9,7))</f>
        <v/>
      </c>
      <c r="GZ22">
        <f>COUNTIFS('DRAFT 2'!$D:$D,$B22,'DRAFT 2'!$A:$A,"&gt;="&amp;DATE(2026,9,8),'DRAFT 2'!$A:$A,"&lt;="&amp;DATE(2026,9,14))</f>
        <v/>
      </c>
      <c r="HA22">
        <f>COUNTIFS('DRAFT 2'!$D:$D,$B22,'DRAFT 2'!$A:$A,"&gt;="&amp;DATE(2026,9,15),'DRAFT 2'!$A:$A,"&lt;="&amp;DATE(2026,9,21))</f>
        <v/>
      </c>
      <c r="HB22">
        <f>COUNTIFS('DRAFT 2'!$D:$D,$B22,'DRAFT 2'!$A:$A,"&gt;="&amp;DATE(2026,9,22),'DRAFT 2'!$A:$A,"&lt;"&amp;DATE(2026,IF(9=12,9+1,9+1),1))</f>
        <v/>
      </c>
      <c r="HC22">
        <f>SUM(GY22:HB22)</f>
        <v/>
      </c>
      <c r="HN22">
        <f>IFERROR(LOOKUP(2,1/('DRAFT 2'!$D:$D=$B22)*('DRAFT 2'!$A:$A&gt;=DATE(2026,10,1))*('DRAFT 2'!$A:$A&lt;DATE(2026,IF(10=12,10+1,10+1),1)),'DRAFT 2'!$A:$A),"")</f>
        <v/>
      </c>
      <c r="HO22">
        <f>COUNTIFS('DRAFT 2'!$D:$D,$B22,'DRAFT 2'!$A:$A,"&gt;="&amp;DATE(2026,10,1),'DRAFT 2'!$A:$A,"&lt;="&amp;DATE(2026,10,7))</f>
        <v/>
      </c>
      <c r="HP22">
        <f>COUNTIFS('DRAFT 2'!$D:$D,$B22,'DRAFT 2'!$A:$A,"&gt;="&amp;DATE(2026,10,8),'DRAFT 2'!$A:$A,"&lt;="&amp;DATE(2026,10,14))</f>
        <v/>
      </c>
      <c r="HQ22">
        <f>COUNTIFS('DRAFT 2'!$D:$D,$B22,'DRAFT 2'!$A:$A,"&gt;="&amp;DATE(2026,10,15),'DRAFT 2'!$A:$A,"&lt;="&amp;DATE(2026,10,21))</f>
        <v/>
      </c>
      <c r="HR22">
        <f>COUNTIFS('DRAFT 2'!$D:$D,$B22,'DRAFT 2'!$A:$A,"&gt;="&amp;DATE(2026,10,22),'DRAFT 2'!$A:$A,"&lt;"&amp;DATE(2026,IF(10=12,10+1,10+1),1))</f>
        <v/>
      </c>
      <c r="HS22">
        <f>SUM(HO22:HR22)</f>
        <v/>
      </c>
      <c r="IC22">
        <f>IFERROR(LOOKUP(2,1/('DRAFT 2'!$D:$D=$B22)*('DRAFT 2'!$A:$A&gt;=DATE(2026,11,1))*('DRAFT 2'!$A:$A&lt;DATE(2026,IF(11=12,11+1,11+1),1)),'DRAFT 2'!$A:$A),"")</f>
        <v/>
      </c>
      <c r="ID22">
        <f>COUNTIFS('DRAFT 2'!$D:$D,$B22,'DRAFT 2'!$A:$A,"&gt;="&amp;DATE(2026,11,1),'DRAFT 2'!$A:$A,"&lt;="&amp;DATE(2026,11,7))</f>
        <v/>
      </c>
      <c r="IE22">
        <f>COUNTIFS('DRAFT 2'!$D:$D,$B22,'DRAFT 2'!$A:$A,"&gt;="&amp;DATE(2026,11,8),'DRAFT 2'!$A:$A,"&lt;="&amp;DATE(2026,11,14))</f>
        <v/>
      </c>
      <c r="IF22">
        <f>COUNTIFS('DRAFT 2'!$D:$D,$B22,'DRAFT 2'!$A:$A,"&gt;="&amp;DATE(2026,11,15),'DRAFT 2'!$A:$A,"&lt;="&amp;DATE(2026,11,21))</f>
        <v/>
      </c>
      <c r="IG22">
        <f>COUNTIFS('DRAFT 2'!$D:$D,$B22,'DRAFT 2'!$A:$A,"&gt;="&amp;DATE(2026,11,22),'DRAFT 2'!$A:$A,"&lt;"&amp;DATE(2026,IF(11=12,11+1,11+1),1))</f>
        <v/>
      </c>
      <c r="IH22">
        <f>SUM(ID22:IG22)</f>
        <v/>
      </c>
      <c r="IR22">
        <f>IFERROR(LOOKUP(2,1/('DRAFT 2'!$D:$D=$B22)*('DRAFT 2'!$A:$A&gt;=DATE(2026,12,1))*('DRAFT 2'!$A:$A&lt;DATE(2026,IF(12=12,12+1,12+1),1)),'DRAFT 2'!$A:$A),"")</f>
        <v/>
      </c>
      <c r="IS22">
        <f>COUNTIFS('DRAFT 2'!$D:$D,$B22,'DRAFT 2'!$A:$A,"&gt;="&amp;DATE(2026,12,1),'DRAFT 2'!$A:$A,"&lt;="&amp;DATE(2026,12,7))</f>
        <v/>
      </c>
      <c r="IT22">
        <f>COUNTIFS('DRAFT 2'!$D:$D,$B22,'DRAFT 2'!$A:$A,"&gt;="&amp;DATE(2026,12,8),'DRAFT 2'!$A:$A,"&lt;="&amp;DATE(2026,12,14))</f>
        <v/>
      </c>
      <c r="IU22">
        <f>COUNTIFS('DRAFT 2'!$D:$D,$B22,'DRAFT 2'!$A:$A,"&gt;="&amp;DATE(2026,12,15),'DRAFT 2'!$A:$A,"&lt;="&amp;DATE(2026,12,21))</f>
        <v/>
      </c>
      <c r="IV22">
        <f>COUNTIFS('DRAFT 2'!$D:$D,$B22,'DRAFT 2'!$A:$A,"&gt;="&amp;DATE(2026,12,22),'DRAFT 2'!$A:$A,"&lt;"&amp;DATE(2026,IF(12=12,12+1,12+1),1))</f>
        <v/>
      </c>
      <c r="IW22">
        <f>SUM(IS22:IV22)</f>
        <v/>
      </c>
    </row>
    <row r="23">
      <c r="A23">
        <f>IFERROR(INDEX('DRAFT 1'!$A:$A,MATCH($B23,'DRAFT 1'!$B:$B,0)),"")</f>
        <v/>
      </c>
      <c r="C23">
        <f>IFERROR(INDEX('DRAFT 1'!$C:$C,MATCH($B23,'DRAFT 1'!$B:$B,0)),"")</f>
        <v/>
      </c>
      <c r="D23">
        <f>IFERROR(INDEX('DRAFT 1'!$D:$D,MATCH($B23,'DRAFT 1'!$B:$B,0)),"")</f>
        <v/>
      </c>
      <c r="E23">
        <f>IFERROR(INDEX('DRAFT 1'!$E:$E,MATCH($B23,'DRAFT 1'!$B:$B,0)),"")</f>
        <v/>
      </c>
      <c r="F23">
        <f>IFERROR(INDEX('DRAFT 1'!$F:$F,MATCH($B23,'DRAFT 1'!$B:$B,0)),"")</f>
        <v/>
      </c>
      <c r="G23">
        <f>IFERROR(INDEX('DRAFT 1'!$G:$G,MATCH($B23,'DRAFT 1'!$B:$B,0)),"")</f>
        <v/>
      </c>
      <c r="H23">
        <f>IFERROR(INDEX('DRAFT 1'!$H:$H,MATCH($B23,'DRAFT 1'!$B:$B,0)),"")</f>
        <v/>
      </c>
      <c r="I23" t="inlineStr">
        <is>
          <t>CIA DA SAUDE</t>
        </is>
      </c>
      <c r="K23">
        <f>IFERROR(INDEX('DRAFT 1'!$AL:$AL,MATCH($B23,'DRAFT 1'!$B:$B,0)),"")</f>
        <v/>
      </c>
      <c r="L23">
        <f>IFERROR(INDEX('DRAFT 1'!$J:$J,MATCH($B23,'DRAFT 1'!$B:$B,0)),"")</f>
        <v/>
      </c>
      <c r="M23">
        <f>IFERROR(INDEX('DRAFT 1'!$K:$K,MATCH($B23,'DRAFT 1'!$B:$B,0)),"")</f>
        <v/>
      </c>
      <c r="N23" t="inlineStr">
        <is>
          <t>INAT.ANT</t>
        </is>
      </c>
      <c r="P23">
        <f>IFERROR(INDEX('DRAFT 1'!$L:$L,MATCH($B23,'DRAFT 1'!$B:$B,0)),"")</f>
        <v/>
      </c>
      <c r="Q23">
        <f>IFERROR(INDEX('DRAFT 1'!$M:$M,MATCH($B23,'DRAFT 1'!$B:$B,0)),"")</f>
        <v/>
      </c>
      <c r="R23">
        <f>IFERROR(INDEX('DRAFT 1'!$N:$N,MATCH($B23,'DRAFT 1'!$B:$B,0)),"")</f>
        <v/>
      </c>
      <c r="S23">
        <f>IFERROR(INDEX('DRAFT 1'!$O:$O,MATCH($B23,'DRAFT 1'!$B:$B,0)),"")</f>
        <v/>
      </c>
      <c r="T23">
        <f>IFERROR(INDEX('DRAFT 1'!$P:$P,MATCH($B23,'DRAFT 1'!$B:$B,0)),"")</f>
        <v/>
      </c>
      <c r="U23">
        <f>IFERROR(INDEX('DRAFT 1'!$Q:$Q,MATCH($B23,'DRAFT 1'!$B:$B,0)),"")</f>
        <v/>
      </c>
      <c r="V23">
        <f>IFERROR(INDEX('DRAFT 1'!$R:$R,MATCH($B23,'DRAFT 1'!$B:$B,0)),"")</f>
        <v/>
      </c>
      <c r="W23">
        <f>IFERROR(INDEX('DRAFT 1'!$S:$S,MATCH($B23,'DRAFT 1'!$B:$B,0)),"")</f>
        <v/>
      </c>
      <c r="X23">
        <f>IFERROR(INDEX('DRAFT 1'!$T:$T,MATCH($B23,'DRAFT 1'!$B:$B,0)),"")</f>
        <v/>
      </c>
      <c r="Z23">
        <f>IFERROR(INDEX('DRAFT 1'!$U:$U,MATCH($B23,'DRAFT 1'!$B:$B,0)),"")</f>
        <v/>
      </c>
      <c r="AA23">
        <f>IFERROR(INDEX('DRAFT 1'!$V:$V,MATCH($B23,'DRAFT 1'!$B:$B,0)),"")</f>
        <v/>
      </c>
      <c r="AB23">
        <f>IFERROR(INDEX('DRAFT 1'!$W:$W,MATCH($B23,'DRAFT 1'!$B:$B,0)),"")</f>
        <v/>
      </c>
      <c r="AC23">
        <f>IFERROR(INDEX('DRAFT 1'!$X:$X,MATCH($B23,'DRAFT 1'!$B:$B,0)),"")</f>
        <v/>
      </c>
      <c r="AD23">
        <f>IFERROR(INDEX('DRAFT 1'!$Y:$Y,MATCH($B23,'DRAFT 1'!$B:$B,0)),"")</f>
        <v/>
      </c>
      <c r="AE23">
        <f>IFERROR(INDEX('DRAFT 1'!$Z:$Z,MATCH($B23,'DRAFT 1'!$B:$B,0)),"")</f>
        <v/>
      </c>
      <c r="AF23">
        <f>IFERROR(INDEX('DRAFT 1'!$AA:$AA,MATCH($B23,'DRAFT 1'!$B:$B,0)),"")</f>
        <v/>
      </c>
      <c r="AG23">
        <f>IFERROR(INDEX('DRAFT 1'!$AB:$AB,MATCH($B23,'DRAFT 1'!$B:$B,0)),"")</f>
        <v/>
      </c>
      <c r="AH23">
        <f>IFERROR(INDEX('DRAFT 1'!$AC:$AC,MATCH($B23,'DRAFT 1'!$B:$B,0)),"")</f>
        <v/>
      </c>
      <c r="AI23">
        <f>IFERROR(INDEX('DRAFT 1'!$AD:$AD,MATCH($B23,'DRAFT 1'!$B:$B,0)),"")</f>
        <v/>
      </c>
      <c r="AJ23">
        <f>IFERROR(INDEX('DRAFT 1'!$AE:$AE,MATCH($B23,'DRAFT 1'!$B:$B,0)),"")</f>
        <v/>
      </c>
      <c r="AK23">
        <f>IFERROR(INDEX('DRAFT 1'!$AG:$AG,MATCH($B23,'DRAFT 1'!$B:$B,0)),"")</f>
        <v/>
      </c>
      <c r="AL23">
        <f>IFERROR(INDEX('DRAFT 1'!$AH:$AH,MATCH($B23,'DRAFT 1'!$B:$B,0)),"")</f>
        <v/>
      </c>
      <c r="AM23">
        <f>IFERROR(INDEX('DRAFT 1'!$AI:$AI,MATCH($B23,'DRAFT 1'!$B:$B,0)),"")</f>
        <v/>
      </c>
      <c r="AN23">
        <f>IFERROR(INDEX('DRAFT 1'!$AJ:$AJ,MATCH($B23,'DRAFT 1'!$B:$B,0)),"")</f>
        <v/>
      </c>
      <c r="AO23">
        <f>IFERROR(Y23/AN23,0)</f>
        <v/>
      </c>
      <c r="AP23">
        <f>IFERROR(INDEX('DRAFT 1'!$AK:$AK,MATCH($B23,'DRAFT 1'!$B:$B,0)),"")</f>
        <v/>
      </c>
      <c r="AR23" t="inlineStr">
        <is>
          <t>PROSPECÇÃO</t>
        </is>
      </c>
      <c r="AS23">
        <f>IFERROR(LOOKUP(2,1/('DRAFT 2'!$D:$D=$B23),'DRAFT 2'!$T:$T),"")</f>
        <v/>
      </c>
      <c r="AT23">
        <f>IFERROR(LOOKUP(2,1/('DRAFT 2'!$D:$D=$B23),'DRAFT 2'!$A:$A),"")</f>
        <v/>
      </c>
      <c r="AU23">
        <f>IFERROR(LOOKUP(2,1/('DRAFT 2'!$D:$D=$B23),'DRAFT 2'!$R:$R),"")</f>
        <v/>
      </c>
      <c r="AV23">
        <f>IFERROR(LOOKUP(2,1/('DRAFT 2'!$D:$D=$B23),'DRAFT 2'!$S:$S),"")</f>
        <v/>
      </c>
      <c r="AW23" t="inlineStr">
        <is>
          <t>NOVO</t>
        </is>
      </c>
      <c r="AX23">
        <f>IFERROR(LOOKUP(2,1/('DRAFT 2'!$D:$D=$B23),'DRAFT 2'!$M:$M),"")</f>
        <v/>
      </c>
      <c r="AY23">
        <f>IFERROR(LOOKUP(2,1/('DRAFT 2'!$D:$D=$B23),'DRAFT 2'!$K:$K),"")</f>
        <v/>
      </c>
      <c r="BG23">
        <f>IFERROR(LOOKUP(2,1/('DRAFT 2'!$D:$D=$B23),'DRAFT 2'!$U:$U),"")</f>
        <v/>
      </c>
      <c r="BH23">
        <f>IFERROR(LOOKUP(2,1/('DRAFT 2'!$D:$D=$B23),'DRAFT 2'!$V:$V),"")</f>
        <v/>
      </c>
      <c r="CE23">
        <f>IFERROR(AJ23,0)</f>
        <v/>
      </c>
      <c r="CF23">
        <f>IFERROR(LOOKUP(2,1/('DRAFT 2'!$D:$D=$B23)*('DRAFT 2'!$A:$A&gt;=DATE(2026,1,1))*('DRAFT 2'!$A:$A&lt;DATE(2026,IF(1=12,1+1,1+1),1)),'DRAFT 2'!$A:$A),"")</f>
        <v/>
      </c>
      <c r="CG23">
        <f>COUNTIFS('DRAFT 2'!$D:$D,$B23,'DRAFT 2'!$A:$A,"&gt;="&amp;DATE(2026,1,1),'DRAFT 2'!$A:$A,"&lt;="&amp;DATE(2026,1,7))</f>
        <v/>
      </c>
      <c r="CH23">
        <f>COUNTIFS('DRAFT 2'!$D:$D,$B23,'DRAFT 2'!$A:$A,"&gt;="&amp;DATE(2026,1,8),'DRAFT 2'!$A:$A,"&lt;="&amp;DATE(2026,1,14))</f>
        <v/>
      </c>
      <c r="CI23">
        <f>COUNTIFS('DRAFT 2'!$D:$D,$B23,'DRAFT 2'!$A:$A,"&gt;="&amp;DATE(2026,1,15),'DRAFT 2'!$A:$A,"&lt;="&amp;DATE(2026,1,21))</f>
        <v/>
      </c>
      <c r="CJ23">
        <f>COUNTIFS('DRAFT 2'!$D:$D,$B23,'DRAFT 2'!$A:$A,"&gt;="&amp;DATE(2026,1,22),'DRAFT 2'!$A:$A,"&lt;"&amp;DATE(2026,IF(1=12,1+1,1+1),1))</f>
        <v/>
      </c>
      <c r="CK23">
        <f>SUM(CG23:CJ23)</f>
        <v/>
      </c>
      <c r="CT23" t="n">
        <v>0</v>
      </c>
      <c r="CU23">
        <f>IFERROR(LOOKUP(2,1/('DRAFT 2'!$D:$D=$B23)*('DRAFT 2'!$A:$A&gt;=DATE(2026,2,1))*('DRAFT 2'!$A:$A&lt;DATE(2026,IF(2=12,2+1,2+1),1)),'DRAFT 2'!$A:$A),"")</f>
        <v/>
      </c>
      <c r="CV23">
        <f>COUNTIFS('DRAFT 2'!$D:$D,$B23,'DRAFT 2'!$A:$A,"&gt;="&amp;DATE(2026,2,1),'DRAFT 2'!$A:$A,"&lt;="&amp;DATE(2026,2,7))</f>
        <v/>
      </c>
      <c r="CW23">
        <f>COUNTIFS('DRAFT 2'!$D:$D,$B23,'DRAFT 2'!$A:$A,"&gt;="&amp;DATE(2026,2,8),'DRAFT 2'!$A:$A,"&lt;="&amp;DATE(2026,2,14))</f>
        <v/>
      </c>
      <c r="CX23">
        <f>COUNTIFS('DRAFT 2'!$D:$D,$B23,'DRAFT 2'!$A:$A,"&gt;="&amp;DATE(2026,2,15),'DRAFT 2'!$A:$A,"&lt;="&amp;DATE(2026,2,21))</f>
        <v/>
      </c>
      <c r="CY23">
        <f>COUNTIFS('DRAFT 2'!$D:$D,$B23,'DRAFT 2'!$A:$A,"&gt;="&amp;DATE(2026,2,22),'DRAFT 2'!$A:$A,"&lt;"&amp;DATE(2026,IF(2=12,2+1,2+1),1))</f>
        <v/>
      </c>
      <c r="CZ23">
        <f>SUM(CV23:CY23)</f>
        <v/>
      </c>
      <c r="DJ23">
        <f>IFERROR(LOOKUP(2,1/('DRAFT 2'!$D:$D=$B23)*('DRAFT 2'!$A:$A&gt;=DATE(2026,3,1))*('DRAFT 2'!$A:$A&lt;DATE(2026,IF(3=12,3+1,3+1),1)),'DRAFT 2'!$A:$A),"")</f>
        <v/>
      </c>
      <c r="DK23">
        <f>COUNTIFS('DRAFT 2'!$D:$D,$B23,'DRAFT 2'!$A:$A,"&gt;="&amp;DATE(2026,3,1),'DRAFT 2'!$A:$A,"&lt;="&amp;DATE(2026,3,7))</f>
        <v/>
      </c>
      <c r="DL23">
        <f>COUNTIFS('DRAFT 2'!$D:$D,$B23,'DRAFT 2'!$A:$A,"&gt;="&amp;DATE(2026,3,8),'DRAFT 2'!$A:$A,"&lt;="&amp;DATE(2026,3,14))</f>
        <v/>
      </c>
      <c r="DM23">
        <f>COUNTIFS('DRAFT 2'!$D:$D,$B23,'DRAFT 2'!$A:$A,"&gt;="&amp;DATE(2026,3,15),'DRAFT 2'!$A:$A,"&lt;="&amp;DATE(2026,3,21))</f>
        <v/>
      </c>
      <c r="DN23">
        <f>COUNTIFS('DRAFT 2'!$D:$D,$B23,'DRAFT 2'!$A:$A,"&gt;="&amp;DATE(2026,3,22),'DRAFT 2'!$A:$A,"&lt;"&amp;DATE(2026,IF(3=12,3+1,3+1),1))</f>
        <v/>
      </c>
      <c r="DO23">
        <f>SUM(DK23:DN23)</f>
        <v/>
      </c>
      <c r="DZ23">
        <f>IFERROR(LOOKUP(2,1/('DRAFT 2'!$D:$D=$B23)*('DRAFT 2'!$A:$A&gt;=DATE(2026,4,1))*('DRAFT 2'!$A:$A&lt;DATE(2026,IF(4=12,4+1,4+1),1)),'DRAFT 2'!$A:$A),"")</f>
        <v/>
      </c>
      <c r="EA23">
        <f>COUNTIFS('DRAFT 2'!$D:$D,$B23,'DRAFT 2'!$A:$A,"&gt;="&amp;DATE(2026,4,1),'DRAFT 2'!$A:$A,"&lt;="&amp;DATE(2026,4,7))</f>
        <v/>
      </c>
      <c r="EB23">
        <f>COUNTIFS('DRAFT 2'!$D:$D,$B23,'DRAFT 2'!$A:$A,"&gt;="&amp;DATE(2026,4,8),'DRAFT 2'!$A:$A,"&lt;="&amp;DATE(2026,4,14))</f>
        <v/>
      </c>
      <c r="EC23">
        <f>COUNTIFS('DRAFT 2'!$D:$D,$B23,'DRAFT 2'!$A:$A,"&gt;="&amp;DATE(2026,4,15),'DRAFT 2'!$A:$A,"&lt;="&amp;DATE(2026,4,21))</f>
        <v/>
      </c>
      <c r="ED23">
        <f>COUNTIFS('DRAFT 2'!$D:$D,$B23,'DRAFT 2'!$A:$A,"&gt;="&amp;DATE(2026,4,22),'DRAFT 2'!$A:$A,"&lt;"&amp;DATE(2026,IF(4=12,4+1,4+1),1))</f>
        <v/>
      </c>
      <c r="EE23">
        <f>SUM(EA23:ED23)</f>
        <v/>
      </c>
      <c r="EO23">
        <f>IFERROR(LOOKUP(2,1/('DRAFT 2'!$D:$D=$B23)*('DRAFT 2'!$A:$A&gt;=DATE(2026,5,1))*('DRAFT 2'!$A:$A&lt;DATE(2026,IF(5=12,5+1,5+1),1)),'DRAFT 2'!$A:$A),"")</f>
        <v/>
      </c>
      <c r="EP23">
        <f>COUNTIFS('DRAFT 2'!$D:$D,$B23,'DRAFT 2'!$A:$A,"&gt;="&amp;DATE(2026,5,1),'DRAFT 2'!$A:$A,"&lt;="&amp;DATE(2026,5,7))</f>
        <v/>
      </c>
      <c r="EQ23">
        <f>COUNTIFS('DRAFT 2'!$D:$D,$B23,'DRAFT 2'!$A:$A,"&gt;="&amp;DATE(2026,5,8),'DRAFT 2'!$A:$A,"&lt;="&amp;DATE(2026,5,14))</f>
        <v/>
      </c>
      <c r="ER23">
        <f>COUNTIFS('DRAFT 2'!$D:$D,$B23,'DRAFT 2'!$A:$A,"&gt;="&amp;DATE(2026,5,15),'DRAFT 2'!$A:$A,"&lt;="&amp;DATE(2026,5,21))</f>
        <v/>
      </c>
      <c r="ES23">
        <f>COUNTIFS('DRAFT 2'!$D:$D,$B23,'DRAFT 2'!$A:$A,"&gt;="&amp;DATE(2026,5,22),'DRAFT 2'!$A:$A,"&lt;"&amp;DATE(2026,IF(5=12,5+1,5+1),1))</f>
        <v/>
      </c>
      <c r="ET23">
        <f>SUM(EP23:ES23)</f>
        <v/>
      </c>
      <c r="FD23">
        <f>IFERROR(LOOKUP(2,1/('DRAFT 2'!$D:$D=$B23)*('DRAFT 2'!$A:$A&gt;=DATE(2026,6,1))*('DRAFT 2'!$A:$A&lt;DATE(2026,IF(6=12,6+1,6+1),1)),'DRAFT 2'!$A:$A),"")</f>
        <v/>
      </c>
      <c r="FE23">
        <f>COUNTIFS('DRAFT 2'!$D:$D,$B23,'DRAFT 2'!$A:$A,"&gt;="&amp;DATE(2026,6,1),'DRAFT 2'!$A:$A,"&lt;="&amp;DATE(2026,6,7))</f>
        <v/>
      </c>
      <c r="FF23">
        <f>COUNTIFS('DRAFT 2'!$D:$D,$B23,'DRAFT 2'!$A:$A,"&gt;="&amp;DATE(2026,6,8),'DRAFT 2'!$A:$A,"&lt;="&amp;DATE(2026,6,14))</f>
        <v/>
      </c>
      <c r="FG23">
        <f>COUNTIFS('DRAFT 2'!$D:$D,$B23,'DRAFT 2'!$A:$A,"&gt;="&amp;DATE(2026,6,15),'DRAFT 2'!$A:$A,"&lt;="&amp;DATE(2026,6,21))</f>
        <v/>
      </c>
      <c r="FH23">
        <f>COUNTIFS('DRAFT 2'!$D:$D,$B23,'DRAFT 2'!$A:$A,"&gt;="&amp;DATE(2026,6,22),'DRAFT 2'!$A:$A,"&lt;"&amp;DATE(2026,IF(6=12,6+1,6+1),1))</f>
        <v/>
      </c>
      <c r="FI23">
        <f>SUM(FE23:FH23)</f>
        <v/>
      </c>
      <c r="FT23">
        <f>IFERROR(LOOKUP(2,1/('DRAFT 2'!$D:$D=$B23)*('DRAFT 2'!$A:$A&gt;=DATE(2026,7,1))*('DRAFT 2'!$A:$A&lt;DATE(2026,IF(7=12,7+1,7+1),1)),'DRAFT 2'!$A:$A),"")</f>
        <v/>
      </c>
      <c r="FU23">
        <f>COUNTIFS('DRAFT 2'!$D:$D,$B23,'DRAFT 2'!$A:$A,"&gt;="&amp;DATE(2026,7,1),'DRAFT 2'!$A:$A,"&lt;="&amp;DATE(2026,7,7))</f>
        <v/>
      </c>
      <c r="FV23">
        <f>COUNTIFS('DRAFT 2'!$D:$D,$B23,'DRAFT 2'!$A:$A,"&gt;="&amp;DATE(2026,7,8),'DRAFT 2'!$A:$A,"&lt;="&amp;DATE(2026,7,14))</f>
        <v/>
      </c>
      <c r="FW23">
        <f>COUNTIFS('DRAFT 2'!$D:$D,$B23,'DRAFT 2'!$A:$A,"&gt;="&amp;DATE(2026,7,15),'DRAFT 2'!$A:$A,"&lt;="&amp;DATE(2026,7,21))</f>
        <v/>
      </c>
      <c r="FX23">
        <f>COUNTIFS('DRAFT 2'!$D:$D,$B23,'DRAFT 2'!$A:$A,"&gt;="&amp;DATE(2026,7,22),'DRAFT 2'!$A:$A,"&lt;"&amp;DATE(2026,IF(7=12,7+1,7+1),1))</f>
        <v/>
      </c>
      <c r="FY23">
        <f>SUM(FU23:FX23)</f>
        <v/>
      </c>
      <c r="GI23">
        <f>IFERROR(LOOKUP(2,1/('DRAFT 2'!$D:$D=$B23)*('DRAFT 2'!$A:$A&gt;=DATE(2026,8,1))*('DRAFT 2'!$A:$A&lt;DATE(2026,IF(8=12,8+1,8+1),1)),'DRAFT 2'!$A:$A),"")</f>
        <v/>
      </c>
      <c r="GJ23">
        <f>COUNTIFS('DRAFT 2'!$D:$D,$B23,'DRAFT 2'!$A:$A,"&gt;="&amp;DATE(2026,8,1),'DRAFT 2'!$A:$A,"&lt;="&amp;DATE(2026,8,7))</f>
        <v/>
      </c>
      <c r="GK23">
        <f>COUNTIFS('DRAFT 2'!$D:$D,$B23,'DRAFT 2'!$A:$A,"&gt;="&amp;DATE(2026,8,8),'DRAFT 2'!$A:$A,"&lt;="&amp;DATE(2026,8,14))</f>
        <v/>
      </c>
      <c r="GL23">
        <f>COUNTIFS('DRAFT 2'!$D:$D,$B23,'DRAFT 2'!$A:$A,"&gt;="&amp;DATE(2026,8,15),'DRAFT 2'!$A:$A,"&lt;="&amp;DATE(2026,8,21))</f>
        <v/>
      </c>
      <c r="GM23">
        <f>COUNTIFS('DRAFT 2'!$D:$D,$B23,'DRAFT 2'!$A:$A,"&gt;="&amp;DATE(2026,8,22),'DRAFT 2'!$A:$A,"&lt;"&amp;DATE(2026,IF(8=12,8+1,8+1),1))</f>
        <v/>
      </c>
      <c r="GN23">
        <f>SUM(GJ23:GM23)</f>
        <v/>
      </c>
      <c r="GX23">
        <f>IFERROR(LOOKUP(2,1/('DRAFT 2'!$D:$D=$B23)*('DRAFT 2'!$A:$A&gt;=DATE(2026,9,1))*('DRAFT 2'!$A:$A&lt;DATE(2026,IF(9=12,9+1,9+1),1)),'DRAFT 2'!$A:$A),"")</f>
        <v/>
      </c>
      <c r="GY23">
        <f>COUNTIFS('DRAFT 2'!$D:$D,$B23,'DRAFT 2'!$A:$A,"&gt;="&amp;DATE(2026,9,1),'DRAFT 2'!$A:$A,"&lt;="&amp;DATE(2026,9,7))</f>
        <v/>
      </c>
      <c r="GZ23">
        <f>COUNTIFS('DRAFT 2'!$D:$D,$B23,'DRAFT 2'!$A:$A,"&gt;="&amp;DATE(2026,9,8),'DRAFT 2'!$A:$A,"&lt;="&amp;DATE(2026,9,14))</f>
        <v/>
      </c>
      <c r="HA23">
        <f>COUNTIFS('DRAFT 2'!$D:$D,$B23,'DRAFT 2'!$A:$A,"&gt;="&amp;DATE(2026,9,15),'DRAFT 2'!$A:$A,"&lt;="&amp;DATE(2026,9,21))</f>
        <v/>
      </c>
      <c r="HB23">
        <f>COUNTIFS('DRAFT 2'!$D:$D,$B23,'DRAFT 2'!$A:$A,"&gt;="&amp;DATE(2026,9,22),'DRAFT 2'!$A:$A,"&lt;"&amp;DATE(2026,IF(9=12,9+1,9+1),1))</f>
        <v/>
      </c>
      <c r="HC23">
        <f>SUM(GY23:HB23)</f>
        <v/>
      </c>
      <c r="HN23">
        <f>IFERROR(LOOKUP(2,1/('DRAFT 2'!$D:$D=$B23)*('DRAFT 2'!$A:$A&gt;=DATE(2026,10,1))*('DRAFT 2'!$A:$A&lt;DATE(2026,IF(10=12,10+1,10+1),1)),'DRAFT 2'!$A:$A),"")</f>
        <v/>
      </c>
      <c r="HO23">
        <f>COUNTIFS('DRAFT 2'!$D:$D,$B23,'DRAFT 2'!$A:$A,"&gt;="&amp;DATE(2026,10,1),'DRAFT 2'!$A:$A,"&lt;="&amp;DATE(2026,10,7))</f>
        <v/>
      </c>
      <c r="HP23">
        <f>COUNTIFS('DRAFT 2'!$D:$D,$B23,'DRAFT 2'!$A:$A,"&gt;="&amp;DATE(2026,10,8),'DRAFT 2'!$A:$A,"&lt;="&amp;DATE(2026,10,14))</f>
        <v/>
      </c>
      <c r="HQ23">
        <f>COUNTIFS('DRAFT 2'!$D:$D,$B23,'DRAFT 2'!$A:$A,"&gt;="&amp;DATE(2026,10,15),'DRAFT 2'!$A:$A,"&lt;="&amp;DATE(2026,10,21))</f>
        <v/>
      </c>
      <c r="HR23">
        <f>COUNTIFS('DRAFT 2'!$D:$D,$B23,'DRAFT 2'!$A:$A,"&gt;="&amp;DATE(2026,10,22),'DRAFT 2'!$A:$A,"&lt;"&amp;DATE(2026,IF(10=12,10+1,10+1),1))</f>
        <v/>
      </c>
      <c r="HS23">
        <f>SUM(HO23:HR23)</f>
        <v/>
      </c>
      <c r="IC23">
        <f>IFERROR(LOOKUP(2,1/('DRAFT 2'!$D:$D=$B23)*('DRAFT 2'!$A:$A&gt;=DATE(2026,11,1))*('DRAFT 2'!$A:$A&lt;DATE(2026,IF(11=12,11+1,11+1),1)),'DRAFT 2'!$A:$A),"")</f>
        <v/>
      </c>
      <c r="ID23">
        <f>COUNTIFS('DRAFT 2'!$D:$D,$B23,'DRAFT 2'!$A:$A,"&gt;="&amp;DATE(2026,11,1),'DRAFT 2'!$A:$A,"&lt;="&amp;DATE(2026,11,7))</f>
        <v/>
      </c>
      <c r="IE23">
        <f>COUNTIFS('DRAFT 2'!$D:$D,$B23,'DRAFT 2'!$A:$A,"&gt;="&amp;DATE(2026,11,8),'DRAFT 2'!$A:$A,"&lt;="&amp;DATE(2026,11,14))</f>
        <v/>
      </c>
      <c r="IF23">
        <f>COUNTIFS('DRAFT 2'!$D:$D,$B23,'DRAFT 2'!$A:$A,"&gt;="&amp;DATE(2026,11,15),'DRAFT 2'!$A:$A,"&lt;="&amp;DATE(2026,11,21))</f>
        <v/>
      </c>
      <c r="IG23">
        <f>COUNTIFS('DRAFT 2'!$D:$D,$B23,'DRAFT 2'!$A:$A,"&gt;="&amp;DATE(2026,11,22),'DRAFT 2'!$A:$A,"&lt;"&amp;DATE(2026,IF(11=12,11+1,11+1),1))</f>
        <v/>
      </c>
      <c r="IH23">
        <f>SUM(ID23:IG23)</f>
        <v/>
      </c>
      <c r="IR23">
        <f>IFERROR(LOOKUP(2,1/('DRAFT 2'!$D:$D=$B23)*('DRAFT 2'!$A:$A&gt;=DATE(2026,12,1))*('DRAFT 2'!$A:$A&lt;DATE(2026,IF(12=12,12+1,12+1),1)),'DRAFT 2'!$A:$A),"")</f>
        <v/>
      </c>
      <c r="IS23">
        <f>COUNTIFS('DRAFT 2'!$D:$D,$B23,'DRAFT 2'!$A:$A,"&gt;="&amp;DATE(2026,12,1),'DRAFT 2'!$A:$A,"&lt;="&amp;DATE(2026,12,7))</f>
        <v/>
      </c>
      <c r="IT23">
        <f>COUNTIFS('DRAFT 2'!$D:$D,$B23,'DRAFT 2'!$A:$A,"&gt;="&amp;DATE(2026,12,8),'DRAFT 2'!$A:$A,"&lt;="&amp;DATE(2026,12,14))</f>
        <v/>
      </c>
      <c r="IU23">
        <f>COUNTIFS('DRAFT 2'!$D:$D,$B23,'DRAFT 2'!$A:$A,"&gt;="&amp;DATE(2026,12,15),'DRAFT 2'!$A:$A,"&lt;="&amp;DATE(2026,12,21))</f>
        <v/>
      </c>
      <c r="IV23">
        <f>COUNTIFS('DRAFT 2'!$D:$D,$B23,'DRAFT 2'!$A:$A,"&gt;="&amp;DATE(2026,12,22),'DRAFT 2'!$A:$A,"&lt;"&amp;DATE(2026,IF(12=12,12+1,12+1),1))</f>
        <v/>
      </c>
      <c r="IW23">
        <f>SUM(IS23:IV23)</f>
        <v/>
      </c>
    </row>
    <row r="24">
      <c r="A24">
        <f>IFERROR(INDEX('DRAFT 1'!$A:$A,MATCH($B24,'DRAFT 1'!$B:$B,0)),"")</f>
        <v/>
      </c>
      <c r="C24">
        <f>IFERROR(INDEX('DRAFT 1'!$C:$C,MATCH($B24,'DRAFT 1'!$B:$B,0)),"")</f>
        <v/>
      </c>
      <c r="D24">
        <f>IFERROR(INDEX('DRAFT 1'!$D:$D,MATCH($B24,'DRAFT 1'!$B:$B,0)),"")</f>
        <v/>
      </c>
      <c r="E24">
        <f>IFERROR(INDEX('DRAFT 1'!$E:$E,MATCH($B24,'DRAFT 1'!$B:$B,0)),"")</f>
        <v/>
      </c>
      <c r="F24">
        <f>IFERROR(INDEX('DRAFT 1'!$F:$F,MATCH($B24,'DRAFT 1'!$B:$B,0)),"")</f>
        <v/>
      </c>
      <c r="G24">
        <f>IFERROR(INDEX('DRAFT 1'!$G:$G,MATCH($B24,'DRAFT 1'!$B:$B,0)),"")</f>
        <v/>
      </c>
      <c r="H24">
        <f>IFERROR(INDEX('DRAFT 1'!$H:$H,MATCH($B24,'DRAFT 1'!$B:$B,0)),"")</f>
        <v/>
      </c>
      <c r="I24" t="inlineStr">
        <is>
          <t>MUNDO VERDE</t>
        </is>
      </c>
      <c r="K24">
        <f>IFERROR(INDEX('DRAFT 1'!$AL:$AL,MATCH($B24,'DRAFT 1'!$B:$B,0)),"")</f>
        <v/>
      </c>
      <c r="L24">
        <f>IFERROR(INDEX('DRAFT 1'!$J:$J,MATCH($B24,'DRAFT 1'!$B:$B,0)),"")</f>
        <v/>
      </c>
      <c r="M24">
        <f>IFERROR(INDEX('DRAFT 1'!$K:$K,MATCH($B24,'DRAFT 1'!$B:$B,0)),"")</f>
        <v/>
      </c>
      <c r="N24" t="inlineStr">
        <is>
          <t>EM RISCO</t>
        </is>
      </c>
      <c r="P24">
        <f>IFERROR(INDEX('DRAFT 1'!$L:$L,MATCH($B24,'DRAFT 1'!$B:$B,0)),"")</f>
        <v/>
      </c>
      <c r="Q24">
        <f>IFERROR(INDEX('DRAFT 1'!$M:$M,MATCH($B24,'DRAFT 1'!$B:$B,0)),"")</f>
        <v/>
      </c>
      <c r="R24">
        <f>IFERROR(INDEX('DRAFT 1'!$N:$N,MATCH($B24,'DRAFT 1'!$B:$B,0)),"")</f>
        <v/>
      </c>
      <c r="S24">
        <f>IFERROR(INDEX('DRAFT 1'!$O:$O,MATCH($B24,'DRAFT 1'!$B:$B,0)),"")</f>
        <v/>
      </c>
      <c r="T24">
        <f>IFERROR(INDEX('DRAFT 1'!$P:$P,MATCH($B24,'DRAFT 1'!$B:$B,0)),"")</f>
        <v/>
      </c>
      <c r="U24">
        <f>IFERROR(INDEX('DRAFT 1'!$Q:$Q,MATCH($B24,'DRAFT 1'!$B:$B,0)),"")</f>
        <v/>
      </c>
      <c r="V24">
        <f>IFERROR(INDEX('DRAFT 1'!$R:$R,MATCH($B24,'DRAFT 1'!$B:$B,0)),"")</f>
        <v/>
      </c>
      <c r="W24">
        <f>IFERROR(INDEX('DRAFT 1'!$S:$S,MATCH($B24,'DRAFT 1'!$B:$B,0)),"")</f>
        <v/>
      </c>
      <c r="X24">
        <f>IFERROR(INDEX('DRAFT 1'!$T:$T,MATCH($B24,'DRAFT 1'!$B:$B,0)),"")</f>
        <v/>
      </c>
      <c r="Z24">
        <f>IFERROR(INDEX('DRAFT 1'!$U:$U,MATCH($B24,'DRAFT 1'!$B:$B,0)),"")</f>
        <v/>
      </c>
      <c r="AA24">
        <f>IFERROR(INDEX('DRAFT 1'!$V:$V,MATCH($B24,'DRAFT 1'!$B:$B,0)),"")</f>
        <v/>
      </c>
      <c r="AB24">
        <f>IFERROR(INDEX('DRAFT 1'!$W:$W,MATCH($B24,'DRAFT 1'!$B:$B,0)),"")</f>
        <v/>
      </c>
      <c r="AC24">
        <f>IFERROR(INDEX('DRAFT 1'!$X:$X,MATCH($B24,'DRAFT 1'!$B:$B,0)),"")</f>
        <v/>
      </c>
      <c r="AD24">
        <f>IFERROR(INDEX('DRAFT 1'!$Y:$Y,MATCH($B24,'DRAFT 1'!$B:$B,0)),"")</f>
        <v/>
      </c>
      <c r="AE24">
        <f>IFERROR(INDEX('DRAFT 1'!$Z:$Z,MATCH($B24,'DRAFT 1'!$B:$B,0)),"")</f>
        <v/>
      </c>
      <c r="AF24">
        <f>IFERROR(INDEX('DRAFT 1'!$AA:$AA,MATCH($B24,'DRAFT 1'!$B:$B,0)),"")</f>
        <v/>
      </c>
      <c r="AG24">
        <f>IFERROR(INDEX('DRAFT 1'!$AB:$AB,MATCH($B24,'DRAFT 1'!$B:$B,0)),"")</f>
        <v/>
      </c>
      <c r="AH24">
        <f>IFERROR(INDEX('DRAFT 1'!$AC:$AC,MATCH($B24,'DRAFT 1'!$B:$B,0)),"")</f>
        <v/>
      </c>
      <c r="AI24">
        <f>IFERROR(INDEX('DRAFT 1'!$AD:$AD,MATCH($B24,'DRAFT 1'!$B:$B,0)),"")</f>
        <v/>
      </c>
      <c r="AJ24">
        <f>IFERROR(INDEX('DRAFT 1'!$AE:$AE,MATCH($B24,'DRAFT 1'!$B:$B,0)),"")</f>
        <v/>
      </c>
      <c r="AK24">
        <f>IFERROR(INDEX('DRAFT 1'!$AG:$AG,MATCH($B24,'DRAFT 1'!$B:$B,0)),"")</f>
        <v/>
      </c>
      <c r="AL24">
        <f>IFERROR(INDEX('DRAFT 1'!$AH:$AH,MATCH($B24,'DRAFT 1'!$B:$B,0)),"")</f>
        <v/>
      </c>
      <c r="AM24">
        <f>IFERROR(INDEX('DRAFT 1'!$AI:$AI,MATCH($B24,'DRAFT 1'!$B:$B,0)),"")</f>
        <v/>
      </c>
      <c r="AN24">
        <f>IFERROR(INDEX('DRAFT 1'!$AJ:$AJ,MATCH($B24,'DRAFT 1'!$B:$B,0)),"")</f>
        <v/>
      </c>
      <c r="AO24">
        <f>IFERROR(Y24/AN24,0)</f>
        <v/>
      </c>
      <c r="AP24">
        <f>IFERROR(INDEX('DRAFT 1'!$AK:$AK,MATCH($B24,'DRAFT 1'!$B:$B,0)),"")</f>
        <v/>
      </c>
      <c r="AR24" t="inlineStr">
        <is>
          <t>RECUPERAÇÃO</t>
        </is>
      </c>
      <c r="AS24">
        <f>IFERROR(LOOKUP(2,1/('DRAFT 2'!$D:$D=$B24),'DRAFT 2'!$T:$T),"")</f>
        <v/>
      </c>
      <c r="AT24">
        <f>IFERROR(LOOKUP(2,1/('DRAFT 2'!$D:$D=$B24),'DRAFT 2'!$A:$A),"")</f>
        <v/>
      </c>
      <c r="AU24">
        <f>IFERROR(LOOKUP(2,1/('DRAFT 2'!$D:$D=$B24),'DRAFT 2'!$R:$R),"")</f>
        <v/>
      </c>
      <c r="AV24">
        <f>IFERROR(LOOKUP(2,1/('DRAFT 2'!$D:$D=$B24),'DRAFT 2'!$S:$S),"")</f>
        <v/>
      </c>
      <c r="AW24" t="inlineStr">
        <is>
          <t>FIDELIZADO</t>
        </is>
      </c>
      <c r="AX24">
        <f>IFERROR(LOOKUP(2,1/('DRAFT 2'!$D:$D=$B24),'DRAFT 2'!$M:$M),"")</f>
        <v/>
      </c>
      <c r="AY24">
        <f>IFERROR(LOOKUP(2,1/('DRAFT 2'!$D:$D=$B24),'DRAFT 2'!$K:$K),"")</f>
        <v/>
      </c>
      <c r="BG24">
        <f>IFERROR(LOOKUP(2,1/('DRAFT 2'!$D:$D=$B24),'DRAFT 2'!$U:$U),"")</f>
        <v/>
      </c>
      <c r="BH24">
        <f>IFERROR(LOOKUP(2,1/('DRAFT 2'!$D:$D=$B24),'DRAFT 2'!$V:$V),"")</f>
        <v/>
      </c>
      <c r="CE24">
        <f>IFERROR(AJ24,0)</f>
        <v/>
      </c>
      <c r="CF24">
        <f>IFERROR(LOOKUP(2,1/('DRAFT 2'!$D:$D=$B24)*('DRAFT 2'!$A:$A&gt;=DATE(2026,1,1))*('DRAFT 2'!$A:$A&lt;DATE(2026,IF(1=12,1+1,1+1),1)),'DRAFT 2'!$A:$A),"")</f>
        <v/>
      </c>
      <c r="CG24">
        <f>COUNTIFS('DRAFT 2'!$D:$D,$B24,'DRAFT 2'!$A:$A,"&gt;="&amp;DATE(2026,1,1),'DRAFT 2'!$A:$A,"&lt;="&amp;DATE(2026,1,7))</f>
        <v/>
      </c>
      <c r="CH24">
        <f>COUNTIFS('DRAFT 2'!$D:$D,$B24,'DRAFT 2'!$A:$A,"&gt;="&amp;DATE(2026,1,8),'DRAFT 2'!$A:$A,"&lt;="&amp;DATE(2026,1,14))</f>
        <v/>
      </c>
      <c r="CI24">
        <f>COUNTIFS('DRAFT 2'!$D:$D,$B24,'DRAFT 2'!$A:$A,"&gt;="&amp;DATE(2026,1,15),'DRAFT 2'!$A:$A,"&lt;="&amp;DATE(2026,1,21))</f>
        <v/>
      </c>
      <c r="CJ24">
        <f>COUNTIFS('DRAFT 2'!$D:$D,$B24,'DRAFT 2'!$A:$A,"&gt;="&amp;DATE(2026,1,22),'DRAFT 2'!$A:$A,"&lt;"&amp;DATE(2026,IF(1=12,1+1,1+1),1))</f>
        <v/>
      </c>
      <c r="CK24">
        <f>SUM(CG24:CJ24)</f>
        <v/>
      </c>
      <c r="CT24" t="n">
        <v>0</v>
      </c>
      <c r="CU24">
        <f>IFERROR(LOOKUP(2,1/('DRAFT 2'!$D:$D=$B24)*('DRAFT 2'!$A:$A&gt;=DATE(2026,2,1))*('DRAFT 2'!$A:$A&lt;DATE(2026,IF(2=12,2+1,2+1),1)),'DRAFT 2'!$A:$A),"")</f>
        <v/>
      </c>
      <c r="CV24">
        <f>COUNTIFS('DRAFT 2'!$D:$D,$B24,'DRAFT 2'!$A:$A,"&gt;="&amp;DATE(2026,2,1),'DRAFT 2'!$A:$A,"&lt;="&amp;DATE(2026,2,7))</f>
        <v/>
      </c>
      <c r="CW24">
        <f>COUNTIFS('DRAFT 2'!$D:$D,$B24,'DRAFT 2'!$A:$A,"&gt;="&amp;DATE(2026,2,8),'DRAFT 2'!$A:$A,"&lt;="&amp;DATE(2026,2,14))</f>
        <v/>
      </c>
      <c r="CX24">
        <f>COUNTIFS('DRAFT 2'!$D:$D,$B24,'DRAFT 2'!$A:$A,"&gt;="&amp;DATE(2026,2,15),'DRAFT 2'!$A:$A,"&lt;="&amp;DATE(2026,2,21))</f>
        <v/>
      </c>
      <c r="CY24">
        <f>COUNTIFS('DRAFT 2'!$D:$D,$B24,'DRAFT 2'!$A:$A,"&gt;="&amp;DATE(2026,2,22),'DRAFT 2'!$A:$A,"&lt;"&amp;DATE(2026,IF(2=12,2+1,2+1),1))</f>
        <v/>
      </c>
      <c r="CZ24">
        <f>SUM(CV24:CY24)</f>
        <v/>
      </c>
      <c r="DJ24">
        <f>IFERROR(LOOKUP(2,1/('DRAFT 2'!$D:$D=$B24)*('DRAFT 2'!$A:$A&gt;=DATE(2026,3,1))*('DRAFT 2'!$A:$A&lt;DATE(2026,IF(3=12,3+1,3+1),1)),'DRAFT 2'!$A:$A),"")</f>
        <v/>
      </c>
      <c r="DK24">
        <f>COUNTIFS('DRAFT 2'!$D:$D,$B24,'DRAFT 2'!$A:$A,"&gt;="&amp;DATE(2026,3,1),'DRAFT 2'!$A:$A,"&lt;="&amp;DATE(2026,3,7))</f>
        <v/>
      </c>
      <c r="DL24">
        <f>COUNTIFS('DRAFT 2'!$D:$D,$B24,'DRAFT 2'!$A:$A,"&gt;="&amp;DATE(2026,3,8),'DRAFT 2'!$A:$A,"&lt;="&amp;DATE(2026,3,14))</f>
        <v/>
      </c>
      <c r="DM24">
        <f>COUNTIFS('DRAFT 2'!$D:$D,$B24,'DRAFT 2'!$A:$A,"&gt;="&amp;DATE(2026,3,15),'DRAFT 2'!$A:$A,"&lt;="&amp;DATE(2026,3,21))</f>
        <v/>
      </c>
      <c r="DN24">
        <f>COUNTIFS('DRAFT 2'!$D:$D,$B24,'DRAFT 2'!$A:$A,"&gt;="&amp;DATE(2026,3,22),'DRAFT 2'!$A:$A,"&lt;"&amp;DATE(2026,IF(3=12,3+1,3+1),1))</f>
        <v/>
      </c>
      <c r="DO24">
        <f>SUM(DK24:DN24)</f>
        <v/>
      </c>
      <c r="DZ24">
        <f>IFERROR(LOOKUP(2,1/('DRAFT 2'!$D:$D=$B24)*('DRAFT 2'!$A:$A&gt;=DATE(2026,4,1))*('DRAFT 2'!$A:$A&lt;DATE(2026,IF(4=12,4+1,4+1),1)),'DRAFT 2'!$A:$A),"")</f>
        <v/>
      </c>
      <c r="EA24">
        <f>COUNTIFS('DRAFT 2'!$D:$D,$B24,'DRAFT 2'!$A:$A,"&gt;="&amp;DATE(2026,4,1),'DRAFT 2'!$A:$A,"&lt;="&amp;DATE(2026,4,7))</f>
        <v/>
      </c>
      <c r="EB24">
        <f>COUNTIFS('DRAFT 2'!$D:$D,$B24,'DRAFT 2'!$A:$A,"&gt;="&amp;DATE(2026,4,8),'DRAFT 2'!$A:$A,"&lt;="&amp;DATE(2026,4,14))</f>
        <v/>
      </c>
      <c r="EC24">
        <f>COUNTIFS('DRAFT 2'!$D:$D,$B24,'DRAFT 2'!$A:$A,"&gt;="&amp;DATE(2026,4,15),'DRAFT 2'!$A:$A,"&lt;="&amp;DATE(2026,4,21))</f>
        <v/>
      </c>
      <c r="ED24">
        <f>COUNTIFS('DRAFT 2'!$D:$D,$B24,'DRAFT 2'!$A:$A,"&gt;="&amp;DATE(2026,4,22),'DRAFT 2'!$A:$A,"&lt;"&amp;DATE(2026,IF(4=12,4+1,4+1),1))</f>
        <v/>
      </c>
      <c r="EE24">
        <f>SUM(EA24:ED24)</f>
        <v/>
      </c>
      <c r="EO24">
        <f>IFERROR(LOOKUP(2,1/('DRAFT 2'!$D:$D=$B24)*('DRAFT 2'!$A:$A&gt;=DATE(2026,5,1))*('DRAFT 2'!$A:$A&lt;DATE(2026,IF(5=12,5+1,5+1),1)),'DRAFT 2'!$A:$A),"")</f>
        <v/>
      </c>
      <c r="EP24">
        <f>COUNTIFS('DRAFT 2'!$D:$D,$B24,'DRAFT 2'!$A:$A,"&gt;="&amp;DATE(2026,5,1),'DRAFT 2'!$A:$A,"&lt;="&amp;DATE(2026,5,7))</f>
        <v/>
      </c>
      <c r="EQ24">
        <f>COUNTIFS('DRAFT 2'!$D:$D,$B24,'DRAFT 2'!$A:$A,"&gt;="&amp;DATE(2026,5,8),'DRAFT 2'!$A:$A,"&lt;="&amp;DATE(2026,5,14))</f>
        <v/>
      </c>
      <c r="ER24">
        <f>COUNTIFS('DRAFT 2'!$D:$D,$B24,'DRAFT 2'!$A:$A,"&gt;="&amp;DATE(2026,5,15),'DRAFT 2'!$A:$A,"&lt;="&amp;DATE(2026,5,21))</f>
        <v/>
      </c>
      <c r="ES24">
        <f>COUNTIFS('DRAFT 2'!$D:$D,$B24,'DRAFT 2'!$A:$A,"&gt;="&amp;DATE(2026,5,22),'DRAFT 2'!$A:$A,"&lt;"&amp;DATE(2026,IF(5=12,5+1,5+1),1))</f>
        <v/>
      </c>
      <c r="ET24">
        <f>SUM(EP24:ES24)</f>
        <v/>
      </c>
      <c r="FD24">
        <f>IFERROR(LOOKUP(2,1/('DRAFT 2'!$D:$D=$B24)*('DRAFT 2'!$A:$A&gt;=DATE(2026,6,1))*('DRAFT 2'!$A:$A&lt;DATE(2026,IF(6=12,6+1,6+1),1)),'DRAFT 2'!$A:$A),"")</f>
        <v/>
      </c>
      <c r="FE24">
        <f>COUNTIFS('DRAFT 2'!$D:$D,$B24,'DRAFT 2'!$A:$A,"&gt;="&amp;DATE(2026,6,1),'DRAFT 2'!$A:$A,"&lt;="&amp;DATE(2026,6,7))</f>
        <v/>
      </c>
      <c r="FF24">
        <f>COUNTIFS('DRAFT 2'!$D:$D,$B24,'DRAFT 2'!$A:$A,"&gt;="&amp;DATE(2026,6,8),'DRAFT 2'!$A:$A,"&lt;="&amp;DATE(2026,6,14))</f>
        <v/>
      </c>
      <c r="FG24">
        <f>COUNTIFS('DRAFT 2'!$D:$D,$B24,'DRAFT 2'!$A:$A,"&gt;="&amp;DATE(2026,6,15),'DRAFT 2'!$A:$A,"&lt;="&amp;DATE(2026,6,21))</f>
        <v/>
      </c>
      <c r="FH24">
        <f>COUNTIFS('DRAFT 2'!$D:$D,$B24,'DRAFT 2'!$A:$A,"&gt;="&amp;DATE(2026,6,22),'DRAFT 2'!$A:$A,"&lt;"&amp;DATE(2026,IF(6=12,6+1,6+1),1))</f>
        <v/>
      </c>
      <c r="FI24">
        <f>SUM(FE24:FH24)</f>
        <v/>
      </c>
      <c r="FT24">
        <f>IFERROR(LOOKUP(2,1/('DRAFT 2'!$D:$D=$B24)*('DRAFT 2'!$A:$A&gt;=DATE(2026,7,1))*('DRAFT 2'!$A:$A&lt;DATE(2026,IF(7=12,7+1,7+1),1)),'DRAFT 2'!$A:$A),"")</f>
        <v/>
      </c>
      <c r="FU24">
        <f>COUNTIFS('DRAFT 2'!$D:$D,$B24,'DRAFT 2'!$A:$A,"&gt;="&amp;DATE(2026,7,1),'DRAFT 2'!$A:$A,"&lt;="&amp;DATE(2026,7,7))</f>
        <v/>
      </c>
      <c r="FV24">
        <f>COUNTIFS('DRAFT 2'!$D:$D,$B24,'DRAFT 2'!$A:$A,"&gt;="&amp;DATE(2026,7,8),'DRAFT 2'!$A:$A,"&lt;="&amp;DATE(2026,7,14))</f>
        <v/>
      </c>
      <c r="FW24">
        <f>COUNTIFS('DRAFT 2'!$D:$D,$B24,'DRAFT 2'!$A:$A,"&gt;="&amp;DATE(2026,7,15),'DRAFT 2'!$A:$A,"&lt;="&amp;DATE(2026,7,21))</f>
        <v/>
      </c>
      <c r="FX24">
        <f>COUNTIFS('DRAFT 2'!$D:$D,$B24,'DRAFT 2'!$A:$A,"&gt;="&amp;DATE(2026,7,22),'DRAFT 2'!$A:$A,"&lt;"&amp;DATE(2026,IF(7=12,7+1,7+1),1))</f>
        <v/>
      </c>
      <c r="FY24">
        <f>SUM(FU24:FX24)</f>
        <v/>
      </c>
      <c r="GI24">
        <f>IFERROR(LOOKUP(2,1/('DRAFT 2'!$D:$D=$B24)*('DRAFT 2'!$A:$A&gt;=DATE(2026,8,1))*('DRAFT 2'!$A:$A&lt;DATE(2026,IF(8=12,8+1,8+1),1)),'DRAFT 2'!$A:$A),"")</f>
        <v/>
      </c>
      <c r="GJ24">
        <f>COUNTIFS('DRAFT 2'!$D:$D,$B24,'DRAFT 2'!$A:$A,"&gt;="&amp;DATE(2026,8,1),'DRAFT 2'!$A:$A,"&lt;="&amp;DATE(2026,8,7))</f>
        <v/>
      </c>
      <c r="GK24">
        <f>COUNTIFS('DRAFT 2'!$D:$D,$B24,'DRAFT 2'!$A:$A,"&gt;="&amp;DATE(2026,8,8),'DRAFT 2'!$A:$A,"&lt;="&amp;DATE(2026,8,14))</f>
        <v/>
      </c>
      <c r="GL24">
        <f>COUNTIFS('DRAFT 2'!$D:$D,$B24,'DRAFT 2'!$A:$A,"&gt;="&amp;DATE(2026,8,15),'DRAFT 2'!$A:$A,"&lt;="&amp;DATE(2026,8,21))</f>
        <v/>
      </c>
      <c r="GM24">
        <f>COUNTIFS('DRAFT 2'!$D:$D,$B24,'DRAFT 2'!$A:$A,"&gt;="&amp;DATE(2026,8,22),'DRAFT 2'!$A:$A,"&lt;"&amp;DATE(2026,IF(8=12,8+1,8+1),1))</f>
        <v/>
      </c>
      <c r="GN24">
        <f>SUM(GJ24:GM24)</f>
        <v/>
      </c>
      <c r="GX24">
        <f>IFERROR(LOOKUP(2,1/('DRAFT 2'!$D:$D=$B24)*('DRAFT 2'!$A:$A&gt;=DATE(2026,9,1))*('DRAFT 2'!$A:$A&lt;DATE(2026,IF(9=12,9+1,9+1),1)),'DRAFT 2'!$A:$A),"")</f>
        <v/>
      </c>
      <c r="GY24">
        <f>COUNTIFS('DRAFT 2'!$D:$D,$B24,'DRAFT 2'!$A:$A,"&gt;="&amp;DATE(2026,9,1),'DRAFT 2'!$A:$A,"&lt;="&amp;DATE(2026,9,7))</f>
        <v/>
      </c>
      <c r="GZ24">
        <f>COUNTIFS('DRAFT 2'!$D:$D,$B24,'DRAFT 2'!$A:$A,"&gt;="&amp;DATE(2026,9,8),'DRAFT 2'!$A:$A,"&lt;="&amp;DATE(2026,9,14))</f>
        <v/>
      </c>
      <c r="HA24">
        <f>COUNTIFS('DRAFT 2'!$D:$D,$B24,'DRAFT 2'!$A:$A,"&gt;="&amp;DATE(2026,9,15),'DRAFT 2'!$A:$A,"&lt;="&amp;DATE(2026,9,21))</f>
        <v/>
      </c>
      <c r="HB24">
        <f>COUNTIFS('DRAFT 2'!$D:$D,$B24,'DRAFT 2'!$A:$A,"&gt;="&amp;DATE(2026,9,22),'DRAFT 2'!$A:$A,"&lt;"&amp;DATE(2026,IF(9=12,9+1,9+1),1))</f>
        <v/>
      </c>
      <c r="HC24">
        <f>SUM(GY24:HB24)</f>
        <v/>
      </c>
      <c r="HN24">
        <f>IFERROR(LOOKUP(2,1/('DRAFT 2'!$D:$D=$B24)*('DRAFT 2'!$A:$A&gt;=DATE(2026,10,1))*('DRAFT 2'!$A:$A&lt;DATE(2026,IF(10=12,10+1,10+1),1)),'DRAFT 2'!$A:$A),"")</f>
        <v/>
      </c>
      <c r="HO24">
        <f>COUNTIFS('DRAFT 2'!$D:$D,$B24,'DRAFT 2'!$A:$A,"&gt;="&amp;DATE(2026,10,1),'DRAFT 2'!$A:$A,"&lt;="&amp;DATE(2026,10,7))</f>
        <v/>
      </c>
      <c r="HP24">
        <f>COUNTIFS('DRAFT 2'!$D:$D,$B24,'DRAFT 2'!$A:$A,"&gt;="&amp;DATE(2026,10,8),'DRAFT 2'!$A:$A,"&lt;="&amp;DATE(2026,10,14))</f>
        <v/>
      </c>
      <c r="HQ24">
        <f>COUNTIFS('DRAFT 2'!$D:$D,$B24,'DRAFT 2'!$A:$A,"&gt;="&amp;DATE(2026,10,15),'DRAFT 2'!$A:$A,"&lt;="&amp;DATE(2026,10,21))</f>
        <v/>
      </c>
      <c r="HR24">
        <f>COUNTIFS('DRAFT 2'!$D:$D,$B24,'DRAFT 2'!$A:$A,"&gt;="&amp;DATE(2026,10,22),'DRAFT 2'!$A:$A,"&lt;"&amp;DATE(2026,IF(10=12,10+1,10+1),1))</f>
        <v/>
      </c>
      <c r="HS24">
        <f>SUM(HO24:HR24)</f>
        <v/>
      </c>
      <c r="IC24">
        <f>IFERROR(LOOKUP(2,1/('DRAFT 2'!$D:$D=$B24)*('DRAFT 2'!$A:$A&gt;=DATE(2026,11,1))*('DRAFT 2'!$A:$A&lt;DATE(2026,IF(11=12,11+1,11+1),1)),'DRAFT 2'!$A:$A),"")</f>
        <v/>
      </c>
      <c r="ID24">
        <f>COUNTIFS('DRAFT 2'!$D:$D,$B24,'DRAFT 2'!$A:$A,"&gt;="&amp;DATE(2026,11,1),'DRAFT 2'!$A:$A,"&lt;="&amp;DATE(2026,11,7))</f>
        <v/>
      </c>
      <c r="IE24">
        <f>COUNTIFS('DRAFT 2'!$D:$D,$B24,'DRAFT 2'!$A:$A,"&gt;="&amp;DATE(2026,11,8),'DRAFT 2'!$A:$A,"&lt;="&amp;DATE(2026,11,14))</f>
        <v/>
      </c>
      <c r="IF24">
        <f>COUNTIFS('DRAFT 2'!$D:$D,$B24,'DRAFT 2'!$A:$A,"&gt;="&amp;DATE(2026,11,15),'DRAFT 2'!$A:$A,"&lt;="&amp;DATE(2026,11,21))</f>
        <v/>
      </c>
      <c r="IG24">
        <f>COUNTIFS('DRAFT 2'!$D:$D,$B24,'DRAFT 2'!$A:$A,"&gt;="&amp;DATE(2026,11,22),'DRAFT 2'!$A:$A,"&lt;"&amp;DATE(2026,IF(11=12,11+1,11+1),1))</f>
        <v/>
      </c>
      <c r="IH24">
        <f>SUM(ID24:IG24)</f>
        <v/>
      </c>
      <c r="IR24">
        <f>IFERROR(LOOKUP(2,1/('DRAFT 2'!$D:$D=$B24)*('DRAFT 2'!$A:$A&gt;=DATE(2026,12,1))*('DRAFT 2'!$A:$A&lt;DATE(2026,IF(12=12,12+1,12+1),1)),'DRAFT 2'!$A:$A),"")</f>
        <v/>
      </c>
      <c r="IS24">
        <f>COUNTIFS('DRAFT 2'!$D:$D,$B24,'DRAFT 2'!$A:$A,"&gt;="&amp;DATE(2026,12,1),'DRAFT 2'!$A:$A,"&lt;="&amp;DATE(2026,12,7))</f>
        <v/>
      </c>
      <c r="IT24">
        <f>COUNTIFS('DRAFT 2'!$D:$D,$B24,'DRAFT 2'!$A:$A,"&gt;="&amp;DATE(2026,12,8),'DRAFT 2'!$A:$A,"&lt;="&amp;DATE(2026,12,14))</f>
        <v/>
      </c>
      <c r="IU24">
        <f>COUNTIFS('DRAFT 2'!$D:$D,$B24,'DRAFT 2'!$A:$A,"&gt;="&amp;DATE(2026,12,15),'DRAFT 2'!$A:$A,"&lt;="&amp;DATE(2026,12,21))</f>
        <v/>
      </c>
      <c r="IV24">
        <f>COUNTIFS('DRAFT 2'!$D:$D,$B24,'DRAFT 2'!$A:$A,"&gt;="&amp;DATE(2026,12,22),'DRAFT 2'!$A:$A,"&lt;"&amp;DATE(2026,IF(12=12,12+1,12+1),1))</f>
        <v/>
      </c>
      <c r="IW24">
        <f>SUM(IS24:IV24)</f>
        <v/>
      </c>
    </row>
    <row r="25">
      <c r="A25">
        <f>IFERROR(INDEX('DRAFT 1'!$A:$A,MATCH($B25,'DRAFT 1'!$B:$B,0)),"")</f>
        <v/>
      </c>
      <c r="C25">
        <f>IFERROR(INDEX('DRAFT 1'!$C:$C,MATCH($B25,'DRAFT 1'!$B:$B,0)),"")</f>
        <v/>
      </c>
      <c r="D25">
        <f>IFERROR(INDEX('DRAFT 1'!$D:$D,MATCH($B25,'DRAFT 1'!$B:$B,0)),"")</f>
        <v/>
      </c>
      <c r="E25">
        <f>IFERROR(INDEX('DRAFT 1'!$E:$E,MATCH($B25,'DRAFT 1'!$B:$B,0)),"")</f>
        <v/>
      </c>
      <c r="F25">
        <f>IFERROR(INDEX('DRAFT 1'!$F:$F,MATCH($B25,'DRAFT 1'!$B:$B,0)),"")</f>
        <v/>
      </c>
      <c r="G25">
        <f>IFERROR(INDEX('DRAFT 1'!$G:$G,MATCH($B25,'DRAFT 1'!$B:$B,0)),"")</f>
        <v/>
      </c>
      <c r="H25">
        <f>IFERROR(INDEX('DRAFT 1'!$H:$H,MATCH($B25,'DRAFT 1'!$B:$B,0)),"")</f>
        <v/>
      </c>
      <c r="I25" t="inlineStr">
        <is>
          <t>DIVINA TERRA</t>
        </is>
      </c>
      <c r="K25">
        <f>IFERROR(INDEX('DRAFT 1'!$AL:$AL,MATCH($B25,'DRAFT 1'!$B:$B,0)),"")</f>
        <v/>
      </c>
      <c r="L25">
        <f>IFERROR(INDEX('DRAFT 1'!$J:$J,MATCH($B25,'DRAFT 1'!$B:$B,0)),"")</f>
        <v/>
      </c>
      <c r="M25">
        <f>IFERROR(INDEX('DRAFT 1'!$K:$K,MATCH($B25,'DRAFT 1'!$B:$B,0)),"")</f>
        <v/>
      </c>
      <c r="N25" t="inlineStr">
        <is>
          <t>ATIVO</t>
        </is>
      </c>
      <c r="P25">
        <f>IFERROR(INDEX('DRAFT 1'!$L:$L,MATCH($B25,'DRAFT 1'!$B:$B,0)),"")</f>
        <v/>
      </c>
      <c r="Q25">
        <f>IFERROR(INDEX('DRAFT 1'!$M:$M,MATCH($B25,'DRAFT 1'!$B:$B,0)),"")</f>
        <v/>
      </c>
      <c r="R25">
        <f>IFERROR(INDEX('DRAFT 1'!$N:$N,MATCH($B25,'DRAFT 1'!$B:$B,0)),"")</f>
        <v/>
      </c>
      <c r="S25">
        <f>IFERROR(INDEX('DRAFT 1'!$O:$O,MATCH($B25,'DRAFT 1'!$B:$B,0)),"")</f>
        <v/>
      </c>
      <c r="T25">
        <f>IFERROR(INDEX('DRAFT 1'!$P:$P,MATCH($B25,'DRAFT 1'!$B:$B,0)),"")</f>
        <v/>
      </c>
      <c r="U25">
        <f>IFERROR(INDEX('DRAFT 1'!$Q:$Q,MATCH($B25,'DRAFT 1'!$B:$B,0)),"")</f>
        <v/>
      </c>
      <c r="V25">
        <f>IFERROR(INDEX('DRAFT 1'!$R:$R,MATCH($B25,'DRAFT 1'!$B:$B,0)),"")</f>
        <v/>
      </c>
      <c r="W25">
        <f>IFERROR(INDEX('DRAFT 1'!$S:$S,MATCH($B25,'DRAFT 1'!$B:$B,0)),"")</f>
        <v/>
      </c>
      <c r="X25">
        <f>IFERROR(INDEX('DRAFT 1'!$T:$T,MATCH($B25,'DRAFT 1'!$B:$B,0)),"")</f>
        <v/>
      </c>
      <c r="Z25">
        <f>IFERROR(INDEX('DRAFT 1'!$U:$U,MATCH($B25,'DRAFT 1'!$B:$B,0)),"")</f>
        <v/>
      </c>
      <c r="AA25">
        <f>IFERROR(INDEX('DRAFT 1'!$V:$V,MATCH($B25,'DRAFT 1'!$B:$B,0)),"")</f>
        <v/>
      </c>
      <c r="AB25">
        <f>IFERROR(INDEX('DRAFT 1'!$W:$W,MATCH($B25,'DRAFT 1'!$B:$B,0)),"")</f>
        <v/>
      </c>
      <c r="AC25">
        <f>IFERROR(INDEX('DRAFT 1'!$X:$X,MATCH($B25,'DRAFT 1'!$B:$B,0)),"")</f>
        <v/>
      </c>
      <c r="AD25">
        <f>IFERROR(INDEX('DRAFT 1'!$Y:$Y,MATCH($B25,'DRAFT 1'!$B:$B,0)),"")</f>
        <v/>
      </c>
      <c r="AE25">
        <f>IFERROR(INDEX('DRAFT 1'!$Z:$Z,MATCH($B25,'DRAFT 1'!$B:$B,0)),"")</f>
        <v/>
      </c>
      <c r="AF25">
        <f>IFERROR(INDEX('DRAFT 1'!$AA:$AA,MATCH($B25,'DRAFT 1'!$B:$B,0)),"")</f>
        <v/>
      </c>
      <c r="AG25">
        <f>IFERROR(INDEX('DRAFT 1'!$AB:$AB,MATCH($B25,'DRAFT 1'!$B:$B,0)),"")</f>
        <v/>
      </c>
      <c r="AH25">
        <f>IFERROR(INDEX('DRAFT 1'!$AC:$AC,MATCH($B25,'DRAFT 1'!$B:$B,0)),"")</f>
        <v/>
      </c>
      <c r="AI25">
        <f>IFERROR(INDEX('DRAFT 1'!$AD:$AD,MATCH($B25,'DRAFT 1'!$B:$B,0)),"")</f>
        <v/>
      </c>
      <c r="AJ25">
        <f>IFERROR(INDEX('DRAFT 1'!$AE:$AE,MATCH($B25,'DRAFT 1'!$B:$B,0)),"")</f>
        <v/>
      </c>
      <c r="AK25">
        <f>IFERROR(INDEX('DRAFT 1'!$AG:$AG,MATCH($B25,'DRAFT 1'!$B:$B,0)),"")</f>
        <v/>
      </c>
      <c r="AL25">
        <f>IFERROR(INDEX('DRAFT 1'!$AH:$AH,MATCH($B25,'DRAFT 1'!$B:$B,0)),"")</f>
        <v/>
      </c>
      <c r="AM25">
        <f>IFERROR(INDEX('DRAFT 1'!$AI:$AI,MATCH($B25,'DRAFT 1'!$B:$B,0)),"")</f>
        <v/>
      </c>
      <c r="AN25">
        <f>IFERROR(INDEX('DRAFT 1'!$AJ:$AJ,MATCH($B25,'DRAFT 1'!$B:$B,0)),"")</f>
        <v/>
      </c>
      <c r="AO25">
        <f>IFERROR(Y25/AN25,0)</f>
        <v/>
      </c>
      <c r="AP25">
        <f>IFERROR(INDEX('DRAFT 1'!$AK:$AK,MATCH($B25,'DRAFT 1'!$B:$B,0)),"")</f>
        <v/>
      </c>
      <c r="AR25" t="inlineStr">
        <is>
          <t>RECUPERAÇÃO</t>
        </is>
      </c>
      <c r="AS25">
        <f>IFERROR(LOOKUP(2,1/('DRAFT 2'!$D:$D=$B25),'DRAFT 2'!$T:$T),"")</f>
        <v/>
      </c>
      <c r="AT25">
        <f>IFERROR(LOOKUP(2,1/('DRAFT 2'!$D:$D=$B25),'DRAFT 2'!$A:$A),"")</f>
        <v/>
      </c>
      <c r="AU25">
        <f>IFERROR(LOOKUP(2,1/('DRAFT 2'!$D:$D=$B25),'DRAFT 2'!$R:$R),"")</f>
        <v/>
      </c>
      <c r="AV25">
        <f>IFERROR(LOOKUP(2,1/('DRAFT 2'!$D:$D=$B25),'DRAFT 2'!$S:$S),"")</f>
        <v/>
      </c>
      <c r="AW25" t="inlineStr">
        <is>
          <t>EM DESENVOLVIMENTO</t>
        </is>
      </c>
      <c r="AX25">
        <f>IFERROR(LOOKUP(2,1/('DRAFT 2'!$D:$D=$B25),'DRAFT 2'!$M:$M),"")</f>
        <v/>
      </c>
      <c r="AY25">
        <f>IFERROR(LOOKUP(2,1/('DRAFT 2'!$D:$D=$B25),'DRAFT 2'!$K:$K),"")</f>
        <v/>
      </c>
      <c r="BG25">
        <f>IFERROR(LOOKUP(2,1/('DRAFT 2'!$D:$D=$B25),'DRAFT 2'!$U:$U),"")</f>
        <v/>
      </c>
      <c r="BH25">
        <f>IFERROR(LOOKUP(2,1/('DRAFT 2'!$D:$D=$B25),'DRAFT 2'!$V:$V),"")</f>
        <v/>
      </c>
      <c r="CE25">
        <f>IFERROR(AJ25,0)</f>
        <v/>
      </c>
      <c r="CF25">
        <f>IFERROR(LOOKUP(2,1/('DRAFT 2'!$D:$D=$B25)*('DRAFT 2'!$A:$A&gt;=DATE(2026,1,1))*('DRAFT 2'!$A:$A&lt;DATE(2026,IF(1=12,1+1,1+1),1)),'DRAFT 2'!$A:$A),"")</f>
        <v/>
      </c>
      <c r="CG25">
        <f>COUNTIFS('DRAFT 2'!$D:$D,$B25,'DRAFT 2'!$A:$A,"&gt;="&amp;DATE(2026,1,1),'DRAFT 2'!$A:$A,"&lt;="&amp;DATE(2026,1,7))</f>
        <v/>
      </c>
      <c r="CH25">
        <f>COUNTIFS('DRAFT 2'!$D:$D,$B25,'DRAFT 2'!$A:$A,"&gt;="&amp;DATE(2026,1,8),'DRAFT 2'!$A:$A,"&lt;="&amp;DATE(2026,1,14))</f>
        <v/>
      </c>
      <c r="CI25">
        <f>COUNTIFS('DRAFT 2'!$D:$D,$B25,'DRAFT 2'!$A:$A,"&gt;="&amp;DATE(2026,1,15),'DRAFT 2'!$A:$A,"&lt;="&amp;DATE(2026,1,21))</f>
        <v/>
      </c>
      <c r="CJ25">
        <f>COUNTIFS('DRAFT 2'!$D:$D,$B25,'DRAFT 2'!$A:$A,"&gt;="&amp;DATE(2026,1,22),'DRAFT 2'!$A:$A,"&lt;"&amp;DATE(2026,IF(1=12,1+1,1+1),1))</f>
        <v/>
      </c>
      <c r="CK25">
        <f>SUM(CG25:CJ25)</f>
        <v/>
      </c>
      <c r="CT25" t="n">
        <v>0</v>
      </c>
      <c r="CU25">
        <f>IFERROR(LOOKUP(2,1/('DRAFT 2'!$D:$D=$B25)*('DRAFT 2'!$A:$A&gt;=DATE(2026,2,1))*('DRAFT 2'!$A:$A&lt;DATE(2026,IF(2=12,2+1,2+1),1)),'DRAFT 2'!$A:$A),"")</f>
        <v/>
      </c>
      <c r="CV25">
        <f>COUNTIFS('DRAFT 2'!$D:$D,$B25,'DRAFT 2'!$A:$A,"&gt;="&amp;DATE(2026,2,1),'DRAFT 2'!$A:$A,"&lt;="&amp;DATE(2026,2,7))</f>
        <v/>
      </c>
      <c r="CW25">
        <f>COUNTIFS('DRAFT 2'!$D:$D,$B25,'DRAFT 2'!$A:$A,"&gt;="&amp;DATE(2026,2,8),'DRAFT 2'!$A:$A,"&lt;="&amp;DATE(2026,2,14))</f>
        <v/>
      </c>
      <c r="CX25">
        <f>COUNTIFS('DRAFT 2'!$D:$D,$B25,'DRAFT 2'!$A:$A,"&gt;="&amp;DATE(2026,2,15),'DRAFT 2'!$A:$A,"&lt;="&amp;DATE(2026,2,21))</f>
        <v/>
      </c>
      <c r="CY25">
        <f>COUNTIFS('DRAFT 2'!$D:$D,$B25,'DRAFT 2'!$A:$A,"&gt;="&amp;DATE(2026,2,22),'DRAFT 2'!$A:$A,"&lt;"&amp;DATE(2026,IF(2=12,2+1,2+1),1))</f>
        <v/>
      </c>
      <c r="CZ25">
        <f>SUM(CV25:CY25)</f>
        <v/>
      </c>
      <c r="DJ25">
        <f>IFERROR(LOOKUP(2,1/('DRAFT 2'!$D:$D=$B25)*('DRAFT 2'!$A:$A&gt;=DATE(2026,3,1))*('DRAFT 2'!$A:$A&lt;DATE(2026,IF(3=12,3+1,3+1),1)),'DRAFT 2'!$A:$A),"")</f>
        <v/>
      </c>
      <c r="DK25">
        <f>COUNTIFS('DRAFT 2'!$D:$D,$B25,'DRAFT 2'!$A:$A,"&gt;="&amp;DATE(2026,3,1),'DRAFT 2'!$A:$A,"&lt;="&amp;DATE(2026,3,7))</f>
        <v/>
      </c>
      <c r="DL25">
        <f>COUNTIFS('DRAFT 2'!$D:$D,$B25,'DRAFT 2'!$A:$A,"&gt;="&amp;DATE(2026,3,8),'DRAFT 2'!$A:$A,"&lt;="&amp;DATE(2026,3,14))</f>
        <v/>
      </c>
      <c r="DM25">
        <f>COUNTIFS('DRAFT 2'!$D:$D,$B25,'DRAFT 2'!$A:$A,"&gt;="&amp;DATE(2026,3,15),'DRAFT 2'!$A:$A,"&lt;="&amp;DATE(2026,3,21))</f>
        <v/>
      </c>
      <c r="DN25">
        <f>COUNTIFS('DRAFT 2'!$D:$D,$B25,'DRAFT 2'!$A:$A,"&gt;="&amp;DATE(2026,3,22),'DRAFT 2'!$A:$A,"&lt;"&amp;DATE(2026,IF(3=12,3+1,3+1),1))</f>
        <v/>
      </c>
      <c r="DO25">
        <f>SUM(DK25:DN25)</f>
        <v/>
      </c>
      <c r="DZ25">
        <f>IFERROR(LOOKUP(2,1/('DRAFT 2'!$D:$D=$B25)*('DRAFT 2'!$A:$A&gt;=DATE(2026,4,1))*('DRAFT 2'!$A:$A&lt;DATE(2026,IF(4=12,4+1,4+1),1)),'DRAFT 2'!$A:$A),"")</f>
        <v/>
      </c>
      <c r="EA25">
        <f>COUNTIFS('DRAFT 2'!$D:$D,$B25,'DRAFT 2'!$A:$A,"&gt;="&amp;DATE(2026,4,1),'DRAFT 2'!$A:$A,"&lt;="&amp;DATE(2026,4,7))</f>
        <v/>
      </c>
      <c r="EB25">
        <f>COUNTIFS('DRAFT 2'!$D:$D,$B25,'DRAFT 2'!$A:$A,"&gt;="&amp;DATE(2026,4,8),'DRAFT 2'!$A:$A,"&lt;="&amp;DATE(2026,4,14))</f>
        <v/>
      </c>
      <c r="EC25">
        <f>COUNTIFS('DRAFT 2'!$D:$D,$B25,'DRAFT 2'!$A:$A,"&gt;="&amp;DATE(2026,4,15),'DRAFT 2'!$A:$A,"&lt;="&amp;DATE(2026,4,21))</f>
        <v/>
      </c>
      <c r="ED25">
        <f>COUNTIFS('DRAFT 2'!$D:$D,$B25,'DRAFT 2'!$A:$A,"&gt;="&amp;DATE(2026,4,22),'DRAFT 2'!$A:$A,"&lt;"&amp;DATE(2026,IF(4=12,4+1,4+1),1))</f>
        <v/>
      </c>
      <c r="EE25">
        <f>SUM(EA25:ED25)</f>
        <v/>
      </c>
      <c r="EO25">
        <f>IFERROR(LOOKUP(2,1/('DRAFT 2'!$D:$D=$B25)*('DRAFT 2'!$A:$A&gt;=DATE(2026,5,1))*('DRAFT 2'!$A:$A&lt;DATE(2026,IF(5=12,5+1,5+1),1)),'DRAFT 2'!$A:$A),"")</f>
        <v/>
      </c>
      <c r="EP25">
        <f>COUNTIFS('DRAFT 2'!$D:$D,$B25,'DRAFT 2'!$A:$A,"&gt;="&amp;DATE(2026,5,1),'DRAFT 2'!$A:$A,"&lt;="&amp;DATE(2026,5,7))</f>
        <v/>
      </c>
      <c r="EQ25">
        <f>COUNTIFS('DRAFT 2'!$D:$D,$B25,'DRAFT 2'!$A:$A,"&gt;="&amp;DATE(2026,5,8),'DRAFT 2'!$A:$A,"&lt;="&amp;DATE(2026,5,14))</f>
        <v/>
      </c>
      <c r="ER25">
        <f>COUNTIFS('DRAFT 2'!$D:$D,$B25,'DRAFT 2'!$A:$A,"&gt;="&amp;DATE(2026,5,15),'DRAFT 2'!$A:$A,"&lt;="&amp;DATE(2026,5,21))</f>
        <v/>
      </c>
      <c r="ES25">
        <f>COUNTIFS('DRAFT 2'!$D:$D,$B25,'DRAFT 2'!$A:$A,"&gt;="&amp;DATE(2026,5,22),'DRAFT 2'!$A:$A,"&lt;"&amp;DATE(2026,IF(5=12,5+1,5+1),1))</f>
        <v/>
      </c>
      <c r="ET25">
        <f>SUM(EP25:ES25)</f>
        <v/>
      </c>
      <c r="FD25">
        <f>IFERROR(LOOKUP(2,1/('DRAFT 2'!$D:$D=$B25)*('DRAFT 2'!$A:$A&gt;=DATE(2026,6,1))*('DRAFT 2'!$A:$A&lt;DATE(2026,IF(6=12,6+1,6+1),1)),'DRAFT 2'!$A:$A),"")</f>
        <v/>
      </c>
      <c r="FE25">
        <f>COUNTIFS('DRAFT 2'!$D:$D,$B25,'DRAFT 2'!$A:$A,"&gt;="&amp;DATE(2026,6,1),'DRAFT 2'!$A:$A,"&lt;="&amp;DATE(2026,6,7))</f>
        <v/>
      </c>
      <c r="FF25">
        <f>COUNTIFS('DRAFT 2'!$D:$D,$B25,'DRAFT 2'!$A:$A,"&gt;="&amp;DATE(2026,6,8),'DRAFT 2'!$A:$A,"&lt;="&amp;DATE(2026,6,14))</f>
        <v/>
      </c>
      <c r="FG25">
        <f>COUNTIFS('DRAFT 2'!$D:$D,$B25,'DRAFT 2'!$A:$A,"&gt;="&amp;DATE(2026,6,15),'DRAFT 2'!$A:$A,"&lt;="&amp;DATE(2026,6,21))</f>
        <v/>
      </c>
      <c r="FH25">
        <f>COUNTIFS('DRAFT 2'!$D:$D,$B25,'DRAFT 2'!$A:$A,"&gt;="&amp;DATE(2026,6,22),'DRAFT 2'!$A:$A,"&lt;"&amp;DATE(2026,IF(6=12,6+1,6+1),1))</f>
        <v/>
      </c>
      <c r="FI25">
        <f>SUM(FE25:FH25)</f>
        <v/>
      </c>
      <c r="FT25">
        <f>IFERROR(LOOKUP(2,1/('DRAFT 2'!$D:$D=$B25)*('DRAFT 2'!$A:$A&gt;=DATE(2026,7,1))*('DRAFT 2'!$A:$A&lt;DATE(2026,IF(7=12,7+1,7+1),1)),'DRAFT 2'!$A:$A),"")</f>
        <v/>
      </c>
      <c r="FU25">
        <f>COUNTIFS('DRAFT 2'!$D:$D,$B25,'DRAFT 2'!$A:$A,"&gt;="&amp;DATE(2026,7,1),'DRAFT 2'!$A:$A,"&lt;="&amp;DATE(2026,7,7))</f>
        <v/>
      </c>
      <c r="FV25">
        <f>COUNTIFS('DRAFT 2'!$D:$D,$B25,'DRAFT 2'!$A:$A,"&gt;="&amp;DATE(2026,7,8),'DRAFT 2'!$A:$A,"&lt;="&amp;DATE(2026,7,14))</f>
        <v/>
      </c>
      <c r="FW25">
        <f>COUNTIFS('DRAFT 2'!$D:$D,$B25,'DRAFT 2'!$A:$A,"&gt;="&amp;DATE(2026,7,15),'DRAFT 2'!$A:$A,"&lt;="&amp;DATE(2026,7,21))</f>
        <v/>
      </c>
      <c r="FX25">
        <f>COUNTIFS('DRAFT 2'!$D:$D,$B25,'DRAFT 2'!$A:$A,"&gt;="&amp;DATE(2026,7,22),'DRAFT 2'!$A:$A,"&lt;"&amp;DATE(2026,IF(7=12,7+1,7+1),1))</f>
        <v/>
      </c>
      <c r="FY25">
        <f>SUM(FU25:FX25)</f>
        <v/>
      </c>
      <c r="GI25">
        <f>IFERROR(LOOKUP(2,1/('DRAFT 2'!$D:$D=$B25)*('DRAFT 2'!$A:$A&gt;=DATE(2026,8,1))*('DRAFT 2'!$A:$A&lt;DATE(2026,IF(8=12,8+1,8+1),1)),'DRAFT 2'!$A:$A),"")</f>
        <v/>
      </c>
      <c r="GJ25">
        <f>COUNTIFS('DRAFT 2'!$D:$D,$B25,'DRAFT 2'!$A:$A,"&gt;="&amp;DATE(2026,8,1),'DRAFT 2'!$A:$A,"&lt;="&amp;DATE(2026,8,7))</f>
        <v/>
      </c>
      <c r="GK25">
        <f>COUNTIFS('DRAFT 2'!$D:$D,$B25,'DRAFT 2'!$A:$A,"&gt;="&amp;DATE(2026,8,8),'DRAFT 2'!$A:$A,"&lt;="&amp;DATE(2026,8,14))</f>
        <v/>
      </c>
      <c r="GL25">
        <f>COUNTIFS('DRAFT 2'!$D:$D,$B25,'DRAFT 2'!$A:$A,"&gt;="&amp;DATE(2026,8,15),'DRAFT 2'!$A:$A,"&lt;="&amp;DATE(2026,8,21))</f>
        <v/>
      </c>
      <c r="GM25">
        <f>COUNTIFS('DRAFT 2'!$D:$D,$B25,'DRAFT 2'!$A:$A,"&gt;="&amp;DATE(2026,8,22),'DRAFT 2'!$A:$A,"&lt;"&amp;DATE(2026,IF(8=12,8+1,8+1),1))</f>
        <v/>
      </c>
      <c r="GN25">
        <f>SUM(GJ25:GM25)</f>
        <v/>
      </c>
      <c r="GX25">
        <f>IFERROR(LOOKUP(2,1/('DRAFT 2'!$D:$D=$B25)*('DRAFT 2'!$A:$A&gt;=DATE(2026,9,1))*('DRAFT 2'!$A:$A&lt;DATE(2026,IF(9=12,9+1,9+1),1)),'DRAFT 2'!$A:$A),"")</f>
        <v/>
      </c>
      <c r="GY25">
        <f>COUNTIFS('DRAFT 2'!$D:$D,$B25,'DRAFT 2'!$A:$A,"&gt;="&amp;DATE(2026,9,1),'DRAFT 2'!$A:$A,"&lt;="&amp;DATE(2026,9,7))</f>
        <v/>
      </c>
      <c r="GZ25">
        <f>COUNTIFS('DRAFT 2'!$D:$D,$B25,'DRAFT 2'!$A:$A,"&gt;="&amp;DATE(2026,9,8),'DRAFT 2'!$A:$A,"&lt;="&amp;DATE(2026,9,14))</f>
        <v/>
      </c>
      <c r="HA25">
        <f>COUNTIFS('DRAFT 2'!$D:$D,$B25,'DRAFT 2'!$A:$A,"&gt;="&amp;DATE(2026,9,15),'DRAFT 2'!$A:$A,"&lt;="&amp;DATE(2026,9,21))</f>
        <v/>
      </c>
      <c r="HB25">
        <f>COUNTIFS('DRAFT 2'!$D:$D,$B25,'DRAFT 2'!$A:$A,"&gt;="&amp;DATE(2026,9,22),'DRAFT 2'!$A:$A,"&lt;"&amp;DATE(2026,IF(9=12,9+1,9+1),1))</f>
        <v/>
      </c>
      <c r="HC25">
        <f>SUM(GY25:HB25)</f>
        <v/>
      </c>
      <c r="HN25">
        <f>IFERROR(LOOKUP(2,1/('DRAFT 2'!$D:$D=$B25)*('DRAFT 2'!$A:$A&gt;=DATE(2026,10,1))*('DRAFT 2'!$A:$A&lt;DATE(2026,IF(10=12,10+1,10+1),1)),'DRAFT 2'!$A:$A),"")</f>
        <v/>
      </c>
      <c r="HO25">
        <f>COUNTIFS('DRAFT 2'!$D:$D,$B25,'DRAFT 2'!$A:$A,"&gt;="&amp;DATE(2026,10,1),'DRAFT 2'!$A:$A,"&lt;="&amp;DATE(2026,10,7))</f>
        <v/>
      </c>
      <c r="HP25">
        <f>COUNTIFS('DRAFT 2'!$D:$D,$B25,'DRAFT 2'!$A:$A,"&gt;="&amp;DATE(2026,10,8),'DRAFT 2'!$A:$A,"&lt;="&amp;DATE(2026,10,14))</f>
        <v/>
      </c>
      <c r="HQ25">
        <f>COUNTIFS('DRAFT 2'!$D:$D,$B25,'DRAFT 2'!$A:$A,"&gt;="&amp;DATE(2026,10,15),'DRAFT 2'!$A:$A,"&lt;="&amp;DATE(2026,10,21))</f>
        <v/>
      </c>
      <c r="HR25">
        <f>COUNTIFS('DRAFT 2'!$D:$D,$B25,'DRAFT 2'!$A:$A,"&gt;="&amp;DATE(2026,10,22),'DRAFT 2'!$A:$A,"&lt;"&amp;DATE(2026,IF(10=12,10+1,10+1),1))</f>
        <v/>
      </c>
      <c r="HS25">
        <f>SUM(HO25:HR25)</f>
        <v/>
      </c>
      <c r="IC25">
        <f>IFERROR(LOOKUP(2,1/('DRAFT 2'!$D:$D=$B25)*('DRAFT 2'!$A:$A&gt;=DATE(2026,11,1))*('DRAFT 2'!$A:$A&lt;DATE(2026,IF(11=12,11+1,11+1),1)),'DRAFT 2'!$A:$A),"")</f>
        <v/>
      </c>
      <c r="ID25">
        <f>COUNTIFS('DRAFT 2'!$D:$D,$B25,'DRAFT 2'!$A:$A,"&gt;="&amp;DATE(2026,11,1),'DRAFT 2'!$A:$A,"&lt;="&amp;DATE(2026,11,7))</f>
        <v/>
      </c>
      <c r="IE25">
        <f>COUNTIFS('DRAFT 2'!$D:$D,$B25,'DRAFT 2'!$A:$A,"&gt;="&amp;DATE(2026,11,8),'DRAFT 2'!$A:$A,"&lt;="&amp;DATE(2026,11,14))</f>
        <v/>
      </c>
      <c r="IF25">
        <f>COUNTIFS('DRAFT 2'!$D:$D,$B25,'DRAFT 2'!$A:$A,"&gt;="&amp;DATE(2026,11,15),'DRAFT 2'!$A:$A,"&lt;="&amp;DATE(2026,11,21))</f>
        <v/>
      </c>
      <c r="IG25">
        <f>COUNTIFS('DRAFT 2'!$D:$D,$B25,'DRAFT 2'!$A:$A,"&gt;="&amp;DATE(2026,11,22),'DRAFT 2'!$A:$A,"&lt;"&amp;DATE(2026,IF(11=12,11+1,11+1),1))</f>
        <v/>
      </c>
      <c r="IH25">
        <f>SUM(ID25:IG25)</f>
        <v/>
      </c>
      <c r="IR25">
        <f>IFERROR(LOOKUP(2,1/('DRAFT 2'!$D:$D=$B25)*('DRAFT 2'!$A:$A&gt;=DATE(2026,12,1))*('DRAFT 2'!$A:$A&lt;DATE(2026,IF(12=12,12+1,12+1),1)),'DRAFT 2'!$A:$A),"")</f>
        <v/>
      </c>
      <c r="IS25">
        <f>COUNTIFS('DRAFT 2'!$D:$D,$B25,'DRAFT 2'!$A:$A,"&gt;="&amp;DATE(2026,12,1),'DRAFT 2'!$A:$A,"&lt;="&amp;DATE(2026,12,7))</f>
        <v/>
      </c>
      <c r="IT25">
        <f>COUNTIFS('DRAFT 2'!$D:$D,$B25,'DRAFT 2'!$A:$A,"&gt;="&amp;DATE(2026,12,8),'DRAFT 2'!$A:$A,"&lt;="&amp;DATE(2026,12,14))</f>
        <v/>
      </c>
      <c r="IU25">
        <f>COUNTIFS('DRAFT 2'!$D:$D,$B25,'DRAFT 2'!$A:$A,"&gt;="&amp;DATE(2026,12,15),'DRAFT 2'!$A:$A,"&lt;="&amp;DATE(2026,12,21))</f>
        <v/>
      </c>
      <c r="IV25">
        <f>COUNTIFS('DRAFT 2'!$D:$D,$B25,'DRAFT 2'!$A:$A,"&gt;="&amp;DATE(2026,12,22),'DRAFT 2'!$A:$A,"&lt;"&amp;DATE(2026,IF(12=12,12+1,12+1),1))</f>
        <v/>
      </c>
      <c r="IW25">
        <f>SUM(IS25:IV25)</f>
        <v/>
      </c>
    </row>
    <row r="26">
      <c r="A26">
        <f>IFERROR(INDEX('DRAFT 1'!$A:$A,MATCH($B26,'DRAFT 1'!$B:$B,0)),"")</f>
        <v/>
      </c>
      <c r="C26">
        <f>IFERROR(INDEX('DRAFT 1'!$C:$C,MATCH($B26,'DRAFT 1'!$B:$B,0)),"")</f>
        <v/>
      </c>
      <c r="D26">
        <f>IFERROR(INDEX('DRAFT 1'!$D:$D,MATCH($B26,'DRAFT 1'!$B:$B,0)),"")</f>
        <v/>
      </c>
      <c r="E26">
        <f>IFERROR(INDEX('DRAFT 1'!$E:$E,MATCH($B26,'DRAFT 1'!$B:$B,0)),"")</f>
        <v/>
      </c>
      <c r="F26">
        <f>IFERROR(INDEX('DRAFT 1'!$F:$F,MATCH($B26,'DRAFT 1'!$B:$B,0)),"")</f>
        <v/>
      </c>
      <c r="G26">
        <f>IFERROR(INDEX('DRAFT 1'!$G:$G,MATCH($B26,'DRAFT 1'!$B:$B,0)),"")</f>
        <v/>
      </c>
      <c r="H26">
        <f>IFERROR(INDEX('DRAFT 1'!$H:$H,MATCH($B26,'DRAFT 1'!$B:$B,0)),"")</f>
        <v/>
      </c>
      <c r="I26" t="inlineStr">
        <is>
          <t>MUNDO VERDE</t>
        </is>
      </c>
      <c r="K26">
        <f>IFERROR(INDEX('DRAFT 1'!$AL:$AL,MATCH($B26,'DRAFT 1'!$B:$B,0)),"")</f>
        <v/>
      </c>
      <c r="L26">
        <f>IFERROR(INDEX('DRAFT 1'!$J:$J,MATCH($B26,'DRAFT 1'!$B:$B,0)),"")</f>
        <v/>
      </c>
      <c r="M26">
        <f>IFERROR(INDEX('DRAFT 1'!$K:$K,MATCH($B26,'DRAFT 1'!$B:$B,0)),"")</f>
        <v/>
      </c>
      <c r="N26" t="inlineStr">
        <is>
          <t>EM RISCO</t>
        </is>
      </c>
      <c r="P26">
        <f>IFERROR(INDEX('DRAFT 1'!$L:$L,MATCH($B26,'DRAFT 1'!$B:$B,0)),"")</f>
        <v/>
      </c>
      <c r="Q26">
        <f>IFERROR(INDEX('DRAFT 1'!$M:$M,MATCH($B26,'DRAFT 1'!$B:$B,0)),"")</f>
        <v/>
      </c>
      <c r="R26">
        <f>IFERROR(INDEX('DRAFT 1'!$N:$N,MATCH($B26,'DRAFT 1'!$B:$B,0)),"")</f>
        <v/>
      </c>
      <c r="S26">
        <f>IFERROR(INDEX('DRAFT 1'!$O:$O,MATCH($B26,'DRAFT 1'!$B:$B,0)),"")</f>
        <v/>
      </c>
      <c r="T26">
        <f>IFERROR(INDEX('DRAFT 1'!$P:$P,MATCH($B26,'DRAFT 1'!$B:$B,0)),"")</f>
        <v/>
      </c>
      <c r="U26">
        <f>IFERROR(INDEX('DRAFT 1'!$Q:$Q,MATCH($B26,'DRAFT 1'!$B:$B,0)),"")</f>
        <v/>
      </c>
      <c r="V26">
        <f>IFERROR(INDEX('DRAFT 1'!$R:$R,MATCH($B26,'DRAFT 1'!$B:$B,0)),"")</f>
        <v/>
      </c>
      <c r="W26">
        <f>IFERROR(INDEX('DRAFT 1'!$S:$S,MATCH($B26,'DRAFT 1'!$B:$B,0)),"")</f>
        <v/>
      </c>
      <c r="X26">
        <f>IFERROR(INDEX('DRAFT 1'!$T:$T,MATCH($B26,'DRAFT 1'!$B:$B,0)),"")</f>
        <v/>
      </c>
      <c r="Z26">
        <f>IFERROR(INDEX('DRAFT 1'!$U:$U,MATCH($B26,'DRAFT 1'!$B:$B,0)),"")</f>
        <v/>
      </c>
      <c r="AA26">
        <f>IFERROR(INDEX('DRAFT 1'!$V:$V,MATCH($B26,'DRAFT 1'!$B:$B,0)),"")</f>
        <v/>
      </c>
      <c r="AB26">
        <f>IFERROR(INDEX('DRAFT 1'!$W:$W,MATCH($B26,'DRAFT 1'!$B:$B,0)),"")</f>
        <v/>
      </c>
      <c r="AC26">
        <f>IFERROR(INDEX('DRAFT 1'!$X:$X,MATCH($B26,'DRAFT 1'!$B:$B,0)),"")</f>
        <v/>
      </c>
      <c r="AD26">
        <f>IFERROR(INDEX('DRAFT 1'!$Y:$Y,MATCH($B26,'DRAFT 1'!$B:$B,0)),"")</f>
        <v/>
      </c>
      <c r="AE26">
        <f>IFERROR(INDEX('DRAFT 1'!$Z:$Z,MATCH($B26,'DRAFT 1'!$B:$B,0)),"")</f>
        <v/>
      </c>
      <c r="AF26">
        <f>IFERROR(INDEX('DRAFT 1'!$AA:$AA,MATCH($B26,'DRAFT 1'!$B:$B,0)),"")</f>
        <v/>
      </c>
      <c r="AG26">
        <f>IFERROR(INDEX('DRAFT 1'!$AB:$AB,MATCH($B26,'DRAFT 1'!$B:$B,0)),"")</f>
        <v/>
      </c>
      <c r="AH26">
        <f>IFERROR(INDEX('DRAFT 1'!$AC:$AC,MATCH($B26,'DRAFT 1'!$B:$B,0)),"")</f>
        <v/>
      </c>
      <c r="AI26">
        <f>IFERROR(INDEX('DRAFT 1'!$AD:$AD,MATCH($B26,'DRAFT 1'!$B:$B,0)),"")</f>
        <v/>
      </c>
      <c r="AJ26">
        <f>IFERROR(INDEX('DRAFT 1'!$AE:$AE,MATCH($B26,'DRAFT 1'!$B:$B,0)),"")</f>
        <v/>
      </c>
      <c r="AK26">
        <f>IFERROR(INDEX('DRAFT 1'!$AG:$AG,MATCH($B26,'DRAFT 1'!$B:$B,0)),"")</f>
        <v/>
      </c>
      <c r="AL26">
        <f>IFERROR(INDEX('DRAFT 1'!$AH:$AH,MATCH($B26,'DRAFT 1'!$B:$B,0)),"")</f>
        <v/>
      </c>
      <c r="AM26">
        <f>IFERROR(INDEX('DRAFT 1'!$AI:$AI,MATCH($B26,'DRAFT 1'!$B:$B,0)),"")</f>
        <v/>
      </c>
      <c r="AN26">
        <f>IFERROR(INDEX('DRAFT 1'!$AJ:$AJ,MATCH($B26,'DRAFT 1'!$B:$B,0)),"")</f>
        <v/>
      </c>
      <c r="AO26">
        <f>IFERROR(Y26/AN26,0)</f>
        <v/>
      </c>
      <c r="AP26">
        <f>IFERROR(INDEX('DRAFT 1'!$AK:$AK,MATCH($B26,'DRAFT 1'!$B:$B,0)),"")</f>
        <v/>
      </c>
      <c r="AR26" t="inlineStr">
        <is>
          <t>RECOMPRA</t>
        </is>
      </c>
      <c r="AS26">
        <f>IFERROR(LOOKUP(2,1/('DRAFT 2'!$D:$D=$B26),'DRAFT 2'!$T:$T),"")</f>
        <v/>
      </c>
      <c r="AT26">
        <f>IFERROR(LOOKUP(2,1/('DRAFT 2'!$D:$D=$B26),'DRAFT 2'!$A:$A),"")</f>
        <v/>
      </c>
      <c r="AU26">
        <f>IFERROR(LOOKUP(2,1/('DRAFT 2'!$D:$D=$B26),'DRAFT 2'!$R:$R),"")</f>
        <v/>
      </c>
      <c r="AV26">
        <f>IFERROR(LOOKUP(2,1/('DRAFT 2'!$D:$D=$B26),'DRAFT 2'!$S:$S),"")</f>
        <v/>
      </c>
      <c r="AW26" t="inlineStr">
        <is>
          <t>FIDELIZADO</t>
        </is>
      </c>
      <c r="AX26">
        <f>IFERROR(LOOKUP(2,1/('DRAFT 2'!$D:$D=$B26),'DRAFT 2'!$M:$M),"")</f>
        <v/>
      </c>
      <c r="AY26">
        <f>IFERROR(LOOKUP(2,1/('DRAFT 2'!$D:$D=$B26),'DRAFT 2'!$K:$K),"")</f>
        <v/>
      </c>
      <c r="BG26">
        <f>IFERROR(LOOKUP(2,1/('DRAFT 2'!$D:$D=$B26),'DRAFT 2'!$U:$U),"")</f>
        <v/>
      </c>
      <c r="BH26">
        <f>IFERROR(LOOKUP(2,1/('DRAFT 2'!$D:$D=$B26),'DRAFT 2'!$V:$V),"")</f>
        <v/>
      </c>
      <c r="CE26">
        <f>IFERROR(AJ26,0)</f>
        <v/>
      </c>
      <c r="CF26">
        <f>IFERROR(LOOKUP(2,1/('DRAFT 2'!$D:$D=$B26)*('DRAFT 2'!$A:$A&gt;=DATE(2026,1,1))*('DRAFT 2'!$A:$A&lt;DATE(2026,IF(1=12,1+1,1+1),1)),'DRAFT 2'!$A:$A),"")</f>
        <v/>
      </c>
      <c r="CG26">
        <f>COUNTIFS('DRAFT 2'!$D:$D,$B26,'DRAFT 2'!$A:$A,"&gt;="&amp;DATE(2026,1,1),'DRAFT 2'!$A:$A,"&lt;="&amp;DATE(2026,1,7))</f>
        <v/>
      </c>
      <c r="CH26">
        <f>COUNTIFS('DRAFT 2'!$D:$D,$B26,'DRAFT 2'!$A:$A,"&gt;="&amp;DATE(2026,1,8),'DRAFT 2'!$A:$A,"&lt;="&amp;DATE(2026,1,14))</f>
        <v/>
      </c>
      <c r="CI26">
        <f>COUNTIFS('DRAFT 2'!$D:$D,$B26,'DRAFT 2'!$A:$A,"&gt;="&amp;DATE(2026,1,15),'DRAFT 2'!$A:$A,"&lt;="&amp;DATE(2026,1,21))</f>
        <v/>
      </c>
      <c r="CJ26">
        <f>COUNTIFS('DRAFT 2'!$D:$D,$B26,'DRAFT 2'!$A:$A,"&gt;="&amp;DATE(2026,1,22),'DRAFT 2'!$A:$A,"&lt;"&amp;DATE(2026,IF(1=12,1+1,1+1),1))</f>
        <v/>
      </c>
      <c r="CK26">
        <f>SUM(CG26:CJ26)</f>
        <v/>
      </c>
      <c r="CT26" t="n">
        <v>0</v>
      </c>
      <c r="CU26">
        <f>IFERROR(LOOKUP(2,1/('DRAFT 2'!$D:$D=$B26)*('DRAFT 2'!$A:$A&gt;=DATE(2026,2,1))*('DRAFT 2'!$A:$A&lt;DATE(2026,IF(2=12,2+1,2+1),1)),'DRAFT 2'!$A:$A),"")</f>
        <v/>
      </c>
      <c r="CV26">
        <f>COUNTIFS('DRAFT 2'!$D:$D,$B26,'DRAFT 2'!$A:$A,"&gt;="&amp;DATE(2026,2,1),'DRAFT 2'!$A:$A,"&lt;="&amp;DATE(2026,2,7))</f>
        <v/>
      </c>
      <c r="CW26">
        <f>COUNTIFS('DRAFT 2'!$D:$D,$B26,'DRAFT 2'!$A:$A,"&gt;="&amp;DATE(2026,2,8),'DRAFT 2'!$A:$A,"&lt;="&amp;DATE(2026,2,14))</f>
        <v/>
      </c>
      <c r="CX26">
        <f>COUNTIFS('DRAFT 2'!$D:$D,$B26,'DRAFT 2'!$A:$A,"&gt;="&amp;DATE(2026,2,15),'DRAFT 2'!$A:$A,"&lt;="&amp;DATE(2026,2,21))</f>
        <v/>
      </c>
      <c r="CY26">
        <f>COUNTIFS('DRAFT 2'!$D:$D,$B26,'DRAFT 2'!$A:$A,"&gt;="&amp;DATE(2026,2,22),'DRAFT 2'!$A:$A,"&lt;"&amp;DATE(2026,IF(2=12,2+1,2+1),1))</f>
        <v/>
      </c>
      <c r="CZ26">
        <f>SUM(CV26:CY26)</f>
        <v/>
      </c>
      <c r="DJ26">
        <f>IFERROR(LOOKUP(2,1/('DRAFT 2'!$D:$D=$B26)*('DRAFT 2'!$A:$A&gt;=DATE(2026,3,1))*('DRAFT 2'!$A:$A&lt;DATE(2026,IF(3=12,3+1,3+1),1)),'DRAFT 2'!$A:$A),"")</f>
        <v/>
      </c>
      <c r="DK26">
        <f>COUNTIFS('DRAFT 2'!$D:$D,$B26,'DRAFT 2'!$A:$A,"&gt;="&amp;DATE(2026,3,1),'DRAFT 2'!$A:$A,"&lt;="&amp;DATE(2026,3,7))</f>
        <v/>
      </c>
      <c r="DL26">
        <f>COUNTIFS('DRAFT 2'!$D:$D,$B26,'DRAFT 2'!$A:$A,"&gt;="&amp;DATE(2026,3,8),'DRAFT 2'!$A:$A,"&lt;="&amp;DATE(2026,3,14))</f>
        <v/>
      </c>
      <c r="DM26">
        <f>COUNTIFS('DRAFT 2'!$D:$D,$B26,'DRAFT 2'!$A:$A,"&gt;="&amp;DATE(2026,3,15),'DRAFT 2'!$A:$A,"&lt;="&amp;DATE(2026,3,21))</f>
        <v/>
      </c>
      <c r="DN26">
        <f>COUNTIFS('DRAFT 2'!$D:$D,$B26,'DRAFT 2'!$A:$A,"&gt;="&amp;DATE(2026,3,22),'DRAFT 2'!$A:$A,"&lt;"&amp;DATE(2026,IF(3=12,3+1,3+1),1))</f>
        <v/>
      </c>
      <c r="DO26">
        <f>SUM(DK26:DN26)</f>
        <v/>
      </c>
      <c r="DZ26">
        <f>IFERROR(LOOKUP(2,1/('DRAFT 2'!$D:$D=$B26)*('DRAFT 2'!$A:$A&gt;=DATE(2026,4,1))*('DRAFT 2'!$A:$A&lt;DATE(2026,IF(4=12,4+1,4+1),1)),'DRAFT 2'!$A:$A),"")</f>
        <v/>
      </c>
      <c r="EA26">
        <f>COUNTIFS('DRAFT 2'!$D:$D,$B26,'DRAFT 2'!$A:$A,"&gt;="&amp;DATE(2026,4,1),'DRAFT 2'!$A:$A,"&lt;="&amp;DATE(2026,4,7))</f>
        <v/>
      </c>
      <c r="EB26">
        <f>COUNTIFS('DRAFT 2'!$D:$D,$B26,'DRAFT 2'!$A:$A,"&gt;="&amp;DATE(2026,4,8),'DRAFT 2'!$A:$A,"&lt;="&amp;DATE(2026,4,14))</f>
        <v/>
      </c>
      <c r="EC26">
        <f>COUNTIFS('DRAFT 2'!$D:$D,$B26,'DRAFT 2'!$A:$A,"&gt;="&amp;DATE(2026,4,15),'DRAFT 2'!$A:$A,"&lt;="&amp;DATE(2026,4,21))</f>
        <v/>
      </c>
      <c r="ED26">
        <f>COUNTIFS('DRAFT 2'!$D:$D,$B26,'DRAFT 2'!$A:$A,"&gt;="&amp;DATE(2026,4,22),'DRAFT 2'!$A:$A,"&lt;"&amp;DATE(2026,IF(4=12,4+1,4+1),1))</f>
        <v/>
      </c>
      <c r="EE26">
        <f>SUM(EA26:ED26)</f>
        <v/>
      </c>
      <c r="EO26">
        <f>IFERROR(LOOKUP(2,1/('DRAFT 2'!$D:$D=$B26)*('DRAFT 2'!$A:$A&gt;=DATE(2026,5,1))*('DRAFT 2'!$A:$A&lt;DATE(2026,IF(5=12,5+1,5+1),1)),'DRAFT 2'!$A:$A),"")</f>
        <v/>
      </c>
      <c r="EP26">
        <f>COUNTIFS('DRAFT 2'!$D:$D,$B26,'DRAFT 2'!$A:$A,"&gt;="&amp;DATE(2026,5,1),'DRAFT 2'!$A:$A,"&lt;="&amp;DATE(2026,5,7))</f>
        <v/>
      </c>
      <c r="EQ26">
        <f>COUNTIFS('DRAFT 2'!$D:$D,$B26,'DRAFT 2'!$A:$A,"&gt;="&amp;DATE(2026,5,8),'DRAFT 2'!$A:$A,"&lt;="&amp;DATE(2026,5,14))</f>
        <v/>
      </c>
      <c r="ER26">
        <f>COUNTIFS('DRAFT 2'!$D:$D,$B26,'DRAFT 2'!$A:$A,"&gt;="&amp;DATE(2026,5,15),'DRAFT 2'!$A:$A,"&lt;="&amp;DATE(2026,5,21))</f>
        <v/>
      </c>
      <c r="ES26">
        <f>COUNTIFS('DRAFT 2'!$D:$D,$B26,'DRAFT 2'!$A:$A,"&gt;="&amp;DATE(2026,5,22),'DRAFT 2'!$A:$A,"&lt;"&amp;DATE(2026,IF(5=12,5+1,5+1),1))</f>
        <v/>
      </c>
      <c r="ET26">
        <f>SUM(EP26:ES26)</f>
        <v/>
      </c>
      <c r="FD26">
        <f>IFERROR(LOOKUP(2,1/('DRAFT 2'!$D:$D=$B26)*('DRAFT 2'!$A:$A&gt;=DATE(2026,6,1))*('DRAFT 2'!$A:$A&lt;DATE(2026,IF(6=12,6+1,6+1),1)),'DRAFT 2'!$A:$A),"")</f>
        <v/>
      </c>
      <c r="FE26">
        <f>COUNTIFS('DRAFT 2'!$D:$D,$B26,'DRAFT 2'!$A:$A,"&gt;="&amp;DATE(2026,6,1),'DRAFT 2'!$A:$A,"&lt;="&amp;DATE(2026,6,7))</f>
        <v/>
      </c>
      <c r="FF26">
        <f>COUNTIFS('DRAFT 2'!$D:$D,$B26,'DRAFT 2'!$A:$A,"&gt;="&amp;DATE(2026,6,8),'DRAFT 2'!$A:$A,"&lt;="&amp;DATE(2026,6,14))</f>
        <v/>
      </c>
      <c r="FG26">
        <f>COUNTIFS('DRAFT 2'!$D:$D,$B26,'DRAFT 2'!$A:$A,"&gt;="&amp;DATE(2026,6,15),'DRAFT 2'!$A:$A,"&lt;="&amp;DATE(2026,6,21))</f>
        <v/>
      </c>
      <c r="FH26">
        <f>COUNTIFS('DRAFT 2'!$D:$D,$B26,'DRAFT 2'!$A:$A,"&gt;="&amp;DATE(2026,6,22),'DRAFT 2'!$A:$A,"&lt;"&amp;DATE(2026,IF(6=12,6+1,6+1),1))</f>
        <v/>
      </c>
      <c r="FI26">
        <f>SUM(FE26:FH26)</f>
        <v/>
      </c>
      <c r="FT26">
        <f>IFERROR(LOOKUP(2,1/('DRAFT 2'!$D:$D=$B26)*('DRAFT 2'!$A:$A&gt;=DATE(2026,7,1))*('DRAFT 2'!$A:$A&lt;DATE(2026,IF(7=12,7+1,7+1),1)),'DRAFT 2'!$A:$A),"")</f>
        <v/>
      </c>
      <c r="FU26">
        <f>COUNTIFS('DRAFT 2'!$D:$D,$B26,'DRAFT 2'!$A:$A,"&gt;="&amp;DATE(2026,7,1),'DRAFT 2'!$A:$A,"&lt;="&amp;DATE(2026,7,7))</f>
        <v/>
      </c>
      <c r="FV26">
        <f>COUNTIFS('DRAFT 2'!$D:$D,$B26,'DRAFT 2'!$A:$A,"&gt;="&amp;DATE(2026,7,8),'DRAFT 2'!$A:$A,"&lt;="&amp;DATE(2026,7,14))</f>
        <v/>
      </c>
      <c r="FW26">
        <f>COUNTIFS('DRAFT 2'!$D:$D,$B26,'DRAFT 2'!$A:$A,"&gt;="&amp;DATE(2026,7,15),'DRAFT 2'!$A:$A,"&lt;="&amp;DATE(2026,7,21))</f>
        <v/>
      </c>
      <c r="FX26">
        <f>COUNTIFS('DRAFT 2'!$D:$D,$B26,'DRAFT 2'!$A:$A,"&gt;="&amp;DATE(2026,7,22),'DRAFT 2'!$A:$A,"&lt;"&amp;DATE(2026,IF(7=12,7+1,7+1),1))</f>
        <v/>
      </c>
      <c r="FY26">
        <f>SUM(FU26:FX26)</f>
        <v/>
      </c>
      <c r="GI26">
        <f>IFERROR(LOOKUP(2,1/('DRAFT 2'!$D:$D=$B26)*('DRAFT 2'!$A:$A&gt;=DATE(2026,8,1))*('DRAFT 2'!$A:$A&lt;DATE(2026,IF(8=12,8+1,8+1),1)),'DRAFT 2'!$A:$A),"")</f>
        <v/>
      </c>
      <c r="GJ26">
        <f>COUNTIFS('DRAFT 2'!$D:$D,$B26,'DRAFT 2'!$A:$A,"&gt;="&amp;DATE(2026,8,1),'DRAFT 2'!$A:$A,"&lt;="&amp;DATE(2026,8,7))</f>
        <v/>
      </c>
      <c r="GK26">
        <f>COUNTIFS('DRAFT 2'!$D:$D,$B26,'DRAFT 2'!$A:$A,"&gt;="&amp;DATE(2026,8,8),'DRAFT 2'!$A:$A,"&lt;="&amp;DATE(2026,8,14))</f>
        <v/>
      </c>
      <c r="GL26">
        <f>COUNTIFS('DRAFT 2'!$D:$D,$B26,'DRAFT 2'!$A:$A,"&gt;="&amp;DATE(2026,8,15),'DRAFT 2'!$A:$A,"&lt;="&amp;DATE(2026,8,21))</f>
        <v/>
      </c>
      <c r="GM26">
        <f>COUNTIFS('DRAFT 2'!$D:$D,$B26,'DRAFT 2'!$A:$A,"&gt;="&amp;DATE(2026,8,22),'DRAFT 2'!$A:$A,"&lt;"&amp;DATE(2026,IF(8=12,8+1,8+1),1))</f>
        <v/>
      </c>
      <c r="GN26">
        <f>SUM(GJ26:GM26)</f>
        <v/>
      </c>
      <c r="GX26">
        <f>IFERROR(LOOKUP(2,1/('DRAFT 2'!$D:$D=$B26)*('DRAFT 2'!$A:$A&gt;=DATE(2026,9,1))*('DRAFT 2'!$A:$A&lt;DATE(2026,IF(9=12,9+1,9+1),1)),'DRAFT 2'!$A:$A),"")</f>
        <v/>
      </c>
      <c r="GY26">
        <f>COUNTIFS('DRAFT 2'!$D:$D,$B26,'DRAFT 2'!$A:$A,"&gt;="&amp;DATE(2026,9,1),'DRAFT 2'!$A:$A,"&lt;="&amp;DATE(2026,9,7))</f>
        <v/>
      </c>
      <c r="GZ26">
        <f>COUNTIFS('DRAFT 2'!$D:$D,$B26,'DRAFT 2'!$A:$A,"&gt;="&amp;DATE(2026,9,8),'DRAFT 2'!$A:$A,"&lt;="&amp;DATE(2026,9,14))</f>
        <v/>
      </c>
      <c r="HA26">
        <f>COUNTIFS('DRAFT 2'!$D:$D,$B26,'DRAFT 2'!$A:$A,"&gt;="&amp;DATE(2026,9,15),'DRAFT 2'!$A:$A,"&lt;="&amp;DATE(2026,9,21))</f>
        <v/>
      </c>
      <c r="HB26">
        <f>COUNTIFS('DRAFT 2'!$D:$D,$B26,'DRAFT 2'!$A:$A,"&gt;="&amp;DATE(2026,9,22),'DRAFT 2'!$A:$A,"&lt;"&amp;DATE(2026,IF(9=12,9+1,9+1),1))</f>
        <v/>
      </c>
      <c r="HC26">
        <f>SUM(GY26:HB26)</f>
        <v/>
      </c>
      <c r="HN26">
        <f>IFERROR(LOOKUP(2,1/('DRAFT 2'!$D:$D=$B26)*('DRAFT 2'!$A:$A&gt;=DATE(2026,10,1))*('DRAFT 2'!$A:$A&lt;DATE(2026,IF(10=12,10+1,10+1),1)),'DRAFT 2'!$A:$A),"")</f>
        <v/>
      </c>
      <c r="HO26">
        <f>COUNTIFS('DRAFT 2'!$D:$D,$B26,'DRAFT 2'!$A:$A,"&gt;="&amp;DATE(2026,10,1),'DRAFT 2'!$A:$A,"&lt;="&amp;DATE(2026,10,7))</f>
        <v/>
      </c>
      <c r="HP26">
        <f>COUNTIFS('DRAFT 2'!$D:$D,$B26,'DRAFT 2'!$A:$A,"&gt;="&amp;DATE(2026,10,8),'DRAFT 2'!$A:$A,"&lt;="&amp;DATE(2026,10,14))</f>
        <v/>
      </c>
      <c r="HQ26">
        <f>COUNTIFS('DRAFT 2'!$D:$D,$B26,'DRAFT 2'!$A:$A,"&gt;="&amp;DATE(2026,10,15),'DRAFT 2'!$A:$A,"&lt;="&amp;DATE(2026,10,21))</f>
        <v/>
      </c>
      <c r="HR26">
        <f>COUNTIFS('DRAFT 2'!$D:$D,$B26,'DRAFT 2'!$A:$A,"&gt;="&amp;DATE(2026,10,22),'DRAFT 2'!$A:$A,"&lt;"&amp;DATE(2026,IF(10=12,10+1,10+1),1))</f>
        <v/>
      </c>
      <c r="HS26">
        <f>SUM(HO26:HR26)</f>
        <v/>
      </c>
      <c r="IC26">
        <f>IFERROR(LOOKUP(2,1/('DRAFT 2'!$D:$D=$B26)*('DRAFT 2'!$A:$A&gt;=DATE(2026,11,1))*('DRAFT 2'!$A:$A&lt;DATE(2026,IF(11=12,11+1,11+1),1)),'DRAFT 2'!$A:$A),"")</f>
        <v/>
      </c>
      <c r="ID26">
        <f>COUNTIFS('DRAFT 2'!$D:$D,$B26,'DRAFT 2'!$A:$A,"&gt;="&amp;DATE(2026,11,1),'DRAFT 2'!$A:$A,"&lt;="&amp;DATE(2026,11,7))</f>
        <v/>
      </c>
      <c r="IE26">
        <f>COUNTIFS('DRAFT 2'!$D:$D,$B26,'DRAFT 2'!$A:$A,"&gt;="&amp;DATE(2026,11,8),'DRAFT 2'!$A:$A,"&lt;="&amp;DATE(2026,11,14))</f>
        <v/>
      </c>
      <c r="IF26">
        <f>COUNTIFS('DRAFT 2'!$D:$D,$B26,'DRAFT 2'!$A:$A,"&gt;="&amp;DATE(2026,11,15),'DRAFT 2'!$A:$A,"&lt;="&amp;DATE(2026,11,21))</f>
        <v/>
      </c>
      <c r="IG26">
        <f>COUNTIFS('DRAFT 2'!$D:$D,$B26,'DRAFT 2'!$A:$A,"&gt;="&amp;DATE(2026,11,22),'DRAFT 2'!$A:$A,"&lt;"&amp;DATE(2026,IF(11=12,11+1,11+1),1))</f>
        <v/>
      </c>
      <c r="IH26">
        <f>SUM(ID26:IG26)</f>
        <v/>
      </c>
      <c r="IR26">
        <f>IFERROR(LOOKUP(2,1/('DRAFT 2'!$D:$D=$B26)*('DRAFT 2'!$A:$A&gt;=DATE(2026,12,1))*('DRAFT 2'!$A:$A&lt;DATE(2026,IF(12=12,12+1,12+1),1)),'DRAFT 2'!$A:$A),"")</f>
        <v/>
      </c>
      <c r="IS26">
        <f>COUNTIFS('DRAFT 2'!$D:$D,$B26,'DRAFT 2'!$A:$A,"&gt;="&amp;DATE(2026,12,1),'DRAFT 2'!$A:$A,"&lt;="&amp;DATE(2026,12,7))</f>
        <v/>
      </c>
      <c r="IT26">
        <f>COUNTIFS('DRAFT 2'!$D:$D,$B26,'DRAFT 2'!$A:$A,"&gt;="&amp;DATE(2026,12,8),'DRAFT 2'!$A:$A,"&lt;="&amp;DATE(2026,12,14))</f>
        <v/>
      </c>
      <c r="IU26">
        <f>COUNTIFS('DRAFT 2'!$D:$D,$B26,'DRAFT 2'!$A:$A,"&gt;="&amp;DATE(2026,12,15),'DRAFT 2'!$A:$A,"&lt;="&amp;DATE(2026,12,21))</f>
        <v/>
      </c>
      <c r="IV26">
        <f>COUNTIFS('DRAFT 2'!$D:$D,$B26,'DRAFT 2'!$A:$A,"&gt;="&amp;DATE(2026,12,22),'DRAFT 2'!$A:$A,"&lt;"&amp;DATE(2026,IF(12=12,12+1,12+1),1))</f>
        <v/>
      </c>
      <c r="IW26">
        <f>SUM(IS26:IV26)</f>
        <v/>
      </c>
    </row>
    <row r="27">
      <c r="A27">
        <f>IFERROR(INDEX('DRAFT 1'!$A:$A,MATCH($B27,'DRAFT 1'!$B:$B,0)),"")</f>
        <v/>
      </c>
      <c r="C27">
        <f>IFERROR(INDEX('DRAFT 1'!$C:$C,MATCH($B27,'DRAFT 1'!$B:$B,0)),"")</f>
        <v/>
      </c>
      <c r="D27">
        <f>IFERROR(INDEX('DRAFT 1'!$D:$D,MATCH($B27,'DRAFT 1'!$B:$B,0)),"")</f>
        <v/>
      </c>
      <c r="E27">
        <f>IFERROR(INDEX('DRAFT 1'!$E:$E,MATCH($B27,'DRAFT 1'!$B:$B,0)),"")</f>
        <v/>
      </c>
      <c r="F27">
        <f>IFERROR(INDEX('DRAFT 1'!$F:$F,MATCH($B27,'DRAFT 1'!$B:$B,0)),"")</f>
        <v/>
      </c>
      <c r="G27">
        <f>IFERROR(INDEX('DRAFT 1'!$G:$G,MATCH($B27,'DRAFT 1'!$B:$B,0)),"")</f>
        <v/>
      </c>
      <c r="H27">
        <f>IFERROR(INDEX('DRAFT 1'!$H:$H,MATCH($B27,'DRAFT 1'!$B:$B,0)),"")</f>
        <v/>
      </c>
      <c r="I27" t="inlineStr">
        <is>
          <t>FIT LAND</t>
        </is>
      </c>
      <c r="K27">
        <f>IFERROR(INDEX('DRAFT 1'!$AL:$AL,MATCH($B27,'DRAFT 1'!$B:$B,0)),"")</f>
        <v/>
      </c>
      <c r="L27">
        <f>IFERROR(INDEX('DRAFT 1'!$J:$J,MATCH($B27,'DRAFT 1'!$B:$B,0)),"")</f>
        <v/>
      </c>
      <c r="M27">
        <f>IFERROR(INDEX('DRAFT 1'!$K:$K,MATCH($B27,'DRAFT 1'!$B:$B,0)),"")</f>
        <v/>
      </c>
      <c r="N27" t="inlineStr">
        <is>
          <t>ATIVO</t>
        </is>
      </c>
      <c r="P27">
        <f>IFERROR(INDEX('DRAFT 1'!$L:$L,MATCH($B27,'DRAFT 1'!$B:$B,0)),"")</f>
        <v/>
      </c>
      <c r="Q27">
        <f>IFERROR(INDEX('DRAFT 1'!$M:$M,MATCH($B27,'DRAFT 1'!$B:$B,0)),"")</f>
        <v/>
      </c>
      <c r="R27">
        <f>IFERROR(INDEX('DRAFT 1'!$N:$N,MATCH($B27,'DRAFT 1'!$B:$B,0)),"")</f>
        <v/>
      </c>
      <c r="S27">
        <f>IFERROR(INDEX('DRAFT 1'!$O:$O,MATCH($B27,'DRAFT 1'!$B:$B,0)),"")</f>
        <v/>
      </c>
      <c r="T27">
        <f>IFERROR(INDEX('DRAFT 1'!$P:$P,MATCH($B27,'DRAFT 1'!$B:$B,0)),"")</f>
        <v/>
      </c>
      <c r="U27">
        <f>IFERROR(INDEX('DRAFT 1'!$Q:$Q,MATCH($B27,'DRAFT 1'!$B:$B,0)),"")</f>
        <v/>
      </c>
      <c r="V27">
        <f>IFERROR(INDEX('DRAFT 1'!$R:$R,MATCH($B27,'DRAFT 1'!$B:$B,0)),"")</f>
        <v/>
      </c>
      <c r="W27">
        <f>IFERROR(INDEX('DRAFT 1'!$S:$S,MATCH($B27,'DRAFT 1'!$B:$B,0)),"")</f>
        <v/>
      </c>
      <c r="X27">
        <f>IFERROR(INDEX('DRAFT 1'!$T:$T,MATCH($B27,'DRAFT 1'!$B:$B,0)),"")</f>
        <v/>
      </c>
      <c r="Z27">
        <f>IFERROR(INDEX('DRAFT 1'!$U:$U,MATCH($B27,'DRAFT 1'!$B:$B,0)),"")</f>
        <v/>
      </c>
      <c r="AA27">
        <f>IFERROR(INDEX('DRAFT 1'!$V:$V,MATCH($B27,'DRAFT 1'!$B:$B,0)),"")</f>
        <v/>
      </c>
      <c r="AB27">
        <f>IFERROR(INDEX('DRAFT 1'!$W:$W,MATCH($B27,'DRAFT 1'!$B:$B,0)),"")</f>
        <v/>
      </c>
      <c r="AC27">
        <f>IFERROR(INDEX('DRAFT 1'!$X:$X,MATCH($B27,'DRAFT 1'!$B:$B,0)),"")</f>
        <v/>
      </c>
      <c r="AD27">
        <f>IFERROR(INDEX('DRAFT 1'!$Y:$Y,MATCH($B27,'DRAFT 1'!$B:$B,0)),"")</f>
        <v/>
      </c>
      <c r="AE27">
        <f>IFERROR(INDEX('DRAFT 1'!$Z:$Z,MATCH($B27,'DRAFT 1'!$B:$B,0)),"")</f>
        <v/>
      </c>
      <c r="AF27">
        <f>IFERROR(INDEX('DRAFT 1'!$AA:$AA,MATCH($B27,'DRAFT 1'!$B:$B,0)),"")</f>
        <v/>
      </c>
      <c r="AG27">
        <f>IFERROR(INDEX('DRAFT 1'!$AB:$AB,MATCH($B27,'DRAFT 1'!$B:$B,0)),"")</f>
        <v/>
      </c>
      <c r="AH27">
        <f>IFERROR(INDEX('DRAFT 1'!$AC:$AC,MATCH($B27,'DRAFT 1'!$B:$B,0)),"")</f>
        <v/>
      </c>
      <c r="AI27">
        <f>IFERROR(INDEX('DRAFT 1'!$AD:$AD,MATCH($B27,'DRAFT 1'!$B:$B,0)),"")</f>
        <v/>
      </c>
      <c r="AJ27">
        <f>IFERROR(INDEX('DRAFT 1'!$AE:$AE,MATCH($B27,'DRAFT 1'!$B:$B,0)),"")</f>
        <v/>
      </c>
      <c r="AK27">
        <f>IFERROR(INDEX('DRAFT 1'!$AG:$AG,MATCH($B27,'DRAFT 1'!$B:$B,0)),"")</f>
        <v/>
      </c>
      <c r="AL27">
        <f>IFERROR(INDEX('DRAFT 1'!$AH:$AH,MATCH($B27,'DRAFT 1'!$B:$B,0)),"")</f>
        <v/>
      </c>
      <c r="AM27">
        <f>IFERROR(INDEX('DRAFT 1'!$AI:$AI,MATCH($B27,'DRAFT 1'!$B:$B,0)),"")</f>
        <v/>
      </c>
      <c r="AN27">
        <f>IFERROR(INDEX('DRAFT 1'!$AJ:$AJ,MATCH($B27,'DRAFT 1'!$B:$B,0)),"")</f>
        <v/>
      </c>
      <c r="AO27">
        <f>IFERROR(Y27/AN27,0)</f>
        <v/>
      </c>
      <c r="AP27">
        <f>IFERROR(INDEX('DRAFT 1'!$AK:$AK,MATCH($B27,'DRAFT 1'!$B:$B,0)),"")</f>
        <v/>
      </c>
      <c r="AR27" t="inlineStr">
        <is>
          <t>CS</t>
        </is>
      </c>
      <c r="AS27">
        <f>IFERROR(LOOKUP(2,1/('DRAFT 2'!$D:$D=$B27),'DRAFT 2'!$T:$T),"")</f>
        <v/>
      </c>
      <c r="AT27">
        <f>IFERROR(LOOKUP(2,1/('DRAFT 2'!$D:$D=$B27),'DRAFT 2'!$A:$A),"")</f>
        <v/>
      </c>
      <c r="AU27">
        <f>IFERROR(LOOKUP(2,1/('DRAFT 2'!$D:$D=$B27),'DRAFT 2'!$R:$R),"")</f>
        <v/>
      </c>
      <c r="AV27">
        <f>IFERROR(LOOKUP(2,1/('DRAFT 2'!$D:$D=$B27),'DRAFT 2'!$S:$S),"")</f>
        <v/>
      </c>
      <c r="AW27" t="inlineStr">
        <is>
          <t>FIDELIZADO</t>
        </is>
      </c>
      <c r="AX27">
        <f>IFERROR(LOOKUP(2,1/('DRAFT 2'!$D:$D=$B27),'DRAFT 2'!$M:$M),"")</f>
        <v/>
      </c>
      <c r="AY27">
        <f>IFERROR(LOOKUP(2,1/('DRAFT 2'!$D:$D=$B27),'DRAFT 2'!$K:$K),"")</f>
        <v/>
      </c>
      <c r="BG27">
        <f>IFERROR(LOOKUP(2,1/('DRAFT 2'!$D:$D=$B27),'DRAFT 2'!$U:$U),"")</f>
        <v/>
      </c>
      <c r="BH27">
        <f>IFERROR(LOOKUP(2,1/('DRAFT 2'!$D:$D=$B27),'DRAFT 2'!$V:$V),"")</f>
        <v/>
      </c>
      <c r="CE27">
        <f>IFERROR(AJ27,0)</f>
        <v/>
      </c>
      <c r="CF27">
        <f>IFERROR(LOOKUP(2,1/('DRAFT 2'!$D:$D=$B27)*('DRAFT 2'!$A:$A&gt;=DATE(2026,1,1))*('DRAFT 2'!$A:$A&lt;DATE(2026,IF(1=12,1+1,1+1),1)),'DRAFT 2'!$A:$A),"")</f>
        <v/>
      </c>
      <c r="CG27">
        <f>COUNTIFS('DRAFT 2'!$D:$D,$B27,'DRAFT 2'!$A:$A,"&gt;="&amp;DATE(2026,1,1),'DRAFT 2'!$A:$A,"&lt;="&amp;DATE(2026,1,7))</f>
        <v/>
      </c>
      <c r="CH27">
        <f>COUNTIFS('DRAFT 2'!$D:$D,$B27,'DRAFT 2'!$A:$A,"&gt;="&amp;DATE(2026,1,8),'DRAFT 2'!$A:$A,"&lt;="&amp;DATE(2026,1,14))</f>
        <v/>
      </c>
      <c r="CI27">
        <f>COUNTIFS('DRAFT 2'!$D:$D,$B27,'DRAFT 2'!$A:$A,"&gt;="&amp;DATE(2026,1,15),'DRAFT 2'!$A:$A,"&lt;="&amp;DATE(2026,1,21))</f>
        <v/>
      </c>
      <c r="CJ27">
        <f>COUNTIFS('DRAFT 2'!$D:$D,$B27,'DRAFT 2'!$A:$A,"&gt;="&amp;DATE(2026,1,22),'DRAFT 2'!$A:$A,"&lt;"&amp;DATE(2026,IF(1=12,1+1,1+1),1))</f>
        <v/>
      </c>
      <c r="CK27">
        <f>SUM(CG27:CJ27)</f>
        <v/>
      </c>
      <c r="CT27" t="n">
        <v>0</v>
      </c>
      <c r="CU27">
        <f>IFERROR(LOOKUP(2,1/('DRAFT 2'!$D:$D=$B27)*('DRAFT 2'!$A:$A&gt;=DATE(2026,2,1))*('DRAFT 2'!$A:$A&lt;DATE(2026,IF(2=12,2+1,2+1),1)),'DRAFT 2'!$A:$A),"")</f>
        <v/>
      </c>
      <c r="CV27">
        <f>COUNTIFS('DRAFT 2'!$D:$D,$B27,'DRAFT 2'!$A:$A,"&gt;="&amp;DATE(2026,2,1),'DRAFT 2'!$A:$A,"&lt;="&amp;DATE(2026,2,7))</f>
        <v/>
      </c>
      <c r="CW27">
        <f>COUNTIFS('DRAFT 2'!$D:$D,$B27,'DRAFT 2'!$A:$A,"&gt;="&amp;DATE(2026,2,8),'DRAFT 2'!$A:$A,"&lt;="&amp;DATE(2026,2,14))</f>
        <v/>
      </c>
      <c r="CX27">
        <f>COUNTIFS('DRAFT 2'!$D:$D,$B27,'DRAFT 2'!$A:$A,"&gt;="&amp;DATE(2026,2,15),'DRAFT 2'!$A:$A,"&lt;="&amp;DATE(2026,2,21))</f>
        <v/>
      </c>
      <c r="CY27">
        <f>COUNTIFS('DRAFT 2'!$D:$D,$B27,'DRAFT 2'!$A:$A,"&gt;="&amp;DATE(2026,2,22),'DRAFT 2'!$A:$A,"&lt;"&amp;DATE(2026,IF(2=12,2+1,2+1),1))</f>
        <v/>
      </c>
      <c r="CZ27">
        <f>SUM(CV27:CY27)</f>
        <v/>
      </c>
      <c r="DJ27">
        <f>IFERROR(LOOKUP(2,1/('DRAFT 2'!$D:$D=$B27)*('DRAFT 2'!$A:$A&gt;=DATE(2026,3,1))*('DRAFT 2'!$A:$A&lt;DATE(2026,IF(3=12,3+1,3+1),1)),'DRAFT 2'!$A:$A),"")</f>
        <v/>
      </c>
      <c r="DK27">
        <f>COUNTIFS('DRAFT 2'!$D:$D,$B27,'DRAFT 2'!$A:$A,"&gt;="&amp;DATE(2026,3,1),'DRAFT 2'!$A:$A,"&lt;="&amp;DATE(2026,3,7))</f>
        <v/>
      </c>
      <c r="DL27">
        <f>COUNTIFS('DRAFT 2'!$D:$D,$B27,'DRAFT 2'!$A:$A,"&gt;="&amp;DATE(2026,3,8),'DRAFT 2'!$A:$A,"&lt;="&amp;DATE(2026,3,14))</f>
        <v/>
      </c>
      <c r="DM27">
        <f>COUNTIFS('DRAFT 2'!$D:$D,$B27,'DRAFT 2'!$A:$A,"&gt;="&amp;DATE(2026,3,15),'DRAFT 2'!$A:$A,"&lt;="&amp;DATE(2026,3,21))</f>
        <v/>
      </c>
      <c r="DN27">
        <f>COUNTIFS('DRAFT 2'!$D:$D,$B27,'DRAFT 2'!$A:$A,"&gt;="&amp;DATE(2026,3,22),'DRAFT 2'!$A:$A,"&lt;"&amp;DATE(2026,IF(3=12,3+1,3+1),1))</f>
        <v/>
      </c>
      <c r="DO27">
        <f>SUM(DK27:DN27)</f>
        <v/>
      </c>
      <c r="DZ27">
        <f>IFERROR(LOOKUP(2,1/('DRAFT 2'!$D:$D=$B27)*('DRAFT 2'!$A:$A&gt;=DATE(2026,4,1))*('DRAFT 2'!$A:$A&lt;DATE(2026,IF(4=12,4+1,4+1),1)),'DRAFT 2'!$A:$A),"")</f>
        <v/>
      </c>
      <c r="EA27">
        <f>COUNTIFS('DRAFT 2'!$D:$D,$B27,'DRAFT 2'!$A:$A,"&gt;="&amp;DATE(2026,4,1),'DRAFT 2'!$A:$A,"&lt;="&amp;DATE(2026,4,7))</f>
        <v/>
      </c>
      <c r="EB27">
        <f>COUNTIFS('DRAFT 2'!$D:$D,$B27,'DRAFT 2'!$A:$A,"&gt;="&amp;DATE(2026,4,8),'DRAFT 2'!$A:$A,"&lt;="&amp;DATE(2026,4,14))</f>
        <v/>
      </c>
      <c r="EC27">
        <f>COUNTIFS('DRAFT 2'!$D:$D,$B27,'DRAFT 2'!$A:$A,"&gt;="&amp;DATE(2026,4,15),'DRAFT 2'!$A:$A,"&lt;="&amp;DATE(2026,4,21))</f>
        <v/>
      </c>
      <c r="ED27">
        <f>COUNTIFS('DRAFT 2'!$D:$D,$B27,'DRAFT 2'!$A:$A,"&gt;="&amp;DATE(2026,4,22),'DRAFT 2'!$A:$A,"&lt;"&amp;DATE(2026,IF(4=12,4+1,4+1),1))</f>
        <v/>
      </c>
      <c r="EE27">
        <f>SUM(EA27:ED27)</f>
        <v/>
      </c>
      <c r="EO27">
        <f>IFERROR(LOOKUP(2,1/('DRAFT 2'!$D:$D=$B27)*('DRAFT 2'!$A:$A&gt;=DATE(2026,5,1))*('DRAFT 2'!$A:$A&lt;DATE(2026,IF(5=12,5+1,5+1),1)),'DRAFT 2'!$A:$A),"")</f>
        <v/>
      </c>
      <c r="EP27">
        <f>COUNTIFS('DRAFT 2'!$D:$D,$B27,'DRAFT 2'!$A:$A,"&gt;="&amp;DATE(2026,5,1),'DRAFT 2'!$A:$A,"&lt;="&amp;DATE(2026,5,7))</f>
        <v/>
      </c>
      <c r="EQ27">
        <f>COUNTIFS('DRAFT 2'!$D:$D,$B27,'DRAFT 2'!$A:$A,"&gt;="&amp;DATE(2026,5,8),'DRAFT 2'!$A:$A,"&lt;="&amp;DATE(2026,5,14))</f>
        <v/>
      </c>
      <c r="ER27">
        <f>COUNTIFS('DRAFT 2'!$D:$D,$B27,'DRAFT 2'!$A:$A,"&gt;="&amp;DATE(2026,5,15),'DRAFT 2'!$A:$A,"&lt;="&amp;DATE(2026,5,21))</f>
        <v/>
      </c>
      <c r="ES27">
        <f>COUNTIFS('DRAFT 2'!$D:$D,$B27,'DRAFT 2'!$A:$A,"&gt;="&amp;DATE(2026,5,22),'DRAFT 2'!$A:$A,"&lt;"&amp;DATE(2026,IF(5=12,5+1,5+1),1))</f>
        <v/>
      </c>
      <c r="ET27">
        <f>SUM(EP27:ES27)</f>
        <v/>
      </c>
      <c r="FD27">
        <f>IFERROR(LOOKUP(2,1/('DRAFT 2'!$D:$D=$B27)*('DRAFT 2'!$A:$A&gt;=DATE(2026,6,1))*('DRAFT 2'!$A:$A&lt;DATE(2026,IF(6=12,6+1,6+1),1)),'DRAFT 2'!$A:$A),"")</f>
        <v/>
      </c>
      <c r="FE27">
        <f>COUNTIFS('DRAFT 2'!$D:$D,$B27,'DRAFT 2'!$A:$A,"&gt;="&amp;DATE(2026,6,1),'DRAFT 2'!$A:$A,"&lt;="&amp;DATE(2026,6,7))</f>
        <v/>
      </c>
      <c r="FF27">
        <f>COUNTIFS('DRAFT 2'!$D:$D,$B27,'DRAFT 2'!$A:$A,"&gt;="&amp;DATE(2026,6,8),'DRAFT 2'!$A:$A,"&lt;="&amp;DATE(2026,6,14))</f>
        <v/>
      </c>
      <c r="FG27">
        <f>COUNTIFS('DRAFT 2'!$D:$D,$B27,'DRAFT 2'!$A:$A,"&gt;="&amp;DATE(2026,6,15),'DRAFT 2'!$A:$A,"&lt;="&amp;DATE(2026,6,21))</f>
        <v/>
      </c>
      <c r="FH27">
        <f>COUNTIFS('DRAFT 2'!$D:$D,$B27,'DRAFT 2'!$A:$A,"&gt;="&amp;DATE(2026,6,22),'DRAFT 2'!$A:$A,"&lt;"&amp;DATE(2026,IF(6=12,6+1,6+1),1))</f>
        <v/>
      </c>
      <c r="FI27">
        <f>SUM(FE27:FH27)</f>
        <v/>
      </c>
      <c r="FT27">
        <f>IFERROR(LOOKUP(2,1/('DRAFT 2'!$D:$D=$B27)*('DRAFT 2'!$A:$A&gt;=DATE(2026,7,1))*('DRAFT 2'!$A:$A&lt;DATE(2026,IF(7=12,7+1,7+1),1)),'DRAFT 2'!$A:$A),"")</f>
        <v/>
      </c>
      <c r="FU27">
        <f>COUNTIFS('DRAFT 2'!$D:$D,$B27,'DRAFT 2'!$A:$A,"&gt;="&amp;DATE(2026,7,1),'DRAFT 2'!$A:$A,"&lt;="&amp;DATE(2026,7,7))</f>
        <v/>
      </c>
      <c r="FV27">
        <f>COUNTIFS('DRAFT 2'!$D:$D,$B27,'DRAFT 2'!$A:$A,"&gt;="&amp;DATE(2026,7,8),'DRAFT 2'!$A:$A,"&lt;="&amp;DATE(2026,7,14))</f>
        <v/>
      </c>
      <c r="FW27">
        <f>COUNTIFS('DRAFT 2'!$D:$D,$B27,'DRAFT 2'!$A:$A,"&gt;="&amp;DATE(2026,7,15),'DRAFT 2'!$A:$A,"&lt;="&amp;DATE(2026,7,21))</f>
        <v/>
      </c>
      <c r="FX27">
        <f>COUNTIFS('DRAFT 2'!$D:$D,$B27,'DRAFT 2'!$A:$A,"&gt;="&amp;DATE(2026,7,22),'DRAFT 2'!$A:$A,"&lt;"&amp;DATE(2026,IF(7=12,7+1,7+1),1))</f>
        <v/>
      </c>
      <c r="FY27">
        <f>SUM(FU27:FX27)</f>
        <v/>
      </c>
      <c r="GI27">
        <f>IFERROR(LOOKUP(2,1/('DRAFT 2'!$D:$D=$B27)*('DRAFT 2'!$A:$A&gt;=DATE(2026,8,1))*('DRAFT 2'!$A:$A&lt;DATE(2026,IF(8=12,8+1,8+1),1)),'DRAFT 2'!$A:$A),"")</f>
        <v/>
      </c>
      <c r="GJ27">
        <f>COUNTIFS('DRAFT 2'!$D:$D,$B27,'DRAFT 2'!$A:$A,"&gt;="&amp;DATE(2026,8,1),'DRAFT 2'!$A:$A,"&lt;="&amp;DATE(2026,8,7))</f>
        <v/>
      </c>
      <c r="GK27">
        <f>COUNTIFS('DRAFT 2'!$D:$D,$B27,'DRAFT 2'!$A:$A,"&gt;="&amp;DATE(2026,8,8),'DRAFT 2'!$A:$A,"&lt;="&amp;DATE(2026,8,14))</f>
        <v/>
      </c>
      <c r="GL27">
        <f>COUNTIFS('DRAFT 2'!$D:$D,$B27,'DRAFT 2'!$A:$A,"&gt;="&amp;DATE(2026,8,15),'DRAFT 2'!$A:$A,"&lt;="&amp;DATE(2026,8,21))</f>
        <v/>
      </c>
      <c r="GM27">
        <f>COUNTIFS('DRAFT 2'!$D:$D,$B27,'DRAFT 2'!$A:$A,"&gt;="&amp;DATE(2026,8,22),'DRAFT 2'!$A:$A,"&lt;"&amp;DATE(2026,IF(8=12,8+1,8+1),1))</f>
        <v/>
      </c>
      <c r="GN27">
        <f>SUM(GJ27:GM27)</f>
        <v/>
      </c>
      <c r="GX27">
        <f>IFERROR(LOOKUP(2,1/('DRAFT 2'!$D:$D=$B27)*('DRAFT 2'!$A:$A&gt;=DATE(2026,9,1))*('DRAFT 2'!$A:$A&lt;DATE(2026,IF(9=12,9+1,9+1),1)),'DRAFT 2'!$A:$A),"")</f>
        <v/>
      </c>
      <c r="GY27">
        <f>COUNTIFS('DRAFT 2'!$D:$D,$B27,'DRAFT 2'!$A:$A,"&gt;="&amp;DATE(2026,9,1),'DRAFT 2'!$A:$A,"&lt;="&amp;DATE(2026,9,7))</f>
        <v/>
      </c>
      <c r="GZ27">
        <f>COUNTIFS('DRAFT 2'!$D:$D,$B27,'DRAFT 2'!$A:$A,"&gt;="&amp;DATE(2026,9,8),'DRAFT 2'!$A:$A,"&lt;="&amp;DATE(2026,9,14))</f>
        <v/>
      </c>
      <c r="HA27">
        <f>COUNTIFS('DRAFT 2'!$D:$D,$B27,'DRAFT 2'!$A:$A,"&gt;="&amp;DATE(2026,9,15),'DRAFT 2'!$A:$A,"&lt;="&amp;DATE(2026,9,21))</f>
        <v/>
      </c>
      <c r="HB27">
        <f>COUNTIFS('DRAFT 2'!$D:$D,$B27,'DRAFT 2'!$A:$A,"&gt;="&amp;DATE(2026,9,22),'DRAFT 2'!$A:$A,"&lt;"&amp;DATE(2026,IF(9=12,9+1,9+1),1))</f>
        <v/>
      </c>
      <c r="HC27">
        <f>SUM(GY27:HB27)</f>
        <v/>
      </c>
      <c r="HN27">
        <f>IFERROR(LOOKUP(2,1/('DRAFT 2'!$D:$D=$B27)*('DRAFT 2'!$A:$A&gt;=DATE(2026,10,1))*('DRAFT 2'!$A:$A&lt;DATE(2026,IF(10=12,10+1,10+1),1)),'DRAFT 2'!$A:$A),"")</f>
        <v/>
      </c>
      <c r="HO27">
        <f>COUNTIFS('DRAFT 2'!$D:$D,$B27,'DRAFT 2'!$A:$A,"&gt;="&amp;DATE(2026,10,1),'DRAFT 2'!$A:$A,"&lt;="&amp;DATE(2026,10,7))</f>
        <v/>
      </c>
      <c r="HP27">
        <f>COUNTIFS('DRAFT 2'!$D:$D,$B27,'DRAFT 2'!$A:$A,"&gt;="&amp;DATE(2026,10,8),'DRAFT 2'!$A:$A,"&lt;="&amp;DATE(2026,10,14))</f>
        <v/>
      </c>
      <c r="HQ27">
        <f>COUNTIFS('DRAFT 2'!$D:$D,$B27,'DRAFT 2'!$A:$A,"&gt;="&amp;DATE(2026,10,15),'DRAFT 2'!$A:$A,"&lt;="&amp;DATE(2026,10,21))</f>
        <v/>
      </c>
      <c r="HR27">
        <f>COUNTIFS('DRAFT 2'!$D:$D,$B27,'DRAFT 2'!$A:$A,"&gt;="&amp;DATE(2026,10,22),'DRAFT 2'!$A:$A,"&lt;"&amp;DATE(2026,IF(10=12,10+1,10+1),1))</f>
        <v/>
      </c>
      <c r="HS27">
        <f>SUM(HO27:HR27)</f>
        <v/>
      </c>
      <c r="IC27">
        <f>IFERROR(LOOKUP(2,1/('DRAFT 2'!$D:$D=$B27)*('DRAFT 2'!$A:$A&gt;=DATE(2026,11,1))*('DRAFT 2'!$A:$A&lt;DATE(2026,IF(11=12,11+1,11+1),1)),'DRAFT 2'!$A:$A),"")</f>
        <v/>
      </c>
      <c r="ID27">
        <f>COUNTIFS('DRAFT 2'!$D:$D,$B27,'DRAFT 2'!$A:$A,"&gt;="&amp;DATE(2026,11,1),'DRAFT 2'!$A:$A,"&lt;="&amp;DATE(2026,11,7))</f>
        <v/>
      </c>
      <c r="IE27">
        <f>COUNTIFS('DRAFT 2'!$D:$D,$B27,'DRAFT 2'!$A:$A,"&gt;="&amp;DATE(2026,11,8),'DRAFT 2'!$A:$A,"&lt;="&amp;DATE(2026,11,14))</f>
        <v/>
      </c>
      <c r="IF27">
        <f>COUNTIFS('DRAFT 2'!$D:$D,$B27,'DRAFT 2'!$A:$A,"&gt;="&amp;DATE(2026,11,15),'DRAFT 2'!$A:$A,"&lt;="&amp;DATE(2026,11,21))</f>
        <v/>
      </c>
      <c r="IG27">
        <f>COUNTIFS('DRAFT 2'!$D:$D,$B27,'DRAFT 2'!$A:$A,"&gt;="&amp;DATE(2026,11,22),'DRAFT 2'!$A:$A,"&lt;"&amp;DATE(2026,IF(11=12,11+1,11+1),1))</f>
        <v/>
      </c>
      <c r="IH27">
        <f>SUM(ID27:IG27)</f>
        <v/>
      </c>
      <c r="IR27">
        <f>IFERROR(LOOKUP(2,1/('DRAFT 2'!$D:$D=$B27)*('DRAFT 2'!$A:$A&gt;=DATE(2026,12,1))*('DRAFT 2'!$A:$A&lt;DATE(2026,IF(12=12,12+1,12+1),1)),'DRAFT 2'!$A:$A),"")</f>
        <v/>
      </c>
      <c r="IS27">
        <f>COUNTIFS('DRAFT 2'!$D:$D,$B27,'DRAFT 2'!$A:$A,"&gt;="&amp;DATE(2026,12,1),'DRAFT 2'!$A:$A,"&lt;="&amp;DATE(2026,12,7))</f>
        <v/>
      </c>
      <c r="IT27">
        <f>COUNTIFS('DRAFT 2'!$D:$D,$B27,'DRAFT 2'!$A:$A,"&gt;="&amp;DATE(2026,12,8),'DRAFT 2'!$A:$A,"&lt;="&amp;DATE(2026,12,14))</f>
        <v/>
      </c>
      <c r="IU27">
        <f>COUNTIFS('DRAFT 2'!$D:$D,$B27,'DRAFT 2'!$A:$A,"&gt;="&amp;DATE(2026,12,15),'DRAFT 2'!$A:$A,"&lt;="&amp;DATE(2026,12,21))</f>
        <v/>
      </c>
      <c r="IV27">
        <f>COUNTIFS('DRAFT 2'!$D:$D,$B27,'DRAFT 2'!$A:$A,"&gt;="&amp;DATE(2026,12,22),'DRAFT 2'!$A:$A,"&lt;"&amp;DATE(2026,IF(12=12,12+1,12+1),1))</f>
        <v/>
      </c>
      <c r="IW27">
        <f>SUM(IS27:IV27)</f>
        <v/>
      </c>
    </row>
    <row r="28">
      <c r="A28">
        <f>IFERROR(INDEX('DRAFT 1'!$A:$A,MATCH($B28,'DRAFT 1'!$B:$B,0)),"")</f>
        <v/>
      </c>
      <c r="C28">
        <f>IFERROR(INDEX('DRAFT 1'!$C:$C,MATCH($B28,'DRAFT 1'!$B:$B,0)),"")</f>
        <v/>
      </c>
      <c r="D28">
        <f>IFERROR(INDEX('DRAFT 1'!$D:$D,MATCH($B28,'DRAFT 1'!$B:$B,0)),"")</f>
        <v/>
      </c>
      <c r="E28">
        <f>IFERROR(INDEX('DRAFT 1'!$E:$E,MATCH($B28,'DRAFT 1'!$B:$B,0)),"")</f>
        <v/>
      </c>
      <c r="F28">
        <f>IFERROR(INDEX('DRAFT 1'!$F:$F,MATCH($B28,'DRAFT 1'!$B:$B,0)),"")</f>
        <v/>
      </c>
      <c r="G28">
        <f>IFERROR(INDEX('DRAFT 1'!$G:$G,MATCH($B28,'DRAFT 1'!$B:$B,0)),"")</f>
        <v/>
      </c>
      <c r="H28">
        <f>IFERROR(INDEX('DRAFT 1'!$H:$H,MATCH($B28,'DRAFT 1'!$B:$B,0)),"")</f>
        <v/>
      </c>
      <c r="I28" t="inlineStr">
        <is>
          <t>TUDO EM GRAOS</t>
        </is>
      </c>
      <c r="K28">
        <f>IFERROR(INDEX('DRAFT 1'!$AL:$AL,MATCH($B28,'DRAFT 1'!$B:$B,0)),"")</f>
        <v/>
      </c>
      <c r="L28">
        <f>IFERROR(INDEX('DRAFT 1'!$J:$J,MATCH($B28,'DRAFT 1'!$B:$B,0)),"")</f>
        <v/>
      </c>
      <c r="M28">
        <f>IFERROR(INDEX('DRAFT 1'!$K:$K,MATCH($B28,'DRAFT 1'!$B:$B,0)),"")</f>
        <v/>
      </c>
      <c r="N28" t="inlineStr">
        <is>
          <t>EM RISCO</t>
        </is>
      </c>
      <c r="P28">
        <f>IFERROR(INDEX('DRAFT 1'!$L:$L,MATCH($B28,'DRAFT 1'!$B:$B,0)),"")</f>
        <v/>
      </c>
      <c r="Q28">
        <f>IFERROR(INDEX('DRAFT 1'!$M:$M,MATCH($B28,'DRAFT 1'!$B:$B,0)),"")</f>
        <v/>
      </c>
      <c r="R28">
        <f>IFERROR(INDEX('DRAFT 1'!$N:$N,MATCH($B28,'DRAFT 1'!$B:$B,0)),"")</f>
        <v/>
      </c>
      <c r="S28">
        <f>IFERROR(INDEX('DRAFT 1'!$O:$O,MATCH($B28,'DRAFT 1'!$B:$B,0)),"")</f>
        <v/>
      </c>
      <c r="T28">
        <f>IFERROR(INDEX('DRAFT 1'!$P:$P,MATCH($B28,'DRAFT 1'!$B:$B,0)),"")</f>
        <v/>
      </c>
      <c r="U28">
        <f>IFERROR(INDEX('DRAFT 1'!$Q:$Q,MATCH($B28,'DRAFT 1'!$B:$B,0)),"")</f>
        <v/>
      </c>
      <c r="V28">
        <f>IFERROR(INDEX('DRAFT 1'!$R:$R,MATCH($B28,'DRAFT 1'!$B:$B,0)),"")</f>
        <v/>
      </c>
      <c r="W28">
        <f>IFERROR(INDEX('DRAFT 1'!$S:$S,MATCH($B28,'DRAFT 1'!$B:$B,0)),"")</f>
        <v/>
      </c>
      <c r="X28">
        <f>IFERROR(INDEX('DRAFT 1'!$T:$T,MATCH($B28,'DRAFT 1'!$B:$B,0)),"")</f>
        <v/>
      </c>
      <c r="Z28">
        <f>IFERROR(INDEX('DRAFT 1'!$U:$U,MATCH($B28,'DRAFT 1'!$B:$B,0)),"")</f>
        <v/>
      </c>
      <c r="AA28">
        <f>IFERROR(INDEX('DRAFT 1'!$V:$V,MATCH($B28,'DRAFT 1'!$B:$B,0)),"")</f>
        <v/>
      </c>
      <c r="AB28">
        <f>IFERROR(INDEX('DRAFT 1'!$W:$W,MATCH($B28,'DRAFT 1'!$B:$B,0)),"")</f>
        <v/>
      </c>
      <c r="AC28">
        <f>IFERROR(INDEX('DRAFT 1'!$X:$X,MATCH($B28,'DRAFT 1'!$B:$B,0)),"")</f>
        <v/>
      </c>
      <c r="AD28">
        <f>IFERROR(INDEX('DRAFT 1'!$Y:$Y,MATCH($B28,'DRAFT 1'!$B:$B,0)),"")</f>
        <v/>
      </c>
      <c r="AE28">
        <f>IFERROR(INDEX('DRAFT 1'!$Z:$Z,MATCH($B28,'DRAFT 1'!$B:$B,0)),"")</f>
        <v/>
      </c>
      <c r="AF28">
        <f>IFERROR(INDEX('DRAFT 1'!$AA:$AA,MATCH($B28,'DRAFT 1'!$B:$B,0)),"")</f>
        <v/>
      </c>
      <c r="AG28">
        <f>IFERROR(INDEX('DRAFT 1'!$AB:$AB,MATCH($B28,'DRAFT 1'!$B:$B,0)),"")</f>
        <v/>
      </c>
      <c r="AH28">
        <f>IFERROR(INDEX('DRAFT 1'!$AC:$AC,MATCH($B28,'DRAFT 1'!$B:$B,0)),"")</f>
        <v/>
      </c>
      <c r="AI28">
        <f>IFERROR(INDEX('DRAFT 1'!$AD:$AD,MATCH($B28,'DRAFT 1'!$B:$B,0)),"")</f>
        <v/>
      </c>
      <c r="AJ28">
        <f>IFERROR(INDEX('DRAFT 1'!$AE:$AE,MATCH($B28,'DRAFT 1'!$B:$B,0)),"")</f>
        <v/>
      </c>
      <c r="AK28">
        <f>IFERROR(INDEX('DRAFT 1'!$AG:$AG,MATCH($B28,'DRAFT 1'!$B:$B,0)),"")</f>
        <v/>
      </c>
      <c r="AL28">
        <f>IFERROR(INDEX('DRAFT 1'!$AH:$AH,MATCH($B28,'DRAFT 1'!$B:$B,0)),"")</f>
        <v/>
      </c>
      <c r="AM28">
        <f>IFERROR(INDEX('DRAFT 1'!$AI:$AI,MATCH($B28,'DRAFT 1'!$B:$B,0)),"")</f>
        <v/>
      </c>
      <c r="AN28">
        <f>IFERROR(INDEX('DRAFT 1'!$AJ:$AJ,MATCH($B28,'DRAFT 1'!$B:$B,0)),"")</f>
        <v/>
      </c>
      <c r="AO28">
        <f>IFERROR(Y28/AN28,0)</f>
        <v/>
      </c>
      <c r="AP28">
        <f>IFERROR(INDEX('DRAFT 1'!$AK:$AK,MATCH($B28,'DRAFT 1'!$B:$B,0)),"")</f>
        <v/>
      </c>
      <c r="AR28" t="inlineStr">
        <is>
          <t>RECOMPRA</t>
        </is>
      </c>
      <c r="AS28">
        <f>IFERROR(LOOKUP(2,1/('DRAFT 2'!$D:$D=$B28),'DRAFT 2'!$T:$T),"")</f>
        <v/>
      </c>
      <c r="AT28">
        <f>IFERROR(LOOKUP(2,1/('DRAFT 2'!$D:$D=$B28),'DRAFT 2'!$A:$A),"")</f>
        <v/>
      </c>
      <c r="AU28">
        <f>IFERROR(LOOKUP(2,1/('DRAFT 2'!$D:$D=$B28),'DRAFT 2'!$R:$R),"")</f>
        <v/>
      </c>
      <c r="AV28">
        <f>IFERROR(LOOKUP(2,1/('DRAFT 2'!$D:$D=$B28),'DRAFT 2'!$S:$S),"")</f>
        <v/>
      </c>
      <c r="AW28" t="inlineStr">
        <is>
          <t>PROSPECT</t>
        </is>
      </c>
      <c r="AX28">
        <f>IFERROR(LOOKUP(2,1/('DRAFT 2'!$D:$D=$B28),'DRAFT 2'!$M:$M),"")</f>
        <v/>
      </c>
      <c r="AY28">
        <f>IFERROR(LOOKUP(2,1/('DRAFT 2'!$D:$D=$B28),'DRAFT 2'!$K:$K),"")</f>
        <v/>
      </c>
      <c r="BG28">
        <f>IFERROR(LOOKUP(2,1/('DRAFT 2'!$D:$D=$B28),'DRAFT 2'!$U:$U),"")</f>
        <v/>
      </c>
      <c r="BH28">
        <f>IFERROR(LOOKUP(2,1/('DRAFT 2'!$D:$D=$B28),'DRAFT 2'!$V:$V),"")</f>
        <v/>
      </c>
      <c r="CE28">
        <f>IFERROR(AJ28,0)</f>
        <v/>
      </c>
      <c r="CF28">
        <f>IFERROR(LOOKUP(2,1/('DRAFT 2'!$D:$D=$B28)*('DRAFT 2'!$A:$A&gt;=DATE(2026,1,1))*('DRAFT 2'!$A:$A&lt;DATE(2026,IF(1=12,1+1,1+1),1)),'DRAFT 2'!$A:$A),"")</f>
        <v/>
      </c>
      <c r="CG28">
        <f>COUNTIFS('DRAFT 2'!$D:$D,$B28,'DRAFT 2'!$A:$A,"&gt;="&amp;DATE(2026,1,1),'DRAFT 2'!$A:$A,"&lt;="&amp;DATE(2026,1,7))</f>
        <v/>
      </c>
      <c r="CH28">
        <f>COUNTIFS('DRAFT 2'!$D:$D,$B28,'DRAFT 2'!$A:$A,"&gt;="&amp;DATE(2026,1,8),'DRAFT 2'!$A:$A,"&lt;="&amp;DATE(2026,1,14))</f>
        <v/>
      </c>
      <c r="CI28">
        <f>COUNTIFS('DRAFT 2'!$D:$D,$B28,'DRAFT 2'!$A:$A,"&gt;="&amp;DATE(2026,1,15),'DRAFT 2'!$A:$A,"&lt;="&amp;DATE(2026,1,21))</f>
        <v/>
      </c>
      <c r="CJ28">
        <f>COUNTIFS('DRAFT 2'!$D:$D,$B28,'DRAFT 2'!$A:$A,"&gt;="&amp;DATE(2026,1,22),'DRAFT 2'!$A:$A,"&lt;"&amp;DATE(2026,IF(1=12,1+1,1+1),1))</f>
        <v/>
      </c>
      <c r="CK28">
        <f>SUM(CG28:CJ28)</f>
        <v/>
      </c>
      <c r="CT28" t="n">
        <v>0</v>
      </c>
      <c r="CU28">
        <f>IFERROR(LOOKUP(2,1/('DRAFT 2'!$D:$D=$B28)*('DRAFT 2'!$A:$A&gt;=DATE(2026,2,1))*('DRAFT 2'!$A:$A&lt;DATE(2026,IF(2=12,2+1,2+1),1)),'DRAFT 2'!$A:$A),"")</f>
        <v/>
      </c>
      <c r="CV28">
        <f>COUNTIFS('DRAFT 2'!$D:$D,$B28,'DRAFT 2'!$A:$A,"&gt;="&amp;DATE(2026,2,1),'DRAFT 2'!$A:$A,"&lt;="&amp;DATE(2026,2,7))</f>
        <v/>
      </c>
      <c r="CW28">
        <f>COUNTIFS('DRAFT 2'!$D:$D,$B28,'DRAFT 2'!$A:$A,"&gt;="&amp;DATE(2026,2,8),'DRAFT 2'!$A:$A,"&lt;="&amp;DATE(2026,2,14))</f>
        <v/>
      </c>
      <c r="CX28">
        <f>COUNTIFS('DRAFT 2'!$D:$D,$B28,'DRAFT 2'!$A:$A,"&gt;="&amp;DATE(2026,2,15),'DRAFT 2'!$A:$A,"&lt;="&amp;DATE(2026,2,21))</f>
        <v/>
      </c>
      <c r="CY28">
        <f>COUNTIFS('DRAFT 2'!$D:$D,$B28,'DRAFT 2'!$A:$A,"&gt;="&amp;DATE(2026,2,22),'DRAFT 2'!$A:$A,"&lt;"&amp;DATE(2026,IF(2=12,2+1,2+1),1))</f>
        <v/>
      </c>
      <c r="CZ28">
        <f>SUM(CV28:CY28)</f>
        <v/>
      </c>
      <c r="DJ28">
        <f>IFERROR(LOOKUP(2,1/('DRAFT 2'!$D:$D=$B28)*('DRAFT 2'!$A:$A&gt;=DATE(2026,3,1))*('DRAFT 2'!$A:$A&lt;DATE(2026,IF(3=12,3+1,3+1),1)),'DRAFT 2'!$A:$A),"")</f>
        <v/>
      </c>
      <c r="DK28">
        <f>COUNTIFS('DRAFT 2'!$D:$D,$B28,'DRAFT 2'!$A:$A,"&gt;="&amp;DATE(2026,3,1),'DRAFT 2'!$A:$A,"&lt;="&amp;DATE(2026,3,7))</f>
        <v/>
      </c>
      <c r="DL28">
        <f>COUNTIFS('DRAFT 2'!$D:$D,$B28,'DRAFT 2'!$A:$A,"&gt;="&amp;DATE(2026,3,8),'DRAFT 2'!$A:$A,"&lt;="&amp;DATE(2026,3,14))</f>
        <v/>
      </c>
      <c r="DM28">
        <f>COUNTIFS('DRAFT 2'!$D:$D,$B28,'DRAFT 2'!$A:$A,"&gt;="&amp;DATE(2026,3,15),'DRAFT 2'!$A:$A,"&lt;="&amp;DATE(2026,3,21))</f>
        <v/>
      </c>
      <c r="DN28">
        <f>COUNTIFS('DRAFT 2'!$D:$D,$B28,'DRAFT 2'!$A:$A,"&gt;="&amp;DATE(2026,3,22),'DRAFT 2'!$A:$A,"&lt;"&amp;DATE(2026,IF(3=12,3+1,3+1),1))</f>
        <v/>
      </c>
      <c r="DO28">
        <f>SUM(DK28:DN28)</f>
        <v/>
      </c>
      <c r="DZ28">
        <f>IFERROR(LOOKUP(2,1/('DRAFT 2'!$D:$D=$B28)*('DRAFT 2'!$A:$A&gt;=DATE(2026,4,1))*('DRAFT 2'!$A:$A&lt;DATE(2026,IF(4=12,4+1,4+1),1)),'DRAFT 2'!$A:$A),"")</f>
        <v/>
      </c>
      <c r="EA28">
        <f>COUNTIFS('DRAFT 2'!$D:$D,$B28,'DRAFT 2'!$A:$A,"&gt;="&amp;DATE(2026,4,1),'DRAFT 2'!$A:$A,"&lt;="&amp;DATE(2026,4,7))</f>
        <v/>
      </c>
      <c r="EB28">
        <f>COUNTIFS('DRAFT 2'!$D:$D,$B28,'DRAFT 2'!$A:$A,"&gt;="&amp;DATE(2026,4,8),'DRAFT 2'!$A:$A,"&lt;="&amp;DATE(2026,4,14))</f>
        <v/>
      </c>
      <c r="EC28">
        <f>COUNTIFS('DRAFT 2'!$D:$D,$B28,'DRAFT 2'!$A:$A,"&gt;="&amp;DATE(2026,4,15),'DRAFT 2'!$A:$A,"&lt;="&amp;DATE(2026,4,21))</f>
        <v/>
      </c>
      <c r="ED28">
        <f>COUNTIFS('DRAFT 2'!$D:$D,$B28,'DRAFT 2'!$A:$A,"&gt;="&amp;DATE(2026,4,22),'DRAFT 2'!$A:$A,"&lt;"&amp;DATE(2026,IF(4=12,4+1,4+1),1))</f>
        <v/>
      </c>
      <c r="EE28">
        <f>SUM(EA28:ED28)</f>
        <v/>
      </c>
      <c r="EO28">
        <f>IFERROR(LOOKUP(2,1/('DRAFT 2'!$D:$D=$B28)*('DRAFT 2'!$A:$A&gt;=DATE(2026,5,1))*('DRAFT 2'!$A:$A&lt;DATE(2026,IF(5=12,5+1,5+1),1)),'DRAFT 2'!$A:$A),"")</f>
        <v/>
      </c>
      <c r="EP28">
        <f>COUNTIFS('DRAFT 2'!$D:$D,$B28,'DRAFT 2'!$A:$A,"&gt;="&amp;DATE(2026,5,1),'DRAFT 2'!$A:$A,"&lt;="&amp;DATE(2026,5,7))</f>
        <v/>
      </c>
      <c r="EQ28">
        <f>COUNTIFS('DRAFT 2'!$D:$D,$B28,'DRAFT 2'!$A:$A,"&gt;="&amp;DATE(2026,5,8),'DRAFT 2'!$A:$A,"&lt;="&amp;DATE(2026,5,14))</f>
        <v/>
      </c>
      <c r="ER28">
        <f>COUNTIFS('DRAFT 2'!$D:$D,$B28,'DRAFT 2'!$A:$A,"&gt;="&amp;DATE(2026,5,15),'DRAFT 2'!$A:$A,"&lt;="&amp;DATE(2026,5,21))</f>
        <v/>
      </c>
      <c r="ES28">
        <f>COUNTIFS('DRAFT 2'!$D:$D,$B28,'DRAFT 2'!$A:$A,"&gt;="&amp;DATE(2026,5,22),'DRAFT 2'!$A:$A,"&lt;"&amp;DATE(2026,IF(5=12,5+1,5+1),1))</f>
        <v/>
      </c>
      <c r="ET28">
        <f>SUM(EP28:ES28)</f>
        <v/>
      </c>
      <c r="FD28">
        <f>IFERROR(LOOKUP(2,1/('DRAFT 2'!$D:$D=$B28)*('DRAFT 2'!$A:$A&gt;=DATE(2026,6,1))*('DRAFT 2'!$A:$A&lt;DATE(2026,IF(6=12,6+1,6+1),1)),'DRAFT 2'!$A:$A),"")</f>
        <v/>
      </c>
      <c r="FE28">
        <f>COUNTIFS('DRAFT 2'!$D:$D,$B28,'DRAFT 2'!$A:$A,"&gt;="&amp;DATE(2026,6,1),'DRAFT 2'!$A:$A,"&lt;="&amp;DATE(2026,6,7))</f>
        <v/>
      </c>
      <c r="FF28">
        <f>COUNTIFS('DRAFT 2'!$D:$D,$B28,'DRAFT 2'!$A:$A,"&gt;="&amp;DATE(2026,6,8),'DRAFT 2'!$A:$A,"&lt;="&amp;DATE(2026,6,14))</f>
        <v/>
      </c>
      <c r="FG28">
        <f>COUNTIFS('DRAFT 2'!$D:$D,$B28,'DRAFT 2'!$A:$A,"&gt;="&amp;DATE(2026,6,15),'DRAFT 2'!$A:$A,"&lt;="&amp;DATE(2026,6,21))</f>
        <v/>
      </c>
      <c r="FH28">
        <f>COUNTIFS('DRAFT 2'!$D:$D,$B28,'DRAFT 2'!$A:$A,"&gt;="&amp;DATE(2026,6,22),'DRAFT 2'!$A:$A,"&lt;"&amp;DATE(2026,IF(6=12,6+1,6+1),1))</f>
        <v/>
      </c>
      <c r="FI28">
        <f>SUM(FE28:FH28)</f>
        <v/>
      </c>
      <c r="FT28">
        <f>IFERROR(LOOKUP(2,1/('DRAFT 2'!$D:$D=$B28)*('DRAFT 2'!$A:$A&gt;=DATE(2026,7,1))*('DRAFT 2'!$A:$A&lt;DATE(2026,IF(7=12,7+1,7+1),1)),'DRAFT 2'!$A:$A),"")</f>
        <v/>
      </c>
      <c r="FU28">
        <f>COUNTIFS('DRAFT 2'!$D:$D,$B28,'DRAFT 2'!$A:$A,"&gt;="&amp;DATE(2026,7,1),'DRAFT 2'!$A:$A,"&lt;="&amp;DATE(2026,7,7))</f>
        <v/>
      </c>
      <c r="FV28">
        <f>COUNTIFS('DRAFT 2'!$D:$D,$B28,'DRAFT 2'!$A:$A,"&gt;="&amp;DATE(2026,7,8),'DRAFT 2'!$A:$A,"&lt;="&amp;DATE(2026,7,14))</f>
        <v/>
      </c>
      <c r="FW28">
        <f>COUNTIFS('DRAFT 2'!$D:$D,$B28,'DRAFT 2'!$A:$A,"&gt;="&amp;DATE(2026,7,15),'DRAFT 2'!$A:$A,"&lt;="&amp;DATE(2026,7,21))</f>
        <v/>
      </c>
      <c r="FX28">
        <f>COUNTIFS('DRAFT 2'!$D:$D,$B28,'DRAFT 2'!$A:$A,"&gt;="&amp;DATE(2026,7,22),'DRAFT 2'!$A:$A,"&lt;"&amp;DATE(2026,IF(7=12,7+1,7+1),1))</f>
        <v/>
      </c>
      <c r="FY28">
        <f>SUM(FU28:FX28)</f>
        <v/>
      </c>
      <c r="GI28">
        <f>IFERROR(LOOKUP(2,1/('DRAFT 2'!$D:$D=$B28)*('DRAFT 2'!$A:$A&gt;=DATE(2026,8,1))*('DRAFT 2'!$A:$A&lt;DATE(2026,IF(8=12,8+1,8+1),1)),'DRAFT 2'!$A:$A),"")</f>
        <v/>
      </c>
      <c r="GJ28">
        <f>COUNTIFS('DRAFT 2'!$D:$D,$B28,'DRAFT 2'!$A:$A,"&gt;="&amp;DATE(2026,8,1),'DRAFT 2'!$A:$A,"&lt;="&amp;DATE(2026,8,7))</f>
        <v/>
      </c>
      <c r="GK28">
        <f>COUNTIFS('DRAFT 2'!$D:$D,$B28,'DRAFT 2'!$A:$A,"&gt;="&amp;DATE(2026,8,8),'DRAFT 2'!$A:$A,"&lt;="&amp;DATE(2026,8,14))</f>
        <v/>
      </c>
      <c r="GL28">
        <f>COUNTIFS('DRAFT 2'!$D:$D,$B28,'DRAFT 2'!$A:$A,"&gt;="&amp;DATE(2026,8,15),'DRAFT 2'!$A:$A,"&lt;="&amp;DATE(2026,8,21))</f>
        <v/>
      </c>
      <c r="GM28">
        <f>COUNTIFS('DRAFT 2'!$D:$D,$B28,'DRAFT 2'!$A:$A,"&gt;="&amp;DATE(2026,8,22),'DRAFT 2'!$A:$A,"&lt;"&amp;DATE(2026,IF(8=12,8+1,8+1),1))</f>
        <v/>
      </c>
      <c r="GN28">
        <f>SUM(GJ28:GM28)</f>
        <v/>
      </c>
      <c r="GX28">
        <f>IFERROR(LOOKUP(2,1/('DRAFT 2'!$D:$D=$B28)*('DRAFT 2'!$A:$A&gt;=DATE(2026,9,1))*('DRAFT 2'!$A:$A&lt;DATE(2026,IF(9=12,9+1,9+1),1)),'DRAFT 2'!$A:$A),"")</f>
        <v/>
      </c>
      <c r="GY28">
        <f>COUNTIFS('DRAFT 2'!$D:$D,$B28,'DRAFT 2'!$A:$A,"&gt;="&amp;DATE(2026,9,1),'DRAFT 2'!$A:$A,"&lt;="&amp;DATE(2026,9,7))</f>
        <v/>
      </c>
      <c r="GZ28">
        <f>COUNTIFS('DRAFT 2'!$D:$D,$B28,'DRAFT 2'!$A:$A,"&gt;="&amp;DATE(2026,9,8),'DRAFT 2'!$A:$A,"&lt;="&amp;DATE(2026,9,14))</f>
        <v/>
      </c>
      <c r="HA28">
        <f>COUNTIFS('DRAFT 2'!$D:$D,$B28,'DRAFT 2'!$A:$A,"&gt;="&amp;DATE(2026,9,15),'DRAFT 2'!$A:$A,"&lt;="&amp;DATE(2026,9,21))</f>
        <v/>
      </c>
      <c r="HB28">
        <f>COUNTIFS('DRAFT 2'!$D:$D,$B28,'DRAFT 2'!$A:$A,"&gt;="&amp;DATE(2026,9,22),'DRAFT 2'!$A:$A,"&lt;"&amp;DATE(2026,IF(9=12,9+1,9+1),1))</f>
        <v/>
      </c>
      <c r="HC28">
        <f>SUM(GY28:HB28)</f>
        <v/>
      </c>
      <c r="HN28">
        <f>IFERROR(LOOKUP(2,1/('DRAFT 2'!$D:$D=$B28)*('DRAFT 2'!$A:$A&gt;=DATE(2026,10,1))*('DRAFT 2'!$A:$A&lt;DATE(2026,IF(10=12,10+1,10+1),1)),'DRAFT 2'!$A:$A),"")</f>
        <v/>
      </c>
      <c r="HO28">
        <f>COUNTIFS('DRAFT 2'!$D:$D,$B28,'DRAFT 2'!$A:$A,"&gt;="&amp;DATE(2026,10,1),'DRAFT 2'!$A:$A,"&lt;="&amp;DATE(2026,10,7))</f>
        <v/>
      </c>
      <c r="HP28">
        <f>COUNTIFS('DRAFT 2'!$D:$D,$B28,'DRAFT 2'!$A:$A,"&gt;="&amp;DATE(2026,10,8),'DRAFT 2'!$A:$A,"&lt;="&amp;DATE(2026,10,14))</f>
        <v/>
      </c>
      <c r="HQ28">
        <f>COUNTIFS('DRAFT 2'!$D:$D,$B28,'DRAFT 2'!$A:$A,"&gt;="&amp;DATE(2026,10,15),'DRAFT 2'!$A:$A,"&lt;="&amp;DATE(2026,10,21))</f>
        <v/>
      </c>
      <c r="HR28">
        <f>COUNTIFS('DRAFT 2'!$D:$D,$B28,'DRAFT 2'!$A:$A,"&gt;="&amp;DATE(2026,10,22),'DRAFT 2'!$A:$A,"&lt;"&amp;DATE(2026,IF(10=12,10+1,10+1),1))</f>
        <v/>
      </c>
      <c r="HS28">
        <f>SUM(HO28:HR28)</f>
        <v/>
      </c>
      <c r="IC28">
        <f>IFERROR(LOOKUP(2,1/('DRAFT 2'!$D:$D=$B28)*('DRAFT 2'!$A:$A&gt;=DATE(2026,11,1))*('DRAFT 2'!$A:$A&lt;DATE(2026,IF(11=12,11+1,11+1),1)),'DRAFT 2'!$A:$A),"")</f>
        <v/>
      </c>
      <c r="ID28">
        <f>COUNTIFS('DRAFT 2'!$D:$D,$B28,'DRAFT 2'!$A:$A,"&gt;="&amp;DATE(2026,11,1),'DRAFT 2'!$A:$A,"&lt;="&amp;DATE(2026,11,7))</f>
        <v/>
      </c>
      <c r="IE28">
        <f>COUNTIFS('DRAFT 2'!$D:$D,$B28,'DRAFT 2'!$A:$A,"&gt;="&amp;DATE(2026,11,8),'DRAFT 2'!$A:$A,"&lt;="&amp;DATE(2026,11,14))</f>
        <v/>
      </c>
      <c r="IF28">
        <f>COUNTIFS('DRAFT 2'!$D:$D,$B28,'DRAFT 2'!$A:$A,"&gt;="&amp;DATE(2026,11,15),'DRAFT 2'!$A:$A,"&lt;="&amp;DATE(2026,11,21))</f>
        <v/>
      </c>
      <c r="IG28">
        <f>COUNTIFS('DRAFT 2'!$D:$D,$B28,'DRAFT 2'!$A:$A,"&gt;="&amp;DATE(2026,11,22),'DRAFT 2'!$A:$A,"&lt;"&amp;DATE(2026,IF(11=12,11+1,11+1),1))</f>
        <v/>
      </c>
      <c r="IH28">
        <f>SUM(ID28:IG28)</f>
        <v/>
      </c>
      <c r="IR28">
        <f>IFERROR(LOOKUP(2,1/('DRAFT 2'!$D:$D=$B28)*('DRAFT 2'!$A:$A&gt;=DATE(2026,12,1))*('DRAFT 2'!$A:$A&lt;DATE(2026,IF(12=12,12+1,12+1),1)),'DRAFT 2'!$A:$A),"")</f>
        <v/>
      </c>
      <c r="IS28">
        <f>COUNTIFS('DRAFT 2'!$D:$D,$B28,'DRAFT 2'!$A:$A,"&gt;="&amp;DATE(2026,12,1),'DRAFT 2'!$A:$A,"&lt;="&amp;DATE(2026,12,7))</f>
        <v/>
      </c>
      <c r="IT28">
        <f>COUNTIFS('DRAFT 2'!$D:$D,$B28,'DRAFT 2'!$A:$A,"&gt;="&amp;DATE(2026,12,8),'DRAFT 2'!$A:$A,"&lt;="&amp;DATE(2026,12,14))</f>
        <v/>
      </c>
      <c r="IU28">
        <f>COUNTIFS('DRAFT 2'!$D:$D,$B28,'DRAFT 2'!$A:$A,"&gt;="&amp;DATE(2026,12,15),'DRAFT 2'!$A:$A,"&lt;="&amp;DATE(2026,12,21))</f>
        <v/>
      </c>
      <c r="IV28">
        <f>COUNTIFS('DRAFT 2'!$D:$D,$B28,'DRAFT 2'!$A:$A,"&gt;="&amp;DATE(2026,12,22),'DRAFT 2'!$A:$A,"&lt;"&amp;DATE(2026,IF(12=12,12+1,12+1),1))</f>
        <v/>
      </c>
      <c r="IW28">
        <f>SUM(IS28:IV28)</f>
        <v/>
      </c>
    </row>
    <row r="29">
      <c r="A29">
        <f>IFERROR(INDEX('DRAFT 1'!$A:$A,MATCH($B29,'DRAFT 1'!$B:$B,0)),"")</f>
        <v/>
      </c>
      <c r="C29">
        <f>IFERROR(INDEX('DRAFT 1'!$C:$C,MATCH($B29,'DRAFT 1'!$B:$B,0)),"")</f>
        <v/>
      </c>
      <c r="D29">
        <f>IFERROR(INDEX('DRAFT 1'!$D:$D,MATCH($B29,'DRAFT 1'!$B:$B,0)),"")</f>
        <v/>
      </c>
      <c r="E29">
        <f>IFERROR(INDEX('DRAFT 1'!$E:$E,MATCH($B29,'DRAFT 1'!$B:$B,0)),"")</f>
        <v/>
      </c>
      <c r="F29">
        <f>IFERROR(INDEX('DRAFT 1'!$F:$F,MATCH($B29,'DRAFT 1'!$B:$B,0)),"")</f>
        <v/>
      </c>
      <c r="G29">
        <f>IFERROR(INDEX('DRAFT 1'!$G:$G,MATCH($B29,'DRAFT 1'!$B:$B,0)),"")</f>
        <v/>
      </c>
      <c r="H29">
        <f>IFERROR(INDEX('DRAFT 1'!$H:$H,MATCH($B29,'DRAFT 1'!$B:$B,0)),"")</f>
        <v/>
      </c>
      <c r="I29" t="inlineStr">
        <is>
          <t>DEMAIS CLIENTES</t>
        </is>
      </c>
      <c r="K29">
        <f>IFERROR(INDEX('DRAFT 1'!$AL:$AL,MATCH($B29,'DRAFT 1'!$B:$B,0)),"")</f>
        <v/>
      </c>
      <c r="L29">
        <f>IFERROR(INDEX('DRAFT 1'!$J:$J,MATCH($B29,'DRAFT 1'!$B:$B,0)),"")</f>
        <v/>
      </c>
      <c r="M29">
        <f>IFERROR(INDEX('DRAFT 1'!$K:$K,MATCH($B29,'DRAFT 1'!$B:$B,0)),"")</f>
        <v/>
      </c>
      <c r="N29" t="inlineStr">
        <is>
          <t>INAT.ANT</t>
        </is>
      </c>
      <c r="P29">
        <f>IFERROR(INDEX('DRAFT 1'!$L:$L,MATCH($B29,'DRAFT 1'!$B:$B,0)),"")</f>
        <v/>
      </c>
      <c r="Q29">
        <f>IFERROR(INDEX('DRAFT 1'!$M:$M,MATCH($B29,'DRAFT 1'!$B:$B,0)),"")</f>
        <v/>
      </c>
      <c r="R29">
        <f>IFERROR(INDEX('DRAFT 1'!$N:$N,MATCH($B29,'DRAFT 1'!$B:$B,0)),"")</f>
        <v/>
      </c>
      <c r="S29">
        <f>IFERROR(INDEX('DRAFT 1'!$O:$O,MATCH($B29,'DRAFT 1'!$B:$B,0)),"")</f>
        <v/>
      </c>
      <c r="T29">
        <f>IFERROR(INDEX('DRAFT 1'!$P:$P,MATCH($B29,'DRAFT 1'!$B:$B,0)),"")</f>
        <v/>
      </c>
      <c r="U29">
        <f>IFERROR(INDEX('DRAFT 1'!$Q:$Q,MATCH($B29,'DRAFT 1'!$B:$B,0)),"")</f>
        <v/>
      </c>
      <c r="V29">
        <f>IFERROR(INDEX('DRAFT 1'!$R:$R,MATCH($B29,'DRAFT 1'!$B:$B,0)),"")</f>
        <v/>
      </c>
      <c r="W29">
        <f>IFERROR(INDEX('DRAFT 1'!$S:$S,MATCH($B29,'DRAFT 1'!$B:$B,0)),"")</f>
        <v/>
      </c>
      <c r="X29">
        <f>IFERROR(INDEX('DRAFT 1'!$T:$T,MATCH($B29,'DRAFT 1'!$B:$B,0)),"")</f>
        <v/>
      </c>
      <c r="Z29">
        <f>IFERROR(INDEX('DRAFT 1'!$U:$U,MATCH($B29,'DRAFT 1'!$B:$B,0)),"")</f>
        <v/>
      </c>
      <c r="AA29">
        <f>IFERROR(INDEX('DRAFT 1'!$V:$V,MATCH($B29,'DRAFT 1'!$B:$B,0)),"")</f>
        <v/>
      </c>
      <c r="AB29">
        <f>IFERROR(INDEX('DRAFT 1'!$W:$W,MATCH($B29,'DRAFT 1'!$B:$B,0)),"")</f>
        <v/>
      </c>
      <c r="AC29">
        <f>IFERROR(INDEX('DRAFT 1'!$X:$X,MATCH($B29,'DRAFT 1'!$B:$B,0)),"")</f>
        <v/>
      </c>
      <c r="AD29">
        <f>IFERROR(INDEX('DRAFT 1'!$Y:$Y,MATCH($B29,'DRAFT 1'!$B:$B,0)),"")</f>
        <v/>
      </c>
      <c r="AE29">
        <f>IFERROR(INDEX('DRAFT 1'!$Z:$Z,MATCH($B29,'DRAFT 1'!$B:$B,0)),"")</f>
        <v/>
      </c>
      <c r="AF29">
        <f>IFERROR(INDEX('DRAFT 1'!$AA:$AA,MATCH($B29,'DRAFT 1'!$B:$B,0)),"")</f>
        <v/>
      </c>
      <c r="AG29">
        <f>IFERROR(INDEX('DRAFT 1'!$AB:$AB,MATCH($B29,'DRAFT 1'!$B:$B,0)),"")</f>
        <v/>
      </c>
      <c r="AH29">
        <f>IFERROR(INDEX('DRAFT 1'!$AC:$AC,MATCH($B29,'DRAFT 1'!$B:$B,0)),"")</f>
        <v/>
      </c>
      <c r="AI29">
        <f>IFERROR(INDEX('DRAFT 1'!$AD:$AD,MATCH($B29,'DRAFT 1'!$B:$B,0)),"")</f>
        <v/>
      </c>
      <c r="AJ29">
        <f>IFERROR(INDEX('DRAFT 1'!$AE:$AE,MATCH($B29,'DRAFT 1'!$B:$B,0)),"")</f>
        <v/>
      </c>
      <c r="AK29">
        <f>IFERROR(INDEX('DRAFT 1'!$AG:$AG,MATCH($B29,'DRAFT 1'!$B:$B,0)),"")</f>
        <v/>
      </c>
      <c r="AL29">
        <f>IFERROR(INDEX('DRAFT 1'!$AH:$AH,MATCH($B29,'DRAFT 1'!$B:$B,0)),"")</f>
        <v/>
      </c>
      <c r="AM29">
        <f>IFERROR(INDEX('DRAFT 1'!$AI:$AI,MATCH($B29,'DRAFT 1'!$B:$B,0)),"")</f>
        <v/>
      </c>
      <c r="AN29">
        <f>IFERROR(INDEX('DRAFT 1'!$AJ:$AJ,MATCH($B29,'DRAFT 1'!$B:$B,0)),"")</f>
        <v/>
      </c>
      <c r="AO29">
        <f>IFERROR(Y29/AN29,0)</f>
        <v/>
      </c>
      <c r="AP29">
        <f>IFERROR(INDEX('DRAFT 1'!$AK:$AK,MATCH($B29,'DRAFT 1'!$B:$B,0)),"")</f>
        <v/>
      </c>
      <c r="AR29" t="inlineStr">
        <is>
          <t>SALVAMENTO</t>
        </is>
      </c>
      <c r="AS29">
        <f>IFERROR(LOOKUP(2,1/('DRAFT 2'!$D:$D=$B29),'DRAFT 2'!$T:$T),"")</f>
        <v/>
      </c>
      <c r="AT29">
        <f>IFERROR(LOOKUP(2,1/('DRAFT 2'!$D:$D=$B29),'DRAFT 2'!$A:$A),"")</f>
        <v/>
      </c>
      <c r="AU29">
        <f>IFERROR(LOOKUP(2,1/('DRAFT 2'!$D:$D=$B29),'DRAFT 2'!$R:$R),"")</f>
        <v/>
      </c>
      <c r="AV29">
        <f>IFERROR(LOOKUP(2,1/('DRAFT 2'!$D:$D=$B29),'DRAFT 2'!$S:$S),"")</f>
        <v/>
      </c>
      <c r="AW29" t="inlineStr">
        <is>
          <t>LEAD</t>
        </is>
      </c>
      <c r="AX29">
        <f>IFERROR(LOOKUP(2,1/('DRAFT 2'!$D:$D=$B29),'DRAFT 2'!$M:$M),"")</f>
        <v/>
      </c>
      <c r="AY29">
        <f>IFERROR(LOOKUP(2,1/('DRAFT 2'!$D:$D=$B29),'DRAFT 2'!$K:$K),"")</f>
        <v/>
      </c>
      <c r="BG29">
        <f>IFERROR(LOOKUP(2,1/('DRAFT 2'!$D:$D=$B29),'DRAFT 2'!$U:$U),"")</f>
        <v/>
      </c>
      <c r="BH29">
        <f>IFERROR(LOOKUP(2,1/('DRAFT 2'!$D:$D=$B29),'DRAFT 2'!$V:$V),"")</f>
        <v/>
      </c>
      <c r="CE29">
        <f>IFERROR(AJ29,0)</f>
        <v/>
      </c>
      <c r="CF29">
        <f>IFERROR(LOOKUP(2,1/('DRAFT 2'!$D:$D=$B29)*('DRAFT 2'!$A:$A&gt;=DATE(2026,1,1))*('DRAFT 2'!$A:$A&lt;DATE(2026,IF(1=12,1+1,1+1),1)),'DRAFT 2'!$A:$A),"")</f>
        <v/>
      </c>
      <c r="CG29">
        <f>COUNTIFS('DRAFT 2'!$D:$D,$B29,'DRAFT 2'!$A:$A,"&gt;="&amp;DATE(2026,1,1),'DRAFT 2'!$A:$A,"&lt;="&amp;DATE(2026,1,7))</f>
        <v/>
      </c>
      <c r="CH29">
        <f>COUNTIFS('DRAFT 2'!$D:$D,$B29,'DRAFT 2'!$A:$A,"&gt;="&amp;DATE(2026,1,8),'DRAFT 2'!$A:$A,"&lt;="&amp;DATE(2026,1,14))</f>
        <v/>
      </c>
      <c r="CI29">
        <f>COUNTIFS('DRAFT 2'!$D:$D,$B29,'DRAFT 2'!$A:$A,"&gt;="&amp;DATE(2026,1,15),'DRAFT 2'!$A:$A,"&lt;="&amp;DATE(2026,1,21))</f>
        <v/>
      </c>
      <c r="CJ29">
        <f>COUNTIFS('DRAFT 2'!$D:$D,$B29,'DRAFT 2'!$A:$A,"&gt;="&amp;DATE(2026,1,22),'DRAFT 2'!$A:$A,"&lt;"&amp;DATE(2026,IF(1=12,1+1,1+1),1))</f>
        <v/>
      </c>
      <c r="CK29">
        <f>SUM(CG29:CJ29)</f>
        <v/>
      </c>
      <c r="CT29" t="n">
        <v>0</v>
      </c>
      <c r="CU29">
        <f>IFERROR(LOOKUP(2,1/('DRAFT 2'!$D:$D=$B29)*('DRAFT 2'!$A:$A&gt;=DATE(2026,2,1))*('DRAFT 2'!$A:$A&lt;DATE(2026,IF(2=12,2+1,2+1),1)),'DRAFT 2'!$A:$A),"")</f>
        <v/>
      </c>
      <c r="CV29">
        <f>COUNTIFS('DRAFT 2'!$D:$D,$B29,'DRAFT 2'!$A:$A,"&gt;="&amp;DATE(2026,2,1),'DRAFT 2'!$A:$A,"&lt;="&amp;DATE(2026,2,7))</f>
        <v/>
      </c>
      <c r="CW29">
        <f>COUNTIFS('DRAFT 2'!$D:$D,$B29,'DRAFT 2'!$A:$A,"&gt;="&amp;DATE(2026,2,8),'DRAFT 2'!$A:$A,"&lt;="&amp;DATE(2026,2,14))</f>
        <v/>
      </c>
      <c r="CX29">
        <f>COUNTIFS('DRAFT 2'!$D:$D,$B29,'DRAFT 2'!$A:$A,"&gt;="&amp;DATE(2026,2,15),'DRAFT 2'!$A:$A,"&lt;="&amp;DATE(2026,2,21))</f>
        <v/>
      </c>
      <c r="CY29">
        <f>COUNTIFS('DRAFT 2'!$D:$D,$B29,'DRAFT 2'!$A:$A,"&gt;="&amp;DATE(2026,2,22),'DRAFT 2'!$A:$A,"&lt;"&amp;DATE(2026,IF(2=12,2+1,2+1),1))</f>
        <v/>
      </c>
      <c r="CZ29">
        <f>SUM(CV29:CY29)</f>
        <v/>
      </c>
      <c r="DJ29">
        <f>IFERROR(LOOKUP(2,1/('DRAFT 2'!$D:$D=$B29)*('DRAFT 2'!$A:$A&gt;=DATE(2026,3,1))*('DRAFT 2'!$A:$A&lt;DATE(2026,IF(3=12,3+1,3+1),1)),'DRAFT 2'!$A:$A),"")</f>
        <v/>
      </c>
      <c r="DK29">
        <f>COUNTIFS('DRAFT 2'!$D:$D,$B29,'DRAFT 2'!$A:$A,"&gt;="&amp;DATE(2026,3,1),'DRAFT 2'!$A:$A,"&lt;="&amp;DATE(2026,3,7))</f>
        <v/>
      </c>
      <c r="DL29">
        <f>COUNTIFS('DRAFT 2'!$D:$D,$B29,'DRAFT 2'!$A:$A,"&gt;="&amp;DATE(2026,3,8),'DRAFT 2'!$A:$A,"&lt;="&amp;DATE(2026,3,14))</f>
        <v/>
      </c>
      <c r="DM29">
        <f>COUNTIFS('DRAFT 2'!$D:$D,$B29,'DRAFT 2'!$A:$A,"&gt;="&amp;DATE(2026,3,15),'DRAFT 2'!$A:$A,"&lt;="&amp;DATE(2026,3,21))</f>
        <v/>
      </c>
      <c r="DN29">
        <f>COUNTIFS('DRAFT 2'!$D:$D,$B29,'DRAFT 2'!$A:$A,"&gt;="&amp;DATE(2026,3,22),'DRAFT 2'!$A:$A,"&lt;"&amp;DATE(2026,IF(3=12,3+1,3+1),1))</f>
        <v/>
      </c>
      <c r="DO29">
        <f>SUM(DK29:DN29)</f>
        <v/>
      </c>
      <c r="DZ29">
        <f>IFERROR(LOOKUP(2,1/('DRAFT 2'!$D:$D=$B29)*('DRAFT 2'!$A:$A&gt;=DATE(2026,4,1))*('DRAFT 2'!$A:$A&lt;DATE(2026,IF(4=12,4+1,4+1),1)),'DRAFT 2'!$A:$A),"")</f>
        <v/>
      </c>
      <c r="EA29">
        <f>COUNTIFS('DRAFT 2'!$D:$D,$B29,'DRAFT 2'!$A:$A,"&gt;="&amp;DATE(2026,4,1),'DRAFT 2'!$A:$A,"&lt;="&amp;DATE(2026,4,7))</f>
        <v/>
      </c>
      <c r="EB29">
        <f>COUNTIFS('DRAFT 2'!$D:$D,$B29,'DRAFT 2'!$A:$A,"&gt;="&amp;DATE(2026,4,8),'DRAFT 2'!$A:$A,"&lt;="&amp;DATE(2026,4,14))</f>
        <v/>
      </c>
      <c r="EC29">
        <f>COUNTIFS('DRAFT 2'!$D:$D,$B29,'DRAFT 2'!$A:$A,"&gt;="&amp;DATE(2026,4,15),'DRAFT 2'!$A:$A,"&lt;="&amp;DATE(2026,4,21))</f>
        <v/>
      </c>
      <c r="ED29">
        <f>COUNTIFS('DRAFT 2'!$D:$D,$B29,'DRAFT 2'!$A:$A,"&gt;="&amp;DATE(2026,4,22),'DRAFT 2'!$A:$A,"&lt;"&amp;DATE(2026,IF(4=12,4+1,4+1),1))</f>
        <v/>
      </c>
      <c r="EE29">
        <f>SUM(EA29:ED29)</f>
        <v/>
      </c>
      <c r="EO29">
        <f>IFERROR(LOOKUP(2,1/('DRAFT 2'!$D:$D=$B29)*('DRAFT 2'!$A:$A&gt;=DATE(2026,5,1))*('DRAFT 2'!$A:$A&lt;DATE(2026,IF(5=12,5+1,5+1),1)),'DRAFT 2'!$A:$A),"")</f>
        <v/>
      </c>
      <c r="EP29">
        <f>COUNTIFS('DRAFT 2'!$D:$D,$B29,'DRAFT 2'!$A:$A,"&gt;="&amp;DATE(2026,5,1),'DRAFT 2'!$A:$A,"&lt;="&amp;DATE(2026,5,7))</f>
        <v/>
      </c>
      <c r="EQ29">
        <f>COUNTIFS('DRAFT 2'!$D:$D,$B29,'DRAFT 2'!$A:$A,"&gt;="&amp;DATE(2026,5,8),'DRAFT 2'!$A:$A,"&lt;="&amp;DATE(2026,5,14))</f>
        <v/>
      </c>
      <c r="ER29">
        <f>COUNTIFS('DRAFT 2'!$D:$D,$B29,'DRAFT 2'!$A:$A,"&gt;="&amp;DATE(2026,5,15),'DRAFT 2'!$A:$A,"&lt;="&amp;DATE(2026,5,21))</f>
        <v/>
      </c>
      <c r="ES29">
        <f>COUNTIFS('DRAFT 2'!$D:$D,$B29,'DRAFT 2'!$A:$A,"&gt;="&amp;DATE(2026,5,22),'DRAFT 2'!$A:$A,"&lt;"&amp;DATE(2026,IF(5=12,5+1,5+1),1))</f>
        <v/>
      </c>
      <c r="ET29">
        <f>SUM(EP29:ES29)</f>
        <v/>
      </c>
      <c r="FD29">
        <f>IFERROR(LOOKUP(2,1/('DRAFT 2'!$D:$D=$B29)*('DRAFT 2'!$A:$A&gt;=DATE(2026,6,1))*('DRAFT 2'!$A:$A&lt;DATE(2026,IF(6=12,6+1,6+1),1)),'DRAFT 2'!$A:$A),"")</f>
        <v/>
      </c>
      <c r="FE29">
        <f>COUNTIFS('DRAFT 2'!$D:$D,$B29,'DRAFT 2'!$A:$A,"&gt;="&amp;DATE(2026,6,1),'DRAFT 2'!$A:$A,"&lt;="&amp;DATE(2026,6,7))</f>
        <v/>
      </c>
      <c r="FF29">
        <f>COUNTIFS('DRAFT 2'!$D:$D,$B29,'DRAFT 2'!$A:$A,"&gt;="&amp;DATE(2026,6,8),'DRAFT 2'!$A:$A,"&lt;="&amp;DATE(2026,6,14))</f>
        <v/>
      </c>
      <c r="FG29">
        <f>COUNTIFS('DRAFT 2'!$D:$D,$B29,'DRAFT 2'!$A:$A,"&gt;="&amp;DATE(2026,6,15),'DRAFT 2'!$A:$A,"&lt;="&amp;DATE(2026,6,21))</f>
        <v/>
      </c>
      <c r="FH29">
        <f>COUNTIFS('DRAFT 2'!$D:$D,$B29,'DRAFT 2'!$A:$A,"&gt;="&amp;DATE(2026,6,22),'DRAFT 2'!$A:$A,"&lt;"&amp;DATE(2026,IF(6=12,6+1,6+1),1))</f>
        <v/>
      </c>
      <c r="FI29">
        <f>SUM(FE29:FH29)</f>
        <v/>
      </c>
      <c r="FT29">
        <f>IFERROR(LOOKUP(2,1/('DRAFT 2'!$D:$D=$B29)*('DRAFT 2'!$A:$A&gt;=DATE(2026,7,1))*('DRAFT 2'!$A:$A&lt;DATE(2026,IF(7=12,7+1,7+1),1)),'DRAFT 2'!$A:$A),"")</f>
        <v/>
      </c>
      <c r="FU29">
        <f>COUNTIFS('DRAFT 2'!$D:$D,$B29,'DRAFT 2'!$A:$A,"&gt;="&amp;DATE(2026,7,1),'DRAFT 2'!$A:$A,"&lt;="&amp;DATE(2026,7,7))</f>
        <v/>
      </c>
      <c r="FV29">
        <f>COUNTIFS('DRAFT 2'!$D:$D,$B29,'DRAFT 2'!$A:$A,"&gt;="&amp;DATE(2026,7,8),'DRAFT 2'!$A:$A,"&lt;="&amp;DATE(2026,7,14))</f>
        <v/>
      </c>
      <c r="FW29">
        <f>COUNTIFS('DRAFT 2'!$D:$D,$B29,'DRAFT 2'!$A:$A,"&gt;="&amp;DATE(2026,7,15),'DRAFT 2'!$A:$A,"&lt;="&amp;DATE(2026,7,21))</f>
        <v/>
      </c>
      <c r="FX29">
        <f>COUNTIFS('DRAFT 2'!$D:$D,$B29,'DRAFT 2'!$A:$A,"&gt;="&amp;DATE(2026,7,22),'DRAFT 2'!$A:$A,"&lt;"&amp;DATE(2026,IF(7=12,7+1,7+1),1))</f>
        <v/>
      </c>
      <c r="FY29">
        <f>SUM(FU29:FX29)</f>
        <v/>
      </c>
      <c r="GI29">
        <f>IFERROR(LOOKUP(2,1/('DRAFT 2'!$D:$D=$B29)*('DRAFT 2'!$A:$A&gt;=DATE(2026,8,1))*('DRAFT 2'!$A:$A&lt;DATE(2026,IF(8=12,8+1,8+1),1)),'DRAFT 2'!$A:$A),"")</f>
        <v/>
      </c>
      <c r="GJ29">
        <f>COUNTIFS('DRAFT 2'!$D:$D,$B29,'DRAFT 2'!$A:$A,"&gt;="&amp;DATE(2026,8,1),'DRAFT 2'!$A:$A,"&lt;="&amp;DATE(2026,8,7))</f>
        <v/>
      </c>
      <c r="GK29">
        <f>COUNTIFS('DRAFT 2'!$D:$D,$B29,'DRAFT 2'!$A:$A,"&gt;="&amp;DATE(2026,8,8),'DRAFT 2'!$A:$A,"&lt;="&amp;DATE(2026,8,14))</f>
        <v/>
      </c>
      <c r="GL29">
        <f>COUNTIFS('DRAFT 2'!$D:$D,$B29,'DRAFT 2'!$A:$A,"&gt;="&amp;DATE(2026,8,15),'DRAFT 2'!$A:$A,"&lt;="&amp;DATE(2026,8,21))</f>
        <v/>
      </c>
      <c r="GM29">
        <f>COUNTIFS('DRAFT 2'!$D:$D,$B29,'DRAFT 2'!$A:$A,"&gt;="&amp;DATE(2026,8,22),'DRAFT 2'!$A:$A,"&lt;"&amp;DATE(2026,IF(8=12,8+1,8+1),1))</f>
        <v/>
      </c>
      <c r="GN29">
        <f>SUM(GJ29:GM29)</f>
        <v/>
      </c>
      <c r="GX29">
        <f>IFERROR(LOOKUP(2,1/('DRAFT 2'!$D:$D=$B29)*('DRAFT 2'!$A:$A&gt;=DATE(2026,9,1))*('DRAFT 2'!$A:$A&lt;DATE(2026,IF(9=12,9+1,9+1),1)),'DRAFT 2'!$A:$A),"")</f>
        <v/>
      </c>
      <c r="GY29">
        <f>COUNTIFS('DRAFT 2'!$D:$D,$B29,'DRAFT 2'!$A:$A,"&gt;="&amp;DATE(2026,9,1),'DRAFT 2'!$A:$A,"&lt;="&amp;DATE(2026,9,7))</f>
        <v/>
      </c>
      <c r="GZ29">
        <f>COUNTIFS('DRAFT 2'!$D:$D,$B29,'DRAFT 2'!$A:$A,"&gt;="&amp;DATE(2026,9,8),'DRAFT 2'!$A:$A,"&lt;="&amp;DATE(2026,9,14))</f>
        <v/>
      </c>
      <c r="HA29">
        <f>COUNTIFS('DRAFT 2'!$D:$D,$B29,'DRAFT 2'!$A:$A,"&gt;="&amp;DATE(2026,9,15),'DRAFT 2'!$A:$A,"&lt;="&amp;DATE(2026,9,21))</f>
        <v/>
      </c>
      <c r="HB29">
        <f>COUNTIFS('DRAFT 2'!$D:$D,$B29,'DRAFT 2'!$A:$A,"&gt;="&amp;DATE(2026,9,22),'DRAFT 2'!$A:$A,"&lt;"&amp;DATE(2026,IF(9=12,9+1,9+1),1))</f>
        <v/>
      </c>
      <c r="HC29">
        <f>SUM(GY29:HB29)</f>
        <v/>
      </c>
      <c r="HN29">
        <f>IFERROR(LOOKUP(2,1/('DRAFT 2'!$D:$D=$B29)*('DRAFT 2'!$A:$A&gt;=DATE(2026,10,1))*('DRAFT 2'!$A:$A&lt;DATE(2026,IF(10=12,10+1,10+1),1)),'DRAFT 2'!$A:$A),"")</f>
        <v/>
      </c>
      <c r="HO29">
        <f>COUNTIFS('DRAFT 2'!$D:$D,$B29,'DRAFT 2'!$A:$A,"&gt;="&amp;DATE(2026,10,1),'DRAFT 2'!$A:$A,"&lt;="&amp;DATE(2026,10,7))</f>
        <v/>
      </c>
      <c r="HP29">
        <f>COUNTIFS('DRAFT 2'!$D:$D,$B29,'DRAFT 2'!$A:$A,"&gt;="&amp;DATE(2026,10,8),'DRAFT 2'!$A:$A,"&lt;="&amp;DATE(2026,10,14))</f>
        <v/>
      </c>
      <c r="HQ29">
        <f>COUNTIFS('DRAFT 2'!$D:$D,$B29,'DRAFT 2'!$A:$A,"&gt;="&amp;DATE(2026,10,15),'DRAFT 2'!$A:$A,"&lt;="&amp;DATE(2026,10,21))</f>
        <v/>
      </c>
      <c r="HR29">
        <f>COUNTIFS('DRAFT 2'!$D:$D,$B29,'DRAFT 2'!$A:$A,"&gt;="&amp;DATE(2026,10,22),'DRAFT 2'!$A:$A,"&lt;"&amp;DATE(2026,IF(10=12,10+1,10+1),1))</f>
        <v/>
      </c>
      <c r="HS29">
        <f>SUM(HO29:HR29)</f>
        <v/>
      </c>
      <c r="IC29">
        <f>IFERROR(LOOKUP(2,1/('DRAFT 2'!$D:$D=$B29)*('DRAFT 2'!$A:$A&gt;=DATE(2026,11,1))*('DRAFT 2'!$A:$A&lt;DATE(2026,IF(11=12,11+1,11+1),1)),'DRAFT 2'!$A:$A),"")</f>
        <v/>
      </c>
      <c r="ID29">
        <f>COUNTIFS('DRAFT 2'!$D:$D,$B29,'DRAFT 2'!$A:$A,"&gt;="&amp;DATE(2026,11,1),'DRAFT 2'!$A:$A,"&lt;="&amp;DATE(2026,11,7))</f>
        <v/>
      </c>
      <c r="IE29">
        <f>COUNTIFS('DRAFT 2'!$D:$D,$B29,'DRAFT 2'!$A:$A,"&gt;="&amp;DATE(2026,11,8),'DRAFT 2'!$A:$A,"&lt;="&amp;DATE(2026,11,14))</f>
        <v/>
      </c>
      <c r="IF29">
        <f>COUNTIFS('DRAFT 2'!$D:$D,$B29,'DRAFT 2'!$A:$A,"&gt;="&amp;DATE(2026,11,15),'DRAFT 2'!$A:$A,"&lt;="&amp;DATE(2026,11,21))</f>
        <v/>
      </c>
      <c r="IG29">
        <f>COUNTIFS('DRAFT 2'!$D:$D,$B29,'DRAFT 2'!$A:$A,"&gt;="&amp;DATE(2026,11,22),'DRAFT 2'!$A:$A,"&lt;"&amp;DATE(2026,IF(11=12,11+1,11+1),1))</f>
        <v/>
      </c>
      <c r="IH29">
        <f>SUM(ID29:IG29)</f>
        <v/>
      </c>
      <c r="IR29">
        <f>IFERROR(LOOKUP(2,1/('DRAFT 2'!$D:$D=$B29)*('DRAFT 2'!$A:$A&gt;=DATE(2026,12,1))*('DRAFT 2'!$A:$A&lt;DATE(2026,IF(12=12,12+1,12+1),1)),'DRAFT 2'!$A:$A),"")</f>
        <v/>
      </c>
      <c r="IS29">
        <f>COUNTIFS('DRAFT 2'!$D:$D,$B29,'DRAFT 2'!$A:$A,"&gt;="&amp;DATE(2026,12,1),'DRAFT 2'!$A:$A,"&lt;="&amp;DATE(2026,12,7))</f>
        <v/>
      </c>
      <c r="IT29">
        <f>COUNTIFS('DRAFT 2'!$D:$D,$B29,'DRAFT 2'!$A:$A,"&gt;="&amp;DATE(2026,12,8),'DRAFT 2'!$A:$A,"&lt;="&amp;DATE(2026,12,14))</f>
        <v/>
      </c>
      <c r="IU29">
        <f>COUNTIFS('DRAFT 2'!$D:$D,$B29,'DRAFT 2'!$A:$A,"&gt;="&amp;DATE(2026,12,15),'DRAFT 2'!$A:$A,"&lt;="&amp;DATE(2026,12,21))</f>
        <v/>
      </c>
      <c r="IV29">
        <f>COUNTIFS('DRAFT 2'!$D:$D,$B29,'DRAFT 2'!$A:$A,"&gt;="&amp;DATE(2026,12,22),'DRAFT 2'!$A:$A,"&lt;"&amp;DATE(2026,IF(12=12,12+1,12+1),1))</f>
        <v/>
      </c>
      <c r="IW29">
        <f>SUM(IS29:IV29)</f>
        <v/>
      </c>
    </row>
    <row r="30">
      <c r="A30">
        <f>IFERROR(INDEX('DRAFT 1'!$A:$A,MATCH($B30,'DRAFT 1'!$B:$B,0)),"")</f>
        <v/>
      </c>
      <c r="C30">
        <f>IFERROR(INDEX('DRAFT 1'!$C:$C,MATCH($B30,'DRAFT 1'!$B:$B,0)),"")</f>
        <v/>
      </c>
      <c r="D30">
        <f>IFERROR(INDEX('DRAFT 1'!$D:$D,MATCH($B30,'DRAFT 1'!$B:$B,0)),"")</f>
        <v/>
      </c>
      <c r="E30">
        <f>IFERROR(INDEX('DRAFT 1'!$E:$E,MATCH($B30,'DRAFT 1'!$B:$B,0)),"")</f>
        <v/>
      </c>
      <c r="F30">
        <f>IFERROR(INDEX('DRAFT 1'!$F:$F,MATCH($B30,'DRAFT 1'!$B:$B,0)),"")</f>
        <v/>
      </c>
      <c r="G30">
        <f>IFERROR(INDEX('DRAFT 1'!$G:$G,MATCH($B30,'DRAFT 1'!$B:$B,0)),"")</f>
        <v/>
      </c>
      <c r="H30">
        <f>IFERROR(INDEX('DRAFT 1'!$H:$H,MATCH($B30,'DRAFT 1'!$B:$B,0)),"")</f>
        <v/>
      </c>
      <c r="I30" t="inlineStr">
        <is>
          <t>TUDO EM GRAOS</t>
        </is>
      </c>
      <c r="K30">
        <f>IFERROR(INDEX('DRAFT 1'!$AL:$AL,MATCH($B30,'DRAFT 1'!$B:$B,0)),"")</f>
        <v/>
      </c>
      <c r="L30">
        <f>IFERROR(INDEX('DRAFT 1'!$J:$J,MATCH($B30,'DRAFT 1'!$B:$B,0)),"")</f>
        <v/>
      </c>
      <c r="M30">
        <f>IFERROR(INDEX('DRAFT 1'!$K:$K,MATCH($B30,'DRAFT 1'!$B:$B,0)),"")</f>
        <v/>
      </c>
      <c r="N30" t="inlineStr">
        <is>
          <t>PROSPECT</t>
        </is>
      </c>
      <c r="P30">
        <f>IFERROR(INDEX('DRAFT 1'!$L:$L,MATCH($B30,'DRAFT 1'!$B:$B,0)),"")</f>
        <v/>
      </c>
      <c r="Q30">
        <f>IFERROR(INDEX('DRAFT 1'!$M:$M,MATCH($B30,'DRAFT 1'!$B:$B,0)),"")</f>
        <v/>
      </c>
      <c r="R30">
        <f>IFERROR(INDEX('DRAFT 1'!$N:$N,MATCH($B30,'DRAFT 1'!$B:$B,0)),"")</f>
        <v/>
      </c>
      <c r="S30">
        <f>IFERROR(INDEX('DRAFT 1'!$O:$O,MATCH($B30,'DRAFT 1'!$B:$B,0)),"")</f>
        <v/>
      </c>
      <c r="T30">
        <f>IFERROR(INDEX('DRAFT 1'!$P:$P,MATCH($B30,'DRAFT 1'!$B:$B,0)),"")</f>
        <v/>
      </c>
      <c r="U30">
        <f>IFERROR(INDEX('DRAFT 1'!$Q:$Q,MATCH($B30,'DRAFT 1'!$B:$B,0)),"")</f>
        <v/>
      </c>
      <c r="V30">
        <f>IFERROR(INDEX('DRAFT 1'!$R:$R,MATCH($B30,'DRAFT 1'!$B:$B,0)),"")</f>
        <v/>
      </c>
      <c r="W30">
        <f>IFERROR(INDEX('DRAFT 1'!$S:$S,MATCH($B30,'DRAFT 1'!$B:$B,0)),"")</f>
        <v/>
      </c>
      <c r="X30">
        <f>IFERROR(INDEX('DRAFT 1'!$T:$T,MATCH($B30,'DRAFT 1'!$B:$B,0)),"")</f>
        <v/>
      </c>
      <c r="Z30">
        <f>IFERROR(INDEX('DRAFT 1'!$U:$U,MATCH($B30,'DRAFT 1'!$B:$B,0)),"")</f>
        <v/>
      </c>
      <c r="AA30">
        <f>IFERROR(INDEX('DRAFT 1'!$V:$V,MATCH($B30,'DRAFT 1'!$B:$B,0)),"")</f>
        <v/>
      </c>
      <c r="AB30">
        <f>IFERROR(INDEX('DRAFT 1'!$W:$W,MATCH($B30,'DRAFT 1'!$B:$B,0)),"")</f>
        <v/>
      </c>
      <c r="AC30">
        <f>IFERROR(INDEX('DRAFT 1'!$X:$X,MATCH($B30,'DRAFT 1'!$B:$B,0)),"")</f>
        <v/>
      </c>
      <c r="AD30">
        <f>IFERROR(INDEX('DRAFT 1'!$Y:$Y,MATCH($B30,'DRAFT 1'!$B:$B,0)),"")</f>
        <v/>
      </c>
      <c r="AE30">
        <f>IFERROR(INDEX('DRAFT 1'!$Z:$Z,MATCH($B30,'DRAFT 1'!$B:$B,0)),"")</f>
        <v/>
      </c>
      <c r="AF30">
        <f>IFERROR(INDEX('DRAFT 1'!$AA:$AA,MATCH($B30,'DRAFT 1'!$B:$B,0)),"")</f>
        <v/>
      </c>
      <c r="AG30">
        <f>IFERROR(INDEX('DRAFT 1'!$AB:$AB,MATCH($B30,'DRAFT 1'!$B:$B,0)),"")</f>
        <v/>
      </c>
      <c r="AH30">
        <f>IFERROR(INDEX('DRAFT 1'!$AC:$AC,MATCH($B30,'DRAFT 1'!$B:$B,0)),"")</f>
        <v/>
      </c>
      <c r="AI30">
        <f>IFERROR(INDEX('DRAFT 1'!$AD:$AD,MATCH($B30,'DRAFT 1'!$B:$B,0)),"")</f>
        <v/>
      </c>
      <c r="AJ30">
        <f>IFERROR(INDEX('DRAFT 1'!$AE:$AE,MATCH($B30,'DRAFT 1'!$B:$B,0)),"")</f>
        <v/>
      </c>
      <c r="AK30">
        <f>IFERROR(INDEX('DRAFT 1'!$AG:$AG,MATCH($B30,'DRAFT 1'!$B:$B,0)),"")</f>
        <v/>
      </c>
      <c r="AL30">
        <f>IFERROR(INDEX('DRAFT 1'!$AH:$AH,MATCH($B30,'DRAFT 1'!$B:$B,0)),"")</f>
        <v/>
      </c>
      <c r="AM30">
        <f>IFERROR(INDEX('DRAFT 1'!$AI:$AI,MATCH($B30,'DRAFT 1'!$B:$B,0)),"")</f>
        <v/>
      </c>
      <c r="AN30">
        <f>IFERROR(INDEX('DRAFT 1'!$AJ:$AJ,MATCH($B30,'DRAFT 1'!$B:$B,0)),"")</f>
        <v/>
      </c>
      <c r="AO30">
        <f>IFERROR(Y30/AN30,0)</f>
        <v/>
      </c>
      <c r="AP30">
        <f>IFERROR(INDEX('DRAFT 1'!$AK:$AK,MATCH($B30,'DRAFT 1'!$B:$B,0)),"")</f>
        <v/>
      </c>
      <c r="AR30" t="inlineStr">
        <is>
          <t>RECUPERAÇÃO</t>
        </is>
      </c>
      <c r="AS30">
        <f>IFERROR(LOOKUP(2,1/('DRAFT 2'!$D:$D=$B30),'DRAFT 2'!$T:$T),"")</f>
        <v/>
      </c>
      <c r="AT30">
        <f>IFERROR(LOOKUP(2,1/('DRAFT 2'!$D:$D=$B30),'DRAFT 2'!$A:$A),"")</f>
        <v/>
      </c>
      <c r="AU30">
        <f>IFERROR(LOOKUP(2,1/('DRAFT 2'!$D:$D=$B30),'DRAFT 2'!$R:$R),"")</f>
        <v/>
      </c>
      <c r="AV30">
        <f>IFERROR(LOOKUP(2,1/('DRAFT 2'!$D:$D=$B30),'DRAFT 2'!$S:$S),"")</f>
        <v/>
      </c>
      <c r="AW30" t="inlineStr">
        <is>
          <t>EM DESENVOLVIMENTO</t>
        </is>
      </c>
      <c r="AX30">
        <f>IFERROR(LOOKUP(2,1/('DRAFT 2'!$D:$D=$B30),'DRAFT 2'!$M:$M),"")</f>
        <v/>
      </c>
      <c r="AY30">
        <f>IFERROR(LOOKUP(2,1/('DRAFT 2'!$D:$D=$B30),'DRAFT 2'!$K:$K),"")</f>
        <v/>
      </c>
      <c r="BG30">
        <f>IFERROR(LOOKUP(2,1/('DRAFT 2'!$D:$D=$B30),'DRAFT 2'!$U:$U),"")</f>
        <v/>
      </c>
      <c r="BH30">
        <f>IFERROR(LOOKUP(2,1/('DRAFT 2'!$D:$D=$B30),'DRAFT 2'!$V:$V),"")</f>
        <v/>
      </c>
      <c r="CE30">
        <f>IFERROR(AJ30,0)</f>
        <v/>
      </c>
      <c r="CF30">
        <f>IFERROR(LOOKUP(2,1/('DRAFT 2'!$D:$D=$B30)*('DRAFT 2'!$A:$A&gt;=DATE(2026,1,1))*('DRAFT 2'!$A:$A&lt;DATE(2026,IF(1=12,1+1,1+1),1)),'DRAFT 2'!$A:$A),"")</f>
        <v/>
      </c>
      <c r="CG30">
        <f>COUNTIFS('DRAFT 2'!$D:$D,$B30,'DRAFT 2'!$A:$A,"&gt;="&amp;DATE(2026,1,1),'DRAFT 2'!$A:$A,"&lt;="&amp;DATE(2026,1,7))</f>
        <v/>
      </c>
      <c r="CH30">
        <f>COUNTIFS('DRAFT 2'!$D:$D,$B30,'DRAFT 2'!$A:$A,"&gt;="&amp;DATE(2026,1,8),'DRAFT 2'!$A:$A,"&lt;="&amp;DATE(2026,1,14))</f>
        <v/>
      </c>
      <c r="CI30">
        <f>COUNTIFS('DRAFT 2'!$D:$D,$B30,'DRAFT 2'!$A:$A,"&gt;="&amp;DATE(2026,1,15),'DRAFT 2'!$A:$A,"&lt;="&amp;DATE(2026,1,21))</f>
        <v/>
      </c>
      <c r="CJ30">
        <f>COUNTIFS('DRAFT 2'!$D:$D,$B30,'DRAFT 2'!$A:$A,"&gt;="&amp;DATE(2026,1,22),'DRAFT 2'!$A:$A,"&lt;"&amp;DATE(2026,IF(1=12,1+1,1+1),1))</f>
        <v/>
      </c>
      <c r="CK30">
        <f>SUM(CG30:CJ30)</f>
        <v/>
      </c>
      <c r="CT30" t="n">
        <v>0</v>
      </c>
      <c r="CU30">
        <f>IFERROR(LOOKUP(2,1/('DRAFT 2'!$D:$D=$B30)*('DRAFT 2'!$A:$A&gt;=DATE(2026,2,1))*('DRAFT 2'!$A:$A&lt;DATE(2026,IF(2=12,2+1,2+1),1)),'DRAFT 2'!$A:$A),"")</f>
        <v/>
      </c>
      <c r="CV30">
        <f>COUNTIFS('DRAFT 2'!$D:$D,$B30,'DRAFT 2'!$A:$A,"&gt;="&amp;DATE(2026,2,1),'DRAFT 2'!$A:$A,"&lt;="&amp;DATE(2026,2,7))</f>
        <v/>
      </c>
      <c r="CW30">
        <f>COUNTIFS('DRAFT 2'!$D:$D,$B30,'DRAFT 2'!$A:$A,"&gt;="&amp;DATE(2026,2,8),'DRAFT 2'!$A:$A,"&lt;="&amp;DATE(2026,2,14))</f>
        <v/>
      </c>
      <c r="CX30">
        <f>COUNTIFS('DRAFT 2'!$D:$D,$B30,'DRAFT 2'!$A:$A,"&gt;="&amp;DATE(2026,2,15),'DRAFT 2'!$A:$A,"&lt;="&amp;DATE(2026,2,21))</f>
        <v/>
      </c>
      <c r="CY30">
        <f>COUNTIFS('DRAFT 2'!$D:$D,$B30,'DRAFT 2'!$A:$A,"&gt;="&amp;DATE(2026,2,22),'DRAFT 2'!$A:$A,"&lt;"&amp;DATE(2026,IF(2=12,2+1,2+1),1))</f>
        <v/>
      </c>
      <c r="CZ30">
        <f>SUM(CV30:CY30)</f>
        <v/>
      </c>
      <c r="DJ30">
        <f>IFERROR(LOOKUP(2,1/('DRAFT 2'!$D:$D=$B30)*('DRAFT 2'!$A:$A&gt;=DATE(2026,3,1))*('DRAFT 2'!$A:$A&lt;DATE(2026,IF(3=12,3+1,3+1),1)),'DRAFT 2'!$A:$A),"")</f>
        <v/>
      </c>
      <c r="DK30">
        <f>COUNTIFS('DRAFT 2'!$D:$D,$B30,'DRAFT 2'!$A:$A,"&gt;="&amp;DATE(2026,3,1),'DRAFT 2'!$A:$A,"&lt;="&amp;DATE(2026,3,7))</f>
        <v/>
      </c>
      <c r="DL30">
        <f>COUNTIFS('DRAFT 2'!$D:$D,$B30,'DRAFT 2'!$A:$A,"&gt;="&amp;DATE(2026,3,8),'DRAFT 2'!$A:$A,"&lt;="&amp;DATE(2026,3,14))</f>
        <v/>
      </c>
      <c r="DM30">
        <f>COUNTIFS('DRAFT 2'!$D:$D,$B30,'DRAFT 2'!$A:$A,"&gt;="&amp;DATE(2026,3,15),'DRAFT 2'!$A:$A,"&lt;="&amp;DATE(2026,3,21))</f>
        <v/>
      </c>
      <c r="DN30">
        <f>COUNTIFS('DRAFT 2'!$D:$D,$B30,'DRAFT 2'!$A:$A,"&gt;="&amp;DATE(2026,3,22),'DRAFT 2'!$A:$A,"&lt;"&amp;DATE(2026,IF(3=12,3+1,3+1),1))</f>
        <v/>
      </c>
      <c r="DO30">
        <f>SUM(DK30:DN30)</f>
        <v/>
      </c>
      <c r="DZ30">
        <f>IFERROR(LOOKUP(2,1/('DRAFT 2'!$D:$D=$B30)*('DRAFT 2'!$A:$A&gt;=DATE(2026,4,1))*('DRAFT 2'!$A:$A&lt;DATE(2026,IF(4=12,4+1,4+1),1)),'DRAFT 2'!$A:$A),"")</f>
        <v/>
      </c>
      <c r="EA30">
        <f>COUNTIFS('DRAFT 2'!$D:$D,$B30,'DRAFT 2'!$A:$A,"&gt;="&amp;DATE(2026,4,1),'DRAFT 2'!$A:$A,"&lt;="&amp;DATE(2026,4,7))</f>
        <v/>
      </c>
      <c r="EB30">
        <f>COUNTIFS('DRAFT 2'!$D:$D,$B30,'DRAFT 2'!$A:$A,"&gt;="&amp;DATE(2026,4,8),'DRAFT 2'!$A:$A,"&lt;="&amp;DATE(2026,4,14))</f>
        <v/>
      </c>
      <c r="EC30">
        <f>COUNTIFS('DRAFT 2'!$D:$D,$B30,'DRAFT 2'!$A:$A,"&gt;="&amp;DATE(2026,4,15),'DRAFT 2'!$A:$A,"&lt;="&amp;DATE(2026,4,21))</f>
        <v/>
      </c>
      <c r="ED30">
        <f>COUNTIFS('DRAFT 2'!$D:$D,$B30,'DRAFT 2'!$A:$A,"&gt;="&amp;DATE(2026,4,22),'DRAFT 2'!$A:$A,"&lt;"&amp;DATE(2026,IF(4=12,4+1,4+1),1))</f>
        <v/>
      </c>
      <c r="EE30">
        <f>SUM(EA30:ED30)</f>
        <v/>
      </c>
      <c r="EO30">
        <f>IFERROR(LOOKUP(2,1/('DRAFT 2'!$D:$D=$B30)*('DRAFT 2'!$A:$A&gt;=DATE(2026,5,1))*('DRAFT 2'!$A:$A&lt;DATE(2026,IF(5=12,5+1,5+1),1)),'DRAFT 2'!$A:$A),"")</f>
        <v/>
      </c>
      <c r="EP30">
        <f>COUNTIFS('DRAFT 2'!$D:$D,$B30,'DRAFT 2'!$A:$A,"&gt;="&amp;DATE(2026,5,1),'DRAFT 2'!$A:$A,"&lt;="&amp;DATE(2026,5,7))</f>
        <v/>
      </c>
      <c r="EQ30">
        <f>COUNTIFS('DRAFT 2'!$D:$D,$B30,'DRAFT 2'!$A:$A,"&gt;="&amp;DATE(2026,5,8),'DRAFT 2'!$A:$A,"&lt;="&amp;DATE(2026,5,14))</f>
        <v/>
      </c>
      <c r="ER30">
        <f>COUNTIFS('DRAFT 2'!$D:$D,$B30,'DRAFT 2'!$A:$A,"&gt;="&amp;DATE(2026,5,15),'DRAFT 2'!$A:$A,"&lt;="&amp;DATE(2026,5,21))</f>
        <v/>
      </c>
      <c r="ES30">
        <f>COUNTIFS('DRAFT 2'!$D:$D,$B30,'DRAFT 2'!$A:$A,"&gt;="&amp;DATE(2026,5,22),'DRAFT 2'!$A:$A,"&lt;"&amp;DATE(2026,IF(5=12,5+1,5+1),1))</f>
        <v/>
      </c>
      <c r="ET30">
        <f>SUM(EP30:ES30)</f>
        <v/>
      </c>
      <c r="FD30">
        <f>IFERROR(LOOKUP(2,1/('DRAFT 2'!$D:$D=$B30)*('DRAFT 2'!$A:$A&gt;=DATE(2026,6,1))*('DRAFT 2'!$A:$A&lt;DATE(2026,IF(6=12,6+1,6+1),1)),'DRAFT 2'!$A:$A),"")</f>
        <v/>
      </c>
      <c r="FE30">
        <f>COUNTIFS('DRAFT 2'!$D:$D,$B30,'DRAFT 2'!$A:$A,"&gt;="&amp;DATE(2026,6,1),'DRAFT 2'!$A:$A,"&lt;="&amp;DATE(2026,6,7))</f>
        <v/>
      </c>
      <c r="FF30">
        <f>COUNTIFS('DRAFT 2'!$D:$D,$B30,'DRAFT 2'!$A:$A,"&gt;="&amp;DATE(2026,6,8),'DRAFT 2'!$A:$A,"&lt;="&amp;DATE(2026,6,14))</f>
        <v/>
      </c>
      <c r="FG30">
        <f>COUNTIFS('DRAFT 2'!$D:$D,$B30,'DRAFT 2'!$A:$A,"&gt;="&amp;DATE(2026,6,15),'DRAFT 2'!$A:$A,"&lt;="&amp;DATE(2026,6,21))</f>
        <v/>
      </c>
      <c r="FH30">
        <f>COUNTIFS('DRAFT 2'!$D:$D,$B30,'DRAFT 2'!$A:$A,"&gt;="&amp;DATE(2026,6,22),'DRAFT 2'!$A:$A,"&lt;"&amp;DATE(2026,IF(6=12,6+1,6+1),1))</f>
        <v/>
      </c>
      <c r="FI30">
        <f>SUM(FE30:FH30)</f>
        <v/>
      </c>
      <c r="FT30">
        <f>IFERROR(LOOKUP(2,1/('DRAFT 2'!$D:$D=$B30)*('DRAFT 2'!$A:$A&gt;=DATE(2026,7,1))*('DRAFT 2'!$A:$A&lt;DATE(2026,IF(7=12,7+1,7+1),1)),'DRAFT 2'!$A:$A),"")</f>
        <v/>
      </c>
      <c r="FU30">
        <f>COUNTIFS('DRAFT 2'!$D:$D,$B30,'DRAFT 2'!$A:$A,"&gt;="&amp;DATE(2026,7,1),'DRAFT 2'!$A:$A,"&lt;="&amp;DATE(2026,7,7))</f>
        <v/>
      </c>
      <c r="FV30">
        <f>COUNTIFS('DRAFT 2'!$D:$D,$B30,'DRAFT 2'!$A:$A,"&gt;="&amp;DATE(2026,7,8),'DRAFT 2'!$A:$A,"&lt;="&amp;DATE(2026,7,14))</f>
        <v/>
      </c>
      <c r="FW30">
        <f>COUNTIFS('DRAFT 2'!$D:$D,$B30,'DRAFT 2'!$A:$A,"&gt;="&amp;DATE(2026,7,15),'DRAFT 2'!$A:$A,"&lt;="&amp;DATE(2026,7,21))</f>
        <v/>
      </c>
      <c r="FX30">
        <f>COUNTIFS('DRAFT 2'!$D:$D,$B30,'DRAFT 2'!$A:$A,"&gt;="&amp;DATE(2026,7,22),'DRAFT 2'!$A:$A,"&lt;"&amp;DATE(2026,IF(7=12,7+1,7+1),1))</f>
        <v/>
      </c>
      <c r="FY30">
        <f>SUM(FU30:FX30)</f>
        <v/>
      </c>
      <c r="GI30">
        <f>IFERROR(LOOKUP(2,1/('DRAFT 2'!$D:$D=$B30)*('DRAFT 2'!$A:$A&gt;=DATE(2026,8,1))*('DRAFT 2'!$A:$A&lt;DATE(2026,IF(8=12,8+1,8+1),1)),'DRAFT 2'!$A:$A),"")</f>
        <v/>
      </c>
      <c r="GJ30">
        <f>COUNTIFS('DRAFT 2'!$D:$D,$B30,'DRAFT 2'!$A:$A,"&gt;="&amp;DATE(2026,8,1),'DRAFT 2'!$A:$A,"&lt;="&amp;DATE(2026,8,7))</f>
        <v/>
      </c>
      <c r="GK30">
        <f>COUNTIFS('DRAFT 2'!$D:$D,$B30,'DRAFT 2'!$A:$A,"&gt;="&amp;DATE(2026,8,8),'DRAFT 2'!$A:$A,"&lt;="&amp;DATE(2026,8,14))</f>
        <v/>
      </c>
      <c r="GL30">
        <f>COUNTIFS('DRAFT 2'!$D:$D,$B30,'DRAFT 2'!$A:$A,"&gt;="&amp;DATE(2026,8,15),'DRAFT 2'!$A:$A,"&lt;="&amp;DATE(2026,8,21))</f>
        <v/>
      </c>
      <c r="GM30">
        <f>COUNTIFS('DRAFT 2'!$D:$D,$B30,'DRAFT 2'!$A:$A,"&gt;="&amp;DATE(2026,8,22),'DRAFT 2'!$A:$A,"&lt;"&amp;DATE(2026,IF(8=12,8+1,8+1),1))</f>
        <v/>
      </c>
      <c r="GN30">
        <f>SUM(GJ30:GM30)</f>
        <v/>
      </c>
      <c r="GX30">
        <f>IFERROR(LOOKUP(2,1/('DRAFT 2'!$D:$D=$B30)*('DRAFT 2'!$A:$A&gt;=DATE(2026,9,1))*('DRAFT 2'!$A:$A&lt;DATE(2026,IF(9=12,9+1,9+1),1)),'DRAFT 2'!$A:$A),"")</f>
        <v/>
      </c>
      <c r="GY30">
        <f>COUNTIFS('DRAFT 2'!$D:$D,$B30,'DRAFT 2'!$A:$A,"&gt;="&amp;DATE(2026,9,1),'DRAFT 2'!$A:$A,"&lt;="&amp;DATE(2026,9,7))</f>
        <v/>
      </c>
      <c r="GZ30">
        <f>COUNTIFS('DRAFT 2'!$D:$D,$B30,'DRAFT 2'!$A:$A,"&gt;="&amp;DATE(2026,9,8),'DRAFT 2'!$A:$A,"&lt;="&amp;DATE(2026,9,14))</f>
        <v/>
      </c>
      <c r="HA30">
        <f>COUNTIFS('DRAFT 2'!$D:$D,$B30,'DRAFT 2'!$A:$A,"&gt;="&amp;DATE(2026,9,15),'DRAFT 2'!$A:$A,"&lt;="&amp;DATE(2026,9,21))</f>
        <v/>
      </c>
      <c r="HB30">
        <f>COUNTIFS('DRAFT 2'!$D:$D,$B30,'DRAFT 2'!$A:$A,"&gt;="&amp;DATE(2026,9,22),'DRAFT 2'!$A:$A,"&lt;"&amp;DATE(2026,IF(9=12,9+1,9+1),1))</f>
        <v/>
      </c>
      <c r="HC30">
        <f>SUM(GY30:HB30)</f>
        <v/>
      </c>
      <c r="HN30">
        <f>IFERROR(LOOKUP(2,1/('DRAFT 2'!$D:$D=$B30)*('DRAFT 2'!$A:$A&gt;=DATE(2026,10,1))*('DRAFT 2'!$A:$A&lt;DATE(2026,IF(10=12,10+1,10+1),1)),'DRAFT 2'!$A:$A),"")</f>
        <v/>
      </c>
      <c r="HO30">
        <f>COUNTIFS('DRAFT 2'!$D:$D,$B30,'DRAFT 2'!$A:$A,"&gt;="&amp;DATE(2026,10,1),'DRAFT 2'!$A:$A,"&lt;="&amp;DATE(2026,10,7))</f>
        <v/>
      </c>
      <c r="HP30">
        <f>COUNTIFS('DRAFT 2'!$D:$D,$B30,'DRAFT 2'!$A:$A,"&gt;="&amp;DATE(2026,10,8),'DRAFT 2'!$A:$A,"&lt;="&amp;DATE(2026,10,14))</f>
        <v/>
      </c>
      <c r="HQ30">
        <f>COUNTIFS('DRAFT 2'!$D:$D,$B30,'DRAFT 2'!$A:$A,"&gt;="&amp;DATE(2026,10,15),'DRAFT 2'!$A:$A,"&lt;="&amp;DATE(2026,10,21))</f>
        <v/>
      </c>
      <c r="HR30">
        <f>COUNTIFS('DRAFT 2'!$D:$D,$B30,'DRAFT 2'!$A:$A,"&gt;="&amp;DATE(2026,10,22),'DRAFT 2'!$A:$A,"&lt;"&amp;DATE(2026,IF(10=12,10+1,10+1),1))</f>
        <v/>
      </c>
      <c r="HS30">
        <f>SUM(HO30:HR30)</f>
        <v/>
      </c>
      <c r="IC30">
        <f>IFERROR(LOOKUP(2,1/('DRAFT 2'!$D:$D=$B30)*('DRAFT 2'!$A:$A&gt;=DATE(2026,11,1))*('DRAFT 2'!$A:$A&lt;DATE(2026,IF(11=12,11+1,11+1),1)),'DRAFT 2'!$A:$A),"")</f>
        <v/>
      </c>
      <c r="ID30">
        <f>COUNTIFS('DRAFT 2'!$D:$D,$B30,'DRAFT 2'!$A:$A,"&gt;="&amp;DATE(2026,11,1),'DRAFT 2'!$A:$A,"&lt;="&amp;DATE(2026,11,7))</f>
        <v/>
      </c>
      <c r="IE30">
        <f>COUNTIFS('DRAFT 2'!$D:$D,$B30,'DRAFT 2'!$A:$A,"&gt;="&amp;DATE(2026,11,8),'DRAFT 2'!$A:$A,"&lt;="&amp;DATE(2026,11,14))</f>
        <v/>
      </c>
      <c r="IF30">
        <f>COUNTIFS('DRAFT 2'!$D:$D,$B30,'DRAFT 2'!$A:$A,"&gt;="&amp;DATE(2026,11,15),'DRAFT 2'!$A:$A,"&lt;="&amp;DATE(2026,11,21))</f>
        <v/>
      </c>
      <c r="IG30">
        <f>COUNTIFS('DRAFT 2'!$D:$D,$B30,'DRAFT 2'!$A:$A,"&gt;="&amp;DATE(2026,11,22),'DRAFT 2'!$A:$A,"&lt;"&amp;DATE(2026,IF(11=12,11+1,11+1),1))</f>
        <v/>
      </c>
      <c r="IH30">
        <f>SUM(ID30:IG30)</f>
        <v/>
      </c>
      <c r="IR30">
        <f>IFERROR(LOOKUP(2,1/('DRAFT 2'!$D:$D=$B30)*('DRAFT 2'!$A:$A&gt;=DATE(2026,12,1))*('DRAFT 2'!$A:$A&lt;DATE(2026,IF(12=12,12+1,12+1),1)),'DRAFT 2'!$A:$A),"")</f>
        <v/>
      </c>
      <c r="IS30">
        <f>COUNTIFS('DRAFT 2'!$D:$D,$B30,'DRAFT 2'!$A:$A,"&gt;="&amp;DATE(2026,12,1),'DRAFT 2'!$A:$A,"&lt;="&amp;DATE(2026,12,7))</f>
        <v/>
      </c>
      <c r="IT30">
        <f>COUNTIFS('DRAFT 2'!$D:$D,$B30,'DRAFT 2'!$A:$A,"&gt;="&amp;DATE(2026,12,8),'DRAFT 2'!$A:$A,"&lt;="&amp;DATE(2026,12,14))</f>
        <v/>
      </c>
      <c r="IU30">
        <f>COUNTIFS('DRAFT 2'!$D:$D,$B30,'DRAFT 2'!$A:$A,"&gt;="&amp;DATE(2026,12,15),'DRAFT 2'!$A:$A,"&lt;="&amp;DATE(2026,12,21))</f>
        <v/>
      </c>
      <c r="IV30">
        <f>COUNTIFS('DRAFT 2'!$D:$D,$B30,'DRAFT 2'!$A:$A,"&gt;="&amp;DATE(2026,12,22),'DRAFT 2'!$A:$A,"&lt;"&amp;DATE(2026,IF(12=12,12+1,12+1),1))</f>
        <v/>
      </c>
      <c r="IW30">
        <f>SUM(IS30:IV30)</f>
        <v/>
      </c>
    </row>
    <row r="31">
      <c r="A31">
        <f>IFERROR(INDEX('DRAFT 1'!$A:$A,MATCH($B31,'DRAFT 1'!$B:$B,0)),"")</f>
        <v/>
      </c>
      <c r="C31">
        <f>IFERROR(INDEX('DRAFT 1'!$C:$C,MATCH($B31,'DRAFT 1'!$B:$B,0)),"")</f>
        <v/>
      </c>
      <c r="D31">
        <f>IFERROR(INDEX('DRAFT 1'!$D:$D,MATCH($B31,'DRAFT 1'!$B:$B,0)),"")</f>
        <v/>
      </c>
      <c r="E31">
        <f>IFERROR(INDEX('DRAFT 1'!$E:$E,MATCH($B31,'DRAFT 1'!$B:$B,0)),"")</f>
        <v/>
      </c>
      <c r="F31">
        <f>IFERROR(INDEX('DRAFT 1'!$F:$F,MATCH($B31,'DRAFT 1'!$B:$B,0)),"")</f>
        <v/>
      </c>
      <c r="G31">
        <f>IFERROR(INDEX('DRAFT 1'!$G:$G,MATCH($B31,'DRAFT 1'!$B:$B,0)),"")</f>
        <v/>
      </c>
      <c r="H31">
        <f>IFERROR(INDEX('DRAFT 1'!$H:$H,MATCH($B31,'DRAFT 1'!$B:$B,0)),"")</f>
        <v/>
      </c>
      <c r="I31" t="inlineStr">
        <is>
          <t>BIOMUNDO</t>
        </is>
      </c>
      <c r="K31">
        <f>IFERROR(INDEX('DRAFT 1'!$AL:$AL,MATCH($B31,'DRAFT 1'!$B:$B,0)),"")</f>
        <v/>
      </c>
      <c r="L31">
        <f>IFERROR(INDEX('DRAFT 1'!$J:$J,MATCH($B31,'DRAFT 1'!$B:$B,0)),"")</f>
        <v/>
      </c>
      <c r="M31">
        <f>IFERROR(INDEX('DRAFT 1'!$K:$K,MATCH($B31,'DRAFT 1'!$B:$B,0)),"")</f>
        <v/>
      </c>
      <c r="N31" t="inlineStr">
        <is>
          <t>INAT.REC</t>
        </is>
      </c>
      <c r="P31">
        <f>IFERROR(INDEX('DRAFT 1'!$L:$L,MATCH($B31,'DRAFT 1'!$B:$B,0)),"")</f>
        <v/>
      </c>
      <c r="Q31">
        <f>IFERROR(INDEX('DRAFT 1'!$M:$M,MATCH($B31,'DRAFT 1'!$B:$B,0)),"")</f>
        <v/>
      </c>
      <c r="R31">
        <f>IFERROR(INDEX('DRAFT 1'!$N:$N,MATCH($B31,'DRAFT 1'!$B:$B,0)),"")</f>
        <v/>
      </c>
      <c r="S31">
        <f>IFERROR(INDEX('DRAFT 1'!$O:$O,MATCH($B31,'DRAFT 1'!$B:$B,0)),"")</f>
        <v/>
      </c>
      <c r="T31">
        <f>IFERROR(INDEX('DRAFT 1'!$P:$P,MATCH($B31,'DRAFT 1'!$B:$B,0)),"")</f>
        <v/>
      </c>
      <c r="U31">
        <f>IFERROR(INDEX('DRAFT 1'!$Q:$Q,MATCH($B31,'DRAFT 1'!$B:$B,0)),"")</f>
        <v/>
      </c>
      <c r="V31">
        <f>IFERROR(INDEX('DRAFT 1'!$R:$R,MATCH($B31,'DRAFT 1'!$B:$B,0)),"")</f>
        <v/>
      </c>
      <c r="W31">
        <f>IFERROR(INDEX('DRAFT 1'!$S:$S,MATCH($B31,'DRAFT 1'!$B:$B,0)),"")</f>
        <v/>
      </c>
      <c r="X31">
        <f>IFERROR(INDEX('DRAFT 1'!$T:$T,MATCH($B31,'DRAFT 1'!$B:$B,0)),"")</f>
        <v/>
      </c>
      <c r="Z31">
        <f>IFERROR(INDEX('DRAFT 1'!$U:$U,MATCH($B31,'DRAFT 1'!$B:$B,0)),"")</f>
        <v/>
      </c>
      <c r="AA31">
        <f>IFERROR(INDEX('DRAFT 1'!$V:$V,MATCH($B31,'DRAFT 1'!$B:$B,0)),"")</f>
        <v/>
      </c>
      <c r="AB31">
        <f>IFERROR(INDEX('DRAFT 1'!$W:$W,MATCH($B31,'DRAFT 1'!$B:$B,0)),"")</f>
        <v/>
      </c>
      <c r="AC31">
        <f>IFERROR(INDEX('DRAFT 1'!$X:$X,MATCH($B31,'DRAFT 1'!$B:$B,0)),"")</f>
        <v/>
      </c>
      <c r="AD31">
        <f>IFERROR(INDEX('DRAFT 1'!$Y:$Y,MATCH($B31,'DRAFT 1'!$B:$B,0)),"")</f>
        <v/>
      </c>
      <c r="AE31">
        <f>IFERROR(INDEX('DRAFT 1'!$Z:$Z,MATCH($B31,'DRAFT 1'!$B:$B,0)),"")</f>
        <v/>
      </c>
      <c r="AF31">
        <f>IFERROR(INDEX('DRAFT 1'!$AA:$AA,MATCH($B31,'DRAFT 1'!$B:$B,0)),"")</f>
        <v/>
      </c>
      <c r="AG31">
        <f>IFERROR(INDEX('DRAFT 1'!$AB:$AB,MATCH($B31,'DRAFT 1'!$B:$B,0)),"")</f>
        <v/>
      </c>
      <c r="AH31">
        <f>IFERROR(INDEX('DRAFT 1'!$AC:$AC,MATCH($B31,'DRAFT 1'!$B:$B,0)),"")</f>
        <v/>
      </c>
      <c r="AI31">
        <f>IFERROR(INDEX('DRAFT 1'!$AD:$AD,MATCH($B31,'DRAFT 1'!$B:$B,0)),"")</f>
        <v/>
      </c>
      <c r="AJ31">
        <f>IFERROR(INDEX('DRAFT 1'!$AE:$AE,MATCH($B31,'DRAFT 1'!$B:$B,0)),"")</f>
        <v/>
      </c>
      <c r="AK31">
        <f>IFERROR(INDEX('DRAFT 1'!$AG:$AG,MATCH($B31,'DRAFT 1'!$B:$B,0)),"")</f>
        <v/>
      </c>
      <c r="AL31">
        <f>IFERROR(INDEX('DRAFT 1'!$AH:$AH,MATCH($B31,'DRAFT 1'!$B:$B,0)),"")</f>
        <v/>
      </c>
      <c r="AM31">
        <f>IFERROR(INDEX('DRAFT 1'!$AI:$AI,MATCH($B31,'DRAFT 1'!$B:$B,0)),"")</f>
        <v/>
      </c>
      <c r="AN31">
        <f>IFERROR(INDEX('DRAFT 1'!$AJ:$AJ,MATCH($B31,'DRAFT 1'!$B:$B,0)),"")</f>
        <v/>
      </c>
      <c r="AO31">
        <f>IFERROR(Y31/AN31,0)</f>
        <v/>
      </c>
      <c r="AP31">
        <f>IFERROR(INDEX('DRAFT 1'!$AK:$AK,MATCH($B31,'DRAFT 1'!$B:$B,0)),"")</f>
        <v/>
      </c>
      <c r="AR31" t="inlineStr">
        <is>
          <t>RECOMPRA</t>
        </is>
      </c>
      <c r="AS31">
        <f>IFERROR(LOOKUP(2,1/('DRAFT 2'!$D:$D=$B31),'DRAFT 2'!$T:$T),"")</f>
        <v/>
      </c>
      <c r="AT31">
        <f>IFERROR(LOOKUP(2,1/('DRAFT 2'!$D:$D=$B31),'DRAFT 2'!$A:$A),"")</f>
        <v/>
      </c>
      <c r="AU31">
        <f>IFERROR(LOOKUP(2,1/('DRAFT 2'!$D:$D=$B31),'DRAFT 2'!$R:$R),"")</f>
        <v/>
      </c>
      <c r="AV31">
        <f>IFERROR(LOOKUP(2,1/('DRAFT 2'!$D:$D=$B31),'DRAFT 2'!$S:$S),"")</f>
        <v/>
      </c>
      <c r="AW31" t="inlineStr">
        <is>
          <t>EM DESENVOLVIMENTO</t>
        </is>
      </c>
      <c r="AX31">
        <f>IFERROR(LOOKUP(2,1/('DRAFT 2'!$D:$D=$B31),'DRAFT 2'!$M:$M),"")</f>
        <v/>
      </c>
      <c r="AY31">
        <f>IFERROR(LOOKUP(2,1/('DRAFT 2'!$D:$D=$B31),'DRAFT 2'!$K:$K),"")</f>
        <v/>
      </c>
      <c r="BG31">
        <f>IFERROR(LOOKUP(2,1/('DRAFT 2'!$D:$D=$B31),'DRAFT 2'!$U:$U),"")</f>
        <v/>
      </c>
      <c r="BH31">
        <f>IFERROR(LOOKUP(2,1/('DRAFT 2'!$D:$D=$B31),'DRAFT 2'!$V:$V),"")</f>
        <v/>
      </c>
      <c r="CE31">
        <f>IFERROR(AJ31,0)</f>
        <v/>
      </c>
      <c r="CF31">
        <f>IFERROR(LOOKUP(2,1/('DRAFT 2'!$D:$D=$B31)*('DRAFT 2'!$A:$A&gt;=DATE(2026,1,1))*('DRAFT 2'!$A:$A&lt;DATE(2026,IF(1=12,1+1,1+1),1)),'DRAFT 2'!$A:$A),"")</f>
        <v/>
      </c>
      <c r="CG31">
        <f>COUNTIFS('DRAFT 2'!$D:$D,$B31,'DRAFT 2'!$A:$A,"&gt;="&amp;DATE(2026,1,1),'DRAFT 2'!$A:$A,"&lt;="&amp;DATE(2026,1,7))</f>
        <v/>
      </c>
      <c r="CH31">
        <f>COUNTIFS('DRAFT 2'!$D:$D,$B31,'DRAFT 2'!$A:$A,"&gt;="&amp;DATE(2026,1,8),'DRAFT 2'!$A:$A,"&lt;="&amp;DATE(2026,1,14))</f>
        <v/>
      </c>
      <c r="CI31">
        <f>COUNTIFS('DRAFT 2'!$D:$D,$B31,'DRAFT 2'!$A:$A,"&gt;="&amp;DATE(2026,1,15),'DRAFT 2'!$A:$A,"&lt;="&amp;DATE(2026,1,21))</f>
        <v/>
      </c>
      <c r="CJ31">
        <f>COUNTIFS('DRAFT 2'!$D:$D,$B31,'DRAFT 2'!$A:$A,"&gt;="&amp;DATE(2026,1,22),'DRAFT 2'!$A:$A,"&lt;"&amp;DATE(2026,IF(1=12,1+1,1+1),1))</f>
        <v/>
      </c>
      <c r="CK31">
        <f>SUM(CG31:CJ31)</f>
        <v/>
      </c>
      <c r="CT31" t="n">
        <v>0</v>
      </c>
      <c r="CU31">
        <f>IFERROR(LOOKUP(2,1/('DRAFT 2'!$D:$D=$B31)*('DRAFT 2'!$A:$A&gt;=DATE(2026,2,1))*('DRAFT 2'!$A:$A&lt;DATE(2026,IF(2=12,2+1,2+1),1)),'DRAFT 2'!$A:$A),"")</f>
        <v/>
      </c>
      <c r="CV31">
        <f>COUNTIFS('DRAFT 2'!$D:$D,$B31,'DRAFT 2'!$A:$A,"&gt;="&amp;DATE(2026,2,1),'DRAFT 2'!$A:$A,"&lt;="&amp;DATE(2026,2,7))</f>
        <v/>
      </c>
      <c r="CW31">
        <f>COUNTIFS('DRAFT 2'!$D:$D,$B31,'DRAFT 2'!$A:$A,"&gt;="&amp;DATE(2026,2,8),'DRAFT 2'!$A:$A,"&lt;="&amp;DATE(2026,2,14))</f>
        <v/>
      </c>
      <c r="CX31">
        <f>COUNTIFS('DRAFT 2'!$D:$D,$B31,'DRAFT 2'!$A:$A,"&gt;="&amp;DATE(2026,2,15),'DRAFT 2'!$A:$A,"&lt;="&amp;DATE(2026,2,21))</f>
        <v/>
      </c>
      <c r="CY31">
        <f>COUNTIFS('DRAFT 2'!$D:$D,$B31,'DRAFT 2'!$A:$A,"&gt;="&amp;DATE(2026,2,22),'DRAFT 2'!$A:$A,"&lt;"&amp;DATE(2026,IF(2=12,2+1,2+1),1))</f>
        <v/>
      </c>
      <c r="CZ31">
        <f>SUM(CV31:CY31)</f>
        <v/>
      </c>
      <c r="DJ31">
        <f>IFERROR(LOOKUP(2,1/('DRAFT 2'!$D:$D=$B31)*('DRAFT 2'!$A:$A&gt;=DATE(2026,3,1))*('DRAFT 2'!$A:$A&lt;DATE(2026,IF(3=12,3+1,3+1),1)),'DRAFT 2'!$A:$A),"")</f>
        <v/>
      </c>
      <c r="DK31">
        <f>COUNTIFS('DRAFT 2'!$D:$D,$B31,'DRAFT 2'!$A:$A,"&gt;="&amp;DATE(2026,3,1),'DRAFT 2'!$A:$A,"&lt;="&amp;DATE(2026,3,7))</f>
        <v/>
      </c>
      <c r="DL31">
        <f>COUNTIFS('DRAFT 2'!$D:$D,$B31,'DRAFT 2'!$A:$A,"&gt;="&amp;DATE(2026,3,8),'DRAFT 2'!$A:$A,"&lt;="&amp;DATE(2026,3,14))</f>
        <v/>
      </c>
      <c r="DM31">
        <f>COUNTIFS('DRAFT 2'!$D:$D,$B31,'DRAFT 2'!$A:$A,"&gt;="&amp;DATE(2026,3,15),'DRAFT 2'!$A:$A,"&lt;="&amp;DATE(2026,3,21))</f>
        <v/>
      </c>
      <c r="DN31">
        <f>COUNTIFS('DRAFT 2'!$D:$D,$B31,'DRAFT 2'!$A:$A,"&gt;="&amp;DATE(2026,3,22),'DRAFT 2'!$A:$A,"&lt;"&amp;DATE(2026,IF(3=12,3+1,3+1),1))</f>
        <v/>
      </c>
      <c r="DO31">
        <f>SUM(DK31:DN31)</f>
        <v/>
      </c>
      <c r="DZ31">
        <f>IFERROR(LOOKUP(2,1/('DRAFT 2'!$D:$D=$B31)*('DRAFT 2'!$A:$A&gt;=DATE(2026,4,1))*('DRAFT 2'!$A:$A&lt;DATE(2026,IF(4=12,4+1,4+1),1)),'DRAFT 2'!$A:$A),"")</f>
        <v/>
      </c>
      <c r="EA31">
        <f>COUNTIFS('DRAFT 2'!$D:$D,$B31,'DRAFT 2'!$A:$A,"&gt;="&amp;DATE(2026,4,1),'DRAFT 2'!$A:$A,"&lt;="&amp;DATE(2026,4,7))</f>
        <v/>
      </c>
      <c r="EB31">
        <f>COUNTIFS('DRAFT 2'!$D:$D,$B31,'DRAFT 2'!$A:$A,"&gt;="&amp;DATE(2026,4,8),'DRAFT 2'!$A:$A,"&lt;="&amp;DATE(2026,4,14))</f>
        <v/>
      </c>
      <c r="EC31">
        <f>COUNTIFS('DRAFT 2'!$D:$D,$B31,'DRAFT 2'!$A:$A,"&gt;="&amp;DATE(2026,4,15),'DRAFT 2'!$A:$A,"&lt;="&amp;DATE(2026,4,21))</f>
        <v/>
      </c>
      <c r="ED31">
        <f>COUNTIFS('DRAFT 2'!$D:$D,$B31,'DRAFT 2'!$A:$A,"&gt;="&amp;DATE(2026,4,22),'DRAFT 2'!$A:$A,"&lt;"&amp;DATE(2026,IF(4=12,4+1,4+1),1))</f>
        <v/>
      </c>
      <c r="EE31">
        <f>SUM(EA31:ED31)</f>
        <v/>
      </c>
      <c r="EO31">
        <f>IFERROR(LOOKUP(2,1/('DRAFT 2'!$D:$D=$B31)*('DRAFT 2'!$A:$A&gt;=DATE(2026,5,1))*('DRAFT 2'!$A:$A&lt;DATE(2026,IF(5=12,5+1,5+1),1)),'DRAFT 2'!$A:$A),"")</f>
        <v/>
      </c>
      <c r="EP31">
        <f>COUNTIFS('DRAFT 2'!$D:$D,$B31,'DRAFT 2'!$A:$A,"&gt;="&amp;DATE(2026,5,1),'DRAFT 2'!$A:$A,"&lt;="&amp;DATE(2026,5,7))</f>
        <v/>
      </c>
      <c r="EQ31">
        <f>COUNTIFS('DRAFT 2'!$D:$D,$B31,'DRAFT 2'!$A:$A,"&gt;="&amp;DATE(2026,5,8),'DRAFT 2'!$A:$A,"&lt;="&amp;DATE(2026,5,14))</f>
        <v/>
      </c>
      <c r="ER31">
        <f>COUNTIFS('DRAFT 2'!$D:$D,$B31,'DRAFT 2'!$A:$A,"&gt;="&amp;DATE(2026,5,15),'DRAFT 2'!$A:$A,"&lt;="&amp;DATE(2026,5,21))</f>
        <v/>
      </c>
      <c r="ES31">
        <f>COUNTIFS('DRAFT 2'!$D:$D,$B31,'DRAFT 2'!$A:$A,"&gt;="&amp;DATE(2026,5,22),'DRAFT 2'!$A:$A,"&lt;"&amp;DATE(2026,IF(5=12,5+1,5+1),1))</f>
        <v/>
      </c>
      <c r="ET31">
        <f>SUM(EP31:ES31)</f>
        <v/>
      </c>
      <c r="FD31">
        <f>IFERROR(LOOKUP(2,1/('DRAFT 2'!$D:$D=$B31)*('DRAFT 2'!$A:$A&gt;=DATE(2026,6,1))*('DRAFT 2'!$A:$A&lt;DATE(2026,IF(6=12,6+1,6+1),1)),'DRAFT 2'!$A:$A),"")</f>
        <v/>
      </c>
      <c r="FE31">
        <f>COUNTIFS('DRAFT 2'!$D:$D,$B31,'DRAFT 2'!$A:$A,"&gt;="&amp;DATE(2026,6,1),'DRAFT 2'!$A:$A,"&lt;="&amp;DATE(2026,6,7))</f>
        <v/>
      </c>
      <c r="FF31">
        <f>COUNTIFS('DRAFT 2'!$D:$D,$B31,'DRAFT 2'!$A:$A,"&gt;="&amp;DATE(2026,6,8),'DRAFT 2'!$A:$A,"&lt;="&amp;DATE(2026,6,14))</f>
        <v/>
      </c>
      <c r="FG31">
        <f>COUNTIFS('DRAFT 2'!$D:$D,$B31,'DRAFT 2'!$A:$A,"&gt;="&amp;DATE(2026,6,15),'DRAFT 2'!$A:$A,"&lt;="&amp;DATE(2026,6,21))</f>
        <v/>
      </c>
      <c r="FH31">
        <f>COUNTIFS('DRAFT 2'!$D:$D,$B31,'DRAFT 2'!$A:$A,"&gt;="&amp;DATE(2026,6,22),'DRAFT 2'!$A:$A,"&lt;"&amp;DATE(2026,IF(6=12,6+1,6+1),1))</f>
        <v/>
      </c>
      <c r="FI31">
        <f>SUM(FE31:FH31)</f>
        <v/>
      </c>
      <c r="FT31">
        <f>IFERROR(LOOKUP(2,1/('DRAFT 2'!$D:$D=$B31)*('DRAFT 2'!$A:$A&gt;=DATE(2026,7,1))*('DRAFT 2'!$A:$A&lt;DATE(2026,IF(7=12,7+1,7+1),1)),'DRAFT 2'!$A:$A),"")</f>
        <v/>
      </c>
      <c r="FU31">
        <f>COUNTIFS('DRAFT 2'!$D:$D,$B31,'DRAFT 2'!$A:$A,"&gt;="&amp;DATE(2026,7,1),'DRAFT 2'!$A:$A,"&lt;="&amp;DATE(2026,7,7))</f>
        <v/>
      </c>
      <c r="FV31">
        <f>COUNTIFS('DRAFT 2'!$D:$D,$B31,'DRAFT 2'!$A:$A,"&gt;="&amp;DATE(2026,7,8),'DRAFT 2'!$A:$A,"&lt;="&amp;DATE(2026,7,14))</f>
        <v/>
      </c>
      <c r="FW31">
        <f>COUNTIFS('DRAFT 2'!$D:$D,$B31,'DRAFT 2'!$A:$A,"&gt;="&amp;DATE(2026,7,15),'DRAFT 2'!$A:$A,"&lt;="&amp;DATE(2026,7,21))</f>
        <v/>
      </c>
      <c r="FX31">
        <f>COUNTIFS('DRAFT 2'!$D:$D,$B31,'DRAFT 2'!$A:$A,"&gt;="&amp;DATE(2026,7,22),'DRAFT 2'!$A:$A,"&lt;"&amp;DATE(2026,IF(7=12,7+1,7+1),1))</f>
        <v/>
      </c>
      <c r="FY31">
        <f>SUM(FU31:FX31)</f>
        <v/>
      </c>
      <c r="GI31">
        <f>IFERROR(LOOKUP(2,1/('DRAFT 2'!$D:$D=$B31)*('DRAFT 2'!$A:$A&gt;=DATE(2026,8,1))*('DRAFT 2'!$A:$A&lt;DATE(2026,IF(8=12,8+1,8+1),1)),'DRAFT 2'!$A:$A),"")</f>
        <v/>
      </c>
      <c r="GJ31">
        <f>COUNTIFS('DRAFT 2'!$D:$D,$B31,'DRAFT 2'!$A:$A,"&gt;="&amp;DATE(2026,8,1),'DRAFT 2'!$A:$A,"&lt;="&amp;DATE(2026,8,7))</f>
        <v/>
      </c>
      <c r="GK31">
        <f>COUNTIFS('DRAFT 2'!$D:$D,$B31,'DRAFT 2'!$A:$A,"&gt;="&amp;DATE(2026,8,8),'DRAFT 2'!$A:$A,"&lt;="&amp;DATE(2026,8,14))</f>
        <v/>
      </c>
      <c r="GL31">
        <f>COUNTIFS('DRAFT 2'!$D:$D,$B31,'DRAFT 2'!$A:$A,"&gt;="&amp;DATE(2026,8,15),'DRAFT 2'!$A:$A,"&lt;="&amp;DATE(2026,8,21))</f>
        <v/>
      </c>
      <c r="GM31">
        <f>COUNTIFS('DRAFT 2'!$D:$D,$B31,'DRAFT 2'!$A:$A,"&gt;="&amp;DATE(2026,8,22),'DRAFT 2'!$A:$A,"&lt;"&amp;DATE(2026,IF(8=12,8+1,8+1),1))</f>
        <v/>
      </c>
      <c r="GN31">
        <f>SUM(GJ31:GM31)</f>
        <v/>
      </c>
      <c r="GX31">
        <f>IFERROR(LOOKUP(2,1/('DRAFT 2'!$D:$D=$B31)*('DRAFT 2'!$A:$A&gt;=DATE(2026,9,1))*('DRAFT 2'!$A:$A&lt;DATE(2026,IF(9=12,9+1,9+1),1)),'DRAFT 2'!$A:$A),"")</f>
        <v/>
      </c>
      <c r="GY31">
        <f>COUNTIFS('DRAFT 2'!$D:$D,$B31,'DRAFT 2'!$A:$A,"&gt;="&amp;DATE(2026,9,1),'DRAFT 2'!$A:$A,"&lt;="&amp;DATE(2026,9,7))</f>
        <v/>
      </c>
      <c r="GZ31">
        <f>COUNTIFS('DRAFT 2'!$D:$D,$B31,'DRAFT 2'!$A:$A,"&gt;="&amp;DATE(2026,9,8),'DRAFT 2'!$A:$A,"&lt;="&amp;DATE(2026,9,14))</f>
        <v/>
      </c>
      <c r="HA31">
        <f>COUNTIFS('DRAFT 2'!$D:$D,$B31,'DRAFT 2'!$A:$A,"&gt;="&amp;DATE(2026,9,15),'DRAFT 2'!$A:$A,"&lt;="&amp;DATE(2026,9,21))</f>
        <v/>
      </c>
      <c r="HB31">
        <f>COUNTIFS('DRAFT 2'!$D:$D,$B31,'DRAFT 2'!$A:$A,"&gt;="&amp;DATE(2026,9,22),'DRAFT 2'!$A:$A,"&lt;"&amp;DATE(2026,IF(9=12,9+1,9+1),1))</f>
        <v/>
      </c>
      <c r="HC31">
        <f>SUM(GY31:HB31)</f>
        <v/>
      </c>
      <c r="HN31">
        <f>IFERROR(LOOKUP(2,1/('DRAFT 2'!$D:$D=$B31)*('DRAFT 2'!$A:$A&gt;=DATE(2026,10,1))*('DRAFT 2'!$A:$A&lt;DATE(2026,IF(10=12,10+1,10+1),1)),'DRAFT 2'!$A:$A),"")</f>
        <v/>
      </c>
      <c r="HO31">
        <f>COUNTIFS('DRAFT 2'!$D:$D,$B31,'DRAFT 2'!$A:$A,"&gt;="&amp;DATE(2026,10,1),'DRAFT 2'!$A:$A,"&lt;="&amp;DATE(2026,10,7))</f>
        <v/>
      </c>
      <c r="HP31">
        <f>COUNTIFS('DRAFT 2'!$D:$D,$B31,'DRAFT 2'!$A:$A,"&gt;="&amp;DATE(2026,10,8),'DRAFT 2'!$A:$A,"&lt;="&amp;DATE(2026,10,14))</f>
        <v/>
      </c>
      <c r="HQ31">
        <f>COUNTIFS('DRAFT 2'!$D:$D,$B31,'DRAFT 2'!$A:$A,"&gt;="&amp;DATE(2026,10,15),'DRAFT 2'!$A:$A,"&lt;="&amp;DATE(2026,10,21))</f>
        <v/>
      </c>
      <c r="HR31">
        <f>COUNTIFS('DRAFT 2'!$D:$D,$B31,'DRAFT 2'!$A:$A,"&gt;="&amp;DATE(2026,10,22),'DRAFT 2'!$A:$A,"&lt;"&amp;DATE(2026,IF(10=12,10+1,10+1),1))</f>
        <v/>
      </c>
      <c r="HS31">
        <f>SUM(HO31:HR31)</f>
        <v/>
      </c>
      <c r="IC31">
        <f>IFERROR(LOOKUP(2,1/('DRAFT 2'!$D:$D=$B31)*('DRAFT 2'!$A:$A&gt;=DATE(2026,11,1))*('DRAFT 2'!$A:$A&lt;DATE(2026,IF(11=12,11+1,11+1),1)),'DRAFT 2'!$A:$A),"")</f>
        <v/>
      </c>
      <c r="ID31">
        <f>COUNTIFS('DRAFT 2'!$D:$D,$B31,'DRAFT 2'!$A:$A,"&gt;="&amp;DATE(2026,11,1),'DRAFT 2'!$A:$A,"&lt;="&amp;DATE(2026,11,7))</f>
        <v/>
      </c>
      <c r="IE31">
        <f>COUNTIFS('DRAFT 2'!$D:$D,$B31,'DRAFT 2'!$A:$A,"&gt;="&amp;DATE(2026,11,8),'DRAFT 2'!$A:$A,"&lt;="&amp;DATE(2026,11,14))</f>
        <v/>
      </c>
      <c r="IF31">
        <f>COUNTIFS('DRAFT 2'!$D:$D,$B31,'DRAFT 2'!$A:$A,"&gt;="&amp;DATE(2026,11,15),'DRAFT 2'!$A:$A,"&lt;="&amp;DATE(2026,11,21))</f>
        <v/>
      </c>
      <c r="IG31">
        <f>COUNTIFS('DRAFT 2'!$D:$D,$B31,'DRAFT 2'!$A:$A,"&gt;="&amp;DATE(2026,11,22),'DRAFT 2'!$A:$A,"&lt;"&amp;DATE(2026,IF(11=12,11+1,11+1),1))</f>
        <v/>
      </c>
      <c r="IH31">
        <f>SUM(ID31:IG31)</f>
        <v/>
      </c>
      <c r="IR31">
        <f>IFERROR(LOOKUP(2,1/('DRAFT 2'!$D:$D=$B31)*('DRAFT 2'!$A:$A&gt;=DATE(2026,12,1))*('DRAFT 2'!$A:$A&lt;DATE(2026,IF(12=12,12+1,12+1),1)),'DRAFT 2'!$A:$A),"")</f>
        <v/>
      </c>
      <c r="IS31">
        <f>COUNTIFS('DRAFT 2'!$D:$D,$B31,'DRAFT 2'!$A:$A,"&gt;="&amp;DATE(2026,12,1),'DRAFT 2'!$A:$A,"&lt;="&amp;DATE(2026,12,7))</f>
        <v/>
      </c>
      <c r="IT31">
        <f>COUNTIFS('DRAFT 2'!$D:$D,$B31,'DRAFT 2'!$A:$A,"&gt;="&amp;DATE(2026,12,8),'DRAFT 2'!$A:$A,"&lt;="&amp;DATE(2026,12,14))</f>
        <v/>
      </c>
      <c r="IU31">
        <f>COUNTIFS('DRAFT 2'!$D:$D,$B31,'DRAFT 2'!$A:$A,"&gt;="&amp;DATE(2026,12,15),'DRAFT 2'!$A:$A,"&lt;="&amp;DATE(2026,12,21))</f>
        <v/>
      </c>
      <c r="IV31">
        <f>COUNTIFS('DRAFT 2'!$D:$D,$B31,'DRAFT 2'!$A:$A,"&gt;="&amp;DATE(2026,12,22),'DRAFT 2'!$A:$A,"&lt;"&amp;DATE(2026,IF(12=12,12+1,12+1),1))</f>
        <v/>
      </c>
      <c r="IW31">
        <f>SUM(IS31:IV31)</f>
        <v/>
      </c>
    </row>
    <row r="32">
      <c r="A32">
        <f>IFERROR(INDEX('DRAFT 1'!$A:$A,MATCH($B32,'DRAFT 1'!$B:$B,0)),"")</f>
        <v/>
      </c>
      <c r="C32">
        <f>IFERROR(INDEX('DRAFT 1'!$C:$C,MATCH($B32,'DRAFT 1'!$B:$B,0)),"")</f>
        <v/>
      </c>
      <c r="D32">
        <f>IFERROR(INDEX('DRAFT 1'!$D:$D,MATCH($B32,'DRAFT 1'!$B:$B,0)),"")</f>
        <v/>
      </c>
      <c r="E32">
        <f>IFERROR(INDEX('DRAFT 1'!$E:$E,MATCH($B32,'DRAFT 1'!$B:$B,0)),"")</f>
        <v/>
      </c>
      <c r="F32">
        <f>IFERROR(INDEX('DRAFT 1'!$F:$F,MATCH($B32,'DRAFT 1'!$B:$B,0)),"")</f>
        <v/>
      </c>
      <c r="G32">
        <f>IFERROR(INDEX('DRAFT 1'!$G:$G,MATCH($B32,'DRAFT 1'!$B:$B,0)),"")</f>
        <v/>
      </c>
      <c r="H32">
        <f>IFERROR(INDEX('DRAFT 1'!$H:$H,MATCH($B32,'DRAFT 1'!$B:$B,0)),"")</f>
        <v/>
      </c>
      <c r="I32" t="inlineStr">
        <is>
          <t>DEMAIS CLIENTES</t>
        </is>
      </c>
      <c r="K32">
        <f>IFERROR(INDEX('DRAFT 1'!$AL:$AL,MATCH($B32,'DRAFT 1'!$B:$B,0)),"")</f>
        <v/>
      </c>
      <c r="L32">
        <f>IFERROR(INDEX('DRAFT 1'!$J:$J,MATCH($B32,'DRAFT 1'!$B:$B,0)),"")</f>
        <v/>
      </c>
      <c r="M32">
        <f>IFERROR(INDEX('DRAFT 1'!$K:$K,MATCH($B32,'DRAFT 1'!$B:$B,0)),"")</f>
        <v/>
      </c>
      <c r="N32" t="inlineStr">
        <is>
          <t>INAT.REC</t>
        </is>
      </c>
      <c r="P32">
        <f>IFERROR(INDEX('DRAFT 1'!$L:$L,MATCH($B32,'DRAFT 1'!$B:$B,0)),"")</f>
        <v/>
      </c>
      <c r="Q32">
        <f>IFERROR(INDEX('DRAFT 1'!$M:$M,MATCH($B32,'DRAFT 1'!$B:$B,0)),"")</f>
        <v/>
      </c>
      <c r="R32">
        <f>IFERROR(INDEX('DRAFT 1'!$N:$N,MATCH($B32,'DRAFT 1'!$B:$B,0)),"")</f>
        <v/>
      </c>
      <c r="S32">
        <f>IFERROR(INDEX('DRAFT 1'!$O:$O,MATCH($B32,'DRAFT 1'!$B:$B,0)),"")</f>
        <v/>
      </c>
      <c r="T32">
        <f>IFERROR(INDEX('DRAFT 1'!$P:$P,MATCH($B32,'DRAFT 1'!$B:$B,0)),"")</f>
        <v/>
      </c>
      <c r="U32">
        <f>IFERROR(INDEX('DRAFT 1'!$Q:$Q,MATCH($B32,'DRAFT 1'!$B:$B,0)),"")</f>
        <v/>
      </c>
      <c r="V32">
        <f>IFERROR(INDEX('DRAFT 1'!$R:$R,MATCH($B32,'DRAFT 1'!$B:$B,0)),"")</f>
        <v/>
      </c>
      <c r="W32">
        <f>IFERROR(INDEX('DRAFT 1'!$S:$S,MATCH($B32,'DRAFT 1'!$B:$B,0)),"")</f>
        <v/>
      </c>
      <c r="X32">
        <f>IFERROR(INDEX('DRAFT 1'!$T:$T,MATCH($B32,'DRAFT 1'!$B:$B,0)),"")</f>
        <v/>
      </c>
      <c r="Z32">
        <f>IFERROR(INDEX('DRAFT 1'!$U:$U,MATCH($B32,'DRAFT 1'!$B:$B,0)),"")</f>
        <v/>
      </c>
      <c r="AA32">
        <f>IFERROR(INDEX('DRAFT 1'!$V:$V,MATCH($B32,'DRAFT 1'!$B:$B,0)),"")</f>
        <v/>
      </c>
      <c r="AB32">
        <f>IFERROR(INDEX('DRAFT 1'!$W:$W,MATCH($B32,'DRAFT 1'!$B:$B,0)),"")</f>
        <v/>
      </c>
      <c r="AC32">
        <f>IFERROR(INDEX('DRAFT 1'!$X:$X,MATCH($B32,'DRAFT 1'!$B:$B,0)),"")</f>
        <v/>
      </c>
      <c r="AD32">
        <f>IFERROR(INDEX('DRAFT 1'!$Y:$Y,MATCH($B32,'DRAFT 1'!$B:$B,0)),"")</f>
        <v/>
      </c>
      <c r="AE32">
        <f>IFERROR(INDEX('DRAFT 1'!$Z:$Z,MATCH($B32,'DRAFT 1'!$B:$B,0)),"")</f>
        <v/>
      </c>
      <c r="AF32">
        <f>IFERROR(INDEX('DRAFT 1'!$AA:$AA,MATCH($B32,'DRAFT 1'!$B:$B,0)),"")</f>
        <v/>
      </c>
      <c r="AG32">
        <f>IFERROR(INDEX('DRAFT 1'!$AB:$AB,MATCH($B32,'DRAFT 1'!$B:$B,0)),"")</f>
        <v/>
      </c>
      <c r="AH32">
        <f>IFERROR(INDEX('DRAFT 1'!$AC:$AC,MATCH($B32,'DRAFT 1'!$B:$B,0)),"")</f>
        <v/>
      </c>
      <c r="AI32">
        <f>IFERROR(INDEX('DRAFT 1'!$AD:$AD,MATCH($B32,'DRAFT 1'!$B:$B,0)),"")</f>
        <v/>
      </c>
      <c r="AJ32">
        <f>IFERROR(INDEX('DRAFT 1'!$AE:$AE,MATCH($B32,'DRAFT 1'!$B:$B,0)),"")</f>
        <v/>
      </c>
      <c r="AK32">
        <f>IFERROR(INDEX('DRAFT 1'!$AG:$AG,MATCH($B32,'DRAFT 1'!$B:$B,0)),"")</f>
        <v/>
      </c>
      <c r="AL32">
        <f>IFERROR(INDEX('DRAFT 1'!$AH:$AH,MATCH($B32,'DRAFT 1'!$B:$B,0)),"")</f>
        <v/>
      </c>
      <c r="AM32">
        <f>IFERROR(INDEX('DRAFT 1'!$AI:$AI,MATCH($B32,'DRAFT 1'!$B:$B,0)),"")</f>
        <v/>
      </c>
      <c r="AN32">
        <f>IFERROR(INDEX('DRAFT 1'!$AJ:$AJ,MATCH($B32,'DRAFT 1'!$B:$B,0)),"")</f>
        <v/>
      </c>
      <c r="AO32">
        <f>IFERROR(Y32/AN32,0)</f>
        <v/>
      </c>
      <c r="AP32">
        <f>IFERROR(INDEX('DRAFT 1'!$AK:$AK,MATCH($B32,'DRAFT 1'!$B:$B,0)),"")</f>
        <v/>
      </c>
      <c r="AR32" t="inlineStr">
        <is>
          <t>RECOMPRA</t>
        </is>
      </c>
      <c r="AS32">
        <f>IFERROR(LOOKUP(2,1/('DRAFT 2'!$D:$D=$B32),'DRAFT 2'!$T:$T),"")</f>
        <v/>
      </c>
      <c r="AT32">
        <f>IFERROR(LOOKUP(2,1/('DRAFT 2'!$D:$D=$B32),'DRAFT 2'!$A:$A),"")</f>
        <v/>
      </c>
      <c r="AU32">
        <f>IFERROR(LOOKUP(2,1/('DRAFT 2'!$D:$D=$B32),'DRAFT 2'!$R:$R),"")</f>
        <v/>
      </c>
      <c r="AV32">
        <f>IFERROR(LOOKUP(2,1/('DRAFT 2'!$D:$D=$B32),'DRAFT 2'!$S:$S),"")</f>
        <v/>
      </c>
      <c r="AW32" t="inlineStr">
        <is>
          <t>PROSPECT</t>
        </is>
      </c>
      <c r="AX32">
        <f>IFERROR(LOOKUP(2,1/('DRAFT 2'!$D:$D=$B32),'DRAFT 2'!$M:$M),"")</f>
        <v/>
      </c>
      <c r="AY32">
        <f>IFERROR(LOOKUP(2,1/('DRAFT 2'!$D:$D=$B32),'DRAFT 2'!$K:$K),"")</f>
        <v/>
      </c>
      <c r="BG32">
        <f>IFERROR(LOOKUP(2,1/('DRAFT 2'!$D:$D=$B32),'DRAFT 2'!$U:$U),"")</f>
        <v/>
      </c>
      <c r="BH32">
        <f>IFERROR(LOOKUP(2,1/('DRAFT 2'!$D:$D=$B32),'DRAFT 2'!$V:$V),"")</f>
        <v/>
      </c>
      <c r="CE32">
        <f>IFERROR(AJ32,0)</f>
        <v/>
      </c>
      <c r="CF32">
        <f>IFERROR(LOOKUP(2,1/('DRAFT 2'!$D:$D=$B32)*('DRAFT 2'!$A:$A&gt;=DATE(2026,1,1))*('DRAFT 2'!$A:$A&lt;DATE(2026,IF(1=12,1+1,1+1),1)),'DRAFT 2'!$A:$A),"")</f>
        <v/>
      </c>
      <c r="CG32">
        <f>COUNTIFS('DRAFT 2'!$D:$D,$B32,'DRAFT 2'!$A:$A,"&gt;="&amp;DATE(2026,1,1),'DRAFT 2'!$A:$A,"&lt;="&amp;DATE(2026,1,7))</f>
        <v/>
      </c>
      <c r="CH32">
        <f>COUNTIFS('DRAFT 2'!$D:$D,$B32,'DRAFT 2'!$A:$A,"&gt;="&amp;DATE(2026,1,8),'DRAFT 2'!$A:$A,"&lt;="&amp;DATE(2026,1,14))</f>
        <v/>
      </c>
      <c r="CI32">
        <f>COUNTIFS('DRAFT 2'!$D:$D,$B32,'DRAFT 2'!$A:$A,"&gt;="&amp;DATE(2026,1,15),'DRAFT 2'!$A:$A,"&lt;="&amp;DATE(2026,1,21))</f>
        <v/>
      </c>
      <c r="CJ32">
        <f>COUNTIFS('DRAFT 2'!$D:$D,$B32,'DRAFT 2'!$A:$A,"&gt;="&amp;DATE(2026,1,22),'DRAFT 2'!$A:$A,"&lt;"&amp;DATE(2026,IF(1=12,1+1,1+1),1))</f>
        <v/>
      </c>
      <c r="CK32">
        <f>SUM(CG32:CJ32)</f>
        <v/>
      </c>
      <c r="CT32" t="n">
        <v>0</v>
      </c>
      <c r="CU32">
        <f>IFERROR(LOOKUP(2,1/('DRAFT 2'!$D:$D=$B32)*('DRAFT 2'!$A:$A&gt;=DATE(2026,2,1))*('DRAFT 2'!$A:$A&lt;DATE(2026,IF(2=12,2+1,2+1),1)),'DRAFT 2'!$A:$A),"")</f>
        <v/>
      </c>
      <c r="CV32">
        <f>COUNTIFS('DRAFT 2'!$D:$D,$B32,'DRAFT 2'!$A:$A,"&gt;="&amp;DATE(2026,2,1),'DRAFT 2'!$A:$A,"&lt;="&amp;DATE(2026,2,7))</f>
        <v/>
      </c>
      <c r="CW32">
        <f>COUNTIFS('DRAFT 2'!$D:$D,$B32,'DRAFT 2'!$A:$A,"&gt;="&amp;DATE(2026,2,8),'DRAFT 2'!$A:$A,"&lt;="&amp;DATE(2026,2,14))</f>
        <v/>
      </c>
      <c r="CX32">
        <f>COUNTIFS('DRAFT 2'!$D:$D,$B32,'DRAFT 2'!$A:$A,"&gt;="&amp;DATE(2026,2,15),'DRAFT 2'!$A:$A,"&lt;="&amp;DATE(2026,2,21))</f>
        <v/>
      </c>
      <c r="CY32">
        <f>COUNTIFS('DRAFT 2'!$D:$D,$B32,'DRAFT 2'!$A:$A,"&gt;="&amp;DATE(2026,2,22),'DRAFT 2'!$A:$A,"&lt;"&amp;DATE(2026,IF(2=12,2+1,2+1),1))</f>
        <v/>
      </c>
      <c r="CZ32">
        <f>SUM(CV32:CY32)</f>
        <v/>
      </c>
      <c r="DJ32">
        <f>IFERROR(LOOKUP(2,1/('DRAFT 2'!$D:$D=$B32)*('DRAFT 2'!$A:$A&gt;=DATE(2026,3,1))*('DRAFT 2'!$A:$A&lt;DATE(2026,IF(3=12,3+1,3+1),1)),'DRAFT 2'!$A:$A),"")</f>
        <v/>
      </c>
      <c r="DK32">
        <f>COUNTIFS('DRAFT 2'!$D:$D,$B32,'DRAFT 2'!$A:$A,"&gt;="&amp;DATE(2026,3,1),'DRAFT 2'!$A:$A,"&lt;="&amp;DATE(2026,3,7))</f>
        <v/>
      </c>
      <c r="DL32">
        <f>COUNTIFS('DRAFT 2'!$D:$D,$B32,'DRAFT 2'!$A:$A,"&gt;="&amp;DATE(2026,3,8),'DRAFT 2'!$A:$A,"&lt;="&amp;DATE(2026,3,14))</f>
        <v/>
      </c>
      <c r="DM32">
        <f>COUNTIFS('DRAFT 2'!$D:$D,$B32,'DRAFT 2'!$A:$A,"&gt;="&amp;DATE(2026,3,15),'DRAFT 2'!$A:$A,"&lt;="&amp;DATE(2026,3,21))</f>
        <v/>
      </c>
      <c r="DN32">
        <f>COUNTIFS('DRAFT 2'!$D:$D,$B32,'DRAFT 2'!$A:$A,"&gt;="&amp;DATE(2026,3,22),'DRAFT 2'!$A:$A,"&lt;"&amp;DATE(2026,IF(3=12,3+1,3+1),1))</f>
        <v/>
      </c>
      <c r="DO32">
        <f>SUM(DK32:DN32)</f>
        <v/>
      </c>
      <c r="DZ32">
        <f>IFERROR(LOOKUP(2,1/('DRAFT 2'!$D:$D=$B32)*('DRAFT 2'!$A:$A&gt;=DATE(2026,4,1))*('DRAFT 2'!$A:$A&lt;DATE(2026,IF(4=12,4+1,4+1),1)),'DRAFT 2'!$A:$A),"")</f>
        <v/>
      </c>
      <c r="EA32">
        <f>COUNTIFS('DRAFT 2'!$D:$D,$B32,'DRAFT 2'!$A:$A,"&gt;="&amp;DATE(2026,4,1),'DRAFT 2'!$A:$A,"&lt;="&amp;DATE(2026,4,7))</f>
        <v/>
      </c>
      <c r="EB32">
        <f>COUNTIFS('DRAFT 2'!$D:$D,$B32,'DRAFT 2'!$A:$A,"&gt;="&amp;DATE(2026,4,8),'DRAFT 2'!$A:$A,"&lt;="&amp;DATE(2026,4,14))</f>
        <v/>
      </c>
      <c r="EC32">
        <f>COUNTIFS('DRAFT 2'!$D:$D,$B32,'DRAFT 2'!$A:$A,"&gt;="&amp;DATE(2026,4,15),'DRAFT 2'!$A:$A,"&lt;="&amp;DATE(2026,4,21))</f>
        <v/>
      </c>
      <c r="ED32">
        <f>COUNTIFS('DRAFT 2'!$D:$D,$B32,'DRAFT 2'!$A:$A,"&gt;="&amp;DATE(2026,4,22),'DRAFT 2'!$A:$A,"&lt;"&amp;DATE(2026,IF(4=12,4+1,4+1),1))</f>
        <v/>
      </c>
      <c r="EE32">
        <f>SUM(EA32:ED32)</f>
        <v/>
      </c>
      <c r="EO32">
        <f>IFERROR(LOOKUP(2,1/('DRAFT 2'!$D:$D=$B32)*('DRAFT 2'!$A:$A&gt;=DATE(2026,5,1))*('DRAFT 2'!$A:$A&lt;DATE(2026,IF(5=12,5+1,5+1),1)),'DRAFT 2'!$A:$A),"")</f>
        <v/>
      </c>
      <c r="EP32">
        <f>COUNTIFS('DRAFT 2'!$D:$D,$B32,'DRAFT 2'!$A:$A,"&gt;="&amp;DATE(2026,5,1),'DRAFT 2'!$A:$A,"&lt;="&amp;DATE(2026,5,7))</f>
        <v/>
      </c>
      <c r="EQ32">
        <f>COUNTIFS('DRAFT 2'!$D:$D,$B32,'DRAFT 2'!$A:$A,"&gt;="&amp;DATE(2026,5,8),'DRAFT 2'!$A:$A,"&lt;="&amp;DATE(2026,5,14))</f>
        <v/>
      </c>
      <c r="ER32">
        <f>COUNTIFS('DRAFT 2'!$D:$D,$B32,'DRAFT 2'!$A:$A,"&gt;="&amp;DATE(2026,5,15),'DRAFT 2'!$A:$A,"&lt;="&amp;DATE(2026,5,21))</f>
        <v/>
      </c>
      <c r="ES32">
        <f>COUNTIFS('DRAFT 2'!$D:$D,$B32,'DRAFT 2'!$A:$A,"&gt;="&amp;DATE(2026,5,22),'DRAFT 2'!$A:$A,"&lt;"&amp;DATE(2026,IF(5=12,5+1,5+1),1))</f>
        <v/>
      </c>
      <c r="ET32">
        <f>SUM(EP32:ES32)</f>
        <v/>
      </c>
      <c r="FD32">
        <f>IFERROR(LOOKUP(2,1/('DRAFT 2'!$D:$D=$B32)*('DRAFT 2'!$A:$A&gt;=DATE(2026,6,1))*('DRAFT 2'!$A:$A&lt;DATE(2026,IF(6=12,6+1,6+1),1)),'DRAFT 2'!$A:$A),"")</f>
        <v/>
      </c>
      <c r="FE32">
        <f>COUNTIFS('DRAFT 2'!$D:$D,$B32,'DRAFT 2'!$A:$A,"&gt;="&amp;DATE(2026,6,1),'DRAFT 2'!$A:$A,"&lt;="&amp;DATE(2026,6,7))</f>
        <v/>
      </c>
      <c r="FF32">
        <f>COUNTIFS('DRAFT 2'!$D:$D,$B32,'DRAFT 2'!$A:$A,"&gt;="&amp;DATE(2026,6,8),'DRAFT 2'!$A:$A,"&lt;="&amp;DATE(2026,6,14))</f>
        <v/>
      </c>
      <c r="FG32">
        <f>COUNTIFS('DRAFT 2'!$D:$D,$B32,'DRAFT 2'!$A:$A,"&gt;="&amp;DATE(2026,6,15),'DRAFT 2'!$A:$A,"&lt;="&amp;DATE(2026,6,21))</f>
        <v/>
      </c>
      <c r="FH32">
        <f>COUNTIFS('DRAFT 2'!$D:$D,$B32,'DRAFT 2'!$A:$A,"&gt;="&amp;DATE(2026,6,22),'DRAFT 2'!$A:$A,"&lt;"&amp;DATE(2026,IF(6=12,6+1,6+1),1))</f>
        <v/>
      </c>
      <c r="FI32">
        <f>SUM(FE32:FH32)</f>
        <v/>
      </c>
      <c r="FT32">
        <f>IFERROR(LOOKUP(2,1/('DRAFT 2'!$D:$D=$B32)*('DRAFT 2'!$A:$A&gt;=DATE(2026,7,1))*('DRAFT 2'!$A:$A&lt;DATE(2026,IF(7=12,7+1,7+1),1)),'DRAFT 2'!$A:$A),"")</f>
        <v/>
      </c>
      <c r="FU32">
        <f>COUNTIFS('DRAFT 2'!$D:$D,$B32,'DRAFT 2'!$A:$A,"&gt;="&amp;DATE(2026,7,1),'DRAFT 2'!$A:$A,"&lt;="&amp;DATE(2026,7,7))</f>
        <v/>
      </c>
      <c r="FV32">
        <f>COUNTIFS('DRAFT 2'!$D:$D,$B32,'DRAFT 2'!$A:$A,"&gt;="&amp;DATE(2026,7,8),'DRAFT 2'!$A:$A,"&lt;="&amp;DATE(2026,7,14))</f>
        <v/>
      </c>
      <c r="FW32">
        <f>COUNTIFS('DRAFT 2'!$D:$D,$B32,'DRAFT 2'!$A:$A,"&gt;="&amp;DATE(2026,7,15),'DRAFT 2'!$A:$A,"&lt;="&amp;DATE(2026,7,21))</f>
        <v/>
      </c>
      <c r="FX32">
        <f>COUNTIFS('DRAFT 2'!$D:$D,$B32,'DRAFT 2'!$A:$A,"&gt;="&amp;DATE(2026,7,22),'DRAFT 2'!$A:$A,"&lt;"&amp;DATE(2026,IF(7=12,7+1,7+1),1))</f>
        <v/>
      </c>
      <c r="FY32">
        <f>SUM(FU32:FX32)</f>
        <v/>
      </c>
      <c r="GI32">
        <f>IFERROR(LOOKUP(2,1/('DRAFT 2'!$D:$D=$B32)*('DRAFT 2'!$A:$A&gt;=DATE(2026,8,1))*('DRAFT 2'!$A:$A&lt;DATE(2026,IF(8=12,8+1,8+1),1)),'DRAFT 2'!$A:$A),"")</f>
        <v/>
      </c>
      <c r="GJ32">
        <f>COUNTIFS('DRAFT 2'!$D:$D,$B32,'DRAFT 2'!$A:$A,"&gt;="&amp;DATE(2026,8,1),'DRAFT 2'!$A:$A,"&lt;="&amp;DATE(2026,8,7))</f>
        <v/>
      </c>
      <c r="GK32">
        <f>COUNTIFS('DRAFT 2'!$D:$D,$B32,'DRAFT 2'!$A:$A,"&gt;="&amp;DATE(2026,8,8),'DRAFT 2'!$A:$A,"&lt;="&amp;DATE(2026,8,14))</f>
        <v/>
      </c>
      <c r="GL32">
        <f>COUNTIFS('DRAFT 2'!$D:$D,$B32,'DRAFT 2'!$A:$A,"&gt;="&amp;DATE(2026,8,15),'DRAFT 2'!$A:$A,"&lt;="&amp;DATE(2026,8,21))</f>
        <v/>
      </c>
      <c r="GM32">
        <f>COUNTIFS('DRAFT 2'!$D:$D,$B32,'DRAFT 2'!$A:$A,"&gt;="&amp;DATE(2026,8,22),'DRAFT 2'!$A:$A,"&lt;"&amp;DATE(2026,IF(8=12,8+1,8+1),1))</f>
        <v/>
      </c>
      <c r="GN32">
        <f>SUM(GJ32:GM32)</f>
        <v/>
      </c>
      <c r="GX32">
        <f>IFERROR(LOOKUP(2,1/('DRAFT 2'!$D:$D=$B32)*('DRAFT 2'!$A:$A&gt;=DATE(2026,9,1))*('DRAFT 2'!$A:$A&lt;DATE(2026,IF(9=12,9+1,9+1),1)),'DRAFT 2'!$A:$A),"")</f>
        <v/>
      </c>
      <c r="GY32">
        <f>COUNTIFS('DRAFT 2'!$D:$D,$B32,'DRAFT 2'!$A:$A,"&gt;="&amp;DATE(2026,9,1),'DRAFT 2'!$A:$A,"&lt;="&amp;DATE(2026,9,7))</f>
        <v/>
      </c>
      <c r="GZ32">
        <f>COUNTIFS('DRAFT 2'!$D:$D,$B32,'DRAFT 2'!$A:$A,"&gt;="&amp;DATE(2026,9,8),'DRAFT 2'!$A:$A,"&lt;="&amp;DATE(2026,9,14))</f>
        <v/>
      </c>
      <c r="HA32">
        <f>COUNTIFS('DRAFT 2'!$D:$D,$B32,'DRAFT 2'!$A:$A,"&gt;="&amp;DATE(2026,9,15),'DRAFT 2'!$A:$A,"&lt;="&amp;DATE(2026,9,21))</f>
        <v/>
      </c>
      <c r="HB32">
        <f>COUNTIFS('DRAFT 2'!$D:$D,$B32,'DRAFT 2'!$A:$A,"&gt;="&amp;DATE(2026,9,22),'DRAFT 2'!$A:$A,"&lt;"&amp;DATE(2026,IF(9=12,9+1,9+1),1))</f>
        <v/>
      </c>
      <c r="HC32">
        <f>SUM(GY32:HB32)</f>
        <v/>
      </c>
      <c r="HN32">
        <f>IFERROR(LOOKUP(2,1/('DRAFT 2'!$D:$D=$B32)*('DRAFT 2'!$A:$A&gt;=DATE(2026,10,1))*('DRAFT 2'!$A:$A&lt;DATE(2026,IF(10=12,10+1,10+1),1)),'DRAFT 2'!$A:$A),"")</f>
        <v/>
      </c>
      <c r="HO32">
        <f>COUNTIFS('DRAFT 2'!$D:$D,$B32,'DRAFT 2'!$A:$A,"&gt;="&amp;DATE(2026,10,1),'DRAFT 2'!$A:$A,"&lt;="&amp;DATE(2026,10,7))</f>
        <v/>
      </c>
      <c r="HP32">
        <f>COUNTIFS('DRAFT 2'!$D:$D,$B32,'DRAFT 2'!$A:$A,"&gt;="&amp;DATE(2026,10,8),'DRAFT 2'!$A:$A,"&lt;="&amp;DATE(2026,10,14))</f>
        <v/>
      </c>
      <c r="HQ32">
        <f>COUNTIFS('DRAFT 2'!$D:$D,$B32,'DRAFT 2'!$A:$A,"&gt;="&amp;DATE(2026,10,15),'DRAFT 2'!$A:$A,"&lt;="&amp;DATE(2026,10,21))</f>
        <v/>
      </c>
      <c r="HR32">
        <f>COUNTIFS('DRAFT 2'!$D:$D,$B32,'DRAFT 2'!$A:$A,"&gt;="&amp;DATE(2026,10,22),'DRAFT 2'!$A:$A,"&lt;"&amp;DATE(2026,IF(10=12,10+1,10+1),1))</f>
        <v/>
      </c>
      <c r="HS32">
        <f>SUM(HO32:HR32)</f>
        <v/>
      </c>
      <c r="IC32">
        <f>IFERROR(LOOKUP(2,1/('DRAFT 2'!$D:$D=$B32)*('DRAFT 2'!$A:$A&gt;=DATE(2026,11,1))*('DRAFT 2'!$A:$A&lt;DATE(2026,IF(11=12,11+1,11+1),1)),'DRAFT 2'!$A:$A),"")</f>
        <v/>
      </c>
      <c r="ID32">
        <f>COUNTIFS('DRAFT 2'!$D:$D,$B32,'DRAFT 2'!$A:$A,"&gt;="&amp;DATE(2026,11,1),'DRAFT 2'!$A:$A,"&lt;="&amp;DATE(2026,11,7))</f>
        <v/>
      </c>
      <c r="IE32">
        <f>COUNTIFS('DRAFT 2'!$D:$D,$B32,'DRAFT 2'!$A:$A,"&gt;="&amp;DATE(2026,11,8),'DRAFT 2'!$A:$A,"&lt;="&amp;DATE(2026,11,14))</f>
        <v/>
      </c>
      <c r="IF32">
        <f>COUNTIFS('DRAFT 2'!$D:$D,$B32,'DRAFT 2'!$A:$A,"&gt;="&amp;DATE(2026,11,15),'DRAFT 2'!$A:$A,"&lt;="&amp;DATE(2026,11,21))</f>
        <v/>
      </c>
      <c r="IG32">
        <f>COUNTIFS('DRAFT 2'!$D:$D,$B32,'DRAFT 2'!$A:$A,"&gt;="&amp;DATE(2026,11,22),'DRAFT 2'!$A:$A,"&lt;"&amp;DATE(2026,IF(11=12,11+1,11+1),1))</f>
        <v/>
      </c>
      <c r="IH32">
        <f>SUM(ID32:IG32)</f>
        <v/>
      </c>
      <c r="IR32">
        <f>IFERROR(LOOKUP(2,1/('DRAFT 2'!$D:$D=$B32)*('DRAFT 2'!$A:$A&gt;=DATE(2026,12,1))*('DRAFT 2'!$A:$A&lt;DATE(2026,IF(12=12,12+1,12+1),1)),'DRAFT 2'!$A:$A),"")</f>
        <v/>
      </c>
      <c r="IS32">
        <f>COUNTIFS('DRAFT 2'!$D:$D,$B32,'DRAFT 2'!$A:$A,"&gt;="&amp;DATE(2026,12,1),'DRAFT 2'!$A:$A,"&lt;="&amp;DATE(2026,12,7))</f>
        <v/>
      </c>
      <c r="IT32">
        <f>COUNTIFS('DRAFT 2'!$D:$D,$B32,'DRAFT 2'!$A:$A,"&gt;="&amp;DATE(2026,12,8),'DRAFT 2'!$A:$A,"&lt;="&amp;DATE(2026,12,14))</f>
        <v/>
      </c>
      <c r="IU32">
        <f>COUNTIFS('DRAFT 2'!$D:$D,$B32,'DRAFT 2'!$A:$A,"&gt;="&amp;DATE(2026,12,15),'DRAFT 2'!$A:$A,"&lt;="&amp;DATE(2026,12,21))</f>
        <v/>
      </c>
      <c r="IV32">
        <f>COUNTIFS('DRAFT 2'!$D:$D,$B32,'DRAFT 2'!$A:$A,"&gt;="&amp;DATE(2026,12,22),'DRAFT 2'!$A:$A,"&lt;"&amp;DATE(2026,IF(12=12,12+1,12+1),1))</f>
        <v/>
      </c>
      <c r="IW32">
        <f>SUM(IS32:IV32)</f>
        <v/>
      </c>
    </row>
    <row r="33">
      <c r="A33">
        <f>IFERROR(INDEX('DRAFT 1'!$A:$A,MATCH($B33,'DRAFT 1'!$B:$B,0)),"")</f>
        <v/>
      </c>
      <c r="C33">
        <f>IFERROR(INDEX('DRAFT 1'!$C:$C,MATCH($B33,'DRAFT 1'!$B:$B,0)),"")</f>
        <v/>
      </c>
      <c r="D33">
        <f>IFERROR(INDEX('DRAFT 1'!$D:$D,MATCH($B33,'DRAFT 1'!$B:$B,0)),"")</f>
        <v/>
      </c>
      <c r="E33">
        <f>IFERROR(INDEX('DRAFT 1'!$E:$E,MATCH($B33,'DRAFT 1'!$B:$B,0)),"")</f>
        <v/>
      </c>
      <c r="F33">
        <f>IFERROR(INDEX('DRAFT 1'!$F:$F,MATCH($B33,'DRAFT 1'!$B:$B,0)),"")</f>
        <v/>
      </c>
      <c r="G33">
        <f>IFERROR(INDEX('DRAFT 1'!$G:$G,MATCH($B33,'DRAFT 1'!$B:$B,0)),"")</f>
        <v/>
      </c>
      <c r="H33">
        <f>IFERROR(INDEX('DRAFT 1'!$H:$H,MATCH($B33,'DRAFT 1'!$B:$B,0)),"")</f>
        <v/>
      </c>
      <c r="I33" t="inlineStr">
        <is>
          <t>DIVINA TERRA</t>
        </is>
      </c>
      <c r="K33">
        <f>IFERROR(INDEX('DRAFT 1'!$AL:$AL,MATCH($B33,'DRAFT 1'!$B:$B,0)),"")</f>
        <v/>
      </c>
      <c r="L33">
        <f>IFERROR(INDEX('DRAFT 1'!$J:$J,MATCH($B33,'DRAFT 1'!$B:$B,0)),"")</f>
        <v/>
      </c>
      <c r="M33">
        <f>IFERROR(INDEX('DRAFT 1'!$K:$K,MATCH($B33,'DRAFT 1'!$B:$B,0)),"")</f>
        <v/>
      </c>
      <c r="N33" t="inlineStr">
        <is>
          <t>ATIVO</t>
        </is>
      </c>
      <c r="P33">
        <f>IFERROR(INDEX('DRAFT 1'!$L:$L,MATCH($B33,'DRAFT 1'!$B:$B,0)),"")</f>
        <v/>
      </c>
      <c r="Q33">
        <f>IFERROR(INDEX('DRAFT 1'!$M:$M,MATCH($B33,'DRAFT 1'!$B:$B,0)),"")</f>
        <v/>
      </c>
      <c r="R33">
        <f>IFERROR(INDEX('DRAFT 1'!$N:$N,MATCH($B33,'DRAFT 1'!$B:$B,0)),"")</f>
        <v/>
      </c>
      <c r="S33">
        <f>IFERROR(INDEX('DRAFT 1'!$O:$O,MATCH($B33,'DRAFT 1'!$B:$B,0)),"")</f>
        <v/>
      </c>
      <c r="T33">
        <f>IFERROR(INDEX('DRAFT 1'!$P:$P,MATCH($B33,'DRAFT 1'!$B:$B,0)),"")</f>
        <v/>
      </c>
      <c r="U33">
        <f>IFERROR(INDEX('DRAFT 1'!$Q:$Q,MATCH($B33,'DRAFT 1'!$B:$B,0)),"")</f>
        <v/>
      </c>
      <c r="V33">
        <f>IFERROR(INDEX('DRAFT 1'!$R:$R,MATCH($B33,'DRAFT 1'!$B:$B,0)),"")</f>
        <v/>
      </c>
      <c r="W33">
        <f>IFERROR(INDEX('DRAFT 1'!$S:$S,MATCH($B33,'DRAFT 1'!$B:$B,0)),"")</f>
        <v/>
      </c>
      <c r="X33">
        <f>IFERROR(INDEX('DRAFT 1'!$T:$T,MATCH($B33,'DRAFT 1'!$B:$B,0)),"")</f>
        <v/>
      </c>
      <c r="Z33">
        <f>IFERROR(INDEX('DRAFT 1'!$U:$U,MATCH($B33,'DRAFT 1'!$B:$B,0)),"")</f>
        <v/>
      </c>
      <c r="AA33">
        <f>IFERROR(INDEX('DRAFT 1'!$V:$V,MATCH($B33,'DRAFT 1'!$B:$B,0)),"")</f>
        <v/>
      </c>
      <c r="AB33">
        <f>IFERROR(INDEX('DRAFT 1'!$W:$W,MATCH($B33,'DRAFT 1'!$B:$B,0)),"")</f>
        <v/>
      </c>
      <c r="AC33">
        <f>IFERROR(INDEX('DRAFT 1'!$X:$X,MATCH($B33,'DRAFT 1'!$B:$B,0)),"")</f>
        <v/>
      </c>
      <c r="AD33">
        <f>IFERROR(INDEX('DRAFT 1'!$Y:$Y,MATCH($B33,'DRAFT 1'!$B:$B,0)),"")</f>
        <v/>
      </c>
      <c r="AE33">
        <f>IFERROR(INDEX('DRAFT 1'!$Z:$Z,MATCH($B33,'DRAFT 1'!$B:$B,0)),"")</f>
        <v/>
      </c>
      <c r="AF33">
        <f>IFERROR(INDEX('DRAFT 1'!$AA:$AA,MATCH($B33,'DRAFT 1'!$B:$B,0)),"")</f>
        <v/>
      </c>
      <c r="AG33">
        <f>IFERROR(INDEX('DRAFT 1'!$AB:$AB,MATCH($B33,'DRAFT 1'!$B:$B,0)),"")</f>
        <v/>
      </c>
      <c r="AH33">
        <f>IFERROR(INDEX('DRAFT 1'!$AC:$AC,MATCH($B33,'DRAFT 1'!$B:$B,0)),"")</f>
        <v/>
      </c>
      <c r="AI33">
        <f>IFERROR(INDEX('DRAFT 1'!$AD:$AD,MATCH($B33,'DRAFT 1'!$B:$B,0)),"")</f>
        <v/>
      </c>
      <c r="AJ33">
        <f>IFERROR(INDEX('DRAFT 1'!$AE:$AE,MATCH($B33,'DRAFT 1'!$B:$B,0)),"")</f>
        <v/>
      </c>
      <c r="AK33">
        <f>IFERROR(INDEX('DRAFT 1'!$AG:$AG,MATCH($B33,'DRAFT 1'!$B:$B,0)),"")</f>
        <v/>
      </c>
      <c r="AL33">
        <f>IFERROR(INDEX('DRAFT 1'!$AH:$AH,MATCH($B33,'DRAFT 1'!$B:$B,0)),"")</f>
        <v/>
      </c>
      <c r="AM33">
        <f>IFERROR(INDEX('DRAFT 1'!$AI:$AI,MATCH($B33,'DRAFT 1'!$B:$B,0)),"")</f>
        <v/>
      </c>
      <c r="AN33">
        <f>IFERROR(INDEX('DRAFT 1'!$AJ:$AJ,MATCH($B33,'DRAFT 1'!$B:$B,0)),"")</f>
        <v/>
      </c>
      <c r="AO33">
        <f>IFERROR(Y33/AN33,0)</f>
        <v/>
      </c>
      <c r="AP33">
        <f>IFERROR(INDEX('DRAFT 1'!$AK:$AK,MATCH($B33,'DRAFT 1'!$B:$B,0)),"")</f>
        <v/>
      </c>
      <c r="AR33" t="inlineStr">
        <is>
          <t>CS</t>
        </is>
      </c>
      <c r="AS33">
        <f>IFERROR(LOOKUP(2,1/('DRAFT 2'!$D:$D=$B33),'DRAFT 2'!$T:$T),"")</f>
        <v/>
      </c>
      <c r="AT33">
        <f>IFERROR(LOOKUP(2,1/('DRAFT 2'!$D:$D=$B33),'DRAFT 2'!$A:$A),"")</f>
        <v/>
      </c>
      <c r="AU33">
        <f>IFERROR(LOOKUP(2,1/('DRAFT 2'!$D:$D=$B33),'DRAFT 2'!$R:$R),"")</f>
        <v/>
      </c>
      <c r="AV33">
        <f>IFERROR(LOOKUP(2,1/('DRAFT 2'!$D:$D=$B33),'DRAFT 2'!$S:$S),"")</f>
        <v/>
      </c>
      <c r="AW33" t="inlineStr">
        <is>
          <t>NOVO</t>
        </is>
      </c>
      <c r="AX33">
        <f>IFERROR(LOOKUP(2,1/('DRAFT 2'!$D:$D=$B33),'DRAFT 2'!$M:$M),"")</f>
        <v/>
      </c>
      <c r="AY33">
        <f>IFERROR(LOOKUP(2,1/('DRAFT 2'!$D:$D=$B33),'DRAFT 2'!$K:$K),"")</f>
        <v/>
      </c>
      <c r="BG33">
        <f>IFERROR(LOOKUP(2,1/('DRAFT 2'!$D:$D=$B33),'DRAFT 2'!$U:$U),"")</f>
        <v/>
      </c>
      <c r="BH33">
        <f>IFERROR(LOOKUP(2,1/('DRAFT 2'!$D:$D=$B33),'DRAFT 2'!$V:$V),"")</f>
        <v/>
      </c>
      <c r="CE33">
        <f>IFERROR(AJ33,0)</f>
        <v/>
      </c>
      <c r="CF33">
        <f>IFERROR(LOOKUP(2,1/('DRAFT 2'!$D:$D=$B33)*('DRAFT 2'!$A:$A&gt;=DATE(2026,1,1))*('DRAFT 2'!$A:$A&lt;DATE(2026,IF(1=12,1+1,1+1),1)),'DRAFT 2'!$A:$A),"")</f>
        <v/>
      </c>
      <c r="CG33">
        <f>COUNTIFS('DRAFT 2'!$D:$D,$B33,'DRAFT 2'!$A:$A,"&gt;="&amp;DATE(2026,1,1),'DRAFT 2'!$A:$A,"&lt;="&amp;DATE(2026,1,7))</f>
        <v/>
      </c>
      <c r="CH33">
        <f>COUNTIFS('DRAFT 2'!$D:$D,$B33,'DRAFT 2'!$A:$A,"&gt;="&amp;DATE(2026,1,8),'DRAFT 2'!$A:$A,"&lt;="&amp;DATE(2026,1,14))</f>
        <v/>
      </c>
      <c r="CI33">
        <f>COUNTIFS('DRAFT 2'!$D:$D,$B33,'DRAFT 2'!$A:$A,"&gt;="&amp;DATE(2026,1,15),'DRAFT 2'!$A:$A,"&lt;="&amp;DATE(2026,1,21))</f>
        <v/>
      </c>
      <c r="CJ33">
        <f>COUNTIFS('DRAFT 2'!$D:$D,$B33,'DRAFT 2'!$A:$A,"&gt;="&amp;DATE(2026,1,22),'DRAFT 2'!$A:$A,"&lt;"&amp;DATE(2026,IF(1=12,1+1,1+1),1))</f>
        <v/>
      </c>
      <c r="CK33">
        <f>SUM(CG33:CJ33)</f>
        <v/>
      </c>
      <c r="CT33" t="n">
        <v>0</v>
      </c>
      <c r="CU33">
        <f>IFERROR(LOOKUP(2,1/('DRAFT 2'!$D:$D=$B33)*('DRAFT 2'!$A:$A&gt;=DATE(2026,2,1))*('DRAFT 2'!$A:$A&lt;DATE(2026,IF(2=12,2+1,2+1),1)),'DRAFT 2'!$A:$A),"")</f>
        <v/>
      </c>
      <c r="CV33">
        <f>COUNTIFS('DRAFT 2'!$D:$D,$B33,'DRAFT 2'!$A:$A,"&gt;="&amp;DATE(2026,2,1),'DRAFT 2'!$A:$A,"&lt;="&amp;DATE(2026,2,7))</f>
        <v/>
      </c>
      <c r="CW33">
        <f>COUNTIFS('DRAFT 2'!$D:$D,$B33,'DRAFT 2'!$A:$A,"&gt;="&amp;DATE(2026,2,8),'DRAFT 2'!$A:$A,"&lt;="&amp;DATE(2026,2,14))</f>
        <v/>
      </c>
      <c r="CX33">
        <f>COUNTIFS('DRAFT 2'!$D:$D,$B33,'DRAFT 2'!$A:$A,"&gt;="&amp;DATE(2026,2,15),'DRAFT 2'!$A:$A,"&lt;="&amp;DATE(2026,2,21))</f>
        <v/>
      </c>
      <c r="CY33">
        <f>COUNTIFS('DRAFT 2'!$D:$D,$B33,'DRAFT 2'!$A:$A,"&gt;="&amp;DATE(2026,2,22),'DRAFT 2'!$A:$A,"&lt;"&amp;DATE(2026,IF(2=12,2+1,2+1),1))</f>
        <v/>
      </c>
      <c r="CZ33">
        <f>SUM(CV33:CY33)</f>
        <v/>
      </c>
      <c r="DJ33">
        <f>IFERROR(LOOKUP(2,1/('DRAFT 2'!$D:$D=$B33)*('DRAFT 2'!$A:$A&gt;=DATE(2026,3,1))*('DRAFT 2'!$A:$A&lt;DATE(2026,IF(3=12,3+1,3+1),1)),'DRAFT 2'!$A:$A),"")</f>
        <v/>
      </c>
      <c r="DK33">
        <f>COUNTIFS('DRAFT 2'!$D:$D,$B33,'DRAFT 2'!$A:$A,"&gt;="&amp;DATE(2026,3,1),'DRAFT 2'!$A:$A,"&lt;="&amp;DATE(2026,3,7))</f>
        <v/>
      </c>
      <c r="DL33">
        <f>COUNTIFS('DRAFT 2'!$D:$D,$B33,'DRAFT 2'!$A:$A,"&gt;="&amp;DATE(2026,3,8),'DRAFT 2'!$A:$A,"&lt;="&amp;DATE(2026,3,14))</f>
        <v/>
      </c>
      <c r="DM33">
        <f>COUNTIFS('DRAFT 2'!$D:$D,$B33,'DRAFT 2'!$A:$A,"&gt;="&amp;DATE(2026,3,15),'DRAFT 2'!$A:$A,"&lt;="&amp;DATE(2026,3,21))</f>
        <v/>
      </c>
      <c r="DN33">
        <f>COUNTIFS('DRAFT 2'!$D:$D,$B33,'DRAFT 2'!$A:$A,"&gt;="&amp;DATE(2026,3,22),'DRAFT 2'!$A:$A,"&lt;"&amp;DATE(2026,IF(3=12,3+1,3+1),1))</f>
        <v/>
      </c>
      <c r="DO33">
        <f>SUM(DK33:DN33)</f>
        <v/>
      </c>
      <c r="DZ33">
        <f>IFERROR(LOOKUP(2,1/('DRAFT 2'!$D:$D=$B33)*('DRAFT 2'!$A:$A&gt;=DATE(2026,4,1))*('DRAFT 2'!$A:$A&lt;DATE(2026,IF(4=12,4+1,4+1),1)),'DRAFT 2'!$A:$A),"")</f>
        <v/>
      </c>
      <c r="EA33">
        <f>COUNTIFS('DRAFT 2'!$D:$D,$B33,'DRAFT 2'!$A:$A,"&gt;="&amp;DATE(2026,4,1),'DRAFT 2'!$A:$A,"&lt;="&amp;DATE(2026,4,7))</f>
        <v/>
      </c>
      <c r="EB33">
        <f>COUNTIFS('DRAFT 2'!$D:$D,$B33,'DRAFT 2'!$A:$A,"&gt;="&amp;DATE(2026,4,8),'DRAFT 2'!$A:$A,"&lt;="&amp;DATE(2026,4,14))</f>
        <v/>
      </c>
      <c r="EC33">
        <f>COUNTIFS('DRAFT 2'!$D:$D,$B33,'DRAFT 2'!$A:$A,"&gt;="&amp;DATE(2026,4,15),'DRAFT 2'!$A:$A,"&lt;="&amp;DATE(2026,4,21))</f>
        <v/>
      </c>
      <c r="ED33">
        <f>COUNTIFS('DRAFT 2'!$D:$D,$B33,'DRAFT 2'!$A:$A,"&gt;="&amp;DATE(2026,4,22),'DRAFT 2'!$A:$A,"&lt;"&amp;DATE(2026,IF(4=12,4+1,4+1),1))</f>
        <v/>
      </c>
      <c r="EE33">
        <f>SUM(EA33:ED33)</f>
        <v/>
      </c>
      <c r="EO33">
        <f>IFERROR(LOOKUP(2,1/('DRAFT 2'!$D:$D=$B33)*('DRAFT 2'!$A:$A&gt;=DATE(2026,5,1))*('DRAFT 2'!$A:$A&lt;DATE(2026,IF(5=12,5+1,5+1),1)),'DRAFT 2'!$A:$A),"")</f>
        <v/>
      </c>
      <c r="EP33">
        <f>COUNTIFS('DRAFT 2'!$D:$D,$B33,'DRAFT 2'!$A:$A,"&gt;="&amp;DATE(2026,5,1),'DRAFT 2'!$A:$A,"&lt;="&amp;DATE(2026,5,7))</f>
        <v/>
      </c>
      <c r="EQ33">
        <f>COUNTIFS('DRAFT 2'!$D:$D,$B33,'DRAFT 2'!$A:$A,"&gt;="&amp;DATE(2026,5,8),'DRAFT 2'!$A:$A,"&lt;="&amp;DATE(2026,5,14))</f>
        <v/>
      </c>
      <c r="ER33">
        <f>COUNTIFS('DRAFT 2'!$D:$D,$B33,'DRAFT 2'!$A:$A,"&gt;="&amp;DATE(2026,5,15),'DRAFT 2'!$A:$A,"&lt;="&amp;DATE(2026,5,21))</f>
        <v/>
      </c>
      <c r="ES33">
        <f>COUNTIFS('DRAFT 2'!$D:$D,$B33,'DRAFT 2'!$A:$A,"&gt;="&amp;DATE(2026,5,22),'DRAFT 2'!$A:$A,"&lt;"&amp;DATE(2026,IF(5=12,5+1,5+1),1))</f>
        <v/>
      </c>
      <c r="ET33">
        <f>SUM(EP33:ES33)</f>
        <v/>
      </c>
      <c r="FD33">
        <f>IFERROR(LOOKUP(2,1/('DRAFT 2'!$D:$D=$B33)*('DRAFT 2'!$A:$A&gt;=DATE(2026,6,1))*('DRAFT 2'!$A:$A&lt;DATE(2026,IF(6=12,6+1,6+1),1)),'DRAFT 2'!$A:$A),"")</f>
        <v/>
      </c>
      <c r="FE33">
        <f>COUNTIFS('DRAFT 2'!$D:$D,$B33,'DRAFT 2'!$A:$A,"&gt;="&amp;DATE(2026,6,1),'DRAFT 2'!$A:$A,"&lt;="&amp;DATE(2026,6,7))</f>
        <v/>
      </c>
      <c r="FF33">
        <f>COUNTIFS('DRAFT 2'!$D:$D,$B33,'DRAFT 2'!$A:$A,"&gt;="&amp;DATE(2026,6,8),'DRAFT 2'!$A:$A,"&lt;="&amp;DATE(2026,6,14))</f>
        <v/>
      </c>
      <c r="FG33">
        <f>COUNTIFS('DRAFT 2'!$D:$D,$B33,'DRAFT 2'!$A:$A,"&gt;="&amp;DATE(2026,6,15),'DRAFT 2'!$A:$A,"&lt;="&amp;DATE(2026,6,21))</f>
        <v/>
      </c>
      <c r="FH33">
        <f>COUNTIFS('DRAFT 2'!$D:$D,$B33,'DRAFT 2'!$A:$A,"&gt;="&amp;DATE(2026,6,22),'DRAFT 2'!$A:$A,"&lt;"&amp;DATE(2026,IF(6=12,6+1,6+1),1))</f>
        <v/>
      </c>
      <c r="FI33">
        <f>SUM(FE33:FH33)</f>
        <v/>
      </c>
      <c r="FT33">
        <f>IFERROR(LOOKUP(2,1/('DRAFT 2'!$D:$D=$B33)*('DRAFT 2'!$A:$A&gt;=DATE(2026,7,1))*('DRAFT 2'!$A:$A&lt;DATE(2026,IF(7=12,7+1,7+1),1)),'DRAFT 2'!$A:$A),"")</f>
        <v/>
      </c>
      <c r="FU33">
        <f>COUNTIFS('DRAFT 2'!$D:$D,$B33,'DRAFT 2'!$A:$A,"&gt;="&amp;DATE(2026,7,1),'DRAFT 2'!$A:$A,"&lt;="&amp;DATE(2026,7,7))</f>
        <v/>
      </c>
      <c r="FV33">
        <f>COUNTIFS('DRAFT 2'!$D:$D,$B33,'DRAFT 2'!$A:$A,"&gt;="&amp;DATE(2026,7,8),'DRAFT 2'!$A:$A,"&lt;="&amp;DATE(2026,7,14))</f>
        <v/>
      </c>
      <c r="FW33">
        <f>COUNTIFS('DRAFT 2'!$D:$D,$B33,'DRAFT 2'!$A:$A,"&gt;="&amp;DATE(2026,7,15),'DRAFT 2'!$A:$A,"&lt;="&amp;DATE(2026,7,21))</f>
        <v/>
      </c>
      <c r="FX33">
        <f>COUNTIFS('DRAFT 2'!$D:$D,$B33,'DRAFT 2'!$A:$A,"&gt;="&amp;DATE(2026,7,22),'DRAFT 2'!$A:$A,"&lt;"&amp;DATE(2026,IF(7=12,7+1,7+1),1))</f>
        <v/>
      </c>
      <c r="FY33">
        <f>SUM(FU33:FX33)</f>
        <v/>
      </c>
      <c r="GI33">
        <f>IFERROR(LOOKUP(2,1/('DRAFT 2'!$D:$D=$B33)*('DRAFT 2'!$A:$A&gt;=DATE(2026,8,1))*('DRAFT 2'!$A:$A&lt;DATE(2026,IF(8=12,8+1,8+1),1)),'DRAFT 2'!$A:$A),"")</f>
        <v/>
      </c>
      <c r="GJ33">
        <f>COUNTIFS('DRAFT 2'!$D:$D,$B33,'DRAFT 2'!$A:$A,"&gt;="&amp;DATE(2026,8,1),'DRAFT 2'!$A:$A,"&lt;="&amp;DATE(2026,8,7))</f>
        <v/>
      </c>
      <c r="GK33">
        <f>COUNTIFS('DRAFT 2'!$D:$D,$B33,'DRAFT 2'!$A:$A,"&gt;="&amp;DATE(2026,8,8),'DRAFT 2'!$A:$A,"&lt;="&amp;DATE(2026,8,14))</f>
        <v/>
      </c>
      <c r="GL33">
        <f>COUNTIFS('DRAFT 2'!$D:$D,$B33,'DRAFT 2'!$A:$A,"&gt;="&amp;DATE(2026,8,15),'DRAFT 2'!$A:$A,"&lt;="&amp;DATE(2026,8,21))</f>
        <v/>
      </c>
      <c r="GM33">
        <f>COUNTIFS('DRAFT 2'!$D:$D,$B33,'DRAFT 2'!$A:$A,"&gt;="&amp;DATE(2026,8,22),'DRAFT 2'!$A:$A,"&lt;"&amp;DATE(2026,IF(8=12,8+1,8+1),1))</f>
        <v/>
      </c>
      <c r="GN33">
        <f>SUM(GJ33:GM33)</f>
        <v/>
      </c>
      <c r="GX33">
        <f>IFERROR(LOOKUP(2,1/('DRAFT 2'!$D:$D=$B33)*('DRAFT 2'!$A:$A&gt;=DATE(2026,9,1))*('DRAFT 2'!$A:$A&lt;DATE(2026,IF(9=12,9+1,9+1),1)),'DRAFT 2'!$A:$A),"")</f>
        <v/>
      </c>
      <c r="GY33">
        <f>COUNTIFS('DRAFT 2'!$D:$D,$B33,'DRAFT 2'!$A:$A,"&gt;="&amp;DATE(2026,9,1),'DRAFT 2'!$A:$A,"&lt;="&amp;DATE(2026,9,7))</f>
        <v/>
      </c>
      <c r="GZ33">
        <f>COUNTIFS('DRAFT 2'!$D:$D,$B33,'DRAFT 2'!$A:$A,"&gt;="&amp;DATE(2026,9,8),'DRAFT 2'!$A:$A,"&lt;="&amp;DATE(2026,9,14))</f>
        <v/>
      </c>
      <c r="HA33">
        <f>COUNTIFS('DRAFT 2'!$D:$D,$B33,'DRAFT 2'!$A:$A,"&gt;="&amp;DATE(2026,9,15),'DRAFT 2'!$A:$A,"&lt;="&amp;DATE(2026,9,21))</f>
        <v/>
      </c>
      <c r="HB33">
        <f>COUNTIFS('DRAFT 2'!$D:$D,$B33,'DRAFT 2'!$A:$A,"&gt;="&amp;DATE(2026,9,22),'DRAFT 2'!$A:$A,"&lt;"&amp;DATE(2026,IF(9=12,9+1,9+1),1))</f>
        <v/>
      </c>
      <c r="HC33">
        <f>SUM(GY33:HB33)</f>
        <v/>
      </c>
      <c r="HN33">
        <f>IFERROR(LOOKUP(2,1/('DRAFT 2'!$D:$D=$B33)*('DRAFT 2'!$A:$A&gt;=DATE(2026,10,1))*('DRAFT 2'!$A:$A&lt;DATE(2026,IF(10=12,10+1,10+1),1)),'DRAFT 2'!$A:$A),"")</f>
        <v/>
      </c>
      <c r="HO33">
        <f>COUNTIFS('DRAFT 2'!$D:$D,$B33,'DRAFT 2'!$A:$A,"&gt;="&amp;DATE(2026,10,1),'DRAFT 2'!$A:$A,"&lt;="&amp;DATE(2026,10,7))</f>
        <v/>
      </c>
      <c r="HP33">
        <f>COUNTIFS('DRAFT 2'!$D:$D,$B33,'DRAFT 2'!$A:$A,"&gt;="&amp;DATE(2026,10,8),'DRAFT 2'!$A:$A,"&lt;="&amp;DATE(2026,10,14))</f>
        <v/>
      </c>
      <c r="HQ33">
        <f>COUNTIFS('DRAFT 2'!$D:$D,$B33,'DRAFT 2'!$A:$A,"&gt;="&amp;DATE(2026,10,15),'DRAFT 2'!$A:$A,"&lt;="&amp;DATE(2026,10,21))</f>
        <v/>
      </c>
      <c r="HR33">
        <f>COUNTIFS('DRAFT 2'!$D:$D,$B33,'DRAFT 2'!$A:$A,"&gt;="&amp;DATE(2026,10,22),'DRAFT 2'!$A:$A,"&lt;"&amp;DATE(2026,IF(10=12,10+1,10+1),1))</f>
        <v/>
      </c>
      <c r="HS33">
        <f>SUM(HO33:HR33)</f>
        <v/>
      </c>
      <c r="IC33">
        <f>IFERROR(LOOKUP(2,1/('DRAFT 2'!$D:$D=$B33)*('DRAFT 2'!$A:$A&gt;=DATE(2026,11,1))*('DRAFT 2'!$A:$A&lt;DATE(2026,IF(11=12,11+1,11+1),1)),'DRAFT 2'!$A:$A),"")</f>
        <v/>
      </c>
      <c r="ID33">
        <f>COUNTIFS('DRAFT 2'!$D:$D,$B33,'DRAFT 2'!$A:$A,"&gt;="&amp;DATE(2026,11,1),'DRAFT 2'!$A:$A,"&lt;="&amp;DATE(2026,11,7))</f>
        <v/>
      </c>
      <c r="IE33">
        <f>COUNTIFS('DRAFT 2'!$D:$D,$B33,'DRAFT 2'!$A:$A,"&gt;="&amp;DATE(2026,11,8),'DRAFT 2'!$A:$A,"&lt;="&amp;DATE(2026,11,14))</f>
        <v/>
      </c>
      <c r="IF33">
        <f>COUNTIFS('DRAFT 2'!$D:$D,$B33,'DRAFT 2'!$A:$A,"&gt;="&amp;DATE(2026,11,15),'DRAFT 2'!$A:$A,"&lt;="&amp;DATE(2026,11,21))</f>
        <v/>
      </c>
      <c r="IG33">
        <f>COUNTIFS('DRAFT 2'!$D:$D,$B33,'DRAFT 2'!$A:$A,"&gt;="&amp;DATE(2026,11,22),'DRAFT 2'!$A:$A,"&lt;"&amp;DATE(2026,IF(11=12,11+1,11+1),1))</f>
        <v/>
      </c>
      <c r="IH33">
        <f>SUM(ID33:IG33)</f>
        <v/>
      </c>
      <c r="IR33">
        <f>IFERROR(LOOKUP(2,1/('DRAFT 2'!$D:$D=$B33)*('DRAFT 2'!$A:$A&gt;=DATE(2026,12,1))*('DRAFT 2'!$A:$A&lt;DATE(2026,IF(12=12,12+1,12+1),1)),'DRAFT 2'!$A:$A),"")</f>
        <v/>
      </c>
      <c r="IS33">
        <f>COUNTIFS('DRAFT 2'!$D:$D,$B33,'DRAFT 2'!$A:$A,"&gt;="&amp;DATE(2026,12,1),'DRAFT 2'!$A:$A,"&lt;="&amp;DATE(2026,12,7))</f>
        <v/>
      </c>
      <c r="IT33">
        <f>COUNTIFS('DRAFT 2'!$D:$D,$B33,'DRAFT 2'!$A:$A,"&gt;="&amp;DATE(2026,12,8),'DRAFT 2'!$A:$A,"&lt;="&amp;DATE(2026,12,14))</f>
        <v/>
      </c>
      <c r="IU33">
        <f>COUNTIFS('DRAFT 2'!$D:$D,$B33,'DRAFT 2'!$A:$A,"&gt;="&amp;DATE(2026,12,15),'DRAFT 2'!$A:$A,"&lt;="&amp;DATE(2026,12,21))</f>
        <v/>
      </c>
      <c r="IV33">
        <f>COUNTIFS('DRAFT 2'!$D:$D,$B33,'DRAFT 2'!$A:$A,"&gt;="&amp;DATE(2026,12,22),'DRAFT 2'!$A:$A,"&lt;"&amp;DATE(2026,IF(12=12,12+1,12+1),1))</f>
        <v/>
      </c>
      <c r="IW33">
        <f>SUM(IS33:IV33)</f>
        <v/>
      </c>
    </row>
    <row r="34">
      <c r="A34">
        <f>IFERROR(INDEX('DRAFT 1'!$A:$A,MATCH($B34,'DRAFT 1'!$B:$B,0)),"")</f>
        <v/>
      </c>
      <c r="C34">
        <f>IFERROR(INDEX('DRAFT 1'!$C:$C,MATCH($B34,'DRAFT 1'!$B:$B,0)),"")</f>
        <v/>
      </c>
      <c r="D34">
        <f>IFERROR(INDEX('DRAFT 1'!$D:$D,MATCH($B34,'DRAFT 1'!$B:$B,0)),"")</f>
        <v/>
      </c>
      <c r="E34">
        <f>IFERROR(INDEX('DRAFT 1'!$E:$E,MATCH($B34,'DRAFT 1'!$B:$B,0)),"")</f>
        <v/>
      </c>
      <c r="F34">
        <f>IFERROR(INDEX('DRAFT 1'!$F:$F,MATCH($B34,'DRAFT 1'!$B:$B,0)),"")</f>
        <v/>
      </c>
      <c r="G34">
        <f>IFERROR(INDEX('DRAFT 1'!$G:$G,MATCH($B34,'DRAFT 1'!$B:$B,0)),"")</f>
        <v/>
      </c>
      <c r="H34">
        <f>IFERROR(INDEX('DRAFT 1'!$H:$H,MATCH($B34,'DRAFT 1'!$B:$B,0)),"")</f>
        <v/>
      </c>
      <c r="I34" t="inlineStr">
        <is>
          <t>DEMAIS CLIENTES</t>
        </is>
      </c>
      <c r="K34">
        <f>IFERROR(INDEX('DRAFT 1'!$AL:$AL,MATCH($B34,'DRAFT 1'!$B:$B,0)),"")</f>
        <v/>
      </c>
      <c r="L34">
        <f>IFERROR(INDEX('DRAFT 1'!$J:$J,MATCH($B34,'DRAFT 1'!$B:$B,0)),"")</f>
        <v/>
      </c>
      <c r="M34">
        <f>IFERROR(INDEX('DRAFT 1'!$K:$K,MATCH($B34,'DRAFT 1'!$B:$B,0)),"")</f>
        <v/>
      </c>
      <c r="N34" t="inlineStr">
        <is>
          <t>ATIVO</t>
        </is>
      </c>
      <c r="P34">
        <f>IFERROR(INDEX('DRAFT 1'!$L:$L,MATCH($B34,'DRAFT 1'!$B:$B,0)),"")</f>
        <v/>
      </c>
      <c r="Q34">
        <f>IFERROR(INDEX('DRAFT 1'!$M:$M,MATCH($B34,'DRAFT 1'!$B:$B,0)),"")</f>
        <v/>
      </c>
      <c r="R34">
        <f>IFERROR(INDEX('DRAFT 1'!$N:$N,MATCH($B34,'DRAFT 1'!$B:$B,0)),"")</f>
        <v/>
      </c>
      <c r="S34">
        <f>IFERROR(INDEX('DRAFT 1'!$O:$O,MATCH($B34,'DRAFT 1'!$B:$B,0)),"")</f>
        <v/>
      </c>
      <c r="T34">
        <f>IFERROR(INDEX('DRAFT 1'!$P:$P,MATCH($B34,'DRAFT 1'!$B:$B,0)),"")</f>
        <v/>
      </c>
      <c r="U34">
        <f>IFERROR(INDEX('DRAFT 1'!$Q:$Q,MATCH($B34,'DRAFT 1'!$B:$B,0)),"")</f>
        <v/>
      </c>
      <c r="V34">
        <f>IFERROR(INDEX('DRAFT 1'!$R:$R,MATCH($B34,'DRAFT 1'!$B:$B,0)),"")</f>
        <v/>
      </c>
      <c r="W34">
        <f>IFERROR(INDEX('DRAFT 1'!$S:$S,MATCH($B34,'DRAFT 1'!$B:$B,0)),"")</f>
        <v/>
      </c>
      <c r="X34">
        <f>IFERROR(INDEX('DRAFT 1'!$T:$T,MATCH($B34,'DRAFT 1'!$B:$B,0)),"")</f>
        <v/>
      </c>
      <c r="Z34">
        <f>IFERROR(INDEX('DRAFT 1'!$U:$U,MATCH($B34,'DRAFT 1'!$B:$B,0)),"")</f>
        <v/>
      </c>
      <c r="AA34">
        <f>IFERROR(INDEX('DRAFT 1'!$V:$V,MATCH($B34,'DRAFT 1'!$B:$B,0)),"")</f>
        <v/>
      </c>
      <c r="AB34">
        <f>IFERROR(INDEX('DRAFT 1'!$W:$W,MATCH($B34,'DRAFT 1'!$B:$B,0)),"")</f>
        <v/>
      </c>
      <c r="AC34">
        <f>IFERROR(INDEX('DRAFT 1'!$X:$X,MATCH($B34,'DRAFT 1'!$B:$B,0)),"")</f>
        <v/>
      </c>
      <c r="AD34">
        <f>IFERROR(INDEX('DRAFT 1'!$Y:$Y,MATCH($B34,'DRAFT 1'!$B:$B,0)),"")</f>
        <v/>
      </c>
      <c r="AE34">
        <f>IFERROR(INDEX('DRAFT 1'!$Z:$Z,MATCH($B34,'DRAFT 1'!$B:$B,0)),"")</f>
        <v/>
      </c>
      <c r="AF34">
        <f>IFERROR(INDEX('DRAFT 1'!$AA:$AA,MATCH($B34,'DRAFT 1'!$B:$B,0)),"")</f>
        <v/>
      </c>
      <c r="AG34">
        <f>IFERROR(INDEX('DRAFT 1'!$AB:$AB,MATCH($B34,'DRAFT 1'!$B:$B,0)),"")</f>
        <v/>
      </c>
      <c r="AH34">
        <f>IFERROR(INDEX('DRAFT 1'!$AC:$AC,MATCH($B34,'DRAFT 1'!$B:$B,0)),"")</f>
        <v/>
      </c>
      <c r="AI34">
        <f>IFERROR(INDEX('DRAFT 1'!$AD:$AD,MATCH($B34,'DRAFT 1'!$B:$B,0)),"")</f>
        <v/>
      </c>
      <c r="AJ34">
        <f>IFERROR(INDEX('DRAFT 1'!$AE:$AE,MATCH($B34,'DRAFT 1'!$B:$B,0)),"")</f>
        <v/>
      </c>
      <c r="AK34">
        <f>IFERROR(INDEX('DRAFT 1'!$AG:$AG,MATCH($B34,'DRAFT 1'!$B:$B,0)),"")</f>
        <v/>
      </c>
      <c r="AL34">
        <f>IFERROR(INDEX('DRAFT 1'!$AH:$AH,MATCH($B34,'DRAFT 1'!$B:$B,0)),"")</f>
        <v/>
      </c>
      <c r="AM34">
        <f>IFERROR(INDEX('DRAFT 1'!$AI:$AI,MATCH($B34,'DRAFT 1'!$B:$B,0)),"")</f>
        <v/>
      </c>
      <c r="AN34">
        <f>IFERROR(INDEX('DRAFT 1'!$AJ:$AJ,MATCH($B34,'DRAFT 1'!$B:$B,0)),"")</f>
        <v/>
      </c>
      <c r="AO34">
        <f>IFERROR(Y34/AN34,0)</f>
        <v/>
      </c>
      <c r="AP34">
        <f>IFERROR(INDEX('DRAFT 1'!$AK:$AK,MATCH($B34,'DRAFT 1'!$B:$B,0)),"")</f>
        <v/>
      </c>
      <c r="AR34" t="inlineStr">
        <is>
          <t>PROSPECÇÃO</t>
        </is>
      </c>
      <c r="AS34">
        <f>IFERROR(LOOKUP(2,1/('DRAFT 2'!$D:$D=$B34),'DRAFT 2'!$T:$T),"")</f>
        <v/>
      </c>
      <c r="AT34">
        <f>IFERROR(LOOKUP(2,1/('DRAFT 2'!$D:$D=$B34),'DRAFT 2'!$A:$A),"")</f>
        <v/>
      </c>
      <c r="AU34">
        <f>IFERROR(LOOKUP(2,1/('DRAFT 2'!$D:$D=$B34),'DRAFT 2'!$R:$R),"")</f>
        <v/>
      </c>
      <c r="AV34">
        <f>IFERROR(LOOKUP(2,1/('DRAFT 2'!$D:$D=$B34),'DRAFT 2'!$S:$S),"")</f>
        <v/>
      </c>
      <c r="AW34" t="inlineStr">
        <is>
          <t>FIDELIZADO</t>
        </is>
      </c>
      <c r="AX34">
        <f>IFERROR(LOOKUP(2,1/('DRAFT 2'!$D:$D=$B34),'DRAFT 2'!$M:$M),"")</f>
        <v/>
      </c>
      <c r="AY34">
        <f>IFERROR(LOOKUP(2,1/('DRAFT 2'!$D:$D=$B34),'DRAFT 2'!$K:$K),"")</f>
        <v/>
      </c>
      <c r="BG34">
        <f>IFERROR(LOOKUP(2,1/('DRAFT 2'!$D:$D=$B34),'DRAFT 2'!$U:$U),"")</f>
        <v/>
      </c>
      <c r="BH34">
        <f>IFERROR(LOOKUP(2,1/('DRAFT 2'!$D:$D=$B34),'DRAFT 2'!$V:$V),"")</f>
        <v/>
      </c>
      <c r="CE34">
        <f>IFERROR(AJ34,0)</f>
        <v/>
      </c>
      <c r="CF34">
        <f>IFERROR(LOOKUP(2,1/('DRAFT 2'!$D:$D=$B34)*('DRAFT 2'!$A:$A&gt;=DATE(2026,1,1))*('DRAFT 2'!$A:$A&lt;DATE(2026,IF(1=12,1+1,1+1),1)),'DRAFT 2'!$A:$A),"")</f>
        <v/>
      </c>
      <c r="CG34">
        <f>COUNTIFS('DRAFT 2'!$D:$D,$B34,'DRAFT 2'!$A:$A,"&gt;="&amp;DATE(2026,1,1),'DRAFT 2'!$A:$A,"&lt;="&amp;DATE(2026,1,7))</f>
        <v/>
      </c>
      <c r="CH34">
        <f>COUNTIFS('DRAFT 2'!$D:$D,$B34,'DRAFT 2'!$A:$A,"&gt;="&amp;DATE(2026,1,8),'DRAFT 2'!$A:$A,"&lt;="&amp;DATE(2026,1,14))</f>
        <v/>
      </c>
      <c r="CI34">
        <f>COUNTIFS('DRAFT 2'!$D:$D,$B34,'DRAFT 2'!$A:$A,"&gt;="&amp;DATE(2026,1,15),'DRAFT 2'!$A:$A,"&lt;="&amp;DATE(2026,1,21))</f>
        <v/>
      </c>
      <c r="CJ34">
        <f>COUNTIFS('DRAFT 2'!$D:$D,$B34,'DRAFT 2'!$A:$A,"&gt;="&amp;DATE(2026,1,22),'DRAFT 2'!$A:$A,"&lt;"&amp;DATE(2026,IF(1=12,1+1,1+1),1))</f>
        <v/>
      </c>
      <c r="CK34">
        <f>SUM(CG34:CJ34)</f>
        <v/>
      </c>
      <c r="CT34" t="n">
        <v>0</v>
      </c>
      <c r="CU34">
        <f>IFERROR(LOOKUP(2,1/('DRAFT 2'!$D:$D=$B34)*('DRAFT 2'!$A:$A&gt;=DATE(2026,2,1))*('DRAFT 2'!$A:$A&lt;DATE(2026,IF(2=12,2+1,2+1),1)),'DRAFT 2'!$A:$A),"")</f>
        <v/>
      </c>
      <c r="CV34">
        <f>COUNTIFS('DRAFT 2'!$D:$D,$B34,'DRAFT 2'!$A:$A,"&gt;="&amp;DATE(2026,2,1),'DRAFT 2'!$A:$A,"&lt;="&amp;DATE(2026,2,7))</f>
        <v/>
      </c>
      <c r="CW34">
        <f>COUNTIFS('DRAFT 2'!$D:$D,$B34,'DRAFT 2'!$A:$A,"&gt;="&amp;DATE(2026,2,8),'DRAFT 2'!$A:$A,"&lt;="&amp;DATE(2026,2,14))</f>
        <v/>
      </c>
      <c r="CX34">
        <f>COUNTIFS('DRAFT 2'!$D:$D,$B34,'DRAFT 2'!$A:$A,"&gt;="&amp;DATE(2026,2,15),'DRAFT 2'!$A:$A,"&lt;="&amp;DATE(2026,2,21))</f>
        <v/>
      </c>
      <c r="CY34">
        <f>COUNTIFS('DRAFT 2'!$D:$D,$B34,'DRAFT 2'!$A:$A,"&gt;="&amp;DATE(2026,2,22),'DRAFT 2'!$A:$A,"&lt;"&amp;DATE(2026,IF(2=12,2+1,2+1),1))</f>
        <v/>
      </c>
      <c r="CZ34">
        <f>SUM(CV34:CY34)</f>
        <v/>
      </c>
      <c r="DJ34">
        <f>IFERROR(LOOKUP(2,1/('DRAFT 2'!$D:$D=$B34)*('DRAFT 2'!$A:$A&gt;=DATE(2026,3,1))*('DRAFT 2'!$A:$A&lt;DATE(2026,IF(3=12,3+1,3+1),1)),'DRAFT 2'!$A:$A),"")</f>
        <v/>
      </c>
      <c r="DK34">
        <f>COUNTIFS('DRAFT 2'!$D:$D,$B34,'DRAFT 2'!$A:$A,"&gt;="&amp;DATE(2026,3,1),'DRAFT 2'!$A:$A,"&lt;="&amp;DATE(2026,3,7))</f>
        <v/>
      </c>
      <c r="DL34">
        <f>COUNTIFS('DRAFT 2'!$D:$D,$B34,'DRAFT 2'!$A:$A,"&gt;="&amp;DATE(2026,3,8),'DRAFT 2'!$A:$A,"&lt;="&amp;DATE(2026,3,14))</f>
        <v/>
      </c>
      <c r="DM34">
        <f>COUNTIFS('DRAFT 2'!$D:$D,$B34,'DRAFT 2'!$A:$A,"&gt;="&amp;DATE(2026,3,15),'DRAFT 2'!$A:$A,"&lt;="&amp;DATE(2026,3,21))</f>
        <v/>
      </c>
      <c r="DN34">
        <f>COUNTIFS('DRAFT 2'!$D:$D,$B34,'DRAFT 2'!$A:$A,"&gt;="&amp;DATE(2026,3,22),'DRAFT 2'!$A:$A,"&lt;"&amp;DATE(2026,IF(3=12,3+1,3+1),1))</f>
        <v/>
      </c>
      <c r="DO34">
        <f>SUM(DK34:DN34)</f>
        <v/>
      </c>
      <c r="DZ34">
        <f>IFERROR(LOOKUP(2,1/('DRAFT 2'!$D:$D=$B34)*('DRAFT 2'!$A:$A&gt;=DATE(2026,4,1))*('DRAFT 2'!$A:$A&lt;DATE(2026,IF(4=12,4+1,4+1),1)),'DRAFT 2'!$A:$A),"")</f>
        <v/>
      </c>
      <c r="EA34">
        <f>COUNTIFS('DRAFT 2'!$D:$D,$B34,'DRAFT 2'!$A:$A,"&gt;="&amp;DATE(2026,4,1),'DRAFT 2'!$A:$A,"&lt;="&amp;DATE(2026,4,7))</f>
        <v/>
      </c>
      <c r="EB34">
        <f>COUNTIFS('DRAFT 2'!$D:$D,$B34,'DRAFT 2'!$A:$A,"&gt;="&amp;DATE(2026,4,8),'DRAFT 2'!$A:$A,"&lt;="&amp;DATE(2026,4,14))</f>
        <v/>
      </c>
      <c r="EC34">
        <f>COUNTIFS('DRAFT 2'!$D:$D,$B34,'DRAFT 2'!$A:$A,"&gt;="&amp;DATE(2026,4,15),'DRAFT 2'!$A:$A,"&lt;="&amp;DATE(2026,4,21))</f>
        <v/>
      </c>
      <c r="ED34">
        <f>COUNTIFS('DRAFT 2'!$D:$D,$B34,'DRAFT 2'!$A:$A,"&gt;="&amp;DATE(2026,4,22),'DRAFT 2'!$A:$A,"&lt;"&amp;DATE(2026,IF(4=12,4+1,4+1),1))</f>
        <v/>
      </c>
      <c r="EE34">
        <f>SUM(EA34:ED34)</f>
        <v/>
      </c>
      <c r="EO34">
        <f>IFERROR(LOOKUP(2,1/('DRAFT 2'!$D:$D=$B34)*('DRAFT 2'!$A:$A&gt;=DATE(2026,5,1))*('DRAFT 2'!$A:$A&lt;DATE(2026,IF(5=12,5+1,5+1),1)),'DRAFT 2'!$A:$A),"")</f>
        <v/>
      </c>
      <c r="EP34">
        <f>COUNTIFS('DRAFT 2'!$D:$D,$B34,'DRAFT 2'!$A:$A,"&gt;="&amp;DATE(2026,5,1),'DRAFT 2'!$A:$A,"&lt;="&amp;DATE(2026,5,7))</f>
        <v/>
      </c>
      <c r="EQ34">
        <f>COUNTIFS('DRAFT 2'!$D:$D,$B34,'DRAFT 2'!$A:$A,"&gt;="&amp;DATE(2026,5,8),'DRAFT 2'!$A:$A,"&lt;="&amp;DATE(2026,5,14))</f>
        <v/>
      </c>
      <c r="ER34">
        <f>COUNTIFS('DRAFT 2'!$D:$D,$B34,'DRAFT 2'!$A:$A,"&gt;="&amp;DATE(2026,5,15),'DRAFT 2'!$A:$A,"&lt;="&amp;DATE(2026,5,21))</f>
        <v/>
      </c>
      <c r="ES34">
        <f>COUNTIFS('DRAFT 2'!$D:$D,$B34,'DRAFT 2'!$A:$A,"&gt;="&amp;DATE(2026,5,22),'DRAFT 2'!$A:$A,"&lt;"&amp;DATE(2026,IF(5=12,5+1,5+1),1))</f>
        <v/>
      </c>
      <c r="ET34">
        <f>SUM(EP34:ES34)</f>
        <v/>
      </c>
      <c r="FD34">
        <f>IFERROR(LOOKUP(2,1/('DRAFT 2'!$D:$D=$B34)*('DRAFT 2'!$A:$A&gt;=DATE(2026,6,1))*('DRAFT 2'!$A:$A&lt;DATE(2026,IF(6=12,6+1,6+1),1)),'DRAFT 2'!$A:$A),"")</f>
        <v/>
      </c>
      <c r="FE34">
        <f>COUNTIFS('DRAFT 2'!$D:$D,$B34,'DRAFT 2'!$A:$A,"&gt;="&amp;DATE(2026,6,1),'DRAFT 2'!$A:$A,"&lt;="&amp;DATE(2026,6,7))</f>
        <v/>
      </c>
      <c r="FF34">
        <f>COUNTIFS('DRAFT 2'!$D:$D,$B34,'DRAFT 2'!$A:$A,"&gt;="&amp;DATE(2026,6,8),'DRAFT 2'!$A:$A,"&lt;="&amp;DATE(2026,6,14))</f>
        <v/>
      </c>
      <c r="FG34">
        <f>COUNTIFS('DRAFT 2'!$D:$D,$B34,'DRAFT 2'!$A:$A,"&gt;="&amp;DATE(2026,6,15),'DRAFT 2'!$A:$A,"&lt;="&amp;DATE(2026,6,21))</f>
        <v/>
      </c>
      <c r="FH34">
        <f>COUNTIFS('DRAFT 2'!$D:$D,$B34,'DRAFT 2'!$A:$A,"&gt;="&amp;DATE(2026,6,22),'DRAFT 2'!$A:$A,"&lt;"&amp;DATE(2026,IF(6=12,6+1,6+1),1))</f>
        <v/>
      </c>
      <c r="FI34">
        <f>SUM(FE34:FH34)</f>
        <v/>
      </c>
      <c r="FT34">
        <f>IFERROR(LOOKUP(2,1/('DRAFT 2'!$D:$D=$B34)*('DRAFT 2'!$A:$A&gt;=DATE(2026,7,1))*('DRAFT 2'!$A:$A&lt;DATE(2026,IF(7=12,7+1,7+1),1)),'DRAFT 2'!$A:$A),"")</f>
        <v/>
      </c>
      <c r="FU34">
        <f>COUNTIFS('DRAFT 2'!$D:$D,$B34,'DRAFT 2'!$A:$A,"&gt;="&amp;DATE(2026,7,1),'DRAFT 2'!$A:$A,"&lt;="&amp;DATE(2026,7,7))</f>
        <v/>
      </c>
      <c r="FV34">
        <f>COUNTIFS('DRAFT 2'!$D:$D,$B34,'DRAFT 2'!$A:$A,"&gt;="&amp;DATE(2026,7,8),'DRAFT 2'!$A:$A,"&lt;="&amp;DATE(2026,7,14))</f>
        <v/>
      </c>
      <c r="FW34">
        <f>COUNTIFS('DRAFT 2'!$D:$D,$B34,'DRAFT 2'!$A:$A,"&gt;="&amp;DATE(2026,7,15),'DRAFT 2'!$A:$A,"&lt;="&amp;DATE(2026,7,21))</f>
        <v/>
      </c>
      <c r="FX34">
        <f>COUNTIFS('DRAFT 2'!$D:$D,$B34,'DRAFT 2'!$A:$A,"&gt;="&amp;DATE(2026,7,22),'DRAFT 2'!$A:$A,"&lt;"&amp;DATE(2026,IF(7=12,7+1,7+1),1))</f>
        <v/>
      </c>
      <c r="FY34">
        <f>SUM(FU34:FX34)</f>
        <v/>
      </c>
      <c r="GI34">
        <f>IFERROR(LOOKUP(2,1/('DRAFT 2'!$D:$D=$B34)*('DRAFT 2'!$A:$A&gt;=DATE(2026,8,1))*('DRAFT 2'!$A:$A&lt;DATE(2026,IF(8=12,8+1,8+1),1)),'DRAFT 2'!$A:$A),"")</f>
        <v/>
      </c>
      <c r="GJ34">
        <f>COUNTIFS('DRAFT 2'!$D:$D,$B34,'DRAFT 2'!$A:$A,"&gt;="&amp;DATE(2026,8,1),'DRAFT 2'!$A:$A,"&lt;="&amp;DATE(2026,8,7))</f>
        <v/>
      </c>
      <c r="GK34">
        <f>COUNTIFS('DRAFT 2'!$D:$D,$B34,'DRAFT 2'!$A:$A,"&gt;="&amp;DATE(2026,8,8),'DRAFT 2'!$A:$A,"&lt;="&amp;DATE(2026,8,14))</f>
        <v/>
      </c>
      <c r="GL34">
        <f>COUNTIFS('DRAFT 2'!$D:$D,$B34,'DRAFT 2'!$A:$A,"&gt;="&amp;DATE(2026,8,15),'DRAFT 2'!$A:$A,"&lt;="&amp;DATE(2026,8,21))</f>
        <v/>
      </c>
      <c r="GM34">
        <f>COUNTIFS('DRAFT 2'!$D:$D,$B34,'DRAFT 2'!$A:$A,"&gt;="&amp;DATE(2026,8,22),'DRAFT 2'!$A:$A,"&lt;"&amp;DATE(2026,IF(8=12,8+1,8+1),1))</f>
        <v/>
      </c>
      <c r="GN34">
        <f>SUM(GJ34:GM34)</f>
        <v/>
      </c>
      <c r="GX34">
        <f>IFERROR(LOOKUP(2,1/('DRAFT 2'!$D:$D=$B34)*('DRAFT 2'!$A:$A&gt;=DATE(2026,9,1))*('DRAFT 2'!$A:$A&lt;DATE(2026,IF(9=12,9+1,9+1),1)),'DRAFT 2'!$A:$A),"")</f>
        <v/>
      </c>
      <c r="GY34">
        <f>COUNTIFS('DRAFT 2'!$D:$D,$B34,'DRAFT 2'!$A:$A,"&gt;="&amp;DATE(2026,9,1),'DRAFT 2'!$A:$A,"&lt;="&amp;DATE(2026,9,7))</f>
        <v/>
      </c>
      <c r="GZ34">
        <f>COUNTIFS('DRAFT 2'!$D:$D,$B34,'DRAFT 2'!$A:$A,"&gt;="&amp;DATE(2026,9,8),'DRAFT 2'!$A:$A,"&lt;="&amp;DATE(2026,9,14))</f>
        <v/>
      </c>
      <c r="HA34">
        <f>COUNTIFS('DRAFT 2'!$D:$D,$B34,'DRAFT 2'!$A:$A,"&gt;="&amp;DATE(2026,9,15),'DRAFT 2'!$A:$A,"&lt;="&amp;DATE(2026,9,21))</f>
        <v/>
      </c>
      <c r="HB34">
        <f>COUNTIFS('DRAFT 2'!$D:$D,$B34,'DRAFT 2'!$A:$A,"&gt;="&amp;DATE(2026,9,22),'DRAFT 2'!$A:$A,"&lt;"&amp;DATE(2026,IF(9=12,9+1,9+1),1))</f>
        <v/>
      </c>
      <c r="HC34">
        <f>SUM(GY34:HB34)</f>
        <v/>
      </c>
      <c r="HN34">
        <f>IFERROR(LOOKUP(2,1/('DRAFT 2'!$D:$D=$B34)*('DRAFT 2'!$A:$A&gt;=DATE(2026,10,1))*('DRAFT 2'!$A:$A&lt;DATE(2026,IF(10=12,10+1,10+1),1)),'DRAFT 2'!$A:$A),"")</f>
        <v/>
      </c>
      <c r="HO34">
        <f>COUNTIFS('DRAFT 2'!$D:$D,$B34,'DRAFT 2'!$A:$A,"&gt;="&amp;DATE(2026,10,1),'DRAFT 2'!$A:$A,"&lt;="&amp;DATE(2026,10,7))</f>
        <v/>
      </c>
      <c r="HP34">
        <f>COUNTIFS('DRAFT 2'!$D:$D,$B34,'DRAFT 2'!$A:$A,"&gt;="&amp;DATE(2026,10,8),'DRAFT 2'!$A:$A,"&lt;="&amp;DATE(2026,10,14))</f>
        <v/>
      </c>
      <c r="HQ34">
        <f>COUNTIFS('DRAFT 2'!$D:$D,$B34,'DRAFT 2'!$A:$A,"&gt;="&amp;DATE(2026,10,15),'DRAFT 2'!$A:$A,"&lt;="&amp;DATE(2026,10,21))</f>
        <v/>
      </c>
      <c r="HR34">
        <f>COUNTIFS('DRAFT 2'!$D:$D,$B34,'DRAFT 2'!$A:$A,"&gt;="&amp;DATE(2026,10,22),'DRAFT 2'!$A:$A,"&lt;"&amp;DATE(2026,IF(10=12,10+1,10+1),1))</f>
        <v/>
      </c>
      <c r="HS34">
        <f>SUM(HO34:HR34)</f>
        <v/>
      </c>
      <c r="IC34">
        <f>IFERROR(LOOKUP(2,1/('DRAFT 2'!$D:$D=$B34)*('DRAFT 2'!$A:$A&gt;=DATE(2026,11,1))*('DRAFT 2'!$A:$A&lt;DATE(2026,IF(11=12,11+1,11+1),1)),'DRAFT 2'!$A:$A),"")</f>
        <v/>
      </c>
      <c r="ID34">
        <f>COUNTIFS('DRAFT 2'!$D:$D,$B34,'DRAFT 2'!$A:$A,"&gt;="&amp;DATE(2026,11,1),'DRAFT 2'!$A:$A,"&lt;="&amp;DATE(2026,11,7))</f>
        <v/>
      </c>
      <c r="IE34">
        <f>COUNTIFS('DRAFT 2'!$D:$D,$B34,'DRAFT 2'!$A:$A,"&gt;="&amp;DATE(2026,11,8),'DRAFT 2'!$A:$A,"&lt;="&amp;DATE(2026,11,14))</f>
        <v/>
      </c>
      <c r="IF34">
        <f>COUNTIFS('DRAFT 2'!$D:$D,$B34,'DRAFT 2'!$A:$A,"&gt;="&amp;DATE(2026,11,15),'DRAFT 2'!$A:$A,"&lt;="&amp;DATE(2026,11,21))</f>
        <v/>
      </c>
      <c r="IG34">
        <f>COUNTIFS('DRAFT 2'!$D:$D,$B34,'DRAFT 2'!$A:$A,"&gt;="&amp;DATE(2026,11,22),'DRAFT 2'!$A:$A,"&lt;"&amp;DATE(2026,IF(11=12,11+1,11+1),1))</f>
        <v/>
      </c>
      <c r="IH34">
        <f>SUM(ID34:IG34)</f>
        <v/>
      </c>
      <c r="IR34">
        <f>IFERROR(LOOKUP(2,1/('DRAFT 2'!$D:$D=$B34)*('DRAFT 2'!$A:$A&gt;=DATE(2026,12,1))*('DRAFT 2'!$A:$A&lt;DATE(2026,IF(12=12,12+1,12+1),1)),'DRAFT 2'!$A:$A),"")</f>
        <v/>
      </c>
      <c r="IS34">
        <f>COUNTIFS('DRAFT 2'!$D:$D,$B34,'DRAFT 2'!$A:$A,"&gt;="&amp;DATE(2026,12,1),'DRAFT 2'!$A:$A,"&lt;="&amp;DATE(2026,12,7))</f>
        <v/>
      </c>
      <c r="IT34">
        <f>COUNTIFS('DRAFT 2'!$D:$D,$B34,'DRAFT 2'!$A:$A,"&gt;="&amp;DATE(2026,12,8),'DRAFT 2'!$A:$A,"&lt;="&amp;DATE(2026,12,14))</f>
        <v/>
      </c>
      <c r="IU34">
        <f>COUNTIFS('DRAFT 2'!$D:$D,$B34,'DRAFT 2'!$A:$A,"&gt;="&amp;DATE(2026,12,15),'DRAFT 2'!$A:$A,"&lt;="&amp;DATE(2026,12,21))</f>
        <v/>
      </c>
      <c r="IV34">
        <f>COUNTIFS('DRAFT 2'!$D:$D,$B34,'DRAFT 2'!$A:$A,"&gt;="&amp;DATE(2026,12,22),'DRAFT 2'!$A:$A,"&lt;"&amp;DATE(2026,IF(12=12,12+1,12+1),1))</f>
        <v/>
      </c>
      <c r="IW34">
        <f>SUM(IS34:IV34)</f>
        <v/>
      </c>
    </row>
    <row r="35">
      <c r="A35">
        <f>IFERROR(INDEX('DRAFT 1'!$A:$A,MATCH($B35,'DRAFT 1'!$B:$B,0)),"")</f>
        <v/>
      </c>
      <c r="C35">
        <f>IFERROR(INDEX('DRAFT 1'!$C:$C,MATCH($B35,'DRAFT 1'!$B:$B,0)),"")</f>
        <v/>
      </c>
      <c r="D35">
        <f>IFERROR(INDEX('DRAFT 1'!$D:$D,MATCH($B35,'DRAFT 1'!$B:$B,0)),"")</f>
        <v/>
      </c>
      <c r="E35">
        <f>IFERROR(INDEX('DRAFT 1'!$E:$E,MATCH($B35,'DRAFT 1'!$B:$B,0)),"")</f>
        <v/>
      </c>
      <c r="F35">
        <f>IFERROR(INDEX('DRAFT 1'!$F:$F,MATCH($B35,'DRAFT 1'!$B:$B,0)),"")</f>
        <v/>
      </c>
      <c r="G35">
        <f>IFERROR(INDEX('DRAFT 1'!$G:$G,MATCH($B35,'DRAFT 1'!$B:$B,0)),"")</f>
        <v/>
      </c>
      <c r="H35">
        <f>IFERROR(INDEX('DRAFT 1'!$H:$H,MATCH($B35,'DRAFT 1'!$B:$B,0)),"")</f>
        <v/>
      </c>
      <c r="I35" t="inlineStr">
        <is>
          <t>CIA DA SAUDE</t>
        </is>
      </c>
      <c r="K35">
        <f>IFERROR(INDEX('DRAFT 1'!$AL:$AL,MATCH($B35,'DRAFT 1'!$B:$B,0)),"")</f>
        <v/>
      </c>
      <c r="L35">
        <f>IFERROR(INDEX('DRAFT 1'!$J:$J,MATCH($B35,'DRAFT 1'!$B:$B,0)),"")</f>
        <v/>
      </c>
      <c r="M35">
        <f>IFERROR(INDEX('DRAFT 1'!$K:$K,MATCH($B35,'DRAFT 1'!$B:$B,0)),"")</f>
        <v/>
      </c>
      <c r="N35" t="inlineStr">
        <is>
          <t>ATIVO</t>
        </is>
      </c>
      <c r="P35">
        <f>IFERROR(INDEX('DRAFT 1'!$L:$L,MATCH($B35,'DRAFT 1'!$B:$B,0)),"")</f>
        <v/>
      </c>
      <c r="Q35">
        <f>IFERROR(INDEX('DRAFT 1'!$M:$M,MATCH($B35,'DRAFT 1'!$B:$B,0)),"")</f>
        <v/>
      </c>
      <c r="R35">
        <f>IFERROR(INDEX('DRAFT 1'!$N:$N,MATCH($B35,'DRAFT 1'!$B:$B,0)),"")</f>
        <v/>
      </c>
      <c r="S35">
        <f>IFERROR(INDEX('DRAFT 1'!$O:$O,MATCH($B35,'DRAFT 1'!$B:$B,0)),"")</f>
        <v/>
      </c>
      <c r="T35">
        <f>IFERROR(INDEX('DRAFT 1'!$P:$P,MATCH($B35,'DRAFT 1'!$B:$B,0)),"")</f>
        <v/>
      </c>
      <c r="U35">
        <f>IFERROR(INDEX('DRAFT 1'!$Q:$Q,MATCH($B35,'DRAFT 1'!$B:$B,0)),"")</f>
        <v/>
      </c>
      <c r="V35">
        <f>IFERROR(INDEX('DRAFT 1'!$R:$R,MATCH($B35,'DRAFT 1'!$B:$B,0)),"")</f>
        <v/>
      </c>
      <c r="W35">
        <f>IFERROR(INDEX('DRAFT 1'!$S:$S,MATCH($B35,'DRAFT 1'!$B:$B,0)),"")</f>
        <v/>
      </c>
      <c r="X35">
        <f>IFERROR(INDEX('DRAFT 1'!$T:$T,MATCH($B35,'DRAFT 1'!$B:$B,0)),"")</f>
        <v/>
      </c>
      <c r="Z35">
        <f>IFERROR(INDEX('DRAFT 1'!$U:$U,MATCH($B35,'DRAFT 1'!$B:$B,0)),"")</f>
        <v/>
      </c>
      <c r="AA35">
        <f>IFERROR(INDEX('DRAFT 1'!$V:$V,MATCH($B35,'DRAFT 1'!$B:$B,0)),"")</f>
        <v/>
      </c>
      <c r="AB35">
        <f>IFERROR(INDEX('DRAFT 1'!$W:$W,MATCH($B35,'DRAFT 1'!$B:$B,0)),"")</f>
        <v/>
      </c>
      <c r="AC35">
        <f>IFERROR(INDEX('DRAFT 1'!$X:$X,MATCH($B35,'DRAFT 1'!$B:$B,0)),"")</f>
        <v/>
      </c>
      <c r="AD35">
        <f>IFERROR(INDEX('DRAFT 1'!$Y:$Y,MATCH($B35,'DRAFT 1'!$B:$B,0)),"")</f>
        <v/>
      </c>
      <c r="AE35">
        <f>IFERROR(INDEX('DRAFT 1'!$Z:$Z,MATCH($B35,'DRAFT 1'!$B:$B,0)),"")</f>
        <v/>
      </c>
      <c r="AF35">
        <f>IFERROR(INDEX('DRAFT 1'!$AA:$AA,MATCH($B35,'DRAFT 1'!$B:$B,0)),"")</f>
        <v/>
      </c>
      <c r="AG35">
        <f>IFERROR(INDEX('DRAFT 1'!$AB:$AB,MATCH($B35,'DRAFT 1'!$B:$B,0)),"")</f>
        <v/>
      </c>
      <c r="AH35">
        <f>IFERROR(INDEX('DRAFT 1'!$AC:$AC,MATCH($B35,'DRAFT 1'!$B:$B,0)),"")</f>
        <v/>
      </c>
      <c r="AI35">
        <f>IFERROR(INDEX('DRAFT 1'!$AD:$AD,MATCH($B35,'DRAFT 1'!$B:$B,0)),"")</f>
        <v/>
      </c>
      <c r="AJ35">
        <f>IFERROR(INDEX('DRAFT 1'!$AE:$AE,MATCH($B35,'DRAFT 1'!$B:$B,0)),"")</f>
        <v/>
      </c>
      <c r="AK35">
        <f>IFERROR(INDEX('DRAFT 1'!$AG:$AG,MATCH($B35,'DRAFT 1'!$B:$B,0)),"")</f>
        <v/>
      </c>
      <c r="AL35">
        <f>IFERROR(INDEX('DRAFT 1'!$AH:$AH,MATCH($B35,'DRAFT 1'!$B:$B,0)),"")</f>
        <v/>
      </c>
      <c r="AM35">
        <f>IFERROR(INDEX('DRAFT 1'!$AI:$AI,MATCH($B35,'DRAFT 1'!$B:$B,0)),"")</f>
        <v/>
      </c>
      <c r="AN35">
        <f>IFERROR(INDEX('DRAFT 1'!$AJ:$AJ,MATCH($B35,'DRAFT 1'!$B:$B,0)),"")</f>
        <v/>
      </c>
      <c r="AO35">
        <f>IFERROR(Y35/AN35,0)</f>
        <v/>
      </c>
      <c r="AP35">
        <f>IFERROR(INDEX('DRAFT 1'!$AK:$AK,MATCH($B35,'DRAFT 1'!$B:$B,0)),"")</f>
        <v/>
      </c>
      <c r="AR35" t="inlineStr">
        <is>
          <t>RECOMPRA</t>
        </is>
      </c>
      <c r="AS35">
        <f>IFERROR(LOOKUP(2,1/('DRAFT 2'!$D:$D=$B35),'DRAFT 2'!$T:$T),"")</f>
        <v/>
      </c>
      <c r="AT35">
        <f>IFERROR(LOOKUP(2,1/('DRAFT 2'!$D:$D=$B35),'DRAFT 2'!$A:$A),"")</f>
        <v/>
      </c>
      <c r="AU35">
        <f>IFERROR(LOOKUP(2,1/('DRAFT 2'!$D:$D=$B35),'DRAFT 2'!$R:$R),"")</f>
        <v/>
      </c>
      <c r="AV35">
        <f>IFERROR(LOOKUP(2,1/('DRAFT 2'!$D:$D=$B35),'DRAFT 2'!$S:$S),"")</f>
        <v/>
      </c>
      <c r="AW35" t="inlineStr">
        <is>
          <t>FIDELIZADO</t>
        </is>
      </c>
      <c r="AX35">
        <f>IFERROR(LOOKUP(2,1/('DRAFT 2'!$D:$D=$B35),'DRAFT 2'!$M:$M),"")</f>
        <v/>
      </c>
      <c r="AY35">
        <f>IFERROR(LOOKUP(2,1/('DRAFT 2'!$D:$D=$B35),'DRAFT 2'!$K:$K),"")</f>
        <v/>
      </c>
      <c r="BG35">
        <f>IFERROR(LOOKUP(2,1/('DRAFT 2'!$D:$D=$B35),'DRAFT 2'!$U:$U),"")</f>
        <v/>
      </c>
      <c r="BH35">
        <f>IFERROR(LOOKUP(2,1/('DRAFT 2'!$D:$D=$B35),'DRAFT 2'!$V:$V),"")</f>
        <v/>
      </c>
      <c r="CE35">
        <f>IFERROR(AJ35,0)</f>
        <v/>
      </c>
      <c r="CF35">
        <f>IFERROR(LOOKUP(2,1/('DRAFT 2'!$D:$D=$B35)*('DRAFT 2'!$A:$A&gt;=DATE(2026,1,1))*('DRAFT 2'!$A:$A&lt;DATE(2026,IF(1=12,1+1,1+1),1)),'DRAFT 2'!$A:$A),"")</f>
        <v/>
      </c>
      <c r="CG35">
        <f>COUNTIFS('DRAFT 2'!$D:$D,$B35,'DRAFT 2'!$A:$A,"&gt;="&amp;DATE(2026,1,1),'DRAFT 2'!$A:$A,"&lt;="&amp;DATE(2026,1,7))</f>
        <v/>
      </c>
      <c r="CH35">
        <f>COUNTIFS('DRAFT 2'!$D:$D,$B35,'DRAFT 2'!$A:$A,"&gt;="&amp;DATE(2026,1,8),'DRAFT 2'!$A:$A,"&lt;="&amp;DATE(2026,1,14))</f>
        <v/>
      </c>
      <c r="CI35">
        <f>COUNTIFS('DRAFT 2'!$D:$D,$B35,'DRAFT 2'!$A:$A,"&gt;="&amp;DATE(2026,1,15),'DRAFT 2'!$A:$A,"&lt;="&amp;DATE(2026,1,21))</f>
        <v/>
      </c>
      <c r="CJ35">
        <f>COUNTIFS('DRAFT 2'!$D:$D,$B35,'DRAFT 2'!$A:$A,"&gt;="&amp;DATE(2026,1,22),'DRAFT 2'!$A:$A,"&lt;"&amp;DATE(2026,IF(1=12,1+1,1+1),1))</f>
        <v/>
      </c>
      <c r="CK35">
        <f>SUM(CG35:CJ35)</f>
        <v/>
      </c>
      <c r="CT35" t="n">
        <v>0</v>
      </c>
      <c r="CU35">
        <f>IFERROR(LOOKUP(2,1/('DRAFT 2'!$D:$D=$B35)*('DRAFT 2'!$A:$A&gt;=DATE(2026,2,1))*('DRAFT 2'!$A:$A&lt;DATE(2026,IF(2=12,2+1,2+1),1)),'DRAFT 2'!$A:$A),"")</f>
        <v/>
      </c>
      <c r="CV35">
        <f>COUNTIFS('DRAFT 2'!$D:$D,$B35,'DRAFT 2'!$A:$A,"&gt;="&amp;DATE(2026,2,1),'DRAFT 2'!$A:$A,"&lt;="&amp;DATE(2026,2,7))</f>
        <v/>
      </c>
      <c r="CW35">
        <f>COUNTIFS('DRAFT 2'!$D:$D,$B35,'DRAFT 2'!$A:$A,"&gt;="&amp;DATE(2026,2,8),'DRAFT 2'!$A:$A,"&lt;="&amp;DATE(2026,2,14))</f>
        <v/>
      </c>
      <c r="CX35">
        <f>COUNTIFS('DRAFT 2'!$D:$D,$B35,'DRAFT 2'!$A:$A,"&gt;="&amp;DATE(2026,2,15),'DRAFT 2'!$A:$A,"&lt;="&amp;DATE(2026,2,21))</f>
        <v/>
      </c>
      <c r="CY35">
        <f>COUNTIFS('DRAFT 2'!$D:$D,$B35,'DRAFT 2'!$A:$A,"&gt;="&amp;DATE(2026,2,22),'DRAFT 2'!$A:$A,"&lt;"&amp;DATE(2026,IF(2=12,2+1,2+1),1))</f>
        <v/>
      </c>
      <c r="CZ35">
        <f>SUM(CV35:CY35)</f>
        <v/>
      </c>
      <c r="DJ35">
        <f>IFERROR(LOOKUP(2,1/('DRAFT 2'!$D:$D=$B35)*('DRAFT 2'!$A:$A&gt;=DATE(2026,3,1))*('DRAFT 2'!$A:$A&lt;DATE(2026,IF(3=12,3+1,3+1),1)),'DRAFT 2'!$A:$A),"")</f>
        <v/>
      </c>
      <c r="DK35">
        <f>COUNTIFS('DRAFT 2'!$D:$D,$B35,'DRAFT 2'!$A:$A,"&gt;="&amp;DATE(2026,3,1),'DRAFT 2'!$A:$A,"&lt;="&amp;DATE(2026,3,7))</f>
        <v/>
      </c>
      <c r="DL35">
        <f>COUNTIFS('DRAFT 2'!$D:$D,$B35,'DRAFT 2'!$A:$A,"&gt;="&amp;DATE(2026,3,8),'DRAFT 2'!$A:$A,"&lt;="&amp;DATE(2026,3,14))</f>
        <v/>
      </c>
      <c r="DM35">
        <f>COUNTIFS('DRAFT 2'!$D:$D,$B35,'DRAFT 2'!$A:$A,"&gt;="&amp;DATE(2026,3,15),'DRAFT 2'!$A:$A,"&lt;="&amp;DATE(2026,3,21))</f>
        <v/>
      </c>
      <c r="DN35">
        <f>COUNTIFS('DRAFT 2'!$D:$D,$B35,'DRAFT 2'!$A:$A,"&gt;="&amp;DATE(2026,3,22),'DRAFT 2'!$A:$A,"&lt;"&amp;DATE(2026,IF(3=12,3+1,3+1),1))</f>
        <v/>
      </c>
      <c r="DO35">
        <f>SUM(DK35:DN35)</f>
        <v/>
      </c>
      <c r="DZ35">
        <f>IFERROR(LOOKUP(2,1/('DRAFT 2'!$D:$D=$B35)*('DRAFT 2'!$A:$A&gt;=DATE(2026,4,1))*('DRAFT 2'!$A:$A&lt;DATE(2026,IF(4=12,4+1,4+1),1)),'DRAFT 2'!$A:$A),"")</f>
        <v/>
      </c>
      <c r="EA35">
        <f>COUNTIFS('DRAFT 2'!$D:$D,$B35,'DRAFT 2'!$A:$A,"&gt;="&amp;DATE(2026,4,1),'DRAFT 2'!$A:$A,"&lt;="&amp;DATE(2026,4,7))</f>
        <v/>
      </c>
      <c r="EB35">
        <f>COUNTIFS('DRAFT 2'!$D:$D,$B35,'DRAFT 2'!$A:$A,"&gt;="&amp;DATE(2026,4,8),'DRAFT 2'!$A:$A,"&lt;="&amp;DATE(2026,4,14))</f>
        <v/>
      </c>
      <c r="EC35">
        <f>COUNTIFS('DRAFT 2'!$D:$D,$B35,'DRAFT 2'!$A:$A,"&gt;="&amp;DATE(2026,4,15),'DRAFT 2'!$A:$A,"&lt;="&amp;DATE(2026,4,21))</f>
        <v/>
      </c>
      <c r="ED35">
        <f>COUNTIFS('DRAFT 2'!$D:$D,$B35,'DRAFT 2'!$A:$A,"&gt;="&amp;DATE(2026,4,22),'DRAFT 2'!$A:$A,"&lt;"&amp;DATE(2026,IF(4=12,4+1,4+1),1))</f>
        <v/>
      </c>
      <c r="EE35">
        <f>SUM(EA35:ED35)</f>
        <v/>
      </c>
      <c r="EO35">
        <f>IFERROR(LOOKUP(2,1/('DRAFT 2'!$D:$D=$B35)*('DRAFT 2'!$A:$A&gt;=DATE(2026,5,1))*('DRAFT 2'!$A:$A&lt;DATE(2026,IF(5=12,5+1,5+1),1)),'DRAFT 2'!$A:$A),"")</f>
        <v/>
      </c>
      <c r="EP35">
        <f>COUNTIFS('DRAFT 2'!$D:$D,$B35,'DRAFT 2'!$A:$A,"&gt;="&amp;DATE(2026,5,1),'DRAFT 2'!$A:$A,"&lt;="&amp;DATE(2026,5,7))</f>
        <v/>
      </c>
      <c r="EQ35">
        <f>COUNTIFS('DRAFT 2'!$D:$D,$B35,'DRAFT 2'!$A:$A,"&gt;="&amp;DATE(2026,5,8),'DRAFT 2'!$A:$A,"&lt;="&amp;DATE(2026,5,14))</f>
        <v/>
      </c>
      <c r="ER35">
        <f>COUNTIFS('DRAFT 2'!$D:$D,$B35,'DRAFT 2'!$A:$A,"&gt;="&amp;DATE(2026,5,15),'DRAFT 2'!$A:$A,"&lt;="&amp;DATE(2026,5,21))</f>
        <v/>
      </c>
      <c r="ES35">
        <f>COUNTIFS('DRAFT 2'!$D:$D,$B35,'DRAFT 2'!$A:$A,"&gt;="&amp;DATE(2026,5,22),'DRAFT 2'!$A:$A,"&lt;"&amp;DATE(2026,IF(5=12,5+1,5+1),1))</f>
        <v/>
      </c>
      <c r="ET35">
        <f>SUM(EP35:ES35)</f>
        <v/>
      </c>
      <c r="FD35">
        <f>IFERROR(LOOKUP(2,1/('DRAFT 2'!$D:$D=$B35)*('DRAFT 2'!$A:$A&gt;=DATE(2026,6,1))*('DRAFT 2'!$A:$A&lt;DATE(2026,IF(6=12,6+1,6+1),1)),'DRAFT 2'!$A:$A),"")</f>
        <v/>
      </c>
      <c r="FE35">
        <f>COUNTIFS('DRAFT 2'!$D:$D,$B35,'DRAFT 2'!$A:$A,"&gt;="&amp;DATE(2026,6,1),'DRAFT 2'!$A:$A,"&lt;="&amp;DATE(2026,6,7))</f>
        <v/>
      </c>
      <c r="FF35">
        <f>COUNTIFS('DRAFT 2'!$D:$D,$B35,'DRAFT 2'!$A:$A,"&gt;="&amp;DATE(2026,6,8),'DRAFT 2'!$A:$A,"&lt;="&amp;DATE(2026,6,14))</f>
        <v/>
      </c>
      <c r="FG35">
        <f>COUNTIFS('DRAFT 2'!$D:$D,$B35,'DRAFT 2'!$A:$A,"&gt;="&amp;DATE(2026,6,15),'DRAFT 2'!$A:$A,"&lt;="&amp;DATE(2026,6,21))</f>
        <v/>
      </c>
      <c r="FH35">
        <f>COUNTIFS('DRAFT 2'!$D:$D,$B35,'DRAFT 2'!$A:$A,"&gt;="&amp;DATE(2026,6,22),'DRAFT 2'!$A:$A,"&lt;"&amp;DATE(2026,IF(6=12,6+1,6+1),1))</f>
        <v/>
      </c>
      <c r="FI35">
        <f>SUM(FE35:FH35)</f>
        <v/>
      </c>
      <c r="FT35">
        <f>IFERROR(LOOKUP(2,1/('DRAFT 2'!$D:$D=$B35)*('DRAFT 2'!$A:$A&gt;=DATE(2026,7,1))*('DRAFT 2'!$A:$A&lt;DATE(2026,IF(7=12,7+1,7+1),1)),'DRAFT 2'!$A:$A),"")</f>
        <v/>
      </c>
      <c r="FU35">
        <f>COUNTIFS('DRAFT 2'!$D:$D,$B35,'DRAFT 2'!$A:$A,"&gt;="&amp;DATE(2026,7,1),'DRAFT 2'!$A:$A,"&lt;="&amp;DATE(2026,7,7))</f>
        <v/>
      </c>
      <c r="FV35">
        <f>COUNTIFS('DRAFT 2'!$D:$D,$B35,'DRAFT 2'!$A:$A,"&gt;="&amp;DATE(2026,7,8),'DRAFT 2'!$A:$A,"&lt;="&amp;DATE(2026,7,14))</f>
        <v/>
      </c>
      <c r="FW35">
        <f>COUNTIFS('DRAFT 2'!$D:$D,$B35,'DRAFT 2'!$A:$A,"&gt;="&amp;DATE(2026,7,15),'DRAFT 2'!$A:$A,"&lt;="&amp;DATE(2026,7,21))</f>
        <v/>
      </c>
      <c r="FX35">
        <f>COUNTIFS('DRAFT 2'!$D:$D,$B35,'DRAFT 2'!$A:$A,"&gt;="&amp;DATE(2026,7,22),'DRAFT 2'!$A:$A,"&lt;"&amp;DATE(2026,IF(7=12,7+1,7+1),1))</f>
        <v/>
      </c>
      <c r="FY35">
        <f>SUM(FU35:FX35)</f>
        <v/>
      </c>
      <c r="GI35">
        <f>IFERROR(LOOKUP(2,1/('DRAFT 2'!$D:$D=$B35)*('DRAFT 2'!$A:$A&gt;=DATE(2026,8,1))*('DRAFT 2'!$A:$A&lt;DATE(2026,IF(8=12,8+1,8+1),1)),'DRAFT 2'!$A:$A),"")</f>
        <v/>
      </c>
      <c r="GJ35">
        <f>COUNTIFS('DRAFT 2'!$D:$D,$B35,'DRAFT 2'!$A:$A,"&gt;="&amp;DATE(2026,8,1),'DRAFT 2'!$A:$A,"&lt;="&amp;DATE(2026,8,7))</f>
        <v/>
      </c>
      <c r="GK35">
        <f>COUNTIFS('DRAFT 2'!$D:$D,$B35,'DRAFT 2'!$A:$A,"&gt;="&amp;DATE(2026,8,8),'DRAFT 2'!$A:$A,"&lt;="&amp;DATE(2026,8,14))</f>
        <v/>
      </c>
      <c r="GL35">
        <f>COUNTIFS('DRAFT 2'!$D:$D,$B35,'DRAFT 2'!$A:$A,"&gt;="&amp;DATE(2026,8,15),'DRAFT 2'!$A:$A,"&lt;="&amp;DATE(2026,8,21))</f>
        <v/>
      </c>
      <c r="GM35">
        <f>COUNTIFS('DRAFT 2'!$D:$D,$B35,'DRAFT 2'!$A:$A,"&gt;="&amp;DATE(2026,8,22),'DRAFT 2'!$A:$A,"&lt;"&amp;DATE(2026,IF(8=12,8+1,8+1),1))</f>
        <v/>
      </c>
      <c r="GN35">
        <f>SUM(GJ35:GM35)</f>
        <v/>
      </c>
      <c r="GX35">
        <f>IFERROR(LOOKUP(2,1/('DRAFT 2'!$D:$D=$B35)*('DRAFT 2'!$A:$A&gt;=DATE(2026,9,1))*('DRAFT 2'!$A:$A&lt;DATE(2026,IF(9=12,9+1,9+1),1)),'DRAFT 2'!$A:$A),"")</f>
        <v/>
      </c>
      <c r="GY35">
        <f>COUNTIFS('DRAFT 2'!$D:$D,$B35,'DRAFT 2'!$A:$A,"&gt;="&amp;DATE(2026,9,1),'DRAFT 2'!$A:$A,"&lt;="&amp;DATE(2026,9,7))</f>
        <v/>
      </c>
      <c r="GZ35">
        <f>COUNTIFS('DRAFT 2'!$D:$D,$B35,'DRAFT 2'!$A:$A,"&gt;="&amp;DATE(2026,9,8),'DRAFT 2'!$A:$A,"&lt;="&amp;DATE(2026,9,14))</f>
        <v/>
      </c>
      <c r="HA35">
        <f>COUNTIFS('DRAFT 2'!$D:$D,$B35,'DRAFT 2'!$A:$A,"&gt;="&amp;DATE(2026,9,15),'DRAFT 2'!$A:$A,"&lt;="&amp;DATE(2026,9,21))</f>
        <v/>
      </c>
      <c r="HB35">
        <f>COUNTIFS('DRAFT 2'!$D:$D,$B35,'DRAFT 2'!$A:$A,"&gt;="&amp;DATE(2026,9,22),'DRAFT 2'!$A:$A,"&lt;"&amp;DATE(2026,IF(9=12,9+1,9+1),1))</f>
        <v/>
      </c>
      <c r="HC35">
        <f>SUM(GY35:HB35)</f>
        <v/>
      </c>
      <c r="HN35">
        <f>IFERROR(LOOKUP(2,1/('DRAFT 2'!$D:$D=$B35)*('DRAFT 2'!$A:$A&gt;=DATE(2026,10,1))*('DRAFT 2'!$A:$A&lt;DATE(2026,IF(10=12,10+1,10+1),1)),'DRAFT 2'!$A:$A),"")</f>
        <v/>
      </c>
      <c r="HO35">
        <f>COUNTIFS('DRAFT 2'!$D:$D,$B35,'DRAFT 2'!$A:$A,"&gt;="&amp;DATE(2026,10,1),'DRAFT 2'!$A:$A,"&lt;="&amp;DATE(2026,10,7))</f>
        <v/>
      </c>
      <c r="HP35">
        <f>COUNTIFS('DRAFT 2'!$D:$D,$B35,'DRAFT 2'!$A:$A,"&gt;="&amp;DATE(2026,10,8),'DRAFT 2'!$A:$A,"&lt;="&amp;DATE(2026,10,14))</f>
        <v/>
      </c>
      <c r="HQ35">
        <f>COUNTIFS('DRAFT 2'!$D:$D,$B35,'DRAFT 2'!$A:$A,"&gt;="&amp;DATE(2026,10,15),'DRAFT 2'!$A:$A,"&lt;="&amp;DATE(2026,10,21))</f>
        <v/>
      </c>
      <c r="HR35">
        <f>COUNTIFS('DRAFT 2'!$D:$D,$B35,'DRAFT 2'!$A:$A,"&gt;="&amp;DATE(2026,10,22),'DRAFT 2'!$A:$A,"&lt;"&amp;DATE(2026,IF(10=12,10+1,10+1),1))</f>
        <v/>
      </c>
      <c r="HS35">
        <f>SUM(HO35:HR35)</f>
        <v/>
      </c>
      <c r="IC35">
        <f>IFERROR(LOOKUP(2,1/('DRAFT 2'!$D:$D=$B35)*('DRAFT 2'!$A:$A&gt;=DATE(2026,11,1))*('DRAFT 2'!$A:$A&lt;DATE(2026,IF(11=12,11+1,11+1),1)),'DRAFT 2'!$A:$A),"")</f>
        <v/>
      </c>
      <c r="ID35">
        <f>COUNTIFS('DRAFT 2'!$D:$D,$B35,'DRAFT 2'!$A:$A,"&gt;="&amp;DATE(2026,11,1),'DRAFT 2'!$A:$A,"&lt;="&amp;DATE(2026,11,7))</f>
        <v/>
      </c>
      <c r="IE35">
        <f>COUNTIFS('DRAFT 2'!$D:$D,$B35,'DRAFT 2'!$A:$A,"&gt;="&amp;DATE(2026,11,8),'DRAFT 2'!$A:$A,"&lt;="&amp;DATE(2026,11,14))</f>
        <v/>
      </c>
      <c r="IF35">
        <f>COUNTIFS('DRAFT 2'!$D:$D,$B35,'DRAFT 2'!$A:$A,"&gt;="&amp;DATE(2026,11,15),'DRAFT 2'!$A:$A,"&lt;="&amp;DATE(2026,11,21))</f>
        <v/>
      </c>
      <c r="IG35">
        <f>COUNTIFS('DRAFT 2'!$D:$D,$B35,'DRAFT 2'!$A:$A,"&gt;="&amp;DATE(2026,11,22),'DRAFT 2'!$A:$A,"&lt;"&amp;DATE(2026,IF(11=12,11+1,11+1),1))</f>
        <v/>
      </c>
      <c r="IH35">
        <f>SUM(ID35:IG35)</f>
        <v/>
      </c>
      <c r="IR35">
        <f>IFERROR(LOOKUP(2,1/('DRAFT 2'!$D:$D=$B35)*('DRAFT 2'!$A:$A&gt;=DATE(2026,12,1))*('DRAFT 2'!$A:$A&lt;DATE(2026,IF(12=12,12+1,12+1),1)),'DRAFT 2'!$A:$A),"")</f>
        <v/>
      </c>
      <c r="IS35">
        <f>COUNTIFS('DRAFT 2'!$D:$D,$B35,'DRAFT 2'!$A:$A,"&gt;="&amp;DATE(2026,12,1),'DRAFT 2'!$A:$A,"&lt;="&amp;DATE(2026,12,7))</f>
        <v/>
      </c>
      <c r="IT35">
        <f>COUNTIFS('DRAFT 2'!$D:$D,$B35,'DRAFT 2'!$A:$A,"&gt;="&amp;DATE(2026,12,8),'DRAFT 2'!$A:$A,"&lt;="&amp;DATE(2026,12,14))</f>
        <v/>
      </c>
      <c r="IU35">
        <f>COUNTIFS('DRAFT 2'!$D:$D,$B35,'DRAFT 2'!$A:$A,"&gt;="&amp;DATE(2026,12,15),'DRAFT 2'!$A:$A,"&lt;="&amp;DATE(2026,12,21))</f>
        <v/>
      </c>
      <c r="IV35">
        <f>COUNTIFS('DRAFT 2'!$D:$D,$B35,'DRAFT 2'!$A:$A,"&gt;="&amp;DATE(2026,12,22),'DRAFT 2'!$A:$A,"&lt;"&amp;DATE(2026,IF(12=12,12+1,12+1),1))</f>
        <v/>
      </c>
      <c r="IW35">
        <f>SUM(IS35:IV35)</f>
        <v/>
      </c>
    </row>
    <row r="36">
      <c r="A36">
        <f>IFERROR(INDEX('DRAFT 1'!$A:$A,MATCH($B36,'DRAFT 1'!$B:$B,0)),"")</f>
        <v/>
      </c>
      <c r="C36">
        <f>IFERROR(INDEX('DRAFT 1'!$C:$C,MATCH($B36,'DRAFT 1'!$B:$B,0)),"")</f>
        <v/>
      </c>
      <c r="D36">
        <f>IFERROR(INDEX('DRAFT 1'!$D:$D,MATCH($B36,'DRAFT 1'!$B:$B,0)),"")</f>
        <v/>
      </c>
      <c r="E36">
        <f>IFERROR(INDEX('DRAFT 1'!$E:$E,MATCH($B36,'DRAFT 1'!$B:$B,0)),"")</f>
        <v/>
      </c>
      <c r="F36">
        <f>IFERROR(INDEX('DRAFT 1'!$F:$F,MATCH($B36,'DRAFT 1'!$B:$B,0)),"")</f>
        <v/>
      </c>
      <c r="G36">
        <f>IFERROR(INDEX('DRAFT 1'!$G:$G,MATCH($B36,'DRAFT 1'!$B:$B,0)),"")</f>
        <v/>
      </c>
      <c r="H36">
        <f>IFERROR(INDEX('DRAFT 1'!$H:$H,MATCH($B36,'DRAFT 1'!$B:$B,0)),"")</f>
        <v/>
      </c>
      <c r="I36" t="inlineStr">
        <is>
          <t>CIA DA SAUDE</t>
        </is>
      </c>
      <c r="K36">
        <f>IFERROR(INDEX('DRAFT 1'!$AL:$AL,MATCH($B36,'DRAFT 1'!$B:$B,0)),"")</f>
        <v/>
      </c>
      <c r="L36">
        <f>IFERROR(INDEX('DRAFT 1'!$J:$J,MATCH($B36,'DRAFT 1'!$B:$B,0)),"")</f>
        <v/>
      </c>
      <c r="M36">
        <f>IFERROR(INDEX('DRAFT 1'!$K:$K,MATCH($B36,'DRAFT 1'!$B:$B,0)),"")</f>
        <v/>
      </c>
      <c r="N36" t="inlineStr">
        <is>
          <t>EM RISCO</t>
        </is>
      </c>
      <c r="P36">
        <f>IFERROR(INDEX('DRAFT 1'!$L:$L,MATCH($B36,'DRAFT 1'!$B:$B,0)),"")</f>
        <v/>
      </c>
      <c r="Q36">
        <f>IFERROR(INDEX('DRAFT 1'!$M:$M,MATCH($B36,'DRAFT 1'!$B:$B,0)),"")</f>
        <v/>
      </c>
      <c r="R36">
        <f>IFERROR(INDEX('DRAFT 1'!$N:$N,MATCH($B36,'DRAFT 1'!$B:$B,0)),"")</f>
        <v/>
      </c>
      <c r="S36">
        <f>IFERROR(INDEX('DRAFT 1'!$O:$O,MATCH($B36,'DRAFT 1'!$B:$B,0)),"")</f>
        <v/>
      </c>
      <c r="T36">
        <f>IFERROR(INDEX('DRAFT 1'!$P:$P,MATCH($B36,'DRAFT 1'!$B:$B,0)),"")</f>
        <v/>
      </c>
      <c r="U36">
        <f>IFERROR(INDEX('DRAFT 1'!$Q:$Q,MATCH($B36,'DRAFT 1'!$B:$B,0)),"")</f>
        <v/>
      </c>
      <c r="V36">
        <f>IFERROR(INDEX('DRAFT 1'!$R:$R,MATCH($B36,'DRAFT 1'!$B:$B,0)),"")</f>
        <v/>
      </c>
      <c r="W36">
        <f>IFERROR(INDEX('DRAFT 1'!$S:$S,MATCH($B36,'DRAFT 1'!$B:$B,0)),"")</f>
        <v/>
      </c>
      <c r="X36">
        <f>IFERROR(INDEX('DRAFT 1'!$T:$T,MATCH($B36,'DRAFT 1'!$B:$B,0)),"")</f>
        <v/>
      </c>
      <c r="Z36">
        <f>IFERROR(INDEX('DRAFT 1'!$U:$U,MATCH($B36,'DRAFT 1'!$B:$B,0)),"")</f>
        <v/>
      </c>
      <c r="AA36">
        <f>IFERROR(INDEX('DRAFT 1'!$V:$V,MATCH($B36,'DRAFT 1'!$B:$B,0)),"")</f>
        <v/>
      </c>
      <c r="AB36">
        <f>IFERROR(INDEX('DRAFT 1'!$W:$W,MATCH($B36,'DRAFT 1'!$B:$B,0)),"")</f>
        <v/>
      </c>
      <c r="AC36">
        <f>IFERROR(INDEX('DRAFT 1'!$X:$X,MATCH($B36,'DRAFT 1'!$B:$B,0)),"")</f>
        <v/>
      </c>
      <c r="AD36">
        <f>IFERROR(INDEX('DRAFT 1'!$Y:$Y,MATCH($B36,'DRAFT 1'!$B:$B,0)),"")</f>
        <v/>
      </c>
      <c r="AE36">
        <f>IFERROR(INDEX('DRAFT 1'!$Z:$Z,MATCH($B36,'DRAFT 1'!$B:$B,0)),"")</f>
        <v/>
      </c>
      <c r="AF36">
        <f>IFERROR(INDEX('DRAFT 1'!$AA:$AA,MATCH($B36,'DRAFT 1'!$B:$B,0)),"")</f>
        <v/>
      </c>
      <c r="AG36">
        <f>IFERROR(INDEX('DRAFT 1'!$AB:$AB,MATCH($B36,'DRAFT 1'!$B:$B,0)),"")</f>
        <v/>
      </c>
      <c r="AH36">
        <f>IFERROR(INDEX('DRAFT 1'!$AC:$AC,MATCH($B36,'DRAFT 1'!$B:$B,0)),"")</f>
        <v/>
      </c>
      <c r="AI36">
        <f>IFERROR(INDEX('DRAFT 1'!$AD:$AD,MATCH($B36,'DRAFT 1'!$B:$B,0)),"")</f>
        <v/>
      </c>
      <c r="AJ36">
        <f>IFERROR(INDEX('DRAFT 1'!$AE:$AE,MATCH($B36,'DRAFT 1'!$B:$B,0)),"")</f>
        <v/>
      </c>
      <c r="AK36">
        <f>IFERROR(INDEX('DRAFT 1'!$AG:$AG,MATCH($B36,'DRAFT 1'!$B:$B,0)),"")</f>
        <v/>
      </c>
      <c r="AL36">
        <f>IFERROR(INDEX('DRAFT 1'!$AH:$AH,MATCH($B36,'DRAFT 1'!$B:$B,0)),"")</f>
        <v/>
      </c>
      <c r="AM36">
        <f>IFERROR(INDEX('DRAFT 1'!$AI:$AI,MATCH($B36,'DRAFT 1'!$B:$B,0)),"")</f>
        <v/>
      </c>
      <c r="AN36">
        <f>IFERROR(INDEX('DRAFT 1'!$AJ:$AJ,MATCH($B36,'DRAFT 1'!$B:$B,0)),"")</f>
        <v/>
      </c>
      <c r="AO36">
        <f>IFERROR(Y36/AN36,0)</f>
        <v/>
      </c>
      <c r="AP36">
        <f>IFERROR(INDEX('DRAFT 1'!$AK:$AK,MATCH($B36,'DRAFT 1'!$B:$B,0)),"")</f>
        <v/>
      </c>
      <c r="AR36" t="inlineStr">
        <is>
          <t>CS</t>
        </is>
      </c>
      <c r="AS36">
        <f>IFERROR(LOOKUP(2,1/('DRAFT 2'!$D:$D=$B36),'DRAFT 2'!$T:$T),"")</f>
        <v/>
      </c>
      <c r="AT36">
        <f>IFERROR(LOOKUP(2,1/('DRAFT 2'!$D:$D=$B36),'DRAFT 2'!$A:$A),"")</f>
        <v/>
      </c>
      <c r="AU36">
        <f>IFERROR(LOOKUP(2,1/('DRAFT 2'!$D:$D=$B36),'DRAFT 2'!$R:$R),"")</f>
        <v/>
      </c>
      <c r="AV36">
        <f>IFERROR(LOOKUP(2,1/('DRAFT 2'!$D:$D=$B36),'DRAFT 2'!$S:$S),"")</f>
        <v/>
      </c>
      <c r="AW36" t="inlineStr">
        <is>
          <t>FIDELIZADO</t>
        </is>
      </c>
      <c r="AX36">
        <f>IFERROR(LOOKUP(2,1/('DRAFT 2'!$D:$D=$B36),'DRAFT 2'!$M:$M),"")</f>
        <v/>
      </c>
      <c r="AY36">
        <f>IFERROR(LOOKUP(2,1/('DRAFT 2'!$D:$D=$B36),'DRAFT 2'!$K:$K),"")</f>
        <v/>
      </c>
      <c r="BG36">
        <f>IFERROR(LOOKUP(2,1/('DRAFT 2'!$D:$D=$B36),'DRAFT 2'!$U:$U),"")</f>
        <v/>
      </c>
      <c r="BH36">
        <f>IFERROR(LOOKUP(2,1/('DRAFT 2'!$D:$D=$B36),'DRAFT 2'!$V:$V),"")</f>
        <v/>
      </c>
      <c r="CE36">
        <f>IFERROR(AJ36,0)</f>
        <v/>
      </c>
      <c r="CF36">
        <f>IFERROR(LOOKUP(2,1/('DRAFT 2'!$D:$D=$B36)*('DRAFT 2'!$A:$A&gt;=DATE(2026,1,1))*('DRAFT 2'!$A:$A&lt;DATE(2026,IF(1=12,1+1,1+1),1)),'DRAFT 2'!$A:$A),"")</f>
        <v/>
      </c>
      <c r="CG36">
        <f>COUNTIFS('DRAFT 2'!$D:$D,$B36,'DRAFT 2'!$A:$A,"&gt;="&amp;DATE(2026,1,1),'DRAFT 2'!$A:$A,"&lt;="&amp;DATE(2026,1,7))</f>
        <v/>
      </c>
      <c r="CH36">
        <f>COUNTIFS('DRAFT 2'!$D:$D,$B36,'DRAFT 2'!$A:$A,"&gt;="&amp;DATE(2026,1,8),'DRAFT 2'!$A:$A,"&lt;="&amp;DATE(2026,1,14))</f>
        <v/>
      </c>
      <c r="CI36">
        <f>COUNTIFS('DRAFT 2'!$D:$D,$B36,'DRAFT 2'!$A:$A,"&gt;="&amp;DATE(2026,1,15),'DRAFT 2'!$A:$A,"&lt;="&amp;DATE(2026,1,21))</f>
        <v/>
      </c>
      <c r="CJ36">
        <f>COUNTIFS('DRAFT 2'!$D:$D,$B36,'DRAFT 2'!$A:$A,"&gt;="&amp;DATE(2026,1,22),'DRAFT 2'!$A:$A,"&lt;"&amp;DATE(2026,IF(1=12,1+1,1+1),1))</f>
        <v/>
      </c>
      <c r="CK36">
        <f>SUM(CG36:CJ36)</f>
        <v/>
      </c>
      <c r="CT36" t="n">
        <v>0</v>
      </c>
      <c r="CU36">
        <f>IFERROR(LOOKUP(2,1/('DRAFT 2'!$D:$D=$B36)*('DRAFT 2'!$A:$A&gt;=DATE(2026,2,1))*('DRAFT 2'!$A:$A&lt;DATE(2026,IF(2=12,2+1,2+1),1)),'DRAFT 2'!$A:$A),"")</f>
        <v/>
      </c>
      <c r="CV36">
        <f>COUNTIFS('DRAFT 2'!$D:$D,$B36,'DRAFT 2'!$A:$A,"&gt;="&amp;DATE(2026,2,1),'DRAFT 2'!$A:$A,"&lt;="&amp;DATE(2026,2,7))</f>
        <v/>
      </c>
      <c r="CW36">
        <f>COUNTIFS('DRAFT 2'!$D:$D,$B36,'DRAFT 2'!$A:$A,"&gt;="&amp;DATE(2026,2,8),'DRAFT 2'!$A:$A,"&lt;="&amp;DATE(2026,2,14))</f>
        <v/>
      </c>
      <c r="CX36">
        <f>COUNTIFS('DRAFT 2'!$D:$D,$B36,'DRAFT 2'!$A:$A,"&gt;="&amp;DATE(2026,2,15),'DRAFT 2'!$A:$A,"&lt;="&amp;DATE(2026,2,21))</f>
        <v/>
      </c>
      <c r="CY36">
        <f>COUNTIFS('DRAFT 2'!$D:$D,$B36,'DRAFT 2'!$A:$A,"&gt;="&amp;DATE(2026,2,22),'DRAFT 2'!$A:$A,"&lt;"&amp;DATE(2026,IF(2=12,2+1,2+1),1))</f>
        <v/>
      </c>
      <c r="CZ36">
        <f>SUM(CV36:CY36)</f>
        <v/>
      </c>
      <c r="DJ36">
        <f>IFERROR(LOOKUP(2,1/('DRAFT 2'!$D:$D=$B36)*('DRAFT 2'!$A:$A&gt;=DATE(2026,3,1))*('DRAFT 2'!$A:$A&lt;DATE(2026,IF(3=12,3+1,3+1),1)),'DRAFT 2'!$A:$A),"")</f>
        <v/>
      </c>
      <c r="DK36">
        <f>COUNTIFS('DRAFT 2'!$D:$D,$B36,'DRAFT 2'!$A:$A,"&gt;="&amp;DATE(2026,3,1),'DRAFT 2'!$A:$A,"&lt;="&amp;DATE(2026,3,7))</f>
        <v/>
      </c>
      <c r="DL36">
        <f>COUNTIFS('DRAFT 2'!$D:$D,$B36,'DRAFT 2'!$A:$A,"&gt;="&amp;DATE(2026,3,8),'DRAFT 2'!$A:$A,"&lt;="&amp;DATE(2026,3,14))</f>
        <v/>
      </c>
      <c r="DM36">
        <f>COUNTIFS('DRAFT 2'!$D:$D,$B36,'DRAFT 2'!$A:$A,"&gt;="&amp;DATE(2026,3,15),'DRAFT 2'!$A:$A,"&lt;="&amp;DATE(2026,3,21))</f>
        <v/>
      </c>
      <c r="DN36">
        <f>COUNTIFS('DRAFT 2'!$D:$D,$B36,'DRAFT 2'!$A:$A,"&gt;="&amp;DATE(2026,3,22),'DRAFT 2'!$A:$A,"&lt;"&amp;DATE(2026,IF(3=12,3+1,3+1),1))</f>
        <v/>
      </c>
      <c r="DO36">
        <f>SUM(DK36:DN36)</f>
        <v/>
      </c>
      <c r="DZ36">
        <f>IFERROR(LOOKUP(2,1/('DRAFT 2'!$D:$D=$B36)*('DRAFT 2'!$A:$A&gt;=DATE(2026,4,1))*('DRAFT 2'!$A:$A&lt;DATE(2026,IF(4=12,4+1,4+1),1)),'DRAFT 2'!$A:$A),"")</f>
        <v/>
      </c>
      <c r="EA36">
        <f>COUNTIFS('DRAFT 2'!$D:$D,$B36,'DRAFT 2'!$A:$A,"&gt;="&amp;DATE(2026,4,1),'DRAFT 2'!$A:$A,"&lt;="&amp;DATE(2026,4,7))</f>
        <v/>
      </c>
      <c r="EB36">
        <f>COUNTIFS('DRAFT 2'!$D:$D,$B36,'DRAFT 2'!$A:$A,"&gt;="&amp;DATE(2026,4,8),'DRAFT 2'!$A:$A,"&lt;="&amp;DATE(2026,4,14))</f>
        <v/>
      </c>
      <c r="EC36">
        <f>COUNTIFS('DRAFT 2'!$D:$D,$B36,'DRAFT 2'!$A:$A,"&gt;="&amp;DATE(2026,4,15),'DRAFT 2'!$A:$A,"&lt;="&amp;DATE(2026,4,21))</f>
        <v/>
      </c>
      <c r="ED36">
        <f>COUNTIFS('DRAFT 2'!$D:$D,$B36,'DRAFT 2'!$A:$A,"&gt;="&amp;DATE(2026,4,22),'DRAFT 2'!$A:$A,"&lt;"&amp;DATE(2026,IF(4=12,4+1,4+1),1))</f>
        <v/>
      </c>
      <c r="EE36">
        <f>SUM(EA36:ED36)</f>
        <v/>
      </c>
      <c r="EO36">
        <f>IFERROR(LOOKUP(2,1/('DRAFT 2'!$D:$D=$B36)*('DRAFT 2'!$A:$A&gt;=DATE(2026,5,1))*('DRAFT 2'!$A:$A&lt;DATE(2026,IF(5=12,5+1,5+1),1)),'DRAFT 2'!$A:$A),"")</f>
        <v/>
      </c>
      <c r="EP36">
        <f>COUNTIFS('DRAFT 2'!$D:$D,$B36,'DRAFT 2'!$A:$A,"&gt;="&amp;DATE(2026,5,1),'DRAFT 2'!$A:$A,"&lt;="&amp;DATE(2026,5,7))</f>
        <v/>
      </c>
      <c r="EQ36">
        <f>COUNTIFS('DRAFT 2'!$D:$D,$B36,'DRAFT 2'!$A:$A,"&gt;="&amp;DATE(2026,5,8),'DRAFT 2'!$A:$A,"&lt;="&amp;DATE(2026,5,14))</f>
        <v/>
      </c>
      <c r="ER36">
        <f>COUNTIFS('DRAFT 2'!$D:$D,$B36,'DRAFT 2'!$A:$A,"&gt;="&amp;DATE(2026,5,15),'DRAFT 2'!$A:$A,"&lt;="&amp;DATE(2026,5,21))</f>
        <v/>
      </c>
      <c r="ES36">
        <f>COUNTIFS('DRAFT 2'!$D:$D,$B36,'DRAFT 2'!$A:$A,"&gt;="&amp;DATE(2026,5,22),'DRAFT 2'!$A:$A,"&lt;"&amp;DATE(2026,IF(5=12,5+1,5+1),1))</f>
        <v/>
      </c>
      <c r="ET36">
        <f>SUM(EP36:ES36)</f>
        <v/>
      </c>
      <c r="FD36">
        <f>IFERROR(LOOKUP(2,1/('DRAFT 2'!$D:$D=$B36)*('DRAFT 2'!$A:$A&gt;=DATE(2026,6,1))*('DRAFT 2'!$A:$A&lt;DATE(2026,IF(6=12,6+1,6+1),1)),'DRAFT 2'!$A:$A),"")</f>
        <v/>
      </c>
      <c r="FE36">
        <f>COUNTIFS('DRAFT 2'!$D:$D,$B36,'DRAFT 2'!$A:$A,"&gt;="&amp;DATE(2026,6,1),'DRAFT 2'!$A:$A,"&lt;="&amp;DATE(2026,6,7))</f>
        <v/>
      </c>
      <c r="FF36">
        <f>COUNTIFS('DRAFT 2'!$D:$D,$B36,'DRAFT 2'!$A:$A,"&gt;="&amp;DATE(2026,6,8),'DRAFT 2'!$A:$A,"&lt;="&amp;DATE(2026,6,14))</f>
        <v/>
      </c>
      <c r="FG36">
        <f>COUNTIFS('DRAFT 2'!$D:$D,$B36,'DRAFT 2'!$A:$A,"&gt;="&amp;DATE(2026,6,15),'DRAFT 2'!$A:$A,"&lt;="&amp;DATE(2026,6,21))</f>
        <v/>
      </c>
      <c r="FH36">
        <f>COUNTIFS('DRAFT 2'!$D:$D,$B36,'DRAFT 2'!$A:$A,"&gt;="&amp;DATE(2026,6,22),'DRAFT 2'!$A:$A,"&lt;"&amp;DATE(2026,IF(6=12,6+1,6+1),1))</f>
        <v/>
      </c>
      <c r="FI36">
        <f>SUM(FE36:FH36)</f>
        <v/>
      </c>
      <c r="FT36">
        <f>IFERROR(LOOKUP(2,1/('DRAFT 2'!$D:$D=$B36)*('DRAFT 2'!$A:$A&gt;=DATE(2026,7,1))*('DRAFT 2'!$A:$A&lt;DATE(2026,IF(7=12,7+1,7+1),1)),'DRAFT 2'!$A:$A),"")</f>
        <v/>
      </c>
      <c r="FU36">
        <f>COUNTIFS('DRAFT 2'!$D:$D,$B36,'DRAFT 2'!$A:$A,"&gt;="&amp;DATE(2026,7,1),'DRAFT 2'!$A:$A,"&lt;="&amp;DATE(2026,7,7))</f>
        <v/>
      </c>
      <c r="FV36">
        <f>COUNTIFS('DRAFT 2'!$D:$D,$B36,'DRAFT 2'!$A:$A,"&gt;="&amp;DATE(2026,7,8),'DRAFT 2'!$A:$A,"&lt;="&amp;DATE(2026,7,14))</f>
        <v/>
      </c>
      <c r="FW36">
        <f>COUNTIFS('DRAFT 2'!$D:$D,$B36,'DRAFT 2'!$A:$A,"&gt;="&amp;DATE(2026,7,15),'DRAFT 2'!$A:$A,"&lt;="&amp;DATE(2026,7,21))</f>
        <v/>
      </c>
      <c r="FX36">
        <f>COUNTIFS('DRAFT 2'!$D:$D,$B36,'DRAFT 2'!$A:$A,"&gt;="&amp;DATE(2026,7,22),'DRAFT 2'!$A:$A,"&lt;"&amp;DATE(2026,IF(7=12,7+1,7+1),1))</f>
        <v/>
      </c>
      <c r="FY36">
        <f>SUM(FU36:FX36)</f>
        <v/>
      </c>
      <c r="GI36">
        <f>IFERROR(LOOKUP(2,1/('DRAFT 2'!$D:$D=$B36)*('DRAFT 2'!$A:$A&gt;=DATE(2026,8,1))*('DRAFT 2'!$A:$A&lt;DATE(2026,IF(8=12,8+1,8+1),1)),'DRAFT 2'!$A:$A),"")</f>
        <v/>
      </c>
      <c r="GJ36">
        <f>COUNTIFS('DRAFT 2'!$D:$D,$B36,'DRAFT 2'!$A:$A,"&gt;="&amp;DATE(2026,8,1),'DRAFT 2'!$A:$A,"&lt;="&amp;DATE(2026,8,7))</f>
        <v/>
      </c>
      <c r="GK36">
        <f>COUNTIFS('DRAFT 2'!$D:$D,$B36,'DRAFT 2'!$A:$A,"&gt;="&amp;DATE(2026,8,8),'DRAFT 2'!$A:$A,"&lt;="&amp;DATE(2026,8,14))</f>
        <v/>
      </c>
      <c r="GL36">
        <f>COUNTIFS('DRAFT 2'!$D:$D,$B36,'DRAFT 2'!$A:$A,"&gt;="&amp;DATE(2026,8,15),'DRAFT 2'!$A:$A,"&lt;="&amp;DATE(2026,8,21))</f>
        <v/>
      </c>
      <c r="GM36">
        <f>COUNTIFS('DRAFT 2'!$D:$D,$B36,'DRAFT 2'!$A:$A,"&gt;="&amp;DATE(2026,8,22),'DRAFT 2'!$A:$A,"&lt;"&amp;DATE(2026,IF(8=12,8+1,8+1),1))</f>
        <v/>
      </c>
      <c r="GN36">
        <f>SUM(GJ36:GM36)</f>
        <v/>
      </c>
      <c r="GX36">
        <f>IFERROR(LOOKUP(2,1/('DRAFT 2'!$D:$D=$B36)*('DRAFT 2'!$A:$A&gt;=DATE(2026,9,1))*('DRAFT 2'!$A:$A&lt;DATE(2026,IF(9=12,9+1,9+1),1)),'DRAFT 2'!$A:$A),"")</f>
        <v/>
      </c>
      <c r="GY36">
        <f>COUNTIFS('DRAFT 2'!$D:$D,$B36,'DRAFT 2'!$A:$A,"&gt;="&amp;DATE(2026,9,1),'DRAFT 2'!$A:$A,"&lt;="&amp;DATE(2026,9,7))</f>
        <v/>
      </c>
      <c r="GZ36">
        <f>COUNTIFS('DRAFT 2'!$D:$D,$B36,'DRAFT 2'!$A:$A,"&gt;="&amp;DATE(2026,9,8),'DRAFT 2'!$A:$A,"&lt;="&amp;DATE(2026,9,14))</f>
        <v/>
      </c>
      <c r="HA36">
        <f>COUNTIFS('DRAFT 2'!$D:$D,$B36,'DRAFT 2'!$A:$A,"&gt;="&amp;DATE(2026,9,15),'DRAFT 2'!$A:$A,"&lt;="&amp;DATE(2026,9,21))</f>
        <v/>
      </c>
      <c r="HB36">
        <f>COUNTIFS('DRAFT 2'!$D:$D,$B36,'DRAFT 2'!$A:$A,"&gt;="&amp;DATE(2026,9,22),'DRAFT 2'!$A:$A,"&lt;"&amp;DATE(2026,IF(9=12,9+1,9+1),1))</f>
        <v/>
      </c>
      <c r="HC36">
        <f>SUM(GY36:HB36)</f>
        <v/>
      </c>
      <c r="HN36">
        <f>IFERROR(LOOKUP(2,1/('DRAFT 2'!$D:$D=$B36)*('DRAFT 2'!$A:$A&gt;=DATE(2026,10,1))*('DRAFT 2'!$A:$A&lt;DATE(2026,IF(10=12,10+1,10+1),1)),'DRAFT 2'!$A:$A),"")</f>
        <v/>
      </c>
      <c r="HO36">
        <f>COUNTIFS('DRAFT 2'!$D:$D,$B36,'DRAFT 2'!$A:$A,"&gt;="&amp;DATE(2026,10,1),'DRAFT 2'!$A:$A,"&lt;="&amp;DATE(2026,10,7))</f>
        <v/>
      </c>
      <c r="HP36">
        <f>COUNTIFS('DRAFT 2'!$D:$D,$B36,'DRAFT 2'!$A:$A,"&gt;="&amp;DATE(2026,10,8),'DRAFT 2'!$A:$A,"&lt;="&amp;DATE(2026,10,14))</f>
        <v/>
      </c>
      <c r="HQ36">
        <f>COUNTIFS('DRAFT 2'!$D:$D,$B36,'DRAFT 2'!$A:$A,"&gt;="&amp;DATE(2026,10,15),'DRAFT 2'!$A:$A,"&lt;="&amp;DATE(2026,10,21))</f>
        <v/>
      </c>
      <c r="HR36">
        <f>COUNTIFS('DRAFT 2'!$D:$D,$B36,'DRAFT 2'!$A:$A,"&gt;="&amp;DATE(2026,10,22),'DRAFT 2'!$A:$A,"&lt;"&amp;DATE(2026,IF(10=12,10+1,10+1),1))</f>
        <v/>
      </c>
      <c r="HS36">
        <f>SUM(HO36:HR36)</f>
        <v/>
      </c>
      <c r="IC36">
        <f>IFERROR(LOOKUP(2,1/('DRAFT 2'!$D:$D=$B36)*('DRAFT 2'!$A:$A&gt;=DATE(2026,11,1))*('DRAFT 2'!$A:$A&lt;DATE(2026,IF(11=12,11+1,11+1),1)),'DRAFT 2'!$A:$A),"")</f>
        <v/>
      </c>
      <c r="ID36">
        <f>COUNTIFS('DRAFT 2'!$D:$D,$B36,'DRAFT 2'!$A:$A,"&gt;="&amp;DATE(2026,11,1),'DRAFT 2'!$A:$A,"&lt;="&amp;DATE(2026,11,7))</f>
        <v/>
      </c>
      <c r="IE36">
        <f>COUNTIFS('DRAFT 2'!$D:$D,$B36,'DRAFT 2'!$A:$A,"&gt;="&amp;DATE(2026,11,8),'DRAFT 2'!$A:$A,"&lt;="&amp;DATE(2026,11,14))</f>
        <v/>
      </c>
      <c r="IF36">
        <f>COUNTIFS('DRAFT 2'!$D:$D,$B36,'DRAFT 2'!$A:$A,"&gt;="&amp;DATE(2026,11,15),'DRAFT 2'!$A:$A,"&lt;="&amp;DATE(2026,11,21))</f>
        <v/>
      </c>
      <c r="IG36">
        <f>COUNTIFS('DRAFT 2'!$D:$D,$B36,'DRAFT 2'!$A:$A,"&gt;="&amp;DATE(2026,11,22),'DRAFT 2'!$A:$A,"&lt;"&amp;DATE(2026,IF(11=12,11+1,11+1),1))</f>
        <v/>
      </c>
      <c r="IH36">
        <f>SUM(ID36:IG36)</f>
        <v/>
      </c>
      <c r="IR36">
        <f>IFERROR(LOOKUP(2,1/('DRAFT 2'!$D:$D=$B36)*('DRAFT 2'!$A:$A&gt;=DATE(2026,12,1))*('DRAFT 2'!$A:$A&lt;DATE(2026,IF(12=12,12+1,12+1),1)),'DRAFT 2'!$A:$A),"")</f>
        <v/>
      </c>
      <c r="IS36">
        <f>COUNTIFS('DRAFT 2'!$D:$D,$B36,'DRAFT 2'!$A:$A,"&gt;="&amp;DATE(2026,12,1),'DRAFT 2'!$A:$A,"&lt;="&amp;DATE(2026,12,7))</f>
        <v/>
      </c>
      <c r="IT36">
        <f>COUNTIFS('DRAFT 2'!$D:$D,$B36,'DRAFT 2'!$A:$A,"&gt;="&amp;DATE(2026,12,8),'DRAFT 2'!$A:$A,"&lt;="&amp;DATE(2026,12,14))</f>
        <v/>
      </c>
      <c r="IU36">
        <f>COUNTIFS('DRAFT 2'!$D:$D,$B36,'DRAFT 2'!$A:$A,"&gt;="&amp;DATE(2026,12,15),'DRAFT 2'!$A:$A,"&lt;="&amp;DATE(2026,12,21))</f>
        <v/>
      </c>
      <c r="IV36">
        <f>COUNTIFS('DRAFT 2'!$D:$D,$B36,'DRAFT 2'!$A:$A,"&gt;="&amp;DATE(2026,12,22),'DRAFT 2'!$A:$A,"&lt;"&amp;DATE(2026,IF(12=12,12+1,12+1),1))</f>
        <v/>
      </c>
      <c r="IW36">
        <f>SUM(IS36:IV36)</f>
        <v/>
      </c>
    </row>
    <row r="37">
      <c r="A37">
        <f>IFERROR(INDEX('DRAFT 1'!$A:$A,MATCH($B37,'DRAFT 1'!$B:$B,0)),"")</f>
        <v/>
      </c>
      <c r="C37">
        <f>IFERROR(INDEX('DRAFT 1'!$C:$C,MATCH($B37,'DRAFT 1'!$B:$B,0)),"")</f>
        <v/>
      </c>
      <c r="D37">
        <f>IFERROR(INDEX('DRAFT 1'!$D:$D,MATCH($B37,'DRAFT 1'!$B:$B,0)),"")</f>
        <v/>
      </c>
      <c r="E37">
        <f>IFERROR(INDEX('DRAFT 1'!$E:$E,MATCH($B37,'DRAFT 1'!$B:$B,0)),"")</f>
        <v/>
      </c>
      <c r="F37">
        <f>IFERROR(INDEX('DRAFT 1'!$F:$F,MATCH($B37,'DRAFT 1'!$B:$B,0)),"")</f>
        <v/>
      </c>
      <c r="G37">
        <f>IFERROR(INDEX('DRAFT 1'!$G:$G,MATCH($B37,'DRAFT 1'!$B:$B,0)),"")</f>
        <v/>
      </c>
      <c r="H37">
        <f>IFERROR(INDEX('DRAFT 1'!$H:$H,MATCH($B37,'DRAFT 1'!$B:$B,0)),"")</f>
        <v/>
      </c>
      <c r="I37" t="inlineStr">
        <is>
          <t>MUNDO VERDE</t>
        </is>
      </c>
      <c r="K37">
        <f>IFERROR(INDEX('DRAFT 1'!$AL:$AL,MATCH($B37,'DRAFT 1'!$B:$B,0)),"")</f>
        <v/>
      </c>
      <c r="L37">
        <f>IFERROR(INDEX('DRAFT 1'!$J:$J,MATCH($B37,'DRAFT 1'!$B:$B,0)),"")</f>
        <v/>
      </c>
      <c r="M37">
        <f>IFERROR(INDEX('DRAFT 1'!$K:$K,MATCH($B37,'DRAFT 1'!$B:$B,0)),"")</f>
        <v/>
      </c>
      <c r="N37" t="inlineStr">
        <is>
          <t>NOVO</t>
        </is>
      </c>
      <c r="P37">
        <f>IFERROR(INDEX('DRAFT 1'!$L:$L,MATCH($B37,'DRAFT 1'!$B:$B,0)),"")</f>
        <v/>
      </c>
      <c r="Q37">
        <f>IFERROR(INDEX('DRAFT 1'!$M:$M,MATCH($B37,'DRAFT 1'!$B:$B,0)),"")</f>
        <v/>
      </c>
      <c r="R37">
        <f>IFERROR(INDEX('DRAFT 1'!$N:$N,MATCH($B37,'DRAFT 1'!$B:$B,0)),"")</f>
        <v/>
      </c>
      <c r="S37">
        <f>IFERROR(INDEX('DRAFT 1'!$O:$O,MATCH($B37,'DRAFT 1'!$B:$B,0)),"")</f>
        <v/>
      </c>
      <c r="T37">
        <f>IFERROR(INDEX('DRAFT 1'!$P:$P,MATCH($B37,'DRAFT 1'!$B:$B,0)),"")</f>
        <v/>
      </c>
      <c r="U37">
        <f>IFERROR(INDEX('DRAFT 1'!$Q:$Q,MATCH($B37,'DRAFT 1'!$B:$B,0)),"")</f>
        <v/>
      </c>
      <c r="V37">
        <f>IFERROR(INDEX('DRAFT 1'!$R:$R,MATCH($B37,'DRAFT 1'!$B:$B,0)),"")</f>
        <v/>
      </c>
      <c r="W37">
        <f>IFERROR(INDEX('DRAFT 1'!$S:$S,MATCH($B37,'DRAFT 1'!$B:$B,0)),"")</f>
        <v/>
      </c>
      <c r="X37">
        <f>IFERROR(INDEX('DRAFT 1'!$T:$T,MATCH($B37,'DRAFT 1'!$B:$B,0)),"")</f>
        <v/>
      </c>
      <c r="Z37">
        <f>IFERROR(INDEX('DRAFT 1'!$U:$U,MATCH($B37,'DRAFT 1'!$B:$B,0)),"")</f>
        <v/>
      </c>
      <c r="AA37">
        <f>IFERROR(INDEX('DRAFT 1'!$V:$V,MATCH($B37,'DRAFT 1'!$B:$B,0)),"")</f>
        <v/>
      </c>
      <c r="AB37">
        <f>IFERROR(INDEX('DRAFT 1'!$W:$W,MATCH($B37,'DRAFT 1'!$B:$B,0)),"")</f>
        <v/>
      </c>
      <c r="AC37">
        <f>IFERROR(INDEX('DRAFT 1'!$X:$X,MATCH($B37,'DRAFT 1'!$B:$B,0)),"")</f>
        <v/>
      </c>
      <c r="AD37">
        <f>IFERROR(INDEX('DRAFT 1'!$Y:$Y,MATCH($B37,'DRAFT 1'!$B:$B,0)),"")</f>
        <v/>
      </c>
      <c r="AE37">
        <f>IFERROR(INDEX('DRAFT 1'!$Z:$Z,MATCH($B37,'DRAFT 1'!$B:$B,0)),"")</f>
        <v/>
      </c>
      <c r="AF37">
        <f>IFERROR(INDEX('DRAFT 1'!$AA:$AA,MATCH($B37,'DRAFT 1'!$B:$B,0)),"")</f>
        <v/>
      </c>
      <c r="AG37">
        <f>IFERROR(INDEX('DRAFT 1'!$AB:$AB,MATCH($B37,'DRAFT 1'!$B:$B,0)),"")</f>
        <v/>
      </c>
      <c r="AH37">
        <f>IFERROR(INDEX('DRAFT 1'!$AC:$AC,MATCH($B37,'DRAFT 1'!$B:$B,0)),"")</f>
        <v/>
      </c>
      <c r="AI37">
        <f>IFERROR(INDEX('DRAFT 1'!$AD:$AD,MATCH($B37,'DRAFT 1'!$B:$B,0)),"")</f>
        <v/>
      </c>
      <c r="AJ37">
        <f>IFERROR(INDEX('DRAFT 1'!$AE:$AE,MATCH($B37,'DRAFT 1'!$B:$B,0)),"")</f>
        <v/>
      </c>
      <c r="AK37">
        <f>IFERROR(INDEX('DRAFT 1'!$AG:$AG,MATCH($B37,'DRAFT 1'!$B:$B,0)),"")</f>
        <v/>
      </c>
      <c r="AL37">
        <f>IFERROR(INDEX('DRAFT 1'!$AH:$AH,MATCH($B37,'DRAFT 1'!$B:$B,0)),"")</f>
        <v/>
      </c>
      <c r="AM37">
        <f>IFERROR(INDEX('DRAFT 1'!$AI:$AI,MATCH($B37,'DRAFT 1'!$B:$B,0)),"")</f>
        <v/>
      </c>
      <c r="AN37">
        <f>IFERROR(INDEX('DRAFT 1'!$AJ:$AJ,MATCH($B37,'DRAFT 1'!$B:$B,0)),"")</f>
        <v/>
      </c>
      <c r="AO37">
        <f>IFERROR(Y37/AN37,0)</f>
        <v/>
      </c>
      <c r="AP37">
        <f>IFERROR(INDEX('DRAFT 1'!$AK:$AK,MATCH($B37,'DRAFT 1'!$B:$B,0)),"")</f>
        <v/>
      </c>
      <c r="AR37" t="inlineStr">
        <is>
          <t>RECOMPRA</t>
        </is>
      </c>
      <c r="AS37">
        <f>IFERROR(LOOKUP(2,1/('DRAFT 2'!$D:$D=$B37),'DRAFT 2'!$T:$T),"")</f>
        <v/>
      </c>
      <c r="AT37">
        <f>IFERROR(LOOKUP(2,1/('DRAFT 2'!$D:$D=$B37),'DRAFT 2'!$A:$A),"")</f>
        <v/>
      </c>
      <c r="AU37">
        <f>IFERROR(LOOKUP(2,1/('DRAFT 2'!$D:$D=$B37),'DRAFT 2'!$R:$R),"")</f>
        <v/>
      </c>
      <c r="AV37">
        <f>IFERROR(LOOKUP(2,1/('DRAFT 2'!$D:$D=$B37),'DRAFT 2'!$S:$S),"")</f>
        <v/>
      </c>
      <c r="AW37" t="inlineStr">
        <is>
          <t>LEAD</t>
        </is>
      </c>
      <c r="AX37">
        <f>IFERROR(LOOKUP(2,1/('DRAFT 2'!$D:$D=$B37),'DRAFT 2'!$M:$M),"")</f>
        <v/>
      </c>
      <c r="AY37">
        <f>IFERROR(LOOKUP(2,1/('DRAFT 2'!$D:$D=$B37),'DRAFT 2'!$K:$K),"")</f>
        <v/>
      </c>
      <c r="BG37">
        <f>IFERROR(LOOKUP(2,1/('DRAFT 2'!$D:$D=$B37),'DRAFT 2'!$U:$U),"")</f>
        <v/>
      </c>
      <c r="BH37">
        <f>IFERROR(LOOKUP(2,1/('DRAFT 2'!$D:$D=$B37),'DRAFT 2'!$V:$V),"")</f>
        <v/>
      </c>
      <c r="CE37">
        <f>IFERROR(AJ37,0)</f>
        <v/>
      </c>
      <c r="CF37">
        <f>IFERROR(LOOKUP(2,1/('DRAFT 2'!$D:$D=$B37)*('DRAFT 2'!$A:$A&gt;=DATE(2026,1,1))*('DRAFT 2'!$A:$A&lt;DATE(2026,IF(1=12,1+1,1+1),1)),'DRAFT 2'!$A:$A),"")</f>
        <v/>
      </c>
      <c r="CG37">
        <f>COUNTIFS('DRAFT 2'!$D:$D,$B37,'DRAFT 2'!$A:$A,"&gt;="&amp;DATE(2026,1,1),'DRAFT 2'!$A:$A,"&lt;="&amp;DATE(2026,1,7))</f>
        <v/>
      </c>
      <c r="CH37">
        <f>COUNTIFS('DRAFT 2'!$D:$D,$B37,'DRAFT 2'!$A:$A,"&gt;="&amp;DATE(2026,1,8),'DRAFT 2'!$A:$A,"&lt;="&amp;DATE(2026,1,14))</f>
        <v/>
      </c>
      <c r="CI37">
        <f>COUNTIFS('DRAFT 2'!$D:$D,$B37,'DRAFT 2'!$A:$A,"&gt;="&amp;DATE(2026,1,15),'DRAFT 2'!$A:$A,"&lt;="&amp;DATE(2026,1,21))</f>
        <v/>
      </c>
      <c r="CJ37">
        <f>COUNTIFS('DRAFT 2'!$D:$D,$B37,'DRAFT 2'!$A:$A,"&gt;="&amp;DATE(2026,1,22),'DRAFT 2'!$A:$A,"&lt;"&amp;DATE(2026,IF(1=12,1+1,1+1),1))</f>
        <v/>
      </c>
      <c r="CK37">
        <f>SUM(CG37:CJ37)</f>
        <v/>
      </c>
      <c r="CT37" t="n">
        <v>0</v>
      </c>
      <c r="CU37">
        <f>IFERROR(LOOKUP(2,1/('DRAFT 2'!$D:$D=$B37)*('DRAFT 2'!$A:$A&gt;=DATE(2026,2,1))*('DRAFT 2'!$A:$A&lt;DATE(2026,IF(2=12,2+1,2+1),1)),'DRAFT 2'!$A:$A),"")</f>
        <v/>
      </c>
      <c r="CV37">
        <f>COUNTIFS('DRAFT 2'!$D:$D,$B37,'DRAFT 2'!$A:$A,"&gt;="&amp;DATE(2026,2,1),'DRAFT 2'!$A:$A,"&lt;="&amp;DATE(2026,2,7))</f>
        <v/>
      </c>
      <c r="CW37">
        <f>COUNTIFS('DRAFT 2'!$D:$D,$B37,'DRAFT 2'!$A:$A,"&gt;="&amp;DATE(2026,2,8),'DRAFT 2'!$A:$A,"&lt;="&amp;DATE(2026,2,14))</f>
        <v/>
      </c>
      <c r="CX37">
        <f>COUNTIFS('DRAFT 2'!$D:$D,$B37,'DRAFT 2'!$A:$A,"&gt;="&amp;DATE(2026,2,15),'DRAFT 2'!$A:$A,"&lt;="&amp;DATE(2026,2,21))</f>
        <v/>
      </c>
      <c r="CY37">
        <f>COUNTIFS('DRAFT 2'!$D:$D,$B37,'DRAFT 2'!$A:$A,"&gt;="&amp;DATE(2026,2,22),'DRAFT 2'!$A:$A,"&lt;"&amp;DATE(2026,IF(2=12,2+1,2+1),1))</f>
        <v/>
      </c>
      <c r="CZ37">
        <f>SUM(CV37:CY37)</f>
        <v/>
      </c>
      <c r="DJ37">
        <f>IFERROR(LOOKUP(2,1/('DRAFT 2'!$D:$D=$B37)*('DRAFT 2'!$A:$A&gt;=DATE(2026,3,1))*('DRAFT 2'!$A:$A&lt;DATE(2026,IF(3=12,3+1,3+1),1)),'DRAFT 2'!$A:$A),"")</f>
        <v/>
      </c>
      <c r="DK37">
        <f>COUNTIFS('DRAFT 2'!$D:$D,$B37,'DRAFT 2'!$A:$A,"&gt;="&amp;DATE(2026,3,1),'DRAFT 2'!$A:$A,"&lt;="&amp;DATE(2026,3,7))</f>
        <v/>
      </c>
      <c r="DL37">
        <f>COUNTIFS('DRAFT 2'!$D:$D,$B37,'DRAFT 2'!$A:$A,"&gt;="&amp;DATE(2026,3,8),'DRAFT 2'!$A:$A,"&lt;="&amp;DATE(2026,3,14))</f>
        <v/>
      </c>
      <c r="DM37">
        <f>COUNTIFS('DRAFT 2'!$D:$D,$B37,'DRAFT 2'!$A:$A,"&gt;="&amp;DATE(2026,3,15),'DRAFT 2'!$A:$A,"&lt;="&amp;DATE(2026,3,21))</f>
        <v/>
      </c>
      <c r="DN37">
        <f>COUNTIFS('DRAFT 2'!$D:$D,$B37,'DRAFT 2'!$A:$A,"&gt;="&amp;DATE(2026,3,22),'DRAFT 2'!$A:$A,"&lt;"&amp;DATE(2026,IF(3=12,3+1,3+1),1))</f>
        <v/>
      </c>
      <c r="DO37">
        <f>SUM(DK37:DN37)</f>
        <v/>
      </c>
      <c r="DZ37">
        <f>IFERROR(LOOKUP(2,1/('DRAFT 2'!$D:$D=$B37)*('DRAFT 2'!$A:$A&gt;=DATE(2026,4,1))*('DRAFT 2'!$A:$A&lt;DATE(2026,IF(4=12,4+1,4+1),1)),'DRAFT 2'!$A:$A),"")</f>
        <v/>
      </c>
      <c r="EA37">
        <f>COUNTIFS('DRAFT 2'!$D:$D,$B37,'DRAFT 2'!$A:$A,"&gt;="&amp;DATE(2026,4,1),'DRAFT 2'!$A:$A,"&lt;="&amp;DATE(2026,4,7))</f>
        <v/>
      </c>
      <c r="EB37">
        <f>COUNTIFS('DRAFT 2'!$D:$D,$B37,'DRAFT 2'!$A:$A,"&gt;="&amp;DATE(2026,4,8),'DRAFT 2'!$A:$A,"&lt;="&amp;DATE(2026,4,14))</f>
        <v/>
      </c>
      <c r="EC37">
        <f>COUNTIFS('DRAFT 2'!$D:$D,$B37,'DRAFT 2'!$A:$A,"&gt;="&amp;DATE(2026,4,15),'DRAFT 2'!$A:$A,"&lt;="&amp;DATE(2026,4,21))</f>
        <v/>
      </c>
      <c r="ED37">
        <f>COUNTIFS('DRAFT 2'!$D:$D,$B37,'DRAFT 2'!$A:$A,"&gt;="&amp;DATE(2026,4,22),'DRAFT 2'!$A:$A,"&lt;"&amp;DATE(2026,IF(4=12,4+1,4+1),1))</f>
        <v/>
      </c>
      <c r="EE37">
        <f>SUM(EA37:ED37)</f>
        <v/>
      </c>
      <c r="EO37">
        <f>IFERROR(LOOKUP(2,1/('DRAFT 2'!$D:$D=$B37)*('DRAFT 2'!$A:$A&gt;=DATE(2026,5,1))*('DRAFT 2'!$A:$A&lt;DATE(2026,IF(5=12,5+1,5+1),1)),'DRAFT 2'!$A:$A),"")</f>
        <v/>
      </c>
      <c r="EP37">
        <f>COUNTIFS('DRAFT 2'!$D:$D,$B37,'DRAFT 2'!$A:$A,"&gt;="&amp;DATE(2026,5,1),'DRAFT 2'!$A:$A,"&lt;="&amp;DATE(2026,5,7))</f>
        <v/>
      </c>
      <c r="EQ37">
        <f>COUNTIFS('DRAFT 2'!$D:$D,$B37,'DRAFT 2'!$A:$A,"&gt;="&amp;DATE(2026,5,8),'DRAFT 2'!$A:$A,"&lt;="&amp;DATE(2026,5,14))</f>
        <v/>
      </c>
      <c r="ER37">
        <f>COUNTIFS('DRAFT 2'!$D:$D,$B37,'DRAFT 2'!$A:$A,"&gt;="&amp;DATE(2026,5,15),'DRAFT 2'!$A:$A,"&lt;="&amp;DATE(2026,5,21))</f>
        <v/>
      </c>
      <c r="ES37">
        <f>COUNTIFS('DRAFT 2'!$D:$D,$B37,'DRAFT 2'!$A:$A,"&gt;="&amp;DATE(2026,5,22),'DRAFT 2'!$A:$A,"&lt;"&amp;DATE(2026,IF(5=12,5+1,5+1),1))</f>
        <v/>
      </c>
      <c r="ET37">
        <f>SUM(EP37:ES37)</f>
        <v/>
      </c>
      <c r="FD37">
        <f>IFERROR(LOOKUP(2,1/('DRAFT 2'!$D:$D=$B37)*('DRAFT 2'!$A:$A&gt;=DATE(2026,6,1))*('DRAFT 2'!$A:$A&lt;DATE(2026,IF(6=12,6+1,6+1),1)),'DRAFT 2'!$A:$A),"")</f>
        <v/>
      </c>
      <c r="FE37">
        <f>COUNTIFS('DRAFT 2'!$D:$D,$B37,'DRAFT 2'!$A:$A,"&gt;="&amp;DATE(2026,6,1),'DRAFT 2'!$A:$A,"&lt;="&amp;DATE(2026,6,7))</f>
        <v/>
      </c>
      <c r="FF37">
        <f>COUNTIFS('DRAFT 2'!$D:$D,$B37,'DRAFT 2'!$A:$A,"&gt;="&amp;DATE(2026,6,8),'DRAFT 2'!$A:$A,"&lt;="&amp;DATE(2026,6,14))</f>
        <v/>
      </c>
      <c r="FG37">
        <f>COUNTIFS('DRAFT 2'!$D:$D,$B37,'DRAFT 2'!$A:$A,"&gt;="&amp;DATE(2026,6,15),'DRAFT 2'!$A:$A,"&lt;="&amp;DATE(2026,6,21))</f>
        <v/>
      </c>
      <c r="FH37">
        <f>COUNTIFS('DRAFT 2'!$D:$D,$B37,'DRAFT 2'!$A:$A,"&gt;="&amp;DATE(2026,6,22),'DRAFT 2'!$A:$A,"&lt;"&amp;DATE(2026,IF(6=12,6+1,6+1),1))</f>
        <v/>
      </c>
      <c r="FI37">
        <f>SUM(FE37:FH37)</f>
        <v/>
      </c>
      <c r="FT37">
        <f>IFERROR(LOOKUP(2,1/('DRAFT 2'!$D:$D=$B37)*('DRAFT 2'!$A:$A&gt;=DATE(2026,7,1))*('DRAFT 2'!$A:$A&lt;DATE(2026,IF(7=12,7+1,7+1),1)),'DRAFT 2'!$A:$A),"")</f>
        <v/>
      </c>
      <c r="FU37">
        <f>COUNTIFS('DRAFT 2'!$D:$D,$B37,'DRAFT 2'!$A:$A,"&gt;="&amp;DATE(2026,7,1),'DRAFT 2'!$A:$A,"&lt;="&amp;DATE(2026,7,7))</f>
        <v/>
      </c>
      <c r="FV37">
        <f>COUNTIFS('DRAFT 2'!$D:$D,$B37,'DRAFT 2'!$A:$A,"&gt;="&amp;DATE(2026,7,8),'DRAFT 2'!$A:$A,"&lt;="&amp;DATE(2026,7,14))</f>
        <v/>
      </c>
      <c r="FW37">
        <f>COUNTIFS('DRAFT 2'!$D:$D,$B37,'DRAFT 2'!$A:$A,"&gt;="&amp;DATE(2026,7,15),'DRAFT 2'!$A:$A,"&lt;="&amp;DATE(2026,7,21))</f>
        <v/>
      </c>
      <c r="FX37">
        <f>COUNTIFS('DRAFT 2'!$D:$D,$B37,'DRAFT 2'!$A:$A,"&gt;="&amp;DATE(2026,7,22),'DRAFT 2'!$A:$A,"&lt;"&amp;DATE(2026,IF(7=12,7+1,7+1),1))</f>
        <v/>
      </c>
      <c r="FY37">
        <f>SUM(FU37:FX37)</f>
        <v/>
      </c>
      <c r="GI37">
        <f>IFERROR(LOOKUP(2,1/('DRAFT 2'!$D:$D=$B37)*('DRAFT 2'!$A:$A&gt;=DATE(2026,8,1))*('DRAFT 2'!$A:$A&lt;DATE(2026,IF(8=12,8+1,8+1),1)),'DRAFT 2'!$A:$A),"")</f>
        <v/>
      </c>
      <c r="GJ37">
        <f>COUNTIFS('DRAFT 2'!$D:$D,$B37,'DRAFT 2'!$A:$A,"&gt;="&amp;DATE(2026,8,1),'DRAFT 2'!$A:$A,"&lt;="&amp;DATE(2026,8,7))</f>
        <v/>
      </c>
      <c r="GK37">
        <f>COUNTIFS('DRAFT 2'!$D:$D,$B37,'DRAFT 2'!$A:$A,"&gt;="&amp;DATE(2026,8,8),'DRAFT 2'!$A:$A,"&lt;="&amp;DATE(2026,8,14))</f>
        <v/>
      </c>
      <c r="GL37">
        <f>COUNTIFS('DRAFT 2'!$D:$D,$B37,'DRAFT 2'!$A:$A,"&gt;="&amp;DATE(2026,8,15),'DRAFT 2'!$A:$A,"&lt;="&amp;DATE(2026,8,21))</f>
        <v/>
      </c>
      <c r="GM37">
        <f>COUNTIFS('DRAFT 2'!$D:$D,$B37,'DRAFT 2'!$A:$A,"&gt;="&amp;DATE(2026,8,22),'DRAFT 2'!$A:$A,"&lt;"&amp;DATE(2026,IF(8=12,8+1,8+1),1))</f>
        <v/>
      </c>
      <c r="GN37">
        <f>SUM(GJ37:GM37)</f>
        <v/>
      </c>
      <c r="GX37">
        <f>IFERROR(LOOKUP(2,1/('DRAFT 2'!$D:$D=$B37)*('DRAFT 2'!$A:$A&gt;=DATE(2026,9,1))*('DRAFT 2'!$A:$A&lt;DATE(2026,IF(9=12,9+1,9+1),1)),'DRAFT 2'!$A:$A),"")</f>
        <v/>
      </c>
      <c r="GY37">
        <f>COUNTIFS('DRAFT 2'!$D:$D,$B37,'DRAFT 2'!$A:$A,"&gt;="&amp;DATE(2026,9,1),'DRAFT 2'!$A:$A,"&lt;="&amp;DATE(2026,9,7))</f>
        <v/>
      </c>
      <c r="GZ37">
        <f>COUNTIFS('DRAFT 2'!$D:$D,$B37,'DRAFT 2'!$A:$A,"&gt;="&amp;DATE(2026,9,8),'DRAFT 2'!$A:$A,"&lt;="&amp;DATE(2026,9,14))</f>
        <v/>
      </c>
      <c r="HA37">
        <f>COUNTIFS('DRAFT 2'!$D:$D,$B37,'DRAFT 2'!$A:$A,"&gt;="&amp;DATE(2026,9,15),'DRAFT 2'!$A:$A,"&lt;="&amp;DATE(2026,9,21))</f>
        <v/>
      </c>
      <c r="HB37">
        <f>COUNTIFS('DRAFT 2'!$D:$D,$B37,'DRAFT 2'!$A:$A,"&gt;="&amp;DATE(2026,9,22),'DRAFT 2'!$A:$A,"&lt;"&amp;DATE(2026,IF(9=12,9+1,9+1),1))</f>
        <v/>
      </c>
      <c r="HC37">
        <f>SUM(GY37:HB37)</f>
        <v/>
      </c>
      <c r="HN37">
        <f>IFERROR(LOOKUP(2,1/('DRAFT 2'!$D:$D=$B37)*('DRAFT 2'!$A:$A&gt;=DATE(2026,10,1))*('DRAFT 2'!$A:$A&lt;DATE(2026,IF(10=12,10+1,10+1),1)),'DRAFT 2'!$A:$A),"")</f>
        <v/>
      </c>
      <c r="HO37">
        <f>COUNTIFS('DRAFT 2'!$D:$D,$B37,'DRAFT 2'!$A:$A,"&gt;="&amp;DATE(2026,10,1),'DRAFT 2'!$A:$A,"&lt;="&amp;DATE(2026,10,7))</f>
        <v/>
      </c>
      <c r="HP37">
        <f>COUNTIFS('DRAFT 2'!$D:$D,$B37,'DRAFT 2'!$A:$A,"&gt;="&amp;DATE(2026,10,8),'DRAFT 2'!$A:$A,"&lt;="&amp;DATE(2026,10,14))</f>
        <v/>
      </c>
      <c r="HQ37">
        <f>COUNTIFS('DRAFT 2'!$D:$D,$B37,'DRAFT 2'!$A:$A,"&gt;="&amp;DATE(2026,10,15),'DRAFT 2'!$A:$A,"&lt;="&amp;DATE(2026,10,21))</f>
        <v/>
      </c>
      <c r="HR37">
        <f>COUNTIFS('DRAFT 2'!$D:$D,$B37,'DRAFT 2'!$A:$A,"&gt;="&amp;DATE(2026,10,22),'DRAFT 2'!$A:$A,"&lt;"&amp;DATE(2026,IF(10=12,10+1,10+1),1))</f>
        <v/>
      </c>
      <c r="HS37">
        <f>SUM(HO37:HR37)</f>
        <v/>
      </c>
      <c r="IC37">
        <f>IFERROR(LOOKUP(2,1/('DRAFT 2'!$D:$D=$B37)*('DRAFT 2'!$A:$A&gt;=DATE(2026,11,1))*('DRAFT 2'!$A:$A&lt;DATE(2026,IF(11=12,11+1,11+1),1)),'DRAFT 2'!$A:$A),"")</f>
        <v/>
      </c>
      <c r="ID37">
        <f>COUNTIFS('DRAFT 2'!$D:$D,$B37,'DRAFT 2'!$A:$A,"&gt;="&amp;DATE(2026,11,1),'DRAFT 2'!$A:$A,"&lt;="&amp;DATE(2026,11,7))</f>
        <v/>
      </c>
      <c r="IE37">
        <f>COUNTIFS('DRAFT 2'!$D:$D,$B37,'DRAFT 2'!$A:$A,"&gt;="&amp;DATE(2026,11,8),'DRAFT 2'!$A:$A,"&lt;="&amp;DATE(2026,11,14))</f>
        <v/>
      </c>
      <c r="IF37">
        <f>COUNTIFS('DRAFT 2'!$D:$D,$B37,'DRAFT 2'!$A:$A,"&gt;="&amp;DATE(2026,11,15),'DRAFT 2'!$A:$A,"&lt;="&amp;DATE(2026,11,21))</f>
        <v/>
      </c>
      <c r="IG37">
        <f>COUNTIFS('DRAFT 2'!$D:$D,$B37,'DRAFT 2'!$A:$A,"&gt;="&amp;DATE(2026,11,22),'DRAFT 2'!$A:$A,"&lt;"&amp;DATE(2026,IF(11=12,11+1,11+1),1))</f>
        <v/>
      </c>
      <c r="IH37">
        <f>SUM(ID37:IG37)</f>
        <v/>
      </c>
      <c r="IR37">
        <f>IFERROR(LOOKUP(2,1/('DRAFT 2'!$D:$D=$B37)*('DRAFT 2'!$A:$A&gt;=DATE(2026,12,1))*('DRAFT 2'!$A:$A&lt;DATE(2026,IF(12=12,12+1,12+1),1)),'DRAFT 2'!$A:$A),"")</f>
        <v/>
      </c>
      <c r="IS37">
        <f>COUNTIFS('DRAFT 2'!$D:$D,$B37,'DRAFT 2'!$A:$A,"&gt;="&amp;DATE(2026,12,1),'DRAFT 2'!$A:$A,"&lt;="&amp;DATE(2026,12,7))</f>
        <v/>
      </c>
      <c r="IT37">
        <f>COUNTIFS('DRAFT 2'!$D:$D,$B37,'DRAFT 2'!$A:$A,"&gt;="&amp;DATE(2026,12,8),'DRAFT 2'!$A:$A,"&lt;="&amp;DATE(2026,12,14))</f>
        <v/>
      </c>
      <c r="IU37">
        <f>COUNTIFS('DRAFT 2'!$D:$D,$B37,'DRAFT 2'!$A:$A,"&gt;="&amp;DATE(2026,12,15),'DRAFT 2'!$A:$A,"&lt;="&amp;DATE(2026,12,21))</f>
        <v/>
      </c>
      <c r="IV37">
        <f>COUNTIFS('DRAFT 2'!$D:$D,$B37,'DRAFT 2'!$A:$A,"&gt;="&amp;DATE(2026,12,22),'DRAFT 2'!$A:$A,"&lt;"&amp;DATE(2026,IF(12=12,12+1,12+1),1))</f>
        <v/>
      </c>
      <c r="IW37">
        <f>SUM(IS37:IV37)</f>
        <v/>
      </c>
    </row>
    <row r="38">
      <c r="A38">
        <f>IFERROR(INDEX('DRAFT 1'!$A:$A,MATCH($B38,'DRAFT 1'!$B:$B,0)),"")</f>
        <v/>
      </c>
      <c r="C38">
        <f>IFERROR(INDEX('DRAFT 1'!$C:$C,MATCH($B38,'DRAFT 1'!$B:$B,0)),"")</f>
        <v/>
      </c>
      <c r="D38">
        <f>IFERROR(INDEX('DRAFT 1'!$D:$D,MATCH($B38,'DRAFT 1'!$B:$B,0)),"")</f>
        <v/>
      </c>
      <c r="E38">
        <f>IFERROR(INDEX('DRAFT 1'!$E:$E,MATCH($B38,'DRAFT 1'!$B:$B,0)),"")</f>
        <v/>
      </c>
      <c r="F38">
        <f>IFERROR(INDEX('DRAFT 1'!$F:$F,MATCH($B38,'DRAFT 1'!$B:$B,0)),"")</f>
        <v/>
      </c>
      <c r="G38">
        <f>IFERROR(INDEX('DRAFT 1'!$G:$G,MATCH($B38,'DRAFT 1'!$B:$B,0)),"")</f>
        <v/>
      </c>
      <c r="H38">
        <f>IFERROR(INDEX('DRAFT 1'!$H:$H,MATCH($B38,'DRAFT 1'!$B:$B,0)),"")</f>
        <v/>
      </c>
      <c r="I38" t="inlineStr">
        <is>
          <t>CIA DA SAUDE</t>
        </is>
      </c>
      <c r="K38">
        <f>IFERROR(INDEX('DRAFT 1'!$AL:$AL,MATCH($B38,'DRAFT 1'!$B:$B,0)),"")</f>
        <v/>
      </c>
      <c r="L38">
        <f>IFERROR(INDEX('DRAFT 1'!$J:$J,MATCH($B38,'DRAFT 1'!$B:$B,0)),"")</f>
        <v/>
      </c>
      <c r="M38">
        <f>IFERROR(INDEX('DRAFT 1'!$K:$K,MATCH($B38,'DRAFT 1'!$B:$B,0)),"")</f>
        <v/>
      </c>
      <c r="N38" t="inlineStr">
        <is>
          <t>ATIVO</t>
        </is>
      </c>
      <c r="P38">
        <f>IFERROR(INDEX('DRAFT 1'!$L:$L,MATCH($B38,'DRAFT 1'!$B:$B,0)),"")</f>
        <v/>
      </c>
      <c r="Q38">
        <f>IFERROR(INDEX('DRAFT 1'!$M:$M,MATCH($B38,'DRAFT 1'!$B:$B,0)),"")</f>
        <v/>
      </c>
      <c r="R38">
        <f>IFERROR(INDEX('DRAFT 1'!$N:$N,MATCH($B38,'DRAFT 1'!$B:$B,0)),"")</f>
        <v/>
      </c>
      <c r="S38">
        <f>IFERROR(INDEX('DRAFT 1'!$O:$O,MATCH($B38,'DRAFT 1'!$B:$B,0)),"")</f>
        <v/>
      </c>
      <c r="T38">
        <f>IFERROR(INDEX('DRAFT 1'!$P:$P,MATCH($B38,'DRAFT 1'!$B:$B,0)),"")</f>
        <v/>
      </c>
      <c r="U38">
        <f>IFERROR(INDEX('DRAFT 1'!$Q:$Q,MATCH($B38,'DRAFT 1'!$B:$B,0)),"")</f>
        <v/>
      </c>
      <c r="V38">
        <f>IFERROR(INDEX('DRAFT 1'!$R:$R,MATCH($B38,'DRAFT 1'!$B:$B,0)),"")</f>
        <v/>
      </c>
      <c r="W38">
        <f>IFERROR(INDEX('DRAFT 1'!$S:$S,MATCH($B38,'DRAFT 1'!$B:$B,0)),"")</f>
        <v/>
      </c>
      <c r="X38">
        <f>IFERROR(INDEX('DRAFT 1'!$T:$T,MATCH($B38,'DRAFT 1'!$B:$B,0)),"")</f>
        <v/>
      </c>
      <c r="Z38">
        <f>IFERROR(INDEX('DRAFT 1'!$U:$U,MATCH($B38,'DRAFT 1'!$B:$B,0)),"")</f>
        <v/>
      </c>
      <c r="AA38">
        <f>IFERROR(INDEX('DRAFT 1'!$V:$V,MATCH($B38,'DRAFT 1'!$B:$B,0)),"")</f>
        <v/>
      </c>
      <c r="AB38">
        <f>IFERROR(INDEX('DRAFT 1'!$W:$W,MATCH($B38,'DRAFT 1'!$B:$B,0)),"")</f>
        <v/>
      </c>
      <c r="AC38">
        <f>IFERROR(INDEX('DRAFT 1'!$X:$X,MATCH($B38,'DRAFT 1'!$B:$B,0)),"")</f>
        <v/>
      </c>
      <c r="AD38">
        <f>IFERROR(INDEX('DRAFT 1'!$Y:$Y,MATCH($B38,'DRAFT 1'!$B:$B,0)),"")</f>
        <v/>
      </c>
      <c r="AE38">
        <f>IFERROR(INDEX('DRAFT 1'!$Z:$Z,MATCH($B38,'DRAFT 1'!$B:$B,0)),"")</f>
        <v/>
      </c>
      <c r="AF38">
        <f>IFERROR(INDEX('DRAFT 1'!$AA:$AA,MATCH($B38,'DRAFT 1'!$B:$B,0)),"")</f>
        <v/>
      </c>
      <c r="AG38">
        <f>IFERROR(INDEX('DRAFT 1'!$AB:$AB,MATCH($B38,'DRAFT 1'!$B:$B,0)),"")</f>
        <v/>
      </c>
      <c r="AH38">
        <f>IFERROR(INDEX('DRAFT 1'!$AC:$AC,MATCH($B38,'DRAFT 1'!$B:$B,0)),"")</f>
        <v/>
      </c>
      <c r="AI38">
        <f>IFERROR(INDEX('DRAFT 1'!$AD:$AD,MATCH($B38,'DRAFT 1'!$B:$B,0)),"")</f>
        <v/>
      </c>
      <c r="AJ38">
        <f>IFERROR(INDEX('DRAFT 1'!$AE:$AE,MATCH($B38,'DRAFT 1'!$B:$B,0)),"")</f>
        <v/>
      </c>
      <c r="AK38">
        <f>IFERROR(INDEX('DRAFT 1'!$AG:$AG,MATCH($B38,'DRAFT 1'!$B:$B,0)),"")</f>
        <v/>
      </c>
      <c r="AL38">
        <f>IFERROR(INDEX('DRAFT 1'!$AH:$AH,MATCH($B38,'DRAFT 1'!$B:$B,0)),"")</f>
        <v/>
      </c>
      <c r="AM38">
        <f>IFERROR(INDEX('DRAFT 1'!$AI:$AI,MATCH($B38,'DRAFT 1'!$B:$B,0)),"")</f>
        <v/>
      </c>
      <c r="AN38">
        <f>IFERROR(INDEX('DRAFT 1'!$AJ:$AJ,MATCH($B38,'DRAFT 1'!$B:$B,0)),"")</f>
        <v/>
      </c>
      <c r="AO38">
        <f>IFERROR(Y38/AN38,0)</f>
        <v/>
      </c>
      <c r="AP38">
        <f>IFERROR(INDEX('DRAFT 1'!$AK:$AK,MATCH($B38,'DRAFT 1'!$B:$B,0)),"")</f>
        <v/>
      </c>
      <c r="AR38" t="inlineStr">
        <is>
          <t>CS</t>
        </is>
      </c>
      <c r="AS38">
        <f>IFERROR(LOOKUP(2,1/('DRAFT 2'!$D:$D=$B38),'DRAFT 2'!$T:$T),"")</f>
        <v/>
      </c>
      <c r="AT38">
        <f>IFERROR(LOOKUP(2,1/('DRAFT 2'!$D:$D=$B38),'DRAFT 2'!$A:$A),"")</f>
        <v/>
      </c>
      <c r="AU38">
        <f>IFERROR(LOOKUP(2,1/('DRAFT 2'!$D:$D=$B38),'DRAFT 2'!$R:$R),"")</f>
        <v/>
      </c>
      <c r="AV38">
        <f>IFERROR(LOOKUP(2,1/('DRAFT 2'!$D:$D=$B38),'DRAFT 2'!$S:$S),"")</f>
        <v/>
      </c>
      <c r="AW38" t="inlineStr">
        <is>
          <t>PROSPECT</t>
        </is>
      </c>
      <c r="AX38">
        <f>IFERROR(LOOKUP(2,1/('DRAFT 2'!$D:$D=$B38),'DRAFT 2'!$M:$M),"")</f>
        <v/>
      </c>
      <c r="AY38">
        <f>IFERROR(LOOKUP(2,1/('DRAFT 2'!$D:$D=$B38),'DRAFT 2'!$K:$K),"")</f>
        <v/>
      </c>
      <c r="BG38">
        <f>IFERROR(LOOKUP(2,1/('DRAFT 2'!$D:$D=$B38),'DRAFT 2'!$U:$U),"")</f>
        <v/>
      </c>
      <c r="BH38">
        <f>IFERROR(LOOKUP(2,1/('DRAFT 2'!$D:$D=$B38),'DRAFT 2'!$V:$V),"")</f>
        <v/>
      </c>
      <c r="CE38">
        <f>IFERROR(AJ38,0)</f>
        <v/>
      </c>
      <c r="CF38">
        <f>IFERROR(LOOKUP(2,1/('DRAFT 2'!$D:$D=$B38)*('DRAFT 2'!$A:$A&gt;=DATE(2026,1,1))*('DRAFT 2'!$A:$A&lt;DATE(2026,IF(1=12,1+1,1+1),1)),'DRAFT 2'!$A:$A),"")</f>
        <v/>
      </c>
      <c r="CG38">
        <f>COUNTIFS('DRAFT 2'!$D:$D,$B38,'DRAFT 2'!$A:$A,"&gt;="&amp;DATE(2026,1,1),'DRAFT 2'!$A:$A,"&lt;="&amp;DATE(2026,1,7))</f>
        <v/>
      </c>
      <c r="CH38">
        <f>COUNTIFS('DRAFT 2'!$D:$D,$B38,'DRAFT 2'!$A:$A,"&gt;="&amp;DATE(2026,1,8),'DRAFT 2'!$A:$A,"&lt;="&amp;DATE(2026,1,14))</f>
        <v/>
      </c>
      <c r="CI38">
        <f>COUNTIFS('DRAFT 2'!$D:$D,$B38,'DRAFT 2'!$A:$A,"&gt;="&amp;DATE(2026,1,15),'DRAFT 2'!$A:$A,"&lt;="&amp;DATE(2026,1,21))</f>
        <v/>
      </c>
      <c r="CJ38">
        <f>COUNTIFS('DRAFT 2'!$D:$D,$B38,'DRAFT 2'!$A:$A,"&gt;="&amp;DATE(2026,1,22),'DRAFT 2'!$A:$A,"&lt;"&amp;DATE(2026,IF(1=12,1+1,1+1),1))</f>
        <v/>
      </c>
      <c r="CK38">
        <f>SUM(CG38:CJ38)</f>
        <v/>
      </c>
      <c r="CT38" t="n">
        <v>0</v>
      </c>
      <c r="CU38">
        <f>IFERROR(LOOKUP(2,1/('DRAFT 2'!$D:$D=$B38)*('DRAFT 2'!$A:$A&gt;=DATE(2026,2,1))*('DRAFT 2'!$A:$A&lt;DATE(2026,IF(2=12,2+1,2+1),1)),'DRAFT 2'!$A:$A),"")</f>
        <v/>
      </c>
      <c r="CV38">
        <f>COUNTIFS('DRAFT 2'!$D:$D,$B38,'DRAFT 2'!$A:$A,"&gt;="&amp;DATE(2026,2,1),'DRAFT 2'!$A:$A,"&lt;="&amp;DATE(2026,2,7))</f>
        <v/>
      </c>
      <c r="CW38">
        <f>COUNTIFS('DRAFT 2'!$D:$D,$B38,'DRAFT 2'!$A:$A,"&gt;="&amp;DATE(2026,2,8),'DRAFT 2'!$A:$A,"&lt;="&amp;DATE(2026,2,14))</f>
        <v/>
      </c>
      <c r="CX38">
        <f>COUNTIFS('DRAFT 2'!$D:$D,$B38,'DRAFT 2'!$A:$A,"&gt;="&amp;DATE(2026,2,15),'DRAFT 2'!$A:$A,"&lt;="&amp;DATE(2026,2,21))</f>
        <v/>
      </c>
      <c r="CY38">
        <f>COUNTIFS('DRAFT 2'!$D:$D,$B38,'DRAFT 2'!$A:$A,"&gt;="&amp;DATE(2026,2,22),'DRAFT 2'!$A:$A,"&lt;"&amp;DATE(2026,IF(2=12,2+1,2+1),1))</f>
        <v/>
      </c>
      <c r="CZ38">
        <f>SUM(CV38:CY38)</f>
        <v/>
      </c>
      <c r="DJ38">
        <f>IFERROR(LOOKUP(2,1/('DRAFT 2'!$D:$D=$B38)*('DRAFT 2'!$A:$A&gt;=DATE(2026,3,1))*('DRAFT 2'!$A:$A&lt;DATE(2026,IF(3=12,3+1,3+1),1)),'DRAFT 2'!$A:$A),"")</f>
        <v/>
      </c>
      <c r="DK38">
        <f>COUNTIFS('DRAFT 2'!$D:$D,$B38,'DRAFT 2'!$A:$A,"&gt;="&amp;DATE(2026,3,1),'DRAFT 2'!$A:$A,"&lt;="&amp;DATE(2026,3,7))</f>
        <v/>
      </c>
      <c r="DL38">
        <f>COUNTIFS('DRAFT 2'!$D:$D,$B38,'DRAFT 2'!$A:$A,"&gt;="&amp;DATE(2026,3,8),'DRAFT 2'!$A:$A,"&lt;="&amp;DATE(2026,3,14))</f>
        <v/>
      </c>
      <c r="DM38">
        <f>COUNTIFS('DRAFT 2'!$D:$D,$B38,'DRAFT 2'!$A:$A,"&gt;="&amp;DATE(2026,3,15),'DRAFT 2'!$A:$A,"&lt;="&amp;DATE(2026,3,21))</f>
        <v/>
      </c>
      <c r="DN38">
        <f>COUNTIFS('DRAFT 2'!$D:$D,$B38,'DRAFT 2'!$A:$A,"&gt;="&amp;DATE(2026,3,22),'DRAFT 2'!$A:$A,"&lt;"&amp;DATE(2026,IF(3=12,3+1,3+1),1))</f>
        <v/>
      </c>
      <c r="DO38">
        <f>SUM(DK38:DN38)</f>
        <v/>
      </c>
      <c r="DZ38">
        <f>IFERROR(LOOKUP(2,1/('DRAFT 2'!$D:$D=$B38)*('DRAFT 2'!$A:$A&gt;=DATE(2026,4,1))*('DRAFT 2'!$A:$A&lt;DATE(2026,IF(4=12,4+1,4+1),1)),'DRAFT 2'!$A:$A),"")</f>
        <v/>
      </c>
      <c r="EA38">
        <f>COUNTIFS('DRAFT 2'!$D:$D,$B38,'DRAFT 2'!$A:$A,"&gt;="&amp;DATE(2026,4,1),'DRAFT 2'!$A:$A,"&lt;="&amp;DATE(2026,4,7))</f>
        <v/>
      </c>
      <c r="EB38">
        <f>COUNTIFS('DRAFT 2'!$D:$D,$B38,'DRAFT 2'!$A:$A,"&gt;="&amp;DATE(2026,4,8),'DRAFT 2'!$A:$A,"&lt;="&amp;DATE(2026,4,14))</f>
        <v/>
      </c>
      <c r="EC38">
        <f>COUNTIFS('DRAFT 2'!$D:$D,$B38,'DRAFT 2'!$A:$A,"&gt;="&amp;DATE(2026,4,15),'DRAFT 2'!$A:$A,"&lt;="&amp;DATE(2026,4,21))</f>
        <v/>
      </c>
      <c r="ED38">
        <f>COUNTIFS('DRAFT 2'!$D:$D,$B38,'DRAFT 2'!$A:$A,"&gt;="&amp;DATE(2026,4,22),'DRAFT 2'!$A:$A,"&lt;"&amp;DATE(2026,IF(4=12,4+1,4+1),1))</f>
        <v/>
      </c>
      <c r="EE38">
        <f>SUM(EA38:ED38)</f>
        <v/>
      </c>
      <c r="EO38">
        <f>IFERROR(LOOKUP(2,1/('DRAFT 2'!$D:$D=$B38)*('DRAFT 2'!$A:$A&gt;=DATE(2026,5,1))*('DRAFT 2'!$A:$A&lt;DATE(2026,IF(5=12,5+1,5+1),1)),'DRAFT 2'!$A:$A),"")</f>
        <v/>
      </c>
      <c r="EP38">
        <f>COUNTIFS('DRAFT 2'!$D:$D,$B38,'DRAFT 2'!$A:$A,"&gt;="&amp;DATE(2026,5,1),'DRAFT 2'!$A:$A,"&lt;="&amp;DATE(2026,5,7))</f>
        <v/>
      </c>
      <c r="EQ38">
        <f>COUNTIFS('DRAFT 2'!$D:$D,$B38,'DRAFT 2'!$A:$A,"&gt;="&amp;DATE(2026,5,8),'DRAFT 2'!$A:$A,"&lt;="&amp;DATE(2026,5,14))</f>
        <v/>
      </c>
      <c r="ER38">
        <f>COUNTIFS('DRAFT 2'!$D:$D,$B38,'DRAFT 2'!$A:$A,"&gt;="&amp;DATE(2026,5,15),'DRAFT 2'!$A:$A,"&lt;="&amp;DATE(2026,5,21))</f>
        <v/>
      </c>
      <c r="ES38">
        <f>COUNTIFS('DRAFT 2'!$D:$D,$B38,'DRAFT 2'!$A:$A,"&gt;="&amp;DATE(2026,5,22),'DRAFT 2'!$A:$A,"&lt;"&amp;DATE(2026,IF(5=12,5+1,5+1),1))</f>
        <v/>
      </c>
      <c r="ET38">
        <f>SUM(EP38:ES38)</f>
        <v/>
      </c>
      <c r="FD38">
        <f>IFERROR(LOOKUP(2,1/('DRAFT 2'!$D:$D=$B38)*('DRAFT 2'!$A:$A&gt;=DATE(2026,6,1))*('DRAFT 2'!$A:$A&lt;DATE(2026,IF(6=12,6+1,6+1),1)),'DRAFT 2'!$A:$A),"")</f>
        <v/>
      </c>
      <c r="FE38">
        <f>COUNTIFS('DRAFT 2'!$D:$D,$B38,'DRAFT 2'!$A:$A,"&gt;="&amp;DATE(2026,6,1),'DRAFT 2'!$A:$A,"&lt;="&amp;DATE(2026,6,7))</f>
        <v/>
      </c>
      <c r="FF38">
        <f>COUNTIFS('DRAFT 2'!$D:$D,$B38,'DRAFT 2'!$A:$A,"&gt;="&amp;DATE(2026,6,8),'DRAFT 2'!$A:$A,"&lt;="&amp;DATE(2026,6,14))</f>
        <v/>
      </c>
      <c r="FG38">
        <f>COUNTIFS('DRAFT 2'!$D:$D,$B38,'DRAFT 2'!$A:$A,"&gt;="&amp;DATE(2026,6,15),'DRAFT 2'!$A:$A,"&lt;="&amp;DATE(2026,6,21))</f>
        <v/>
      </c>
      <c r="FH38">
        <f>COUNTIFS('DRAFT 2'!$D:$D,$B38,'DRAFT 2'!$A:$A,"&gt;="&amp;DATE(2026,6,22),'DRAFT 2'!$A:$A,"&lt;"&amp;DATE(2026,IF(6=12,6+1,6+1),1))</f>
        <v/>
      </c>
      <c r="FI38">
        <f>SUM(FE38:FH38)</f>
        <v/>
      </c>
      <c r="FT38">
        <f>IFERROR(LOOKUP(2,1/('DRAFT 2'!$D:$D=$B38)*('DRAFT 2'!$A:$A&gt;=DATE(2026,7,1))*('DRAFT 2'!$A:$A&lt;DATE(2026,IF(7=12,7+1,7+1),1)),'DRAFT 2'!$A:$A),"")</f>
        <v/>
      </c>
      <c r="FU38">
        <f>COUNTIFS('DRAFT 2'!$D:$D,$B38,'DRAFT 2'!$A:$A,"&gt;="&amp;DATE(2026,7,1),'DRAFT 2'!$A:$A,"&lt;="&amp;DATE(2026,7,7))</f>
        <v/>
      </c>
      <c r="FV38">
        <f>COUNTIFS('DRAFT 2'!$D:$D,$B38,'DRAFT 2'!$A:$A,"&gt;="&amp;DATE(2026,7,8),'DRAFT 2'!$A:$A,"&lt;="&amp;DATE(2026,7,14))</f>
        <v/>
      </c>
      <c r="FW38">
        <f>COUNTIFS('DRAFT 2'!$D:$D,$B38,'DRAFT 2'!$A:$A,"&gt;="&amp;DATE(2026,7,15),'DRAFT 2'!$A:$A,"&lt;="&amp;DATE(2026,7,21))</f>
        <v/>
      </c>
      <c r="FX38">
        <f>COUNTIFS('DRAFT 2'!$D:$D,$B38,'DRAFT 2'!$A:$A,"&gt;="&amp;DATE(2026,7,22),'DRAFT 2'!$A:$A,"&lt;"&amp;DATE(2026,IF(7=12,7+1,7+1),1))</f>
        <v/>
      </c>
      <c r="FY38">
        <f>SUM(FU38:FX38)</f>
        <v/>
      </c>
      <c r="GI38">
        <f>IFERROR(LOOKUP(2,1/('DRAFT 2'!$D:$D=$B38)*('DRAFT 2'!$A:$A&gt;=DATE(2026,8,1))*('DRAFT 2'!$A:$A&lt;DATE(2026,IF(8=12,8+1,8+1),1)),'DRAFT 2'!$A:$A),"")</f>
        <v/>
      </c>
      <c r="GJ38">
        <f>COUNTIFS('DRAFT 2'!$D:$D,$B38,'DRAFT 2'!$A:$A,"&gt;="&amp;DATE(2026,8,1),'DRAFT 2'!$A:$A,"&lt;="&amp;DATE(2026,8,7))</f>
        <v/>
      </c>
      <c r="GK38">
        <f>COUNTIFS('DRAFT 2'!$D:$D,$B38,'DRAFT 2'!$A:$A,"&gt;="&amp;DATE(2026,8,8),'DRAFT 2'!$A:$A,"&lt;="&amp;DATE(2026,8,14))</f>
        <v/>
      </c>
      <c r="GL38">
        <f>COUNTIFS('DRAFT 2'!$D:$D,$B38,'DRAFT 2'!$A:$A,"&gt;="&amp;DATE(2026,8,15),'DRAFT 2'!$A:$A,"&lt;="&amp;DATE(2026,8,21))</f>
        <v/>
      </c>
      <c r="GM38">
        <f>COUNTIFS('DRAFT 2'!$D:$D,$B38,'DRAFT 2'!$A:$A,"&gt;="&amp;DATE(2026,8,22),'DRAFT 2'!$A:$A,"&lt;"&amp;DATE(2026,IF(8=12,8+1,8+1),1))</f>
        <v/>
      </c>
      <c r="GN38">
        <f>SUM(GJ38:GM38)</f>
        <v/>
      </c>
      <c r="GX38">
        <f>IFERROR(LOOKUP(2,1/('DRAFT 2'!$D:$D=$B38)*('DRAFT 2'!$A:$A&gt;=DATE(2026,9,1))*('DRAFT 2'!$A:$A&lt;DATE(2026,IF(9=12,9+1,9+1),1)),'DRAFT 2'!$A:$A),"")</f>
        <v/>
      </c>
      <c r="GY38">
        <f>COUNTIFS('DRAFT 2'!$D:$D,$B38,'DRAFT 2'!$A:$A,"&gt;="&amp;DATE(2026,9,1),'DRAFT 2'!$A:$A,"&lt;="&amp;DATE(2026,9,7))</f>
        <v/>
      </c>
      <c r="GZ38">
        <f>COUNTIFS('DRAFT 2'!$D:$D,$B38,'DRAFT 2'!$A:$A,"&gt;="&amp;DATE(2026,9,8),'DRAFT 2'!$A:$A,"&lt;="&amp;DATE(2026,9,14))</f>
        <v/>
      </c>
      <c r="HA38">
        <f>COUNTIFS('DRAFT 2'!$D:$D,$B38,'DRAFT 2'!$A:$A,"&gt;="&amp;DATE(2026,9,15),'DRAFT 2'!$A:$A,"&lt;="&amp;DATE(2026,9,21))</f>
        <v/>
      </c>
      <c r="HB38">
        <f>COUNTIFS('DRAFT 2'!$D:$D,$B38,'DRAFT 2'!$A:$A,"&gt;="&amp;DATE(2026,9,22),'DRAFT 2'!$A:$A,"&lt;"&amp;DATE(2026,IF(9=12,9+1,9+1),1))</f>
        <v/>
      </c>
      <c r="HC38">
        <f>SUM(GY38:HB38)</f>
        <v/>
      </c>
      <c r="HN38">
        <f>IFERROR(LOOKUP(2,1/('DRAFT 2'!$D:$D=$B38)*('DRAFT 2'!$A:$A&gt;=DATE(2026,10,1))*('DRAFT 2'!$A:$A&lt;DATE(2026,IF(10=12,10+1,10+1),1)),'DRAFT 2'!$A:$A),"")</f>
        <v/>
      </c>
      <c r="HO38">
        <f>COUNTIFS('DRAFT 2'!$D:$D,$B38,'DRAFT 2'!$A:$A,"&gt;="&amp;DATE(2026,10,1),'DRAFT 2'!$A:$A,"&lt;="&amp;DATE(2026,10,7))</f>
        <v/>
      </c>
      <c r="HP38">
        <f>COUNTIFS('DRAFT 2'!$D:$D,$B38,'DRAFT 2'!$A:$A,"&gt;="&amp;DATE(2026,10,8),'DRAFT 2'!$A:$A,"&lt;="&amp;DATE(2026,10,14))</f>
        <v/>
      </c>
      <c r="HQ38">
        <f>COUNTIFS('DRAFT 2'!$D:$D,$B38,'DRAFT 2'!$A:$A,"&gt;="&amp;DATE(2026,10,15),'DRAFT 2'!$A:$A,"&lt;="&amp;DATE(2026,10,21))</f>
        <v/>
      </c>
      <c r="HR38">
        <f>COUNTIFS('DRAFT 2'!$D:$D,$B38,'DRAFT 2'!$A:$A,"&gt;="&amp;DATE(2026,10,22),'DRAFT 2'!$A:$A,"&lt;"&amp;DATE(2026,IF(10=12,10+1,10+1),1))</f>
        <v/>
      </c>
      <c r="HS38">
        <f>SUM(HO38:HR38)</f>
        <v/>
      </c>
      <c r="IC38">
        <f>IFERROR(LOOKUP(2,1/('DRAFT 2'!$D:$D=$B38)*('DRAFT 2'!$A:$A&gt;=DATE(2026,11,1))*('DRAFT 2'!$A:$A&lt;DATE(2026,IF(11=12,11+1,11+1),1)),'DRAFT 2'!$A:$A),"")</f>
        <v/>
      </c>
      <c r="ID38">
        <f>COUNTIFS('DRAFT 2'!$D:$D,$B38,'DRAFT 2'!$A:$A,"&gt;="&amp;DATE(2026,11,1),'DRAFT 2'!$A:$A,"&lt;="&amp;DATE(2026,11,7))</f>
        <v/>
      </c>
      <c r="IE38">
        <f>COUNTIFS('DRAFT 2'!$D:$D,$B38,'DRAFT 2'!$A:$A,"&gt;="&amp;DATE(2026,11,8),'DRAFT 2'!$A:$A,"&lt;="&amp;DATE(2026,11,14))</f>
        <v/>
      </c>
      <c r="IF38">
        <f>COUNTIFS('DRAFT 2'!$D:$D,$B38,'DRAFT 2'!$A:$A,"&gt;="&amp;DATE(2026,11,15),'DRAFT 2'!$A:$A,"&lt;="&amp;DATE(2026,11,21))</f>
        <v/>
      </c>
      <c r="IG38">
        <f>COUNTIFS('DRAFT 2'!$D:$D,$B38,'DRAFT 2'!$A:$A,"&gt;="&amp;DATE(2026,11,22),'DRAFT 2'!$A:$A,"&lt;"&amp;DATE(2026,IF(11=12,11+1,11+1),1))</f>
        <v/>
      </c>
      <c r="IH38">
        <f>SUM(ID38:IG38)</f>
        <v/>
      </c>
      <c r="IR38">
        <f>IFERROR(LOOKUP(2,1/('DRAFT 2'!$D:$D=$B38)*('DRAFT 2'!$A:$A&gt;=DATE(2026,12,1))*('DRAFT 2'!$A:$A&lt;DATE(2026,IF(12=12,12+1,12+1),1)),'DRAFT 2'!$A:$A),"")</f>
        <v/>
      </c>
      <c r="IS38">
        <f>COUNTIFS('DRAFT 2'!$D:$D,$B38,'DRAFT 2'!$A:$A,"&gt;="&amp;DATE(2026,12,1),'DRAFT 2'!$A:$A,"&lt;="&amp;DATE(2026,12,7))</f>
        <v/>
      </c>
      <c r="IT38">
        <f>COUNTIFS('DRAFT 2'!$D:$D,$B38,'DRAFT 2'!$A:$A,"&gt;="&amp;DATE(2026,12,8),'DRAFT 2'!$A:$A,"&lt;="&amp;DATE(2026,12,14))</f>
        <v/>
      </c>
      <c r="IU38">
        <f>COUNTIFS('DRAFT 2'!$D:$D,$B38,'DRAFT 2'!$A:$A,"&gt;="&amp;DATE(2026,12,15),'DRAFT 2'!$A:$A,"&lt;="&amp;DATE(2026,12,21))</f>
        <v/>
      </c>
      <c r="IV38">
        <f>COUNTIFS('DRAFT 2'!$D:$D,$B38,'DRAFT 2'!$A:$A,"&gt;="&amp;DATE(2026,12,22),'DRAFT 2'!$A:$A,"&lt;"&amp;DATE(2026,IF(12=12,12+1,12+1),1))</f>
        <v/>
      </c>
      <c r="IW38">
        <f>SUM(IS38:IV38)</f>
        <v/>
      </c>
    </row>
    <row r="39">
      <c r="A39">
        <f>IFERROR(INDEX('DRAFT 1'!$A:$A,MATCH($B39,'DRAFT 1'!$B:$B,0)),"")</f>
        <v/>
      </c>
      <c r="C39">
        <f>IFERROR(INDEX('DRAFT 1'!$C:$C,MATCH($B39,'DRAFT 1'!$B:$B,0)),"")</f>
        <v/>
      </c>
      <c r="D39">
        <f>IFERROR(INDEX('DRAFT 1'!$D:$D,MATCH($B39,'DRAFT 1'!$B:$B,0)),"")</f>
        <v/>
      </c>
      <c r="E39">
        <f>IFERROR(INDEX('DRAFT 1'!$E:$E,MATCH($B39,'DRAFT 1'!$B:$B,0)),"")</f>
        <v/>
      </c>
      <c r="F39">
        <f>IFERROR(INDEX('DRAFT 1'!$F:$F,MATCH($B39,'DRAFT 1'!$B:$B,0)),"")</f>
        <v/>
      </c>
      <c r="G39">
        <f>IFERROR(INDEX('DRAFT 1'!$G:$G,MATCH($B39,'DRAFT 1'!$B:$B,0)),"")</f>
        <v/>
      </c>
      <c r="H39">
        <f>IFERROR(INDEX('DRAFT 1'!$H:$H,MATCH($B39,'DRAFT 1'!$B:$B,0)),"")</f>
        <v/>
      </c>
      <c r="I39" t="inlineStr">
        <is>
          <t>MUNDO VERDE</t>
        </is>
      </c>
      <c r="K39">
        <f>IFERROR(INDEX('DRAFT 1'!$AL:$AL,MATCH($B39,'DRAFT 1'!$B:$B,0)),"")</f>
        <v/>
      </c>
      <c r="L39">
        <f>IFERROR(INDEX('DRAFT 1'!$J:$J,MATCH($B39,'DRAFT 1'!$B:$B,0)),"")</f>
        <v/>
      </c>
      <c r="M39">
        <f>IFERROR(INDEX('DRAFT 1'!$K:$K,MATCH($B39,'DRAFT 1'!$B:$B,0)),"")</f>
        <v/>
      </c>
      <c r="N39" t="inlineStr">
        <is>
          <t>INAT.REC</t>
        </is>
      </c>
      <c r="P39">
        <f>IFERROR(INDEX('DRAFT 1'!$L:$L,MATCH($B39,'DRAFT 1'!$B:$B,0)),"")</f>
        <v/>
      </c>
      <c r="Q39">
        <f>IFERROR(INDEX('DRAFT 1'!$M:$M,MATCH($B39,'DRAFT 1'!$B:$B,0)),"")</f>
        <v/>
      </c>
      <c r="R39">
        <f>IFERROR(INDEX('DRAFT 1'!$N:$N,MATCH($B39,'DRAFT 1'!$B:$B,0)),"")</f>
        <v/>
      </c>
      <c r="S39">
        <f>IFERROR(INDEX('DRAFT 1'!$O:$O,MATCH($B39,'DRAFT 1'!$B:$B,0)),"")</f>
        <v/>
      </c>
      <c r="T39">
        <f>IFERROR(INDEX('DRAFT 1'!$P:$P,MATCH($B39,'DRAFT 1'!$B:$B,0)),"")</f>
        <v/>
      </c>
      <c r="U39">
        <f>IFERROR(INDEX('DRAFT 1'!$Q:$Q,MATCH($B39,'DRAFT 1'!$B:$B,0)),"")</f>
        <v/>
      </c>
      <c r="V39">
        <f>IFERROR(INDEX('DRAFT 1'!$R:$R,MATCH($B39,'DRAFT 1'!$B:$B,0)),"")</f>
        <v/>
      </c>
      <c r="W39">
        <f>IFERROR(INDEX('DRAFT 1'!$S:$S,MATCH($B39,'DRAFT 1'!$B:$B,0)),"")</f>
        <v/>
      </c>
      <c r="X39">
        <f>IFERROR(INDEX('DRAFT 1'!$T:$T,MATCH($B39,'DRAFT 1'!$B:$B,0)),"")</f>
        <v/>
      </c>
      <c r="Z39">
        <f>IFERROR(INDEX('DRAFT 1'!$U:$U,MATCH($B39,'DRAFT 1'!$B:$B,0)),"")</f>
        <v/>
      </c>
      <c r="AA39">
        <f>IFERROR(INDEX('DRAFT 1'!$V:$V,MATCH($B39,'DRAFT 1'!$B:$B,0)),"")</f>
        <v/>
      </c>
      <c r="AB39">
        <f>IFERROR(INDEX('DRAFT 1'!$W:$W,MATCH($B39,'DRAFT 1'!$B:$B,0)),"")</f>
        <v/>
      </c>
      <c r="AC39">
        <f>IFERROR(INDEX('DRAFT 1'!$X:$X,MATCH($B39,'DRAFT 1'!$B:$B,0)),"")</f>
        <v/>
      </c>
      <c r="AD39">
        <f>IFERROR(INDEX('DRAFT 1'!$Y:$Y,MATCH($B39,'DRAFT 1'!$B:$B,0)),"")</f>
        <v/>
      </c>
      <c r="AE39">
        <f>IFERROR(INDEX('DRAFT 1'!$Z:$Z,MATCH($B39,'DRAFT 1'!$B:$B,0)),"")</f>
        <v/>
      </c>
      <c r="AF39">
        <f>IFERROR(INDEX('DRAFT 1'!$AA:$AA,MATCH($B39,'DRAFT 1'!$B:$B,0)),"")</f>
        <v/>
      </c>
      <c r="AG39">
        <f>IFERROR(INDEX('DRAFT 1'!$AB:$AB,MATCH($B39,'DRAFT 1'!$B:$B,0)),"")</f>
        <v/>
      </c>
      <c r="AH39">
        <f>IFERROR(INDEX('DRAFT 1'!$AC:$AC,MATCH($B39,'DRAFT 1'!$B:$B,0)),"")</f>
        <v/>
      </c>
      <c r="AI39">
        <f>IFERROR(INDEX('DRAFT 1'!$AD:$AD,MATCH($B39,'DRAFT 1'!$B:$B,0)),"")</f>
        <v/>
      </c>
      <c r="AJ39">
        <f>IFERROR(INDEX('DRAFT 1'!$AE:$AE,MATCH($B39,'DRAFT 1'!$B:$B,0)),"")</f>
        <v/>
      </c>
      <c r="AK39">
        <f>IFERROR(INDEX('DRAFT 1'!$AG:$AG,MATCH($B39,'DRAFT 1'!$B:$B,0)),"")</f>
        <v/>
      </c>
      <c r="AL39">
        <f>IFERROR(INDEX('DRAFT 1'!$AH:$AH,MATCH($B39,'DRAFT 1'!$B:$B,0)),"")</f>
        <v/>
      </c>
      <c r="AM39">
        <f>IFERROR(INDEX('DRAFT 1'!$AI:$AI,MATCH($B39,'DRAFT 1'!$B:$B,0)),"")</f>
        <v/>
      </c>
      <c r="AN39">
        <f>IFERROR(INDEX('DRAFT 1'!$AJ:$AJ,MATCH($B39,'DRAFT 1'!$B:$B,0)),"")</f>
        <v/>
      </c>
      <c r="AO39">
        <f>IFERROR(Y39/AN39,0)</f>
        <v/>
      </c>
      <c r="AP39">
        <f>IFERROR(INDEX('DRAFT 1'!$AK:$AK,MATCH($B39,'DRAFT 1'!$B:$B,0)),"")</f>
        <v/>
      </c>
      <c r="AR39" t="inlineStr">
        <is>
          <t>PÓS-VENDA</t>
        </is>
      </c>
      <c r="AS39">
        <f>IFERROR(LOOKUP(2,1/('DRAFT 2'!$D:$D=$B39),'DRAFT 2'!$T:$T),"")</f>
        <v/>
      </c>
      <c r="AT39">
        <f>IFERROR(LOOKUP(2,1/('DRAFT 2'!$D:$D=$B39),'DRAFT 2'!$A:$A),"")</f>
        <v/>
      </c>
      <c r="AU39">
        <f>IFERROR(LOOKUP(2,1/('DRAFT 2'!$D:$D=$B39),'DRAFT 2'!$R:$R),"")</f>
        <v/>
      </c>
      <c r="AV39">
        <f>IFERROR(LOOKUP(2,1/('DRAFT 2'!$D:$D=$B39),'DRAFT 2'!$S:$S),"")</f>
        <v/>
      </c>
      <c r="AW39" t="inlineStr">
        <is>
          <t>FIDELIZADO</t>
        </is>
      </c>
      <c r="AX39">
        <f>IFERROR(LOOKUP(2,1/('DRAFT 2'!$D:$D=$B39),'DRAFT 2'!$M:$M),"")</f>
        <v/>
      </c>
      <c r="AY39">
        <f>IFERROR(LOOKUP(2,1/('DRAFT 2'!$D:$D=$B39),'DRAFT 2'!$K:$K),"")</f>
        <v/>
      </c>
      <c r="BG39">
        <f>IFERROR(LOOKUP(2,1/('DRAFT 2'!$D:$D=$B39),'DRAFT 2'!$U:$U),"")</f>
        <v/>
      </c>
      <c r="BH39">
        <f>IFERROR(LOOKUP(2,1/('DRAFT 2'!$D:$D=$B39),'DRAFT 2'!$V:$V),"")</f>
        <v/>
      </c>
      <c r="CE39">
        <f>IFERROR(AJ39,0)</f>
        <v/>
      </c>
      <c r="CF39">
        <f>IFERROR(LOOKUP(2,1/('DRAFT 2'!$D:$D=$B39)*('DRAFT 2'!$A:$A&gt;=DATE(2026,1,1))*('DRAFT 2'!$A:$A&lt;DATE(2026,IF(1=12,1+1,1+1),1)),'DRAFT 2'!$A:$A),"")</f>
        <v/>
      </c>
      <c r="CG39">
        <f>COUNTIFS('DRAFT 2'!$D:$D,$B39,'DRAFT 2'!$A:$A,"&gt;="&amp;DATE(2026,1,1),'DRAFT 2'!$A:$A,"&lt;="&amp;DATE(2026,1,7))</f>
        <v/>
      </c>
      <c r="CH39">
        <f>COUNTIFS('DRAFT 2'!$D:$D,$B39,'DRAFT 2'!$A:$A,"&gt;="&amp;DATE(2026,1,8),'DRAFT 2'!$A:$A,"&lt;="&amp;DATE(2026,1,14))</f>
        <v/>
      </c>
      <c r="CI39">
        <f>COUNTIFS('DRAFT 2'!$D:$D,$B39,'DRAFT 2'!$A:$A,"&gt;="&amp;DATE(2026,1,15),'DRAFT 2'!$A:$A,"&lt;="&amp;DATE(2026,1,21))</f>
        <v/>
      </c>
      <c r="CJ39">
        <f>COUNTIFS('DRAFT 2'!$D:$D,$B39,'DRAFT 2'!$A:$A,"&gt;="&amp;DATE(2026,1,22),'DRAFT 2'!$A:$A,"&lt;"&amp;DATE(2026,IF(1=12,1+1,1+1),1))</f>
        <v/>
      </c>
      <c r="CK39">
        <f>SUM(CG39:CJ39)</f>
        <v/>
      </c>
      <c r="CT39" t="n">
        <v>0</v>
      </c>
      <c r="CU39">
        <f>IFERROR(LOOKUP(2,1/('DRAFT 2'!$D:$D=$B39)*('DRAFT 2'!$A:$A&gt;=DATE(2026,2,1))*('DRAFT 2'!$A:$A&lt;DATE(2026,IF(2=12,2+1,2+1),1)),'DRAFT 2'!$A:$A),"")</f>
        <v/>
      </c>
      <c r="CV39">
        <f>COUNTIFS('DRAFT 2'!$D:$D,$B39,'DRAFT 2'!$A:$A,"&gt;="&amp;DATE(2026,2,1),'DRAFT 2'!$A:$A,"&lt;="&amp;DATE(2026,2,7))</f>
        <v/>
      </c>
      <c r="CW39">
        <f>COUNTIFS('DRAFT 2'!$D:$D,$B39,'DRAFT 2'!$A:$A,"&gt;="&amp;DATE(2026,2,8),'DRAFT 2'!$A:$A,"&lt;="&amp;DATE(2026,2,14))</f>
        <v/>
      </c>
      <c r="CX39">
        <f>COUNTIFS('DRAFT 2'!$D:$D,$B39,'DRAFT 2'!$A:$A,"&gt;="&amp;DATE(2026,2,15),'DRAFT 2'!$A:$A,"&lt;="&amp;DATE(2026,2,21))</f>
        <v/>
      </c>
      <c r="CY39">
        <f>COUNTIFS('DRAFT 2'!$D:$D,$B39,'DRAFT 2'!$A:$A,"&gt;="&amp;DATE(2026,2,22),'DRAFT 2'!$A:$A,"&lt;"&amp;DATE(2026,IF(2=12,2+1,2+1),1))</f>
        <v/>
      </c>
      <c r="CZ39">
        <f>SUM(CV39:CY39)</f>
        <v/>
      </c>
      <c r="DJ39">
        <f>IFERROR(LOOKUP(2,1/('DRAFT 2'!$D:$D=$B39)*('DRAFT 2'!$A:$A&gt;=DATE(2026,3,1))*('DRAFT 2'!$A:$A&lt;DATE(2026,IF(3=12,3+1,3+1),1)),'DRAFT 2'!$A:$A),"")</f>
        <v/>
      </c>
      <c r="DK39">
        <f>COUNTIFS('DRAFT 2'!$D:$D,$B39,'DRAFT 2'!$A:$A,"&gt;="&amp;DATE(2026,3,1),'DRAFT 2'!$A:$A,"&lt;="&amp;DATE(2026,3,7))</f>
        <v/>
      </c>
      <c r="DL39">
        <f>COUNTIFS('DRAFT 2'!$D:$D,$B39,'DRAFT 2'!$A:$A,"&gt;="&amp;DATE(2026,3,8),'DRAFT 2'!$A:$A,"&lt;="&amp;DATE(2026,3,14))</f>
        <v/>
      </c>
      <c r="DM39">
        <f>COUNTIFS('DRAFT 2'!$D:$D,$B39,'DRAFT 2'!$A:$A,"&gt;="&amp;DATE(2026,3,15),'DRAFT 2'!$A:$A,"&lt;="&amp;DATE(2026,3,21))</f>
        <v/>
      </c>
      <c r="DN39">
        <f>COUNTIFS('DRAFT 2'!$D:$D,$B39,'DRAFT 2'!$A:$A,"&gt;="&amp;DATE(2026,3,22),'DRAFT 2'!$A:$A,"&lt;"&amp;DATE(2026,IF(3=12,3+1,3+1),1))</f>
        <v/>
      </c>
      <c r="DO39">
        <f>SUM(DK39:DN39)</f>
        <v/>
      </c>
      <c r="DZ39">
        <f>IFERROR(LOOKUP(2,1/('DRAFT 2'!$D:$D=$B39)*('DRAFT 2'!$A:$A&gt;=DATE(2026,4,1))*('DRAFT 2'!$A:$A&lt;DATE(2026,IF(4=12,4+1,4+1),1)),'DRAFT 2'!$A:$A),"")</f>
        <v/>
      </c>
      <c r="EA39">
        <f>COUNTIFS('DRAFT 2'!$D:$D,$B39,'DRAFT 2'!$A:$A,"&gt;="&amp;DATE(2026,4,1),'DRAFT 2'!$A:$A,"&lt;="&amp;DATE(2026,4,7))</f>
        <v/>
      </c>
      <c r="EB39">
        <f>COUNTIFS('DRAFT 2'!$D:$D,$B39,'DRAFT 2'!$A:$A,"&gt;="&amp;DATE(2026,4,8),'DRAFT 2'!$A:$A,"&lt;="&amp;DATE(2026,4,14))</f>
        <v/>
      </c>
      <c r="EC39">
        <f>COUNTIFS('DRAFT 2'!$D:$D,$B39,'DRAFT 2'!$A:$A,"&gt;="&amp;DATE(2026,4,15),'DRAFT 2'!$A:$A,"&lt;="&amp;DATE(2026,4,21))</f>
        <v/>
      </c>
      <c r="ED39">
        <f>COUNTIFS('DRAFT 2'!$D:$D,$B39,'DRAFT 2'!$A:$A,"&gt;="&amp;DATE(2026,4,22),'DRAFT 2'!$A:$A,"&lt;"&amp;DATE(2026,IF(4=12,4+1,4+1),1))</f>
        <v/>
      </c>
      <c r="EE39">
        <f>SUM(EA39:ED39)</f>
        <v/>
      </c>
      <c r="EO39">
        <f>IFERROR(LOOKUP(2,1/('DRAFT 2'!$D:$D=$B39)*('DRAFT 2'!$A:$A&gt;=DATE(2026,5,1))*('DRAFT 2'!$A:$A&lt;DATE(2026,IF(5=12,5+1,5+1),1)),'DRAFT 2'!$A:$A),"")</f>
        <v/>
      </c>
      <c r="EP39">
        <f>COUNTIFS('DRAFT 2'!$D:$D,$B39,'DRAFT 2'!$A:$A,"&gt;="&amp;DATE(2026,5,1),'DRAFT 2'!$A:$A,"&lt;="&amp;DATE(2026,5,7))</f>
        <v/>
      </c>
      <c r="EQ39">
        <f>COUNTIFS('DRAFT 2'!$D:$D,$B39,'DRAFT 2'!$A:$A,"&gt;="&amp;DATE(2026,5,8),'DRAFT 2'!$A:$A,"&lt;="&amp;DATE(2026,5,14))</f>
        <v/>
      </c>
      <c r="ER39">
        <f>COUNTIFS('DRAFT 2'!$D:$D,$B39,'DRAFT 2'!$A:$A,"&gt;="&amp;DATE(2026,5,15),'DRAFT 2'!$A:$A,"&lt;="&amp;DATE(2026,5,21))</f>
        <v/>
      </c>
      <c r="ES39">
        <f>COUNTIFS('DRAFT 2'!$D:$D,$B39,'DRAFT 2'!$A:$A,"&gt;="&amp;DATE(2026,5,22),'DRAFT 2'!$A:$A,"&lt;"&amp;DATE(2026,IF(5=12,5+1,5+1),1))</f>
        <v/>
      </c>
      <c r="ET39">
        <f>SUM(EP39:ES39)</f>
        <v/>
      </c>
      <c r="FD39">
        <f>IFERROR(LOOKUP(2,1/('DRAFT 2'!$D:$D=$B39)*('DRAFT 2'!$A:$A&gt;=DATE(2026,6,1))*('DRAFT 2'!$A:$A&lt;DATE(2026,IF(6=12,6+1,6+1),1)),'DRAFT 2'!$A:$A),"")</f>
        <v/>
      </c>
      <c r="FE39">
        <f>COUNTIFS('DRAFT 2'!$D:$D,$B39,'DRAFT 2'!$A:$A,"&gt;="&amp;DATE(2026,6,1),'DRAFT 2'!$A:$A,"&lt;="&amp;DATE(2026,6,7))</f>
        <v/>
      </c>
      <c r="FF39">
        <f>COUNTIFS('DRAFT 2'!$D:$D,$B39,'DRAFT 2'!$A:$A,"&gt;="&amp;DATE(2026,6,8),'DRAFT 2'!$A:$A,"&lt;="&amp;DATE(2026,6,14))</f>
        <v/>
      </c>
      <c r="FG39">
        <f>COUNTIFS('DRAFT 2'!$D:$D,$B39,'DRAFT 2'!$A:$A,"&gt;="&amp;DATE(2026,6,15),'DRAFT 2'!$A:$A,"&lt;="&amp;DATE(2026,6,21))</f>
        <v/>
      </c>
      <c r="FH39">
        <f>COUNTIFS('DRAFT 2'!$D:$D,$B39,'DRAFT 2'!$A:$A,"&gt;="&amp;DATE(2026,6,22),'DRAFT 2'!$A:$A,"&lt;"&amp;DATE(2026,IF(6=12,6+1,6+1),1))</f>
        <v/>
      </c>
      <c r="FI39">
        <f>SUM(FE39:FH39)</f>
        <v/>
      </c>
      <c r="FT39">
        <f>IFERROR(LOOKUP(2,1/('DRAFT 2'!$D:$D=$B39)*('DRAFT 2'!$A:$A&gt;=DATE(2026,7,1))*('DRAFT 2'!$A:$A&lt;DATE(2026,IF(7=12,7+1,7+1),1)),'DRAFT 2'!$A:$A),"")</f>
        <v/>
      </c>
      <c r="FU39">
        <f>COUNTIFS('DRAFT 2'!$D:$D,$B39,'DRAFT 2'!$A:$A,"&gt;="&amp;DATE(2026,7,1),'DRAFT 2'!$A:$A,"&lt;="&amp;DATE(2026,7,7))</f>
        <v/>
      </c>
      <c r="FV39">
        <f>COUNTIFS('DRAFT 2'!$D:$D,$B39,'DRAFT 2'!$A:$A,"&gt;="&amp;DATE(2026,7,8),'DRAFT 2'!$A:$A,"&lt;="&amp;DATE(2026,7,14))</f>
        <v/>
      </c>
      <c r="FW39">
        <f>COUNTIFS('DRAFT 2'!$D:$D,$B39,'DRAFT 2'!$A:$A,"&gt;="&amp;DATE(2026,7,15),'DRAFT 2'!$A:$A,"&lt;="&amp;DATE(2026,7,21))</f>
        <v/>
      </c>
      <c r="FX39">
        <f>COUNTIFS('DRAFT 2'!$D:$D,$B39,'DRAFT 2'!$A:$A,"&gt;="&amp;DATE(2026,7,22),'DRAFT 2'!$A:$A,"&lt;"&amp;DATE(2026,IF(7=12,7+1,7+1),1))</f>
        <v/>
      </c>
      <c r="FY39">
        <f>SUM(FU39:FX39)</f>
        <v/>
      </c>
      <c r="GI39">
        <f>IFERROR(LOOKUP(2,1/('DRAFT 2'!$D:$D=$B39)*('DRAFT 2'!$A:$A&gt;=DATE(2026,8,1))*('DRAFT 2'!$A:$A&lt;DATE(2026,IF(8=12,8+1,8+1),1)),'DRAFT 2'!$A:$A),"")</f>
        <v/>
      </c>
      <c r="GJ39">
        <f>COUNTIFS('DRAFT 2'!$D:$D,$B39,'DRAFT 2'!$A:$A,"&gt;="&amp;DATE(2026,8,1),'DRAFT 2'!$A:$A,"&lt;="&amp;DATE(2026,8,7))</f>
        <v/>
      </c>
      <c r="GK39">
        <f>COUNTIFS('DRAFT 2'!$D:$D,$B39,'DRAFT 2'!$A:$A,"&gt;="&amp;DATE(2026,8,8),'DRAFT 2'!$A:$A,"&lt;="&amp;DATE(2026,8,14))</f>
        <v/>
      </c>
      <c r="GL39">
        <f>COUNTIFS('DRAFT 2'!$D:$D,$B39,'DRAFT 2'!$A:$A,"&gt;="&amp;DATE(2026,8,15),'DRAFT 2'!$A:$A,"&lt;="&amp;DATE(2026,8,21))</f>
        <v/>
      </c>
      <c r="GM39">
        <f>COUNTIFS('DRAFT 2'!$D:$D,$B39,'DRAFT 2'!$A:$A,"&gt;="&amp;DATE(2026,8,22),'DRAFT 2'!$A:$A,"&lt;"&amp;DATE(2026,IF(8=12,8+1,8+1),1))</f>
        <v/>
      </c>
      <c r="GN39">
        <f>SUM(GJ39:GM39)</f>
        <v/>
      </c>
      <c r="GX39">
        <f>IFERROR(LOOKUP(2,1/('DRAFT 2'!$D:$D=$B39)*('DRAFT 2'!$A:$A&gt;=DATE(2026,9,1))*('DRAFT 2'!$A:$A&lt;DATE(2026,IF(9=12,9+1,9+1),1)),'DRAFT 2'!$A:$A),"")</f>
        <v/>
      </c>
      <c r="GY39">
        <f>COUNTIFS('DRAFT 2'!$D:$D,$B39,'DRAFT 2'!$A:$A,"&gt;="&amp;DATE(2026,9,1),'DRAFT 2'!$A:$A,"&lt;="&amp;DATE(2026,9,7))</f>
        <v/>
      </c>
      <c r="GZ39">
        <f>COUNTIFS('DRAFT 2'!$D:$D,$B39,'DRAFT 2'!$A:$A,"&gt;="&amp;DATE(2026,9,8),'DRAFT 2'!$A:$A,"&lt;="&amp;DATE(2026,9,14))</f>
        <v/>
      </c>
      <c r="HA39">
        <f>COUNTIFS('DRAFT 2'!$D:$D,$B39,'DRAFT 2'!$A:$A,"&gt;="&amp;DATE(2026,9,15),'DRAFT 2'!$A:$A,"&lt;="&amp;DATE(2026,9,21))</f>
        <v/>
      </c>
      <c r="HB39">
        <f>COUNTIFS('DRAFT 2'!$D:$D,$B39,'DRAFT 2'!$A:$A,"&gt;="&amp;DATE(2026,9,22),'DRAFT 2'!$A:$A,"&lt;"&amp;DATE(2026,IF(9=12,9+1,9+1),1))</f>
        <v/>
      </c>
      <c r="HC39">
        <f>SUM(GY39:HB39)</f>
        <v/>
      </c>
      <c r="HN39">
        <f>IFERROR(LOOKUP(2,1/('DRAFT 2'!$D:$D=$B39)*('DRAFT 2'!$A:$A&gt;=DATE(2026,10,1))*('DRAFT 2'!$A:$A&lt;DATE(2026,IF(10=12,10+1,10+1),1)),'DRAFT 2'!$A:$A),"")</f>
        <v/>
      </c>
      <c r="HO39">
        <f>COUNTIFS('DRAFT 2'!$D:$D,$B39,'DRAFT 2'!$A:$A,"&gt;="&amp;DATE(2026,10,1),'DRAFT 2'!$A:$A,"&lt;="&amp;DATE(2026,10,7))</f>
        <v/>
      </c>
      <c r="HP39">
        <f>COUNTIFS('DRAFT 2'!$D:$D,$B39,'DRAFT 2'!$A:$A,"&gt;="&amp;DATE(2026,10,8),'DRAFT 2'!$A:$A,"&lt;="&amp;DATE(2026,10,14))</f>
        <v/>
      </c>
      <c r="HQ39">
        <f>COUNTIFS('DRAFT 2'!$D:$D,$B39,'DRAFT 2'!$A:$A,"&gt;="&amp;DATE(2026,10,15),'DRAFT 2'!$A:$A,"&lt;="&amp;DATE(2026,10,21))</f>
        <v/>
      </c>
      <c r="HR39">
        <f>COUNTIFS('DRAFT 2'!$D:$D,$B39,'DRAFT 2'!$A:$A,"&gt;="&amp;DATE(2026,10,22),'DRAFT 2'!$A:$A,"&lt;"&amp;DATE(2026,IF(10=12,10+1,10+1),1))</f>
        <v/>
      </c>
      <c r="HS39">
        <f>SUM(HO39:HR39)</f>
        <v/>
      </c>
      <c r="IC39">
        <f>IFERROR(LOOKUP(2,1/('DRAFT 2'!$D:$D=$B39)*('DRAFT 2'!$A:$A&gt;=DATE(2026,11,1))*('DRAFT 2'!$A:$A&lt;DATE(2026,IF(11=12,11+1,11+1),1)),'DRAFT 2'!$A:$A),"")</f>
        <v/>
      </c>
      <c r="ID39">
        <f>COUNTIFS('DRAFT 2'!$D:$D,$B39,'DRAFT 2'!$A:$A,"&gt;="&amp;DATE(2026,11,1),'DRAFT 2'!$A:$A,"&lt;="&amp;DATE(2026,11,7))</f>
        <v/>
      </c>
      <c r="IE39">
        <f>COUNTIFS('DRAFT 2'!$D:$D,$B39,'DRAFT 2'!$A:$A,"&gt;="&amp;DATE(2026,11,8),'DRAFT 2'!$A:$A,"&lt;="&amp;DATE(2026,11,14))</f>
        <v/>
      </c>
      <c r="IF39">
        <f>COUNTIFS('DRAFT 2'!$D:$D,$B39,'DRAFT 2'!$A:$A,"&gt;="&amp;DATE(2026,11,15),'DRAFT 2'!$A:$A,"&lt;="&amp;DATE(2026,11,21))</f>
        <v/>
      </c>
      <c r="IG39">
        <f>COUNTIFS('DRAFT 2'!$D:$D,$B39,'DRAFT 2'!$A:$A,"&gt;="&amp;DATE(2026,11,22),'DRAFT 2'!$A:$A,"&lt;"&amp;DATE(2026,IF(11=12,11+1,11+1),1))</f>
        <v/>
      </c>
      <c r="IH39">
        <f>SUM(ID39:IG39)</f>
        <v/>
      </c>
      <c r="IR39">
        <f>IFERROR(LOOKUP(2,1/('DRAFT 2'!$D:$D=$B39)*('DRAFT 2'!$A:$A&gt;=DATE(2026,12,1))*('DRAFT 2'!$A:$A&lt;DATE(2026,IF(12=12,12+1,12+1),1)),'DRAFT 2'!$A:$A),"")</f>
        <v/>
      </c>
      <c r="IS39">
        <f>COUNTIFS('DRAFT 2'!$D:$D,$B39,'DRAFT 2'!$A:$A,"&gt;="&amp;DATE(2026,12,1),'DRAFT 2'!$A:$A,"&lt;="&amp;DATE(2026,12,7))</f>
        <v/>
      </c>
      <c r="IT39">
        <f>COUNTIFS('DRAFT 2'!$D:$D,$B39,'DRAFT 2'!$A:$A,"&gt;="&amp;DATE(2026,12,8),'DRAFT 2'!$A:$A,"&lt;="&amp;DATE(2026,12,14))</f>
        <v/>
      </c>
      <c r="IU39">
        <f>COUNTIFS('DRAFT 2'!$D:$D,$B39,'DRAFT 2'!$A:$A,"&gt;="&amp;DATE(2026,12,15),'DRAFT 2'!$A:$A,"&lt;="&amp;DATE(2026,12,21))</f>
        <v/>
      </c>
      <c r="IV39">
        <f>COUNTIFS('DRAFT 2'!$D:$D,$B39,'DRAFT 2'!$A:$A,"&gt;="&amp;DATE(2026,12,22),'DRAFT 2'!$A:$A,"&lt;"&amp;DATE(2026,IF(12=12,12+1,12+1),1))</f>
        <v/>
      </c>
      <c r="IW39">
        <f>SUM(IS39:IV39)</f>
        <v/>
      </c>
    </row>
    <row r="40">
      <c r="A40">
        <f>IFERROR(INDEX('DRAFT 1'!$A:$A,MATCH($B40,'DRAFT 1'!$B:$B,0)),"")</f>
        <v/>
      </c>
      <c r="C40">
        <f>IFERROR(INDEX('DRAFT 1'!$C:$C,MATCH($B40,'DRAFT 1'!$B:$B,0)),"")</f>
        <v/>
      </c>
      <c r="D40">
        <f>IFERROR(INDEX('DRAFT 1'!$D:$D,MATCH($B40,'DRAFT 1'!$B:$B,0)),"")</f>
        <v/>
      </c>
      <c r="E40">
        <f>IFERROR(INDEX('DRAFT 1'!$E:$E,MATCH($B40,'DRAFT 1'!$B:$B,0)),"")</f>
        <v/>
      </c>
      <c r="F40">
        <f>IFERROR(INDEX('DRAFT 1'!$F:$F,MATCH($B40,'DRAFT 1'!$B:$B,0)),"")</f>
        <v/>
      </c>
      <c r="G40">
        <f>IFERROR(INDEX('DRAFT 1'!$G:$G,MATCH($B40,'DRAFT 1'!$B:$B,0)),"")</f>
        <v/>
      </c>
      <c r="H40">
        <f>IFERROR(INDEX('DRAFT 1'!$H:$H,MATCH($B40,'DRAFT 1'!$B:$B,0)),"")</f>
        <v/>
      </c>
      <c r="I40" t="inlineStr">
        <is>
          <t>DIVINA TERRA</t>
        </is>
      </c>
      <c r="K40">
        <f>IFERROR(INDEX('DRAFT 1'!$AL:$AL,MATCH($B40,'DRAFT 1'!$B:$B,0)),"")</f>
        <v/>
      </c>
      <c r="L40">
        <f>IFERROR(INDEX('DRAFT 1'!$J:$J,MATCH($B40,'DRAFT 1'!$B:$B,0)),"")</f>
        <v/>
      </c>
      <c r="M40">
        <f>IFERROR(INDEX('DRAFT 1'!$K:$K,MATCH($B40,'DRAFT 1'!$B:$B,0)),"")</f>
        <v/>
      </c>
      <c r="N40" t="inlineStr">
        <is>
          <t>ATIVO</t>
        </is>
      </c>
      <c r="P40">
        <f>IFERROR(INDEX('DRAFT 1'!$L:$L,MATCH($B40,'DRAFT 1'!$B:$B,0)),"")</f>
        <v/>
      </c>
      <c r="Q40">
        <f>IFERROR(INDEX('DRAFT 1'!$M:$M,MATCH($B40,'DRAFT 1'!$B:$B,0)),"")</f>
        <v/>
      </c>
      <c r="R40">
        <f>IFERROR(INDEX('DRAFT 1'!$N:$N,MATCH($B40,'DRAFT 1'!$B:$B,0)),"")</f>
        <v/>
      </c>
      <c r="S40">
        <f>IFERROR(INDEX('DRAFT 1'!$O:$O,MATCH($B40,'DRAFT 1'!$B:$B,0)),"")</f>
        <v/>
      </c>
      <c r="T40">
        <f>IFERROR(INDEX('DRAFT 1'!$P:$P,MATCH($B40,'DRAFT 1'!$B:$B,0)),"")</f>
        <v/>
      </c>
      <c r="U40">
        <f>IFERROR(INDEX('DRAFT 1'!$Q:$Q,MATCH($B40,'DRAFT 1'!$B:$B,0)),"")</f>
        <v/>
      </c>
      <c r="V40">
        <f>IFERROR(INDEX('DRAFT 1'!$R:$R,MATCH($B40,'DRAFT 1'!$B:$B,0)),"")</f>
        <v/>
      </c>
      <c r="W40">
        <f>IFERROR(INDEX('DRAFT 1'!$S:$S,MATCH($B40,'DRAFT 1'!$B:$B,0)),"")</f>
        <v/>
      </c>
      <c r="X40">
        <f>IFERROR(INDEX('DRAFT 1'!$T:$T,MATCH($B40,'DRAFT 1'!$B:$B,0)),"")</f>
        <v/>
      </c>
      <c r="Z40">
        <f>IFERROR(INDEX('DRAFT 1'!$U:$U,MATCH($B40,'DRAFT 1'!$B:$B,0)),"")</f>
        <v/>
      </c>
      <c r="AA40">
        <f>IFERROR(INDEX('DRAFT 1'!$V:$V,MATCH($B40,'DRAFT 1'!$B:$B,0)),"")</f>
        <v/>
      </c>
      <c r="AB40">
        <f>IFERROR(INDEX('DRAFT 1'!$W:$W,MATCH($B40,'DRAFT 1'!$B:$B,0)),"")</f>
        <v/>
      </c>
      <c r="AC40">
        <f>IFERROR(INDEX('DRAFT 1'!$X:$X,MATCH($B40,'DRAFT 1'!$B:$B,0)),"")</f>
        <v/>
      </c>
      <c r="AD40">
        <f>IFERROR(INDEX('DRAFT 1'!$Y:$Y,MATCH($B40,'DRAFT 1'!$B:$B,0)),"")</f>
        <v/>
      </c>
      <c r="AE40">
        <f>IFERROR(INDEX('DRAFT 1'!$Z:$Z,MATCH($B40,'DRAFT 1'!$B:$B,0)),"")</f>
        <v/>
      </c>
      <c r="AF40">
        <f>IFERROR(INDEX('DRAFT 1'!$AA:$AA,MATCH($B40,'DRAFT 1'!$B:$B,0)),"")</f>
        <v/>
      </c>
      <c r="AG40">
        <f>IFERROR(INDEX('DRAFT 1'!$AB:$AB,MATCH($B40,'DRAFT 1'!$B:$B,0)),"")</f>
        <v/>
      </c>
      <c r="AH40">
        <f>IFERROR(INDEX('DRAFT 1'!$AC:$AC,MATCH($B40,'DRAFT 1'!$B:$B,0)),"")</f>
        <v/>
      </c>
      <c r="AI40">
        <f>IFERROR(INDEX('DRAFT 1'!$AD:$AD,MATCH($B40,'DRAFT 1'!$B:$B,0)),"")</f>
        <v/>
      </c>
      <c r="AJ40">
        <f>IFERROR(INDEX('DRAFT 1'!$AE:$AE,MATCH($B40,'DRAFT 1'!$B:$B,0)),"")</f>
        <v/>
      </c>
      <c r="AK40">
        <f>IFERROR(INDEX('DRAFT 1'!$AG:$AG,MATCH($B40,'DRAFT 1'!$B:$B,0)),"")</f>
        <v/>
      </c>
      <c r="AL40">
        <f>IFERROR(INDEX('DRAFT 1'!$AH:$AH,MATCH($B40,'DRAFT 1'!$B:$B,0)),"")</f>
        <v/>
      </c>
      <c r="AM40">
        <f>IFERROR(INDEX('DRAFT 1'!$AI:$AI,MATCH($B40,'DRAFT 1'!$B:$B,0)),"")</f>
        <v/>
      </c>
      <c r="AN40">
        <f>IFERROR(INDEX('DRAFT 1'!$AJ:$AJ,MATCH($B40,'DRAFT 1'!$B:$B,0)),"")</f>
        <v/>
      </c>
      <c r="AO40">
        <f>IFERROR(Y40/AN40,0)</f>
        <v/>
      </c>
      <c r="AP40">
        <f>IFERROR(INDEX('DRAFT 1'!$AK:$AK,MATCH($B40,'DRAFT 1'!$B:$B,0)),"")</f>
        <v/>
      </c>
      <c r="AR40" t="inlineStr">
        <is>
          <t>RECOMPRA</t>
        </is>
      </c>
      <c r="AS40">
        <f>IFERROR(LOOKUP(2,1/('DRAFT 2'!$D:$D=$B40),'DRAFT 2'!$T:$T),"")</f>
        <v/>
      </c>
      <c r="AT40">
        <f>IFERROR(LOOKUP(2,1/('DRAFT 2'!$D:$D=$B40),'DRAFT 2'!$A:$A),"")</f>
        <v/>
      </c>
      <c r="AU40">
        <f>IFERROR(LOOKUP(2,1/('DRAFT 2'!$D:$D=$B40),'DRAFT 2'!$R:$R),"")</f>
        <v/>
      </c>
      <c r="AV40">
        <f>IFERROR(LOOKUP(2,1/('DRAFT 2'!$D:$D=$B40),'DRAFT 2'!$S:$S),"")</f>
        <v/>
      </c>
      <c r="AW40" t="inlineStr">
        <is>
          <t>RECORRENTE</t>
        </is>
      </c>
      <c r="AX40">
        <f>IFERROR(LOOKUP(2,1/('DRAFT 2'!$D:$D=$B40),'DRAFT 2'!$M:$M),"")</f>
        <v/>
      </c>
      <c r="AY40">
        <f>IFERROR(LOOKUP(2,1/('DRAFT 2'!$D:$D=$B40),'DRAFT 2'!$K:$K),"")</f>
        <v/>
      </c>
      <c r="BG40">
        <f>IFERROR(LOOKUP(2,1/('DRAFT 2'!$D:$D=$B40),'DRAFT 2'!$U:$U),"")</f>
        <v/>
      </c>
      <c r="BH40">
        <f>IFERROR(LOOKUP(2,1/('DRAFT 2'!$D:$D=$B40),'DRAFT 2'!$V:$V),"")</f>
        <v/>
      </c>
      <c r="CE40">
        <f>IFERROR(AJ40,0)</f>
        <v/>
      </c>
      <c r="CF40">
        <f>IFERROR(LOOKUP(2,1/('DRAFT 2'!$D:$D=$B40)*('DRAFT 2'!$A:$A&gt;=DATE(2026,1,1))*('DRAFT 2'!$A:$A&lt;DATE(2026,IF(1=12,1+1,1+1),1)),'DRAFT 2'!$A:$A),"")</f>
        <v/>
      </c>
      <c r="CG40">
        <f>COUNTIFS('DRAFT 2'!$D:$D,$B40,'DRAFT 2'!$A:$A,"&gt;="&amp;DATE(2026,1,1),'DRAFT 2'!$A:$A,"&lt;="&amp;DATE(2026,1,7))</f>
        <v/>
      </c>
      <c r="CH40">
        <f>COUNTIFS('DRAFT 2'!$D:$D,$B40,'DRAFT 2'!$A:$A,"&gt;="&amp;DATE(2026,1,8),'DRAFT 2'!$A:$A,"&lt;="&amp;DATE(2026,1,14))</f>
        <v/>
      </c>
      <c r="CI40">
        <f>COUNTIFS('DRAFT 2'!$D:$D,$B40,'DRAFT 2'!$A:$A,"&gt;="&amp;DATE(2026,1,15),'DRAFT 2'!$A:$A,"&lt;="&amp;DATE(2026,1,21))</f>
        <v/>
      </c>
      <c r="CJ40">
        <f>COUNTIFS('DRAFT 2'!$D:$D,$B40,'DRAFT 2'!$A:$A,"&gt;="&amp;DATE(2026,1,22),'DRAFT 2'!$A:$A,"&lt;"&amp;DATE(2026,IF(1=12,1+1,1+1),1))</f>
        <v/>
      </c>
      <c r="CK40">
        <f>SUM(CG40:CJ40)</f>
        <v/>
      </c>
      <c r="CT40" t="n">
        <v>0</v>
      </c>
      <c r="CU40">
        <f>IFERROR(LOOKUP(2,1/('DRAFT 2'!$D:$D=$B40)*('DRAFT 2'!$A:$A&gt;=DATE(2026,2,1))*('DRAFT 2'!$A:$A&lt;DATE(2026,IF(2=12,2+1,2+1),1)),'DRAFT 2'!$A:$A),"")</f>
        <v/>
      </c>
      <c r="CV40">
        <f>COUNTIFS('DRAFT 2'!$D:$D,$B40,'DRAFT 2'!$A:$A,"&gt;="&amp;DATE(2026,2,1),'DRAFT 2'!$A:$A,"&lt;="&amp;DATE(2026,2,7))</f>
        <v/>
      </c>
      <c r="CW40">
        <f>COUNTIFS('DRAFT 2'!$D:$D,$B40,'DRAFT 2'!$A:$A,"&gt;="&amp;DATE(2026,2,8),'DRAFT 2'!$A:$A,"&lt;="&amp;DATE(2026,2,14))</f>
        <v/>
      </c>
      <c r="CX40">
        <f>COUNTIFS('DRAFT 2'!$D:$D,$B40,'DRAFT 2'!$A:$A,"&gt;="&amp;DATE(2026,2,15),'DRAFT 2'!$A:$A,"&lt;="&amp;DATE(2026,2,21))</f>
        <v/>
      </c>
      <c r="CY40">
        <f>COUNTIFS('DRAFT 2'!$D:$D,$B40,'DRAFT 2'!$A:$A,"&gt;="&amp;DATE(2026,2,22),'DRAFT 2'!$A:$A,"&lt;"&amp;DATE(2026,IF(2=12,2+1,2+1),1))</f>
        <v/>
      </c>
      <c r="CZ40">
        <f>SUM(CV40:CY40)</f>
        <v/>
      </c>
      <c r="DJ40">
        <f>IFERROR(LOOKUP(2,1/('DRAFT 2'!$D:$D=$B40)*('DRAFT 2'!$A:$A&gt;=DATE(2026,3,1))*('DRAFT 2'!$A:$A&lt;DATE(2026,IF(3=12,3+1,3+1),1)),'DRAFT 2'!$A:$A),"")</f>
        <v/>
      </c>
      <c r="DK40">
        <f>COUNTIFS('DRAFT 2'!$D:$D,$B40,'DRAFT 2'!$A:$A,"&gt;="&amp;DATE(2026,3,1),'DRAFT 2'!$A:$A,"&lt;="&amp;DATE(2026,3,7))</f>
        <v/>
      </c>
      <c r="DL40">
        <f>COUNTIFS('DRAFT 2'!$D:$D,$B40,'DRAFT 2'!$A:$A,"&gt;="&amp;DATE(2026,3,8),'DRAFT 2'!$A:$A,"&lt;="&amp;DATE(2026,3,14))</f>
        <v/>
      </c>
      <c r="DM40">
        <f>COUNTIFS('DRAFT 2'!$D:$D,$B40,'DRAFT 2'!$A:$A,"&gt;="&amp;DATE(2026,3,15),'DRAFT 2'!$A:$A,"&lt;="&amp;DATE(2026,3,21))</f>
        <v/>
      </c>
      <c r="DN40">
        <f>COUNTIFS('DRAFT 2'!$D:$D,$B40,'DRAFT 2'!$A:$A,"&gt;="&amp;DATE(2026,3,22),'DRAFT 2'!$A:$A,"&lt;"&amp;DATE(2026,IF(3=12,3+1,3+1),1))</f>
        <v/>
      </c>
      <c r="DO40">
        <f>SUM(DK40:DN40)</f>
        <v/>
      </c>
      <c r="DZ40">
        <f>IFERROR(LOOKUP(2,1/('DRAFT 2'!$D:$D=$B40)*('DRAFT 2'!$A:$A&gt;=DATE(2026,4,1))*('DRAFT 2'!$A:$A&lt;DATE(2026,IF(4=12,4+1,4+1),1)),'DRAFT 2'!$A:$A),"")</f>
        <v/>
      </c>
      <c r="EA40">
        <f>COUNTIFS('DRAFT 2'!$D:$D,$B40,'DRAFT 2'!$A:$A,"&gt;="&amp;DATE(2026,4,1),'DRAFT 2'!$A:$A,"&lt;="&amp;DATE(2026,4,7))</f>
        <v/>
      </c>
      <c r="EB40">
        <f>COUNTIFS('DRAFT 2'!$D:$D,$B40,'DRAFT 2'!$A:$A,"&gt;="&amp;DATE(2026,4,8),'DRAFT 2'!$A:$A,"&lt;="&amp;DATE(2026,4,14))</f>
        <v/>
      </c>
      <c r="EC40">
        <f>COUNTIFS('DRAFT 2'!$D:$D,$B40,'DRAFT 2'!$A:$A,"&gt;="&amp;DATE(2026,4,15),'DRAFT 2'!$A:$A,"&lt;="&amp;DATE(2026,4,21))</f>
        <v/>
      </c>
      <c r="ED40">
        <f>COUNTIFS('DRAFT 2'!$D:$D,$B40,'DRAFT 2'!$A:$A,"&gt;="&amp;DATE(2026,4,22),'DRAFT 2'!$A:$A,"&lt;"&amp;DATE(2026,IF(4=12,4+1,4+1),1))</f>
        <v/>
      </c>
      <c r="EE40">
        <f>SUM(EA40:ED40)</f>
        <v/>
      </c>
      <c r="EO40">
        <f>IFERROR(LOOKUP(2,1/('DRAFT 2'!$D:$D=$B40)*('DRAFT 2'!$A:$A&gt;=DATE(2026,5,1))*('DRAFT 2'!$A:$A&lt;DATE(2026,IF(5=12,5+1,5+1),1)),'DRAFT 2'!$A:$A),"")</f>
        <v/>
      </c>
      <c r="EP40">
        <f>COUNTIFS('DRAFT 2'!$D:$D,$B40,'DRAFT 2'!$A:$A,"&gt;="&amp;DATE(2026,5,1),'DRAFT 2'!$A:$A,"&lt;="&amp;DATE(2026,5,7))</f>
        <v/>
      </c>
      <c r="EQ40">
        <f>COUNTIFS('DRAFT 2'!$D:$D,$B40,'DRAFT 2'!$A:$A,"&gt;="&amp;DATE(2026,5,8),'DRAFT 2'!$A:$A,"&lt;="&amp;DATE(2026,5,14))</f>
        <v/>
      </c>
      <c r="ER40">
        <f>COUNTIFS('DRAFT 2'!$D:$D,$B40,'DRAFT 2'!$A:$A,"&gt;="&amp;DATE(2026,5,15),'DRAFT 2'!$A:$A,"&lt;="&amp;DATE(2026,5,21))</f>
        <v/>
      </c>
      <c r="ES40">
        <f>COUNTIFS('DRAFT 2'!$D:$D,$B40,'DRAFT 2'!$A:$A,"&gt;="&amp;DATE(2026,5,22),'DRAFT 2'!$A:$A,"&lt;"&amp;DATE(2026,IF(5=12,5+1,5+1),1))</f>
        <v/>
      </c>
      <c r="ET40">
        <f>SUM(EP40:ES40)</f>
        <v/>
      </c>
      <c r="FD40">
        <f>IFERROR(LOOKUP(2,1/('DRAFT 2'!$D:$D=$B40)*('DRAFT 2'!$A:$A&gt;=DATE(2026,6,1))*('DRAFT 2'!$A:$A&lt;DATE(2026,IF(6=12,6+1,6+1),1)),'DRAFT 2'!$A:$A),"")</f>
        <v/>
      </c>
      <c r="FE40">
        <f>COUNTIFS('DRAFT 2'!$D:$D,$B40,'DRAFT 2'!$A:$A,"&gt;="&amp;DATE(2026,6,1),'DRAFT 2'!$A:$A,"&lt;="&amp;DATE(2026,6,7))</f>
        <v/>
      </c>
      <c r="FF40">
        <f>COUNTIFS('DRAFT 2'!$D:$D,$B40,'DRAFT 2'!$A:$A,"&gt;="&amp;DATE(2026,6,8),'DRAFT 2'!$A:$A,"&lt;="&amp;DATE(2026,6,14))</f>
        <v/>
      </c>
      <c r="FG40">
        <f>COUNTIFS('DRAFT 2'!$D:$D,$B40,'DRAFT 2'!$A:$A,"&gt;="&amp;DATE(2026,6,15),'DRAFT 2'!$A:$A,"&lt;="&amp;DATE(2026,6,21))</f>
        <v/>
      </c>
      <c r="FH40">
        <f>COUNTIFS('DRAFT 2'!$D:$D,$B40,'DRAFT 2'!$A:$A,"&gt;="&amp;DATE(2026,6,22),'DRAFT 2'!$A:$A,"&lt;"&amp;DATE(2026,IF(6=12,6+1,6+1),1))</f>
        <v/>
      </c>
      <c r="FI40">
        <f>SUM(FE40:FH40)</f>
        <v/>
      </c>
      <c r="FT40">
        <f>IFERROR(LOOKUP(2,1/('DRAFT 2'!$D:$D=$B40)*('DRAFT 2'!$A:$A&gt;=DATE(2026,7,1))*('DRAFT 2'!$A:$A&lt;DATE(2026,IF(7=12,7+1,7+1),1)),'DRAFT 2'!$A:$A),"")</f>
        <v/>
      </c>
      <c r="FU40">
        <f>COUNTIFS('DRAFT 2'!$D:$D,$B40,'DRAFT 2'!$A:$A,"&gt;="&amp;DATE(2026,7,1),'DRAFT 2'!$A:$A,"&lt;="&amp;DATE(2026,7,7))</f>
        <v/>
      </c>
      <c r="FV40">
        <f>COUNTIFS('DRAFT 2'!$D:$D,$B40,'DRAFT 2'!$A:$A,"&gt;="&amp;DATE(2026,7,8),'DRAFT 2'!$A:$A,"&lt;="&amp;DATE(2026,7,14))</f>
        <v/>
      </c>
      <c r="FW40">
        <f>COUNTIFS('DRAFT 2'!$D:$D,$B40,'DRAFT 2'!$A:$A,"&gt;="&amp;DATE(2026,7,15),'DRAFT 2'!$A:$A,"&lt;="&amp;DATE(2026,7,21))</f>
        <v/>
      </c>
      <c r="FX40">
        <f>COUNTIFS('DRAFT 2'!$D:$D,$B40,'DRAFT 2'!$A:$A,"&gt;="&amp;DATE(2026,7,22),'DRAFT 2'!$A:$A,"&lt;"&amp;DATE(2026,IF(7=12,7+1,7+1),1))</f>
        <v/>
      </c>
      <c r="FY40">
        <f>SUM(FU40:FX40)</f>
        <v/>
      </c>
      <c r="GI40">
        <f>IFERROR(LOOKUP(2,1/('DRAFT 2'!$D:$D=$B40)*('DRAFT 2'!$A:$A&gt;=DATE(2026,8,1))*('DRAFT 2'!$A:$A&lt;DATE(2026,IF(8=12,8+1,8+1),1)),'DRAFT 2'!$A:$A),"")</f>
        <v/>
      </c>
      <c r="GJ40">
        <f>COUNTIFS('DRAFT 2'!$D:$D,$B40,'DRAFT 2'!$A:$A,"&gt;="&amp;DATE(2026,8,1),'DRAFT 2'!$A:$A,"&lt;="&amp;DATE(2026,8,7))</f>
        <v/>
      </c>
      <c r="GK40">
        <f>COUNTIFS('DRAFT 2'!$D:$D,$B40,'DRAFT 2'!$A:$A,"&gt;="&amp;DATE(2026,8,8),'DRAFT 2'!$A:$A,"&lt;="&amp;DATE(2026,8,14))</f>
        <v/>
      </c>
      <c r="GL40">
        <f>COUNTIFS('DRAFT 2'!$D:$D,$B40,'DRAFT 2'!$A:$A,"&gt;="&amp;DATE(2026,8,15),'DRAFT 2'!$A:$A,"&lt;="&amp;DATE(2026,8,21))</f>
        <v/>
      </c>
      <c r="GM40">
        <f>COUNTIFS('DRAFT 2'!$D:$D,$B40,'DRAFT 2'!$A:$A,"&gt;="&amp;DATE(2026,8,22),'DRAFT 2'!$A:$A,"&lt;"&amp;DATE(2026,IF(8=12,8+1,8+1),1))</f>
        <v/>
      </c>
      <c r="GN40">
        <f>SUM(GJ40:GM40)</f>
        <v/>
      </c>
      <c r="GX40">
        <f>IFERROR(LOOKUP(2,1/('DRAFT 2'!$D:$D=$B40)*('DRAFT 2'!$A:$A&gt;=DATE(2026,9,1))*('DRAFT 2'!$A:$A&lt;DATE(2026,IF(9=12,9+1,9+1),1)),'DRAFT 2'!$A:$A),"")</f>
        <v/>
      </c>
      <c r="GY40">
        <f>COUNTIFS('DRAFT 2'!$D:$D,$B40,'DRAFT 2'!$A:$A,"&gt;="&amp;DATE(2026,9,1),'DRAFT 2'!$A:$A,"&lt;="&amp;DATE(2026,9,7))</f>
        <v/>
      </c>
      <c r="GZ40">
        <f>COUNTIFS('DRAFT 2'!$D:$D,$B40,'DRAFT 2'!$A:$A,"&gt;="&amp;DATE(2026,9,8),'DRAFT 2'!$A:$A,"&lt;="&amp;DATE(2026,9,14))</f>
        <v/>
      </c>
      <c r="HA40">
        <f>COUNTIFS('DRAFT 2'!$D:$D,$B40,'DRAFT 2'!$A:$A,"&gt;="&amp;DATE(2026,9,15),'DRAFT 2'!$A:$A,"&lt;="&amp;DATE(2026,9,21))</f>
        <v/>
      </c>
      <c r="HB40">
        <f>COUNTIFS('DRAFT 2'!$D:$D,$B40,'DRAFT 2'!$A:$A,"&gt;="&amp;DATE(2026,9,22),'DRAFT 2'!$A:$A,"&lt;"&amp;DATE(2026,IF(9=12,9+1,9+1),1))</f>
        <v/>
      </c>
      <c r="HC40">
        <f>SUM(GY40:HB40)</f>
        <v/>
      </c>
      <c r="HN40">
        <f>IFERROR(LOOKUP(2,1/('DRAFT 2'!$D:$D=$B40)*('DRAFT 2'!$A:$A&gt;=DATE(2026,10,1))*('DRAFT 2'!$A:$A&lt;DATE(2026,IF(10=12,10+1,10+1),1)),'DRAFT 2'!$A:$A),"")</f>
        <v/>
      </c>
      <c r="HO40">
        <f>COUNTIFS('DRAFT 2'!$D:$D,$B40,'DRAFT 2'!$A:$A,"&gt;="&amp;DATE(2026,10,1),'DRAFT 2'!$A:$A,"&lt;="&amp;DATE(2026,10,7))</f>
        <v/>
      </c>
      <c r="HP40">
        <f>COUNTIFS('DRAFT 2'!$D:$D,$B40,'DRAFT 2'!$A:$A,"&gt;="&amp;DATE(2026,10,8),'DRAFT 2'!$A:$A,"&lt;="&amp;DATE(2026,10,14))</f>
        <v/>
      </c>
      <c r="HQ40">
        <f>COUNTIFS('DRAFT 2'!$D:$D,$B40,'DRAFT 2'!$A:$A,"&gt;="&amp;DATE(2026,10,15),'DRAFT 2'!$A:$A,"&lt;="&amp;DATE(2026,10,21))</f>
        <v/>
      </c>
      <c r="HR40">
        <f>COUNTIFS('DRAFT 2'!$D:$D,$B40,'DRAFT 2'!$A:$A,"&gt;="&amp;DATE(2026,10,22),'DRAFT 2'!$A:$A,"&lt;"&amp;DATE(2026,IF(10=12,10+1,10+1),1))</f>
        <v/>
      </c>
      <c r="HS40">
        <f>SUM(HO40:HR40)</f>
        <v/>
      </c>
      <c r="IC40">
        <f>IFERROR(LOOKUP(2,1/('DRAFT 2'!$D:$D=$B40)*('DRAFT 2'!$A:$A&gt;=DATE(2026,11,1))*('DRAFT 2'!$A:$A&lt;DATE(2026,IF(11=12,11+1,11+1),1)),'DRAFT 2'!$A:$A),"")</f>
        <v/>
      </c>
      <c r="ID40">
        <f>COUNTIFS('DRAFT 2'!$D:$D,$B40,'DRAFT 2'!$A:$A,"&gt;="&amp;DATE(2026,11,1),'DRAFT 2'!$A:$A,"&lt;="&amp;DATE(2026,11,7))</f>
        <v/>
      </c>
      <c r="IE40">
        <f>COUNTIFS('DRAFT 2'!$D:$D,$B40,'DRAFT 2'!$A:$A,"&gt;="&amp;DATE(2026,11,8),'DRAFT 2'!$A:$A,"&lt;="&amp;DATE(2026,11,14))</f>
        <v/>
      </c>
      <c r="IF40">
        <f>COUNTIFS('DRAFT 2'!$D:$D,$B40,'DRAFT 2'!$A:$A,"&gt;="&amp;DATE(2026,11,15),'DRAFT 2'!$A:$A,"&lt;="&amp;DATE(2026,11,21))</f>
        <v/>
      </c>
      <c r="IG40">
        <f>COUNTIFS('DRAFT 2'!$D:$D,$B40,'DRAFT 2'!$A:$A,"&gt;="&amp;DATE(2026,11,22),'DRAFT 2'!$A:$A,"&lt;"&amp;DATE(2026,IF(11=12,11+1,11+1),1))</f>
        <v/>
      </c>
      <c r="IH40">
        <f>SUM(ID40:IG40)</f>
        <v/>
      </c>
      <c r="IR40">
        <f>IFERROR(LOOKUP(2,1/('DRAFT 2'!$D:$D=$B40)*('DRAFT 2'!$A:$A&gt;=DATE(2026,12,1))*('DRAFT 2'!$A:$A&lt;DATE(2026,IF(12=12,12+1,12+1),1)),'DRAFT 2'!$A:$A),"")</f>
        <v/>
      </c>
      <c r="IS40">
        <f>COUNTIFS('DRAFT 2'!$D:$D,$B40,'DRAFT 2'!$A:$A,"&gt;="&amp;DATE(2026,12,1),'DRAFT 2'!$A:$A,"&lt;="&amp;DATE(2026,12,7))</f>
        <v/>
      </c>
      <c r="IT40">
        <f>COUNTIFS('DRAFT 2'!$D:$D,$B40,'DRAFT 2'!$A:$A,"&gt;="&amp;DATE(2026,12,8),'DRAFT 2'!$A:$A,"&lt;="&amp;DATE(2026,12,14))</f>
        <v/>
      </c>
      <c r="IU40">
        <f>COUNTIFS('DRAFT 2'!$D:$D,$B40,'DRAFT 2'!$A:$A,"&gt;="&amp;DATE(2026,12,15),'DRAFT 2'!$A:$A,"&lt;="&amp;DATE(2026,12,21))</f>
        <v/>
      </c>
      <c r="IV40">
        <f>COUNTIFS('DRAFT 2'!$D:$D,$B40,'DRAFT 2'!$A:$A,"&gt;="&amp;DATE(2026,12,22),'DRAFT 2'!$A:$A,"&lt;"&amp;DATE(2026,IF(12=12,12+1,12+1),1))</f>
        <v/>
      </c>
      <c r="IW40">
        <f>SUM(IS40:IV40)</f>
        <v/>
      </c>
    </row>
    <row r="41">
      <c r="A41">
        <f>IFERROR(INDEX('DRAFT 1'!$A:$A,MATCH($B41,'DRAFT 1'!$B:$B,0)),"")</f>
        <v/>
      </c>
      <c r="C41">
        <f>IFERROR(INDEX('DRAFT 1'!$C:$C,MATCH($B41,'DRAFT 1'!$B:$B,0)),"")</f>
        <v/>
      </c>
      <c r="D41">
        <f>IFERROR(INDEX('DRAFT 1'!$D:$D,MATCH($B41,'DRAFT 1'!$B:$B,0)),"")</f>
        <v/>
      </c>
      <c r="E41">
        <f>IFERROR(INDEX('DRAFT 1'!$E:$E,MATCH($B41,'DRAFT 1'!$B:$B,0)),"")</f>
        <v/>
      </c>
      <c r="F41">
        <f>IFERROR(INDEX('DRAFT 1'!$F:$F,MATCH($B41,'DRAFT 1'!$B:$B,0)),"")</f>
        <v/>
      </c>
      <c r="G41">
        <f>IFERROR(INDEX('DRAFT 1'!$G:$G,MATCH($B41,'DRAFT 1'!$B:$B,0)),"")</f>
        <v/>
      </c>
      <c r="H41">
        <f>IFERROR(INDEX('DRAFT 1'!$H:$H,MATCH($B41,'DRAFT 1'!$B:$B,0)),"")</f>
        <v/>
      </c>
      <c r="I41" t="inlineStr">
        <is>
          <t>FIT LAND</t>
        </is>
      </c>
      <c r="K41">
        <f>IFERROR(INDEX('DRAFT 1'!$AL:$AL,MATCH($B41,'DRAFT 1'!$B:$B,0)),"")</f>
        <v/>
      </c>
      <c r="L41">
        <f>IFERROR(INDEX('DRAFT 1'!$J:$J,MATCH($B41,'DRAFT 1'!$B:$B,0)),"")</f>
        <v/>
      </c>
      <c r="M41">
        <f>IFERROR(INDEX('DRAFT 1'!$K:$K,MATCH($B41,'DRAFT 1'!$B:$B,0)),"")</f>
        <v/>
      </c>
      <c r="N41" t="inlineStr">
        <is>
          <t>PROSPECT</t>
        </is>
      </c>
      <c r="P41">
        <f>IFERROR(INDEX('DRAFT 1'!$L:$L,MATCH($B41,'DRAFT 1'!$B:$B,0)),"")</f>
        <v/>
      </c>
      <c r="Q41">
        <f>IFERROR(INDEX('DRAFT 1'!$M:$M,MATCH($B41,'DRAFT 1'!$B:$B,0)),"")</f>
        <v/>
      </c>
      <c r="R41">
        <f>IFERROR(INDEX('DRAFT 1'!$N:$N,MATCH($B41,'DRAFT 1'!$B:$B,0)),"")</f>
        <v/>
      </c>
      <c r="S41">
        <f>IFERROR(INDEX('DRAFT 1'!$O:$O,MATCH($B41,'DRAFT 1'!$B:$B,0)),"")</f>
        <v/>
      </c>
      <c r="T41">
        <f>IFERROR(INDEX('DRAFT 1'!$P:$P,MATCH($B41,'DRAFT 1'!$B:$B,0)),"")</f>
        <v/>
      </c>
      <c r="U41">
        <f>IFERROR(INDEX('DRAFT 1'!$Q:$Q,MATCH($B41,'DRAFT 1'!$B:$B,0)),"")</f>
        <v/>
      </c>
      <c r="V41">
        <f>IFERROR(INDEX('DRAFT 1'!$R:$R,MATCH($B41,'DRAFT 1'!$B:$B,0)),"")</f>
        <v/>
      </c>
      <c r="W41">
        <f>IFERROR(INDEX('DRAFT 1'!$S:$S,MATCH($B41,'DRAFT 1'!$B:$B,0)),"")</f>
        <v/>
      </c>
      <c r="X41">
        <f>IFERROR(INDEX('DRAFT 1'!$T:$T,MATCH($B41,'DRAFT 1'!$B:$B,0)),"")</f>
        <v/>
      </c>
      <c r="Z41">
        <f>IFERROR(INDEX('DRAFT 1'!$U:$U,MATCH($B41,'DRAFT 1'!$B:$B,0)),"")</f>
        <v/>
      </c>
      <c r="AA41">
        <f>IFERROR(INDEX('DRAFT 1'!$V:$V,MATCH($B41,'DRAFT 1'!$B:$B,0)),"")</f>
        <v/>
      </c>
      <c r="AB41">
        <f>IFERROR(INDEX('DRAFT 1'!$W:$W,MATCH($B41,'DRAFT 1'!$B:$B,0)),"")</f>
        <v/>
      </c>
      <c r="AC41">
        <f>IFERROR(INDEX('DRAFT 1'!$X:$X,MATCH($B41,'DRAFT 1'!$B:$B,0)),"")</f>
        <v/>
      </c>
      <c r="AD41">
        <f>IFERROR(INDEX('DRAFT 1'!$Y:$Y,MATCH($B41,'DRAFT 1'!$B:$B,0)),"")</f>
        <v/>
      </c>
      <c r="AE41">
        <f>IFERROR(INDEX('DRAFT 1'!$Z:$Z,MATCH($B41,'DRAFT 1'!$B:$B,0)),"")</f>
        <v/>
      </c>
      <c r="AF41">
        <f>IFERROR(INDEX('DRAFT 1'!$AA:$AA,MATCH($B41,'DRAFT 1'!$B:$B,0)),"")</f>
        <v/>
      </c>
      <c r="AG41">
        <f>IFERROR(INDEX('DRAFT 1'!$AB:$AB,MATCH($B41,'DRAFT 1'!$B:$B,0)),"")</f>
        <v/>
      </c>
      <c r="AH41">
        <f>IFERROR(INDEX('DRAFT 1'!$AC:$AC,MATCH($B41,'DRAFT 1'!$B:$B,0)),"")</f>
        <v/>
      </c>
      <c r="AI41">
        <f>IFERROR(INDEX('DRAFT 1'!$AD:$AD,MATCH($B41,'DRAFT 1'!$B:$B,0)),"")</f>
        <v/>
      </c>
      <c r="AJ41">
        <f>IFERROR(INDEX('DRAFT 1'!$AE:$AE,MATCH($B41,'DRAFT 1'!$B:$B,0)),"")</f>
        <v/>
      </c>
      <c r="AK41">
        <f>IFERROR(INDEX('DRAFT 1'!$AG:$AG,MATCH($B41,'DRAFT 1'!$B:$B,0)),"")</f>
        <v/>
      </c>
      <c r="AL41">
        <f>IFERROR(INDEX('DRAFT 1'!$AH:$AH,MATCH($B41,'DRAFT 1'!$B:$B,0)),"")</f>
        <v/>
      </c>
      <c r="AM41">
        <f>IFERROR(INDEX('DRAFT 1'!$AI:$AI,MATCH($B41,'DRAFT 1'!$B:$B,0)),"")</f>
        <v/>
      </c>
      <c r="AN41">
        <f>IFERROR(INDEX('DRAFT 1'!$AJ:$AJ,MATCH($B41,'DRAFT 1'!$B:$B,0)),"")</f>
        <v/>
      </c>
      <c r="AO41">
        <f>IFERROR(Y41/AN41,0)</f>
        <v/>
      </c>
      <c r="AP41">
        <f>IFERROR(INDEX('DRAFT 1'!$AK:$AK,MATCH($B41,'DRAFT 1'!$B:$B,0)),"")</f>
        <v/>
      </c>
      <c r="AR41" t="inlineStr">
        <is>
          <t>PROSPECÇÃO</t>
        </is>
      </c>
      <c r="AS41">
        <f>IFERROR(LOOKUP(2,1/('DRAFT 2'!$D:$D=$B41),'DRAFT 2'!$T:$T),"")</f>
        <v/>
      </c>
      <c r="AT41">
        <f>IFERROR(LOOKUP(2,1/('DRAFT 2'!$D:$D=$B41),'DRAFT 2'!$A:$A),"")</f>
        <v/>
      </c>
      <c r="AU41">
        <f>IFERROR(LOOKUP(2,1/('DRAFT 2'!$D:$D=$B41),'DRAFT 2'!$R:$R),"")</f>
        <v/>
      </c>
      <c r="AV41">
        <f>IFERROR(LOOKUP(2,1/('DRAFT 2'!$D:$D=$B41),'DRAFT 2'!$S:$S),"")</f>
        <v/>
      </c>
      <c r="AW41" t="inlineStr">
        <is>
          <t>FIDELIZADO</t>
        </is>
      </c>
      <c r="AX41">
        <f>IFERROR(LOOKUP(2,1/('DRAFT 2'!$D:$D=$B41),'DRAFT 2'!$M:$M),"")</f>
        <v/>
      </c>
      <c r="AY41">
        <f>IFERROR(LOOKUP(2,1/('DRAFT 2'!$D:$D=$B41),'DRAFT 2'!$K:$K),"")</f>
        <v/>
      </c>
      <c r="BG41">
        <f>IFERROR(LOOKUP(2,1/('DRAFT 2'!$D:$D=$B41),'DRAFT 2'!$U:$U),"")</f>
        <v/>
      </c>
      <c r="BH41">
        <f>IFERROR(LOOKUP(2,1/('DRAFT 2'!$D:$D=$B41),'DRAFT 2'!$V:$V),"")</f>
        <v/>
      </c>
      <c r="CE41">
        <f>IFERROR(AJ41,0)</f>
        <v/>
      </c>
      <c r="CF41">
        <f>IFERROR(LOOKUP(2,1/('DRAFT 2'!$D:$D=$B41)*('DRAFT 2'!$A:$A&gt;=DATE(2026,1,1))*('DRAFT 2'!$A:$A&lt;DATE(2026,IF(1=12,1+1,1+1),1)),'DRAFT 2'!$A:$A),"")</f>
        <v/>
      </c>
      <c r="CG41">
        <f>COUNTIFS('DRAFT 2'!$D:$D,$B41,'DRAFT 2'!$A:$A,"&gt;="&amp;DATE(2026,1,1),'DRAFT 2'!$A:$A,"&lt;="&amp;DATE(2026,1,7))</f>
        <v/>
      </c>
      <c r="CH41">
        <f>COUNTIFS('DRAFT 2'!$D:$D,$B41,'DRAFT 2'!$A:$A,"&gt;="&amp;DATE(2026,1,8),'DRAFT 2'!$A:$A,"&lt;="&amp;DATE(2026,1,14))</f>
        <v/>
      </c>
      <c r="CI41">
        <f>COUNTIFS('DRAFT 2'!$D:$D,$B41,'DRAFT 2'!$A:$A,"&gt;="&amp;DATE(2026,1,15),'DRAFT 2'!$A:$A,"&lt;="&amp;DATE(2026,1,21))</f>
        <v/>
      </c>
      <c r="CJ41">
        <f>COUNTIFS('DRAFT 2'!$D:$D,$B41,'DRAFT 2'!$A:$A,"&gt;="&amp;DATE(2026,1,22),'DRAFT 2'!$A:$A,"&lt;"&amp;DATE(2026,IF(1=12,1+1,1+1),1))</f>
        <v/>
      </c>
      <c r="CK41">
        <f>SUM(CG41:CJ41)</f>
        <v/>
      </c>
      <c r="CT41" t="n">
        <v>0</v>
      </c>
      <c r="CU41">
        <f>IFERROR(LOOKUP(2,1/('DRAFT 2'!$D:$D=$B41)*('DRAFT 2'!$A:$A&gt;=DATE(2026,2,1))*('DRAFT 2'!$A:$A&lt;DATE(2026,IF(2=12,2+1,2+1),1)),'DRAFT 2'!$A:$A),"")</f>
        <v/>
      </c>
      <c r="CV41">
        <f>COUNTIFS('DRAFT 2'!$D:$D,$B41,'DRAFT 2'!$A:$A,"&gt;="&amp;DATE(2026,2,1),'DRAFT 2'!$A:$A,"&lt;="&amp;DATE(2026,2,7))</f>
        <v/>
      </c>
      <c r="CW41">
        <f>COUNTIFS('DRAFT 2'!$D:$D,$B41,'DRAFT 2'!$A:$A,"&gt;="&amp;DATE(2026,2,8),'DRAFT 2'!$A:$A,"&lt;="&amp;DATE(2026,2,14))</f>
        <v/>
      </c>
      <c r="CX41">
        <f>COUNTIFS('DRAFT 2'!$D:$D,$B41,'DRAFT 2'!$A:$A,"&gt;="&amp;DATE(2026,2,15),'DRAFT 2'!$A:$A,"&lt;="&amp;DATE(2026,2,21))</f>
        <v/>
      </c>
      <c r="CY41">
        <f>COUNTIFS('DRAFT 2'!$D:$D,$B41,'DRAFT 2'!$A:$A,"&gt;="&amp;DATE(2026,2,22),'DRAFT 2'!$A:$A,"&lt;"&amp;DATE(2026,IF(2=12,2+1,2+1),1))</f>
        <v/>
      </c>
      <c r="CZ41">
        <f>SUM(CV41:CY41)</f>
        <v/>
      </c>
      <c r="DJ41">
        <f>IFERROR(LOOKUP(2,1/('DRAFT 2'!$D:$D=$B41)*('DRAFT 2'!$A:$A&gt;=DATE(2026,3,1))*('DRAFT 2'!$A:$A&lt;DATE(2026,IF(3=12,3+1,3+1),1)),'DRAFT 2'!$A:$A),"")</f>
        <v/>
      </c>
      <c r="DK41">
        <f>COUNTIFS('DRAFT 2'!$D:$D,$B41,'DRAFT 2'!$A:$A,"&gt;="&amp;DATE(2026,3,1),'DRAFT 2'!$A:$A,"&lt;="&amp;DATE(2026,3,7))</f>
        <v/>
      </c>
      <c r="DL41">
        <f>COUNTIFS('DRAFT 2'!$D:$D,$B41,'DRAFT 2'!$A:$A,"&gt;="&amp;DATE(2026,3,8),'DRAFT 2'!$A:$A,"&lt;="&amp;DATE(2026,3,14))</f>
        <v/>
      </c>
      <c r="DM41">
        <f>COUNTIFS('DRAFT 2'!$D:$D,$B41,'DRAFT 2'!$A:$A,"&gt;="&amp;DATE(2026,3,15),'DRAFT 2'!$A:$A,"&lt;="&amp;DATE(2026,3,21))</f>
        <v/>
      </c>
      <c r="DN41">
        <f>COUNTIFS('DRAFT 2'!$D:$D,$B41,'DRAFT 2'!$A:$A,"&gt;="&amp;DATE(2026,3,22),'DRAFT 2'!$A:$A,"&lt;"&amp;DATE(2026,IF(3=12,3+1,3+1),1))</f>
        <v/>
      </c>
      <c r="DO41">
        <f>SUM(DK41:DN41)</f>
        <v/>
      </c>
      <c r="DZ41">
        <f>IFERROR(LOOKUP(2,1/('DRAFT 2'!$D:$D=$B41)*('DRAFT 2'!$A:$A&gt;=DATE(2026,4,1))*('DRAFT 2'!$A:$A&lt;DATE(2026,IF(4=12,4+1,4+1),1)),'DRAFT 2'!$A:$A),"")</f>
        <v/>
      </c>
      <c r="EA41">
        <f>COUNTIFS('DRAFT 2'!$D:$D,$B41,'DRAFT 2'!$A:$A,"&gt;="&amp;DATE(2026,4,1),'DRAFT 2'!$A:$A,"&lt;="&amp;DATE(2026,4,7))</f>
        <v/>
      </c>
      <c r="EB41">
        <f>COUNTIFS('DRAFT 2'!$D:$D,$B41,'DRAFT 2'!$A:$A,"&gt;="&amp;DATE(2026,4,8),'DRAFT 2'!$A:$A,"&lt;="&amp;DATE(2026,4,14))</f>
        <v/>
      </c>
      <c r="EC41">
        <f>COUNTIFS('DRAFT 2'!$D:$D,$B41,'DRAFT 2'!$A:$A,"&gt;="&amp;DATE(2026,4,15),'DRAFT 2'!$A:$A,"&lt;="&amp;DATE(2026,4,21))</f>
        <v/>
      </c>
      <c r="ED41">
        <f>COUNTIFS('DRAFT 2'!$D:$D,$B41,'DRAFT 2'!$A:$A,"&gt;="&amp;DATE(2026,4,22),'DRAFT 2'!$A:$A,"&lt;"&amp;DATE(2026,IF(4=12,4+1,4+1),1))</f>
        <v/>
      </c>
      <c r="EE41">
        <f>SUM(EA41:ED41)</f>
        <v/>
      </c>
      <c r="EO41">
        <f>IFERROR(LOOKUP(2,1/('DRAFT 2'!$D:$D=$B41)*('DRAFT 2'!$A:$A&gt;=DATE(2026,5,1))*('DRAFT 2'!$A:$A&lt;DATE(2026,IF(5=12,5+1,5+1),1)),'DRAFT 2'!$A:$A),"")</f>
        <v/>
      </c>
      <c r="EP41">
        <f>COUNTIFS('DRAFT 2'!$D:$D,$B41,'DRAFT 2'!$A:$A,"&gt;="&amp;DATE(2026,5,1),'DRAFT 2'!$A:$A,"&lt;="&amp;DATE(2026,5,7))</f>
        <v/>
      </c>
      <c r="EQ41">
        <f>COUNTIFS('DRAFT 2'!$D:$D,$B41,'DRAFT 2'!$A:$A,"&gt;="&amp;DATE(2026,5,8),'DRAFT 2'!$A:$A,"&lt;="&amp;DATE(2026,5,14))</f>
        <v/>
      </c>
      <c r="ER41">
        <f>COUNTIFS('DRAFT 2'!$D:$D,$B41,'DRAFT 2'!$A:$A,"&gt;="&amp;DATE(2026,5,15),'DRAFT 2'!$A:$A,"&lt;="&amp;DATE(2026,5,21))</f>
        <v/>
      </c>
      <c r="ES41">
        <f>COUNTIFS('DRAFT 2'!$D:$D,$B41,'DRAFT 2'!$A:$A,"&gt;="&amp;DATE(2026,5,22),'DRAFT 2'!$A:$A,"&lt;"&amp;DATE(2026,IF(5=12,5+1,5+1),1))</f>
        <v/>
      </c>
      <c r="ET41">
        <f>SUM(EP41:ES41)</f>
        <v/>
      </c>
      <c r="FD41">
        <f>IFERROR(LOOKUP(2,1/('DRAFT 2'!$D:$D=$B41)*('DRAFT 2'!$A:$A&gt;=DATE(2026,6,1))*('DRAFT 2'!$A:$A&lt;DATE(2026,IF(6=12,6+1,6+1),1)),'DRAFT 2'!$A:$A),"")</f>
        <v/>
      </c>
      <c r="FE41">
        <f>COUNTIFS('DRAFT 2'!$D:$D,$B41,'DRAFT 2'!$A:$A,"&gt;="&amp;DATE(2026,6,1),'DRAFT 2'!$A:$A,"&lt;="&amp;DATE(2026,6,7))</f>
        <v/>
      </c>
      <c r="FF41">
        <f>COUNTIFS('DRAFT 2'!$D:$D,$B41,'DRAFT 2'!$A:$A,"&gt;="&amp;DATE(2026,6,8),'DRAFT 2'!$A:$A,"&lt;="&amp;DATE(2026,6,14))</f>
        <v/>
      </c>
      <c r="FG41">
        <f>COUNTIFS('DRAFT 2'!$D:$D,$B41,'DRAFT 2'!$A:$A,"&gt;="&amp;DATE(2026,6,15),'DRAFT 2'!$A:$A,"&lt;="&amp;DATE(2026,6,21))</f>
        <v/>
      </c>
      <c r="FH41">
        <f>COUNTIFS('DRAFT 2'!$D:$D,$B41,'DRAFT 2'!$A:$A,"&gt;="&amp;DATE(2026,6,22),'DRAFT 2'!$A:$A,"&lt;"&amp;DATE(2026,IF(6=12,6+1,6+1),1))</f>
        <v/>
      </c>
      <c r="FI41">
        <f>SUM(FE41:FH41)</f>
        <v/>
      </c>
      <c r="FT41">
        <f>IFERROR(LOOKUP(2,1/('DRAFT 2'!$D:$D=$B41)*('DRAFT 2'!$A:$A&gt;=DATE(2026,7,1))*('DRAFT 2'!$A:$A&lt;DATE(2026,IF(7=12,7+1,7+1),1)),'DRAFT 2'!$A:$A),"")</f>
        <v/>
      </c>
      <c r="FU41">
        <f>COUNTIFS('DRAFT 2'!$D:$D,$B41,'DRAFT 2'!$A:$A,"&gt;="&amp;DATE(2026,7,1),'DRAFT 2'!$A:$A,"&lt;="&amp;DATE(2026,7,7))</f>
        <v/>
      </c>
      <c r="FV41">
        <f>COUNTIFS('DRAFT 2'!$D:$D,$B41,'DRAFT 2'!$A:$A,"&gt;="&amp;DATE(2026,7,8),'DRAFT 2'!$A:$A,"&lt;="&amp;DATE(2026,7,14))</f>
        <v/>
      </c>
      <c r="FW41">
        <f>COUNTIFS('DRAFT 2'!$D:$D,$B41,'DRAFT 2'!$A:$A,"&gt;="&amp;DATE(2026,7,15),'DRAFT 2'!$A:$A,"&lt;="&amp;DATE(2026,7,21))</f>
        <v/>
      </c>
      <c r="FX41">
        <f>COUNTIFS('DRAFT 2'!$D:$D,$B41,'DRAFT 2'!$A:$A,"&gt;="&amp;DATE(2026,7,22),'DRAFT 2'!$A:$A,"&lt;"&amp;DATE(2026,IF(7=12,7+1,7+1),1))</f>
        <v/>
      </c>
      <c r="FY41">
        <f>SUM(FU41:FX41)</f>
        <v/>
      </c>
      <c r="GI41">
        <f>IFERROR(LOOKUP(2,1/('DRAFT 2'!$D:$D=$B41)*('DRAFT 2'!$A:$A&gt;=DATE(2026,8,1))*('DRAFT 2'!$A:$A&lt;DATE(2026,IF(8=12,8+1,8+1),1)),'DRAFT 2'!$A:$A),"")</f>
        <v/>
      </c>
      <c r="GJ41">
        <f>COUNTIFS('DRAFT 2'!$D:$D,$B41,'DRAFT 2'!$A:$A,"&gt;="&amp;DATE(2026,8,1),'DRAFT 2'!$A:$A,"&lt;="&amp;DATE(2026,8,7))</f>
        <v/>
      </c>
      <c r="GK41">
        <f>COUNTIFS('DRAFT 2'!$D:$D,$B41,'DRAFT 2'!$A:$A,"&gt;="&amp;DATE(2026,8,8),'DRAFT 2'!$A:$A,"&lt;="&amp;DATE(2026,8,14))</f>
        <v/>
      </c>
      <c r="GL41">
        <f>COUNTIFS('DRAFT 2'!$D:$D,$B41,'DRAFT 2'!$A:$A,"&gt;="&amp;DATE(2026,8,15),'DRAFT 2'!$A:$A,"&lt;="&amp;DATE(2026,8,21))</f>
        <v/>
      </c>
      <c r="GM41">
        <f>COUNTIFS('DRAFT 2'!$D:$D,$B41,'DRAFT 2'!$A:$A,"&gt;="&amp;DATE(2026,8,22),'DRAFT 2'!$A:$A,"&lt;"&amp;DATE(2026,IF(8=12,8+1,8+1),1))</f>
        <v/>
      </c>
      <c r="GN41">
        <f>SUM(GJ41:GM41)</f>
        <v/>
      </c>
      <c r="GX41">
        <f>IFERROR(LOOKUP(2,1/('DRAFT 2'!$D:$D=$B41)*('DRAFT 2'!$A:$A&gt;=DATE(2026,9,1))*('DRAFT 2'!$A:$A&lt;DATE(2026,IF(9=12,9+1,9+1),1)),'DRAFT 2'!$A:$A),"")</f>
        <v/>
      </c>
      <c r="GY41">
        <f>COUNTIFS('DRAFT 2'!$D:$D,$B41,'DRAFT 2'!$A:$A,"&gt;="&amp;DATE(2026,9,1),'DRAFT 2'!$A:$A,"&lt;="&amp;DATE(2026,9,7))</f>
        <v/>
      </c>
      <c r="GZ41">
        <f>COUNTIFS('DRAFT 2'!$D:$D,$B41,'DRAFT 2'!$A:$A,"&gt;="&amp;DATE(2026,9,8),'DRAFT 2'!$A:$A,"&lt;="&amp;DATE(2026,9,14))</f>
        <v/>
      </c>
      <c r="HA41">
        <f>COUNTIFS('DRAFT 2'!$D:$D,$B41,'DRAFT 2'!$A:$A,"&gt;="&amp;DATE(2026,9,15),'DRAFT 2'!$A:$A,"&lt;="&amp;DATE(2026,9,21))</f>
        <v/>
      </c>
      <c r="HB41">
        <f>COUNTIFS('DRAFT 2'!$D:$D,$B41,'DRAFT 2'!$A:$A,"&gt;="&amp;DATE(2026,9,22),'DRAFT 2'!$A:$A,"&lt;"&amp;DATE(2026,IF(9=12,9+1,9+1),1))</f>
        <v/>
      </c>
      <c r="HC41">
        <f>SUM(GY41:HB41)</f>
        <v/>
      </c>
      <c r="HN41">
        <f>IFERROR(LOOKUP(2,1/('DRAFT 2'!$D:$D=$B41)*('DRAFT 2'!$A:$A&gt;=DATE(2026,10,1))*('DRAFT 2'!$A:$A&lt;DATE(2026,IF(10=12,10+1,10+1),1)),'DRAFT 2'!$A:$A),"")</f>
        <v/>
      </c>
      <c r="HO41">
        <f>COUNTIFS('DRAFT 2'!$D:$D,$B41,'DRAFT 2'!$A:$A,"&gt;="&amp;DATE(2026,10,1),'DRAFT 2'!$A:$A,"&lt;="&amp;DATE(2026,10,7))</f>
        <v/>
      </c>
      <c r="HP41">
        <f>COUNTIFS('DRAFT 2'!$D:$D,$B41,'DRAFT 2'!$A:$A,"&gt;="&amp;DATE(2026,10,8),'DRAFT 2'!$A:$A,"&lt;="&amp;DATE(2026,10,14))</f>
        <v/>
      </c>
      <c r="HQ41">
        <f>COUNTIFS('DRAFT 2'!$D:$D,$B41,'DRAFT 2'!$A:$A,"&gt;="&amp;DATE(2026,10,15),'DRAFT 2'!$A:$A,"&lt;="&amp;DATE(2026,10,21))</f>
        <v/>
      </c>
      <c r="HR41">
        <f>COUNTIFS('DRAFT 2'!$D:$D,$B41,'DRAFT 2'!$A:$A,"&gt;="&amp;DATE(2026,10,22),'DRAFT 2'!$A:$A,"&lt;"&amp;DATE(2026,IF(10=12,10+1,10+1),1))</f>
        <v/>
      </c>
      <c r="HS41">
        <f>SUM(HO41:HR41)</f>
        <v/>
      </c>
      <c r="IC41">
        <f>IFERROR(LOOKUP(2,1/('DRAFT 2'!$D:$D=$B41)*('DRAFT 2'!$A:$A&gt;=DATE(2026,11,1))*('DRAFT 2'!$A:$A&lt;DATE(2026,IF(11=12,11+1,11+1),1)),'DRAFT 2'!$A:$A),"")</f>
        <v/>
      </c>
      <c r="ID41">
        <f>COUNTIFS('DRAFT 2'!$D:$D,$B41,'DRAFT 2'!$A:$A,"&gt;="&amp;DATE(2026,11,1),'DRAFT 2'!$A:$A,"&lt;="&amp;DATE(2026,11,7))</f>
        <v/>
      </c>
      <c r="IE41">
        <f>COUNTIFS('DRAFT 2'!$D:$D,$B41,'DRAFT 2'!$A:$A,"&gt;="&amp;DATE(2026,11,8),'DRAFT 2'!$A:$A,"&lt;="&amp;DATE(2026,11,14))</f>
        <v/>
      </c>
      <c r="IF41">
        <f>COUNTIFS('DRAFT 2'!$D:$D,$B41,'DRAFT 2'!$A:$A,"&gt;="&amp;DATE(2026,11,15),'DRAFT 2'!$A:$A,"&lt;="&amp;DATE(2026,11,21))</f>
        <v/>
      </c>
      <c r="IG41">
        <f>COUNTIFS('DRAFT 2'!$D:$D,$B41,'DRAFT 2'!$A:$A,"&gt;="&amp;DATE(2026,11,22),'DRAFT 2'!$A:$A,"&lt;"&amp;DATE(2026,IF(11=12,11+1,11+1),1))</f>
        <v/>
      </c>
      <c r="IH41">
        <f>SUM(ID41:IG41)</f>
        <v/>
      </c>
      <c r="IR41">
        <f>IFERROR(LOOKUP(2,1/('DRAFT 2'!$D:$D=$B41)*('DRAFT 2'!$A:$A&gt;=DATE(2026,12,1))*('DRAFT 2'!$A:$A&lt;DATE(2026,IF(12=12,12+1,12+1),1)),'DRAFT 2'!$A:$A),"")</f>
        <v/>
      </c>
      <c r="IS41">
        <f>COUNTIFS('DRAFT 2'!$D:$D,$B41,'DRAFT 2'!$A:$A,"&gt;="&amp;DATE(2026,12,1),'DRAFT 2'!$A:$A,"&lt;="&amp;DATE(2026,12,7))</f>
        <v/>
      </c>
      <c r="IT41">
        <f>COUNTIFS('DRAFT 2'!$D:$D,$B41,'DRAFT 2'!$A:$A,"&gt;="&amp;DATE(2026,12,8),'DRAFT 2'!$A:$A,"&lt;="&amp;DATE(2026,12,14))</f>
        <v/>
      </c>
      <c r="IU41">
        <f>COUNTIFS('DRAFT 2'!$D:$D,$B41,'DRAFT 2'!$A:$A,"&gt;="&amp;DATE(2026,12,15),'DRAFT 2'!$A:$A,"&lt;="&amp;DATE(2026,12,21))</f>
        <v/>
      </c>
      <c r="IV41">
        <f>COUNTIFS('DRAFT 2'!$D:$D,$B41,'DRAFT 2'!$A:$A,"&gt;="&amp;DATE(2026,12,22),'DRAFT 2'!$A:$A,"&lt;"&amp;DATE(2026,IF(12=12,12+1,12+1),1))</f>
        <v/>
      </c>
      <c r="IW41">
        <f>SUM(IS41:IV41)</f>
        <v/>
      </c>
    </row>
    <row r="42">
      <c r="A42">
        <f>IFERROR(INDEX('DRAFT 1'!$A:$A,MATCH($B42,'DRAFT 1'!$B:$B,0)),"")</f>
        <v/>
      </c>
      <c r="C42">
        <f>IFERROR(INDEX('DRAFT 1'!$C:$C,MATCH($B42,'DRAFT 1'!$B:$B,0)),"")</f>
        <v/>
      </c>
      <c r="D42">
        <f>IFERROR(INDEX('DRAFT 1'!$D:$D,MATCH($B42,'DRAFT 1'!$B:$B,0)),"")</f>
        <v/>
      </c>
      <c r="E42">
        <f>IFERROR(INDEX('DRAFT 1'!$E:$E,MATCH($B42,'DRAFT 1'!$B:$B,0)),"")</f>
        <v/>
      </c>
      <c r="F42">
        <f>IFERROR(INDEX('DRAFT 1'!$F:$F,MATCH($B42,'DRAFT 1'!$B:$B,0)),"")</f>
        <v/>
      </c>
      <c r="G42">
        <f>IFERROR(INDEX('DRAFT 1'!$G:$G,MATCH($B42,'DRAFT 1'!$B:$B,0)),"")</f>
        <v/>
      </c>
      <c r="H42">
        <f>IFERROR(INDEX('DRAFT 1'!$H:$H,MATCH($B42,'DRAFT 1'!$B:$B,0)),"")</f>
        <v/>
      </c>
      <c r="I42" t="inlineStr">
        <is>
          <t>MUNDO VERDE</t>
        </is>
      </c>
      <c r="K42">
        <f>IFERROR(INDEX('DRAFT 1'!$AL:$AL,MATCH($B42,'DRAFT 1'!$B:$B,0)),"")</f>
        <v/>
      </c>
      <c r="L42">
        <f>IFERROR(INDEX('DRAFT 1'!$J:$J,MATCH($B42,'DRAFT 1'!$B:$B,0)),"")</f>
        <v/>
      </c>
      <c r="M42">
        <f>IFERROR(INDEX('DRAFT 1'!$K:$K,MATCH($B42,'DRAFT 1'!$B:$B,0)),"")</f>
        <v/>
      </c>
      <c r="N42" t="inlineStr">
        <is>
          <t>INAT.ANT</t>
        </is>
      </c>
      <c r="P42">
        <f>IFERROR(INDEX('DRAFT 1'!$L:$L,MATCH($B42,'DRAFT 1'!$B:$B,0)),"")</f>
        <v/>
      </c>
      <c r="Q42">
        <f>IFERROR(INDEX('DRAFT 1'!$M:$M,MATCH($B42,'DRAFT 1'!$B:$B,0)),"")</f>
        <v/>
      </c>
      <c r="R42">
        <f>IFERROR(INDEX('DRAFT 1'!$N:$N,MATCH($B42,'DRAFT 1'!$B:$B,0)),"")</f>
        <v/>
      </c>
      <c r="S42">
        <f>IFERROR(INDEX('DRAFT 1'!$O:$O,MATCH($B42,'DRAFT 1'!$B:$B,0)),"")</f>
        <v/>
      </c>
      <c r="T42">
        <f>IFERROR(INDEX('DRAFT 1'!$P:$P,MATCH($B42,'DRAFT 1'!$B:$B,0)),"")</f>
        <v/>
      </c>
      <c r="U42">
        <f>IFERROR(INDEX('DRAFT 1'!$Q:$Q,MATCH($B42,'DRAFT 1'!$B:$B,0)),"")</f>
        <v/>
      </c>
      <c r="V42">
        <f>IFERROR(INDEX('DRAFT 1'!$R:$R,MATCH($B42,'DRAFT 1'!$B:$B,0)),"")</f>
        <v/>
      </c>
      <c r="W42">
        <f>IFERROR(INDEX('DRAFT 1'!$S:$S,MATCH($B42,'DRAFT 1'!$B:$B,0)),"")</f>
        <v/>
      </c>
      <c r="X42">
        <f>IFERROR(INDEX('DRAFT 1'!$T:$T,MATCH($B42,'DRAFT 1'!$B:$B,0)),"")</f>
        <v/>
      </c>
      <c r="Z42">
        <f>IFERROR(INDEX('DRAFT 1'!$U:$U,MATCH($B42,'DRAFT 1'!$B:$B,0)),"")</f>
        <v/>
      </c>
      <c r="AA42">
        <f>IFERROR(INDEX('DRAFT 1'!$V:$V,MATCH($B42,'DRAFT 1'!$B:$B,0)),"")</f>
        <v/>
      </c>
      <c r="AB42">
        <f>IFERROR(INDEX('DRAFT 1'!$W:$W,MATCH($B42,'DRAFT 1'!$B:$B,0)),"")</f>
        <v/>
      </c>
      <c r="AC42">
        <f>IFERROR(INDEX('DRAFT 1'!$X:$X,MATCH($B42,'DRAFT 1'!$B:$B,0)),"")</f>
        <v/>
      </c>
      <c r="AD42">
        <f>IFERROR(INDEX('DRAFT 1'!$Y:$Y,MATCH($B42,'DRAFT 1'!$B:$B,0)),"")</f>
        <v/>
      </c>
      <c r="AE42">
        <f>IFERROR(INDEX('DRAFT 1'!$Z:$Z,MATCH($B42,'DRAFT 1'!$B:$B,0)),"")</f>
        <v/>
      </c>
      <c r="AF42">
        <f>IFERROR(INDEX('DRAFT 1'!$AA:$AA,MATCH($B42,'DRAFT 1'!$B:$B,0)),"")</f>
        <v/>
      </c>
      <c r="AG42">
        <f>IFERROR(INDEX('DRAFT 1'!$AB:$AB,MATCH($B42,'DRAFT 1'!$B:$B,0)),"")</f>
        <v/>
      </c>
      <c r="AH42">
        <f>IFERROR(INDEX('DRAFT 1'!$AC:$AC,MATCH($B42,'DRAFT 1'!$B:$B,0)),"")</f>
        <v/>
      </c>
      <c r="AI42">
        <f>IFERROR(INDEX('DRAFT 1'!$AD:$AD,MATCH($B42,'DRAFT 1'!$B:$B,0)),"")</f>
        <v/>
      </c>
      <c r="AJ42">
        <f>IFERROR(INDEX('DRAFT 1'!$AE:$AE,MATCH($B42,'DRAFT 1'!$B:$B,0)),"")</f>
        <v/>
      </c>
      <c r="AK42">
        <f>IFERROR(INDEX('DRAFT 1'!$AG:$AG,MATCH($B42,'DRAFT 1'!$B:$B,0)),"")</f>
        <v/>
      </c>
      <c r="AL42">
        <f>IFERROR(INDEX('DRAFT 1'!$AH:$AH,MATCH($B42,'DRAFT 1'!$B:$B,0)),"")</f>
        <v/>
      </c>
      <c r="AM42">
        <f>IFERROR(INDEX('DRAFT 1'!$AI:$AI,MATCH($B42,'DRAFT 1'!$B:$B,0)),"")</f>
        <v/>
      </c>
      <c r="AN42">
        <f>IFERROR(INDEX('DRAFT 1'!$AJ:$AJ,MATCH($B42,'DRAFT 1'!$B:$B,0)),"")</f>
        <v/>
      </c>
      <c r="AO42">
        <f>IFERROR(Y42/AN42,0)</f>
        <v/>
      </c>
      <c r="AP42">
        <f>IFERROR(INDEX('DRAFT 1'!$AK:$AK,MATCH($B42,'DRAFT 1'!$B:$B,0)),"")</f>
        <v/>
      </c>
      <c r="AR42" t="inlineStr">
        <is>
          <t>RECUPERAÇÃO</t>
        </is>
      </c>
      <c r="AS42">
        <f>IFERROR(LOOKUP(2,1/('DRAFT 2'!$D:$D=$B42),'DRAFT 2'!$T:$T),"")</f>
        <v/>
      </c>
      <c r="AT42">
        <f>IFERROR(LOOKUP(2,1/('DRAFT 2'!$D:$D=$B42),'DRAFT 2'!$A:$A),"")</f>
        <v/>
      </c>
      <c r="AU42">
        <f>IFERROR(LOOKUP(2,1/('DRAFT 2'!$D:$D=$B42),'DRAFT 2'!$R:$R),"")</f>
        <v/>
      </c>
      <c r="AV42">
        <f>IFERROR(LOOKUP(2,1/('DRAFT 2'!$D:$D=$B42),'DRAFT 2'!$S:$S),"")</f>
        <v/>
      </c>
      <c r="AW42" t="inlineStr">
        <is>
          <t>PROSPECT</t>
        </is>
      </c>
      <c r="AX42">
        <f>IFERROR(LOOKUP(2,1/('DRAFT 2'!$D:$D=$B42),'DRAFT 2'!$M:$M),"")</f>
        <v/>
      </c>
      <c r="AY42">
        <f>IFERROR(LOOKUP(2,1/('DRAFT 2'!$D:$D=$B42),'DRAFT 2'!$K:$K),"")</f>
        <v/>
      </c>
      <c r="BG42">
        <f>IFERROR(LOOKUP(2,1/('DRAFT 2'!$D:$D=$B42),'DRAFT 2'!$U:$U),"")</f>
        <v/>
      </c>
      <c r="BH42">
        <f>IFERROR(LOOKUP(2,1/('DRAFT 2'!$D:$D=$B42),'DRAFT 2'!$V:$V),"")</f>
        <v/>
      </c>
      <c r="CE42">
        <f>IFERROR(AJ42,0)</f>
        <v/>
      </c>
      <c r="CF42">
        <f>IFERROR(LOOKUP(2,1/('DRAFT 2'!$D:$D=$B42)*('DRAFT 2'!$A:$A&gt;=DATE(2026,1,1))*('DRAFT 2'!$A:$A&lt;DATE(2026,IF(1=12,1+1,1+1),1)),'DRAFT 2'!$A:$A),"")</f>
        <v/>
      </c>
      <c r="CG42">
        <f>COUNTIFS('DRAFT 2'!$D:$D,$B42,'DRAFT 2'!$A:$A,"&gt;="&amp;DATE(2026,1,1),'DRAFT 2'!$A:$A,"&lt;="&amp;DATE(2026,1,7))</f>
        <v/>
      </c>
      <c r="CH42">
        <f>COUNTIFS('DRAFT 2'!$D:$D,$B42,'DRAFT 2'!$A:$A,"&gt;="&amp;DATE(2026,1,8),'DRAFT 2'!$A:$A,"&lt;="&amp;DATE(2026,1,14))</f>
        <v/>
      </c>
      <c r="CI42">
        <f>COUNTIFS('DRAFT 2'!$D:$D,$B42,'DRAFT 2'!$A:$A,"&gt;="&amp;DATE(2026,1,15),'DRAFT 2'!$A:$A,"&lt;="&amp;DATE(2026,1,21))</f>
        <v/>
      </c>
      <c r="CJ42">
        <f>COUNTIFS('DRAFT 2'!$D:$D,$B42,'DRAFT 2'!$A:$A,"&gt;="&amp;DATE(2026,1,22),'DRAFT 2'!$A:$A,"&lt;"&amp;DATE(2026,IF(1=12,1+1,1+1),1))</f>
        <v/>
      </c>
      <c r="CK42">
        <f>SUM(CG42:CJ42)</f>
        <v/>
      </c>
      <c r="CT42" t="n">
        <v>0</v>
      </c>
      <c r="CU42">
        <f>IFERROR(LOOKUP(2,1/('DRAFT 2'!$D:$D=$B42)*('DRAFT 2'!$A:$A&gt;=DATE(2026,2,1))*('DRAFT 2'!$A:$A&lt;DATE(2026,IF(2=12,2+1,2+1),1)),'DRAFT 2'!$A:$A),"")</f>
        <v/>
      </c>
      <c r="CV42">
        <f>COUNTIFS('DRAFT 2'!$D:$D,$B42,'DRAFT 2'!$A:$A,"&gt;="&amp;DATE(2026,2,1),'DRAFT 2'!$A:$A,"&lt;="&amp;DATE(2026,2,7))</f>
        <v/>
      </c>
      <c r="CW42">
        <f>COUNTIFS('DRAFT 2'!$D:$D,$B42,'DRAFT 2'!$A:$A,"&gt;="&amp;DATE(2026,2,8),'DRAFT 2'!$A:$A,"&lt;="&amp;DATE(2026,2,14))</f>
        <v/>
      </c>
      <c r="CX42">
        <f>COUNTIFS('DRAFT 2'!$D:$D,$B42,'DRAFT 2'!$A:$A,"&gt;="&amp;DATE(2026,2,15),'DRAFT 2'!$A:$A,"&lt;="&amp;DATE(2026,2,21))</f>
        <v/>
      </c>
      <c r="CY42">
        <f>COUNTIFS('DRAFT 2'!$D:$D,$B42,'DRAFT 2'!$A:$A,"&gt;="&amp;DATE(2026,2,22),'DRAFT 2'!$A:$A,"&lt;"&amp;DATE(2026,IF(2=12,2+1,2+1),1))</f>
        <v/>
      </c>
      <c r="CZ42">
        <f>SUM(CV42:CY42)</f>
        <v/>
      </c>
      <c r="DJ42">
        <f>IFERROR(LOOKUP(2,1/('DRAFT 2'!$D:$D=$B42)*('DRAFT 2'!$A:$A&gt;=DATE(2026,3,1))*('DRAFT 2'!$A:$A&lt;DATE(2026,IF(3=12,3+1,3+1),1)),'DRAFT 2'!$A:$A),"")</f>
        <v/>
      </c>
      <c r="DK42">
        <f>COUNTIFS('DRAFT 2'!$D:$D,$B42,'DRAFT 2'!$A:$A,"&gt;="&amp;DATE(2026,3,1),'DRAFT 2'!$A:$A,"&lt;="&amp;DATE(2026,3,7))</f>
        <v/>
      </c>
      <c r="DL42">
        <f>COUNTIFS('DRAFT 2'!$D:$D,$B42,'DRAFT 2'!$A:$A,"&gt;="&amp;DATE(2026,3,8),'DRAFT 2'!$A:$A,"&lt;="&amp;DATE(2026,3,14))</f>
        <v/>
      </c>
      <c r="DM42">
        <f>COUNTIFS('DRAFT 2'!$D:$D,$B42,'DRAFT 2'!$A:$A,"&gt;="&amp;DATE(2026,3,15),'DRAFT 2'!$A:$A,"&lt;="&amp;DATE(2026,3,21))</f>
        <v/>
      </c>
      <c r="DN42">
        <f>COUNTIFS('DRAFT 2'!$D:$D,$B42,'DRAFT 2'!$A:$A,"&gt;="&amp;DATE(2026,3,22),'DRAFT 2'!$A:$A,"&lt;"&amp;DATE(2026,IF(3=12,3+1,3+1),1))</f>
        <v/>
      </c>
      <c r="DO42">
        <f>SUM(DK42:DN42)</f>
        <v/>
      </c>
      <c r="DZ42">
        <f>IFERROR(LOOKUP(2,1/('DRAFT 2'!$D:$D=$B42)*('DRAFT 2'!$A:$A&gt;=DATE(2026,4,1))*('DRAFT 2'!$A:$A&lt;DATE(2026,IF(4=12,4+1,4+1),1)),'DRAFT 2'!$A:$A),"")</f>
        <v/>
      </c>
      <c r="EA42">
        <f>COUNTIFS('DRAFT 2'!$D:$D,$B42,'DRAFT 2'!$A:$A,"&gt;="&amp;DATE(2026,4,1),'DRAFT 2'!$A:$A,"&lt;="&amp;DATE(2026,4,7))</f>
        <v/>
      </c>
      <c r="EB42">
        <f>COUNTIFS('DRAFT 2'!$D:$D,$B42,'DRAFT 2'!$A:$A,"&gt;="&amp;DATE(2026,4,8),'DRAFT 2'!$A:$A,"&lt;="&amp;DATE(2026,4,14))</f>
        <v/>
      </c>
      <c r="EC42">
        <f>COUNTIFS('DRAFT 2'!$D:$D,$B42,'DRAFT 2'!$A:$A,"&gt;="&amp;DATE(2026,4,15),'DRAFT 2'!$A:$A,"&lt;="&amp;DATE(2026,4,21))</f>
        <v/>
      </c>
      <c r="ED42">
        <f>COUNTIFS('DRAFT 2'!$D:$D,$B42,'DRAFT 2'!$A:$A,"&gt;="&amp;DATE(2026,4,22),'DRAFT 2'!$A:$A,"&lt;"&amp;DATE(2026,IF(4=12,4+1,4+1),1))</f>
        <v/>
      </c>
      <c r="EE42">
        <f>SUM(EA42:ED42)</f>
        <v/>
      </c>
      <c r="EO42">
        <f>IFERROR(LOOKUP(2,1/('DRAFT 2'!$D:$D=$B42)*('DRAFT 2'!$A:$A&gt;=DATE(2026,5,1))*('DRAFT 2'!$A:$A&lt;DATE(2026,IF(5=12,5+1,5+1),1)),'DRAFT 2'!$A:$A),"")</f>
        <v/>
      </c>
      <c r="EP42">
        <f>COUNTIFS('DRAFT 2'!$D:$D,$B42,'DRAFT 2'!$A:$A,"&gt;="&amp;DATE(2026,5,1),'DRAFT 2'!$A:$A,"&lt;="&amp;DATE(2026,5,7))</f>
        <v/>
      </c>
      <c r="EQ42">
        <f>COUNTIFS('DRAFT 2'!$D:$D,$B42,'DRAFT 2'!$A:$A,"&gt;="&amp;DATE(2026,5,8),'DRAFT 2'!$A:$A,"&lt;="&amp;DATE(2026,5,14))</f>
        <v/>
      </c>
      <c r="ER42">
        <f>COUNTIFS('DRAFT 2'!$D:$D,$B42,'DRAFT 2'!$A:$A,"&gt;="&amp;DATE(2026,5,15),'DRAFT 2'!$A:$A,"&lt;="&amp;DATE(2026,5,21))</f>
        <v/>
      </c>
      <c r="ES42">
        <f>COUNTIFS('DRAFT 2'!$D:$D,$B42,'DRAFT 2'!$A:$A,"&gt;="&amp;DATE(2026,5,22),'DRAFT 2'!$A:$A,"&lt;"&amp;DATE(2026,IF(5=12,5+1,5+1),1))</f>
        <v/>
      </c>
      <c r="ET42">
        <f>SUM(EP42:ES42)</f>
        <v/>
      </c>
      <c r="FD42">
        <f>IFERROR(LOOKUP(2,1/('DRAFT 2'!$D:$D=$B42)*('DRAFT 2'!$A:$A&gt;=DATE(2026,6,1))*('DRAFT 2'!$A:$A&lt;DATE(2026,IF(6=12,6+1,6+1),1)),'DRAFT 2'!$A:$A),"")</f>
        <v/>
      </c>
      <c r="FE42">
        <f>COUNTIFS('DRAFT 2'!$D:$D,$B42,'DRAFT 2'!$A:$A,"&gt;="&amp;DATE(2026,6,1),'DRAFT 2'!$A:$A,"&lt;="&amp;DATE(2026,6,7))</f>
        <v/>
      </c>
      <c r="FF42">
        <f>COUNTIFS('DRAFT 2'!$D:$D,$B42,'DRAFT 2'!$A:$A,"&gt;="&amp;DATE(2026,6,8),'DRAFT 2'!$A:$A,"&lt;="&amp;DATE(2026,6,14))</f>
        <v/>
      </c>
      <c r="FG42">
        <f>COUNTIFS('DRAFT 2'!$D:$D,$B42,'DRAFT 2'!$A:$A,"&gt;="&amp;DATE(2026,6,15),'DRAFT 2'!$A:$A,"&lt;="&amp;DATE(2026,6,21))</f>
        <v/>
      </c>
      <c r="FH42">
        <f>COUNTIFS('DRAFT 2'!$D:$D,$B42,'DRAFT 2'!$A:$A,"&gt;="&amp;DATE(2026,6,22),'DRAFT 2'!$A:$A,"&lt;"&amp;DATE(2026,IF(6=12,6+1,6+1),1))</f>
        <v/>
      </c>
      <c r="FI42">
        <f>SUM(FE42:FH42)</f>
        <v/>
      </c>
      <c r="FT42">
        <f>IFERROR(LOOKUP(2,1/('DRAFT 2'!$D:$D=$B42)*('DRAFT 2'!$A:$A&gt;=DATE(2026,7,1))*('DRAFT 2'!$A:$A&lt;DATE(2026,IF(7=12,7+1,7+1),1)),'DRAFT 2'!$A:$A),"")</f>
        <v/>
      </c>
      <c r="FU42">
        <f>COUNTIFS('DRAFT 2'!$D:$D,$B42,'DRAFT 2'!$A:$A,"&gt;="&amp;DATE(2026,7,1),'DRAFT 2'!$A:$A,"&lt;="&amp;DATE(2026,7,7))</f>
        <v/>
      </c>
      <c r="FV42">
        <f>COUNTIFS('DRAFT 2'!$D:$D,$B42,'DRAFT 2'!$A:$A,"&gt;="&amp;DATE(2026,7,8),'DRAFT 2'!$A:$A,"&lt;="&amp;DATE(2026,7,14))</f>
        <v/>
      </c>
      <c r="FW42">
        <f>COUNTIFS('DRAFT 2'!$D:$D,$B42,'DRAFT 2'!$A:$A,"&gt;="&amp;DATE(2026,7,15),'DRAFT 2'!$A:$A,"&lt;="&amp;DATE(2026,7,21))</f>
        <v/>
      </c>
      <c r="FX42">
        <f>COUNTIFS('DRAFT 2'!$D:$D,$B42,'DRAFT 2'!$A:$A,"&gt;="&amp;DATE(2026,7,22),'DRAFT 2'!$A:$A,"&lt;"&amp;DATE(2026,IF(7=12,7+1,7+1),1))</f>
        <v/>
      </c>
      <c r="FY42">
        <f>SUM(FU42:FX42)</f>
        <v/>
      </c>
      <c r="GI42">
        <f>IFERROR(LOOKUP(2,1/('DRAFT 2'!$D:$D=$B42)*('DRAFT 2'!$A:$A&gt;=DATE(2026,8,1))*('DRAFT 2'!$A:$A&lt;DATE(2026,IF(8=12,8+1,8+1),1)),'DRAFT 2'!$A:$A),"")</f>
        <v/>
      </c>
      <c r="GJ42">
        <f>COUNTIFS('DRAFT 2'!$D:$D,$B42,'DRAFT 2'!$A:$A,"&gt;="&amp;DATE(2026,8,1),'DRAFT 2'!$A:$A,"&lt;="&amp;DATE(2026,8,7))</f>
        <v/>
      </c>
      <c r="GK42">
        <f>COUNTIFS('DRAFT 2'!$D:$D,$B42,'DRAFT 2'!$A:$A,"&gt;="&amp;DATE(2026,8,8),'DRAFT 2'!$A:$A,"&lt;="&amp;DATE(2026,8,14))</f>
        <v/>
      </c>
      <c r="GL42">
        <f>COUNTIFS('DRAFT 2'!$D:$D,$B42,'DRAFT 2'!$A:$A,"&gt;="&amp;DATE(2026,8,15),'DRAFT 2'!$A:$A,"&lt;="&amp;DATE(2026,8,21))</f>
        <v/>
      </c>
      <c r="GM42">
        <f>COUNTIFS('DRAFT 2'!$D:$D,$B42,'DRAFT 2'!$A:$A,"&gt;="&amp;DATE(2026,8,22),'DRAFT 2'!$A:$A,"&lt;"&amp;DATE(2026,IF(8=12,8+1,8+1),1))</f>
        <v/>
      </c>
      <c r="GN42">
        <f>SUM(GJ42:GM42)</f>
        <v/>
      </c>
      <c r="GX42">
        <f>IFERROR(LOOKUP(2,1/('DRAFT 2'!$D:$D=$B42)*('DRAFT 2'!$A:$A&gt;=DATE(2026,9,1))*('DRAFT 2'!$A:$A&lt;DATE(2026,IF(9=12,9+1,9+1),1)),'DRAFT 2'!$A:$A),"")</f>
        <v/>
      </c>
      <c r="GY42">
        <f>COUNTIFS('DRAFT 2'!$D:$D,$B42,'DRAFT 2'!$A:$A,"&gt;="&amp;DATE(2026,9,1),'DRAFT 2'!$A:$A,"&lt;="&amp;DATE(2026,9,7))</f>
        <v/>
      </c>
      <c r="GZ42">
        <f>COUNTIFS('DRAFT 2'!$D:$D,$B42,'DRAFT 2'!$A:$A,"&gt;="&amp;DATE(2026,9,8),'DRAFT 2'!$A:$A,"&lt;="&amp;DATE(2026,9,14))</f>
        <v/>
      </c>
      <c r="HA42">
        <f>COUNTIFS('DRAFT 2'!$D:$D,$B42,'DRAFT 2'!$A:$A,"&gt;="&amp;DATE(2026,9,15),'DRAFT 2'!$A:$A,"&lt;="&amp;DATE(2026,9,21))</f>
        <v/>
      </c>
      <c r="HB42">
        <f>COUNTIFS('DRAFT 2'!$D:$D,$B42,'DRAFT 2'!$A:$A,"&gt;="&amp;DATE(2026,9,22),'DRAFT 2'!$A:$A,"&lt;"&amp;DATE(2026,IF(9=12,9+1,9+1),1))</f>
        <v/>
      </c>
      <c r="HC42">
        <f>SUM(GY42:HB42)</f>
        <v/>
      </c>
      <c r="HN42">
        <f>IFERROR(LOOKUP(2,1/('DRAFT 2'!$D:$D=$B42)*('DRAFT 2'!$A:$A&gt;=DATE(2026,10,1))*('DRAFT 2'!$A:$A&lt;DATE(2026,IF(10=12,10+1,10+1),1)),'DRAFT 2'!$A:$A),"")</f>
        <v/>
      </c>
      <c r="HO42">
        <f>COUNTIFS('DRAFT 2'!$D:$D,$B42,'DRAFT 2'!$A:$A,"&gt;="&amp;DATE(2026,10,1),'DRAFT 2'!$A:$A,"&lt;="&amp;DATE(2026,10,7))</f>
        <v/>
      </c>
      <c r="HP42">
        <f>COUNTIFS('DRAFT 2'!$D:$D,$B42,'DRAFT 2'!$A:$A,"&gt;="&amp;DATE(2026,10,8),'DRAFT 2'!$A:$A,"&lt;="&amp;DATE(2026,10,14))</f>
        <v/>
      </c>
      <c r="HQ42">
        <f>COUNTIFS('DRAFT 2'!$D:$D,$B42,'DRAFT 2'!$A:$A,"&gt;="&amp;DATE(2026,10,15),'DRAFT 2'!$A:$A,"&lt;="&amp;DATE(2026,10,21))</f>
        <v/>
      </c>
      <c r="HR42">
        <f>COUNTIFS('DRAFT 2'!$D:$D,$B42,'DRAFT 2'!$A:$A,"&gt;="&amp;DATE(2026,10,22),'DRAFT 2'!$A:$A,"&lt;"&amp;DATE(2026,IF(10=12,10+1,10+1),1))</f>
        <v/>
      </c>
      <c r="HS42">
        <f>SUM(HO42:HR42)</f>
        <v/>
      </c>
      <c r="IC42">
        <f>IFERROR(LOOKUP(2,1/('DRAFT 2'!$D:$D=$B42)*('DRAFT 2'!$A:$A&gt;=DATE(2026,11,1))*('DRAFT 2'!$A:$A&lt;DATE(2026,IF(11=12,11+1,11+1),1)),'DRAFT 2'!$A:$A),"")</f>
        <v/>
      </c>
      <c r="ID42">
        <f>COUNTIFS('DRAFT 2'!$D:$D,$B42,'DRAFT 2'!$A:$A,"&gt;="&amp;DATE(2026,11,1),'DRAFT 2'!$A:$A,"&lt;="&amp;DATE(2026,11,7))</f>
        <v/>
      </c>
      <c r="IE42">
        <f>COUNTIFS('DRAFT 2'!$D:$D,$B42,'DRAFT 2'!$A:$A,"&gt;="&amp;DATE(2026,11,8),'DRAFT 2'!$A:$A,"&lt;="&amp;DATE(2026,11,14))</f>
        <v/>
      </c>
      <c r="IF42">
        <f>COUNTIFS('DRAFT 2'!$D:$D,$B42,'DRAFT 2'!$A:$A,"&gt;="&amp;DATE(2026,11,15),'DRAFT 2'!$A:$A,"&lt;="&amp;DATE(2026,11,21))</f>
        <v/>
      </c>
      <c r="IG42">
        <f>COUNTIFS('DRAFT 2'!$D:$D,$B42,'DRAFT 2'!$A:$A,"&gt;="&amp;DATE(2026,11,22),'DRAFT 2'!$A:$A,"&lt;"&amp;DATE(2026,IF(11=12,11+1,11+1),1))</f>
        <v/>
      </c>
      <c r="IH42">
        <f>SUM(ID42:IG42)</f>
        <v/>
      </c>
      <c r="IR42">
        <f>IFERROR(LOOKUP(2,1/('DRAFT 2'!$D:$D=$B42)*('DRAFT 2'!$A:$A&gt;=DATE(2026,12,1))*('DRAFT 2'!$A:$A&lt;DATE(2026,IF(12=12,12+1,12+1),1)),'DRAFT 2'!$A:$A),"")</f>
        <v/>
      </c>
      <c r="IS42">
        <f>COUNTIFS('DRAFT 2'!$D:$D,$B42,'DRAFT 2'!$A:$A,"&gt;="&amp;DATE(2026,12,1),'DRAFT 2'!$A:$A,"&lt;="&amp;DATE(2026,12,7))</f>
        <v/>
      </c>
      <c r="IT42">
        <f>COUNTIFS('DRAFT 2'!$D:$D,$B42,'DRAFT 2'!$A:$A,"&gt;="&amp;DATE(2026,12,8),'DRAFT 2'!$A:$A,"&lt;="&amp;DATE(2026,12,14))</f>
        <v/>
      </c>
      <c r="IU42">
        <f>COUNTIFS('DRAFT 2'!$D:$D,$B42,'DRAFT 2'!$A:$A,"&gt;="&amp;DATE(2026,12,15),'DRAFT 2'!$A:$A,"&lt;="&amp;DATE(2026,12,21))</f>
        <v/>
      </c>
      <c r="IV42">
        <f>COUNTIFS('DRAFT 2'!$D:$D,$B42,'DRAFT 2'!$A:$A,"&gt;="&amp;DATE(2026,12,22),'DRAFT 2'!$A:$A,"&lt;"&amp;DATE(2026,IF(12=12,12+1,12+1),1))</f>
        <v/>
      </c>
      <c r="IW42">
        <f>SUM(IS42:IV42)</f>
        <v/>
      </c>
    </row>
    <row r="43">
      <c r="A43">
        <f>IFERROR(INDEX('DRAFT 1'!$A:$A,MATCH($B43,'DRAFT 1'!$B:$B,0)),"")</f>
        <v/>
      </c>
      <c r="C43">
        <f>IFERROR(INDEX('DRAFT 1'!$C:$C,MATCH($B43,'DRAFT 1'!$B:$B,0)),"")</f>
        <v/>
      </c>
      <c r="D43">
        <f>IFERROR(INDEX('DRAFT 1'!$D:$D,MATCH($B43,'DRAFT 1'!$B:$B,0)),"")</f>
        <v/>
      </c>
      <c r="E43">
        <f>IFERROR(INDEX('DRAFT 1'!$E:$E,MATCH($B43,'DRAFT 1'!$B:$B,0)),"")</f>
        <v/>
      </c>
      <c r="F43">
        <f>IFERROR(INDEX('DRAFT 1'!$F:$F,MATCH($B43,'DRAFT 1'!$B:$B,0)),"")</f>
        <v/>
      </c>
      <c r="G43">
        <f>IFERROR(INDEX('DRAFT 1'!$G:$G,MATCH($B43,'DRAFT 1'!$B:$B,0)),"")</f>
        <v/>
      </c>
      <c r="H43">
        <f>IFERROR(INDEX('DRAFT 1'!$H:$H,MATCH($B43,'DRAFT 1'!$B:$B,0)),"")</f>
        <v/>
      </c>
      <c r="I43" t="inlineStr">
        <is>
          <t>MUNDO VERDE</t>
        </is>
      </c>
      <c r="K43">
        <f>IFERROR(INDEX('DRAFT 1'!$AL:$AL,MATCH($B43,'DRAFT 1'!$B:$B,0)),"")</f>
        <v/>
      </c>
      <c r="L43">
        <f>IFERROR(INDEX('DRAFT 1'!$J:$J,MATCH($B43,'DRAFT 1'!$B:$B,0)),"")</f>
        <v/>
      </c>
      <c r="M43">
        <f>IFERROR(INDEX('DRAFT 1'!$K:$K,MATCH($B43,'DRAFT 1'!$B:$B,0)),"")</f>
        <v/>
      </c>
      <c r="N43" t="inlineStr">
        <is>
          <t>INAT.ANT</t>
        </is>
      </c>
      <c r="P43">
        <f>IFERROR(INDEX('DRAFT 1'!$L:$L,MATCH($B43,'DRAFT 1'!$B:$B,0)),"")</f>
        <v/>
      </c>
      <c r="Q43">
        <f>IFERROR(INDEX('DRAFT 1'!$M:$M,MATCH($B43,'DRAFT 1'!$B:$B,0)),"")</f>
        <v/>
      </c>
      <c r="R43">
        <f>IFERROR(INDEX('DRAFT 1'!$N:$N,MATCH($B43,'DRAFT 1'!$B:$B,0)),"")</f>
        <v/>
      </c>
      <c r="S43">
        <f>IFERROR(INDEX('DRAFT 1'!$O:$O,MATCH($B43,'DRAFT 1'!$B:$B,0)),"")</f>
        <v/>
      </c>
      <c r="T43">
        <f>IFERROR(INDEX('DRAFT 1'!$P:$P,MATCH($B43,'DRAFT 1'!$B:$B,0)),"")</f>
        <v/>
      </c>
      <c r="U43">
        <f>IFERROR(INDEX('DRAFT 1'!$Q:$Q,MATCH($B43,'DRAFT 1'!$B:$B,0)),"")</f>
        <v/>
      </c>
      <c r="V43">
        <f>IFERROR(INDEX('DRAFT 1'!$R:$R,MATCH($B43,'DRAFT 1'!$B:$B,0)),"")</f>
        <v/>
      </c>
      <c r="W43">
        <f>IFERROR(INDEX('DRAFT 1'!$S:$S,MATCH($B43,'DRAFT 1'!$B:$B,0)),"")</f>
        <v/>
      </c>
      <c r="X43">
        <f>IFERROR(INDEX('DRAFT 1'!$T:$T,MATCH($B43,'DRAFT 1'!$B:$B,0)),"")</f>
        <v/>
      </c>
      <c r="Z43">
        <f>IFERROR(INDEX('DRAFT 1'!$U:$U,MATCH($B43,'DRAFT 1'!$B:$B,0)),"")</f>
        <v/>
      </c>
      <c r="AA43">
        <f>IFERROR(INDEX('DRAFT 1'!$V:$V,MATCH($B43,'DRAFT 1'!$B:$B,0)),"")</f>
        <v/>
      </c>
      <c r="AB43">
        <f>IFERROR(INDEX('DRAFT 1'!$W:$W,MATCH($B43,'DRAFT 1'!$B:$B,0)),"")</f>
        <v/>
      </c>
      <c r="AC43">
        <f>IFERROR(INDEX('DRAFT 1'!$X:$X,MATCH($B43,'DRAFT 1'!$B:$B,0)),"")</f>
        <v/>
      </c>
      <c r="AD43">
        <f>IFERROR(INDEX('DRAFT 1'!$Y:$Y,MATCH($B43,'DRAFT 1'!$B:$B,0)),"")</f>
        <v/>
      </c>
      <c r="AE43">
        <f>IFERROR(INDEX('DRAFT 1'!$Z:$Z,MATCH($B43,'DRAFT 1'!$B:$B,0)),"")</f>
        <v/>
      </c>
      <c r="AF43">
        <f>IFERROR(INDEX('DRAFT 1'!$AA:$AA,MATCH($B43,'DRAFT 1'!$B:$B,0)),"")</f>
        <v/>
      </c>
      <c r="AG43">
        <f>IFERROR(INDEX('DRAFT 1'!$AB:$AB,MATCH($B43,'DRAFT 1'!$B:$B,0)),"")</f>
        <v/>
      </c>
      <c r="AH43">
        <f>IFERROR(INDEX('DRAFT 1'!$AC:$AC,MATCH($B43,'DRAFT 1'!$B:$B,0)),"")</f>
        <v/>
      </c>
      <c r="AI43">
        <f>IFERROR(INDEX('DRAFT 1'!$AD:$AD,MATCH($B43,'DRAFT 1'!$B:$B,0)),"")</f>
        <v/>
      </c>
      <c r="AJ43">
        <f>IFERROR(INDEX('DRAFT 1'!$AE:$AE,MATCH($B43,'DRAFT 1'!$B:$B,0)),"")</f>
        <v/>
      </c>
      <c r="AK43">
        <f>IFERROR(INDEX('DRAFT 1'!$AG:$AG,MATCH($B43,'DRAFT 1'!$B:$B,0)),"")</f>
        <v/>
      </c>
      <c r="AL43">
        <f>IFERROR(INDEX('DRAFT 1'!$AH:$AH,MATCH($B43,'DRAFT 1'!$B:$B,0)),"")</f>
        <v/>
      </c>
      <c r="AM43">
        <f>IFERROR(INDEX('DRAFT 1'!$AI:$AI,MATCH($B43,'DRAFT 1'!$B:$B,0)),"")</f>
        <v/>
      </c>
      <c r="AN43">
        <f>IFERROR(INDEX('DRAFT 1'!$AJ:$AJ,MATCH($B43,'DRAFT 1'!$B:$B,0)),"")</f>
        <v/>
      </c>
      <c r="AO43">
        <f>IFERROR(Y43/AN43,0)</f>
        <v/>
      </c>
      <c r="AP43">
        <f>IFERROR(INDEX('DRAFT 1'!$AK:$AK,MATCH($B43,'DRAFT 1'!$B:$B,0)),"")</f>
        <v/>
      </c>
      <c r="AR43" t="inlineStr">
        <is>
          <t>PÓS-VENDA</t>
        </is>
      </c>
      <c r="AS43">
        <f>IFERROR(LOOKUP(2,1/('DRAFT 2'!$D:$D=$B43),'DRAFT 2'!$T:$T),"")</f>
        <v/>
      </c>
      <c r="AT43">
        <f>IFERROR(LOOKUP(2,1/('DRAFT 2'!$D:$D=$B43),'DRAFT 2'!$A:$A),"")</f>
        <v/>
      </c>
      <c r="AU43">
        <f>IFERROR(LOOKUP(2,1/('DRAFT 2'!$D:$D=$B43),'DRAFT 2'!$R:$R),"")</f>
        <v/>
      </c>
      <c r="AV43">
        <f>IFERROR(LOOKUP(2,1/('DRAFT 2'!$D:$D=$B43),'DRAFT 2'!$S:$S),"")</f>
        <v/>
      </c>
      <c r="AW43" t="inlineStr">
        <is>
          <t>NOVO</t>
        </is>
      </c>
      <c r="AX43">
        <f>IFERROR(LOOKUP(2,1/('DRAFT 2'!$D:$D=$B43),'DRAFT 2'!$M:$M),"")</f>
        <v/>
      </c>
      <c r="AY43">
        <f>IFERROR(LOOKUP(2,1/('DRAFT 2'!$D:$D=$B43),'DRAFT 2'!$K:$K),"")</f>
        <v/>
      </c>
      <c r="BG43">
        <f>IFERROR(LOOKUP(2,1/('DRAFT 2'!$D:$D=$B43),'DRAFT 2'!$U:$U),"")</f>
        <v/>
      </c>
      <c r="BH43">
        <f>IFERROR(LOOKUP(2,1/('DRAFT 2'!$D:$D=$B43),'DRAFT 2'!$V:$V),"")</f>
        <v/>
      </c>
      <c r="CE43">
        <f>IFERROR(AJ43,0)</f>
        <v/>
      </c>
      <c r="CF43">
        <f>IFERROR(LOOKUP(2,1/('DRAFT 2'!$D:$D=$B43)*('DRAFT 2'!$A:$A&gt;=DATE(2026,1,1))*('DRAFT 2'!$A:$A&lt;DATE(2026,IF(1=12,1+1,1+1),1)),'DRAFT 2'!$A:$A),"")</f>
        <v/>
      </c>
      <c r="CG43">
        <f>COUNTIFS('DRAFT 2'!$D:$D,$B43,'DRAFT 2'!$A:$A,"&gt;="&amp;DATE(2026,1,1),'DRAFT 2'!$A:$A,"&lt;="&amp;DATE(2026,1,7))</f>
        <v/>
      </c>
      <c r="CH43">
        <f>COUNTIFS('DRAFT 2'!$D:$D,$B43,'DRAFT 2'!$A:$A,"&gt;="&amp;DATE(2026,1,8),'DRAFT 2'!$A:$A,"&lt;="&amp;DATE(2026,1,14))</f>
        <v/>
      </c>
      <c r="CI43">
        <f>COUNTIFS('DRAFT 2'!$D:$D,$B43,'DRAFT 2'!$A:$A,"&gt;="&amp;DATE(2026,1,15),'DRAFT 2'!$A:$A,"&lt;="&amp;DATE(2026,1,21))</f>
        <v/>
      </c>
      <c r="CJ43">
        <f>COUNTIFS('DRAFT 2'!$D:$D,$B43,'DRAFT 2'!$A:$A,"&gt;="&amp;DATE(2026,1,22),'DRAFT 2'!$A:$A,"&lt;"&amp;DATE(2026,IF(1=12,1+1,1+1),1))</f>
        <v/>
      </c>
      <c r="CK43">
        <f>SUM(CG43:CJ43)</f>
        <v/>
      </c>
      <c r="CT43" t="n">
        <v>0</v>
      </c>
      <c r="CU43">
        <f>IFERROR(LOOKUP(2,1/('DRAFT 2'!$D:$D=$B43)*('DRAFT 2'!$A:$A&gt;=DATE(2026,2,1))*('DRAFT 2'!$A:$A&lt;DATE(2026,IF(2=12,2+1,2+1),1)),'DRAFT 2'!$A:$A),"")</f>
        <v/>
      </c>
      <c r="CV43">
        <f>COUNTIFS('DRAFT 2'!$D:$D,$B43,'DRAFT 2'!$A:$A,"&gt;="&amp;DATE(2026,2,1),'DRAFT 2'!$A:$A,"&lt;="&amp;DATE(2026,2,7))</f>
        <v/>
      </c>
      <c r="CW43">
        <f>COUNTIFS('DRAFT 2'!$D:$D,$B43,'DRAFT 2'!$A:$A,"&gt;="&amp;DATE(2026,2,8),'DRAFT 2'!$A:$A,"&lt;="&amp;DATE(2026,2,14))</f>
        <v/>
      </c>
      <c r="CX43">
        <f>COUNTIFS('DRAFT 2'!$D:$D,$B43,'DRAFT 2'!$A:$A,"&gt;="&amp;DATE(2026,2,15),'DRAFT 2'!$A:$A,"&lt;="&amp;DATE(2026,2,21))</f>
        <v/>
      </c>
      <c r="CY43">
        <f>COUNTIFS('DRAFT 2'!$D:$D,$B43,'DRAFT 2'!$A:$A,"&gt;="&amp;DATE(2026,2,22),'DRAFT 2'!$A:$A,"&lt;"&amp;DATE(2026,IF(2=12,2+1,2+1),1))</f>
        <v/>
      </c>
      <c r="CZ43">
        <f>SUM(CV43:CY43)</f>
        <v/>
      </c>
      <c r="DJ43">
        <f>IFERROR(LOOKUP(2,1/('DRAFT 2'!$D:$D=$B43)*('DRAFT 2'!$A:$A&gt;=DATE(2026,3,1))*('DRAFT 2'!$A:$A&lt;DATE(2026,IF(3=12,3+1,3+1),1)),'DRAFT 2'!$A:$A),"")</f>
        <v/>
      </c>
      <c r="DK43">
        <f>COUNTIFS('DRAFT 2'!$D:$D,$B43,'DRAFT 2'!$A:$A,"&gt;="&amp;DATE(2026,3,1),'DRAFT 2'!$A:$A,"&lt;="&amp;DATE(2026,3,7))</f>
        <v/>
      </c>
      <c r="DL43">
        <f>COUNTIFS('DRAFT 2'!$D:$D,$B43,'DRAFT 2'!$A:$A,"&gt;="&amp;DATE(2026,3,8),'DRAFT 2'!$A:$A,"&lt;="&amp;DATE(2026,3,14))</f>
        <v/>
      </c>
      <c r="DM43">
        <f>COUNTIFS('DRAFT 2'!$D:$D,$B43,'DRAFT 2'!$A:$A,"&gt;="&amp;DATE(2026,3,15),'DRAFT 2'!$A:$A,"&lt;="&amp;DATE(2026,3,21))</f>
        <v/>
      </c>
      <c r="DN43">
        <f>COUNTIFS('DRAFT 2'!$D:$D,$B43,'DRAFT 2'!$A:$A,"&gt;="&amp;DATE(2026,3,22),'DRAFT 2'!$A:$A,"&lt;"&amp;DATE(2026,IF(3=12,3+1,3+1),1))</f>
        <v/>
      </c>
      <c r="DO43">
        <f>SUM(DK43:DN43)</f>
        <v/>
      </c>
      <c r="DZ43">
        <f>IFERROR(LOOKUP(2,1/('DRAFT 2'!$D:$D=$B43)*('DRAFT 2'!$A:$A&gt;=DATE(2026,4,1))*('DRAFT 2'!$A:$A&lt;DATE(2026,IF(4=12,4+1,4+1),1)),'DRAFT 2'!$A:$A),"")</f>
        <v/>
      </c>
      <c r="EA43">
        <f>COUNTIFS('DRAFT 2'!$D:$D,$B43,'DRAFT 2'!$A:$A,"&gt;="&amp;DATE(2026,4,1),'DRAFT 2'!$A:$A,"&lt;="&amp;DATE(2026,4,7))</f>
        <v/>
      </c>
      <c r="EB43">
        <f>COUNTIFS('DRAFT 2'!$D:$D,$B43,'DRAFT 2'!$A:$A,"&gt;="&amp;DATE(2026,4,8),'DRAFT 2'!$A:$A,"&lt;="&amp;DATE(2026,4,14))</f>
        <v/>
      </c>
      <c r="EC43">
        <f>COUNTIFS('DRAFT 2'!$D:$D,$B43,'DRAFT 2'!$A:$A,"&gt;="&amp;DATE(2026,4,15),'DRAFT 2'!$A:$A,"&lt;="&amp;DATE(2026,4,21))</f>
        <v/>
      </c>
      <c r="ED43">
        <f>COUNTIFS('DRAFT 2'!$D:$D,$B43,'DRAFT 2'!$A:$A,"&gt;="&amp;DATE(2026,4,22),'DRAFT 2'!$A:$A,"&lt;"&amp;DATE(2026,IF(4=12,4+1,4+1),1))</f>
        <v/>
      </c>
      <c r="EE43">
        <f>SUM(EA43:ED43)</f>
        <v/>
      </c>
      <c r="EO43">
        <f>IFERROR(LOOKUP(2,1/('DRAFT 2'!$D:$D=$B43)*('DRAFT 2'!$A:$A&gt;=DATE(2026,5,1))*('DRAFT 2'!$A:$A&lt;DATE(2026,IF(5=12,5+1,5+1),1)),'DRAFT 2'!$A:$A),"")</f>
        <v/>
      </c>
      <c r="EP43">
        <f>COUNTIFS('DRAFT 2'!$D:$D,$B43,'DRAFT 2'!$A:$A,"&gt;="&amp;DATE(2026,5,1),'DRAFT 2'!$A:$A,"&lt;="&amp;DATE(2026,5,7))</f>
        <v/>
      </c>
      <c r="EQ43">
        <f>COUNTIFS('DRAFT 2'!$D:$D,$B43,'DRAFT 2'!$A:$A,"&gt;="&amp;DATE(2026,5,8),'DRAFT 2'!$A:$A,"&lt;="&amp;DATE(2026,5,14))</f>
        <v/>
      </c>
      <c r="ER43">
        <f>COUNTIFS('DRAFT 2'!$D:$D,$B43,'DRAFT 2'!$A:$A,"&gt;="&amp;DATE(2026,5,15),'DRAFT 2'!$A:$A,"&lt;="&amp;DATE(2026,5,21))</f>
        <v/>
      </c>
      <c r="ES43">
        <f>COUNTIFS('DRAFT 2'!$D:$D,$B43,'DRAFT 2'!$A:$A,"&gt;="&amp;DATE(2026,5,22),'DRAFT 2'!$A:$A,"&lt;"&amp;DATE(2026,IF(5=12,5+1,5+1),1))</f>
        <v/>
      </c>
      <c r="ET43">
        <f>SUM(EP43:ES43)</f>
        <v/>
      </c>
      <c r="FD43">
        <f>IFERROR(LOOKUP(2,1/('DRAFT 2'!$D:$D=$B43)*('DRAFT 2'!$A:$A&gt;=DATE(2026,6,1))*('DRAFT 2'!$A:$A&lt;DATE(2026,IF(6=12,6+1,6+1),1)),'DRAFT 2'!$A:$A),"")</f>
        <v/>
      </c>
      <c r="FE43">
        <f>COUNTIFS('DRAFT 2'!$D:$D,$B43,'DRAFT 2'!$A:$A,"&gt;="&amp;DATE(2026,6,1),'DRAFT 2'!$A:$A,"&lt;="&amp;DATE(2026,6,7))</f>
        <v/>
      </c>
      <c r="FF43">
        <f>COUNTIFS('DRAFT 2'!$D:$D,$B43,'DRAFT 2'!$A:$A,"&gt;="&amp;DATE(2026,6,8),'DRAFT 2'!$A:$A,"&lt;="&amp;DATE(2026,6,14))</f>
        <v/>
      </c>
      <c r="FG43">
        <f>COUNTIFS('DRAFT 2'!$D:$D,$B43,'DRAFT 2'!$A:$A,"&gt;="&amp;DATE(2026,6,15),'DRAFT 2'!$A:$A,"&lt;="&amp;DATE(2026,6,21))</f>
        <v/>
      </c>
      <c r="FH43">
        <f>COUNTIFS('DRAFT 2'!$D:$D,$B43,'DRAFT 2'!$A:$A,"&gt;="&amp;DATE(2026,6,22),'DRAFT 2'!$A:$A,"&lt;"&amp;DATE(2026,IF(6=12,6+1,6+1),1))</f>
        <v/>
      </c>
      <c r="FI43">
        <f>SUM(FE43:FH43)</f>
        <v/>
      </c>
      <c r="FT43">
        <f>IFERROR(LOOKUP(2,1/('DRAFT 2'!$D:$D=$B43)*('DRAFT 2'!$A:$A&gt;=DATE(2026,7,1))*('DRAFT 2'!$A:$A&lt;DATE(2026,IF(7=12,7+1,7+1),1)),'DRAFT 2'!$A:$A),"")</f>
        <v/>
      </c>
      <c r="FU43">
        <f>COUNTIFS('DRAFT 2'!$D:$D,$B43,'DRAFT 2'!$A:$A,"&gt;="&amp;DATE(2026,7,1),'DRAFT 2'!$A:$A,"&lt;="&amp;DATE(2026,7,7))</f>
        <v/>
      </c>
      <c r="FV43">
        <f>COUNTIFS('DRAFT 2'!$D:$D,$B43,'DRAFT 2'!$A:$A,"&gt;="&amp;DATE(2026,7,8),'DRAFT 2'!$A:$A,"&lt;="&amp;DATE(2026,7,14))</f>
        <v/>
      </c>
      <c r="FW43">
        <f>COUNTIFS('DRAFT 2'!$D:$D,$B43,'DRAFT 2'!$A:$A,"&gt;="&amp;DATE(2026,7,15),'DRAFT 2'!$A:$A,"&lt;="&amp;DATE(2026,7,21))</f>
        <v/>
      </c>
      <c r="FX43">
        <f>COUNTIFS('DRAFT 2'!$D:$D,$B43,'DRAFT 2'!$A:$A,"&gt;="&amp;DATE(2026,7,22),'DRAFT 2'!$A:$A,"&lt;"&amp;DATE(2026,IF(7=12,7+1,7+1),1))</f>
        <v/>
      </c>
      <c r="FY43">
        <f>SUM(FU43:FX43)</f>
        <v/>
      </c>
      <c r="GI43">
        <f>IFERROR(LOOKUP(2,1/('DRAFT 2'!$D:$D=$B43)*('DRAFT 2'!$A:$A&gt;=DATE(2026,8,1))*('DRAFT 2'!$A:$A&lt;DATE(2026,IF(8=12,8+1,8+1),1)),'DRAFT 2'!$A:$A),"")</f>
        <v/>
      </c>
      <c r="GJ43">
        <f>COUNTIFS('DRAFT 2'!$D:$D,$B43,'DRAFT 2'!$A:$A,"&gt;="&amp;DATE(2026,8,1),'DRAFT 2'!$A:$A,"&lt;="&amp;DATE(2026,8,7))</f>
        <v/>
      </c>
      <c r="GK43">
        <f>COUNTIFS('DRAFT 2'!$D:$D,$B43,'DRAFT 2'!$A:$A,"&gt;="&amp;DATE(2026,8,8),'DRAFT 2'!$A:$A,"&lt;="&amp;DATE(2026,8,14))</f>
        <v/>
      </c>
      <c r="GL43">
        <f>COUNTIFS('DRAFT 2'!$D:$D,$B43,'DRAFT 2'!$A:$A,"&gt;="&amp;DATE(2026,8,15),'DRAFT 2'!$A:$A,"&lt;="&amp;DATE(2026,8,21))</f>
        <v/>
      </c>
      <c r="GM43">
        <f>COUNTIFS('DRAFT 2'!$D:$D,$B43,'DRAFT 2'!$A:$A,"&gt;="&amp;DATE(2026,8,22),'DRAFT 2'!$A:$A,"&lt;"&amp;DATE(2026,IF(8=12,8+1,8+1),1))</f>
        <v/>
      </c>
      <c r="GN43">
        <f>SUM(GJ43:GM43)</f>
        <v/>
      </c>
      <c r="GX43">
        <f>IFERROR(LOOKUP(2,1/('DRAFT 2'!$D:$D=$B43)*('DRAFT 2'!$A:$A&gt;=DATE(2026,9,1))*('DRAFT 2'!$A:$A&lt;DATE(2026,IF(9=12,9+1,9+1),1)),'DRAFT 2'!$A:$A),"")</f>
        <v/>
      </c>
      <c r="GY43">
        <f>COUNTIFS('DRAFT 2'!$D:$D,$B43,'DRAFT 2'!$A:$A,"&gt;="&amp;DATE(2026,9,1),'DRAFT 2'!$A:$A,"&lt;="&amp;DATE(2026,9,7))</f>
        <v/>
      </c>
      <c r="GZ43">
        <f>COUNTIFS('DRAFT 2'!$D:$D,$B43,'DRAFT 2'!$A:$A,"&gt;="&amp;DATE(2026,9,8),'DRAFT 2'!$A:$A,"&lt;="&amp;DATE(2026,9,14))</f>
        <v/>
      </c>
      <c r="HA43">
        <f>COUNTIFS('DRAFT 2'!$D:$D,$B43,'DRAFT 2'!$A:$A,"&gt;="&amp;DATE(2026,9,15),'DRAFT 2'!$A:$A,"&lt;="&amp;DATE(2026,9,21))</f>
        <v/>
      </c>
      <c r="HB43">
        <f>COUNTIFS('DRAFT 2'!$D:$D,$B43,'DRAFT 2'!$A:$A,"&gt;="&amp;DATE(2026,9,22),'DRAFT 2'!$A:$A,"&lt;"&amp;DATE(2026,IF(9=12,9+1,9+1),1))</f>
        <v/>
      </c>
      <c r="HC43">
        <f>SUM(GY43:HB43)</f>
        <v/>
      </c>
      <c r="HN43">
        <f>IFERROR(LOOKUP(2,1/('DRAFT 2'!$D:$D=$B43)*('DRAFT 2'!$A:$A&gt;=DATE(2026,10,1))*('DRAFT 2'!$A:$A&lt;DATE(2026,IF(10=12,10+1,10+1),1)),'DRAFT 2'!$A:$A),"")</f>
        <v/>
      </c>
      <c r="HO43">
        <f>COUNTIFS('DRAFT 2'!$D:$D,$B43,'DRAFT 2'!$A:$A,"&gt;="&amp;DATE(2026,10,1),'DRAFT 2'!$A:$A,"&lt;="&amp;DATE(2026,10,7))</f>
        <v/>
      </c>
      <c r="HP43">
        <f>COUNTIFS('DRAFT 2'!$D:$D,$B43,'DRAFT 2'!$A:$A,"&gt;="&amp;DATE(2026,10,8),'DRAFT 2'!$A:$A,"&lt;="&amp;DATE(2026,10,14))</f>
        <v/>
      </c>
      <c r="HQ43">
        <f>COUNTIFS('DRAFT 2'!$D:$D,$B43,'DRAFT 2'!$A:$A,"&gt;="&amp;DATE(2026,10,15),'DRAFT 2'!$A:$A,"&lt;="&amp;DATE(2026,10,21))</f>
        <v/>
      </c>
      <c r="HR43">
        <f>COUNTIFS('DRAFT 2'!$D:$D,$B43,'DRAFT 2'!$A:$A,"&gt;="&amp;DATE(2026,10,22),'DRAFT 2'!$A:$A,"&lt;"&amp;DATE(2026,IF(10=12,10+1,10+1),1))</f>
        <v/>
      </c>
      <c r="HS43">
        <f>SUM(HO43:HR43)</f>
        <v/>
      </c>
      <c r="IC43">
        <f>IFERROR(LOOKUP(2,1/('DRAFT 2'!$D:$D=$B43)*('DRAFT 2'!$A:$A&gt;=DATE(2026,11,1))*('DRAFT 2'!$A:$A&lt;DATE(2026,IF(11=12,11+1,11+1),1)),'DRAFT 2'!$A:$A),"")</f>
        <v/>
      </c>
      <c r="ID43">
        <f>COUNTIFS('DRAFT 2'!$D:$D,$B43,'DRAFT 2'!$A:$A,"&gt;="&amp;DATE(2026,11,1),'DRAFT 2'!$A:$A,"&lt;="&amp;DATE(2026,11,7))</f>
        <v/>
      </c>
      <c r="IE43">
        <f>COUNTIFS('DRAFT 2'!$D:$D,$B43,'DRAFT 2'!$A:$A,"&gt;="&amp;DATE(2026,11,8),'DRAFT 2'!$A:$A,"&lt;="&amp;DATE(2026,11,14))</f>
        <v/>
      </c>
      <c r="IF43">
        <f>COUNTIFS('DRAFT 2'!$D:$D,$B43,'DRAFT 2'!$A:$A,"&gt;="&amp;DATE(2026,11,15),'DRAFT 2'!$A:$A,"&lt;="&amp;DATE(2026,11,21))</f>
        <v/>
      </c>
      <c r="IG43">
        <f>COUNTIFS('DRAFT 2'!$D:$D,$B43,'DRAFT 2'!$A:$A,"&gt;="&amp;DATE(2026,11,22),'DRAFT 2'!$A:$A,"&lt;"&amp;DATE(2026,IF(11=12,11+1,11+1),1))</f>
        <v/>
      </c>
      <c r="IH43">
        <f>SUM(ID43:IG43)</f>
        <v/>
      </c>
      <c r="IR43">
        <f>IFERROR(LOOKUP(2,1/('DRAFT 2'!$D:$D=$B43)*('DRAFT 2'!$A:$A&gt;=DATE(2026,12,1))*('DRAFT 2'!$A:$A&lt;DATE(2026,IF(12=12,12+1,12+1),1)),'DRAFT 2'!$A:$A),"")</f>
        <v/>
      </c>
      <c r="IS43">
        <f>COUNTIFS('DRAFT 2'!$D:$D,$B43,'DRAFT 2'!$A:$A,"&gt;="&amp;DATE(2026,12,1),'DRAFT 2'!$A:$A,"&lt;="&amp;DATE(2026,12,7))</f>
        <v/>
      </c>
      <c r="IT43">
        <f>COUNTIFS('DRAFT 2'!$D:$D,$B43,'DRAFT 2'!$A:$A,"&gt;="&amp;DATE(2026,12,8),'DRAFT 2'!$A:$A,"&lt;="&amp;DATE(2026,12,14))</f>
        <v/>
      </c>
      <c r="IU43">
        <f>COUNTIFS('DRAFT 2'!$D:$D,$B43,'DRAFT 2'!$A:$A,"&gt;="&amp;DATE(2026,12,15),'DRAFT 2'!$A:$A,"&lt;="&amp;DATE(2026,12,21))</f>
        <v/>
      </c>
      <c r="IV43">
        <f>COUNTIFS('DRAFT 2'!$D:$D,$B43,'DRAFT 2'!$A:$A,"&gt;="&amp;DATE(2026,12,22),'DRAFT 2'!$A:$A,"&lt;"&amp;DATE(2026,IF(12=12,12+1,12+1),1))</f>
        <v/>
      </c>
      <c r="IW43">
        <f>SUM(IS43:IV43)</f>
        <v/>
      </c>
    </row>
    <row r="44">
      <c r="A44">
        <f>IFERROR(INDEX('DRAFT 1'!$A:$A,MATCH($B44,'DRAFT 1'!$B:$B,0)),"")</f>
        <v/>
      </c>
      <c r="C44">
        <f>IFERROR(INDEX('DRAFT 1'!$C:$C,MATCH($B44,'DRAFT 1'!$B:$B,0)),"")</f>
        <v/>
      </c>
      <c r="D44">
        <f>IFERROR(INDEX('DRAFT 1'!$D:$D,MATCH($B44,'DRAFT 1'!$B:$B,0)),"")</f>
        <v/>
      </c>
      <c r="E44">
        <f>IFERROR(INDEX('DRAFT 1'!$E:$E,MATCH($B44,'DRAFT 1'!$B:$B,0)),"")</f>
        <v/>
      </c>
      <c r="F44">
        <f>IFERROR(INDEX('DRAFT 1'!$F:$F,MATCH($B44,'DRAFT 1'!$B:$B,0)),"")</f>
        <v/>
      </c>
      <c r="G44">
        <f>IFERROR(INDEX('DRAFT 1'!$G:$G,MATCH($B44,'DRAFT 1'!$B:$B,0)),"")</f>
        <v/>
      </c>
      <c r="H44">
        <f>IFERROR(INDEX('DRAFT 1'!$H:$H,MATCH($B44,'DRAFT 1'!$B:$B,0)),"")</f>
        <v/>
      </c>
      <c r="I44" t="inlineStr">
        <is>
          <t>VIDA LEVE</t>
        </is>
      </c>
      <c r="K44">
        <f>IFERROR(INDEX('DRAFT 1'!$AL:$AL,MATCH($B44,'DRAFT 1'!$B:$B,0)),"")</f>
        <v/>
      </c>
      <c r="L44">
        <f>IFERROR(INDEX('DRAFT 1'!$J:$J,MATCH($B44,'DRAFT 1'!$B:$B,0)),"")</f>
        <v/>
      </c>
      <c r="M44">
        <f>IFERROR(INDEX('DRAFT 1'!$K:$K,MATCH($B44,'DRAFT 1'!$B:$B,0)),"")</f>
        <v/>
      </c>
      <c r="N44" t="inlineStr">
        <is>
          <t>EM RISCO</t>
        </is>
      </c>
      <c r="P44">
        <f>IFERROR(INDEX('DRAFT 1'!$L:$L,MATCH($B44,'DRAFT 1'!$B:$B,0)),"")</f>
        <v/>
      </c>
      <c r="Q44">
        <f>IFERROR(INDEX('DRAFT 1'!$M:$M,MATCH($B44,'DRAFT 1'!$B:$B,0)),"")</f>
        <v/>
      </c>
      <c r="R44">
        <f>IFERROR(INDEX('DRAFT 1'!$N:$N,MATCH($B44,'DRAFT 1'!$B:$B,0)),"")</f>
        <v/>
      </c>
      <c r="S44">
        <f>IFERROR(INDEX('DRAFT 1'!$O:$O,MATCH($B44,'DRAFT 1'!$B:$B,0)),"")</f>
        <v/>
      </c>
      <c r="T44">
        <f>IFERROR(INDEX('DRAFT 1'!$P:$P,MATCH($B44,'DRAFT 1'!$B:$B,0)),"")</f>
        <v/>
      </c>
      <c r="U44">
        <f>IFERROR(INDEX('DRAFT 1'!$Q:$Q,MATCH($B44,'DRAFT 1'!$B:$B,0)),"")</f>
        <v/>
      </c>
      <c r="V44">
        <f>IFERROR(INDEX('DRAFT 1'!$R:$R,MATCH($B44,'DRAFT 1'!$B:$B,0)),"")</f>
        <v/>
      </c>
      <c r="W44">
        <f>IFERROR(INDEX('DRAFT 1'!$S:$S,MATCH($B44,'DRAFT 1'!$B:$B,0)),"")</f>
        <v/>
      </c>
      <c r="X44">
        <f>IFERROR(INDEX('DRAFT 1'!$T:$T,MATCH($B44,'DRAFT 1'!$B:$B,0)),"")</f>
        <v/>
      </c>
      <c r="Z44">
        <f>IFERROR(INDEX('DRAFT 1'!$U:$U,MATCH($B44,'DRAFT 1'!$B:$B,0)),"")</f>
        <v/>
      </c>
      <c r="AA44">
        <f>IFERROR(INDEX('DRAFT 1'!$V:$V,MATCH($B44,'DRAFT 1'!$B:$B,0)),"")</f>
        <v/>
      </c>
      <c r="AB44">
        <f>IFERROR(INDEX('DRAFT 1'!$W:$W,MATCH($B44,'DRAFT 1'!$B:$B,0)),"")</f>
        <v/>
      </c>
      <c r="AC44">
        <f>IFERROR(INDEX('DRAFT 1'!$X:$X,MATCH($B44,'DRAFT 1'!$B:$B,0)),"")</f>
        <v/>
      </c>
      <c r="AD44">
        <f>IFERROR(INDEX('DRAFT 1'!$Y:$Y,MATCH($B44,'DRAFT 1'!$B:$B,0)),"")</f>
        <v/>
      </c>
      <c r="AE44">
        <f>IFERROR(INDEX('DRAFT 1'!$Z:$Z,MATCH($B44,'DRAFT 1'!$B:$B,0)),"")</f>
        <v/>
      </c>
      <c r="AF44">
        <f>IFERROR(INDEX('DRAFT 1'!$AA:$AA,MATCH($B44,'DRAFT 1'!$B:$B,0)),"")</f>
        <v/>
      </c>
      <c r="AG44">
        <f>IFERROR(INDEX('DRAFT 1'!$AB:$AB,MATCH($B44,'DRAFT 1'!$B:$B,0)),"")</f>
        <v/>
      </c>
      <c r="AH44">
        <f>IFERROR(INDEX('DRAFT 1'!$AC:$AC,MATCH($B44,'DRAFT 1'!$B:$B,0)),"")</f>
        <v/>
      </c>
      <c r="AI44">
        <f>IFERROR(INDEX('DRAFT 1'!$AD:$AD,MATCH($B44,'DRAFT 1'!$B:$B,0)),"")</f>
        <v/>
      </c>
      <c r="AJ44">
        <f>IFERROR(INDEX('DRAFT 1'!$AE:$AE,MATCH($B44,'DRAFT 1'!$B:$B,0)),"")</f>
        <v/>
      </c>
      <c r="AK44">
        <f>IFERROR(INDEX('DRAFT 1'!$AG:$AG,MATCH($B44,'DRAFT 1'!$B:$B,0)),"")</f>
        <v/>
      </c>
      <c r="AL44">
        <f>IFERROR(INDEX('DRAFT 1'!$AH:$AH,MATCH($B44,'DRAFT 1'!$B:$B,0)),"")</f>
        <v/>
      </c>
      <c r="AM44">
        <f>IFERROR(INDEX('DRAFT 1'!$AI:$AI,MATCH($B44,'DRAFT 1'!$B:$B,0)),"")</f>
        <v/>
      </c>
      <c r="AN44">
        <f>IFERROR(INDEX('DRAFT 1'!$AJ:$AJ,MATCH($B44,'DRAFT 1'!$B:$B,0)),"")</f>
        <v/>
      </c>
      <c r="AO44">
        <f>IFERROR(Y44/AN44,0)</f>
        <v/>
      </c>
      <c r="AP44">
        <f>IFERROR(INDEX('DRAFT 1'!$AK:$AK,MATCH($B44,'DRAFT 1'!$B:$B,0)),"")</f>
        <v/>
      </c>
      <c r="AR44" t="inlineStr">
        <is>
          <t>NUTRIÇÃO</t>
        </is>
      </c>
      <c r="AS44">
        <f>IFERROR(LOOKUP(2,1/('DRAFT 2'!$D:$D=$B44),'DRAFT 2'!$T:$T),"")</f>
        <v/>
      </c>
      <c r="AT44">
        <f>IFERROR(LOOKUP(2,1/('DRAFT 2'!$D:$D=$B44),'DRAFT 2'!$A:$A),"")</f>
        <v/>
      </c>
      <c r="AU44">
        <f>IFERROR(LOOKUP(2,1/('DRAFT 2'!$D:$D=$B44),'DRAFT 2'!$R:$R),"")</f>
        <v/>
      </c>
      <c r="AV44">
        <f>IFERROR(LOOKUP(2,1/('DRAFT 2'!$D:$D=$B44),'DRAFT 2'!$S:$S),"")</f>
        <v/>
      </c>
      <c r="AW44" t="inlineStr">
        <is>
          <t>RECORRENTE</t>
        </is>
      </c>
      <c r="AX44">
        <f>IFERROR(LOOKUP(2,1/('DRAFT 2'!$D:$D=$B44),'DRAFT 2'!$M:$M),"")</f>
        <v/>
      </c>
      <c r="AY44">
        <f>IFERROR(LOOKUP(2,1/('DRAFT 2'!$D:$D=$B44),'DRAFT 2'!$K:$K),"")</f>
        <v/>
      </c>
      <c r="BG44">
        <f>IFERROR(LOOKUP(2,1/('DRAFT 2'!$D:$D=$B44),'DRAFT 2'!$U:$U),"")</f>
        <v/>
      </c>
      <c r="BH44">
        <f>IFERROR(LOOKUP(2,1/('DRAFT 2'!$D:$D=$B44),'DRAFT 2'!$V:$V),"")</f>
        <v/>
      </c>
      <c r="CE44">
        <f>IFERROR(AJ44,0)</f>
        <v/>
      </c>
      <c r="CF44">
        <f>IFERROR(LOOKUP(2,1/('DRAFT 2'!$D:$D=$B44)*('DRAFT 2'!$A:$A&gt;=DATE(2026,1,1))*('DRAFT 2'!$A:$A&lt;DATE(2026,IF(1=12,1+1,1+1),1)),'DRAFT 2'!$A:$A),"")</f>
        <v/>
      </c>
      <c r="CG44">
        <f>COUNTIFS('DRAFT 2'!$D:$D,$B44,'DRAFT 2'!$A:$A,"&gt;="&amp;DATE(2026,1,1),'DRAFT 2'!$A:$A,"&lt;="&amp;DATE(2026,1,7))</f>
        <v/>
      </c>
      <c r="CH44">
        <f>COUNTIFS('DRAFT 2'!$D:$D,$B44,'DRAFT 2'!$A:$A,"&gt;="&amp;DATE(2026,1,8),'DRAFT 2'!$A:$A,"&lt;="&amp;DATE(2026,1,14))</f>
        <v/>
      </c>
      <c r="CI44">
        <f>COUNTIFS('DRAFT 2'!$D:$D,$B44,'DRAFT 2'!$A:$A,"&gt;="&amp;DATE(2026,1,15),'DRAFT 2'!$A:$A,"&lt;="&amp;DATE(2026,1,21))</f>
        <v/>
      </c>
      <c r="CJ44">
        <f>COUNTIFS('DRAFT 2'!$D:$D,$B44,'DRAFT 2'!$A:$A,"&gt;="&amp;DATE(2026,1,22),'DRAFT 2'!$A:$A,"&lt;"&amp;DATE(2026,IF(1=12,1+1,1+1),1))</f>
        <v/>
      </c>
      <c r="CK44">
        <f>SUM(CG44:CJ44)</f>
        <v/>
      </c>
      <c r="CT44" t="n">
        <v>0</v>
      </c>
      <c r="CU44">
        <f>IFERROR(LOOKUP(2,1/('DRAFT 2'!$D:$D=$B44)*('DRAFT 2'!$A:$A&gt;=DATE(2026,2,1))*('DRAFT 2'!$A:$A&lt;DATE(2026,IF(2=12,2+1,2+1),1)),'DRAFT 2'!$A:$A),"")</f>
        <v/>
      </c>
      <c r="CV44">
        <f>COUNTIFS('DRAFT 2'!$D:$D,$B44,'DRAFT 2'!$A:$A,"&gt;="&amp;DATE(2026,2,1),'DRAFT 2'!$A:$A,"&lt;="&amp;DATE(2026,2,7))</f>
        <v/>
      </c>
      <c r="CW44">
        <f>COUNTIFS('DRAFT 2'!$D:$D,$B44,'DRAFT 2'!$A:$A,"&gt;="&amp;DATE(2026,2,8),'DRAFT 2'!$A:$A,"&lt;="&amp;DATE(2026,2,14))</f>
        <v/>
      </c>
      <c r="CX44">
        <f>COUNTIFS('DRAFT 2'!$D:$D,$B44,'DRAFT 2'!$A:$A,"&gt;="&amp;DATE(2026,2,15),'DRAFT 2'!$A:$A,"&lt;="&amp;DATE(2026,2,21))</f>
        <v/>
      </c>
      <c r="CY44">
        <f>COUNTIFS('DRAFT 2'!$D:$D,$B44,'DRAFT 2'!$A:$A,"&gt;="&amp;DATE(2026,2,22),'DRAFT 2'!$A:$A,"&lt;"&amp;DATE(2026,IF(2=12,2+1,2+1),1))</f>
        <v/>
      </c>
      <c r="CZ44">
        <f>SUM(CV44:CY44)</f>
        <v/>
      </c>
      <c r="DJ44">
        <f>IFERROR(LOOKUP(2,1/('DRAFT 2'!$D:$D=$B44)*('DRAFT 2'!$A:$A&gt;=DATE(2026,3,1))*('DRAFT 2'!$A:$A&lt;DATE(2026,IF(3=12,3+1,3+1),1)),'DRAFT 2'!$A:$A),"")</f>
        <v/>
      </c>
      <c r="DK44">
        <f>COUNTIFS('DRAFT 2'!$D:$D,$B44,'DRAFT 2'!$A:$A,"&gt;="&amp;DATE(2026,3,1),'DRAFT 2'!$A:$A,"&lt;="&amp;DATE(2026,3,7))</f>
        <v/>
      </c>
      <c r="DL44">
        <f>COUNTIFS('DRAFT 2'!$D:$D,$B44,'DRAFT 2'!$A:$A,"&gt;="&amp;DATE(2026,3,8),'DRAFT 2'!$A:$A,"&lt;="&amp;DATE(2026,3,14))</f>
        <v/>
      </c>
      <c r="DM44">
        <f>COUNTIFS('DRAFT 2'!$D:$D,$B44,'DRAFT 2'!$A:$A,"&gt;="&amp;DATE(2026,3,15),'DRAFT 2'!$A:$A,"&lt;="&amp;DATE(2026,3,21))</f>
        <v/>
      </c>
      <c r="DN44">
        <f>COUNTIFS('DRAFT 2'!$D:$D,$B44,'DRAFT 2'!$A:$A,"&gt;="&amp;DATE(2026,3,22),'DRAFT 2'!$A:$A,"&lt;"&amp;DATE(2026,IF(3=12,3+1,3+1),1))</f>
        <v/>
      </c>
      <c r="DO44">
        <f>SUM(DK44:DN44)</f>
        <v/>
      </c>
      <c r="DZ44">
        <f>IFERROR(LOOKUP(2,1/('DRAFT 2'!$D:$D=$B44)*('DRAFT 2'!$A:$A&gt;=DATE(2026,4,1))*('DRAFT 2'!$A:$A&lt;DATE(2026,IF(4=12,4+1,4+1),1)),'DRAFT 2'!$A:$A),"")</f>
        <v/>
      </c>
      <c r="EA44">
        <f>COUNTIFS('DRAFT 2'!$D:$D,$B44,'DRAFT 2'!$A:$A,"&gt;="&amp;DATE(2026,4,1),'DRAFT 2'!$A:$A,"&lt;="&amp;DATE(2026,4,7))</f>
        <v/>
      </c>
      <c r="EB44">
        <f>COUNTIFS('DRAFT 2'!$D:$D,$B44,'DRAFT 2'!$A:$A,"&gt;="&amp;DATE(2026,4,8),'DRAFT 2'!$A:$A,"&lt;="&amp;DATE(2026,4,14))</f>
        <v/>
      </c>
      <c r="EC44">
        <f>COUNTIFS('DRAFT 2'!$D:$D,$B44,'DRAFT 2'!$A:$A,"&gt;="&amp;DATE(2026,4,15),'DRAFT 2'!$A:$A,"&lt;="&amp;DATE(2026,4,21))</f>
        <v/>
      </c>
      <c r="ED44">
        <f>COUNTIFS('DRAFT 2'!$D:$D,$B44,'DRAFT 2'!$A:$A,"&gt;="&amp;DATE(2026,4,22),'DRAFT 2'!$A:$A,"&lt;"&amp;DATE(2026,IF(4=12,4+1,4+1),1))</f>
        <v/>
      </c>
      <c r="EE44">
        <f>SUM(EA44:ED44)</f>
        <v/>
      </c>
      <c r="EO44">
        <f>IFERROR(LOOKUP(2,1/('DRAFT 2'!$D:$D=$B44)*('DRAFT 2'!$A:$A&gt;=DATE(2026,5,1))*('DRAFT 2'!$A:$A&lt;DATE(2026,IF(5=12,5+1,5+1),1)),'DRAFT 2'!$A:$A),"")</f>
        <v/>
      </c>
      <c r="EP44">
        <f>COUNTIFS('DRAFT 2'!$D:$D,$B44,'DRAFT 2'!$A:$A,"&gt;="&amp;DATE(2026,5,1),'DRAFT 2'!$A:$A,"&lt;="&amp;DATE(2026,5,7))</f>
        <v/>
      </c>
      <c r="EQ44">
        <f>COUNTIFS('DRAFT 2'!$D:$D,$B44,'DRAFT 2'!$A:$A,"&gt;="&amp;DATE(2026,5,8),'DRAFT 2'!$A:$A,"&lt;="&amp;DATE(2026,5,14))</f>
        <v/>
      </c>
      <c r="ER44">
        <f>COUNTIFS('DRAFT 2'!$D:$D,$B44,'DRAFT 2'!$A:$A,"&gt;="&amp;DATE(2026,5,15),'DRAFT 2'!$A:$A,"&lt;="&amp;DATE(2026,5,21))</f>
        <v/>
      </c>
      <c r="ES44">
        <f>COUNTIFS('DRAFT 2'!$D:$D,$B44,'DRAFT 2'!$A:$A,"&gt;="&amp;DATE(2026,5,22),'DRAFT 2'!$A:$A,"&lt;"&amp;DATE(2026,IF(5=12,5+1,5+1),1))</f>
        <v/>
      </c>
      <c r="ET44">
        <f>SUM(EP44:ES44)</f>
        <v/>
      </c>
      <c r="FD44">
        <f>IFERROR(LOOKUP(2,1/('DRAFT 2'!$D:$D=$B44)*('DRAFT 2'!$A:$A&gt;=DATE(2026,6,1))*('DRAFT 2'!$A:$A&lt;DATE(2026,IF(6=12,6+1,6+1),1)),'DRAFT 2'!$A:$A),"")</f>
        <v/>
      </c>
      <c r="FE44">
        <f>COUNTIFS('DRAFT 2'!$D:$D,$B44,'DRAFT 2'!$A:$A,"&gt;="&amp;DATE(2026,6,1),'DRAFT 2'!$A:$A,"&lt;="&amp;DATE(2026,6,7))</f>
        <v/>
      </c>
      <c r="FF44">
        <f>COUNTIFS('DRAFT 2'!$D:$D,$B44,'DRAFT 2'!$A:$A,"&gt;="&amp;DATE(2026,6,8),'DRAFT 2'!$A:$A,"&lt;="&amp;DATE(2026,6,14))</f>
        <v/>
      </c>
      <c r="FG44">
        <f>COUNTIFS('DRAFT 2'!$D:$D,$B44,'DRAFT 2'!$A:$A,"&gt;="&amp;DATE(2026,6,15),'DRAFT 2'!$A:$A,"&lt;="&amp;DATE(2026,6,21))</f>
        <v/>
      </c>
      <c r="FH44">
        <f>COUNTIFS('DRAFT 2'!$D:$D,$B44,'DRAFT 2'!$A:$A,"&gt;="&amp;DATE(2026,6,22),'DRAFT 2'!$A:$A,"&lt;"&amp;DATE(2026,IF(6=12,6+1,6+1),1))</f>
        <v/>
      </c>
      <c r="FI44">
        <f>SUM(FE44:FH44)</f>
        <v/>
      </c>
      <c r="FT44">
        <f>IFERROR(LOOKUP(2,1/('DRAFT 2'!$D:$D=$B44)*('DRAFT 2'!$A:$A&gt;=DATE(2026,7,1))*('DRAFT 2'!$A:$A&lt;DATE(2026,IF(7=12,7+1,7+1),1)),'DRAFT 2'!$A:$A),"")</f>
        <v/>
      </c>
      <c r="FU44">
        <f>COUNTIFS('DRAFT 2'!$D:$D,$B44,'DRAFT 2'!$A:$A,"&gt;="&amp;DATE(2026,7,1),'DRAFT 2'!$A:$A,"&lt;="&amp;DATE(2026,7,7))</f>
        <v/>
      </c>
      <c r="FV44">
        <f>COUNTIFS('DRAFT 2'!$D:$D,$B44,'DRAFT 2'!$A:$A,"&gt;="&amp;DATE(2026,7,8),'DRAFT 2'!$A:$A,"&lt;="&amp;DATE(2026,7,14))</f>
        <v/>
      </c>
      <c r="FW44">
        <f>COUNTIFS('DRAFT 2'!$D:$D,$B44,'DRAFT 2'!$A:$A,"&gt;="&amp;DATE(2026,7,15),'DRAFT 2'!$A:$A,"&lt;="&amp;DATE(2026,7,21))</f>
        <v/>
      </c>
      <c r="FX44">
        <f>COUNTIFS('DRAFT 2'!$D:$D,$B44,'DRAFT 2'!$A:$A,"&gt;="&amp;DATE(2026,7,22),'DRAFT 2'!$A:$A,"&lt;"&amp;DATE(2026,IF(7=12,7+1,7+1),1))</f>
        <v/>
      </c>
      <c r="FY44">
        <f>SUM(FU44:FX44)</f>
        <v/>
      </c>
      <c r="GI44">
        <f>IFERROR(LOOKUP(2,1/('DRAFT 2'!$D:$D=$B44)*('DRAFT 2'!$A:$A&gt;=DATE(2026,8,1))*('DRAFT 2'!$A:$A&lt;DATE(2026,IF(8=12,8+1,8+1),1)),'DRAFT 2'!$A:$A),"")</f>
        <v/>
      </c>
      <c r="GJ44">
        <f>COUNTIFS('DRAFT 2'!$D:$D,$B44,'DRAFT 2'!$A:$A,"&gt;="&amp;DATE(2026,8,1),'DRAFT 2'!$A:$A,"&lt;="&amp;DATE(2026,8,7))</f>
        <v/>
      </c>
      <c r="GK44">
        <f>COUNTIFS('DRAFT 2'!$D:$D,$B44,'DRAFT 2'!$A:$A,"&gt;="&amp;DATE(2026,8,8),'DRAFT 2'!$A:$A,"&lt;="&amp;DATE(2026,8,14))</f>
        <v/>
      </c>
      <c r="GL44">
        <f>COUNTIFS('DRAFT 2'!$D:$D,$B44,'DRAFT 2'!$A:$A,"&gt;="&amp;DATE(2026,8,15),'DRAFT 2'!$A:$A,"&lt;="&amp;DATE(2026,8,21))</f>
        <v/>
      </c>
      <c r="GM44">
        <f>COUNTIFS('DRAFT 2'!$D:$D,$B44,'DRAFT 2'!$A:$A,"&gt;="&amp;DATE(2026,8,22),'DRAFT 2'!$A:$A,"&lt;"&amp;DATE(2026,IF(8=12,8+1,8+1),1))</f>
        <v/>
      </c>
      <c r="GN44">
        <f>SUM(GJ44:GM44)</f>
        <v/>
      </c>
      <c r="GX44">
        <f>IFERROR(LOOKUP(2,1/('DRAFT 2'!$D:$D=$B44)*('DRAFT 2'!$A:$A&gt;=DATE(2026,9,1))*('DRAFT 2'!$A:$A&lt;DATE(2026,IF(9=12,9+1,9+1),1)),'DRAFT 2'!$A:$A),"")</f>
        <v/>
      </c>
      <c r="GY44">
        <f>COUNTIFS('DRAFT 2'!$D:$D,$B44,'DRAFT 2'!$A:$A,"&gt;="&amp;DATE(2026,9,1),'DRAFT 2'!$A:$A,"&lt;="&amp;DATE(2026,9,7))</f>
        <v/>
      </c>
      <c r="GZ44">
        <f>COUNTIFS('DRAFT 2'!$D:$D,$B44,'DRAFT 2'!$A:$A,"&gt;="&amp;DATE(2026,9,8),'DRAFT 2'!$A:$A,"&lt;="&amp;DATE(2026,9,14))</f>
        <v/>
      </c>
      <c r="HA44">
        <f>COUNTIFS('DRAFT 2'!$D:$D,$B44,'DRAFT 2'!$A:$A,"&gt;="&amp;DATE(2026,9,15),'DRAFT 2'!$A:$A,"&lt;="&amp;DATE(2026,9,21))</f>
        <v/>
      </c>
      <c r="HB44">
        <f>COUNTIFS('DRAFT 2'!$D:$D,$B44,'DRAFT 2'!$A:$A,"&gt;="&amp;DATE(2026,9,22),'DRAFT 2'!$A:$A,"&lt;"&amp;DATE(2026,IF(9=12,9+1,9+1),1))</f>
        <v/>
      </c>
      <c r="HC44">
        <f>SUM(GY44:HB44)</f>
        <v/>
      </c>
      <c r="HN44">
        <f>IFERROR(LOOKUP(2,1/('DRAFT 2'!$D:$D=$B44)*('DRAFT 2'!$A:$A&gt;=DATE(2026,10,1))*('DRAFT 2'!$A:$A&lt;DATE(2026,IF(10=12,10+1,10+1),1)),'DRAFT 2'!$A:$A),"")</f>
        <v/>
      </c>
      <c r="HO44">
        <f>COUNTIFS('DRAFT 2'!$D:$D,$B44,'DRAFT 2'!$A:$A,"&gt;="&amp;DATE(2026,10,1),'DRAFT 2'!$A:$A,"&lt;="&amp;DATE(2026,10,7))</f>
        <v/>
      </c>
      <c r="HP44">
        <f>COUNTIFS('DRAFT 2'!$D:$D,$B44,'DRAFT 2'!$A:$A,"&gt;="&amp;DATE(2026,10,8),'DRAFT 2'!$A:$A,"&lt;="&amp;DATE(2026,10,14))</f>
        <v/>
      </c>
      <c r="HQ44">
        <f>COUNTIFS('DRAFT 2'!$D:$D,$B44,'DRAFT 2'!$A:$A,"&gt;="&amp;DATE(2026,10,15),'DRAFT 2'!$A:$A,"&lt;="&amp;DATE(2026,10,21))</f>
        <v/>
      </c>
      <c r="HR44">
        <f>COUNTIFS('DRAFT 2'!$D:$D,$B44,'DRAFT 2'!$A:$A,"&gt;="&amp;DATE(2026,10,22),'DRAFT 2'!$A:$A,"&lt;"&amp;DATE(2026,IF(10=12,10+1,10+1),1))</f>
        <v/>
      </c>
      <c r="HS44">
        <f>SUM(HO44:HR44)</f>
        <v/>
      </c>
      <c r="IC44">
        <f>IFERROR(LOOKUP(2,1/('DRAFT 2'!$D:$D=$B44)*('DRAFT 2'!$A:$A&gt;=DATE(2026,11,1))*('DRAFT 2'!$A:$A&lt;DATE(2026,IF(11=12,11+1,11+1),1)),'DRAFT 2'!$A:$A),"")</f>
        <v/>
      </c>
      <c r="ID44">
        <f>COUNTIFS('DRAFT 2'!$D:$D,$B44,'DRAFT 2'!$A:$A,"&gt;="&amp;DATE(2026,11,1),'DRAFT 2'!$A:$A,"&lt;="&amp;DATE(2026,11,7))</f>
        <v/>
      </c>
      <c r="IE44">
        <f>COUNTIFS('DRAFT 2'!$D:$D,$B44,'DRAFT 2'!$A:$A,"&gt;="&amp;DATE(2026,11,8),'DRAFT 2'!$A:$A,"&lt;="&amp;DATE(2026,11,14))</f>
        <v/>
      </c>
      <c r="IF44">
        <f>COUNTIFS('DRAFT 2'!$D:$D,$B44,'DRAFT 2'!$A:$A,"&gt;="&amp;DATE(2026,11,15),'DRAFT 2'!$A:$A,"&lt;="&amp;DATE(2026,11,21))</f>
        <v/>
      </c>
      <c r="IG44">
        <f>COUNTIFS('DRAFT 2'!$D:$D,$B44,'DRAFT 2'!$A:$A,"&gt;="&amp;DATE(2026,11,22),'DRAFT 2'!$A:$A,"&lt;"&amp;DATE(2026,IF(11=12,11+1,11+1),1))</f>
        <v/>
      </c>
      <c r="IH44">
        <f>SUM(ID44:IG44)</f>
        <v/>
      </c>
      <c r="IR44">
        <f>IFERROR(LOOKUP(2,1/('DRAFT 2'!$D:$D=$B44)*('DRAFT 2'!$A:$A&gt;=DATE(2026,12,1))*('DRAFT 2'!$A:$A&lt;DATE(2026,IF(12=12,12+1,12+1),1)),'DRAFT 2'!$A:$A),"")</f>
        <v/>
      </c>
      <c r="IS44">
        <f>COUNTIFS('DRAFT 2'!$D:$D,$B44,'DRAFT 2'!$A:$A,"&gt;="&amp;DATE(2026,12,1),'DRAFT 2'!$A:$A,"&lt;="&amp;DATE(2026,12,7))</f>
        <v/>
      </c>
      <c r="IT44">
        <f>COUNTIFS('DRAFT 2'!$D:$D,$B44,'DRAFT 2'!$A:$A,"&gt;="&amp;DATE(2026,12,8),'DRAFT 2'!$A:$A,"&lt;="&amp;DATE(2026,12,14))</f>
        <v/>
      </c>
      <c r="IU44">
        <f>COUNTIFS('DRAFT 2'!$D:$D,$B44,'DRAFT 2'!$A:$A,"&gt;="&amp;DATE(2026,12,15),'DRAFT 2'!$A:$A,"&lt;="&amp;DATE(2026,12,21))</f>
        <v/>
      </c>
      <c r="IV44">
        <f>COUNTIFS('DRAFT 2'!$D:$D,$B44,'DRAFT 2'!$A:$A,"&gt;="&amp;DATE(2026,12,22),'DRAFT 2'!$A:$A,"&lt;"&amp;DATE(2026,IF(12=12,12+1,12+1),1))</f>
        <v/>
      </c>
      <c r="IW44">
        <f>SUM(IS44:IV44)</f>
        <v/>
      </c>
    </row>
    <row r="45">
      <c r="A45">
        <f>IFERROR(INDEX('DRAFT 1'!$A:$A,MATCH($B45,'DRAFT 1'!$B:$B,0)),"")</f>
        <v/>
      </c>
      <c r="C45">
        <f>IFERROR(INDEX('DRAFT 1'!$C:$C,MATCH($B45,'DRAFT 1'!$B:$B,0)),"")</f>
        <v/>
      </c>
      <c r="D45">
        <f>IFERROR(INDEX('DRAFT 1'!$D:$D,MATCH($B45,'DRAFT 1'!$B:$B,0)),"")</f>
        <v/>
      </c>
      <c r="E45">
        <f>IFERROR(INDEX('DRAFT 1'!$E:$E,MATCH($B45,'DRAFT 1'!$B:$B,0)),"")</f>
        <v/>
      </c>
      <c r="F45">
        <f>IFERROR(INDEX('DRAFT 1'!$F:$F,MATCH($B45,'DRAFT 1'!$B:$B,0)),"")</f>
        <v/>
      </c>
      <c r="G45">
        <f>IFERROR(INDEX('DRAFT 1'!$G:$G,MATCH($B45,'DRAFT 1'!$B:$B,0)),"")</f>
        <v/>
      </c>
      <c r="H45">
        <f>IFERROR(INDEX('DRAFT 1'!$H:$H,MATCH($B45,'DRAFT 1'!$B:$B,0)),"")</f>
        <v/>
      </c>
      <c r="I45" t="inlineStr">
        <is>
          <t>MUNDO VERDE</t>
        </is>
      </c>
      <c r="K45">
        <f>IFERROR(INDEX('DRAFT 1'!$AL:$AL,MATCH($B45,'DRAFT 1'!$B:$B,0)),"")</f>
        <v/>
      </c>
      <c r="L45">
        <f>IFERROR(INDEX('DRAFT 1'!$J:$J,MATCH($B45,'DRAFT 1'!$B:$B,0)),"")</f>
        <v/>
      </c>
      <c r="M45">
        <f>IFERROR(INDEX('DRAFT 1'!$K:$K,MATCH($B45,'DRAFT 1'!$B:$B,0)),"")</f>
        <v/>
      </c>
      <c r="N45" t="inlineStr">
        <is>
          <t>INAT.ANT</t>
        </is>
      </c>
      <c r="P45">
        <f>IFERROR(INDEX('DRAFT 1'!$L:$L,MATCH($B45,'DRAFT 1'!$B:$B,0)),"")</f>
        <v/>
      </c>
      <c r="Q45">
        <f>IFERROR(INDEX('DRAFT 1'!$M:$M,MATCH($B45,'DRAFT 1'!$B:$B,0)),"")</f>
        <v/>
      </c>
      <c r="R45">
        <f>IFERROR(INDEX('DRAFT 1'!$N:$N,MATCH($B45,'DRAFT 1'!$B:$B,0)),"")</f>
        <v/>
      </c>
      <c r="S45">
        <f>IFERROR(INDEX('DRAFT 1'!$O:$O,MATCH($B45,'DRAFT 1'!$B:$B,0)),"")</f>
        <v/>
      </c>
      <c r="T45">
        <f>IFERROR(INDEX('DRAFT 1'!$P:$P,MATCH($B45,'DRAFT 1'!$B:$B,0)),"")</f>
        <v/>
      </c>
      <c r="U45">
        <f>IFERROR(INDEX('DRAFT 1'!$Q:$Q,MATCH($B45,'DRAFT 1'!$B:$B,0)),"")</f>
        <v/>
      </c>
      <c r="V45">
        <f>IFERROR(INDEX('DRAFT 1'!$R:$R,MATCH($B45,'DRAFT 1'!$B:$B,0)),"")</f>
        <v/>
      </c>
      <c r="W45">
        <f>IFERROR(INDEX('DRAFT 1'!$S:$S,MATCH($B45,'DRAFT 1'!$B:$B,0)),"")</f>
        <v/>
      </c>
      <c r="X45">
        <f>IFERROR(INDEX('DRAFT 1'!$T:$T,MATCH($B45,'DRAFT 1'!$B:$B,0)),"")</f>
        <v/>
      </c>
      <c r="Z45">
        <f>IFERROR(INDEX('DRAFT 1'!$U:$U,MATCH($B45,'DRAFT 1'!$B:$B,0)),"")</f>
        <v/>
      </c>
      <c r="AA45">
        <f>IFERROR(INDEX('DRAFT 1'!$V:$V,MATCH($B45,'DRAFT 1'!$B:$B,0)),"")</f>
        <v/>
      </c>
      <c r="AB45">
        <f>IFERROR(INDEX('DRAFT 1'!$W:$W,MATCH($B45,'DRAFT 1'!$B:$B,0)),"")</f>
        <v/>
      </c>
      <c r="AC45">
        <f>IFERROR(INDEX('DRAFT 1'!$X:$X,MATCH($B45,'DRAFT 1'!$B:$B,0)),"")</f>
        <v/>
      </c>
      <c r="AD45">
        <f>IFERROR(INDEX('DRAFT 1'!$Y:$Y,MATCH($B45,'DRAFT 1'!$B:$B,0)),"")</f>
        <v/>
      </c>
      <c r="AE45">
        <f>IFERROR(INDEX('DRAFT 1'!$Z:$Z,MATCH($B45,'DRAFT 1'!$B:$B,0)),"")</f>
        <v/>
      </c>
      <c r="AF45">
        <f>IFERROR(INDEX('DRAFT 1'!$AA:$AA,MATCH($B45,'DRAFT 1'!$B:$B,0)),"")</f>
        <v/>
      </c>
      <c r="AG45">
        <f>IFERROR(INDEX('DRAFT 1'!$AB:$AB,MATCH($B45,'DRAFT 1'!$B:$B,0)),"")</f>
        <v/>
      </c>
      <c r="AH45">
        <f>IFERROR(INDEX('DRAFT 1'!$AC:$AC,MATCH($B45,'DRAFT 1'!$B:$B,0)),"")</f>
        <v/>
      </c>
      <c r="AI45">
        <f>IFERROR(INDEX('DRAFT 1'!$AD:$AD,MATCH($B45,'DRAFT 1'!$B:$B,0)),"")</f>
        <v/>
      </c>
      <c r="AJ45">
        <f>IFERROR(INDEX('DRAFT 1'!$AE:$AE,MATCH($B45,'DRAFT 1'!$B:$B,0)),"")</f>
        <v/>
      </c>
      <c r="AK45">
        <f>IFERROR(INDEX('DRAFT 1'!$AG:$AG,MATCH($B45,'DRAFT 1'!$B:$B,0)),"")</f>
        <v/>
      </c>
      <c r="AL45">
        <f>IFERROR(INDEX('DRAFT 1'!$AH:$AH,MATCH($B45,'DRAFT 1'!$B:$B,0)),"")</f>
        <v/>
      </c>
      <c r="AM45">
        <f>IFERROR(INDEX('DRAFT 1'!$AI:$AI,MATCH($B45,'DRAFT 1'!$B:$B,0)),"")</f>
        <v/>
      </c>
      <c r="AN45">
        <f>IFERROR(INDEX('DRAFT 1'!$AJ:$AJ,MATCH($B45,'DRAFT 1'!$B:$B,0)),"")</f>
        <v/>
      </c>
      <c r="AO45">
        <f>IFERROR(Y45/AN45,0)</f>
        <v/>
      </c>
      <c r="AP45">
        <f>IFERROR(INDEX('DRAFT 1'!$AK:$AK,MATCH($B45,'DRAFT 1'!$B:$B,0)),"")</f>
        <v/>
      </c>
      <c r="AR45" t="inlineStr">
        <is>
          <t>RECOMPRA</t>
        </is>
      </c>
      <c r="AS45">
        <f>IFERROR(LOOKUP(2,1/('DRAFT 2'!$D:$D=$B45),'DRAFT 2'!$T:$T),"")</f>
        <v/>
      </c>
      <c r="AT45">
        <f>IFERROR(LOOKUP(2,1/('DRAFT 2'!$D:$D=$B45),'DRAFT 2'!$A:$A),"")</f>
        <v/>
      </c>
      <c r="AU45">
        <f>IFERROR(LOOKUP(2,1/('DRAFT 2'!$D:$D=$B45),'DRAFT 2'!$R:$R),"")</f>
        <v/>
      </c>
      <c r="AV45">
        <f>IFERROR(LOOKUP(2,1/('DRAFT 2'!$D:$D=$B45),'DRAFT 2'!$S:$S),"")</f>
        <v/>
      </c>
      <c r="AW45" t="inlineStr">
        <is>
          <t>RECORRENTE</t>
        </is>
      </c>
      <c r="AX45">
        <f>IFERROR(LOOKUP(2,1/('DRAFT 2'!$D:$D=$B45),'DRAFT 2'!$M:$M),"")</f>
        <v/>
      </c>
      <c r="AY45">
        <f>IFERROR(LOOKUP(2,1/('DRAFT 2'!$D:$D=$B45),'DRAFT 2'!$K:$K),"")</f>
        <v/>
      </c>
      <c r="BG45">
        <f>IFERROR(LOOKUP(2,1/('DRAFT 2'!$D:$D=$B45),'DRAFT 2'!$U:$U),"")</f>
        <v/>
      </c>
      <c r="BH45">
        <f>IFERROR(LOOKUP(2,1/('DRAFT 2'!$D:$D=$B45),'DRAFT 2'!$V:$V),"")</f>
        <v/>
      </c>
      <c r="CE45">
        <f>IFERROR(AJ45,0)</f>
        <v/>
      </c>
      <c r="CF45">
        <f>IFERROR(LOOKUP(2,1/('DRAFT 2'!$D:$D=$B45)*('DRAFT 2'!$A:$A&gt;=DATE(2026,1,1))*('DRAFT 2'!$A:$A&lt;DATE(2026,IF(1=12,1+1,1+1),1)),'DRAFT 2'!$A:$A),"")</f>
        <v/>
      </c>
      <c r="CG45">
        <f>COUNTIFS('DRAFT 2'!$D:$D,$B45,'DRAFT 2'!$A:$A,"&gt;="&amp;DATE(2026,1,1),'DRAFT 2'!$A:$A,"&lt;="&amp;DATE(2026,1,7))</f>
        <v/>
      </c>
      <c r="CH45">
        <f>COUNTIFS('DRAFT 2'!$D:$D,$B45,'DRAFT 2'!$A:$A,"&gt;="&amp;DATE(2026,1,8),'DRAFT 2'!$A:$A,"&lt;="&amp;DATE(2026,1,14))</f>
        <v/>
      </c>
      <c r="CI45">
        <f>COUNTIFS('DRAFT 2'!$D:$D,$B45,'DRAFT 2'!$A:$A,"&gt;="&amp;DATE(2026,1,15),'DRAFT 2'!$A:$A,"&lt;="&amp;DATE(2026,1,21))</f>
        <v/>
      </c>
      <c r="CJ45">
        <f>COUNTIFS('DRAFT 2'!$D:$D,$B45,'DRAFT 2'!$A:$A,"&gt;="&amp;DATE(2026,1,22),'DRAFT 2'!$A:$A,"&lt;"&amp;DATE(2026,IF(1=12,1+1,1+1),1))</f>
        <v/>
      </c>
      <c r="CK45">
        <f>SUM(CG45:CJ45)</f>
        <v/>
      </c>
      <c r="CT45" t="n">
        <v>0</v>
      </c>
      <c r="CU45">
        <f>IFERROR(LOOKUP(2,1/('DRAFT 2'!$D:$D=$B45)*('DRAFT 2'!$A:$A&gt;=DATE(2026,2,1))*('DRAFT 2'!$A:$A&lt;DATE(2026,IF(2=12,2+1,2+1),1)),'DRAFT 2'!$A:$A),"")</f>
        <v/>
      </c>
      <c r="CV45">
        <f>COUNTIFS('DRAFT 2'!$D:$D,$B45,'DRAFT 2'!$A:$A,"&gt;="&amp;DATE(2026,2,1),'DRAFT 2'!$A:$A,"&lt;="&amp;DATE(2026,2,7))</f>
        <v/>
      </c>
      <c r="CW45">
        <f>COUNTIFS('DRAFT 2'!$D:$D,$B45,'DRAFT 2'!$A:$A,"&gt;="&amp;DATE(2026,2,8),'DRAFT 2'!$A:$A,"&lt;="&amp;DATE(2026,2,14))</f>
        <v/>
      </c>
      <c r="CX45">
        <f>COUNTIFS('DRAFT 2'!$D:$D,$B45,'DRAFT 2'!$A:$A,"&gt;="&amp;DATE(2026,2,15),'DRAFT 2'!$A:$A,"&lt;="&amp;DATE(2026,2,21))</f>
        <v/>
      </c>
      <c r="CY45">
        <f>COUNTIFS('DRAFT 2'!$D:$D,$B45,'DRAFT 2'!$A:$A,"&gt;="&amp;DATE(2026,2,22),'DRAFT 2'!$A:$A,"&lt;"&amp;DATE(2026,IF(2=12,2+1,2+1),1))</f>
        <v/>
      </c>
      <c r="CZ45">
        <f>SUM(CV45:CY45)</f>
        <v/>
      </c>
      <c r="DJ45">
        <f>IFERROR(LOOKUP(2,1/('DRAFT 2'!$D:$D=$B45)*('DRAFT 2'!$A:$A&gt;=DATE(2026,3,1))*('DRAFT 2'!$A:$A&lt;DATE(2026,IF(3=12,3+1,3+1),1)),'DRAFT 2'!$A:$A),"")</f>
        <v/>
      </c>
      <c r="DK45">
        <f>COUNTIFS('DRAFT 2'!$D:$D,$B45,'DRAFT 2'!$A:$A,"&gt;="&amp;DATE(2026,3,1),'DRAFT 2'!$A:$A,"&lt;="&amp;DATE(2026,3,7))</f>
        <v/>
      </c>
      <c r="DL45">
        <f>COUNTIFS('DRAFT 2'!$D:$D,$B45,'DRAFT 2'!$A:$A,"&gt;="&amp;DATE(2026,3,8),'DRAFT 2'!$A:$A,"&lt;="&amp;DATE(2026,3,14))</f>
        <v/>
      </c>
      <c r="DM45">
        <f>COUNTIFS('DRAFT 2'!$D:$D,$B45,'DRAFT 2'!$A:$A,"&gt;="&amp;DATE(2026,3,15),'DRAFT 2'!$A:$A,"&lt;="&amp;DATE(2026,3,21))</f>
        <v/>
      </c>
      <c r="DN45">
        <f>COUNTIFS('DRAFT 2'!$D:$D,$B45,'DRAFT 2'!$A:$A,"&gt;="&amp;DATE(2026,3,22),'DRAFT 2'!$A:$A,"&lt;"&amp;DATE(2026,IF(3=12,3+1,3+1),1))</f>
        <v/>
      </c>
      <c r="DO45">
        <f>SUM(DK45:DN45)</f>
        <v/>
      </c>
      <c r="DZ45">
        <f>IFERROR(LOOKUP(2,1/('DRAFT 2'!$D:$D=$B45)*('DRAFT 2'!$A:$A&gt;=DATE(2026,4,1))*('DRAFT 2'!$A:$A&lt;DATE(2026,IF(4=12,4+1,4+1),1)),'DRAFT 2'!$A:$A),"")</f>
        <v/>
      </c>
      <c r="EA45">
        <f>COUNTIFS('DRAFT 2'!$D:$D,$B45,'DRAFT 2'!$A:$A,"&gt;="&amp;DATE(2026,4,1),'DRAFT 2'!$A:$A,"&lt;="&amp;DATE(2026,4,7))</f>
        <v/>
      </c>
      <c r="EB45">
        <f>COUNTIFS('DRAFT 2'!$D:$D,$B45,'DRAFT 2'!$A:$A,"&gt;="&amp;DATE(2026,4,8),'DRAFT 2'!$A:$A,"&lt;="&amp;DATE(2026,4,14))</f>
        <v/>
      </c>
      <c r="EC45">
        <f>COUNTIFS('DRAFT 2'!$D:$D,$B45,'DRAFT 2'!$A:$A,"&gt;="&amp;DATE(2026,4,15),'DRAFT 2'!$A:$A,"&lt;="&amp;DATE(2026,4,21))</f>
        <v/>
      </c>
      <c r="ED45">
        <f>COUNTIFS('DRAFT 2'!$D:$D,$B45,'DRAFT 2'!$A:$A,"&gt;="&amp;DATE(2026,4,22),'DRAFT 2'!$A:$A,"&lt;"&amp;DATE(2026,IF(4=12,4+1,4+1),1))</f>
        <v/>
      </c>
      <c r="EE45">
        <f>SUM(EA45:ED45)</f>
        <v/>
      </c>
      <c r="EO45">
        <f>IFERROR(LOOKUP(2,1/('DRAFT 2'!$D:$D=$B45)*('DRAFT 2'!$A:$A&gt;=DATE(2026,5,1))*('DRAFT 2'!$A:$A&lt;DATE(2026,IF(5=12,5+1,5+1),1)),'DRAFT 2'!$A:$A),"")</f>
        <v/>
      </c>
      <c r="EP45">
        <f>COUNTIFS('DRAFT 2'!$D:$D,$B45,'DRAFT 2'!$A:$A,"&gt;="&amp;DATE(2026,5,1),'DRAFT 2'!$A:$A,"&lt;="&amp;DATE(2026,5,7))</f>
        <v/>
      </c>
      <c r="EQ45">
        <f>COUNTIFS('DRAFT 2'!$D:$D,$B45,'DRAFT 2'!$A:$A,"&gt;="&amp;DATE(2026,5,8),'DRAFT 2'!$A:$A,"&lt;="&amp;DATE(2026,5,14))</f>
        <v/>
      </c>
      <c r="ER45">
        <f>COUNTIFS('DRAFT 2'!$D:$D,$B45,'DRAFT 2'!$A:$A,"&gt;="&amp;DATE(2026,5,15),'DRAFT 2'!$A:$A,"&lt;="&amp;DATE(2026,5,21))</f>
        <v/>
      </c>
      <c r="ES45">
        <f>COUNTIFS('DRAFT 2'!$D:$D,$B45,'DRAFT 2'!$A:$A,"&gt;="&amp;DATE(2026,5,22),'DRAFT 2'!$A:$A,"&lt;"&amp;DATE(2026,IF(5=12,5+1,5+1),1))</f>
        <v/>
      </c>
      <c r="ET45">
        <f>SUM(EP45:ES45)</f>
        <v/>
      </c>
      <c r="FD45">
        <f>IFERROR(LOOKUP(2,1/('DRAFT 2'!$D:$D=$B45)*('DRAFT 2'!$A:$A&gt;=DATE(2026,6,1))*('DRAFT 2'!$A:$A&lt;DATE(2026,IF(6=12,6+1,6+1),1)),'DRAFT 2'!$A:$A),"")</f>
        <v/>
      </c>
      <c r="FE45">
        <f>COUNTIFS('DRAFT 2'!$D:$D,$B45,'DRAFT 2'!$A:$A,"&gt;="&amp;DATE(2026,6,1),'DRAFT 2'!$A:$A,"&lt;="&amp;DATE(2026,6,7))</f>
        <v/>
      </c>
      <c r="FF45">
        <f>COUNTIFS('DRAFT 2'!$D:$D,$B45,'DRAFT 2'!$A:$A,"&gt;="&amp;DATE(2026,6,8),'DRAFT 2'!$A:$A,"&lt;="&amp;DATE(2026,6,14))</f>
        <v/>
      </c>
      <c r="FG45">
        <f>COUNTIFS('DRAFT 2'!$D:$D,$B45,'DRAFT 2'!$A:$A,"&gt;="&amp;DATE(2026,6,15),'DRAFT 2'!$A:$A,"&lt;="&amp;DATE(2026,6,21))</f>
        <v/>
      </c>
      <c r="FH45">
        <f>COUNTIFS('DRAFT 2'!$D:$D,$B45,'DRAFT 2'!$A:$A,"&gt;="&amp;DATE(2026,6,22),'DRAFT 2'!$A:$A,"&lt;"&amp;DATE(2026,IF(6=12,6+1,6+1),1))</f>
        <v/>
      </c>
      <c r="FI45">
        <f>SUM(FE45:FH45)</f>
        <v/>
      </c>
      <c r="FT45">
        <f>IFERROR(LOOKUP(2,1/('DRAFT 2'!$D:$D=$B45)*('DRAFT 2'!$A:$A&gt;=DATE(2026,7,1))*('DRAFT 2'!$A:$A&lt;DATE(2026,IF(7=12,7+1,7+1),1)),'DRAFT 2'!$A:$A),"")</f>
        <v/>
      </c>
      <c r="FU45">
        <f>COUNTIFS('DRAFT 2'!$D:$D,$B45,'DRAFT 2'!$A:$A,"&gt;="&amp;DATE(2026,7,1),'DRAFT 2'!$A:$A,"&lt;="&amp;DATE(2026,7,7))</f>
        <v/>
      </c>
      <c r="FV45">
        <f>COUNTIFS('DRAFT 2'!$D:$D,$B45,'DRAFT 2'!$A:$A,"&gt;="&amp;DATE(2026,7,8),'DRAFT 2'!$A:$A,"&lt;="&amp;DATE(2026,7,14))</f>
        <v/>
      </c>
      <c r="FW45">
        <f>COUNTIFS('DRAFT 2'!$D:$D,$B45,'DRAFT 2'!$A:$A,"&gt;="&amp;DATE(2026,7,15),'DRAFT 2'!$A:$A,"&lt;="&amp;DATE(2026,7,21))</f>
        <v/>
      </c>
      <c r="FX45">
        <f>COUNTIFS('DRAFT 2'!$D:$D,$B45,'DRAFT 2'!$A:$A,"&gt;="&amp;DATE(2026,7,22),'DRAFT 2'!$A:$A,"&lt;"&amp;DATE(2026,IF(7=12,7+1,7+1),1))</f>
        <v/>
      </c>
      <c r="FY45">
        <f>SUM(FU45:FX45)</f>
        <v/>
      </c>
      <c r="GI45">
        <f>IFERROR(LOOKUP(2,1/('DRAFT 2'!$D:$D=$B45)*('DRAFT 2'!$A:$A&gt;=DATE(2026,8,1))*('DRAFT 2'!$A:$A&lt;DATE(2026,IF(8=12,8+1,8+1),1)),'DRAFT 2'!$A:$A),"")</f>
        <v/>
      </c>
      <c r="GJ45">
        <f>COUNTIFS('DRAFT 2'!$D:$D,$B45,'DRAFT 2'!$A:$A,"&gt;="&amp;DATE(2026,8,1),'DRAFT 2'!$A:$A,"&lt;="&amp;DATE(2026,8,7))</f>
        <v/>
      </c>
      <c r="GK45">
        <f>COUNTIFS('DRAFT 2'!$D:$D,$B45,'DRAFT 2'!$A:$A,"&gt;="&amp;DATE(2026,8,8),'DRAFT 2'!$A:$A,"&lt;="&amp;DATE(2026,8,14))</f>
        <v/>
      </c>
      <c r="GL45">
        <f>COUNTIFS('DRAFT 2'!$D:$D,$B45,'DRAFT 2'!$A:$A,"&gt;="&amp;DATE(2026,8,15),'DRAFT 2'!$A:$A,"&lt;="&amp;DATE(2026,8,21))</f>
        <v/>
      </c>
      <c r="GM45">
        <f>COUNTIFS('DRAFT 2'!$D:$D,$B45,'DRAFT 2'!$A:$A,"&gt;="&amp;DATE(2026,8,22),'DRAFT 2'!$A:$A,"&lt;"&amp;DATE(2026,IF(8=12,8+1,8+1),1))</f>
        <v/>
      </c>
      <c r="GN45">
        <f>SUM(GJ45:GM45)</f>
        <v/>
      </c>
      <c r="GX45">
        <f>IFERROR(LOOKUP(2,1/('DRAFT 2'!$D:$D=$B45)*('DRAFT 2'!$A:$A&gt;=DATE(2026,9,1))*('DRAFT 2'!$A:$A&lt;DATE(2026,IF(9=12,9+1,9+1),1)),'DRAFT 2'!$A:$A),"")</f>
        <v/>
      </c>
      <c r="GY45">
        <f>COUNTIFS('DRAFT 2'!$D:$D,$B45,'DRAFT 2'!$A:$A,"&gt;="&amp;DATE(2026,9,1),'DRAFT 2'!$A:$A,"&lt;="&amp;DATE(2026,9,7))</f>
        <v/>
      </c>
      <c r="GZ45">
        <f>COUNTIFS('DRAFT 2'!$D:$D,$B45,'DRAFT 2'!$A:$A,"&gt;="&amp;DATE(2026,9,8),'DRAFT 2'!$A:$A,"&lt;="&amp;DATE(2026,9,14))</f>
        <v/>
      </c>
      <c r="HA45">
        <f>COUNTIFS('DRAFT 2'!$D:$D,$B45,'DRAFT 2'!$A:$A,"&gt;="&amp;DATE(2026,9,15),'DRAFT 2'!$A:$A,"&lt;="&amp;DATE(2026,9,21))</f>
        <v/>
      </c>
      <c r="HB45">
        <f>COUNTIFS('DRAFT 2'!$D:$D,$B45,'DRAFT 2'!$A:$A,"&gt;="&amp;DATE(2026,9,22),'DRAFT 2'!$A:$A,"&lt;"&amp;DATE(2026,IF(9=12,9+1,9+1),1))</f>
        <v/>
      </c>
      <c r="HC45">
        <f>SUM(GY45:HB45)</f>
        <v/>
      </c>
      <c r="HN45">
        <f>IFERROR(LOOKUP(2,1/('DRAFT 2'!$D:$D=$B45)*('DRAFT 2'!$A:$A&gt;=DATE(2026,10,1))*('DRAFT 2'!$A:$A&lt;DATE(2026,IF(10=12,10+1,10+1),1)),'DRAFT 2'!$A:$A),"")</f>
        <v/>
      </c>
      <c r="HO45">
        <f>COUNTIFS('DRAFT 2'!$D:$D,$B45,'DRAFT 2'!$A:$A,"&gt;="&amp;DATE(2026,10,1),'DRAFT 2'!$A:$A,"&lt;="&amp;DATE(2026,10,7))</f>
        <v/>
      </c>
      <c r="HP45">
        <f>COUNTIFS('DRAFT 2'!$D:$D,$B45,'DRAFT 2'!$A:$A,"&gt;="&amp;DATE(2026,10,8),'DRAFT 2'!$A:$A,"&lt;="&amp;DATE(2026,10,14))</f>
        <v/>
      </c>
      <c r="HQ45">
        <f>COUNTIFS('DRAFT 2'!$D:$D,$B45,'DRAFT 2'!$A:$A,"&gt;="&amp;DATE(2026,10,15),'DRAFT 2'!$A:$A,"&lt;="&amp;DATE(2026,10,21))</f>
        <v/>
      </c>
      <c r="HR45">
        <f>COUNTIFS('DRAFT 2'!$D:$D,$B45,'DRAFT 2'!$A:$A,"&gt;="&amp;DATE(2026,10,22),'DRAFT 2'!$A:$A,"&lt;"&amp;DATE(2026,IF(10=12,10+1,10+1),1))</f>
        <v/>
      </c>
      <c r="HS45">
        <f>SUM(HO45:HR45)</f>
        <v/>
      </c>
      <c r="IC45">
        <f>IFERROR(LOOKUP(2,1/('DRAFT 2'!$D:$D=$B45)*('DRAFT 2'!$A:$A&gt;=DATE(2026,11,1))*('DRAFT 2'!$A:$A&lt;DATE(2026,IF(11=12,11+1,11+1),1)),'DRAFT 2'!$A:$A),"")</f>
        <v/>
      </c>
      <c r="ID45">
        <f>COUNTIFS('DRAFT 2'!$D:$D,$B45,'DRAFT 2'!$A:$A,"&gt;="&amp;DATE(2026,11,1),'DRAFT 2'!$A:$A,"&lt;="&amp;DATE(2026,11,7))</f>
        <v/>
      </c>
      <c r="IE45">
        <f>COUNTIFS('DRAFT 2'!$D:$D,$B45,'DRAFT 2'!$A:$A,"&gt;="&amp;DATE(2026,11,8),'DRAFT 2'!$A:$A,"&lt;="&amp;DATE(2026,11,14))</f>
        <v/>
      </c>
      <c r="IF45">
        <f>COUNTIFS('DRAFT 2'!$D:$D,$B45,'DRAFT 2'!$A:$A,"&gt;="&amp;DATE(2026,11,15),'DRAFT 2'!$A:$A,"&lt;="&amp;DATE(2026,11,21))</f>
        <v/>
      </c>
      <c r="IG45">
        <f>COUNTIFS('DRAFT 2'!$D:$D,$B45,'DRAFT 2'!$A:$A,"&gt;="&amp;DATE(2026,11,22),'DRAFT 2'!$A:$A,"&lt;"&amp;DATE(2026,IF(11=12,11+1,11+1),1))</f>
        <v/>
      </c>
      <c r="IH45">
        <f>SUM(ID45:IG45)</f>
        <v/>
      </c>
      <c r="IR45">
        <f>IFERROR(LOOKUP(2,1/('DRAFT 2'!$D:$D=$B45)*('DRAFT 2'!$A:$A&gt;=DATE(2026,12,1))*('DRAFT 2'!$A:$A&lt;DATE(2026,IF(12=12,12+1,12+1),1)),'DRAFT 2'!$A:$A),"")</f>
        <v/>
      </c>
      <c r="IS45">
        <f>COUNTIFS('DRAFT 2'!$D:$D,$B45,'DRAFT 2'!$A:$A,"&gt;="&amp;DATE(2026,12,1),'DRAFT 2'!$A:$A,"&lt;="&amp;DATE(2026,12,7))</f>
        <v/>
      </c>
      <c r="IT45">
        <f>COUNTIFS('DRAFT 2'!$D:$D,$B45,'DRAFT 2'!$A:$A,"&gt;="&amp;DATE(2026,12,8),'DRAFT 2'!$A:$A,"&lt;="&amp;DATE(2026,12,14))</f>
        <v/>
      </c>
      <c r="IU45">
        <f>COUNTIFS('DRAFT 2'!$D:$D,$B45,'DRAFT 2'!$A:$A,"&gt;="&amp;DATE(2026,12,15),'DRAFT 2'!$A:$A,"&lt;="&amp;DATE(2026,12,21))</f>
        <v/>
      </c>
      <c r="IV45">
        <f>COUNTIFS('DRAFT 2'!$D:$D,$B45,'DRAFT 2'!$A:$A,"&gt;="&amp;DATE(2026,12,22),'DRAFT 2'!$A:$A,"&lt;"&amp;DATE(2026,IF(12=12,12+1,12+1),1))</f>
        <v/>
      </c>
      <c r="IW45">
        <f>SUM(IS45:IV45)</f>
        <v/>
      </c>
    </row>
    <row r="46">
      <c r="A46">
        <f>IFERROR(INDEX('DRAFT 1'!$A:$A,MATCH($B46,'DRAFT 1'!$B:$B,0)),"")</f>
        <v/>
      </c>
      <c r="C46">
        <f>IFERROR(INDEX('DRAFT 1'!$C:$C,MATCH($B46,'DRAFT 1'!$B:$B,0)),"")</f>
        <v/>
      </c>
      <c r="D46">
        <f>IFERROR(INDEX('DRAFT 1'!$D:$D,MATCH($B46,'DRAFT 1'!$B:$B,0)),"")</f>
        <v/>
      </c>
      <c r="E46">
        <f>IFERROR(INDEX('DRAFT 1'!$E:$E,MATCH($B46,'DRAFT 1'!$B:$B,0)),"")</f>
        <v/>
      </c>
      <c r="F46">
        <f>IFERROR(INDEX('DRAFT 1'!$F:$F,MATCH($B46,'DRAFT 1'!$B:$B,0)),"")</f>
        <v/>
      </c>
      <c r="G46">
        <f>IFERROR(INDEX('DRAFT 1'!$G:$G,MATCH($B46,'DRAFT 1'!$B:$B,0)),"")</f>
        <v/>
      </c>
      <c r="H46">
        <f>IFERROR(INDEX('DRAFT 1'!$H:$H,MATCH($B46,'DRAFT 1'!$B:$B,0)),"")</f>
        <v/>
      </c>
      <c r="I46" t="inlineStr">
        <is>
          <t>MUNDO VERDE</t>
        </is>
      </c>
      <c r="K46">
        <f>IFERROR(INDEX('DRAFT 1'!$AL:$AL,MATCH($B46,'DRAFT 1'!$B:$B,0)),"")</f>
        <v/>
      </c>
      <c r="L46">
        <f>IFERROR(INDEX('DRAFT 1'!$J:$J,MATCH($B46,'DRAFT 1'!$B:$B,0)),"")</f>
        <v/>
      </c>
      <c r="M46">
        <f>IFERROR(INDEX('DRAFT 1'!$K:$K,MATCH($B46,'DRAFT 1'!$B:$B,0)),"")</f>
        <v/>
      </c>
      <c r="N46" t="inlineStr">
        <is>
          <t>ATIVO</t>
        </is>
      </c>
      <c r="P46">
        <f>IFERROR(INDEX('DRAFT 1'!$L:$L,MATCH($B46,'DRAFT 1'!$B:$B,0)),"")</f>
        <v/>
      </c>
      <c r="Q46">
        <f>IFERROR(INDEX('DRAFT 1'!$M:$M,MATCH($B46,'DRAFT 1'!$B:$B,0)),"")</f>
        <v/>
      </c>
      <c r="R46">
        <f>IFERROR(INDEX('DRAFT 1'!$N:$N,MATCH($B46,'DRAFT 1'!$B:$B,0)),"")</f>
        <v/>
      </c>
      <c r="S46">
        <f>IFERROR(INDEX('DRAFT 1'!$O:$O,MATCH($B46,'DRAFT 1'!$B:$B,0)),"")</f>
        <v/>
      </c>
      <c r="T46">
        <f>IFERROR(INDEX('DRAFT 1'!$P:$P,MATCH($B46,'DRAFT 1'!$B:$B,0)),"")</f>
        <v/>
      </c>
      <c r="U46">
        <f>IFERROR(INDEX('DRAFT 1'!$Q:$Q,MATCH($B46,'DRAFT 1'!$B:$B,0)),"")</f>
        <v/>
      </c>
      <c r="V46">
        <f>IFERROR(INDEX('DRAFT 1'!$R:$R,MATCH($B46,'DRAFT 1'!$B:$B,0)),"")</f>
        <v/>
      </c>
      <c r="W46">
        <f>IFERROR(INDEX('DRAFT 1'!$S:$S,MATCH($B46,'DRAFT 1'!$B:$B,0)),"")</f>
        <v/>
      </c>
      <c r="X46">
        <f>IFERROR(INDEX('DRAFT 1'!$T:$T,MATCH($B46,'DRAFT 1'!$B:$B,0)),"")</f>
        <v/>
      </c>
      <c r="Z46">
        <f>IFERROR(INDEX('DRAFT 1'!$U:$U,MATCH($B46,'DRAFT 1'!$B:$B,0)),"")</f>
        <v/>
      </c>
      <c r="AA46">
        <f>IFERROR(INDEX('DRAFT 1'!$V:$V,MATCH($B46,'DRAFT 1'!$B:$B,0)),"")</f>
        <v/>
      </c>
      <c r="AB46">
        <f>IFERROR(INDEX('DRAFT 1'!$W:$W,MATCH($B46,'DRAFT 1'!$B:$B,0)),"")</f>
        <v/>
      </c>
      <c r="AC46">
        <f>IFERROR(INDEX('DRAFT 1'!$X:$X,MATCH($B46,'DRAFT 1'!$B:$B,0)),"")</f>
        <v/>
      </c>
      <c r="AD46">
        <f>IFERROR(INDEX('DRAFT 1'!$Y:$Y,MATCH($B46,'DRAFT 1'!$B:$B,0)),"")</f>
        <v/>
      </c>
      <c r="AE46">
        <f>IFERROR(INDEX('DRAFT 1'!$Z:$Z,MATCH($B46,'DRAFT 1'!$B:$B,0)),"")</f>
        <v/>
      </c>
      <c r="AF46">
        <f>IFERROR(INDEX('DRAFT 1'!$AA:$AA,MATCH($B46,'DRAFT 1'!$B:$B,0)),"")</f>
        <v/>
      </c>
      <c r="AG46">
        <f>IFERROR(INDEX('DRAFT 1'!$AB:$AB,MATCH($B46,'DRAFT 1'!$B:$B,0)),"")</f>
        <v/>
      </c>
      <c r="AH46">
        <f>IFERROR(INDEX('DRAFT 1'!$AC:$AC,MATCH($B46,'DRAFT 1'!$B:$B,0)),"")</f>
        <v/>
      </c>
      <c r="AI46">
        <f>IFERROR(INDEX('DRAFT 1'!$AD:$AD,MATCH($B46,'DRAFT 1'!$B:$B,0)),"")</f>
        <v/>
      </c>
      <c r="AJ46">
        <f>IFERROR(INDEX('DRAFT 1'!$AE:$AE,MATCH($B46,'DRAFT 1'!$B:$B,0)),"")</f>
        <v/>
      </c>
      <c r="AK46">
        <f>IFERROR(INDEX('DRAFT 1'!$AG:$AG,MATCH($B46,'DRAFT 1'!$B:$B,0)),"")</f>
        <v/>
      </c>
      <c r="AL46">
        <f>IFERROR(INDEX('DRAFT 1'!$AH:$AH,MATCH($B46,'DRAFT 1'!$B:$B,0)),"")</f>
        <v/>
      </c>
      <c r="AM46">
        <f>IFERROR(INDEX('DRAFT 1'!$AI:$AI,MATCH($B46,'DRAFT 1'!$B:$B,0)),"")</f>
        <v/>
      </c>
      <c r="AN46">
        <f>IFERROR(INDEX('DRAFT 1'!$AJ:$AJ,MATCH($B46,'DRAFT 1'!$B:$B,0)),"")</f>
        <v/>
      </c>
      <c r="AO46">
        <f>IFERROR(Y46/AN46,0)</f>
        <v/>
      </c>
      <c r="AP46">
        <f>IFERROR(INDEX('DRAFT 1'!$AK:$AK,MATCH($B46,'DRAFT 1'!$B:$B,0)),"")</f>
        <v/>
      </c>
      <c r="AR46" t="inlineStr">
        <is>
          <t>PÓS-VENDA</t>
        </is>
      </c>
      <c r="AS46">
        <f>IFERROR(LOOKUP(2,1/('DRAFT 2'!$D:$D=$B46),'DRAFT 2'!$T:$T),"")</f>
        <v/>
      </c>
      <c r="AT46">
        <f>IFERROR(LOOKUP(2,1/('DRAFT 2'!$D:$D=$B46),'DRAFT 2'!$A:$A),"")</f>
        <v/>
      </c>
      <c r="AU46">
        <f>IFERROR(LOOKUP(2,1/('DRAFT 2'!$D:$D=$B46),'DRAFT 2'!$R:$R),"")</f>
        <v/>
      </c>
      <c r="AV46">
        <f>IFERROR(LOOKUP(2,1/('DRAFT 2'!$D:$D=$B46),'DRAFT 2'!$S:$S),"")</f>
        <v/>
      </c>
      <c r="AW46" t="inlineStr">
        <is>
          <t>NOVO</t>
        </is>
      </c>
      <c r="AX46">
        <f>IFERROR(LOOKUP(2,1/('DRAFT 2'!$D:$D=$B46),'DRAFT 2'!$M:$M),"")</f>
        <v/>
      </c>
      <c r="AY46">
        <f>IFERROR(LOOKUP(2,1/('DRAFT 2'!$D:$D=$B46),'DRAFT 2'!$K:$K),"")</f>
        <v/>
      </c>
      <c r="BG46">
        <f>IFERROR(LOOKUP(2,1/('DRAFT 2'!$D:$D=$B46),'DRAFT 2'!$U:$U),"")</f>
        <v/>
      </c>
      <c r="BH46">
        <f>IFERROR(LOOKUP(2,1/('DRAFT 2'!$D:$D=$B46),'DRAFT 2'!$V:$V),"")</f>
        <v/>
      </c>
      <c r="CE46">
        <f>IFERROR(AJ46,0)</f>
        <v/>
      </c>
      <c r="CF46">
        <f>IFERROR(LOOKUP(2,1/('DRAFT 2'!$D:$D=$B46)*('DRAFT 2'!$A:$A&gt;=DATE(2026,1,1))*('DRAFT 2'!$A:$A&lt;DATE(2026,IF(1=12,1+1,1+1),1)),'DRAFT 2'!$A:$A),"")</f>
        <v/>
      </c>
      <c r="CG46">
        <f>COUNTIFS('DRAFT 2'!$D:$D,$B46,'DRAFT 2'!$A:$A,"&gt;="&amp;DATE(2026,1,1),'DRAFT 2'!$A:$A,"&lt;="&amp;DATE(2026,1,7))</f>
        <v/>
      </c>
      <c r="CH46">
        <f>COUNTIFS('DRAFT 2'!$D:$D,$B46,'DRAFT 2'!$A:$A,"&gt;="&amp;DATE(2026,1,8),'DRAFT 2'!$A:$A,"&lt;="&amp;DATE(2026,1,14))</f>
        <v/>
      </c>
      <c r="CI46">
        <f>COUNTIFS('DRAFT 2'!$D:$D,$B46,'DRAFT 2'!$A:$A,"&gt;="&amp;DATE(2026,1,15),'DRAFT 2'!$A:$A,"&lt;="&amp;DATE(2026,1,21))</f>
        <v/>
      </c>
      <c r="CJ46">
        <f>COUNTIFS('DRAFT 2'!$D:$D,$B46,'DRAFT 2'!$A:$A,"&gt;="&amp;DATE(2026,1,22),'DRAFT 2'!$A:$A,"&lt;"&amp;DATE(2026,IF(1=12,1+1,1+1),1))</f>
        <v/>
      </c>
      <c r="CK46">
        <f>SUM(CG46:CJ46)</f>
        <v/>
      </c>
      <c r="CT46" t="n">
        <v>0</v>
      </c>
      <c r="CU46">
        <f>IFERROR(LOOKUP(2,1/('DRAFT 2'!$D:$D=$B46)*('DRAFT 2'!$A:$A&gt;=DATE(2026,2,1))*('DRAFT 2'!$A:$A&lt;DATE(2026,IF(2=12,2+1,2+1),1)),'DRAFT 2'!$A:$A),"")</f>
        <v/>
      </c>
      <c r="CV46">
        <f>COUNTIFS('DRAFT 2'!$D:$D,$B46,'DRAFT 2'!$A:$A,"&gt;="&amp;DATE(2026,2,1),'DRAFT 2'!$A:$A,"&lt;="&amp;DATE(2026,2,7))</f>
        <v/>
      </c>
      <c r="CW46">
        <f>COUNTIFS('DRAFT 2'!$D:$D,$B46,'DRAFT 2'!$A:$A,"&gt;="&amp;DATE(2026,2,8),'DRAFT 2'!$A:$A,"&lt;="&amp;DATE(2026,2,14))</f>
        <v/>
      </c>
      <c r="CX46">
        <f>COUNTIFS('DRAFT 2'!$D:$D,$B46,'DRAFT 2'!$A:$A,"&gt;="&amp;DATE(2026,2,15),'DRAFT 2'!$A:$A,"&lt;="&amp;DATE(2026,2,21))</f>
        <v/>
      </c>
      <c r="CY46">
        <f>COUNTIFS('DRAFT 2'!$D:$D,$B46,'DRAFT 2'!$A:$A,"&gt;="&amp;DATE(2026,2,22),'DRAFT 2'!$A:$A,"&lt;"&amp;DATE(2026,IF(2=12,2+1,2+1),1))</f>
        <v/>
      </c>
      <c r="CZ46">
        <f>SUM(CV46:CY46)</f>
        <v/>
      </c>
      <c r="DJ46">
        <f>IFERROR(LOOKUP(2,1/('DRAFT 2'!$D:$D=$B46)*('DRAFT 2'!$A:$A&gt;=DATE(2026,3,1))*('DRAFT 2'!$A:$A&lt;DATE(2026,IF(3=12,3+1,3+1),1)),'DRAFT 2'!$A:$A),"")</f>
        <v/>
      </c>
      <c r="DK46">
        <f>COUNTIFS('DRAFT 2'!$D:$D,$B46,'DRAFT 2'!$A:$A,"&gt;="&amp;DATE(2026,3,1),'DRAFT 2'!$A:$A,"&lt;="&amp;DATE(2026,3,7))</f>
        <v/>
      </c>
      <c r="DL46">
        <f>COUNTIFS('DRAFT 2'!$D:$D,$B46,'DRAFT 2'!$A:$A,"&gt;="&amp;DATE(2026,3,8),'DRAFT 2'!$A:$A,"&lt;="&amp;DATE(2026,3,14))</f>
        <v/>
      </c>
      <c r="DM46">
        <f>COUNTIFS('DRAFT 2'!$D:$D,$B46,'DRAFT 2'!$A:$A,"&gt;="&amp;DATE(2026,3,15),'DRAFT 2'!$A:$A,"&lt;="&amp;DATE(2026,3,21))</f>
        <v/>
      </c>
      <c r="DN46">
        <f>COUNTIFS('DRAFT 2'!$D:$D,$B46,'DRAFT 2'!$A:$A,"&gt;="&amp;DATE(2026,3,22),'DRAFT 2'!$A:$A,"&lt;"&amp;DATE(2026,IF(3=12,3+1,3+1),1))</f>
        <v/>
      </c>
      <c r="DO46">
        <f>SUM(DK46:DN46)</f>
        <v/>
      </c>
      <c r="DZ46">
        <f>IFERROR(LOOKUP(2,1/('DRAFT 2'!$D:$D=$B46)*('DRAFT 2'!$A:$A&gt;=DATE(2026,4,1))*('DRAFT 2'!$A:$A&lt;DATE(2026,IF(4=12,4+1,4+1),1)),'DRAFT 2'!$A:$A),"")</f>
        <v/>
      </c>
      <c r="EA46">
        <f>COUNTIFS('DRAFT 2'!$D:$D,$B46,'DRAFT 2'!$A:$A,"&gt;="&amp;DATE(2026,4,1),'DRAFT 2'!$A:$A,"&lt;="&amp;DATE(2026,4,7))</f>
        <v/>
      </c>
      <c r="EB46">
        <f>COUNTIFS('DRAFT 2'!$D:$D,$B46,'DRAFT 2'!$A:$A,"&gt;="&amp;DATE(2026,4,8),'DRAFT 2'!$A:$A,"&lt;="&amp;DATE(2026,4,14))</f>
        <v/>
      </c>
      <c r="EC46">
        <f>COUNTIFS('DRAFT 2'!$D:$D,$B46,'DRAFT 2'!$A:$A,"&gt;="&amp;DATE(2026,4,15),'DRAFT 2'!$A:$A,"&lt;="&amp;DATE(2026,4,21))</f>
        <v/>
      </c>
      <c r="ED46">
        <f>COUNTIFS('DRAFT 2'!$D:$D,$B46,'DRAFT 2'!$A:$A,"&gt;="&amp;DATE(2026,4,22),'DRAFT 2'!$A:$A,"&lt;"&amp;DATE(2026,IF(4=12,4+1,4+1),1))</f>
        <v/>
      </c>
      <c r="EE46">
        <f>SUM(EA46:ED46)</f>
        <v/>
      </c>
      <c r="EO46">
        <f>IFERROR(LOOKUP(2,1/('DRAFT 2'!$D:$D=$B46)*('DRAFT 2'!$A:$A&gt;=DATE(2026,5,1))*('DRAFT 2'!$A:$A&lt;DATE(2026,IF(5=12,5+1,5+1),1)),'DRAFT 2'!$A:$A),"")</f>
        <v/>
      </c>
      <c r="EP46">
        <f>COUNTIFS('DRAFT 2'!$D:$D,$B46,'DRAFT 2'!$A:$A,"&gt;="&amp;DATE(2026,5,1),'DRAFT 2'!$A:$A,"&lt;="&amp;DATE(2026,5,7))</f>
        <v/>
      </c>
      <c r="EQ46">
        <f>COUNTIFS('DRAFT 2'!$D:$D,$B46,'DRAFT 2'!$A:$A,"&gt;="&amp;DATE(2026,5,8),'DRAFT 2'!$A:$A,"&lt;="&amp;DATE(2026,5,14))</f>
        <v/>
      </c>
      <c r="ER46">
        <f>COUNTIFS('DRAFT 2'!$D:$D,$B46,'DRAFT 2'!$A:$A,"&gt;="&amp;DATE(2026,5,15),'DRAFT 2'!$A:$A,"&lt;="&amp;DATE(2026,5,21))</f>
        <v/>
      </c>
      <c r="ES46">
        <f>COUNTIFS('DRAFT 2'!$D:$D,$B46,'DRAFT 2'!$A:$A,"&gt;="&amp;DATE(2026,5,22),'DRAFT 2'!$A:$A,"&lt;"&amp;DATE(2026,IF(5=12,5+1,5+1),1))</f>
        <v/>
      </c>
      <c r="ET46">
        <f>SUM(EP46:ES46)</f>
        <v/>
      </c>
      <c r="FD46">
        <f>IFERROR(LOOKUP(2,1/('DRAFT 2'!$D:$D=$B46)*('DRAFT 2'!$A:$A&gt;=DATE(2026,6,1))*('DRAFT 2'!$A:$A&lt;DATE(2026,IF(6=12,6+1,6+1),1)),'DRAFT 2'!$A:$A),"")</f>
        <v/>
      </c>
      <c r="FE46">
        <f>COUNTIFS('DRAFT 2'!$D:$D,$B46,'DRAFT 2'!$A:$A,"&gt;="&amp;DATE(2026,6,1),'DRAFT 2'!$A:$A,"&lt;="&amp;DATE(2026,6,7))</f>
        <v/>
      </c>
      <c r="FF46">
        <f>COUNTIFS('DRAFT 2'!$D:$D,$B46,'DRAFT 2'!$A:$A,"&gt;="&amp;DATE(2026,6,8),'DRAFT 2'!$A:$A,"&lt;="&amp;DATE(2026,6,14))</f>
        <v/>
      </c>
      <c r="FG46">
        <f>COUNTIFS('DRAFT 2'!$D:$D,$B46,'DRAFT 2'!$A:$A,"&gt;="&amp;DATE(2026,6,15),'DRAFT 2'!$A:$A,"&lt;="&amp;DATE(2026,6,21))</f>
        <v/>
      </c>
      <c r="FH46">
        <f>COUNTIFS('DRAFT 2'!$D:$D,$B46,'DRAFT 2'!$A:$A,"&gt;="&amp;DATE(2026,6,22),'DRAFT 2'!$A:$A,"&lt;"&amp;DATE(2026,IF(6=12,6+1,6+1),1))</f>
        <v/>
      </c>
      <c r="FI46">
        <f>SUM(FE46:FH46)</f>
        <v/>
      </c>
      <c r="FT46">
        <f>IFERROR(LOOKUP(2,1/('DRAFT 2'!$D:$D=$B46)*('DRAFT 2'!$A:$A&gt;=DATE(2026,7,1))*('DRAFT 2'!$A:$A&lt;DATE(2026,IF(7=12,7+1,7+1),1)),'DRAFT 2'!$A:$A),"")</f>
        <v/>
      </c>
      <c r="FU46">
        <f>COUNTIFS('DRAFT 2'!$D:$D,$B46,'DRAFT 2'!$A:$A,"&gt;="&amp;DATE(2026,7,1),'DRAFT 2'!$A:$A,"&lt;="&amp;DATE(2026,7,7))</f>
        <v/>
      </c>
      <c r="FV46">
        <f>COUNTIFS('DRAFT 2'!$D:$D,$B46,'DRAFT 2'!$A:$A,"&gt;="&amp;DATE(2026,7,8),'DRAFT 2'!$A:$A,"&lt;="&amp;DATE(2026,7,14))</f>
        <v/>
      </c>
      <c r="FW46">
        <f>COUNTIFS('DRAFT 2'!$D:$D,$B46,'DRAFT 2'!$A:$A,"&gt;="&amp;DATE(2026,7,15),'DRAFT 2'!$A:$A,"&lt;="&amp;DATE(2026,7,21))</f>
        <v/>
      </c>
      <c r="FX46">
        <f>COUNTIFS('DRAFT 2'!$D:$D,$B46,'DRAFT 2'!$A:$A,"&gt;="&amp;DATE(2026,7,22),'DRAFT 2'!$A:$A,"&lt;"&amp;DATE(2026,IF(7=12,7+1,7+1),1))</f>
        <v/>
      </c>
      <c r="FY46">
        <f>SUM(FU46:FX46)</f>
        <v/>
      </c>
      <c r="GI46">
        <f>IFERROR(LOOKUP(2,1/('DRAFT 2'!$D:$D=$B46)*('DRAFT 2'!$A:$A&gt;=DATE(2026,8,1))*('DRAFT 2'!$A:$A&lt;DATE(2026,IF(8=12,8+1,8+1),1)),'DRAFT 2'!$A:$A),"")</f>
        <v/>
      </c>
      <c r="GJ46">
        <f>COUNTIFS('DRAFT 2'!$D:$D,$B46,'DRAFT 2'!$A:$A,"&gt;="&amp;DATE(2026,8,1),'DRAFT 2'!$A:$A,"&lt;="&amp;DATE(2026,8,7))</f>
        <v/>
      </c>
      <c r="GK46">
        <f>COUNTIFS('DRAFT 2'!$D:$D,$B46,'DRAFT 2'!$A:$A,"&gt;="&amp;DATE(2026,8,8),'DRAFT 2'!$A:$A,"&lt;="&amp;DATE(2026,8,14))</f>
        <v/>
      </c>
      <c r="GL46">
        <f>COUNTIFS('DRAFT 2'!$D:$D,$B46,'DRAFT 2'!$A:$A,"&gt;="&amp;DATE(2026,8,15),'DRAFT 2'!$A:$A,"&lt;="&amp;DATE(2026,8,21))</f>
        <v/>
      </c>
      <c r="GM46">
        <f>COUNTIFS('DRAFT 2'!$D:$D,$B46,'DRAFT 2'!$A:$A,"&gt;="&amp;DATE(2026,8,22),'DRAFT 2'!$A:$A,"&lt;"&amp;DATE(2026,IF(8=12,8+1,8+1),1))</f>
        <v/>
      </c>
      <c r="GN46">
        <f>SUM(GJ46:GM46)</f>
        <v/>
      </c>
      <c r="GX46">
        <f>IFERROR(LOOKUP(2,1/('DRAFT 2'!$D:$D=$B46)*('DRAFT 2'!$A:$A&gt;=DATE(2026,9,1))*('DRAFT 2'!$A:$A&lt;DATE(2026,IF(9=12,9+1,9+1),1)),'DRAFT 2'!$A:$A),"")</f>
        <v/>
      </c>
      <c r="GY46">
        <f>COUNTIFS('DRAFT 2'!$D:$D,$B46,'DRAFT 2'!$A:$A,"&gt;="&amp;DATE(2026,9,1),'DRAFT 2'!$A:$A,"&lt;="&amp;DATE(2026,9,7))</f>
        <v/>
      </c>
      <c r="GZ46">
        <f>COUNTIFS('DRAFT 2'!$D:$D,$B46,'DRAFT 2'!$A:$A,"&gt;="&amp;DATE(2026,9,8),'DRAFT 2'!$A:$A,"&lt;="&amp;DATE(2026,9,14))</f>
        <v/>
      </c>
      <c r="HA46">
        <f>COUNTIFS('DRAFT 2'!$D:$D,$B46,'DRAFT 2'!$A:$A,"&gt;="&amp;DATE(2026,9,15),'DRAFT 2'!$A:$A,"&lt;="&amp;DATE(2026,9,21))</f>
        <v/>
      </c>
      <c r="HB46">
        <f>COUNTIFS('DRAFT 2'!$D:$D,$B46,'DRAFT 2'!$A:$A,"&gt;="&amp;DATE(2026,9,22),'DRAFT 2'!$A:$A,"&lt;"&amp;DATE(2026,IF(9=12,9+1,9+1),1))</f>
        <v/>
      </c>
      <c r="HC46">
        <f>SUM(GY46:HB46)</f>
        <v/>
      </c>
      <c r="HN46">
        <f>IFERROR(LOOKUP(2,1/('DRAFT 2'!$D:$D=$B46)*('DRAFT 2'!$A:$A&gt;=DATE(2026,10,1))*('DRAFT 2'!$A:$A&lt;DATE(2026,IF(10=12,10+1,10+1),1)),'DRAFT 2'!$A:$A),"")</f>
        <v/>
      </c>
      <c r="HO46">
        <f>COUNTIFS('DRAFT 2'!$D:$D,$B46,'DRAFT 2'!$A:$A,"&gt;="&amp;DATE(2026,10,1),'DRAFT 2'!$A:$A,"&lt;="&amp;DATE(2026,10,7))</f>
        <v/>
      </c>
      <c r="HP46">
        <f>COUNTIFS('DRAFT 2'!$D:$D,$B46,'DRAFT 2'!$A:$A,"&gt;="&amp;DATE(2026,10,8),'DRAFT 2'!$A:$A,"&lt;="&amp;DATE(2026,10,14))</f>
        <v/>
      </c>
      <c r="HQ46">
        <f>COUNTIFS('DRAFT 2'!$D:$D,$B46,'DRAFT 2'!$A:$A,"&gt;="&amp;DATE(2026,10,15),'DRAFT 2'!$A:$A,"&lt;="&amp;DATE(2026,10,21))</f>
        <v/>
      </c>
      <c r="HR46">
        <f>COUNTIFS('DRAFT 2'!$D:$D,$B46,'DRAFT 2'!$A:$A,"&gt;="&amp;DATE(2026,10,22),'DRAFT 2'!$A:$A,"&lt;"&amp;DATE(2026,IF(10=12,10+1,10+1),1))</f>
        <v/>
      </c>
      <c r="HS46">
        <f>SUM(HO46:HR46)</f>
        <v/>
      </c>
      <c r="IC46">
        <f>IFERROR(LOOKUP(2,1/('DRAFT 2'!$D:$D=$B46)*('DRAFT 2'!$A:$A&gt;=DATE(2026,11,1))*('DRAFT 2'!$A:$A&lt;DATE(2026,IF(11=12,11+1,11+1),1)),'DRAFT 2'!$A:$A),"")</f>
        <v/>
      </c>
      <c r="ID46">
        <f>COUNTIFS('DRAFT 2'!$D:$D,$B46,'DRAFT 2'!$A:$A,"&gt;="&amp;DATE(2026,11,1),'DRAFT 2'!$A:$A,"&lt;="&amp;DATE(2026,11,7))</f>
        <v/>
      </c>
      <c r="IE46">
        <f>COUNTIFS('DRAFT 2'!$D:$D,$B46,'DRAFT 2'!$A:$A,"&gt;="&amp;DATE(2026,11,8),'DRAFT 2'!$A:$A,"&lt;="&amp;DATE(2026,11,14))</f>
        <v/>
      </c>
      <c r="IF46">
        <f>COUNTIFS('DRAFT 2'!$D:$D,$B46,'DRAFT 2'!$A:$A,"&gt;="&amp;DATE(2026,11,15),'DRAFT 2'!$A:$A,"&lt;="&amp;DATE(2026,11,21))</f>
        <v/>
      </c>
      <c r="IG46">
        <f>COUNTIFS('DRAFT 2'!$D:$D,$B46,'DRAFT 2'!$A:$A,"&gt;="&amp;DATE(2026,11,22),'DRAFT 2'!$A:$A,"&lt;"&amp;DATE(2026,IF(11=12,11+1,11+1),1))</f>
        <v/>
      </c>
      <c r="IH46">
        <f>SUM(ID46:IG46)</f>
        <v/>
      </c>
      <c r="IR46">
        <f>IFERROR(LOOKUP(2,1/('DRAFT 2'!$D:$D=$B46)*('DRAFT 2'!$A:$A&gt;=DATE(2026,12,1))*('DRAFT 2'!$A:$A&lt;DATE(2026,IF(12=12,12+1,12+1),1)),'DRAFT 2'!$A:$A),"")</f>
        <v/>
      </c>
      <c r="IS46">
        <f>COUNTIFS('DRAFT 2'!$D:$D,$B46,'DRAFT 2'!$A:$A,"&gt;="&amp;DATE(2026,12,1),'DRAFT 2'!$A:$A,"&lt;="&amp;DATE(2026,12,7))</f>
        <v/>
      </c>
      <c r="IT46">
        <f>COUNTIFS('DRAFT 2'!$D:$D,$B46,'DRAFT 2'!$A:$A,"&gt;="&amp;DATE(2026,12,8),'DRAFT 2'!$A:$A,"&lt;="&amp;DATE(2026,12,14))</f>
        <v/>
      </c>
      <c r="IU46">
        <f>COUNTIFS('DRAFT 2'!$D:$D,$B46,'DRAFT 2'!$A:$A,"&gt;="&amp;DATE(2026,12,15),'DRAFT 2'!$A:$A,"&lt;="&amp;DATE(2026,12,21))</f>
        <v/>
      </c>
      <c r="IV46">
        <f>COUNTIFS('DRAFT 2'!$D:$D,$B46,'DRAFT 2'!$A:$A,"&gt;="&amp;DATE(2026,12,22),'DRAFT 2'!$A:$A,"&lt;"&amp;DATE(2026,IF(12=12,12+1,12+1),1))</f>
        <v/>
      </c>
      <c r="IW46">
        <f>SUM(IS46:IV46)</f>
        <v/>
      </c>
    </row>
    <row r="47">
      <c r="A47">
        <f>IFERROR(INDEX('DRAFT 1'!$A:$A,MATCH($B47,'DRAFT 1'!$B:$B,0)),"")</f>
        <v/>
      </c>
      <c r="C47">
        <f>IFERROR(INDEX('DRAFT 1'!$C:$C,MATCH($B47,'DRAFT 1'!$B:$B,0)),"")</f>
        <v/>
      </c>
      <c r="D47">
        <f>IFERROR(INDEX('DRAFT 1'!$D:$D,MATCH($B47,'DRAFT 1'!$B:$B,0)),"")</f>
        <v/>
      </c>
      <c r="E47">
        <f>IFERROR(INDEX('DRAFT 1'!$E:$E,MATCH($B47,'DRAFT 1'!$B:$B,0)),"")</f>
        <v/>
      </c>
      <c r="F47">
        <f>IFERROR(INDEX('DRAFT 1'!$F:$F,MATCH($B47,'DRAFT 1'!$B:$B,0)),"")</f>
        <v/>
      </c>
      <c r="G47">
        <f>IFERROR(INDEX('DRAFT 1'!$G:$G,MATCH($B47,'DRAFT 1'!$B:$B,0)),"")</f>
        <v/>
      </c>
      <c r="H47">
        <f>IFERROR(INDEX('DRAFT 1'!$H:$H,MATCH($B47,'DRAFT 1'!$B:$B,0)),"")</f>
        <v/>
      </c>
      <c r="I47" t="inlineStr">
        <is>
          <t>DEMAIS CLIENTES</t>
        </is>
      </c>
      <c r="K47">
        <f>IFERROR(INDEX('DRAFT 1'!$AL:$AL,MATCH($B47,'DRAFT 1'!$B:$B,0)),"")</f>
        <v/>
      </c>
      <c r="L47">
        <f>IFERROR(INDEX('DRAFT 1'!$J:$J,MATCH($B47,'DRAFT 1'!$B:$B,0)),"")</f>
        <v/>
      </c>
      <c r="M47">
        <f>IFERROR(INDEX('DRAFT 1'!$K:$K,MATCH($B47,'DRAFT 1'!$B:$B,0)),"")</f>
        <v/>
      </c>
      <c r="N47" t="inlineStr">
        <is>
          <t>ATIVO</t>
        </is>
      </c>
      <c r="P47">
        <f>IFERROR(INDEX('DRAFT 1'!$L:$L,MATCH($B47,'DRAFT 1'!$B:$B,0)),"")</f>
        <v/>
      </c>
      <c r="Q47">
        <f>IFERROR(INDEX('DRAFT 1'!$M:$M,MATCH($B47,'DRAFT 1'!$B:$B,0)),"")</f>
        <v/>
      </c>
      <c r="R47">
        <f>IFERROR(INDEX('DRAFT 1'!$N:$N,MATCH($B47,'DRAFT 1'!$B:$B,0)),"")</f>
        <v/>
      </c>
      <c r="S47">
        <f>IFERROR(INDEX('DRAFT 1'!$O:$O,MATCH($B47,'DRAFT 1'!$B:$B,0)),"")</f>
        <v/>
      </c>
      <c r="T47">
        <f>IFERROR(INDEX('DRAFT 1'!$P:$P,MATCH($B47,'DRAFT 1'!$B:$B,0)),"")</f>
        <v/>
      </c>
      <c r="U47">
        <f>IFERROR(INDEX('DRAFT 1'!$Q:$Q,MATCH($B47,'DRAFT 1'!$B:$B,0)),"")</f>
        <v/>
      </c>
      <c r="V47">
        <f>IFERROR(INDEX('DRAFT 1'!$R:$R,MATCH($B47,'DRAFT 1'!$B:$B,0)),"")</f>
        <v/>
      </c>
      <c r="W47">
        <f>IFERROR(INDEX('DRAFT 1'!$S:$S,MATCH($B47,'DRAFT 1'!$B:$B,0)),"")</f>
        <v/>
      </c>
      <c r="X47">
        <f>IFERROR(INDEX('DRAFT 1'!$T:$T,MATCH($B47,'DRAFT 1'!$B:$B,0)),"")</f>
        <v/>
      </c>
      <c r="Z47">
        <f>IFERROR(INDEX('DRAFT 1'!$U:$U,MATCH($B47,'DRAFT 1'!$B:$B,0)),"")</f>
        <v/>
      </c>
      <c r="AA47">
        <f>IFERROR(INDEX('DRAFT 1'!$V:$V,MATCH($B47,'DRAFT 1'!$B:$B,0)),"")</f>
        <v/>
      </c>
      <c r="AB47">
        <f>IFERROR(INDEX('DRAFT 1'!$W:$W,MATCH($B47,'DRAFT 1'!$B:$B,0)),"")</f>
        <v/>
      </c>
      <c r="AC47">
        <f>IFERROR(INDEX('DRAFT 1'!$X:$X,MATCH($B47,'DRAFT 1'!$B:$B,0)),"")</f>
        <v/>
      </c>
      <c r="AD47">
        <f>IFERROR(INDEX('DRAFT 1'!$Y:$Y,MATCH($B47,'DRAFT 1'!$B:$B,0)),"")</f>
        <v/>
      </c>
      <c r="AE47">
        <f>IFERROR(INDEX('DRAFT 1'!$Z:$Z,MATCH($B47,'DRAFT 1'!$B:$B,0)),"")</f>
        <v/>
      </c>
      <c r="AF47">
        <f>IFERROR(INDEX('DRAFT 1'!$AA:$AA,MATCH($B47,'DRAFT 1'!$B:$B,0)),"")</f>
        <v/>
      </c>
      <c r="AG47">
        <f>IFERROR(INDEX('DRAFT 1'!$AB:$AB,MATCH($B47,'DRAFT 1'!$B:$B,0)),"")</f>
        <v/>
      </c>
      <c r="AH47">
        <f>IFERROR(INDEX('DRAFT 1'!$AC:$AC,MATCH($B47,'DRAFT 1'!$B:$B,0)),"")</f>
        <v/>
      </c>
      <c r="AI47">
        <f>IFERROR(INDEX('DRAFT 1'!$AD:$AD,MATCH($B47,'DRAFT 1'!$B:$B,0)),"")</f>
        <v/>
      </c>
      <c r="AJ47">
        <f>IFERROR(INDEX('DRAFT 1'!$AE:$AE,MATCH($B47,'DRAFT 1'!$B:$B,0)),"")</f>
        <v/>
      </c>
      <c r="AK47">
        <f>IFERROR(INDEX('DRAFT 1'!$AG:$AG,MATCH($B47,'DRAFT 1'!$B:$B,0)),"")</f>
        <v/>
      </c>
      <c r="AL47">
        <f>IFERROR(INDEX('DRAFT 1'!$AH:$AH,MATCH($B47,'DRAFT 1'!$B:$B,0)),"")</f>
        <v/>
      </c>
      <c r="AM47">
        <f>IFERROR(INDEX('DRAFT 1'!$AI:$AI,MATCH($B47,'DRAFT 1'!$B:$B,0)),"")</f>
        <v/>
      </c>
      <c r="AN47">
        <f>IFERROR(INDEX('DRAFT 1'!$AJ:$AJ,MATCH($B47,'DRAFT 1'!$B:$B,0)),"")</f>
        <v/>
      </c>
      <c r="AO47">
        <f>IFERROR(Y47/AN47,0)</f>
        <v/>
      </c>
      <c r="AP47">
        <f>IFERROR(INDEX('DRAFT 1'!$AK:$AK,MATCH($B47,'DRAFT 1'!$B:$B,0)),"")</f>
        <v/>
      </c>
      <c r="AR47" t="inlineStr">
        <is>
          <t>SALVAMENTO</t>
        </is>
      </c>
      <c r="AS47">
        <f>IFERROR(LOOKUP(2,1/('DRAFT 2'!$D:$D=$B47),'DRAFT 2'!$T:$T),"")</f>
        <v/>
      </c>
      <c r="AT47">
        <f>IFERROR(LOOKUP(2,1/('DRAFT 2'!$D:$D=$B47),'DRAFT 2'!$A:$A),"")</f>
        <v/>
      </c>
      <c r="AU47">
        <f>IFERROR(LOOKUP(2,1/('DRAFT 2'!$D:$D=$B47),'DRAFT 2'!$R:$R),"")</f>
        <v/>
      </c>
      <c r="AV47">
        <f>IFERROR(LOOKUP(2,1/('DRAFT 2'!$D:$D=$B47),'DRAFT 2'!$S:$S),"")</f>
        <v/>
      </c>
      <c r="AW47" t="inlineStr">
        <is>
          <t>NOVO</t>
        </is>
      </c>
      <c r="AX47">
        <f>IFERROR(LOOKUP(2,1/('DRAFT 2'!$D:$D=$B47),'DRAFT 2'!$M:$M),"")</f>
        <v/>
      </c>
      <c r="AY47">
        <f>IFERROR(LOOKUP(2,1/('DRAFT 2'!$D:$D=$B47),'DRAFT 2'!$K:$K),"")</f>
        <v/>
      </c>
      <c r="BG47">
        <f>IFERROR(LOOKUP(2,1/('DRAFT 2'!$D:$D=$B47),'DRAFT 2'!$U:$U),"")</f>
        <v/>
      </c>
      <c r="BH47">
        <f>IFERROR(LOOKUP(2,1/('DRAFT 2'!$D:$D=$B47),'DRAFT 2'!$V:$V),"")</f>
        <v/>
      </c>
      <c r="CE47">
        <f>IFERROR(AJ47,0)</f>
        <v/>
      </c>
      <c r="CF47">
        <f>IFERROR(LOOKUP(2,1/('DRAFT 2'!$D:$D=$B47)*('DRAFT 2'!$A:$A&gt;=DATE(2026,1,1))*('DRAFT 2'!$A:$A&lt;DATE(2026,IF(1=12,1+1,1+1),1)),'DRAFT 2'!$A:$A),"")</f>
        <v/>
      </c>
      <c r="CG47">
        <f>COUNTIFS('DRAFT 2'!$D:$D,$B47,'DRAFT 2'!$A:$A,"&gt;="&amp;DATE(2026,1,1),'DRAFT 2'!$A:$A,"&lt;="&amp;DATE(2026,1,7))</f>
        <v/>
      </c>
      <c r="CH47">
        <f>COUNTIFS('DRAFT 2'!$D:$D,$B47,'DRAFT 2'!$A:$A,"&gt;="&amp;DATE(2026,1,8),'DRAFT 2'!$A:$A,"&lt;="&amp;DATE(2026,1,14))</f>
        <v/>
      </c>
      <c r="CI47">
        <f>COUNTIFS('DRAFT 2'!$D:$D,$B47,'DRAFT 2'!$A:$A,"&gt;="&amp;DATE(2026,1,15),'DRAFT 2'!$A:$A,"&lt;="&amp;DATE(2026,1,21))</f>
        <v/>
      </c>
      <c r="CJ47">
        <f>COUNTIFS('DRAFT 2'!$D:$D,$B47,'DRAFT 2'!$A:$A,"&gt;="&amp;DATE(2026,1,22),'DRAFT 2'!$A:$A,"&lt;"&amp;DATE(2026,IF(1=12,1+1,1+1),1))</f>
        <v/>
      </c>
      <c r="CK47">
        <f>SUM(CG47:CJ47)</f>
        <v/>
      </c>
      <c r="CT47" t="n">
        <v>0</v>
      </c>
      <c r="CU47">
        <f>IFERROR(LOOKUP(2,1/('DRAFT 2'!$D:$D=$B47)*('DRAFT 2'!$A:$A&gt;=DATE(2026,2,1))*('DRAFT 2'!$A:$A&lt;DATE(2026,IF(2=12,2+1,2+1),1)),'DRAFT 2'!$A:$A),"")</f>
        <v/>
      </c>
      <c r="CV47">
        <f>COUNTIFS('DRAFT 2'!$D:$D,$B47,'DRAFT 2'!$A:$A,"&gt;="&amp;DATE(2026,2,1),'DRAFT 2'!$A:$A,"&lt;="&amp;DATE(2026,2,7))</f>
        <v/>
      </c>
      <c r="CW47">
        <f>COUNTIFS('DRAFT 2'!$D:$D,$B47,'DRAFT 2'!$A:$A,"&gt;="&amp;DATE(2026,2,8),'DRAFT 2'!$A:$A,"&lt;="&amp;DATE(2026,2,14))</f>
        <v/>
      </c>
      <c r="CX47">
        <f>COUNTIFS('DRAFT 2'!$D:$D,$B47,'DRAFT 2'!$A:$A,"&gt;="&amp;DATE(2026,2,15),'DRAFT 2'!$A:$A,"&lt;="&amp;DATE(2026,2,21))</f>
        <v/>
      </c>
      <c r="CY47">
        <f>COUNTIFS('DRAFT 2'!$D:$D,$B47,'DRAFT 2'!$A:$A,"&gt;="&amp;DATE(2026,2,22),'DRAFT 2'!$A:$A,"&lt;"&amp;DATE(2026,IF(2=12,2+1,2+1),1))</f>
        <v/>
      </c>
      <c r="CZ47">
        <f>SUM(CV47:CY47)</f>
        <v/>
      </c>
      <c r="DJ47">
        <f>IFERROR(LOOKUP(2,1/('DRAFT 2'!$D:$D=$B47)*('DRAFT 2'!$A:$A&gt;=DATE(2026,3,1))*('DRAFT 2'!$A:$A&lt;DATE(2026,IF(3=12,3+1,3+1),1)),'DRAFT 2'!$A:$A),"")</f>
        <v/>
      </c>
      <c r="DK47">
        <f>COUNTIFS('DRAFT 2'!$D:$D,$B47,'DRAFT 2'!$A:$A,"&gt;="&amp;DATE(2026,3,1),'DRAFT 2'!$A:$A,"&lt;="&amp;DATE(2026,3,7))</f>
        <v/>
      </c>
      <c r="DL47">
        <f>COUNTIFS('DRAFT 2'!$D:$D,$B47,'DRAFT 2'!$A:$A,"&gt;="&amp;DATE(2026,3,8),'DRAFT 2'!$A:$A,"&lt;="&amp;DATE(2026,3,14))</f>
        <v/>
      </c>
      <c r="DM47">
        <f>COUNTIFS('DRAFT 2'!$D:$D,$B47,'DRAFT 2'!$A:$A,"&gt;="&amp;DATE(2026,3,15),'DRAFT 2'!$A:$A,"&lt;="&amp;DATE(2026,3,21))</f>
        <v/>
      </c>
      <c r="DN47">
        <f>COUNTIFS('DRAFT 2'!$D:$D,$B47,'DRAFT 2'!$A:$A,"&gt;="&amp;DATE(2026,3,22),'DRAFT 2'!$A:$A,"&lt;"&amp;DATE(2026,IF(3=12,3+1,3+1),1))</f>
        <v/>
      </c>
      <c r="DO47">
        <f>SUM(DK47:DN47)</f>
        <v/>
      </c>
      <c r="DZ47">
        <f>IFERROR(LOOKUP(2,1/('DRAFT 2'!$D:$D=$B47)*('DRAFT 2'!$A:$A&gt;=DATE(2026,4,1))*('DRAFT 2'!$A:$A&lt;DATE(2026,IF(4=12,4+1,4+1),1)),'DRAFT 2'!$A:$A),"")</f>
        <v/>
      </c>
      <c r="EA47">
        <f>COUNTIFS('DRAFT 2'!$D:$D,$B47,'DRAFT 2'!$A:$A,"&gt;="&amp;DATE(2026,4,1),'DRAFT 2'!$A:$A,"&lt;="&amp;DATE(2026,4,7))</f>
        <v/>
      </c>
      <c r="EB47">
        <f>COUNTIFS('DRAFT 2'!$D:$D,$B47,'DRAFT 2'!$A:$A,"&gt;="&amp;DATE(2026,4,8),'DRAFT 2'!$A:$A,"&lt;="&amp;DATE(2026,4,14))</f>
        <v/>
      </c>
      <c r="EC47">
        <f>COUNTIFS('DRAFT 2'!$D:$D,$B47,'DRAFT 2'!$A:$A,"&gt;="&amp;DATE(2026,4,15),'DRAFT 2'!$A:$A,"&lt;="&amp;DATE(2026,4,21))</f>
        <v/>
      </c>
      <c r="ED47">
        <f>COUNTIFS('DRAFT 2'!$D:$D,$B47,'DRAFT 2'!$A:$A,"&gt;="&amp;DATE(2026,4,22),'DRAFT 2'!$A:$A,"&lt;"&amp;DATE(2026,IF(4=12,4+1,4+1),1))</f>
        <v/>
      </c>
      <c r="EE47">
        <f>SUM(EA47:ED47)</f>
        <v/>
      </c>
      <c r="EO47">
        <f>IFERROR(LOOKUP(2,1/('DRAFT 2'!$D:$D=$B47)*('DRAFT 2'!$A:$A&gt;=DATE(2026,5,1))*('DRAFT 2'!$A:$A&lt;DATE(2026,IF(5=12,5+1,5+1),1)),'DRAFT 2'!$A:$A),"")</f>
        <v/>
      </c>
      <c r="EP47">
        <f>COUNTIFS('DRAFT 2'!$D:$D,$B47,'DRAFT 2'!$A:$A,"&gt;="&amp;DATE(2026,5,1),'DRAFT 2'!$A:$A,"&lt;="&amp;DATE(2026,5,7))</f>
        <v/>
      </c>
      <c r="EQ47">
        <f>COUNTIFS('DRAFT 2'!$D:$D,$B47,'DRAFT 2'!$A:$A,"&gt;="&amp;DATE(2026,5,8),'DRAFT 2'!$A:$A,"&lt;="&amp;DATE(2026,5,14))</f>
        <v/>
      </c>
      <c r="ER47">
        <f>COUNTIFS('DRAFT 2'!$D:$D,$B47,'DRAFT 2'!$A:$A,"&gt;="&amp;DATE(2026,5,15),'DRAFT 2'!$A:$A,"&lt;="&amp;DATE(2026,5,21))</f>
        <v/>
      </c>
      <c r="ES47">
        <f>COUNTIFS('DRAFT 2'!$D:$D,$B47,'DRAFT 2'!$A:$A,"&gt;="&amp;DATE(2026,5,22),'DRAFT 2'!$A:$A,"&lt;"&amp;DATE(2026,IF(5=12,5+1,5+1),1))</f>
        <v/>
      </c>
      <c r="ET47">
        <f>SUM(EP47:ES47)</f>
        <v/>
      </c>
      <c r="FD47">
        <f>IFERROR(LOOKUP(2,1/('DRAFT 2'!$D:$D=$B47)*('DRAFT 2'!$A:$A&gt;=DATE(2026,6,1))*('DRAFT 2'!$A:$A&lt;DATE(2026,IF(6=12,6+1,6+1),1)),'DRAFT 2'!$A:$A),"")</f>
        <v/>
      </c>
      <c r="FE47">
        <f>COUNTIFS('DRAFT 2'!$D:$D,$B47,'DRAFT 2'!$A:$A,"&gt;="&amp;DATE(2026,6,1),'DRAFT 2'!$A:$A,"&lt;="&amp;DATE(2026,6,7))</f>
        <v/>
      </c>
      <c r="FF47">
        <f>COUNTIFS('DRAFT 2'!$D:$D,$B47,'DRAFT 2'!$A:$A,"&gt;="&amp;DATE(2026,6,8),'DRAFT 2'!$A:$A,"&lt;="&amp;DATE(2026,6,14))</f>
        <v/>
      </c>
      <c r="FG47">
        <f>COUNTIFS('DRAFT 2'!$D:$D,$B47,'DRAFT 2'!$A:$A,"&gt;="&amp;DATE(2026,6,15),'DRAFT 2'!$A:$A,"&lt;="&amp;DATE(2026,6,21))</f>
        <v/>
      </c>
      <c r="FH47">
        <f>COUNTIFS('DRAFT 2'!$D:$D,$B47,'DRAFT 2'!$A:$A,"&gt;="&amp;DATE(2026,6,22),'DRAFT 2'!$A:$A,"&lt;"&amp;DATE(2026,IF(6=12,6+1,6+1),1))</f>
        <v/>
      </c>
      <c r="FI47">
        <f>SUM(FE47:FH47)</f>
        <v/>
      </c>
      <c r="FT47">
        <f>IFERROR(LOOKUP(2,1/('DRAFT 2'!$D:$D=$B47)*('DRAFT 2'!$A:$A&gt;=DATE(2026,7,1))*('DRAFT 2'!$A:$A&lt;DATE(2026,IF(7=12,7+1,7+1),1)),'DRAFT 2'!$A:$A),"")</f>
        <v/>
      </c>
      <c r="FU47">
        <f>COUNTIFS('DRAFT 2'!$D:$D,$B47,'DRAFT 2'!$A:$A,"&gt;="&amp;DATE(2026,7,1),'DRAFT 2'!$A:$A,"&lt;="&amp;DATE(2026,7,7))</f>
        <v/>
      </c>
      <c r="FV47">
        <f>COUNTIFS('DRAFT 2'!$D:$D,$B47,'DRAFT 2'!$A:$A,"&gt;="&amp;DATE(2026,7,8),'DRAFT 2'!$A:$A,"&lt;="&amp;DATE(2026,7,14))</f>
        <v/>
      </c>
      <c r="FW47">
        <f>COUNTIFS('DRAFT 2'!$D:$D,$B47,'DRAFT 2'!$A:$A,"&gt;="&amp;DATE(2026,7,15),'DRAFT 2'!$A:$A,"&lt;="&amp;DATE(2026,7,21))</f>
        <v/>
      </c>
      <c r="FX47">
        <f>COUNTIFS('DRAFT 2'!$D:$D,$B47,'DRAFT 2'!$A:$A,"&gt;="&amp;DATE(2026,7,22),'DRAFT 2'!$A:$A,"&lt;"&amp;DATE(2026,IF(7=12,7+1,7+1),1))</f>
        <v/>
      </c>
      <c r="FY47">
        <f>SUM(FU47:FX47)</f>
        <v/>
      </c>
      <c r="GI47">
        <f>IFERROR(LOOKUP(2,1/('DRAFT 2'!$D:$D=$B47)*('DRAFT 2'!$A:$A&gt;=DATE(2026,8,1))*('DRAFT 2'!$A:$A&lt;DATE(2026,IF(8=12,8+1,8+1),1)),'DRAFT 2'!$A:$A),"")</f>
        <v/>
      </c>
      <c r="GJ47">
        <f>COUNTIFS('DRAFT 2'!$D:$D,$B47,'DRAFT 2'!$A:$A,"&gt;="&amp;DATE(2026,8,1),'DRAFT 2'!$A:$A,"&lt;="&amp;DATE(2026,8,7))</f>
        <v/>
      </c>
      <c r="GK47">
        <f>COUNTIFS('DRAFT 2'!$D:$D,$B47,'DRAFT 2'!$A:$A,"&gt;="&amp;DATE(2026,8,8),'DRAFT 2'!$A:$A,"&lt;="&amp;DATE(2026,8,14))</f>
        <v/>
      </c>
      <c r="GL47">
        <f>COUNTIFS('DRAFT 2'!$D:$D,$B47,'DRAFT 2'!$A:$A,"&gt;="&amp;DATE(2026,8,15),'DRAFT 2'!$A:$A,"&lt;="&amp;DATE(2026,8,21))</f>
        <v/>
      </c>
      <c r="GM47">
        <f>COUNTIFS('DRAFT 2'!$D:$D,$B47,'DRAFT 2'!$A:$A,"&gt;="&amp;DATE(2026,8,22),'DRAFT 2'!$A:$A,"&lt;"&amp;DATE(2026,IF(8=12,8+1,8+1),1))</f>
        <v/>
      </c>
      <c r="GN47">
        <f>SUM(GJ47:GM47)</f>
        <v/>
      </c>
      <c r="GX47">
        <f>IFERROR(LOOKUP(2,1/('DRAFT 2'!$D:$D=$B47)*('DRAFT 2'!$A:$A&gt;=DATE(2026,9,1))*('DRAFT 2'!$A:$A&lt;DATE(2026,IF(9=12,9+1,9+1),1)),'DRAFT 2'!$A:$A),"")</f>
        <v/>
      </c>
      <c r="GY47">
        <f>COUNTIFS('DRAFT 2'!$D:$D,$B47,'DRAFT 2'!$A:$A,"&gt;="&amp;DATE(2026,9,1),'DRAFT 2'!$A:$A,"&lt;="&amp;DATE(2026,9,7))</f>
        <v/>
      </c>
      <c r="GZ47">
        <f>COUNTIFS('DRAFT 2'!$D:$D,$B47,'DRAFT 2'!$A:$A,"&gt;="&amp;DATE(2026,9,8),'DRAFT 2'!$A:$A,"&lt;="&amp;DATE(2026,9,14))</f>
        <v/>
      </c>
      <c r="HA47">
        <f>COUNTIFS('DRAFT 2'!$D:$D,$B47,'DRAFT 2'!$A:$A,"&gt;="&amp;DATE(2026,9,15),'DRAFT 2'!$A:$A,"&lt;="&amp;DATE(2026,9,21))</f>
        <v/>
      </c>
      <c r="HB47">
        <f>COUNTIFS('DRAFT 2'!$D:$D,$B47,'DRAFT 2'!$A:$A,"&gt;="&amp;DATE(2026,9,22),'DRAFT 2'!$A:$A,"&lt;"&amp;DATE(2026,IF(9=12,9+1,9+1),1))</f>
        <v/>
      </c>
      <c r="HC47">
        <f>SUM(GY47:HB47)</f>
        <v/>
      </c>
      <c r="HN47">
        <f>IFERROR(LOOKUP(2,1/('DRAFT 2'!$D:$D=$B47)*('DRAFT 2'!$A:$A&gt;=DATE(2026,10,1))*('DRAFT 2'!$A:$A&lt;DATE(2026,IF(10=12,10+1,10+1),1)),'DRAFT 2'!$A:$A),"")</f>
        <v/>
      </c>
      <c r="HO47">
        <f>COUNTIFS('DRAFT 2'!$D:$D,$B47,'DRAFT 2'!$A:$A,"&gt;="&amp;DATE(2026,10,1),'DRAFT 2'!$A:$A,"&lt;="&amp;DATE(2026,10,7))</f>
        <v/>
      </c>
      <c r="HP47">
        <f>COUNTIFS('DRAFT 2'!$D:$D,$B47,'DRAFT 2'!$A:$A,"&gt;="&amp;DATE(2026,10,8),'DRAFT 2'!$A:$A,"&lt;="&amp;DATE(2026,10,14))</f>
        <v/>
      </c>
      <c r="HQ47">
        <f>COUNTIFS('DRAFT 2'!$D:$D,$B47,'DRAFT 2'!$A:$A,"&gt;="&amp;DATE(2026,10,15),'DRAFT 2'!$A:$A,"&lt;="&amp;DATE(2026,10,21))</f>
        <v/>
      </c>
      <c r="HR47">
        <f>COUNTIFS('DRAFT 2'!$D:$D,$B47,'DRAFT 2'!$A:$A,"&gt;="&amp;DATE(2026,10,22),'DRAFT 2'!$A:$A,"&lt;"&amp;DATE(2026,IF(10=12,10+1,10+1),1))</f>
        <v/>
      </c>
      <c r="HS47">
        <f>SUM(HO47:HR47)</f>
        <v/>
      </c>
      <c r="IC47">
        <f>IFERROR(LOOKUP(2,1/('DRAFT 2'!$D:$D=$B47)*('DRAFT 2'!$A:$A&gt;=DATE(2026,11,1))*('DRAFT 2'!$A:$A&lt;DATE(2026,IF(11=12,11+1,11+1),1)),'DRAFT 2'!$A:$A),"")</f>
        <v/>
      </c>
      <c r="ID47">
        <f>COUNTIFS('DRAFT 2'!$D:$D,$B47,'DRAFT 2'!$A:$A,"&gt;="&amp;DATE(2026,11,1),'DRAFT 2'!$A:$A,"&lt;="&amp;DATE(2026,11,7))</f>
        <v/>
      </c>
      <c r="IE47">
        <f>COUNTIFS('DRAFT 2'!$D:$D,$B47,'DRAFT 2'!$A:$A,"&gt;="&amp;DATE(2026,11,8),'DRAFT 2'!$A:$A,"&lt;="&amp;DATE(2026,11,14))</f>
        <v/>
      </c>
      <c r="IF47">
        <f>COUNTIFS('DRAFT 2'!$D:$D,$B47,'DRAFT 2'!$A:$A,"&gt;="&amp;DATE(2026,11,15),'DRAFT 2'!$A:$A,"&lt;="&amp;DATE(2026,11,21))</f>
        <v/>
      </c>
      <c r="IG47">
        <f>COUNTIFS('DRAFT 2'!$D:$D,$B47,'DRAFT 2'!$A:$A,"&gt;="&amp;DATE(2026,11,22),'DRAFT 2'!$A:$A,"&lt;"&amp;DATE(2026,IF(11=12,11+1,11+1),1))</f>
        <v/>
      </c>
      <c r="IH47">
        <f>SUM(ID47:IG47)</f>
        <v/>
      </c>
      <c r="IR47">
        <f>IFERROR(LOOKUP(2,1/('DRAFT 2'!$D:$D=$B47)*('DRAFT 2'!$A:$A&gt;=DATE(2026,12,1))*('DRAFT 2'!$A:$A&lt;DATE(2026,IF(12=12,12+1,12+1),1)),'DRAFT 2'!$A:$A),"")</f>
        <v/>
      </c>
      <c r="IS47">
        <f>COUNTIFS('DRAFT 2'!$D:$D,$B47,'DRAFT 2'!$A:$A,"&gt;="&amp;DATE(2026,12,1),'DRAFT 2'!$A:$A,"&lt;="&amp;DATE(2026,12,7))</f>
        <v/>
      </c>
      <c r="IT47">
        <f>COUNTIFS('DRAFT 2'!$D:$D,$B47,'DRAFT 2'!$A:$A,"&gt;="&amp;DATE(2026,12,8),'DRAFT 2'!$A:$A,"&lt;="&amp;DATE(2026,12,14))</f>
        <v/>
      </c>
      <c r="IU47">
        <f>COUNTIFS('DRAFT 2'!$D:$D,$B47,'DRAFT 2'!$A:$A,"&gt;="&amp;DATE(2026,12,15),'DRAFT 2'!$A:$A,"&lt;="&amp;DATE(2026,12,21))</f>
        <v/>
      </c>
      <c r="IV47">
        <f>COUNTIFS('DRAFT 2'!$D:$D,$B47,'DRAFT 2'!$A:$A,"&gt;="&amp;DATE(2026,12,22),'DRAFT 2'!$A:$A,"&lt;"&amp;DATE(2026,IF(12=12,12+1,12+1),1))</f>
        <v/>
      </c>
      <c r="IW47">
        <f>SUM(IS47:IV47)</f>
        <v/>
      </c>
    </row>
    <row r="48">
      <c r="A48">
        <f>IFERROR(INDEX('DRAFT 1'!$A:$A,MATCH($B48,'DRAFT 1'!$B:$B,0)),"")</f>
        <v/>
      </c>
      <c r="C48">
        <f>IFERROR(INDEX('DRAFT 1'!$C:$C,MATCH($B48,'DRAFT 1'!$B:$B,0)),"")</f>
        <v/>
      </c>
      <c r="D48">
        <f>IFERROR(INDEX('DRAFT 1'!$D:$D,MATCH($B48,'DRAFT 1'!$B:$B,0)),"")</f>
        <v/>
      </c>
      <c r="E48">
        <f>IFERROR(INDEX('DRAFT 1'!$E:$E,MATCH($B48,'DRAFT 1'!$B:$B,0)),"")</f>
        <v/>
      </c>
      <c r="F48">
        <f>IFERROR(INDEX('DRAFT 1'!$F:$F,MATCH($B48,'DRAFT 1'!$B:$B,0)),"")</f>
        <v/>
      </c>
      <c r="G48">
        <f>IFERROR(INDEX('DRAFT 1'!$G:$G,MATCH($B48,'DRAFT 1'!$B:$B,0)),"")</f>
        <v/>
      </c>
      <c r="H48">
        <f>IFERROR(INDEX('DRAFT 1'!$H:$H,MATCH($B48,'DRAFT 1'!$B:$B,0)),"")</f>
        <v/>
      </c>
      <c r="I48" t="inlineStr">
        <is>
          <t>MUNDO VERDE</t>
        </is>
      </c>
      <c r="K48">
        <f>IFERROR(INDEX('DRAFT 1'!$AL:$AL,MATCH($B48,'DRAFT 1'!$B:$B,0)),"")</f>
        <v/>
      </c>
      <c r="L48">
        <f>IFERROR(INDEX('DRAFT 1'!$J:$J,MATCH($B48,'DRAFT 1'!$B:$B,0)),"")</f>
        <v/>
      </c>
      <c r="M48">
        <f>IFERROR(INDEX('DRAFT 1'!$K:$K,MATCH($B48,'DRAFT 1'!$B:$B,0)),"")</f>
        <v/>
      </c>
      <c r="N48" t="inlineStr">
        <is>
          <t>PROSPECT</t>
        </is>
      </c>
      <c r="P48">
        <f>IFERROR(INDEX('DRAFT 1'!$L:$L,MATCH($B48,'DRAFT 1'!$B:$B,0)),"")</f>
        <v/>
      </c>
      <c r="Q48">
        <f>IFERROR(INDEX('DRAFT 1'!$M:$M,MATCH($B48,'DRAFT 1'!$B:$B,0)),"")</f>
        <v/>
      </c>
      <c r="R48">
        <f>IFERROR(INDEX('DRAFT 1'!$N:$N,MATCH($B48,'DRAFT 1'!$B:$B,0)),"")</f>
        <v/>
      </c>
      <c r="S48">
        <f>IFERROR(INDEX('DRAFT 1'!$O:$O,MATCH($B48,'DRAFT 1'!$B:$B,0)),"")</f>
        <v/>
      </c>
      <c r="T48">
        <f>IFERROR(INDEX('DRAFT 1'!$P:$P,MATCH($B48,'DRAFT 1'!$B:$B,0)),"")</f>
        <v/>
      </c>
      <c r="U48">
        <f>IFERROR(INDEX('DRAFT 1'!$Q:$Q,MATCH($B48,'DRAFT 1'!$B:$B,0)),"")</f>
        <v/>
      </c>
      <c r="V48">
        <f>IFERROR(INDEX('DRAFT 1'!$R:$R,MATCH($B48,'DRAFT 1'!$B:$B,0)),"")</f>
        <v/>
      </c>
      <c r="W48">
        <f>IFERROR(INDEX('DRAFT 1'!$S:$S,MATCH($B48,'DRAFT 1'!$B:$B,0)),"")</f>
        <v/>
      </c>
      <c r="X48">
        <f>IFERROR(INDEX('DRAFT 1'!$T:$T,MATCH($B48,'DRAFT 1'!$B:$B,0)),"")</f>
        <v/>
      </c>
      <c r="Z48">
        <f>IFERROR(INDEX('DRAFT 1'!$U:$U,MATCH($B48,'DRAFT 1'!$B:$B,0)),"")</f>
        <v/>
      </c>
      <c r="AA48">
        <f>IFERROR(INDEX('DRAFT 1'!$V:$V,MATCH($B48,'DRAFT 1'!$B:$B,0)),"")</f>
        <v/>
      </c>
      <c r="AB48">
        <f>IFERROR(INDEX('DRAFT 1'!$W:$W,MATCH($B48,'DRAFT 1'!$B:$B,0)),"")</f>
        <v/>
      </c>
      <c r="AC48">
        <f>IFERROR(INDEX('DRAFT 1'!$X:$X,MATCH($B48,'DRAFT 1'!$B:$B,0)),"")</f>
        <v/>
      </c>
      <c r="AD48">
        <f>IFERROR(INDEX('DRAFT 1'!$Y:$Y,MATCH($B48,'DRAFT 1'!$B:$B,0)),"")</f>
        <v/>
      </c>
      <c r="AE48">
        <f>IFERROR(INDEX('DRAFT 1'!$Z:$Z,MATCH($B48,'DRAFT 1'!$B:$B,0)),"")</f>
        <v/>
      </c>
      <c r="AF48">
        <f>IFERROR(INDEX('DRAFT 1'!$AA:$AA,MATCH($B48,'DRAFT 1'!$B:$B,0)),"")</f>
        <v/>
      </c>
      <c r="AG48">
        <f>IFERROR(INDEX('DRAFT 1'!$AB:$AB,MATCH($B48,'DRAFT 1'!$B:$B,0)),"")</f>
        <v/>
      </c>
      <c r="AH48">
        <f>IFERROR(INDEX('DRAFT 1'!$AC:$AC,MATCH($B48,'DRAFT 1'!$B:$B,0)),"")</f>
        <v/>
      </c>
      <c r="AI48">
        <f>IFERROR(INDEX('DRAFT 1'!$AD:$AD,MATCH($B48,'DRAFT 1'!$B:$B,0)),"")</f>
        <v/>
      </c>
      <c r="AJ48">
        <f>IFERROR(INDEX('DRAFT 1'!$AE:$AE,MATCH($B48,'DRAFT 1'!$B:$B,0)),"")</f>
        <v/>
      </c>
      <c r="AK48">
        <f>IFERROR(INDEX('DRAFT 1'!$AG:$AG,MATCH($B48,'DRAFT 1'!$B:$B,0)),"")</f>
        <v/>
      </c>
      <c r="AL48">
        <f>IFERROR(INDEX('DRAFT 1'!$AH:$AH,MATCH($B48,'DRAFT 1'!$B:$B,0)),"")</f>
        <v/>
      </c>
      <c r="AM48">
        <f>IFERROR(INDEX('DRAFT 1'!$AI:$AI,MATCH($B48,'DRAFT 1'!$B:$B,0)),"")</f>
        <v/>
      </c>
      <c r="AN48">
        <f>IFERROR(INDEX('DRAFT 1'!$AJ:$AJ,MATCH($B48,'DRAFT 1'!$B:$B,0)),"")</f>
        <v/>
      </c>
      <c r="AO48">
        <f>IFERROR(Y48/AN48,0)</f>
        <v/>
      </c>
      <c r="AP48">
        <f>IFERROR(INDEX('DRAFT 1'!$AK:$AK,MATCH($B48,'DRAFT 1'!$B:$B,0)),"")</f>
        <v/>
      </c>
      <c r="AR48" t="inlineStr">
        <is>
          <t>RECOMPRA</t>
        </is>
      </c>
      <c r="AS48">
        <f>IFERROR(LOOKUP(2,1/('DRAFT 2'!$D:$D=$B48),'DRAFT 2'!$T:$T),"")</f>
        <v/>
      </c>
      <c r="AT48">
        <f>IFERROR(LOOKUP(2,1/('DRAFT 2'!$D:$D=$B48),'DRAFT 2'!$A:$A),"")</f>
        <v/>
      </c>
      <c r="AU48">
        <f>IFERROR(LOOKUP(2,1/('DRAFT 2'!$D:$D=$B48),'DRAFT 2'!$R:$R),"")</f>
        <v/>
      </c>
      <c r="AV48">
        <f>IFERROR(LOOKUP(2,1/('DRAFT 2'!$D:$D=$B48),'DRAFT 2'!$S:$S),"")</f>
        <v/>
      </c>
      <c r="AW48" t="inlineStr">
        <is>
          <t>PROSPECT</t>
        </is>
      </c>
      <c r="AX48">
        <f>IFERROR(LOOKUP(2,1/('DRAFT 2'!$D:$D=$B48),'DRAFT 2'!$M:$M),"")</f>
        <v/>
      </c>
      <c r="AY48">
        <f>IFERROR(LOOKUP(2,1/('DRAFT 2'!$D:$D=$B48),'DRAFT 2'!$K:$K),"")</f>
        <v/>
      </c>
      <c r="BG48">
        <f>IFERROR(LOOKUP(2,1/('DRAFT 2'!$D:$D=$B48),'DRAFT 2'!$U:$U),"")</f>
        <v/>
      </c>
      <c r="BH48">
        <f>IFERROR(LOOKUP(2,1/('DRAFT 2'!$D:$D=$B48),'DRAFT 2'!$V:$V),"")</f>
        <v/>
      </c>
      <c r="CE48">
        <f>IFERROR(AJ48,0)</f>
        <v/>
      </c>
      <c r="CF48">
        <f>IFERROR(LOOKUP(2,1/('DRAFT 2'!$D:$D=$B48)*('DRAFT 2'!$A:$A&gt;=DATE(2026,1,1))*('DRAFT 2'!$A:$A&lt;DATE(2026,IF(1=12,1+1,1+1),1)),'DRAFT 2'!$A:$A),"")</f>
        <v/>
      </c>
      <c r="CG48">
        <f>COUNTIFS('DRAFT 2'!$D:$D,$B48,'DRAFT 2'!$A:$A,"&gt;="&amp;DATE(2026,1,1),'DRAFT 2'!$A:$A,"&lt;="&amp;DATE(2026,1,7))</f>
        <v/>
      </c>
      <c r="CH48">
        <f>COUNTIFS('DRAFT 2'!$D:$D,$B48,'DRAFT 2'!$A:$A,"&gt;="&amp;DATE(2026,1,8),'DRAFT 2'!$A:$A,"&lt;="&amp;DATE(2026,1,14))</f>
        <v/>
      </c>
      <c r="CI48">
        <f>COUNTIFS('DRAFT 2'!$D:$D,$B48,'DRAFT 2'!$A:$A,"&gt;="&amp;DATE(2026,1,15),'DRAFT 2'!$A:$A,"&lt;="&amp;DATE(2026,1,21))</f>
        <v/>
      </c>
      <c r="CJ48">
        <f>COUNTIFS('DRAFT 2'!$D:$D,$B48,'DRAFT 2'!$A:$A,"&gt;="&amp;DATE(2026,1,22),'DRAFT 2'!$A:$A,"&lt;"&amp;DATE(2026,IF(1=12,1+1,1+1),1))</f>
        <v/>
      </c>
      <c r="CK48">
        <f>SUM(CG48:CJ48)</f>
        <v/>
      </c>
      <c r="CT48" t="n">
        <v>0</v>
      </c>
      <c r="CU48">
        <f>IFERROR(LOOKUP(2,1/('DRAFT 2'!$D:$D=$B48)*('DRAFT 2'!$A:$A&gt;=DATE(2026,2,1))*('DRAFT 2'!$A:$A&lt;DATE(2026,IF(2=12,2+1,2+1),1)),'DRAFT 2'!$A:$A),"")</f>
        <v/>
      </c>
      <c r="CV48">
        <f>COUNTIFS('DRAFT 2'!$D:$D,$B48,'DRAFT 2'!$A:$A,"&gt;="&amp;DATE(2026,2,1),'DRAFT 2'!$A:$A,"&lt;="&amp;DATE(2026,2,7))</f>
        <v/>
      </c>
      <c r="CW48">
        <f>COUNTIFS('DRAFT 2'!$D:$D,$B48,'DRAFT 2'!$A:$A,"&gt;="&amp;DATE(2026,2,8),'DRAFT 2'!$A:$A,"&lt;="&amp;DATE(2026,2,14))</f>
        <v/>
      </c>
      <c r="CX48">
        <f>COUNTIFS('DRAFT 2'!$D:$D,$B48,'DRAFT 2'!$A:$A,"&gt;="&amp;DATE(2026,2,15),'DRAFT 2'!$A:$A,"&lt;="&amp;DATE(2026,2,21))</f>
        <v/>
      </c>
      <c r="CY48">
        <f>COUNTIFS('DRAFT 2'!$D:$D,$B48,'DRAFT 2'!$A:$A,"&gt;="&amp;DATE(2026,2,22),'DRAFT 2'!$A:$A,"&lt;"&amp;DATE(2026,IF(2=12,2+1,2+1),1))</f>
        <v/>
      </c>
      <c r="CZ48">
        <f>SUM(CV48:CY48)</f>
        <v/>
      </c>
      <c r="DJ48">
        <f>IFERROR(LOOKUP(2,1/('DRAFT 2'!$D:$D=$B48)*('DRAFT 2'!$A:$A&gt;=DATE(2026,3,1))*('DRAFT 2'!$A:$A&lt;DATE(2026,IF(3=12,3+1,3+1),1)),'DRAFT 2'!$A:$A),"")</f>
        <v/>
      </c>
      <c r="DK48">
        <f>COUNTIFS('DRAFT 2'!$D:$D,$B48,'DRAFT 2'!$A:$A,"&gt;="&amp;DATE(2026,3,1),'DRAFT 2'!$A:$A,"&lt;="&amp;DATE(2026,3,7))</f>
        <v/>
      </c>
      <c r="DL48">
        <f>COUNTIFS('DRAFT 2'!$D:$D,$B48,'DRAFT 2'!$A:$A,"&gt;="&amp;DATE(2026,3,8),'DRAFT 2'!$A:$A,"&lt;="&amp;DATE(2026,3,14))</f>
        <v/>
      </c>
      <c r="DM48">
        <f>COUNTIFS('DRAFT 2'!$D:$D,$B48,'DRAFT 2'!$A:$A,"&gt;="&amp;DATE(2026,3,15),'DRAFT 2'!$A:$A,"&lt;="&amp;DATE(2026,3,21))</f>
        <v/>
      </c>
      <c r="DN48">
        <f>COUNTIFS('DRAFT 2'!$D:$D,$B48,'DRAFT 2'!$A:$A,"&gt;="&amp;DATE(2026,3,22),'DRAFT 2'!$A:$A,"&lt;"&amp;DATE(2026,IF(3=12,3+1,3+1),1))</f>
        <v/>
      </c>
      <c r="DO48">
        <f>SUM(DK48:DN48)</f>
        <v/>
      </c>
      <c r="DZ48">
        <f>IFERROR(LOOKUP(2,1/('DRAFT 2'!$D:$D=$B48)*('DRAFT 2'!$A:$A&gt;=DATE(2026,4,1))*('DRAFT 2'!$A:$A&lt;DATE(2026,IF(4=12,4+1,4+1),1)),'DRAFT 2'!$A:$A),"")</f>
        <v/>
      </c>
      <c r="EA48">
        <f>COUNTIFS('DRAFT 2'!$D:$D,$B48,'DRAFT 2'!$A:$A,"&gt;="&amp;DATE(2026,4,1),'DRAFT 2'!$A:$A,"&lt;="&amp;DATE(2026,4,7))</f>
        <v/>
      </c>
      <c r="EB48">
        <f>COUNTIFS('DRAFT 2'!$D:$D,$B48,'DRAFT 2'!$A:$A,"&gt;="&amp;DATE(2026,4,8),'DRAFT 2'!$A:$A,"&lt;="&amp;DATE(2026,4,14))</f>
        <v/>
      </c>
      <c r="EC48">
        <f>COUNTIFS('DRAFT 2'!$D:$D,$B48,'DRAFT 2'!$A:$A,"&gt;="&amp;DATE(2026,4,15),'DRAFT 2'!$A:$A,"&lt;="&amp;DATE(2026,4,21))</f>
        <v/>
      </c>
      <c r="ED48">
        <f>COUNTIFS('DRAFT 2'!$D:$D,$B48,'DRAFT 2'!$A:$A,"&gt;="&amp;DATE(2026,4,22),'DRAFT 2'!$A:$A,"&lt;"&amp;DATE(2026,IF(4=12,4+1,4+1),1))</f>
        <v/>
      </c>
      <c r="EE48">
        <f>SUM(EA48:ED48)</f>
        <v/>
      </c>
      <c r="EO48">
        <f>IFERROR(LOOKUP(2,1/('DRAFT 2'!$D:$D=$B48)*('DRAFT 2'!$A:$A&gt;=DATE(2026,5,1))*('DRAFT 2'!$A:$A&lt;DATE(2026,IF(5=12,5+1,5+1),1)),'DRAFT 2'!$A:$A),"")</f>
        <v/>
      </c>
      <c r="EP48">
        <f>COUNTIFS('DRAFT 2'!$D:$D,$B48,'DRAFT 2'!$A:$A,"&gt;="&amp;DATE(2026,5,1),'DRAFT 2'!$A:$A,"&lt;="&amp;DATE(2026,5,7))</f>
        <v/>
      </c>
      <c r="EQ48">
        <f>COUNTIFS('DRAFT 2'!$D:$D,$B48,'DRAFT 2'!$A:$A,"&gt;="&amp;DATE(2026,5,8),'DRAFT 2'!$A:$A,"&lt;="&amp;DATE(2026,5,14))</f>
        <v/>
      </c>
      <c r="ER48">
        <f>COUNTIFS('DRAFT 2'!$D:$D,$B48,'DRAFT 2'!$A:$A,"&gt;="&amp;DATE(2026,5,15),'DRAFT 2'!$A:$A,"&lt;="&amp;DATE(2026,5,21))</f>
        <v/>
      </c>
      <c r="ES48">
        <f>COUNTIFS('DRAFT 2'!$D:$D,$B48,'DRAFT 2'!$A:$A,"&gt;="&amp;DATE(2026,5,22),'DRAFT 2'!$A:$A,"&lt;"&amp;DATE(2026,IF(5=12,5+1,5+1),1))</f>
        <v/>
      </c>
      <c r="ET48">
        <f>SUM(EP48:ES48)</f>
        <v/>
      </c>
      <c r="FD48">
        <f>IFERROR(LOOKUP(2,1/('DRAFT 2'!$D:$D=$B48)*('DRAFT 2'!$A:$A&gt;=DATE(2026,6,1))*('DRAFT 2'!$A:$A&lt;DATE(2026,IF(6=12,6+1,6+1),1)),'DRAFT 2'!$A:$A),"")</f>
        <v/>
      </c>
      <c r="FE48">
        <f>COUNTIFS('DRAFT 2'!$D:$D,$B48,'DRAFT 2'!$A:$A,"&gt;="&amp;DATE(2026,6,1),'DRAFT 2'!$A:$A,"&lt;="&amp;DATE(2026,6,7))</f>
        <v/>
      </c>
      <c r="FF48">
        <f>COUNTIFS('DRAFT 2'!$D:$D,$B48,'DRAFT 2'!$A:$A,"&gt;="&amp;DATE(2026,6,8),'DRAFT 2'!$A:$A,"&lt;="&amp;DATE(2026,6,14))</f>
        <v/>
      </c>
      <c r="FG48">
        <f>COUNTIFS('DRAFT 2'!$D:$D,$B48,'DRAFT 2'!$A:$A,"&gt;="&amp;DATE(2026,6,15),'DRAFT 2'!$A:$A,"&lt;="&amp;DATE(2026,6,21))</f>
        <v/>
      </c>
      <c r="FH48">
        <f>COUNTIFS('DRAFT 2'!$D:$D,$B48,'DRAFT 2'!$A:$A,"&gt;="&amp;DATE(2026,6,22),'DRAFT 2'!$A:$A,"&lt;"&amp;DATE(2026,IF(6=12,6+1,6+1),1))</f>
        <v/>
      </c>
      <c r="FI48">
        <f>SUM(FE48:FH48)</f>
        <v/>
      </c>
      <c r="FT48">
        <f>IFERROR(LOOKUP(2,1/('DRAFT 2'!$D:$D=$B48)*('DRAFT 2'!$A:$A&gt;=DATE(2026,7,1))*('DRAFT 2'!$A:$A&lt;DATE(2026,IF(7=12,7+1,7+1),1)),'DRAFT 2'!$A:$A),"")</f>
        <v/>
      </c>
      <c r="FU48">
        <f>COUNTIFS('DRAFT 2'!$D:$D,$B48,'DRAFT 2'!$A:$A,"&gt;="&amp;DATE(2026,7,1),'DRAFT 2'!$A:$A,"&lt;="&amp;DATE(2026,7,7))</f>
        <v/>
      </c>
      <c r="FV48">
        <f>COUNTIFS('DRAFT 2'!$D:$D,$B48,'DRAFT 2'!$A:$A,"&gt;="&amp;DATE(2026,7,8),'DRAFT 2'!$A:$A,"&lt;="&amp;DATE(2026,7,14))</f>
        <v/>
      </c>
      <c r="FW48">
        <f>COUNTIFS('DRAFT 2'!$D:$D,$B48,'DRAFT 2'!$A:$A,"&gt;="&amp;DATE(2026,7,15),'DRAFT 2'!$A:$A,"&lt;="&amp;DATE(2026,7,21))</f>
        <v/>
      </c>
      <c r="FX48">
        <f>COUNTIFS('DRAFT 2'!$D:$D,$B48,'DRAFT 2'!$A:$A,"&gt;="&amp;DATE(2026,7,22),'DRAFT 2'!$A:$A,"&lt;"&amp;DATE(2026,IF(7=12,7+1,7+1),1))</f>
        <v/>
      </c>
      <c r="FY48">
        <f>SUM(FU48:FX48)</f>
        <v/>
      </c>
      <c r="GI48">
        <f>IFERROR(LOOKUP(2,1/('DRAFT 2'!$D:$D=$B48)*('DRAFT 2'!$A:$A&gt;=DATE(2026,8,1))*('DRAFT 2'!$A:$A&lt;DATE(2026,IF(8=12,8+1,8+1),1)),'DRAFT 2'!$A:$A),"")</f>
        <v/>
      </c>
      <c r="GJ48">
        <f>COUNTIFS('DRAFT 2'!$D:$D,$B48,'DRAFT 2'!$A:$A,"&gt;="&amp;DATE(2026,8,1),'DRAFT 2'!$A:$A,"&lt;="&amp;DATE(2026,8,7))</f>
        <v/>
      </c>
      <c r="GK48">
        <f>COUNTIFS('DRAFT 2'!$D:$D,$B48,'DRAFT 2'!$A:$A,"&gt;="&amp;DATE(2026,8,8),'DRAFT 2'!$A:$A,"&lt;="&amp;DATE(2026,8,14))</f>
        <v/>
      </c>
      <c r="GL48">
        <f>COUNTIFS('DRAFT 2'!$D:$D,$B48,'DRAFT 2'!$A:$A,"&gt;="&amp;DATE(2026,8,15),'DRAFT 2'!$A:$A,"&lt;="&amp;DATE(2026,8,21))</f>
        <v/>
      </c>
      <c r="GM48">
        <f>COUNTIFS('DRAFT 2'!$D:$D,$B48,'DRAFT 2'!$A:$A,"&gt;="&amp;DATE(2026,8,22),'DRAFT 2'!$A:$A,"&lt;"&amp;DATE(2026,IF(8=12,8+1,8+1),1))</f>
        <v/>
      </c>
      <c r="GN48">
        <f>SUM(GJ48:GM48)</f>
        <v/>
      </c>
      <c r="GX48">
        <f>IFERROR(LOOKUP(2,1/('DRAFT 2'!$D:$D=$B48)*('DRAFT 2'!$A:$A&gt;=DATE(2026,9,1))*('DRAFT 2'!$A:$A&lt;DATE(2026,IF(9=12,9+1,9+1),1)),'DRAFT 2'!$A:$A),"")</f>
        <v/>
      </c>
      <c r="GY48">
        <f>COUNTIFS('DRAFT 2'!$D:$D,$B48,'DRAFT 2'!$A:$A,"&gt;="&amp;DATE(2026,9,1),'DRAFT 2'!$A:$A,"&lt;="&amp;DATE(2026,9,7))</f>
        <v/>
      </c>
      <c r="GZ48">
        <f>COUNTIFS('DRAFT 2'!$D:$D,$B48,'DRAFT 2'!$A:$A,"&gt;="&amp;DATE(2026,9,8),'DRAFT 2'!$A:$A,"&lt;="&amp;DATE(2026,9,14))</f>
        <v/>
      </c>
      <c r="HA48">
        <f>COUNTIFS('DRAFT 2'!$D:$D,$B48,'DRAFT 2'!$A:$A,"&gt;="&amp;DATE(2026,9,15),'DRAFT 2'!$A:$A,"&lt;="&amp;DATE(2026,9,21))</f>
        <v/>
      </c>
      <c r="HB48">
        <f>COUNTIFS('DRAFT 2'!$D:$D,$B48,'DRAFT 2'!$A:$A,"&gt;="&amp;DATE(2026,9,22),'DRAFT 2'!$A:$A,"&lt;"&amp;DATE(2026,IF(9=12,9+1,9+1),1))</f>
        <v/>
      </c>
      <c r="HC48">
        <f>SUM(GY48:HB48)</f>
        <v/>
      </c>
      <c r="HN48">
        <f>IFERROR(LOOKUP(2,1/('DRAFT 2'!$D:$D=$B48)*('DRAFT 2'!$A:$A&gt;=DATE(2026,10,1))*('DRAFT 2'!$A:$A&lt;DATE(2026,IF(10=12,10+1,10+1),1)),'DRAFT 2'!$A:$A),"")</f>
        <v/>
      </c>
      <c r="HO48">
        <f>COUNTIFS('DRAFT 2'!$D:$D,$B48,'DRAFT 2'!$A:$A,"&gt;="&amp;DATE(2026,10,1),'DRAFT 2'!$A:$A,"&lt;="&amp;DATE(2026,10,7))</f>
        <v/>
      </c>
      <c r="HP48">
        <f>COUNTIFS('DRAFT 2'!$D:$D,$B48,'DRAFT 2'!$A:$A,"&gt;="&amp;DATE(2026,10,8),'DRAFT 2'!$A:$A,"&lt;="&amp;DATE(2026,10,14))</f>
        <v/>
      </c>
      <c r="HQ48">
        <f>COUNTIFS('DRAFT 2'!$D:$D,$B48,'DRAFT 2'!$A:$A,"&gt;="&amp;DATE(2026,10,15),'DRAFT 2'!$A:$A,"&lt;="&amp;DATE(2026,10,21))</f>
        <v/>
      </c>
      <c r="HR48">
        <f>COUNTIFS('DRAFT 2'!$D:$D,$B48,'DRAFT 2'!$A:$A,"&gt;="&amp;DATE(2026,10,22),'DRAFT 2'!$A:$A,"&lt;"&amp;DATE(2026,IF(10=12,10+1,10+1),1))</f>
        <v/>
      </c>
      <c r="HS48">
        <f>SUM(HO48:HR48)</f>
        <v/>
      </c>
      <c r="IC48">
        <f>IFERROR(LOOKUP(2,1/('DRAFT 2'!$D:$D=$B48)*('DRAFT 2'!$A:$A&gt;=DATE(2026,11,1))*('DRAFT 2'!$A:$A&lt;DATE(2026,IF(11=12,11+1,11+1),1)),'DRAFT 2'!$A:$A),"")</f>
        <v/>
      </c>
      <c r="ID48">
        <f>COUNTIFS('DRAFT 2'!$D:$D,$B48,'DRAFT 2'!$A:$A,"&gt;="&amp;DATE(2026,11,1),'DRAFT 2'!$A:$A,"&lt;="&amp;DATE(2026,11,7))</f>
        <v/>
      </c>
      <c r="IE48">
        <f>COUNTIFS('DRAFT 2'!$D:$D,$B48,'DRAFT 2'!$A:$A,"&gt;="&amp;DATE(2026,11,8),'DRAFT 2'!$A:$A,"&lt;="&amp;DATE(2026,11,14))</f>
        <v/>
      </c>
      <c r="IF48">
        <f>COUNTIFS('DRAFT 2'!$D:$D,$B48,'DRAFT 2'!$A:$A,"&gt;="&amp;DATE(2026,11,15),'DRAFT 2'!$A:$A,"&lt;="&amp;DATE(2026,11,21))</f>
        <v/>
      </c>
      <c r="IG48">
        <f>COUNTIFS('DRAFT 2'!$D:$D,$B48,'DRAFT 2'!$A:$A,"&gt;="&amp;DATE(2026,11,22),'DRAFT 2'!$A:$A,"&lt;"&amp;DATE(2026,IF(11=12,11+1,11+1),1))</f>
        <v/>
      </c>
      <c r="IH48">
        <f>SUM(ID48:IG48)</f>
        <v/>
      </c>
      <c r="IR48">
        <f>IFERROR(LOOKUP(2,1/('DRAFT 2'!$D:$D=$B48)*('DRAFT 2'!$A:$A&gt;=DATE(2026,12,1))*('DRAFT 2'!$A:$A&lt;DATE(2026,IF(12=12,12+1,12+1),1)),'DRAFT 2'!$A:$A),"")</f>
        <v/>
      </c>
      <c r="IS48">
        <f>COUNTIFS('DRAFT 2'!$D:$D,$B48,'DRAFT 2'!$A:$A,"&gt;="&amp;DATE(2026,12,1),'DRAFT 2'!$A:$A,"&lt;="&amp;DATE(2026,12,7))</f>
        <v/>
      </c>
      <c r="IT48">
        <f>COUNTIFS('DRAFT 2'!$D:$D,$B48,'DRAFT 2'!$A:$A,"&gt;="&amp;DATE(2026,12,8),'DRAFT 2'!$A:$A,"&lt;="&amp;DATE(2026,12,14))</f>
        <v/>
      </c>
      <c r="IU48">
        <f>COUNTIFS('DRAFT 2'!$D:$D,$B48,'DRAFT 2'!$A:$A,"&gt;="&amp;DATE(2026,12,15),'DRAFT 2'!$A:$A,"&lt;="&amp;DATE(2026,12,21))</f>
        <v/>
      </c>
      <c r="IV48">
        <f>COUNTIFS('DRAFT 2'!$D:$D,$B48,'DRAFT 2'!$A:$A,"&gt;="&amp;DATE(2026,12,22),'DRAFT 2'!$A:$A,"&lt;"&amp;DATE(2026,IF(12=12,12+1,12+1),1))</f>
        <v/>
      </c>
      <c r="IW48">
        <f>SUM(IS48:IV48)</f>
        <v/>
      </c>
    </row>
    <row r="49">
      <c r="A49">
        <f>IFERROR(INDEX('DRAFT 1'!$A:$A,MATCH($B49,'DRAFT 1'!$B:$B,0)),"")</f>
        <v/>
      </c>
      <c r="C49">
        <f>IFERROR(INDEX('DRAFT 1'!$C:$C,MATCH($B49,'DRAFT 1'!$B:$B,0)),"")</f>
        <v/>
      </c>
      <c r="D49">
        <f>IFERROR(INDEX('DRAFT 1'!$D:$D,MATCH($B49,'DRAFT 1'!$B:$B,0)),"")</f>
        <v/>
      </c>
      <c r="E49">
        <f>IFERROR(INDEX('DRAFT 1'!$E:$E,MATCH($B49,'DRAFT 1'!$B:$B,0)),"")</f>
        <v/>
      </c>
      <c r="F49">
        <f>IFERROR(INDEX('DRAFT 1'!$F:$F,MATCH($B49,'DRAFT 1'!$B:$B,0)),"")</f>
        <v/>
      </c>
      <c r="G49">
        <f>IFERROR(INDEX('DRAFT 1'!$G:$G,MATCH($B49,'DRAFT 1'!$B:$B,0)),"")</f>
        <v/>
      </c>
      <c r="H49">
        <f>IFERROR(INDEX('DRAFT 1'!$H:$H,MATCH($B49,'DRAFT 1'!$B:$B,0)),"")</f>
        <v/>
      </c>
      <c r="I49" t="inlineStr">
        <is>
          <t>DEMAIS CLIENTES</t>
        </is>
      </c>
      <c r="K49">
        <f>IFERROR(INDEX('DRAFT 1'!$AL:$AL,MATCH($B49,'DRAFT 1'!$B:$B,0)),"")</f>
        <v/>
      </c>
      <c r="L49">
        <f>IFERROR(INDEX('DRAFT 1'!$J:$J,MATCH($B49,'DRAFT 1'!$B:$B,0)),"")</f>
        <v/>
      </c>
      <c r="M49">
        <f>IFERROR(INDEX('DRAFT 1'!$K:$K,MATCH($B49,'DRAFT 1'!$B:$B,0)),"")</f>
        <v/>
      </c>
      <c r="N49" t="inlineStr">
        <is>
          <t>INAT.REC</t>
        </is>
      </c>
      <c r="P49">
        <f>IFERROR(INDEX('DRAFT 1'!$L:$L,MATCH($B49,'DRAFT 1'!$B:$B,0)),"")</f>
        <v/>
      </c>
      <c r="Q49">
        <f>IFERROR(INDEX('DRAFT 1'!$M:$M,MATCH($B49,'DRAFT 1'!$B:$B,0)),"")</f>
        <v/>
      </c>
      <c r="R49">
        <f>IFERROR(INDEX('DRAFT 1'!$N:$N,MATCH($B49,'DRAFT 1'!$B:$B,0)),"")</f>
        <v/>
      </c>
      <c r="S49">
        <f>IFERROR(INDEX('DRAFT 1'!$O:$O,MATCH($B49,'DRAFT 1'!$B:$B,0)),"")</f>
        <v/>
      </c>
      <c r="T49">
        <f>IFERROR(INDEX('DRAFT 1'!$P:$P,MATCH($B49,'DRAFT 1'!$B:$B,0)),"")</f>
        <v/>
      </c>
      <c r="U49">
        <f>IFERROR(INDEX('DRAFT 1'!$Q:$Q,MATCH($B49,'DRAFT 1'!$B:$B,0)),"")</f>
        <v/>
      </c>
      <c r="V49">
        <f>IFERROR(INDEX('DRAFT 1'!$R:$R,MATCH($B49,'DRAFT 1'!$B:$B,0)),"")</f>
        <v/>
      </c>
      <c r="W49">
        <f>IFERROR(INDEX('DRAFT 1'!$S:$S,MATCH($B49,'DRAFT 1'!$B:$B,0)),"")</f>
        <v/>
      </c>
      <c r="X49">
        <f>IFERROR(INDEX('DRAFT 1'!$T:$T,MATCH($B49,'DRAFT 1'!$B:$B,0)),"")</f>
        <v/>
      </c>
      <c r="Z49">
        <f>IFERROR(INDEX('DRAFT 1'!$U:$U,MATCH($B49,'DRAFT 1'!$B:$B,0)),"")</f>
        <v/>
      </c>
      <c r="AA49">
        <f>IFERROR(INDEX('DRAFT 1'!$V:$V,MATCH($B49,'DRAFT 1'!$B:$B,0)),"")</f>
        <v/>
      </c>
      <c r="AB49">
        <f>IFERROR(INDEX('DRAFT 1'!$W:$W,MATCH($B49,'DRAFT 1'!$B:$B,0)),"")</f>
        <v/>
      </c>
      <c r="AC49">
        <f>IFERROR(INDEX('DRAFT 1'!$X:$X,MATCH($B49,'DRAFT 1'!$B:$B,0)),"")</f>
        <v/>
      </c>
      <c r="AD49">
        <f>IFERROR(INDEX('DRAFT 1'!$Y:$Y,MATCH($B49,'DRAFT 1'!$B:$B,0)),"")</f>
        <v/>
      </c>
      <c r="AE49">
        <f>IFERROR(INDEX('DRAFT 1'!$Z:$Z,MATCH($B49,'DRAFT 1'!$B:$B,0)),"")</f>
        <v/>
      </c>
      <c r="AF49">
        <f>IFERROR(INDEX('DRAFT 1'!$AA:$AA,MATCH($B49,'DRAFT 1'!$B:$B,0)),"")</f>
        <v/>
      </c>
      <c r="AG49">
        <f>IFERROR(INDEX('DRAFT 1'!$AB:$AB,MATCH($B49,'DRAFT 1'!$B:$B,0)),"")</f>
        <v/>
      </c>
      <c r="AH49">
        <f>IFERROR(INDEX('DRAFT 1'!$AC:$AC,MATCH($B49,'DRAFT 1'!$B:$B,0)),"")</f>
        <v/>
      </c>
      <c r="AI49">
        <f>IFERROR(INDEX('DRAFT 1'!$AD:$AD,MATCH($B49,'DRAFT 1'!$B:$B,0)),"")</f>
        <v/>
      </c>
      <c r="AJ49">
        <f>IFERROR(INDEX('DRAFT 1'!$AE:$AE,MATCH($B49,'DRAFT 1'!$B:$B,0)),"")</f>
        <v/>
      </c>
      <c r="AK49">
        <f>IFERROR(INDEX('DRAFT 1'!$AG:$AG,MATCH($B49,'DRAFT 1'!$B:$B,0)),"")</f>
        <v/>
      </c>
      <c r="AL49">
        <f>IFERROR(INDEX('DRAFT 1'!$AH:$AH,MATCH($B49,'DRAFT 1'!$B:$B,0)),"")</f>
        <v/>
      </c>
      <c r="AM49">
        <f>IFERROR(INDEX('DRAFT 1'!$AI:$AI,MATCH($B49,'DRAFT 1'!$B:$B,0)),"")</f>
        <v/>
      </c>
      <c r="AN49">
        <f>IFERROR(INDEX('DRAFT 1'!$AJ:$AJ,MATCH($B49,'DRAFT 1'!$B:$B,0)),"")</f>
        <v/>
      </c>
      <c r="AO49">
        <f>IFERROR(Y49/AN49,0)</f>
        <v/>
      </c>
      <c r="AP49">
        <f>IFERROR(INDEX('DRAFT 1'!$AK:$AK,MATCH($B49,'DRAFT 1'!$B:$B,0)),"")</f>
        <v/>
      </c>
      <c r="AR49" t="inlineStr">
        <is>
          <t>RECUPERAÇÃO</t>
        </is>
      </c>
      <c r="AS49">
        <f>IFERROR(LOOKUP(2,1/('DRAFT 2'!$D:$D=$B49),'DRAFT 2'!$T:$T),"")</f>
        <v/>
      </c>
      <c r="AT49">
        <f>IFERROR(LOOKUP(2,1/('DRAFT 2'!$D:$D=$B49),'DRAFT 2'!$A:$A),"")</f>
        <v/>
      </c>
      <c r="AU49">
        <f>IFERROR(LOOKUP(2,1/('DRAFT 2'!$D:$D=$B49),'DRAFT 2'!$R:$R),"")</f>
        <v/>
      </c>
      <c r="AV49">
        <f>IFERROR(LOOKUP(2,1/('DRAFT 2'!$D:$D=$B49),'DRAFT 2'!$S:$S),"")</f>
        <v/>
      </c>
      <c r="AW49" t="inlineStr">
        <is>
          <t>EM DESENVOLVIMENTO</t>
        </is>
      </c>
      <c r="AX49">
        <f>IFERROR(LOOKUP(2,1/('DRAFT 2'!$D:$D=$B49),'DRAFT 2'!$M:$M),"")</f>
        <v/>
      </c>
      <c r="AY49">
        <f>IFERROR(LOOKUP(2,1/('DRAFT 2'!$D:$D=$B49),'DRAFT 2'!$K:$K),"")</f>
        <v/>
      </c>
      <c r="BG49">
        <f>IFERROR(LOOKUP(2,1/('DRAFT 2'!$D:$D=$B49),'DRAFT 2'!$U:$U),"")</f>
        <v/>
      </c>
      <c r="BH49">
        <f>IFERROR(LOOKUP(2,1/('DRAFT 2'!$D:$D=$B49),'DRAFT 2'!$V:$V),"")</f>
        <v/>
      </c>
      <c r="CE49">
        <f>IFERROR(AJ49,0)</f>
        <v/>
      </c>
      <c r="CF49">
        <f>IFERROR(LOOKUP(2,1/('DRAFT 2'!$D:$D=$B49)*('DRAFT 2'!$A:$A&gt;=DATE(2026,1,1))*('DRAFT 2'!$A:$A&lt;DATE(2026,IF(1=12,1+1,1+1),1)),'DRAFT 2'!$A:$A),"")</f>
        <v/>
      </c>
      <c r="CG49">
        <f>COUNTIFS('DRAFT 2'!$D:$D,$B49,'DRAFT 2'!$A:$A,"&gt;="&amp;DATE(2026,1,1),'DRAFT 2'!$A:$A,"&lt;="&amp;DATE(2026,1,7))</f>
        <v/>
      </c>
      <c r="CH49">
        <f>COUNTIFS('DRAFT 2'!$D:$D,$B49,'DRAFT 2'!$A:$A,"&gt;="&amp;DATE(2026,1,8),'DRAFT 2'!$A:$A,"&lt;="&amp;DATE(2026,1,14))</f>
        <v/>
      </c>
      <c r="CI49">
        <f>COUNTIFS('DRAFT 2'!$D:$D,$B49,'DRAFT 2'!$A:$A,"&gt;="&amp;DATE(2026,1,15),'DRAFT 2'!$A:$A,"&lt;="&amp;DATE(2026,1,21))</f>
        <v/>
      </c>
      <c r="CJ49">
        <f>COUNTIFS('DRAFT 2'!$D:$D,$B49,'DRAFT 2'!$A:$A,"&gt;="&amp;DATE(2026,1,22),'DRAFT 2'!$A:$A,"&lt;"&amp;DATE(2026,IF(1=12,1+1,1+1),1))</f>
        <v/>
      </c>
      <c r="CK49">
        <f>SUM(CG49:CJ49)</f>
        <v/>
      </c>
      <c r="CT49" t="n">
        <v>0</v>
      </c>
      <c r="CU49">
        <f>IFERROR(LOOKUP(2,1/('DRAFT 2'!$D:$D=$B49)*('DRAFT 2'!$A:$A&gt;=DATE(2026,2,1))*('DRAFT 2'!$A:$A&lt;DATE(2026,IF(2=12,2+1,2+1),1)),'DRAFT 2'!$A:$A),"")</f>
        <v/>
      </c>
      <c r="CV49">
        <f>COUNTIFS('DRAFT 2'!$D:$D,$B49,'DRAFT 2'!$A:$A,"&gt;="&amp;DATE(2026,2,1),'DRAFT 2'!$A:$A,"&lt;="&amp;DATE(2026,2,7))</f>
        <v/>
      </c>
      <c r="CW49">
        <f>COUNTIFS('DRAFT 2'!$D:$D,$B49,'DRAFT 2'!$A:$A,"&gt;="&amp;DATE(2026,2,8),'DRAFT 2'!$A:$A,"&lt;="&amp;DATE(2026,2,14))</f>
        <v/>
      </c>
      <c r="CX49">
        <f>COUNTIFS('DRAFT 2'!$D:$D,$B49,'DRAFT 2'!$A:$A,"&gt;="&amp;DATE(2026,2,15),'DRAFT 2'!$A:$A,"&lt;="&amp;DATE(2026,2,21))</f>
        <v/>
      </c>
      <c r="CY49">
        <f>COUNTIFS('DRAFT 2'!$D:$D,$B49,'DRAFT 2'!$A:$A,"&gt;="&amp;DATE(2026,2,22),'DRAFT 2'!$A:$A,"&lt;"&amp;DATE(2026,IF(2=12,2+1,2+1),1))</f>
        <v/>
      </c>
      <c r="CZ49">
        <f>SUM(CV49:CY49)</f>
        <v/>
      </c>
      <c r="DJ49">
        <f>IFERROR(LOOKUP(2,1/('DRAFT 2'!$D:$D=$B49)*('DRAFT 2'!$A:$A&gt;=DATE(2026,3,1))*('DRAFT 2'!$A:$A&lt;DATE(2026,IF(3=12,3+1,3+1),1)),'DRAFT 2'!$A:$A),"")</f>
        <v/>
      </c>
      <c r="DK49">
        <f>COUNTIFS('DRAFT 2'!$D:$D,$B49,'DRAFT 2'!$A:$A,"&gt;="&amp;DATE(2026,3,1),'DRAFT 2'!$A:$A,"&lt;="&amp;DATE(2026,3,7))</f>
        <v/>
      </c>
      <c r="DL49">
        <f>COUNTIFS('DRAFT 2'!$D:$D,$B49,'DRAFT 2'!$A:$A,"&gt;="&amp;DATE(2026,3,8),'DRAFT 2'!$A:$A,"&lt;="&amp;DATE(2026,3,14))</f>
        <v/>
      </c>
      <c r="DM49">
        <f>COUNTIFS('DRAFT 2'!$D:$D,$B49,'DRAFT 2'!$A:$A,"&gt;="&amp;DATE(2026,3,15),'DRAFT 2'!$A:$A,"&lt;="&amp;DATE(2026,3,21))</f>
        <v/>
      </c>
      <c r="DN49">
        <f>COUNTIFS('DRAFT 2'!$D:$D,$B49,'DRAFT 2'!$A:$A,"&gt;="&amp;DATE(2026,3,22),'DRAFT 2'!$A:$A,"&lt;"&amp;DATE(2026,IF(3=12,3+1,3+1),1))</f>
        <v/>
      </c>
      <c r="DO49">
        <f>SUM(DK49:DN49)</f>
        <v/>
      </c>
      <c r="DZ49">
        <f>IFERROR(LOOKUP(2,1/('DRAFT 2'!$D:$D=$B49)*('DRAFT 2'!$A:$A&gt;=DATE(2026,4,1))*('DRAFT 2'!$A:$A&lt;DATE(2026,IF(4=12,4+1,4+1),1)),'DRAFT 2'!$A:$A),"")</f>
        <v/>
      </c>
      <c r="EA49">
        <f>COUNTIFS('DRAFT 2'!$D:$D,$B49,'DRAFT 2'!$A:$A,"&gt;="&amp;DATE(2026,4,1),'DRAFT 2'!$A:$A,"&lt;="&amp;DATE(2026,4,7))</f>
        <v/>
      </c>
      <c r="EB49">
        <f>COUNTIFS('DRAFT 2'!$D:$D,$B49,'DRAFT 2'!$A:$A,"&gt;="&amp;DATE(2026,4,8),'DRAFT 2'!$A:$A,"&lt;="&amp;DATE(2026,4,14))</f>
        <v/>
      </c>
      <c r="EC49">
        <f>COUNTIFS('DRAFT 2'!$D:$D,$B49,'DRAFT 2'!$A:$A,"&gt;="&amp;DATE(2026,4,15),'DRAFT 2'!$A:$A,"&lt;="&amp;DATE(2026,4,21))</f>
        <v/>
      </c>
      <c r="ED49">
        <f>COUNTIFS('DRAFT 2'!$D:$D,$B49,'DRAFT 2'!$A:$A,"&gt;="&amp;DATE(2026,4,22),'DRAFT 2'!$A:$A,"&lt;"&amp;DATE(2026,IF(4=12,4+1,4+1),1))</f>
        <v/>
      </c>
      <c r="EE49">
        <f>SUM(EA49:ED49)</f>
        <v/>
      </c>
      <c r="EO49">
        <f>IFERROR(LOOKUP(2,1/('DRAFT 2'!$D:$D=$B49)*('DRAFT 2'!$A:$A&gt;=DATE(2026,5,1))*('DRAFT 2'!$A:$A&lt;DATE(2026,IF(5=12,5+1,5+1),1)),'DRAFT 2'!$A:$A),"")</f>
        <v/>
      </c>
      <c r="EP49">
        <f>COUNTIFS('DRAFT 2'!$D:$D,$B49,'DRAFT 2'!$A:$A,"&gt;="&amp;DATE(2026,5,1),'DRAFT 2'!$A:$A,"&lt;="&amp;DATE(2026,5,7))</f>
        <v/>
      </c>
      <c r="EQ49">
        <f>COUNTIFS('DRAFT 2'!$D:$D,$B49,'DRAFT 2'!$A:$A,"&gt;="&amp;DATE(2026,5,8),'DRAFT 2'!$A:$A,"&lt;="&amp;DATE(2026,5,14))</f>
        <v/>
      </c>
      <c r="ER49">
        <f>COUNTIFS('DRAFT 2'!$D:$D,$B49,'DRAFT 2'!$A:$A,"&gt;="&amp;DATE(2026,5,15),'DRAFT 2'!$A:$A,"&lt;="&amp;DATE(2026,5,21))</f>
        <v/>
      </c>
      <c r="ES49">
        <f>COUNTIFS('DRAFT 2'!$D:$D,$B49,'DRAFT 2'!$A:$A,"&gt;="&amp;DATE(2026,5,22),'DRAFT 2'!$A:$A,"&lt;"&amp;DATE(2026,IF(5=12,5+1,5+1),1))</f>
        <v/>
      </c>
      <c r="ET49">
        <f>SUM(EP49:ES49)</f>
        <v/>
      </c>
      <c r="FD49">
        <f>IFERROR(LOOKUP(2,1/('DRAFT 2'!$D:$D=$B49)*('DRAFT 2'!$A:$A&gt;=DATE(2026,6,1))*('DRAFT 2'!$A:$A&lt;DATE(2026,IF(6=12,6+1,6+1),1)),'DRAFT 2'!$A:$A),"")</f>
        <v/>
      </c>
      <c r="FE49">
        <f>COUNTIFS('DRAFT 2'!$D:$D,$B49,'DRAFT 2'!$A:$A,"&gt;="&amp;DATE(2026,6,1),'DRAFT 2'!$A:$A,"&lt;="&amp;DATE(2026,6,7))</f>
        <v/>
      </c>
      <c r="FF49">
        <f>COUNTIFS('DRAFT 2'!$D:$D,$B49,'DRAFT 2'!$A:$A,"&gt;="&amp;DATE(2026,6,8),'DRAFT 2'!$A:$A,"&lt;="&amp;DATE(2026,6,14))</f>
        <v/>
      </c>
      <c r="FG49">
        <f>COUNTIFS('DRAFT 2'!$D:$D,$B49,'DRAFT 2'!$A:$A,"&gt;="&amp;DATE(2026,6,15),'DRAFT 2'!$A:$A,"&lt;="&amp;DATE(2026,6,21))</f>
        <v/>
      </c>
      <c r="FH49">
        <f>COUNTIFS('DRAFT 2'!$D:$D,$B49,'DRAFT 2'!$A:$A,"&gt;="&amp;DATE(2026,6,22),'DRAFT 2'!$A:$A,"&lt;"&amp;DATE(2026,IF(6=12,6+1,6+1),1))</f>
        <v/>
      </c>
      <c r="FI49">
        <f>SUM(FE49:FH49)</f>
        <v/>
      </c>
      <c r="FT49">
        <f>IFERROR(LOOKUP(2,1/('DRAFT 2'!$D:$D=$B49)*('DRAFT 2'!$A:$A&gt;=DATE(2026,7,1))*('DRAFT 2'!$A:$A&lt;DATE(2026,IF(7=12,7+1,7+1),1)),'DRAFT 2'!$A:$A),"")</f>
        <v/>
      </c>
      <c r="FU49">
        <f>COUNTIFS('DRAFT 2'!$D:$D,$B49,'DRAFT 2'!$A:$A,"&gt;="&amp;DATE(2026,7,1),'DRAFT 2'!$A:$A,"&lt;="&amp;DATE(2026,7,7))</f>
        <v/>
      </c>
      <c r="FV49">
        <f>COUNTIFS('DRAFT 2'!$D:$D,$B49,'DRAFT 2'!$A:$A,"&gt;="&amp;DATE(2026,7,8),'DRAFT 2'!$A:$A,"&lt;="&amp;DATE(2026,7,14))</f>
        <v/>
      </c>
      <c r="FW49">
        <f>COUNTIFS('DRAFT 2'!$D:$D,$B49,'DRAFT 2'!$A:$A,"&gt;="&amp;DATE(2026,7,15),'DRAFT 2'!$A:$A,"&lt;="&amp;DATE(2026,7,21))</f>
        <v/>
      </c>
      <c r="FX49">
        <f>COUNTIFS('DRAFT 2'!$D:$D,$B49,'DRAFT 2'!$A:$A,"&gt;="&amp;DATE(2026,7,22),'DRAFT 2'!$A:$A,"&lt;"&amp;DATE(2026,IF(7=12,7+1,7+1),1))</f>
        <v/>
      </c>
      <c r="FY49">
        <f>SUM(FU49:FX49)</f>
        <v/>
      </c>
      <c r="GI49">
        <f>IFERROR(LOOKUP(2,1/('DRAFT 2'!$D:$D=$B49)*('DRAFT 2'!$A:$A&gt;=DATE(2026,8,1))*('DRAFT 2'!$A:$A&lt;DATE(2026,IF(8=12,8+1,8+1),1)),'DRAFT 2'!$A:$A),"")</f>
        <v/>
      </c>
      <c r="GJ49">
        <f>COUNTIFS('DRAFT 2'!$D:$D,$B49,'DRAFT 2'!$A:$A,"&gt;="&amp;DATE(2026,8,1),'DRAFT 2'!$A:$A,"&lt;="&amp;DATE(2026,8,7))</f>
        <v/>
      </c>
      <c r="GK49">
        <f>COUNTIFS('DRAFT 2'!$D:$D,$B49,'DRAFT 2'!$A:$A,"&gt;="&amp;DATE(2026,8,8),'DRAFT 2'!$A:$A,"&lt;="&amp;DATE(2026,8,14))</f>
        <v/>
      </c>
      <c r="GL49">
        <f>COUNTIFS('DRAFT 2'!$D:$D,$B49,'DRAFT 2'!$A:$A,"&gt;="&amp;DATE(2026,8,15),'DRAFT 2'!$A:$A,"&lt;="&amp;DATE(2026,8,21))</f>
        <v/>
      </c>
      <c r="GM49">
        <f>COUNTIFS('DRAFT 2'!$D:$D,$B49,'DRAFT 2'!$A:$A,"&gt;="&amp;DATE(2026,8,22),'DRAFT 2'!$A:$A,"&lt;"&amp;DATE(2026,IF(8=12,8+1,8+1),1))</f>
        <v/>
      </c>
      <c r="GN49">
        <f>SUM(GJ49:GM49)</f>
        <v/>
      </c>
      <c r="GX49">
        <f>IFERROR(LOOKUP(2,1/('DRAFT 2'!$D:$D=$B49)*('DRAFT 2'!$A:$A&gt;=DATE(2026,9,1))*('DRAFT 2'!$A:$A&lt;DATE(2026,IF(9=12,9+1,9+1),1)),'DRAFT 2'!$A:$A),"")</f>
        <v/>
      </c>
      <c r="GY49">
        <f>COUNTIFS('DRAFT 2'!$D:$D,$B49,'DRAFT 2'!$A:$A,"&gt;="&amp;DATE(2026,9,1),'DRAFT 2'!$A:$A,"&lt;="&amp;DATE(2026,9,7))</f>
        <v/>
      </c>
      <c r="GZ49">
        <f>COUNTIFS('DRAFT 2'!$D:$D,$B49,'DRAFT 2'!$A:$A,"&gt;="&amp;DATE(2026,9,8),'DRAFT 2'!$A:$A,"&lt;="&amp;DATE(2026,9,14))</f>
        <v/>
      </c>
      <c r="HA49">
        <f>COUNTIFS('DRAFT 2'!$D:$D,$B49,'DRAFT 2'!$A:$A,"&gt;="&amp;DATE(2026,9,15),'DRAFT 2'!$A:$A,"&lt;="&amp;DATE(2026,9,21))</f>
        <v/>
      </c>
      <c r="HB49">
        <f>COUNTIFS('DRAFT 2'!$D:$D,$B49,'DRAFT 2'!$A:$A,"&gt;="&amp;DATE(2026,9,22),'DRAFT 2'!$A:$A,"&lt;"&amp;DATE(2026,IF(9=12,9+1,9+1),1))</f>
        <v/>
      </c>
      <c r="HC49">
        <f>SUM(GY49:HB49)</f>
        <v/>
      </c>
      <c r="HN49">
        <f>IFERROR(LOOKUP(2,1/('DRAFT 2'!$D:$D=$B49)*('DRAFT 2'!$A:$A&gt;=DATE(2026,10,1))*('DRAFT 2'!$A:$A&lt;DATE(2026,IF(10=12,10+1,10+1),1)),'DRAFT 2'!$A:$A),"")</f>
        <v/>
      </c>
      <c r="HO49">
        <f>COUNTIFS('DRAFT 2'!$D:$D,$B49,'DRAFT 2'!$A:$A,"&gt;="&amp;DATE(2026,10,1),'DRAFT 2'!$A:$A,"&lt;="&amp;DATE(2026,10,7))</f>
        <v/>
      </c>
      <c r="HP49">
        <f>COUNTIFS('DRAFT 2'!$D:$D,$B49,'DRAFT 2'!$A:$A,"&gt;="&amp;DATE(2026,10,8),'DRAFT 2'!$A:$A,"&lt;="&amp;DATE(2026,10,14))</f>
        <v/>
      </c>
      <c r="HQ49">
        <f>COUNTIFS('DRAFT 2'!$D:$D,$B49,'DRAFT 2'!$A:$A,"&gt;="&amp;DATE(2026,10,15),'DRAFT 2'!$A:$A,"&lt;="&amp;DATE(2026,10,21))</f>
        <v/>
      </c>
      <c r="HR49">
        <f>COUNTIFS('DRAFT 2'!$D:$D,$B49,'DRAFT 2'!$A:$A,"&gt;="&amp;DATE(2026,10,22),'DRAFT 2'!$A:$A,"&lt;"&amp;DATE(2026,IF(10=12,10+1,10+1),1))</f>
        <v/>
      </c>
      <c r="HS49">
        <f>SUM(HO49:HR49)</f>
        <v/>
      </c>
      <c r="IC49">
        <f>IFERROR(LOOKUP(2,1/('DRAFT 2'!$D:$D=$B49)*('DRAFT 2'!$A:$A&gt;=DATE(2026,11,1))*('DRAFT 2'!$A:$A&lt;DATE(2026,IF(11=12,11+1,11+1),1)),'DRAFT 2'!$A:$A),"")</f>
        <v/>
      </c>
      <c r="ID49">
        <f>COUNTIFS('DRAFT 2'!$D:$D,$B49,'DRAFT 2'!$A:$A,"&gt;="&amp;DATE(2026,11,1),'DRAFT 2'!$A:$A,"&lt;="&amp;DATE(2026,11,7))</f>
        <v/>
      </c>
      <c r="IE49">
        <f>COUNTIFS('DRAFT 2'!$D:$D,$B49,'DRAFT 2'!$A:$A,"&gt;="&amp;DATE(2026,11,8),'DRAFT 2'!$A:$A,"&lt;="&amp;DATE(2026,11,14))</f>
        <v/>
      </c>
      <c r="IF49">
        <f>COUNTIFS('DRAFT 2'!$D:$D,$B49,'DRAFT 2'!$A:$A,"&gt;="&amp;DATE(2026,11,15),'DRAFT 2'!$A:$A,"&lt;="&amp;DATE(2026,11,21))</f>
        <v/>
      </c>
      <c r="IG49">
        <f>COUNTIFS('DRAFT 2'!$D:$D,$B49,'DRAFT 2'!$A:$A,"&gt;="&amp;DATE(2026,11,22),'DRAFT 2'!$A:$A,"&lt;"&amp;DATE(2026,IF(11=12,11+1,11+1),1))</f>
        <v/>
      </c>
      <c r="IH49">
        <f>SUM(ID49:IG49)</f>
        <v/>
      </c>
      <c r="IR49">
        <f>IFERROR(LOOKUP(2,1/('DRAFT 2'!$D:$D=$B49)*('DRAFT 2'!$A:$A&gt;=DATE(2026,12,1))*('DRAFT 2'!$A:$A&lt;DATE(2026,IF(12=12,12+1,12+1),1)),'DRAFT 2'!$A:$A),"")</f>
        <v/>
      </c>
      <c r="IS49">
        <f>COUNTIFS('DRAFT 2'!$D:$D,$B49,'DRAFT 2'!$A:$A,"&gt;="&amp;DATE(2026,12,1),'DRAFT 2'!$A:$A,"&lt;="&amp;DATE(2026,12,7))</f>
        <v/>
      </c>
      <c r="IT49">
        <f>COUNTIFS('DRAFT 2'!$D:$D,$B49,'DRAFT 2'!$A:$A,"&gt;="&amp;DATE(2026,12,8),'DRAFT 2'!$A:$A,"&lt;="&amp;DATE(2026,12,14))</f>
        <v/>
      </c>
      <c r="IU49">
        <f>COUNTIFS('DRAFT 2'!$D:$D,$B49,'DRAFT 2'!$A:$A,"&gt;="&amp;DATE(2026,12,15),'DRAFT 2'!$A:$A,"&lt;="&amp;DATE(2026,12,21))</f>
        <v/>
      </c>
      <c r="IV49">
        <f>COUNTIFS('DRAFT 2'!$D:$D,$B49,'DRAFT 2'!$A:$A,"&gt;="&amp;DATE(2026,12,22),'DRAFT 2'!$A:$A,"&lt;"&amp;DATE(2026,IF(12=12,12+1,12+1),1))</f>
        <v/>
      </c>
      <c r="IW49">
        <f>SUM(IS49:IV49)</f>
        <v/>
      </c>
    </row>
    <row r="50">
      <c r="A50">
        <f>IFERROR(INDEX('DRAFT 1'!$A:$A,MATCH($B50,'DRAFT 1'!$B:$B,0)),"")</f>
        <v/>
      </c>
      <c r="C50">
        <f>IFERROR(INDEX('DRAFT 1'!$C:$C,MATCH($B50,'DRAFT 1'!$B:$B,0)),"")</f>
        <v/>
      </c>
      <c r="D50">
        <f>IFERROR(INDEX('DRAFT 1'!$D:$D,MATCH($B50,'DRAFT 1'!$B:$B,0)),"")</f>
        <v/>
      </c>
      <c r="E50">
        <f>IFERROR(INDEX('DRAFT 1'!$E:$E,MATCH($B50,'DRAFT 1'!$B:$B,0)),"")</f>
        <v/>
      </c>
      <c r="F50">
        <f>IFERROR(INDEX('DRAFT 1'!$F:$F,MATCH($B50,'DRAFT 1'!$B:$B,0)),"")</f>
        <v/>
      </c>
      <c r="G50">
        <f>IFERROR(INDEX('DRAFT 1'!$G:$G,MATCH($B50,'DRAFT 1'!$B:$B,0)),"")</f>
        <v/>
      </c>
      <c r="H50">
        <f>IFERROR(INDEX('DRAFT 1'!$H:$H,MATCH($B50,'DRAFT 1'!$B:$B,0)),"")</f>
        <v/>
      </c>
      <c r="I50" t="inlineStr">
        <is>
          <t>MUNDO VERDE</t>
        </is>
      </c>
      <c r="K50">
        <f>IFERROR(INDEX('DRAFT 1'!$AL:$AL,MATCH($B50,'DRAFT 1'!$B:$B,0)),"")</f>
        <v/>
      </c>
      <c r="L50">
        <f>IFERROR(INDEX('DRAFT 1'!$J:$J,MATCH($B50,'DRAFT 1'!$B:$B,0)),"")</f>
        <v/>
      </c>
      <c r="M50">
        <f>IFERROR(INDEX('DRAFT 1'!$K:$K,MATCH($B50,'DRAFT 1'!$B:$B,0)),"")</f>
        <v/>
      </c>
      <c r="N50" t="inlineStr">
        <is>
          <t>INAT.ANT</t>
        </is>
      </c>
      <c r="P50">
        <f>IFERROR(INDEX('DRAFT 1'!$L:$L,MATCH($B50,'DRAFT 1'!$B:$B,0)),"")</f>
        <v/>
      </c>
      <c r="Q50">
        <f>IFERROR(INDEX('DRAFT 1'!$M:$M,MATCH($B50,'DRAFT 1'!$B:$B,0)),"")</f>
        <v/>
      </c>
      <c r="R50">
        <f>IFERROR(INDEX('DRAFT 1'!$N:$N,MATCH($B50,'DRAFT 1'!$B:$B,0)),"")</f>
        <v/>
      </c>
      <c r="S50">
        <f>IFERROR(INDEX('DRAFT 1'!$O:$O,MATCH($B50,'DRAFT 1'!$B:$B,0)),"")</f>
        <v/>
      </c>
      <c r="T50">
        <f>IFERROR(INDEX('DRAFT 1'!$P:$P,MATCH($B50,'DRAFT 1'!$B:$B,0)),"")</f>
        <v/>
      </c>
      <c r="U50">
        <f>IFERROR(INDEX('DRAFT 1'!$Q:$Q,MATCH($B50,'DRAFT 1'!$B:$B,0)),"")</f>
        <v/>
      </c>
      <c r="V50">
        <f>IFERROR(INDEX('DRAFT 1'!$R:$R,MATCH($B50,'DRAFT 1'!$B:$B,0)),"")</f>
        <v/>
      </c>
      <c r="W50">
        <f>IFERROR(INDEX('DRAFT 1'!$S:$S,MATCH($B50,'DRAFT 1'!$B:$B,0)),"")</f>
        <v/>
      </c>
      <c r="X50">
        <f>IFERROR(INDEX('DRAFT 1'!$T:$T,MATCH($B50,'DRAFT 1'!$B:$B,0)),"")</f>
        <v/>
      </c>
      <c r="Z50">
        <f>IFERROR(INDEX('DRAFT 1'!$U:$U,MATCH($B50,'DRAFT 1'!$B:$B,0)),"")</f>
        <v/>
      </c>
      <c r="AA50">
        <f>IFERROR(INDEX('DRAFT 1'!$V:$V,MATCH($B50,'DRAFT 1'!$B:$B,0)),"")</f>
        <v/>
      </c>
      <c r="AB50">
        <f>IFERROR(INDEX('DRAFT 1'!$W:$W,MATCH($B50,'DRAFT 1'!$B:$B,0)),"")</f>
        <v/>
      </c>
      <c r="AC50">
        <f>IFERROR(INDEX('DRAFT 1'!$X:$X,MATCH($B50,'DRAFT 1'!$B:$B,0)),"")</f>
        <v/>
      </c>
      <c r="AD50">
        <f>IFERROR(INDEX('DRAFT 1'!$Y:$Y,MATCH($B50,'DRAFT 1'!$B:$B,0)),"")</f>
        <v/>
      </c>
      <c r="AE50">
        <f>IFERROR(INDEX('DRAFT 1'!$Z:$Z,MATCH($B50,'DRAFT 1'!$B:$B,0)),"")</f>
        <v/>
      </c>
      <c r="AF50">
        <f>IFERROR(INDEX('DRAFT 1'!$AA:$AA,MATCH($B50,'DRAFT 1'!$B:$B,0)),"")</f>
        <v/>
      </c>
      <c r="AG50">
        <f>IFERROR(INDEX('DRAFT 1'!$AB:$AB,MATCH($B50,'DRAFT 1'!$B:$B,0)),"")</f>
        <v/>
      </c>
      <c r="AH50">
        <f>IFERROR(INDEX('DRAFT 1'!$AC:$AC,MATCH($B50,'DRAFT 1'!$B:$B,0)),"")</f>
        <v/>
      </c>
      <c r="AI50">
        <f>IFERROR(INDEX('DRAFT 1'!$AD:$AD,MATCH($B50,'DRAFT 1'!$B:$B,0)),"")</f>
        <v/>
      </c>
      <c r="AJ50">
        <f>IFERROR(INDEX('DRAFT 1'!$AE:$AE,MATCH($B50,'DRAFT 1'!$B:$B,0)),"")</f>
        <v/>
      </c>
      <c r="AK50">
        <f>IFERROR(INDEX('DRAFT 1'!$AG:$AG,MATCH($B50,'DRAFT 1'!$B:$B,0)),"")</f>
        <v/>
      </c>
      <c r="AL50">
        <f>IFERROR(INDEX('DRAFT 1'!$AH:$AH,MATCH($B50,'DRAFT 1'!$B:$B,0)),"")</f>
        <v/>
      </c>
      <c r="AM50">
        <f>IFERROR(INDEX('DRAFT 1'!$AI:$AI,MATCH($B50,'DRAFT 1'!$B:$B,0)),"")</f>
        <v/>
      </c>
      <c r="AN50">
        <f>IFERROR(INDEX('DRAFT 1'!$AJ:$AJ,MATCH($B50,'DRAFT 1'!$B:$B,0)),"")</f>
        <v/>
      </c>
      <c r="AO50">
        <f>IFERROR(Y50/AN50,0)</f>
        <v/>
      </c>
      <c r="AP50">
        <f>IFERROR(INDEX('DRAFT 1'!$AK:$AK,MATCH($B50,'DRAFT 1'!$B:$B,0)),"")</f>
        <v/>
      </c>
      <c r="AR50" t="inlineStr">
        <is>
          <t>RECOMPRA</t>
        </is>
      </c>
      <c r="AS50">
        <f>IFERROR(LOOKUP(2,1/('DRAFT 2'!$D:$D=$B50),'DRAFT 2'!$T:$T),"")</f>
        <v/>
      </c>
      <c r="AT50">
        <f>IFERROR(LOOKUP(2,1/('DRAFT 2'!$D:$D=$B50),'DRAFT 2'!$A:$A),"")</f>
        <v/>
      </c>
      <c r="AU50">
        <f>IFERROR(LOOKUP(2,1/('DRAFT 2'!$D:$D=$B50),'DRAFT 2'!$R:$R),"")</f>
        <v/>
      </c>
      <c r="AV50">
        <f>IFERROR(LOOKUP(2,1/('DRAFT 2'!$D:$D=$B50),'DRAFT 2'!$S:$S),"")</f>
        <v/>
      </c>
      <c r="AW50" t="inlineStr">
        <is>
          <t>LEAD</t>
        </is>
      </c>
      <c r="AX50">
        <f>IFERROR(LOOKUP(2,1/('DRAFT 2'!$D:$D=$B50),'DRAFT 2'!$M:$M),"")</f>
        <v/>
      </c>
      <c r="AY50">
        <f>IFERROR(LOOKUP(2,1/('DRAFT 2'!$D:$D=$B50),'DRAFT 2'!$K:$K),"")</f>
        <v/>
      </c>
      <c r="BG50">
        <f>IFERROR(LOOKUP(2,1/('DRAFT 2'!$D:$D=$B50),'DRAFT 2'!$U:$U),"")</f>
        <v/>
      </c>
      <c r="BH50">
        <f>IFERROR(LOOKUP(2,1/('DRAFT 2'!$D:$D=$B50),'DRAFT 2'!$V:$V),"")</f>
        <v/>
      </c>
      <c r="CE50">
        <f>IFERROR(AJ50,0)</f>
        <v/>
      </c>
      <c r="CF50">
        <f>IFERROR(LOOKUP(2,1/('DRAFT 2'!$D:$D=$B50)*('DRAFT 2'!$A:$A&gt;=DATE(2026,1,1))*('DRAFT 2'!$A:$A&lt;DATE(2026,IF(1=12,1+1,1+1),1)),'DRAFT 2'!$A:$A),"")</f>
        <v/>
      </c>
      <c r="CG50">
        <f>COUNTIFS('DRAFT 2'!$D:$D,$B50,'DRAFT 2'!$A:$A,"&gt;="&amp;DATE(2026,1,1),'DRAFT 2'!$A:$A,"&lt;="&amp;DATE(2026,1,7))</f>
        <v/>
      </c>
      <c r="CH50">
        <f>COUNTIFS('DRAFT 2'!$D:$D,$B50,'DRAFT 2'!$A:$A,"&gt;="&amp;DATE(2026,1,8),'DRAFT 2'!$A:$A,"&lt;="&amp;DATE(2026,1,14))</f>
        <v/>
      </c>
      <c r="CI50">
        <f>COUNTIFS('DRAFT 2'!$D:$D,$B50,'DRAFT 2'!$A:$A,"&gt;="&amp;DATE(2026,1,15),'DRAFT 2'!$A:$A,"&lt;="&amp;DATE(2026,1,21))</f>
        <v/>
      </c>
      <c r="CJ50">
        <f>COUNTIFS('DRAFT 2'!$D:$D,$B50,'DRAFT 2'!$A:$A,"&gt;="&amp;DATE(2026,1,22),'DRAFT 2'!$A:$A,"&lt;"&amp;DATE(2026,IF(1=12,1+1,1+1),1))</f>
        <v/>
      </c>
      <c r="CK50">
        <f>SUM(CG50:CJ50)</f>
        <v/>
      </c>
      <c r="CT50" t="n">
        <v>0</v>
      </c>
      <c r="CU50">
        <f>IFERROR(LOOKUP(2,1/('DRAFT 2'!$D:$D=$B50)*('DRAFT 2'!$A:$A&gt;=DATE(2026,2,1))*('DRAFT 2'!$A:$A&lt;DATE(2026,IF(2=12,2+1,2+1),1)),'DRAFT 2'!$A:$A),"")</f>
        <v/>
      </c>
      <c r="CV50">
        <f>COUNTIFS('DRAFT 2'!$D:$D,$B50,'DRAFT 2'!$A:$A,"&gt;="&amp;DATE(2026,2,1),'DRAFT 2'!$A:$A,"&lt;="&amp;DATE(2026,2,7))</f>
        <v/>
      </c>
      <c r="CW50">
        <f>COUNTIFS('DRAFT 2'!$D:$D,$B50,'DRAFT 2'!$A:$A,"&gt;="&amp;DATE(2026,2,8),'DRAFT 2'!$A:$A,"&lt;="&amp;DATE(2026,2,14))</f>
        <v/>
      </c>
      <c r="CX50">
        <f>COUNTIFS('DRAFT 2'!$D:$D,$B50,'DRAFT 2'!$A:$A,"&gt;="&amp;DATE(2026,2,15),'DRAFT 2'!$A:$A,"&lt;="&amp;DATE(2026,2,21))</f>
        <v/>
      </c>
      <c r="CY50">
        <f>COUNTIFS('DRAFT 2'!$D:$D,$B50,'DRAFT 2'!$A:$A,"&gt;="&amp;DATE(2026,2,22),'DRAFT 2'!$A:$A,"&lt;"&amp;DATE(2026,IF(2=12,2+1,2+1),1))</f>
        <v/>
      </c>
      <c r="CZ50">
        <f>SUM(CV50:CY50)</f>
        <v/>
      </c>
      <c r="DJ50">
        <f>IFERROR(LOOKUP(2,1/('DRAFT 2'!$D:$D=$B50)*('DRAFT 2'!$A:$A&gt;=DATE(2026,3,1))*('DRAFT 2'!$A:$A&lt;DATE(2026,IF(3=12,3+1,3+1),1)),'DRAFT 2'!$A:$A),"")</f>
        <v/>
      </c>
      <c r="DK50">
        <f>COUNTIFS('DRAFT 2'!$D:$D,$B50,'DRAFT 2'!$A:$A,"&gt;="&amp;DATE(2026,3,1),'DRAFT 2'!$A:$A,"&lt;="&amp;DATE(2026,3,7))</f>
        <v/>
      </c>
      <c r="DL50">
        <f>COUNTIFS('DRAFT 2'!$D:$D,$B50,'DRAFT 2'!$A:$A,"&gt;="&amp;DATE(2026,3,8),'DRAFT 2'!$A:$A,"&lt;="&amp;DATE(2026,3,14))</f>
        <v/>
      </c>
      <c r="DM50">
        <f>COUNTIFS('DRAFT 2'!$D:$D,$B50,'DRAFT 2'!$A:$A,"&gt;="&amp;DATE(2026,3,15),'DRAFT 2'!$A:$A,"&lt;="&amp;DATE(2026,3,21))</f>
        <v/>
      </c>
      <c r="DN50">
        <f>COUNTIFS('DRAFT 2'!$D:$D,$B50,'DRAFT 2'!$A:$A,"&gt;="&amp;DATE(2026,3,22),'DRAFT 2'!$A:$A,"&lt;"&amp;DATE(2026,IF(3=12,3+1,3+1),1))</f>
        <v/>
      </c>
      <c r="DO50">
        <f>SUM(DK50:DN50)</f>
        <v/>
      </c>
      <c r="DZ50">
        <f>IFERROR(LOOKUP(2,1/('DRAFT 2'!$D:$D=$B50)*('DRAFT 2'!$A:$A&gt;=DATE(2026,4,1))*('DRAFT 2'!$A:$A&lt;DATE(2026,IF(4=12,4+1,4+1),1)),'DRAFT 2'!$A:$A),"")</f>
        <v/>
      </c>
      <c r="EA50">
        <f>COUNTIFS('DRAFT 2'!$D:$D,$B50,'DRAFT 2'!$A:$A,"&gt;="&amp;DATE(2026,4,1),'DRAFT 2'!$A:$A,"&lt;="&amp;DATE(2026,4,7))</f>
        <v/>
      </c>
      <c r="EB50">
        <f>COUNTIFS('DRAFT 2'!$D:$D,$B50,'DRAFT 2'!$A:$A,"&gt;="&amp;DATE(2026,4,8),'DRAFT 2'!$A:$A,"&lt;="&amp;DATE(2026,4,14))</f>
        <v/>
      </c>
      <c r="EC50">
        <f>COUNTIFS('DRAFT 2'!$D:$D,$B50,'DRAFT 2'!$A:$A,"&gt;="&amp;DATE(2026,4,15),'DRAFT 2'!$A:$A,"&lt;="&amp;DATE(2026,4,21))</f>
        <v/>
      </c>
      <c r="ED50">
        <f>COUNTIFS('DRAFT 2'!$D:$D,$B50,'DRAFT 2'!$A:$A,"&gt;="&amp;DATE(2026,4,22),'DRAFT 2'!$A:$A,"&lt;"&amp;DATE(2026,IF(4=12,4+1,4+1),1))</f>
        <v/>
      </c>
      <c r="EE50">
        <f>SUM(EA50:ED50)</f>
        <v/>
      </c>
      <c r="EO50">
        <f>IFERROR(LOOKUP(2,1/('DRAFT 2'!$D:$D=$B50)*('DRAFT 2'!$A:$A&gt;=DATE(2026,5,1))*('DRAFT 2'!$A:$A&lt;DATE(2026,IF(5=12,5+1,5+1),1)),'DRAFT 2'!$A:$A),"")</f>
        <v/>
      </c>
      <c r="EP50">
        <f>COUNTIFS('DRAFT 2'!$D:$D,$B50,'DRAFT 2'!$A:$A,"&gt;="&amp;DATE(2026,5,1),'DRAFT 2'!$A:$A,"&lt;="&amp;DATE(2026,5,7))</f>
        <v/>
      </c>
      <c r="EQ50">
        <f>COUNTIFS('DRAFT 2'!$D:$D,$B50,'DRAFT 2'!$A:$A,"&gt;="&amp;DATE(2026,5,8),'DRAFT 2'!$A:$A,"&lt;="&amp;DATE(2026,5,14))</f>
        <v/>
      </c>
      <c r="ER50">
        <f>COUNTIFS('DRAFT 2'!$D:$D,$B50,'DRAFT 2'!$A:$A,"&gt;="&amp;DATE(2026,5,15),'DRAFT 2'!$A:$A,"&lt;="&amp;DATE(2026,5,21))</f>
        <v/>
      </c>
      <c r="ES50">
        <f>COUNTIFS('DRAFT 2'!$D:$D,$B50,'DRAFT 2'!$A:$A,"&gt;="&amp;DATE(2026,5,22),'DRAFT 2'!$A:$A,"&lt;"&amp;DATE(2026,IF(5=12,5+1,5+1),1))</f>
        <v/>
      </c>
      <c r="ET50">
        <f>SUM(EP50:ES50)</f>
        <v/>
      </c>
      <c r="FD50">
        <f>IFERROR(LOOKUP(2,1/('DRAFT 2'!$D:$D=$B50)*('DRAFT 2'!$A:$A&gt;=DATE(2026,6,1))*('DRAFT 2'!$A:$A&lt;DATE(2026,IF(6=12,6+1,6+1),1)),'DRAFT 2'!$A:$A),"")</f>
        <v/>
      </c>
      <c r="FE50">
        <f>COUNTIFS('DRAFT 2'!$D:$D,$B50,'DRAFT 2'!$A:$A,"&gt;="&amp;DATE(2026,6,1),'DRAFT 2'!$A:$A,"&lt;="&amp;DATE(2026,6,7))</f>
        <v/>
      </c>
      <c r="FF50">
        <f>COUNTIFS('DRAFT 2'!$D:$D,$B50,'DRAFT 2'!$A:$A,"&gt;="&amp;DATE(2026,6,8),'DRAFT 2'!$A:$A,"&lt;="&amp;DATE(2026,6,14))</f>
        <v/>
      </c>
      <c r="FG50">
        <f>COUNTIFS('DRAFT 2'!$D:$D,$B50,'DRAFT 2'!$A:$A,"&gt;="&amp;DATE(2026,6,15),'DRAFT 2'!$A:$A,"&lt;="&amp;DATE(2026,6,21))</f>
        <v/>
      </c>
      <c r="FH50">
        <f>COUNTIFS('DRAFT 2'!$D:$D,$B50,'DRAFT 2'!$A:$A,"&gt;="&amp;DATE(2026,6,22),'DRAFT 2'!$A:$A,"&lt;"&amp;DATE(2026,IF(6=12,6+1,6+1),1))</f>
        <v/>
      </c>
      <c r="FI50">
        <f>SUM(FE50:FH50)</f>
        <v/>
      </c>
      <c r="FT50">
        <f>IFERROR(LOOKUP(2,1/('DRAFT 2'!$D:$D=$B50)*('DRAFT 2'!$A:$A&gt;=DATE(2026,7,1))*('DRAFT 2'!$A:$A&lt;DATE(2026,IF(7=12,7+1,7+1),1)),'DRAFT 2'!$A:$A),"")</f>
        <v/>
      </c>
      <c r="FU50">
        <f>COUNTIFS('DRAFT 2'!$D:$D,$B50,'DRAFT 2'!$A:$A,"&gt;="&amp;DATE(2026,7,1),'DRAFT 2'!$A:$A,"&lt;="&amp;DATE(2026,7,7))</f>
        <v/>
      </c>
      <c r="FV50">
        <f>COUNTIFS('DRAFT 2'!$D:$D,$B50,'DRAFT 2'!$A:$A,"&gt;="&amp;DATE(2026,7,8),'DRAFT 2'!$A:$A,"&lt;="&amp;DATE(2026,7,14))</f>
        <v/>
      </c>
      <c r="FW50">
        <f>COUNTIFS('DRAFT 2'!$D:$D,$B50,'DRAFT 2'!$A:$A,"&gt;="&amp;DATE(2026,7,15),'DRAFT 2'!$A:$A,"&lt;="&amp;DATE(2026,7,21))</f>
        <v/>
      </c>
      <c r="FX50">
        <f>COUNTIFS('DRAFT 2'!$D:$D,$B50,'DRAFT 2'!$A:$A,"&gt;="&amp;DATE(2026,7,22),'DRAFT 2'!$A:$A,"&lt;"&amp;DATE(2026,IF(7=12,7+1,7+1),1))</f>
        <v/>
      </c>
      <c r="FY50">
        <f>SUM(FU50:FX50)</f>
        <v/>
      </c>
      <c r="GI50">
        <f>IFERROR(LOOKUP(2,1/('DRAFT 2'!$D:$D=$B50)*('DRAFT 2'!$A:$A&gt;=DATE(2026,8,1))*('DRAFT 2'!$A:$A&lt;DATE(2026,IF(8=12,8+1,8+1),1)),'DRAFT 2'!$A:$A),"")</f>
        <v/>
      </c>
      <c r="GJ50">
        <f>COUNTIFS('DRAFT 2'!$D:$D,$B50,'DRAFT 2'!$A:$A,"&gt;="&amp;DATE(2026,8,1),'DRAFT 2'!$A:$A,"&lt;="&amp;DATE(2026,8,7))</f>
        <v/>
      </c>
      <c r="GK50">
        <f>COUNTIFS('DRAFT 2'!$D:$D,$B50,'DRAFT 2'!$A:$A,"&gt;="&amp;DATE(2026,8,8),'DRAFT 2'!$A:$A,"&lt;="&amp;DATE(2026,8,14))</f>
        <v/>
      </c>
      <c r="GL50">
        <f>COUNTIFS('DRAFT 2'!$D:$D,$B50,'DRAFT 2'!$A:$A,"&gt;="&amp;DATE(2026,8,15),'DRAFT 2'!$A:$A,"&lt;="&amp;DATE(2026,8,21))</f>
        <v/>
      </c>
      <c r="GM50">
        <f>COUNTIFS('DRAFT 2'!$D:$D,$B50,'DRAFT 2'!$A:$A,"&gt;="&amp;DATE(2026,8,22),'DRAFT 2'!$A:$A,"&lt;"&amp;DATE(2026,IF(8=12,8+1,8+1),1))</f>
        <v/>
      </c>
      <c r="GN50">
        <f>SUM(GJ50:GM50)</f>
        <v/>
      </c>
      <c r="GX50">
        <f>IFERROR(LOOKUP(2,1/('DRAFT 2'!$D:$D=$B50)*('DRAFT 2'!$A:$A&gt;=DATE(2026,9,1))*('DRAFT 2'!$A:$A&lt;DATE(2026,IF(9=12,9+1,9+1),1)),'DRAFT 2'!$A:$A),"")</f>
        <v/>
      </c>
      <c r="GY50">
        <f>COUNTIFS('DRAFT 2'!$D:$D,$B50,'DRAFT 2'!$A:$A,"&gt;="&amp;DATE(2026,9,1),'DRAFT 2'!$A:$A,"&lt;="&amp;DATE(2026,9,7))</f>
        <v/>
      </c>
      <c r="GZ50">
        <f>COUNTIFS('DRAFT 2'!$D:$D,$B50,'DRAFT 2'!$A:$A,"&gt;="&amp;DATE(2026,9,8),'DRAFT 2'!$A:$A,"&lt;="&amp;DATE(2026,9,14))</f>
        <v/>
      </c>
      <c r="HA50">
        <f>COUNTIFS('DRAFT 2'!$D:$D,$B50,'DRAFT 2'!$A:$A,"&gt;="&amp;DATE(2026,9,15),'DRAFT 2'!$A:$A,"&lt;="&amp;DATE(2026,9,21))</f>
        <v/>
      </c>
      <c r="HB50">
        <f>COUNTIFS('DRAFT 2'!$D:$D,$B50,'DRAFT 2'!$A:$A,"&gt;="&amp;DATE(2026,9,22),'DRAFT 2'!$A:$A,"&lt;"&amp;DATE(2026,IF(9=12,9+1,9+1),1))</f>
        <v/>
      </c>
      <c r="HC50">
        <f>SUM(GY50:HB50)</f>
        <v/>
      </c>
      <c r="HN50">
        <f>IFERROR(LOOKUP(2,1/('DRAFT 2'!$D:$D=$B50)*('DRAFT 2'!$A:$A&gt;=DATE(2026,10,1))*('DRAFT 2'!$A:$A&lt;DATE(2026,IF(10=12,10+1,10+1),1)),'DRAFT 2'!$A:$A),"")</f>
        <v/>
      </c>
      <c r="HO50">
        <f>COUNTIFS('DRAFT 2'!$D:$D,$B50,'DRAFT 2'!$A:$A,"&gt;="&amp;DATE(2026,10,1),'DRAFT 2'!$A:$A,"&lt;="&amp;DATE(2026,10,7))</f>
        <v/>
      </c>
      <c r="HP50">
        <f>COUNTIFS('DRAFT 2'!$D:$D,$B50,'DRAFT 2'!$A:$A,"&gt;="&amp;DATE(2026,10,8),'DRAFT 2'!$A:$A,"&lt;="&amp;DATE(2026,10,14))</f>
        <v/>
      </c>
      <c r="HQ50">
        <f>COUNTIFS('DRAFT 2'!$D:$D,$B50,'DRAFT 2'!$A:$A,"&gt;="&amp;DATE(2026,10,15),'DRAFT 2'!$A:$A,"&lt;="&amp;DATE(2026,10,21))</f>
        <v/>
      </c>
      <c r="HR50">
        <f>COUNTIFS('DRAFT 2'!$D:$D,$B50,'DRAFT 2'!$A:$A,"&gt;="&amp;DATE(2026,10,22),'DRAFT 2'!$A:$A,"&lt;"&amp;DATE(2026,IF(10=12,10+1,10+1),1))</f>
        <v/>
      </c>
      <c r="HS50">
        <f>SUM(HO50:HR50)</f>
        <v/>
      </c>
      <c r="IC50">
        <f>IFERROR(LOOKUP(2,1/('DRAFT 2'!$D:$D=$B50)*('DRAFT 2'!$A:$A&gt;=DATE(2026,11,1))*('DRAFT 2'!$A:$A&lt;DATE(2026,IF(11=12,11+1,11+1),1)),'DRAFT 2'!$A:$A),"")</f>
        <v/>
      </c>
      <c r="ID50">
        <f>COUNTIFS('DRAFT 2'!$D:$D,$B50,'DRAFT 2'!$A:$A,"&gt;="&amp;DATE(2026,11,1),'DRAFT 2'!$A:$A,"&lt;="&amp;DATE(2026,11,7))</f>
        <v/>
      </c>
      <c r="IE50">
        <f>COUNTIFS('DRAFT 2'!$D:$D,$B50,'DRAFT 2'!$A:$A,"&gt;="&amp;DATE(2026,11,8),'DRAFT 2'!$A:$A,"&lt;="&amp;DATE(2026,11,14))</f>
        <v/>
      </c>
      <c r="IF50">
        <f>COUNTIFS('DRAFT 2'!$D:$D,$B50,'DRAFT 2'!$A:$A,"&gt;="&amp;DATE(2026,11,15),'DRAFT 2'!$A:$A,"&lt;="&amp;DATE(2026,11,21))</f>
        <v/>
      </c>
      <c r="IG50">
        <f>COUNTIFS('DRAFT 2'!$D:$D,$B50,'DRAFT 2'!$A:$A,"&gt;="&amp;DATE(2026,11,22),'DRAFT 2'!$A:$A,"&lt;"&amp;DATE(2026,IF(11=12,11+1,11+1),1))</f>
        <v/>
      </c>
      <c r="IH50">
        <f>SUM(ID50:IG50)</f>
        <v/>
      </c>
      <c r="IR50">
        <f>IFERROR(LOOKUP(2,1/('DRAFT 2'!$D:$D=$B50)*('DRAFT 2'!$A:$A&gt;=DATE(2026,12,1))*('DRAFT 2'!$A:$A&lt;DATE(2026,IF(12=12,12+1,12+1),1)),'DRAFT 2'!$A:$A),"")</f>
        <v/>
      </c>
      <c r="IS50">
        <f>COUNTIFS('DRAFT 2'!$D:$D,$B50,'DRAFT 2'!$A:$A,"&gt;="&amp;DATE(2026,12,1),'DRAFT 2'!$A:$A,"&lt;="&amp;DATE(2026,12,7))</f>
        <v/>
      </c>
      <c r="IT50">
        <f>COUNTIFS('DRAFT 2'!$D:$D,$B50,'DRAFT 2'!$A:$A,"&gt;="&amp;DATE(2026,12,8),'DRAFT 2'!$A:$A,"&lt;="&amp;DATE(2026,12,14))</f>
        <v/>
      </c>
      <c r="IU50">
        <f>COUNTIFS('DRAFT 2'!$D:$D,$B50,'DRAFT 2'!$A:$A,"&gt;="&amp;DATE(2026,12,15),'DRAFT 2'!$A:$A,"&lt;="&amp;DATE(2026,12,21))</f>
        <v/>
      </c>
      <c r="IV50">
        <f>COUNTIFS('DRAFT 2'!$D:$D,$B50,'DRAFT 2'!$A:$A,"&gt;="&amp;DATE(2026,12,22),'DRAFT 2'!$A:$A,"&lt;"&amp;DATE(2026,IF(12=12,12+1,12+1),1))</f>
        <v/>
      </c>
      <c r="IW50">
        <f>SUM(IS50:IV50)</f>
        <v/>
      </c>
    </row>
    <row r="51">
      <c r="A51">
        <f>IFERROR(INDEX('DRAFT 1'!$A:$A,MATCH($B51,'DRAFT 1'!$B:$B,0)),"")</f>
        <v/>
      </c>
      <c r="C51">
        <f>IFERROR(INDEX('DRAFT 1'!$C:$C,MATCH($B51,'DRAFT 1'!$B:$B,0)),"")</f>
        <v/>
      </c>
      <c r="D51">
        <f>IFERROR(INDEX('DRAFT 1'!$D:$D,MATCH($B51,'DRAFT 1'!$B:$B,0)),"")</f>
        <v/>
      </c>
      <c r="E51">
        <f>IFERROR(INDEX('DRAFT 1'!$E:$E,MATCH($B51,'DRAFT 1'!$B:$B,0)),"")</f>
        <v/>
      </c>
      <c r="F51">
        <f>IFERROR(INDEX('DRAFT 1'!$F:$F,MATCH($B51,'DRAFT 1'!$B:$B,0)),"")</f>
        <v/>
      </c>
      <c r="G51">
        <f>IFERROR(INDEX('DRAFT 1'!$G:$G,MATCH($B51,'DRAFT 1'!$B:$B,0)),"")</f>
        <v/>
      </c>
      <c r="H51">
        <f>IFERROR(INDEX('DRAFT 1'!$H:$H,MATCH($B51,'DRAFT 1'!$B:$B,0)),"")</f>
        <v/>
      </c>
      <c r="I51" t="inlineStr">
        <is>
          <t>CIA DA SAUDE</t>
        </is>
      </c>
      <c r="K51">
        <f>IFERROR(INDEX('DRAFT 1'!$AL:$AL,MATCH($B51,'DRAFT 1'!$B:$B,0)),"")</f>
        <v/>
      </c>
      <c r="L51">
        <f>IFERROR(INDEX('DRAFT 1'!$J:$J,MATCH($B51,'DRAFT 1'!$B:$B,0)),"")</f>
        <v/>
      </c>
      <c r="M51">
        <f>IFERROR(INDEX('DRAFT 1'!$K:$K,MATCH($B51,'DRAFT 1'!$B:$B,0)),"")</f>
        <v/>
      </c>
      <c r="N51" t="inlineStr">
        <is>
          <t>ATIVO</t>
        </is>
      </c>
      <c r="P51">
        <f>IFERROR(INDEX('DRAFT 1'!$L:$L,MATCH($B51,'DRAFT 1'!$B:$B,0)),"")</f>
        <v/>
      </c>
      <c r="Q51">
        <f>IFERROR(INDEX('DRAFT 1'!$M:$M,MATCH($B51,'DRAFT 1'!$B:$B,0)),"")</f>
        <v/>
      </c>
      <c r="R51">
        <f>IFERROR(INDEX('DRAFT 1'!$N:$N,MATCH($B51,'DRAFT 1'!$B:$B,0)),"")</f>
        <v/>
      </c>
      <c r="S51">
        <f>IFERROR(INDEX('DRAFT 1'!$O:$O,MATCH($B51,'DRAFT 1'!$B:$B,0)),"")</f>
        <v/>
      </c>
      <c r="T51">
        <f>IFERROR(INDEX('DRAFT 1'!$P:$P,MATCH($B51,'DRAFT 1'!$B:$B,0)),"")</f>
        <v/>
      </c>
      <c r="U51">
        <f>IFERROR(INDEX('DRAFT 1'!$Q:$Q,MATCH($B51,'DRAFT 1'!$B:$B,0)),"")</f>
        <v/>
      </c>
      <c r="V51">
        <f>IFERROR(INDEX('DRAFT 1'!$R:$R,MATCH($B51,'DRAFT 1'!$B:$B,0)),"")</f>
        <v/>
      </c>
      <c r="W51">
        <f>IFERROR(INDEX('DRAFT 1'!$S:$S,MATCH($B51,'DRAFT 1'!$B:$B,0)),"")</f>
        <v/>
      </c>
      <c r="X51">
        <f>IFERROR(INDEX('DRAFT 1'!$T:$T,MATCH($B51,'DRAFT 1'!$B:$B,0)),"")</f>
        <v/>
      </c>
      <c r="Z51">
        <f>IFERROR(INDEX('DRAFT 1'!$U:$U,MATCH($B51,'DRAFT 1'!$B:$B,0)),"")</f>
        <v/>
      </c>
      <c r="AA51">
        <f>IFERROR(INDEX('DRAFT 1'!$V:$V,MATCH($B51,'DRAFT 1'!$B:$B,0)),"")</f>
        <v/>
      </c>
      <c r="AB51">
        <f>IFERROR(INDEX('DRAFT 1'!$W:$W,MATCH($B51,'DRAFT 1'!$B:$B,0)),"")</f>
        <v/>
      </c>
      <c r="AC51">
        <f>IFERROR(INDEX('DRAFT 1'!$X:$X,MATCH($B51,'DRAFT 1'!$B:$B,0)),"")</f>
        <v/>
      </c>
      <c r="AD51">
        <f>IFERROR(INDEX('DRAFT 1'!$Y:$Y,MATCH($B51,'DRAFT 1'!$B:$B,0)),"")</f>
        <v/>
      </c>
      <c r="AE51">
        <f>IFERROR(INDEX('DRAFT 1'!$Z:$Z,MATCH($B51,'DRAFT 1'!$B:$B,0)),"")</f>
        <v/>
      </c>
      <c r="AF51">
        <f>IFERROR(INDEX('DRAFT 1'!$AA:$AA,MATCH($B51,'DRAFT 1'!$B:$B,0)),"")</f>
        <v/>
      </c>
      <c r="AG51">
        <f>IFERROR(INDEX('DRAFT 1'!$AB:$AB,MATCH($B51,'DRAFT 1'!$B:$B,0)),"")</f>
        <v/>
      </c>
      <c r="AH51">
        <f>IFERROR(INDEX('DRAFT 1'!$AC:$AC,MATCH($B51,'DRAFT 1'!$B:$B,0)),"")</f>
        <v/>
      </c>
      <c r="AI51">
        <f>IFERROR(INDEX('DRAFT 1'!$AD:$AD,MATCH($B51,'DRAFT 1'!$B:$B,0)),"")</f>
        <v/>
      </c>
      <c r="AJ51">
        <f>IFERROR(INDEX('DRAFT 1'!$AE:$AE,MATCH($B51,'DRAFT 1'!$B:$B,0)),"")</f>
        <v/>
      </c>
      <c r="AK51">
        <f>IFERROR(INDEX('DRAFT 1'!$AG:$AG,MATCH($B51,'DRAFT 1'!$B:$B,0)),"")</f>
        <v/>
      </c>
      <c r="AL51">
        <f>IFERROR(INDEX('DRAFT 1'!$AH:$AH,MATCH($B51,'DRAFT 1'!$B:$B,0)),"")</f>
        <v/>
      </c>
      <c r="AM51">
        <f>IFERROR(INDEX('DRAFT 1'!$AI:$AI,MATCH($B51,'DRAFT 1'!$B:$B,0)),"")</f>
        <v/>
      </c>
      <c r="AN51">
        <f>IFERROR(INDEX('DRAFT 1'!$AJ:$AJ,MATCH($B51,'DRAFT 1'!$B:$B,0)),"")</f>
        <v/>
      </c>
      <c r="AO51">
        <f>IFERROR(Y51/AN51,0)</f>
        <v/>
      </c>
      <c r="AP51">
        <f>IFERROR(INDEX('DRAFT 1'!$AK:$AK,MATCH($B51,'DRAFT 1'!$B:$B,0)),"")</f>
        <v/>
      </c>
      <c r="AR51" t="inlineStr">
        <is>
          <t>PROSPECÇÃO</t>
        </is>
      </c>
      <c r="AS51">
        <f>IFERROR(LOOKUP(2,1/('DRAFT 2'!$D:$D=$B51),'DRAFT 2'!$T:$T),"")</f>
        <v/>
      </c>
      <c r="AT51">
        <f>IFERROR(LOOKUP(2,1/('DRAFT 2'!$D:$D=$B51),'DRAFT 2'!$A:$A),"")</f>
        <v/>
      </c>
      <c r="AU51">
        <f>IFERROR(LOOKUP(2,1/('DRAFT 2'!$D:$D=$B51),'DRAFT 2'!$R:$R),"")</f>
        <v/>
      </c>
      <c r="AV51">
        <f>IFERROR(LOOKUP(2,1/('DRAFT 2'!$D:$D=$B51),'DRAFT 2'!$S:$S),"")</f>
        <v/>
      </c>
      <c r="AW51" t="inlineStr">
        <is>
          <t>PROSPECT</t>
        </is>
      </c>
      <c r="AX51">
        <f>IFERROR(LOOKUP(2,1/('DRAFT 2'!$D:$D=$B51),'DRAFT 2'!$M:$M),"")</f>
        <v/>
      </c>
      <c r="AY51">
        <f>IFERROR(LOOKUP(2,1/('DRAFT 2'!$D:$D=$B51),'DRAFT 2'!$K:$K),"")</f>
        <v/>
      </c>
      <c r="BG51">
        <f>IFERROR(LOOKUP(2,1/('DRAFT 2'!$D:$D=$B51),'DRAFT 2'!$U:$U),"")</f>
        <v/>
      </c>
      <c r="BH51">
        <f>IFERROR(LOOKUP(2,1/('DRAFT 2'!$D:$D=$B51),'DRAFT 2'!$V:$V),"")</f>
        <v/>
      </c>
      <c r="CE51">
        <f>IFERROR(AJ51,0)</f>
        <v/>
      </c>
      <c r="CF51">
        <f>IFERROR(LOOKUP(2,1/('DRAFT 2'!$D:$D=$B51)*('DRAFT 2'!$A:$A&gt;=DATE(2026,1,1))*('DRAFT 2'!$A:$A&lt;DATE(2026,IF(1=12,1+1,1+1),1)),'DRAFT 2'!$A:$A),"")</f>
        <v/>
      </c>
      <c r="CG51">
        <f>COUNTIFS('DRAFT 2'!$D:$D,$B51,'DRAFT 2'!$A:$A,"&gt;="&amp;DATE(2026,1,1),'DRAFT 2'!$A:$A,"&lt;="&amp;DATE(2026,1,7))</f>
        <v/>
      </c>
      <c r="CH51">
        <f>COUNTIFS('DRAFT 2'!$D:$D,$B51,'DRAFT 2'!$A:$A,"&gt;="&amp;DATE(2026,1,8),'DRAFT 2'!$A:$A,"&lt;="&amp;DATE(2026,1,14))</f>
        <v/>
      </c>
      <c r="CI51">
        <f>COUNTIFS('DRAFT 2'!$D:$D,$B51,'DRAFT 2'!$A:$A,"&gt;="&amp;DATE(2026,1,15),'DRAFT 2'!$A:$A,"&lt;="&amp;DATE(2026,1,21))</f>
        <v/>
      </c>
      <c r="CJ51">
        <f>COUNTIFS('DRAFT 2'!$D:$D,$B51,'DRAFT 2'!$A:$A,"&gt;="&amp;DATE(2026,1,22),'DRAFT 2'!$A:$A,"&lt;"&amp;DATE(2026,IF(1=12,1+1,1+1),1))</f>
        <v/>
      </c>
      <c r="CK51">
        <f>SUM(CG51:CJ51)</f>
        <v/>
      </c>
      <c r="CT51" t="n">
        <v>0</v>
      </c>
      <c r="CU51">
        <f>IFERROR(LOOKUP(2,1/('DRAFT 2'!$D:$D=$B51)*('DRAFT 2'!$A:$A&gt;=DATE(2026,2,1))*('DRAFT 2'!$A:$A&lt;DATE(2026,IF(2=12,2+1,2+1),1)),'DRAFT 2'!$A:$A),"")</f>
        <v/>
      </c>
      <c r="CV51">
        <f>COUNTIFS('DRAFT 2'!$D:$D,$B51,'DRAFT 2'!$A:$A,"&gt;="&amp;DATE(2026,2,1),'DRAFT 2'!$A:$A,"&lt;="&amp;DATE(2026,2,7))</f>
        <v/>
      </c>
      <c r="CW51">
        <f>COUNTIFS('DRAFT 2'!$D:$D,$B51,'DRAFT 2'!$A:$A,"&gt;="&amp;DATE(2026,2,8),'DRAFT 2'!$A:$A,"&lt;="&amp;DATE(2026,2,14))</f>
        <v/>
      </c>
      <c r="CX51">
        <f>COUNTIFS('DRAFT 2'!$D:$D,$B51,'DRAFT 2'!$A:$A,"&gt;="&amp;DATE(2026,2,15),'DRAFT 2'!$A:$A,"&lt;="&amp;DATE(2026,2,21))</f>
        <v/>
      </c>
      <c r="CY51">
        <f>COUNTIFS('DRAFT 2'!$D:$D,$B51,'DRAFT 2'!$A:$A,"&gt;="&amp;DATE(2026,2,22),'DRAFT 2'!$A:$A,"&lt;"&amp;DATE(2026,IF(2=12,2+1,2+1),1))</f>
        <v/>
      </c>
      <c r="CZ51">
        <f>SUM(CV51:CY51)</f>
        <v/>
      </c>
      <c r="DJ51">
        <f>IFERROR(LOOKUP(2,1/('DRAFT 2'!$D:$D=$B51)*('DRAFT 2'!$A:$A&gt;=DATE(2026,3,1))*('DRAFT 2'!$A:$A&lt;DATE(2026,IF(3=12,3+1,3+1),1)),'DRAFT 2'!$A:$A),"")</f>
        <v/>
      </c>
      <c r="DK51">
        <f>COUNTIFS('DRAFT 2'!$D:$D,$B51,'DRAFT 2'!$A:$A,"&gt;="&amp;DATE(2026,3,1),'DRAFT 2'!$A:$A,"&lt;="&amp;DATE(2026,3,7))</f>
        <v/>
      </c>
      <c r="DL51">
        <f>COUNTIFS('DRAFT 2'!$D:$D,$B51,'DRAFT 2'!$A:$A,"&gt;="&amp;DATE(2026,3,8),'DRAFT 2'!$A:$A,"&lt;="&amp;DATE(2026,3,14))</f>
        <v/>
      </c>
      <c r="DM51">
        <f>COUNTIFS('DRAFT 2'!$D:$D,$B51,'DRAFT 2'!$A:$A,"&gt;="&amp;DATE(2026,3,15),'DRAFT 2'!$A:$A,"&lt;="&amp;DATE(2026,3,21))</f>
        <v/>
      </c>
      <c r="DN51">
        <f>COUNTIFS('DRAFT 2'!$D:$D,$B51,'DRAFT 2'!$A:$A,"&gt;="&amp;DATE(2026,3,22),'DRAFT 2'!$A:$A,"&lt;"&amp;DATE(2026,IF(3=12,3+1,3+1),1))</f>
        <v/>
      </c>
      <c r="DO51">
        <f>SUM(DK51:DN51)</f>
        <v/>
      </c>
      <c r="DZ51">
        <f>IFERROR(LOOKUP(2,1/('DRAFT 2'!$D:$D=$B51)*('DRAFT 2'!$A:$A&gt;=DATE(2026,4,1))*('DRAFT 2'!$A:$A&lt;DATE(2026,IF(4=12,4+1,4+1),1)),'DRAFT 2'!$A:$A),"")</f>
        <v/>
      </c>
      <c r="EA51">
        <f>COUNTIFS('DRAFT 2'!$D:$D,$B51,'DRAFT 2'!$A:$A,"&gt;="&amp;DATE(2026,4,1),'DRAFT 2'!$A:$A,"&lt;="&amp;DATE(2026,4,7))</f>
        <v/>
      </c>
      <c r="EB51">
        <f>COUNTIFS('DRAFT 2'!$D:$D,$B51,'DRAFT 2'!$A:$A,"&gt;="&amp;DATE(2026,4,8),'DRAFT 2'!$A:$A,"&lt;="&amp;DATE(2026,4,14))</f>
        <v/>
      </c>
      <c r="EC51">
        <f>COUNTIFS('DRAFT 2'!$D:$D,$B51,'DRAFT 2'!$A:$A,"&gt;="&amp;DATE(2026,4,15),'DRAFT 2'!$A:$A,"&lt;="&amp;DATE(2026,4,21))</f>
        <v/>
      </c>
      <c r="ED51">
        <f>COUNTIFS('DRAFT 2'!$D:$D,$B51,'DRAFT 2'!$A:$A,"&gt;="&amp;DATE(2026,4,22),'DRAFT 2'!$A:$A,"&lt;"&amp;DATE(2026,IF(4=12,4+1,4+1),1))</f>
        <v/>
      </c>
      <c r="EE51">
        <f>SUM(EA51:ED51)</f>
        <v/>
      </c>
      <c r="EO51">
        <f>IFERROR(LOOKUP(2,1/('DRAFT 2'!$D:$D=$B51)*('DRAFT 2'!$A:$A&gt;=DATE(2026,5,1))*('DRAFT 2'!$A:$A&lt;DATE(2026,IF(5=12,5+1,5+1),1)),'DRAFT 2'!$A:$A),"")</f>
        <v/>
      </c>
      <c r="EP51">
        <f>COUNTIFS('DRAFT 2'!$D:$D,$B51,'DRAFT 2'!$A:$A,"&gt;="&amp;DATE(2026,5,1),'DRAFT 2'!$A:$A,"&lt;="&amp;DATE(2026,5,7))</f>
        <v/>
      </c>
      <c r="EQ51">
        <f>COUNTIFS('DRAFT 2'!$D:$D,$B51,'DRAFT 2'!$A:$A,"&gt;="&amp;DATE(2026,5,8),'DRAFT 2'!$A:$A,"&lt;="&amp;DATE(2026,5,14))</f>
        <v/>
      </c>
      <c r="ER51">
        <f>COUNTIFS('DRAFT 2'!$D:$D,$B51,'DRAFT 2'!$A:$A,"&gt;="&amp;DATE(2026,5,15),'DRAFT 2'!$A:$A,"&lt;="&amp;DATE(2026,5,21))</f>
        <v/>
      </c>
      <c r="ES51">
        <f>COUNTIFS('DRAFT 2'!$D:$D,$B51,'DRAFT 2'!$A:$A,"&gt;="&amp;DATE(2026,5,22),'DRAFT 2'!$A:$A,"&lt;"&amp;DATE(2026,IF(5=12,5+1,5+1),1))</f>
        <v/>
      </c>
      <c r="ET51">
        <f>SUM(EP51:ES51)</f>
        <v/>
      </c>
      <c r="FD51">
        <f>IFERROR(LOOKUP(2,1/('DRAFT 2'!$D:$D=$B51)*('DRAFT 2'!$A:$A&gt;=DATE(2026,6,1))*('DRAFT 2'!$A:$A&lt;DATE(2026,IF(6=12,6+1,6+1),1)),'DRAFT 2'!$A:$A),"")</f>
        <v/>
      </c>
      <c r="FE51">
        <f>COUNTIFS('DRAFT 2'!$D:$D,$B51,'DRAFT 2'!$A:$A,"&gt;="&amp;DATE(2026,6,1),'DRAFT 2'!$A:$A,"&lt;="&amp;DATE(2026,6,7))</f>
        <v/>
      </c>
      <c r="FF51">
        <f>COUNTIFS('DRAFT 2'!$D:$D,$B51,'DRAFT 2'!$A:$A,"&gt;="&amp;DATE(2026,6,8),'DRAFT 2'!$A:$A,"&lt;="&amp;DATE(2026,6,14))</f>
        <v/>
      </c>
      <c r="FG51">
        <f>COUNTIFS('DRAFT 2'!$D:$D,$B51,'DRAFT 2'!$A:$A,"&gt;="&amp;DATE(2026,6,15),'DRAFT 2'!$A:$A,"&lt;="&amp;DATE(2026,6,21))</f>
        <v/>
      </c>
      <c r="FH51">
        <f>COUNTIFS('DRAFT 2'!$D:$D,$B51,'DRAFT 2'!$A:$A,"&gt;="&amp;DATE(2026,6,22),'DRAFT 2'!$A:$A,"&lt;"&amp;DATE(2026,IF(6=12,6+1,6+1),1))</f>
        <v/>
      </c>
      <c r="FI51">
        <f>SUM(FE51:FH51)</f>
        <v/>
      </c>
      <c r="FT51">
        <f>IFERROR(LOOKUP(2,1/('DRAFT 2'!$D:$D=$B51)*('DRAFT 2'!$A:$A&gt;=DATE(2026,7,1))*('DRAFT 2'!$A:$A&lt;DATE(2026,IF(7=12,7+1,7+1),1)),'DRAFT 2'!$A:$A),"")</f>
        <v/>
      </c>
      <c r="FU51">
        <f>COUNTIFS('DRAFT 2'!$D:$D,$B51,'DRAFT 2'!$A:$A,"&gt;="&amp;DATE(2026,7,1),'DRAFT 2'!$A:$A,"&lt;="&amp;DATE(2026,7,7))</f>
        <v/>
      </c>
      <c r="FV51">
        <f>COUNTIFS('DRAFT 2'!$D:$D,$B51,'DRAFT 2'!$A:$A,"&gt;="&amp;DATE(2026,7,8),'DRAFT 2'!$A:$A,"&lt;="&amp;DATE(2026,7,14))</f>
        <v/>
      </c>
      <c r="FW51">
        <f>COUNTIFS('DRAFT 2'!$D:$D,$B51,'DRAFT 2'!$A:$A,"&gt;="&amp;DATE(2026,7,15),'DRAFT 2'!$A:$A,"&lt;="&amp;DATE(2026,7,21))</f>
        <v/>
      </c>
      <c r="FX51">
        <f>COUNTIFS('DRAFT 2'!$D:$D,$B51,'DRAFT 2'!$A:$A,"&gt;="&amp;DATE(2026,7,22),'DRAFT 2'!$A:$A,"&lt;"&amp;DATE(2026,IF(7=12,7+1,7+1),1))</f>
        <v/>
      </c>
      <c r="FY51">
        <f>SUM(FU51:FX51)</f>
        <v/>
      </c>
      <c r="GI51">
        <f>IFERROR(LOOKUP(2,1/('DRAFT 2'!$D:$D=$B51)*('DRAFT 2'!$A:$A&gt;=DATE(2026,8,1))*('DRAFT 2'!$A:$A&lt;DATE(2026,IF(8=12,8+1,8+1),1)),'DRAFT 2'!$A:$A),"")</f>
        <v/>
      </c>
      <c r="GJ51">
        <f>COUNTIFS('DRAFT 2'!$D:$D,$B51,'DRAFT 2'!$A:$A,"&gt;="&amp;DATE(2026,8,1),'DRAFT 2'!$A:$A,"&lt;="&amp;DATE(2026,8,7))</f>
        <v/>
      </c>
      <c r="GK51">
        <f>COUNTIFS('DRAFT 2'!$D:$D,$B51,'DRAFT 2'!$A:$A,"&gt;="&amp;DATE(2026,8,8),'DRAFT 2'!$A:$A,"&lt;="&amp;DATE(2026,8,14))</f>
        <v/>
      </c>
      <c r="GL51">
        <f>COUNTIFS('DRAFT 2'!$D:$D,$B51,'DRAFT 2'!$A:$A,"&gt;="&amp;DATE(2026,8,15),'DRAFT 2'!$A:$A,"&lt;="&amp;DATE(2026,8,21))</f>
        <v/>
      </c>
      <c r="GM51">
        <f>COUNTIFS('DRAFT 2'!$D:$D,$B51,'DRAFT 2'!$A:$A,"&gt;="&amp;DATE(2026,8,22),'DRAFT 2'!$A:$A,"&lt;"&amp;DATE(2026,IF(8=12,8+1,8+1),1))</f>
        <v/>
      </c>
      <c r="GN51">
        <f>SUM(GJ51:GM51)</f>
        <v/>
      </c>
      <c r="GX51">
        <f>IFERROR(LOOKUP(2,1/('DRAFT 2'!$D:$D=$B51)*('DRAFT 2'!$A:$A&gt;=DATE(2026,9,1))*('DRAFT 2'!$A:$A&lt;DATE(2026,IF(9=12,9+1,9+1),1)),'DRAFT 2'!$A:$A),"")</f>
        <v/>
      </c>
      <c r="GY51">
        <f>COUNTIFS('DRAFT 2'!$D:$D,$B51,'DRAFT 2'!$A:$A,"&gt;="&amp;DATE(2026,9,1),'DRAFT 2'!$A:$A,"&lt;="&amp;DATE(2026,9,7))</f>
        <v/>
      </c>
      <c r="GZ51">
        <f>COUNTIFS('DRAFT 2'!$D:$D,$B51,'DRAFT 2'!$A:$A,"&gt;="&amp;DATE(2026,9,8),'DRAFT 2'!$A:$A,"&lt;="&amp;DATE(2026,9,14))</f>
        <v/>
      </c>
      <c r="HA51">
        <f>COUNTIFS('DRAFT 2'!$D:$D,$B51,'DRAFT 2'!$A:$A,"&gt;="&amp;DATE(2026,9,15),'DRAFT 2'!$A:$A,"&lt;="&amp;DATE(2026,9,21))</f>
        <v/>
      </c>
      <c r="HB51">
        <f>COUNTIFS('DRAFT 2'!$D:$D,$B51,'DRAFT 2'!$A:$A,"&gt;="&amp;DATE(2026,9,22),'DRAFT 2'!$A:$A,"&lt;"&amp;DATE(2026,IF(9=12,9+1,9+1),1))</f>
        <v/>
      </c>
      <c r="HC51">
        <f>SUM(GY51:HB51)</f>
        <v/>
      </c>
      <c r="HN51">
        <f>IFERROR(LOOKUP(2,1/('DRAFT 2'!$D:$D=$B51)*('DRAFT 2'!$A:$A&gt;=DATE(2026,10,1))*('DRAFT 2'!$A:$A&lt;DATE(2026,IF(10=12,10+1,10+1),1)),'DRAFT 2'!$A:$A),"")</f>
        <v/>
      </c>
      <c r="HO51">
        <f>COUNTIFS('DRAFT 2'!$D:$D,$B51,'DRAFT 2'!$A:$A,"&gt;="&amp;DATE(2026,10,1),'DRAFT 2'!$A:$A,"&lt;="&amp;DATE(2026,10,7))</f>
        <v/>
      </c>
      <c r="HP51">
        <f>COUNTIFS('DRAFT 2'!$D:$D,$B51,'DRAFT 2'!$A:$A,"&gt;="&amp;DATE(2026,10,8),'DRAFT 2'!$A:$A,"&lt;="&amp;DATE(2026,10,14))</f>
        <v/>
      </c>
      <c r="HQ51">
        <f>COUNTIFS('DRAFT 2'!$D:$D,$B51,'DRAFT 2'!$A:$A,"&gt;="&amp;DATE(2026,10,15),'DRAFT 2'!$A:$A,"&lt;="&amp;DATE(2026,10,21))</f>
        <v/>
      </c>
      <c r="HR51">
        <f>COUNTIFS('DRAFT 2'!$D:$D,$B51,'DRAFT 2'!$A:$A,"&gt;="&amp;DATE(2026,10,22),'DRAFT 2'!$A:$A,"&lt;"&amp;DATE(2026,IF(10=12,10+1,10+1),1))</f>
        <v/>
      </c>
      <c r="HS51">
        <f>SUM(HO51:HR51)</f>
        <v/>
      </c>
      <c r="IC51">
        <f>IFERROR(LOOKUP(2,1/('DRAFT 2'!$D:$D=$B51)*('DRAFT 2'!$A:$A&gt;=DATE(2026,11,1))*('DRAFT 2'!$A:$A&lt;DATE(2026,IF(11=12,11+1,11+1),1)),'DRAFT 2'!$A:$A),"")</f>
        <v/>
      </c>
      <c r="ID51">
        <f>COUNTIFS('DRAFT 2'!$D:$D,$B51,'DRAFT 2'!$A:$A,"&gt;="&amp;DATE(2026,11,1),'DRAFT 2'!$A:$A,"&lt;="&amp;DATE(2026,11,7))</f>
        <v/>
      </c>
      <c r="IE51">
        <f>COUNTIFS('DRAFT 2'!$D:$D,$B51,'DRAFT 2'!$A:$A,"&gt;="&amp;DATE(2026,11,8),'DRAFT 2'!$A:$A,"&lt;="&amp;DATE(2026,11,14))</f>
        <v/>
      </c>
      <c r="IF51">
        <f>COUNTIFS('DRAFT 2'!$D:$D,$B51,'DRAFT 2'!$A:$A,"&gt;="&amp;DATE(2026,11,15),'DRAFT 2'!$A:$A,"&lt;="&amp;DATE(2026,11,21))</f>
        <v/>
      </c>
      <c r="IG51">
        <f>COUNTIFS('DRAFT 2'!$D:$D,$B51,'DRAFT 2'!$A:$A,"&gt;="&amp;DATE(2026,11,22),'DRAFT 2'!$A:$A,"&lt;"&amp;DATE(2026,IF(11=12,11+1,11+1),1))</f>
        <v/>
      </c>
      <c r="IH51">
        <f>SUM(ID51:IG51)</f>
        <v/>
      </c>
      <c r="IR51">
        <f>IFERROR(LOOKUP(2,1/('DRAFT 2'!$D:$D=$B51)*('DRAFT 2'!$A:$A&gt;=DATE(2026,12,1))*('DRAFT 2'!$A:$A&lt;DATE(2026,IF(12=12,12+1,12+1),1)),'DRAFT 2'!$A:$A),"")</f>
        <v/>
      </c>
      <c r="IS51">
        <f>COUNTIFS('DRAFT 2'!$D:$D,$B51,'DRAFT 2'!$A:$A,"&gt;="&amp;DATE(2026,12,1),'DRAFT 2'!$A:$A,"&lt;="&amp;DATE(2026,12,7))</f>
        <v/>
      </c>
      <c r="IT51">
        <f>COUNTIFS('DRAFT 2'!$D:$D,$B51,'DRAFT 2'!$A:$A,"&gt;="&amp;DATE(2026,12,8),'DRAFT 2'!$A:$A,"&lt;="&amp;DATE(2026,12,14))</f>
        <v/>
      </c>
      <c r="IU51">
        <f>COUNTIFS('DRAFT 2'!$D:$D,$B51,'DRAFT 2'!$A:$A,"&gt;="&amp;DATE(2026,12,15),'DRAFT 2'!$A:$A,"&lt;="&amp;DATE(2026,12,21))</f>
        <v/>
      </c>
      <c r="IV51">
        <f>COUNTIFS('DRAFT 2'!$D:$D,$B51,'DRAFT 2'!$A:$A,"&gt;="&amp;DATE(2026,12,22),'DRAFT 2'!$A:$A,"&lt;"&amp;DATE(2026,IF(12=12,12+1,12+1),1))</f>
        <v/>
      </c>
      <c r="IW51">
        <f>SUM(IS51:IV51)</f>
        <v/>
      </c>
    </row>
    <row r="52">
      <c r="A52">
        <f>IFERROR(INDEX('DRAFT 1'!$A:$A,MATCH($B52,'DRAFT 1'!$B:$B,0)),"")</f>
        <v/>
      </c>
      <c r="C52">
        <f>IFERROR(INDEX('DRAFT 1'!$C:$C,MATCH($B52,'DRAFT 1'!$B:$B,0)),"")</f>
        <v/>
      </c>
      <c r="D52">
        <f>IFERROR(INDEX('DRAFT 1'!$D:$D,MATCH($B52,'DRAFT 1'!$B:$B,0)),"")</f>
        <v/>
      </c>
      <c r="E52">
        <f>IFERROR(INDEX('DRAFT 1'!$E:$E,MATCH($B52,'DRAFT 1'!$B:$B,0)),"")</f>
        <v/>
      </c>
      <c r="F52">
        <f>IFERROR(INDEX('DRAFT 1'!$F:$F,MATCH($B52,'DRAFT 1'!$B:$B,0)),"")</f>
        <v/>
      </c>
      <c r="G52">
        <f>IFERROR(INDEX('DRAFT 1'!$G:$G,MATCH($B52,'DRAFT 1'!$B:$B,0)),"")</f>
        <v/>
      </c>
      <c r="H52">
        <f>IFERROR(INDEX('DRAFT 1'!$H:$H,MATCH($B52,'DRAFT 1'!$B:$B,0)),"")</f>
        <v/>
      </c>
      <c r="I52" t="inlineStr">
        <is>
          <t>VIDA LEVE</t>
        </is>
      </c>
      <c r="K52">
        <f>IFERROR(INDEX('DRAFT 1'!$AL:$AL,MATCH($B52,'DRAFT 1'!$B:$B,0)),"")</f>
        <v/>
      </c>
      <c r="L52">
        <f>IFERROR(INDEX('DRAFT 1'!$J:$J,MATCH($B52,'DRAFT 1'!$B:$B,0)),"")</f>
        <v/>
      </c>
      <c r="M52">
        <f>IFERROR(INDEX('DRAFT 1'!$K:$K,MATCH($B52,'DRAFT 1'!$B:$B,0)),"")</f>
        <v/>
      </c>
      <c r="N52" t="inlineStr">
        <is>
          <t>ATIVO</t>
        </is>
      </c>
      <c r="P52">
        <f>IFERROR(INDEX('DRAFT 1'!$L:$L,MATCH($B52,'DRAFT 1'!$B:$B,0)),"")</f>
        <v/>
      </c>
      <c r="Q52">
        <f>IFERROR(INDEX('DRAFT 1'!$M:$M,MATCH($B52,'DRAFT 1'!$B:$B,0)),"")</f>
        <v/>
      </c>
      <c r="R52">
        <f>IFERROR(INDEX('DRAFT 1'!$N:$N,MATCH($B52,'DRAFT 1'!$B:$B,0)),"")</f>
        <v/>
      </c>
      <c r="S52">
        <f>IFERROR(INDEX('DRAFT 1'!$O:$O,MATCH($B52,'DRAFT 1'!$B:$B,0)),"")</f>
        <v/>
      </c>
      <c r="T52">
        <f>IFERROR(INDEX('DRAFT 1'!$P:$P,MATCH($B52,'DRAFT 1'!$B:$B,0)),"")</f>
        <v/>
      </c>
      <c r="U52">
        <f>IFERROR(INDEX('DRAFT 1'!$Q:$Q,MATCH($B52,'DRAFT 1'!$B:$B,0)),"")</f>
        <v/>
      </c>
      <c r="V52">
        <f>IFERROR(INDEX('DRAFT 1'!$R:$R,MATCH($B52,'DRAFT 1'!$B:$B,0)),"")</f>
        <v/>
      </c>
      <c r="W52">
        <f>IFERROR(INDEX('DRAFT 1'!$S:$S,MATCH($B52,'DRAFT 1'!$B:$B,0)),"")</f>
        <v/>
      </c>
      <c r="X52">
        <f>IFERROR(INDEX('DRAFT 1'!$T:$T,MATCH($B52,'DRAFT 1'!$B:$B,0)),"")</f>
        <v/>
      </c>
      <c r="Z52">
        <f>IFERROR(INDEX('DRAFT 1'!$U:$U,MATCH($B52,'DRAFT 1'!$B:$B,0)),"")</f>
        <v/>
      </c>
      <c r="AA52">
        <f>IFERROR(INDEX('DRAFT 1'!$V:$V,MATCH($B52,'DRAFT 1'!$B:$B,0)),"")</f>
        <v/>
      </c>
      <c r="AB52">
        <f>IFERROR(INDEX('DRAFT 1'!$W:$W,MATCH($B52,'DRAFT 1'!$B:$B,0)),"")</f>
        <v/>
      </c>
      <c r="AC52">
        <f>IFERROR(INDEX('DRAFT 1'!$X:$X,MATCH($B52,'DRAFT 1'!$B:$B,0)),"")</f>
        <v/>
      </c>
      <c r="AD52">
        <f>IFERROR(INDEX('DRAFT 1'!$Y:$Y,MATCH($B52,'DRAFT 1'!$B:$B,0)),"")</f>
        <v/>
      </c>
      <c r="AE52">
        <f>IFERROR(INDEX('DRAFT 1'!$Z:$Z,MATCH($B52,'DRAFT 1'!$B:$B,0)),"")</f>
        <v/>
      </c>
      <c r="AF52">
        <f>IFERROR(INDEX('DRAFT 1'!$AA:$AA,MATCH($B52,'DRAFT 1'!$B:$B,0)),"")</f>
        <v/>
      </c>
      <c r="AG52">
        <f>IFERROR(INDEX('DRAFT 1'!$AB:$AB,MATCH($B52,'DRAFT 1'!$B:$B,0)),"")</f>
        <v/>
      </c>
      <c r="AH52">
        <f>IFERROR(INDEX('DRAFT 1'!$AC:$AC,MATCH($B52,'DRAFT 1'!$B:$B,0)),"")</f>
        <v/>
      </c>
      <c r="AI52">
        <f>IFERROR(INDEX('DRAFT 1'!$AD:$AD,MATCH($B52,'DRAFT 1'!$B:$B,0)),"")</f>
        <v/>
      </c>
      <c r="AJ52">
        <f>IFERROR(INDEX('DRAFT 1'!$AE:$AE,MATCH($B52,'DRAFT 1'!$B:$B,0)),"")</f>
        <v/>
      </c>
      <c r="AK52">
        <f>IFERROR(INDEX('DRAFT 1'!$AG:$AG,MATCH($B52,'DRAFT 1'!$B:$B,0)),"")</f>
        <v/>
      </c>
      <c r="AL52">
        <f>IFERROR(INDEX('DRAFT 1'!$AH:$AH,MATCH($B52,'DRAFT 1'!$B:$B,0)),"")</f>
        <v/>
      </c>
      <c r="AM52">
        <f>IFERROR(INDEX('DRAFT 1'!$AI:$AI,MATCH($B52,'DRAFT 1'!$B:$B,0)),"")</f>
        <v/>
      </c>
      <c r="AN52">
        <f>IFERROR(INDEX('DRAFT 1'!$AJ:$AJ,MATCH($B52,'DRAFT 1'!$B:$B,0)),"")</f>
        <v/>
      </c>
      <c r="AO52">
        <f>IFERROR(Y52/AN52,0)</f>
        <v/>
      </c>
      <c r="AP52">
        <f>IFERROR(INDEX('DRAFT 1'!$AK:$AK,MATCH($B52,'DRAFT 1'!$B:$B,0)),"")</f>
        <v/>
      </c>
      <c r="AR52" t="inlineStr">
        <is>
          <t>RECOMPRA</t>
        </is>
      </c>
      <c r="AS52">
        <f>IFERROR(LOOKUP(2,1/('DRAFT 2'!$D:$D=$B52),'DRAFT 2'!$T:$T),"")</f>
        <v/>
      </c>
      <c r="AT52">
        <f>IFERROR(LOOKUP(2,1/('DRAFT 2'!$D:$D=$B52),'DRAFT 2'!$A:$A),"")</f>
        <v/>
      </c>
      <c r="AU52">
        <f>IFERROR(LOOKUP(2,1/('DRAFT 2'!$D:$D=$B52),'DRAFT 2'!$R:$R),"")</f>
        <v/>
      </c>
      <c r="AV52">
        <f>IFERROR(LOOKUP(2,1/('DRAFT 2'!$D:$D=$B52),'DRAFT 2'!$S:$S),"")</f>
        <v/>
      </c>
      <c r="AW52" t="inlineStr">
        <is>
          <t>RECORRENTE</t>
        </is>
      </c>
      <c r="AX52">
        <f>IFERROR(LOOKUP(2,1/('DRAFT 2'!$D:$D=$B52),'DRAFT 2'!$M:$M),"")</f>
        <v/>
      </c>
      <c r="AY52">
        <f>IFERROR(LOOKUP(2,1/('DRAFT 2'!$D:$D=$B52),'DRAFT 2'!$K:$K),"")</f>
        <v/>
      </c>
      <c r="BG52">
        <f>IFERROR(LOOKUP(2,1/('DRAFT 2'!$D:$D=$B52),'DRAFT 2'!$U:$U),"")</f>
        <v/>
      </c>
      <c r="BH52">
        <f>IFERROR(LOOKUP(2,1/('DRAFT 2'!$D:$D=$B52),'DRAFT 2'!$V:$V),"")</f>
        <v/>
      </c>
      <c r="CE52">
        <f>IFERROR(AJ52,0)</f>
        <v/>
      </c>
      <c r="CF52">
        <f>IFERROR(LOOKUP(2,1/('DRAFT 2'!$D:$D=$B52)*('DRAFT 2'!$A:$A&gt;=DATE(2026,1,1))*('DRAFT 2'!$A:$A&lt;DATE(2026,IF(1=12,1+1,1+1),1)),'DRAFT 2'!$A:$A),"")</f>
        <v/>
      </c>
      <c r="CG52">
        <f>COUNTIFS('DRAFT 2'!$D:$D,$B52,'DRAFT 2'!$A:$A,"&gt;="&amp;DATE(2026,1,1),'DRAFT 2'!$A:$A,"&lt;="&amp;DATE(2026,1,7))</f>
        <v/>
      </c>
      <c r="CH52">
        <f>COUNTIFS('DRAFT 2'!$D:$D,$B52,'DRAFT 2'!$A:$A,"&gt;="&amp;DATE(2026,1,8),'DRAFT 2'!$A:$A,"&lt;="&amp;DATE(2026,1,14))</f>
        <v/>
      </c>
      <c r="CI52">
        <f>COUNTIFS('DRAFT 2'!$D:$D,$B52,'DRAFT 2'!$A:$A,"&gt;="&amp;DATE(2026,1,15),'DRAFT 2'!$A:$A,"&lt;="&amp;DATE(2026,1,21))</f>
        <v/>
      </c>
      <c r="CJ52">
        <f>COUNTIFS('DRAFT 2'!$D:$D,$B52,'DRAFT 2'!$A:$A,"&gt;="&amp;DATE(2026,1,22),'DRAFT 2'!$A:$A,"&lt;"&amp;DATE(2026,IF(1=12,1+1,1+1),1))</f>
        <v/>
      </c>
      <c r="CK52">
        <f>SUM(CG52:CJ52)</f>
        <v/>
      </c>
      <c r="CT52" t="n">
        <v>0</v>
      </c>
      <c r="CU52">
        <f>IFERROR(LOOKUP(2,1/('DRAFT 2'!$D:$D=$B52)*('DRAFT 2'!$A:$A&gt;=DATE(2026,2,1))*('DRAFT 2'!$A:$A&lt;DATE(2026,IF(2=12,2+1,2+1),1)),'DRAFT 2'!$A:$A),"")</f>
        <v/>
      </c>
      <c r="CV52">
        <f>COUNTIFS('DRAFT 2'!$D:$D,$B52,'DRAFT 2'!$A:$A,"&gt;="&amp;DATE(2026,2,1),'DRAFT 2'!$A:$A,"&lt;="&amp;DATE(2026,2,7))</f>
        <v/>
      </c>
      <c r="CW52">
        <f>COUNTIFS('DRAFT 2'!$D:$D,$B52,'DRAFT 2'!$A:$A,"&gt;="&amp;DATE(2026,2,8),'DRAFT 2'!$A:$A,"&lt;="&amp;DATE(2026,2,14))</f>
        <v/>
      </c>
      <c r="CX52">
        <f>COUNTIFS('DRAFT 2'!$D:$D,$B52,'DRAFT 2'!$A:$A,"&gt;="&amp;DATE(2026,2,15),'DRAFT 2'!$A:$A,"&lt;="&amp;DATE(2026,2,21))</f>
        <v/>
      </c>
      <c r="CY52">
        <f>COUNTIFS('DRAFT 2'!$D:$D,$B52,'DRAFT 2'!$A:$A,"&gt;="&amp;DATE(2026,2,22),'DRAFT 2'!$A:$A,"&lt;"&amp;DATE(2026,IF(2=12,2+1,2+1),1))</f>
        <v/>
      </c>
      <c r="CZ52">
        <f>SUM(CV52:CY52)</f>
        <v/>
      </c>
      <c r="DJ52">
        <f>IFERROR(LOOKUP(2,1/('DRAFT 2'!$D:$D=$B52)*('DRAFT 2'!$A:$A&gt;=DATE(2026,3,1))*('DRAFT 2'!$A:$A&lt;DATE(2026,IF(3=12,3+1,3+1),1)),'DRAFT 2'!$A:$A),"")</f>
        <v/>
      </c>
      <c r="DK52">
        <f>COUNTIFS('DRAFT 2'!$D:$D,$B52,'DRAFT 2'!$A:$A,"&gt;="&amp;DATE(2026,3,1),'DRAFT 2'!$A:$A,"&lt;="&amp;DATE(2026,3,7))</f>
        <v/>
      </c>
      <c r="DL52">
        <f>COUNTIFS('DRAFT 2'!$D:$D,$B52,'DRAFT 2'!$A:$A,"&gt;="&amp;DATE(2026,3,8),'DRAFT 2'!$A:$A,"&lt;="&amp;DATE(2026,3,14))</f>
        <v/>
      </c>
      <c r="DM52">
        <f>COUNTIFS('DRAFT 2'!$D:$D,$B52,'DRAFT 2'!$A:$A,"&gt;="&amp;DATE(2026,3,15),'DRAFT 2'!$A:$A,"&lt;="&amp;DATE(2026,3,21))</f>
        <v/>
      </c>
      <c r="DN52">
        <f>COUNTIFS('DRAFT 2'!$D:$D,$B52,'DRAFT 2'!$A:$A,"&gt;="&amp;DATE(2026,3,22),'DRAFT 2'!$A:$A,"&lt;"&amp;DATE(2026,IF(3=12,3+1,3+1),1))</f>
        <v/>
      </c>
      <c r="DO52">
        <f>SUM(DK52:DN52)</f>
        <v/>
      </c>
      <c r="DZ52">
        <f>IFERROR(LOOKUP(2,1/('DRAFT 2'!$D:$D=$B52)*('DRAFT 2'!$A:$A&gt;=DATE(2026,4,1))*('DRAFT 2'!$A:$A&lt;DATE(2026,IF(4=12,4+1,4+1),1)),'DRAFT 2'!$A:$A),"")</f>
        <v/>
      </c>
      <c r="EA52">
        <f>COUNTIFS('DRAFT 2'!$D:$D,$B52,'DRAFT 2'!$A:$A,"&gt;="&amp;DATE(2026,4,1),'DRAFT 2'!$A:$A,"&lt;="&amp;DATE(2026,4,7))</f>
        <v/>
      </c>
      <c r="EB52">
        <f>COUNTIFS('DRAFT 2'!$D:$D,$B52,'DRAFT 2'!$A:$A,"&gt;="&amp;DATE(2026,4,8),'DRAFT 2'!$A:$A,"&lt;="&amp;DATE(2026,4,14))</f>
        <v/>
      </c>
      <c r="EC52">
        <f>COUNTIFS('DRAFT 2'!$D:$D,$B52,'DRAFT 2'!$A:$A,"&gt;="&amp;DATE(2026,4,15),'DRAFT 2'!$A:$A,"&lt;="&amp;DATE(2026,4,21))</f>
        <v/>
      </c>
      <c r="ED52">
        <f>COUNTIFS('DRAFT 2'!$D:$D,$B52,'DRAFT 2'!$A:$A,"&gt;="&amp;DATE(2026,4,22),'DRAFT 2'!$A:$A,"&lt;"&amp;DATE(2026,IF(4=12,4+1,4+1),1))</f>
        <v/>
      </c>
      <c r="EE52">
        <f>SUM(EA52:ED52)</f>
        <v/>
      </c>
      <c r="EO52">
        <f>IFERROR(LOOKUP(2,1/('DRAFT 2'!$D:$D=$B52)*('DRAFT 2'!$A:$A&gt;=DATE(2026,5,1))*('DRAFT 2'!$A:$A&lt;DATE(2026,IF(5=12,5+1,5+1),1)),'DRAFT 2'!$A:$A),"")</f>
        <v/>
      </c>
      <c r="EP52">
        <f>COUNTIFS('DRAFT 2'!$D:$D,$B52,'DRAFT 2'!$A:$A,"&gt;="&amp;DATE(2026,5,1),'DRAFT 2'!$A:$A,"&lt;="&amp;DATE(2026,5,7))</f>
        <v/>
      </c>
      <c r="EQ52">
        <f>COUNTIFS('DRAFT 2'!$D:$D,$B52,'DRAFT 2'!$A:$A,"&gt;="&amp;DATE(2026,5,8),'DRAFT 2'!$A:$A,"&lt;="&amp;DATE(2026,5,14))</f>
        <v/>
      </c>
      <c r="ER52">
        <f>COUNTIFS('DRAFT 2'!$D:$D,$B52,'DRAFT 2'!$A:$A,"&gt;="&amp;DATE(2026,5,15),'DRAFT 2'!$A:$A,"&lt;="&amp;DATE(2026,5,21))</f>
        <v/>
      </c>
      <c r="ES52">
        <f>COUNTIFS('DRAFT 2'!$D:$D,$B52,'DRAFT 2'!$A:$A,"&gt;="&amp;DATE(2026,5,22),'DRAFT 2'!$A:$A,"&lt;"&amp;DATE(2026,IF(5=12,5+1,5+1),1))</f>
        <v/>
      </c>
      <c r="ET52">
        <f>SUM(EP52:ES52)</f>
        <v/>
      </c>
      <c r="FD52">
        <f>IFERROR(LOOKUP(2,1/('DRAFT 2'!$D:$D=$B52)*('DRAFT 2'!$A:$A&gt;=DATE(2026,6,1))*('DRAFT 2'!$A:$A&lt;DATE(2026,IF(6=12,6+1,6+1),1)),'DRAFT 2'!$A:$A),"")</f>
        <v/>
      </c>
      <c r="FE52">
        <f>COUNTIFS('DRAFT 2'!$D:$D,$B52,'DRAFT 2'!$A:$A,"&gt;="&amp;DATE(2026,6,1),'DRAFT 2'!$A:$A,"&lt;="&amp;DATE(2026,6,7))</f>
        <v/>
      </c>
      <c r="FF52">
        <f>COUNTIFS('DRAFT 2'!$D:$D,$B52,'DRAFT 2'!$A:$A,"&gt;="&amp;DATE(2026,6,8),'DRAFT 2'!$A:$A,"&lt;="&amp;DATE(2026,6,14))</f>
        <v/>
      </c>
      <c r="FG52">
        <f>COUNTIFS('DRAFT 2'!$D:$D,$B52,'DRAFT 2'!$A:$A,"&gt;="&amp;DATE(2026,6,15),'DRAFT 2'!$A:$A,"&lt;="&amp;DATE(2026,6,21))</f>
        <v/>
      </c>
      <c r="FH52">
        <f>COUNTIFS('DRAFT 2'!$D:$D,$B52,'DRAFT 2'!$A:$A,"&gt;="&amp;DATE(2026,6,22),'DRAFT 2'!$A:$A,"&lt;"&amp;DATE(2026,IF(6=12,6+1,6+1),1))</f>
        <v/>
      </c>
      <c r="FI52">
        <f>SUM(FE52:FH52)</f>
        <v/>
      </c>
      <c r="FT52">
        <f>IFERROR(LOOKUP(2,1/('DRAFT 2'!$D:$D=$B52)*('DRAFT 2'!$A:$A&gt;=DATE(2026,7,1))*('DRAFT 2'!$A:$A&lt;DATE(2026,IF(7=12,7+1,7+1),1)),'DRAFT 2'!$A:$A),"")</f>
        <v/>
      </c>
      <c r="FU52">
        <f>COUNTIFS('DRAFT 2'!$D:$D,$B52,'DRAFT 2'!$A:$A,"&gt;="&amp;DATE(2026,7,1),'DRAFT 2'!$A:$A,"&lt;="&amp;DATE(2026,7,7))</f>
        <v/>
      </c>
      <c r="FV52">
        <f>COUNTIFS('DRAFT 2'!$D:$D,$B52,'DRAFT 2'!$A:$A,"&gt;="&amp;DATE(2026,7,8),'DRAFT 2'!$A:$A,"&lt;="&amp;DATE(2026,7,14))</f>
        <v/>
      </c>
      <c r="FW52">
        <f>COUNTIFS('DRAFT 2'!$D:$D,$B52,'DRAFT 2'!$A:$A,"&gt;="&amp;DATE(2026,7,15),'DRAFT 2'!$A:$A,"&lt;="&amp;DATE(2026,7,21))</f>
        <v/>
      </c>
      <c r="FX52">
        <f>COUNTIFS('DRAFT 2'!$D:$D,$B52,'DRAFT 2'!$A:$A,"&gt;="&amp;DATE(2026,7,22),'DRAFT 2'!$A:$A,"&lt;"&amp;DATE(2026,IF(7=12,7+1,7+1),1))</f>
        <v/>
      </c>
      <c r="FY52">
        <f>SUM(FU52:FX52)</f>
        <v/>
      </c>
      <c r="GI52">
        <f>IFERROR(LOOKUP(2,1/('DRAFT 2'!$D:$D=$B52)*('DRAFT 2'!$A:$A&gt;=DATE(2026,8,1))*('DRAFT 2'!$A:$A&lt;DATE(2026,IF(8=12,8+1,8+1),1)),'DRAFT 2'!$A:$A),"")</f>
        <v/>
      </c>
      <c r="GJ52">
        <f>COUNTIFS('DRAFT 2'!$D:$D,$B52,'DRAFT 2'!$A:$A,"&gt;="&amp;DATE(2026,8,1),'DRAFT 2'!$A:$A,"&lt;="&amp;DATE(2026,8,7))</f>
        <v/>
      </c>
      <c r="GK52">
        <f>COUNTIFS('DRAFT 2'!$D:$D,$B52,'DRAFT 2'!$A:$A,"&gt;="&amp;DATE(2026,8,8),'DRAFT 2'!$A:$A,"&lt;="&amp;DATE(2026,8,14))</f>
        <v/>
      </c>
      <c r="GL52">
        <f>COUNTIFS('DRAFT 2'!$D:$D,$B52,'DRAFT 2'!$A:$A,"&gt;="&amp;DATE(2026,8,15),'DRAFT 2'!$A:$A,"&lt;="&amp;DATE(2026,8,21))</f>
        <v/>
      </c>
      <c r="GM52">
        <f>COUNTIFS('DRAFT 2'!$D:$D,$B52,'DRAFT 2'!$A:$A,"&gt;="&amp;DATE(2026,8,22),'DRAFT 2'!$A:$A,"&lt;"&amp;DATE(2026,IF(8=12,8+1,8+1),1))</f>
        <v/>
      </c>
      <c r="GN52">
        <f>SUM(GJ52:GM52)</f>
        <v/>
      </c>
      <c r="GX52">
        <f>IFERROR(LOOKUP(2,1/('DRAFT 2'!$D:$D=$B52)*('DRAFT 2'!$A:$A&gt;=DATE(2026,9,1))*('DRAFT 2'!$A:$A&lt;DATE(2026,IF(9=12,9+1,9+1),1)),'DRAFT 2'!$A:$A),"")</f>
        <v/>
      </c>
      <c r="GY52">
        <f>COUNTIFS('DRAFT 2'!$D:$D,$B52,'DRAFT 2'!$A:$A,"&gt;="&amp;DATE(2026,9,1),'DRAFT 2'!$A:$A,"&lt;="&amp;DATE(2026,9,7))</f>
        <v/>
      </c>
      <c r="GZ52">
        <f>COUNTIFS('DRAFT 2'!$D:$D,$B52,'DRAFT 2'!$A:$A,"&gt;="&amp;DATE(2026,9,8),'DRAFT 2'!$A:$A,"&lt;="&amp;DATE(2026,9,14))</f>
        <v/>
      </c>
      <c r="HA52">
        <f>COUNTIFS('DRAFT 2'!$D:$D,$B52,'DRAFT 2'!$A:$A,"&gt;="&amp;DATE(2026,9,15),'DRAFT 2'!$A:$A,"&lt;="&amp;DATE(2026,9,21))</f>
        <v/>
      </c>
      <c r="HB52">
        <f>COUNTIFS('DRAFT 2'!$D:$D,$B52,'DRAFT 2'!$A:$A,"&gt;="&amp;DATE(2026,9,22),'DRAFT 2'!$A:$A,"&lt;"&amp;DATE(2026,IF(9=12,9+1,9+1),1))</f>
        <v/>
      </c>
      <c r="HC52">
        <f>SUM(GY52:HB52)</f>
        <v/>
      </c>
      <c r="HN52">
        <f>IFERROR(LOOKUP(2,1/('DRAFT 2'!$D:$D=$B52)*('DRAFT 2'!$A:$A&gt;=DATE(2026,10,1))*('DRAFT 2'!$A:$A&lt;DATE(2026,IF(10=12,10+1,10+1),1)),'DRAFT 2'!$A:$A),"")</f>
        <v/>
      </c>
      <c r="HO52">
        <f>COUNTIFS('DRAFT 2'!$D:$D,$B52,'DRAFT 2'!$A:$A,"&gt;="&amp;DATE(2026,10,1),'DRAFT 2'!$A:$A,"&lt;="&amp;DATE(2026,10,7))</f>
        <v/>
      </c>
      <c r="HP52">
        <f>COUNTIFS('DRAFT 2'!$D:$D,$B52,'DRAFT 2'!$A:$A,"&gt;="&amp;DATE(2026,10,8),'DRAFT 2'!$A:$A,"&lt;="&amp;DATE(2026,10,14))</f>
        <v/>
      </c>
      <c r="HQ52">
        <f>COUNTIFS('DRAFT 2'!$D:$D,$B52,'DRAFT 2'!$A:$A,"&gt;="&amp;DATE(2026,10,15),'DRAFT 2'!$A:$A,"&lt;="&amp;DATE(2026,10,21))</f>
        <v/>
      </c>
      <c r="HR52">
        <f>COUNTIFS('DRAFT 2'!$D:$D,$B52,'DRAFT 2'!$A:$A,"&gt;="&amp;DATE(2026,10,22),'DRAFT 2'!$A:$A,"&lt;"&amp;DATE(2026,IF(10=12,10+1,10+1),1))</f>
        <v/>
      </c>
      <c r="HS52">
        <f>SUM(HO52:HR52)</f>
        <v/>
      </c>
      <c r="IC52">
        <f>IFERROR(LOOKUP(2,1/('DRAFT 2'!$D:$D=$B52)*('DRAFT 2'!$A:$A&gt;=DATE(2026,11,1))*('DRAFT 2'!$A:$A&lt;DATE(2026,IF(11=12,11+1,11+1),1)),'DRAFT 2'!$A:$A),"")</f>
        <v/>
      </c>
      <c r="ID52">
        <f>COUNTIFS('DRAFT 2'!$D:$D,$B52,'DRAFT 2'!$A:$A,"&gt;="&amp;DATE(2026,11,1),'DRAFT 2'!$A:$A,"&lt;="&amp;DATE(2026,11,7))</f>
        <v/>
      </c>
      <c r="IE52">
        <f>COUNTIFS('DRAFT 2'!$D:$D,$B52,'DRAFT 2'!$A:$A,"&gt;="&amp;DATE(2026,11,8),'DRAFT 2'!$A:$A,"&lt;="&amp;DATE(2026,11,14))</f>
        <v/>
      </c>
      <c r="IF52">
        <f>COUNTIFS('DRAFT 2'!$D:$D,$B52,'DRAFT 2'!$A:$A,"&gt;="&amp;DATE(2026,11,15),'DRAFT 2'!$A:$A,"&lt;="&amp;DATE(2026,11,21))</f>
        <v/>
      </c>
      <c r="IG52">
        <f>COUNTIFS('DRAFT 2'!$D:$D,$B52,'DRAFT 2'!$A:$A,"&gt;="&amp;DATE(2026,11,22),'DRAFT 2'!$A:$A,"&lt;"&amp;DATE(2026,IF(11=12,11+1,11+1),1))</f>
        <v/>
      </c>
      <c r="IH52">
        <f>SUM(ID52:IG52)</f>
        <v/>
      </c>
      <c r="IR52">
        <f>IFERROR(LOOKUP(2,1/('DRAFT 2'!$D:$D=$B52)*('DRAFT 2'!$A:$A&gt;=DATE(2026,12,1))*('DRAFT 2'!$A:$A&lt;DATE(2026,IF(12=12,12+1,12+1),1)),'DRAFT 2'!$A:$A),"")</f>
        <v/>
      </c>
      <c r="IS52">
        <f>COUNTIFS('DRAFT 2'!$D:$D,$B52,'DRAFT 2'!$A:$A,"&gt;="&amp;DATE(2026,12,1),'DRAFT 2'!$A:$A,"&lt;="&amp;DATE(2026,12,7))</f>
        <v/>
      </c>
      <c r="IT52">
        <f>COUNTIFS('DRAFT 2'!$D:$D,$B52,'DRAFT 2'!$A:$A,"&gt;="&amp;DATE(2026,12,8),'DRAFT 2'!$A:$A,"&lt;="&amp;DATE(2026,12,14))</f>
        <v/>
      </c>
      <c r="IU52">
        <f>COUNTIFS('DRAFT 2'!$D:$D,$B52,'DRAFT 2'!$A:$A,"&gt;="&amp;DATE(2026,12,15),'DRAFT 2'!$A:$A,"&lt;="&amp;DATE(2026,12,21))</f>
        <v/>
      </c>
      <c r="IV52">
        <f>COUNTIFS('DRAFT 2'!$D:$D,$B52,'DRAFT 2'!$A:$A,"&gt;="&amp;DATE(2026,12,22),'DRAFT 2'!$A:$A,"&lt;"&amp;DATE(2026,IF(12=12,12+1,12+1),1))</f>
        <v/>
      </c>
      <c r="IW52">
        <f>SUM(IS52:IV52)</f>
        <v/>
      </c>
    </row>
    <row r="53">
      <c r="A53">
        <f>IFERROR(INDEX('DRAFT 1'!$A:$A,MATCH($B53,'DRAFT 1'!$B:$B,0)),"")</f>
        <v/>
      </c>
      <c r="C53">
        <f>IFERROR(INDEX('DRAFT 1'!$C:$C,MATCH($B53,'DRAFT 1'!$B:$B,0)),"")</f>
        <v/>
      </c>
      <c r="D53">
        <f>IFERROR(INDEX('DRAFT 1'!$D:$D,MATCH($B53,'DRAFT 1'!$B:$B,0)),"")</f>
        <v/>
      </c>
      <c r="E53">
        <f>IFERROR(INDEX('DRAFT 1'!$E:$E,MATCH($B53,'DRAFT 1'!$B:$B,0)),"")</f>
        <v/>
      </c>
      <c r="F53">
        <f>IFERROR(INDEX('DRAFT 1'!$F:$F,MATCH($B53,'DRAFT 1'!$B:$B,0)),"")</f>
        <v/>
      </c>
      <c r="G53">
        <f>IFERROR(INDEX('DRAFT 1'!$G:$G,MATCH($B53,'DRAFT 1'!$B:$B,0)),"")</f>
        <v/>
      </c>
      <c r="H53">
        <f>IFERROR(INDEX('DRAFT 1'!$H:$H,MATCH($B53,'DRAFT 1'!$B:$B,0)),"")</f>
        <v/>
      </c>
      <c r="I53" t="inlineStr">
        <is>
          <t>VIDA LEVE</t>
        </is>
      </c>
      <c r="K53">
        <f>IFERROR(INDEX('DRAFT 1'!$AL:$AL,MATCH($B53,'DRAFT 1'!$B:$B,0)),"")</f>
        <v/>
      </c>
      <c r="L53">
        <f>IFERROR(INDEX('DRAFT 1'!$J:$J,MATCH($B53,'DRAFT 1'!$B:$B,0)),"")</f>
        <v/>
      </c>
      <c r="M53">
        <f>IFERROR(INDEX('DRAFT 1'!$K:$K,MATCH($B53,'DRAFT 1'!$B:$B,0)),"")</f>
        <v/>
      </c>
      <c r="N53" t="inlineStr">
        <is>
          <t>INAT.REC</t>
        </is>
      </c>
      <c r="P53">
        <f>IFERROR(INDEX('DRAFT 1'!$L:$L,MATCH($B53,'DRAFT 1'!$B:$B,0)),"")</f>
        <v/>
      </c>
      <c r="Q53">
        <f>IFERROR(INDEX('DRAFT 1'!$M:$M,MATCH($B53,'DRAFT 1'!$B:$B,0)),"")</f>
        <v/>
      </c>
      <c r="R53">
        <f>IFERROR(INDEX('DRAFT 1'!$N:$N,MATCH($B53,'DRAFT 1'!$B:$B,0)),"")</f>
        <v/>
      </c>
      <c r="S53">
        <f>IFERROR(INDEX('DRAFT 1'!$O:$O,MATCH($B53,'DRAFT 1'!$B:$B,0)),"")</f>
        <v/>
      </c>
      <c r="T53">
        <f>IFERROR(INDEX('DRAFT 1'!$P:$P,MATCH($B53,'DRAFT 1'!$B:$B,0)),"")</f>
        <v/>
      </c>
      <c r="U53">
        <f>IFERROR(INDEX('DRAFT 1'!$Q:$Q,MATCH($B53,'DRAFT 1'!$B:$B,0)),"")</f>
        <v/>
      </c>
      <c r="V53">
        <f>IFERROR(INDEX('DRAFT 1'!$R:$R,MATCH($B53,'DRAFT 1'!$B:$B,0)),"")</f>
        <v/>
      </c>
      <c r="W53">
        <f>IFERROR(INDEX('DRAFT 1'!$S:$S,MATCH($B53,'DRAFT 1'!$B:$B,0)),"")</f>
        <v/>
      </c>
      <c r="X53">
        <f>IFERROR(INDEX('DRAFT 1'!$T:$T,MATCH($B53,'DRAFT 1'!$B:$B,0)),"")</f>
        <v/>
      </c>
      <c r="Z53">
        <f>IFERROR(INDEX('DRAFT 1'!$U:$U,MATCH($B53,'DRAFT 1'!$B:$B,0)),"")</f>
        <v/>
      </c>
      <c r="AA53">
        <f>IFERROR(INDEX('DRAFT 1'!$V:$V,MATCH($B53,'DRAFT 1'!$B:$B,0)),"")</f>
        <v/>
      </c>
      <c r="AB53">
        <f>IFERROR(INDEX('DRAFT 1'!$W:$W,MATCH($B53,'DRAFT 1'!$B:$B,0)),"")</f>
        <v/>
      </c>
      <c r="AC53">
        <f>IFERROR(INDEX('DRAFT 1'!$X:$X,MATCH($B53,'DRAFT 1'!$B:$B,0)),"")</f>
        <v/>
      </c>
      <c r="AD53">
        <f>IFERROR(INDEX('DRAFT 1'!$Y:$Y,MATCH($B53,'DRAFT 1'!$B:$B,0)),"")</f>
        <v/>
      </c>
      <c r="AE53">
        <f>IFERROR(INDEX('DRAFT 1'!$Z:$Z,MATCH($B53,'DRAFT 1'!$B:$B,0)),"")</f>
        <v/>
      </c>
      <c r="AF53">
        <f>IFERROR(INDEX('DRAFT 1'!$AA:$AA,MATCH($B53,'DRAFT 1'!$B:$B,0)),"")</f>
        <v/>
      </c>
      <c r="AG53">
        <f>IFERROR(INDEX('DRAFT 1'!$AB:$AB,MATCH($B53,'DRAFT 1'!$B:$B,0)),"")</f>
        <v/>
      </c>
      <c r="AH53">
        <f>IFERROR(INDEX('DRAFT 1'!$AC:$AC,MATCH($B53,'DRAFT 1'!$B:$B,0)),"")</f>
        <v/>
      </c>
      <c r="AI53">
        <f>IFERROR(INDEX('DRAFT 1'!$AD:$AD,MATCH($B53,'DRAFT 1'!$B:$B,0)),"")</f>
        <v/>
      </c>
      <c r="AJ53">
        <f>IFERROR(INDEX('DRAFT 1'!$AE:$AE,MATCH($B53,'DRAFT 1'!$B:$B,0)),"")</f>
        <v/>
      </c>
      <c r="AK53">
        <f>IFERROR(INDEX('DRAFT 1'!$AG:$AG,MATCH($B53,'DRAFT 1'!$B:$B,0)),"")</f>
        <v/>
      </c>
      <c r="AL53">
        <f>IFERROR(INDEX('DRAFT 1'!$AH:$AH,MATCH($B53,'DRAFT 1'!$B:$B,0)),"")</f>
        <v/>
      </c>
      <c r="AM53">
        <f>IFERROR(INDEX('DRAFT 1'!$AI:$AI,MATCH($B53,'DRAFT 1'!$B:$B,0)),"")</f>
        <v/>
      </c>
      <c r="AN53">
        <f>IFERROR(INDEX('DRAFT 1'!$AJ:$AJ,MATCH($B53,'DRAFT 1'!$B:$B,0)),"")</f>
        <v/>
      </c>
      <c r="AO53">
        <f>IFERROR(Y53/AN53,0)</f>
        <v/>
      </c>
      <c r="AP53">
        <f>IFERROR(INDEX('DRAFT 1'!$AK:$AK,MATCH($B53,'DRAFT 1'!$B:$B,0)),"")</f>
        <v/>
      </c>
      <c r="AR53" t="inlineStr">
        <is>
          <t>NUTRIÇÃO</t>
        </is>
      </c>
      <c r="AS53">
        <f>IFERROR(LOOKUP(2,1/('DRAFT 2'!$D:$D=$B53),'DRAFT 2'!$T:$T),"")</f>
        <v/>
      </c>
      <c r="AT53">
        <f>IFERROR(LOOKUP(2,1/('DRAFT 2'!$D:$D=$B53),'DRAFT 2'!$A:$A),"")</f>
        <v/>
      </c>
      <c r="AU53">
        <f>IFERROR(LOOKUP(2,1/('DRAFT 2'!$D:$D=$B53),'DRAFT 2'!$R:$R),"")</f>
        <v/>
      </c>
      <c r="AV53">
        <f>IFERROR(LOOKUP(2,1/('DRAFT 2'!$D:$D=$B53),'DRAFT 2'!$S:$S),"")</f>
        <v/>
      </c>
      <c r="AW53" t="inlineStr">
        <is>
          <t>RECORRENTE</t>
        </is>
      </c>
      <c r="AX53">
        <f>IFERROR(LOOKUP(2,1/('DRAFT 2'!$D:$D=$B53),'DRAFT 2'!$M:$M),"")</f>
        <v/>
      </c>
      <c r="AY53">
        <f>IFERROR(LOOKUP(2,1/('DRAFT 2'!$D:$D=$B53),'DRAFT 2'!$K:$K),"")</f>
        <v/>
      </c>
      <c r="BG53">
        <f>IFERROR(LOOKUP(2,1/('DRAFT 2'!$D:$D=$B53),'DRAFT 2'!$U:$U),"")</f>
        <v/>
      </c>
      <c r="BH53">
        <f>IFERROR(LOOKUP(2,1/('DRAFT 2'!$D:$D=$B53),'DRAFT 2'!$V:$V),"")</f>
        <v/>
      </c>
      <c r="CE53">
        <f>IFERROR(AJ53,0)</f>
        <v/>
      </c>
      <c r="CF53">
        <f>IFERROR(LOOKUP(2,1/('DRAFT 2'!$D:$D=$B53)*('DRAFT 2'!$A:$A&gt;=DATE(2026,1,1))*('DRAFT 2'!$A:$A&lt;DATE(2026,IF(1=12,1+1,1+1),1)),'DRAFT 2'!$A:$A),"")</f>
        <v/>
      </c>
      <c r="CG53">
        <f>COUNTIFS('DRAFT 2'!$D:$D,$B53,'DRAFT 2'!$A:$A,"&gt;="&amp;DATE(2026,1,1),'DRAFT 2'!$A:$A,"&lt;="&amp;DATE(2026,1,7))</f>
        <v/>
      </c>
      <c r="CH53">
        <f>COUNTIFS('DRAFT 2'!$D:$D,$B53,'DRAFT 2'!$A:$A,"&gt;="&amp;DATE(2026,1,8),'DRAFT 2'!$A:$A,"&lt;="&amp;DATE(2026,1,14))</f>
        <v/>
      </c>
      <c r="CI53">
        <f>COUNTIFS('DRAFT 2'!$D:$D,$B53,'DRAFT 2'!$A:$A,"&gt;="&amp;DATE(2026,1,15),'DRAFT 2'!$A:$A,"&lt;="&amp;DATE(2026,1,21))</f>
        <v/>
      </c>
      <c r="CJ53">
        <f>COUNTIFS('DRAFT 2'!$D:$D,$B53,'DRAFT 2'!$A:$A,"&gt;="&amp;DATE(2026,1,22),'DRAFT 2'!$A:$A,"&lt;"&amp;DATE(2026,IF(1=12,1+1,1+1),1))</f>
        <v/>
      </c>
      <c r="CK53">
        <f>SUM(CG53:CJ53)</f>
        <v/>
      </c>
      <c r="CT53" t="n">
        <v>0</v>
      </c>
      <c r="CU53">
        <f>IFERROR(LOOKUP(2,1/('DRAFT 2'!$D:$D=$B53)*('DRAFT 2'!$A:$A&gt;=DATE(2026,2,1))*('DRAFT 2'!$A:$A&lt;DATE(2026,IF(2=12,2+1,2+1),1)),'DRAFT 2'!$A:$A),"")</f>
        <v/>
      </c>
      <c r="CV53">
        <f>COUNTIFS('DRAFT 2'!$D:$D,$B53,'DRAFT 2'!$A:$A,"&gt;="&amp;DATE(2026,2,1),'DRAFT 2'!$A:$A,"&lt;="&amp;DATE(2026,2,7))</f>
        <v/>
      </c>
      <c r="CW53">
        <f>COUNTIFS('DRAFT 2'!$D:$D,$B53,'DRAFT 2'!$A:$A,"&gt;="&amp;DATE(2026,2,8),'DRAFT 2'!$A:$A,"&lt;="&amp;DATE(2026,2,14))</f>
        <v/>
      </c>
      <c r="CX53">
        <f>COUNTIFS('DRAFT 2'!$D:$D,$B53,'DRAFT 2'!$A:$A,"&gt;="&amp;DATE(2026,2,15),'DRAFT 2'!$A:$A,"&lt;="&amp;DATE(2026,2,21))</f>
        <v/>
      </c>
      <c r="CY53">
        <f>COUNTIFS('DRAFT 2'!$D:$D,$B53,'DRAFT 2'!$A:$A,"&gt;="&amp;DATE(2026,2,22),'DRAFT 2'!$A:$A,"&lt;"&amp;DATE(2026,IF(2=12,2+1,2+1),1))</f>
        <v/>
      </c>
      <c r="CZ53">
        <f>SUM(CV53:CY53)</f>
        <v/>
      </c>
      <c r="DJ53">
        <f>IFERROR(LOOKUP(2,1/('DRAFT 2'!$D:$D=$B53)*('DRAFT 2'!$A:$A&gt;=DATE(2026,3,1))*('DRAFT 2'!$A:$A&lt;DATE(2026,IF(3=12,3+1,3+1),1)),'DRAFT 2'!$A:$A),"")</f>
        <v/>
      </c>
      <c r="DK53">
        <f>COUNTIFS('DRAFT 2'!$D:$D,$B53,'DRAFT 2'!$A:$A,"&gt;="&amp;DATE(2026,3,1),'DRAFT 2'!$A:$A,"&lt;="&amp;DATE(2026,3,7))</f>
        <v/>
      </c>
      <c r="DL53">
        <f>COUNTIFS('DRAFT 2'!$D:$D,$B53,'DRAFT 2'!$A:$A,"&gt;="&amp;DATE(2026,3,8),'DRAFT 2'!$A:$A,"&lt;="&amp;DATE(2026,3,14))</f>
        <v/>
      </c>
      <c r="DM53">
        <f>COUNTIFS('DRAFT 2'!$D:$D,$B53,'DRAFT 2'!$A:$A,"&gt;="&amp;DATE(2026,3,15),'DRAFT 2'!$A:$A,"&lt;="&amp;DATE(2026,3,21))</f>
        <v/>
      </c>
      <c r="DN53">
        <f>COUNTIFS('DRAFT 2'!$D:$D,$B53,'DRAFT 2'!$A:$A,"&gt;="&amp;DATE(2026,3,22),'DRAFT 2'!$A:$A,"&lt;"&amp;DATE(2026,IF(3=12,3+1,3+1),1))</f>
        <v/>
      </c>
      <c r="DO53">
        <f>SUM(DK53:DN53)</f>
        <v/>
      </c>
      <c r="DZ53">
        <f>IFERROR(LOOKUP(2,1/('DRAFT 2'!$D:$D=$B53)*('DRAFT 2'!$A:$A&gt;=DATE(2026,4,1))*('DRAFT 2'!$A:$A&lt;DATE(2026,IF(4=12,4+1,4+1),1)),'DRAFT 2'!$A:$A),"")</f>
        <v/>
      </c>
      <c r="EA53">
        <f>COUNTIFS('DRAFT 2'!$D:$D,$B53,'DRAFT 2'!$A:$A,"&gt;="&amp;DATE(2026,4,1),'DRAFT 2'!$A:$A,"&lt;="&amp;DATE(2026,4,7))</f>
        <v/>
      </c>
      <c r="EB53">
        <f>COUNTIFS('DRAFT 2'!$D:$D,$B53,'DRAFT 2'!$A:$A,"&gt;="&amp;DATE(2026,4,8),'DRAFT 2'!$A:$A,"&lt;="&amp;DATE(2026,4,14))</f>
        <v/>
      </c>
      <c r="EC53">
        <f>COUNTIFS('DRAFT 2'!$D:$D,$B53,'DRAFT 2'!$A:$A,"&gt;="&amp;DATE(2026,4,15),'DRAFT 2'!$A:$A,"&lt;="&amp;DATE(2026,4,21))</f>
        <v/>
      </c>
      <c r="ED53">
        <f>COUNTIFS('DRAFT 2'!$D:$D,$B53,'DRAFT 2'!$A:$A,"&gt;="&amp;DATE(2026,4,22),'DRAFT 2'!$A:$A,"&lt;"&amp;DATE(2026,IF(4=12,4+1,4+1),1))</f>
        <v/>
      </c>
      <c r="EE53">
        <f>SUM(EA53:ED53)</f>
        <v/>
      </c>
      <c r="EO53">
        <f>IFERROR(LOOKUP(2,1/('DRAFT 2'!$D:$D=$B53)*('DRAFT 2'!$A:$A&gt;=DATE(2026,5,1))*('DRAFT 2'!$A:$A&lt;DATE(2026,IF(5=12,5+1,5+1),1)),'DRAFT 2'!$A:$A),"")</f>
        <v/>
      </c>
      <c r="EP53">
        <f>COUNTIFS('DRAFT 2'!$D:$D,$B53,'DRAFT 2'!$A:$A,"&gt;="&amp;DATE(2026,5,1),'DRAFT 2'!$A:$A,"&lt;="&amp;DATE(2026,5,7))</f>
        <v/>
      </c>
      <c r="EQ53">
        <f>COUNTIFS('DRAFT 2'!$D:$D,$B53,'DRAFT 2'!$A:$A,"&gt;="&amp;DATE(2026,5,8),'DRAFT 2'!$A:$A,"&lt;="&amp;DATE(2026,5,14))</f>
        <v/>
      </c>
      <c r="ER53">
        <f>COUNTIFS('DRAFT 2'!$D:$D,$B53,'DRAFT 2'!$A:$A,"&gt;="&amp;DATE(2026,5,15),'DRAFT 2'!$A:$A,"&lt;="&amp;DATE(2026,5,21))</f>
        <v/>
      </c>
      <c r="ES53">
        <f>COUNTIFS('DRAFT 2'!$D:$D,$B53,'DRAFT 2'!$A:$A,"&gt;="&amp;DATE(2026,5,22),'DRAFT 2'!$A:$A,"&lt;"&amp;DATE(2026,IF(5=12,5+1,5+1),1))</f>
        <v/>
      </c>
      <c r="ET53">
        <f>SUM(EP53:ES53)</f>
        <v/>
      </c>
      <c r="FD53">
        <f>IFERROR(LOOKUP(2,1/('DRAFT 2'!$D:$D=$B53)*('DRAFT 2'!$A:$A&gt;=DATE(2026,6,1))*('DRAFT 2'!$A:$A&lt;DATE(2026,IF(6=12,6+1,6+1),1)),'DRAFT 2'!$A:$A),"")</f>
        <v/>
      </c>
      <c r="FE53">
        <f>COUNTIFS('DRAFT 2'!$D:$D,$B53,'DRAFT 2'!$A:$A,"&gt;="&amp;DATE(2026,6,1),'DRAFT 2'!$A:$A,"&lt;="&amp;DATE(2026,6,7))</f>
        <v/>
      </c>
      <c r="FF53">
        <f>COUNTIFS('DRAFT 2'!$D:$D,$B53,'DRAFT 2'!$A:$A,"&gt;="&amp;DATE(2026,6,8),'DRAFT 2'!$A:$A,"&lt;="&amp;DATE(2026,6,14))</f>
        <v/>
      </c>
      <c r="FG53">
        <f>COUNTIFS('DRAFT 2'!$D:$D,$B53,'DRAFT 2'!$A:$A,"&gt;="&amp;DATE(2026,6,15),'DRAFT 2'!$A:$A,"&lt;="&amp;DATE(2026,6,21))</f>
        <v/>
      </c>
      <c r="FH53">
        <f>COUNTIFS('DRAFT 2'!$D:$D,$B53,'DRAFT 2'!$A:$A,"&gt;="&amp;DATE(2026,6,22),'DRAFT 2'!$A:$A,"&lt;"&amp;DATE(2026,IF(6=12,6+1,6+1),1))</f>
        <v/>
      </c>
      <c r="FI53">
        <f>SUM(FE53:FH53)</f>
        <v/>
      </c>
      <c r="FT53">
        <f>IFERROR(LOOKUP(2,1/('DRAFT 2'!$D:$D=$B53)*('DRAFT 2'!$A:$A&gt;=DATE(2026,7,1))*('DRAFT 2'!$A:$A&lt;DATE(2026,IF(7=12,7+1,7+1),1)),'DRAFT 2'!$A:$A),"")</f>
        <v/>
      </c>
      <c r="FU53">
        <f>COUNTIFS('DRAFT 2'!$D:$D,$B53,'DRAFT 2'!$A:$A,"&gt;="&amp;DATE(2026,7,1),'DRAFT 2'!$A:$A,"&lt;="&amp;DATE(2026,7,7))</f>
        <v/>
      </c>
      <c r="FV53">
        <f>COUNTIFS('DRAFT 2'!$D:$D,$B53,'DRAFT 2'!$A:$A,"&gt;="&amp;DATE(2026,7,8),'DRAFT 2'!$A:$A,"&lt;="&amp;DATE(2026,7,14))</f>
        <v/>
      </c>
      <c r="FW53">
        <f>COUNTIFS('DRAFT 2'!$D:$D,$B53,'DRAFT 2'!$A:$A,"&gt;="&amp;DATE(2026,7,15),'DRAFT 2'!$A:$A,"&lt;="&amp;DATE(2026,7,21))</f>
        <v/>
      </c>
      <c r="FX53">
        <f>COUNTIFS('DRAFT 2'!$D:$D,$B53,'DRAFT 2'!$A:$A,"&gt;="&amp;DATE(2026,7,22),'DRAFT 2'!$A:$A,"&lt;"&amp;DATE(2026,IF(7=12,7+1,7+1),1))</f>
        <v/>
      </c>
      <c r="FY53">
        <f>SUM(FU53:FX53)</f>
        <v/>
      </c>
      <c r="GI53">
        <f>IFERROR(LOOKUP(2,1/('DRAFT 2'!$D:$D=$B53)*('DRAFT 2'!$A:$A&gt;=DATE(2026,8,1))*('DRAFT 2'!$A:$A&lt;DATE(2026,IF(8=12,8+1,8+1),1)),'DRAFT 2'!$A:$A),"")</f>
        <v/>
      </c>
      <c r="GJ53">
        <f>COUNTIFS('DRAFT 2'!$D:$D,$B53,'DRAFT 2'!$A:$A,"&gt;="&amp;DATE(2026,8,1),'DRAFT 2'!$A:$A,"&lt;="&amp;DATE(2026,8,7))</f>
        <v/>
      </c>
      <c r="GK53">
        <f>COUNTIFS('DRAFT 2'!$D:$D,$B53,'DRAFT 2'!$A:$A,"&gt;="&amp;DATE(2026,8,8),'DRAFT 2'!$A:$A,"&lt;="&amp;DATE(2026,8,14))</f>
        <v/>
      </c>
      <c r="GL53">
        <f>COUNTIFS('DRAFT 2'!$D:$D,$B53,'DRAFT 2'!$A:$A,"&gt;="&amp;DATE(2026,8,15),'DRAFT 2'!$A:$A,"&lt;="&amp;DATE(2026,8,21))</f>
        <v/>
      </c>
      <c r="GM53">
        <f>COUNTIFS('DRAFT 2'!$D:$D,$B53,'DRAFT 2'!$A:$A,"&gt;="&amp;DATE(2026,8,22),'DRAFT 2'!$A:$A,"&lt;"&amp;DATE(2026,IF(8=12,8+1,8+1),1))</f>
        <v/>
      </c>
      <c r="GN53">
        <f>SUM(GJ53:GM53)</f>
        <v/>
      </c>
      <c r="GX53">
        <f>IFERROR(LOOKUP(2,1/('DRAFT 2'!$D:$D=$B53)*('DRAFT 2'!$A:$A&gt;=DATE(2026,9,1))*('DRAFT 2'!$A:$A&lt;DATE(2026,IF(9=12,9+1,9+1),1)),'DRAFT 2'!$A:$A),"")</f>
        <v/>
      </c>
      <c r="GY53">
        <f>COUNTIFS('DRAFT 2'!$D:$D,$B53,'DRAFT 2'!$A:$A,"&gt;="&amp;DATE(2026,9,1),'DRAFT 2'!$A:$A,"&lt;="&amp;DATE(2026,9,7))</f>
        <v/>
      </c>
      <c r="GZ53">
        <f>COUNTIFS('DRAFT 2'!$D:$D,$B53,'DRAFT 2'!$A:$A,"&gt;="&amp;DATE(2026,9,8),'DRAFT 2'!$A:$A,"&lt;="&amp;DATE(2026,9,14))</f>
        <v/>
      </c>
      <c r="HA53">
        <f>COUNTIFS('DRAFT 2'!$D:$D,$B53,'DRAFT 2'!$A:$A,"&gt;="&amp;DATE(2026,9,15),'DRAFT 2'!$A:$A,"&lt;="&amp;DATE(2026,9,21))</f>
        <v/>
      </c>
      <c r="HB53">
        <f>COUNTIFS('DRAFT 2'!$D:$D,$B53,'DRAFT 2'!$A:$A,"&gt;="&amp;DATE(2026,9,22),'DRAFT 2'!$A:$A,"&lt;"&amp;DATE(2026,IF(9=12,9+1,9+1),1))</f>
        <v/>
      </c>
      <c r="HC53">
        <f>SUM(GY53:HB53)</f>
        <v/>
      </c>
      <c r="HN53">
        <f>IFERROR(LOOKUP(2,1/('DRAFT 2'!$D:$D=$B53)*('DRAFT 2'!$A:$A&gt;=DATE(2026,10,1))*('DRAFT 2'!$A:$A&lt;DATE(2026,IF(10=12,10+1,10+1),1)),'DRAFT 2'!$A:$A),"")</f>
        <v/>
      </c>
      <c r="HO53">
        <f>COUNTIFS('DRAFT 2'!$D:$D,$B53,'DRAFT 2'!$A:$A,"&gt;="&amp;DATE(2026,10,1),'DRAFT 2'!$A:$A,"&lt;="&amp;DATE(2026,10,7))</f>
        <v/>
      </c>
      <c r="HP53">
        <f>COUNTIFS('DRAFT 2'!$D:$D,$B53,'DRAFT 2'!$A:$A,"&gt;="&amp;DATE(2026,10,8),'DRAFT 2'!$A:$A,"&lt;="&amp;DATE(2026,10,14))</f>
        <v/>
      </c>
      <c r="HQ53">
        <f>COUNTIFS('DRAFT 2'!$D:$D,$B53,'DRAFT 2'!$A:$A,"&gt;="&amp;DATE(2026,10,15),'DRAFT 2'!$A:$A,"&lt;="&amp;DATE(2026,10,21))</f>
        <v/>
      </c>
      <c r="HR53">
        <f>COUNTIFS('DRAFT 2'!$D:$D,$B53,'DRAFT 2'!$A:$A,"&gt;="&amp;DATE(2026,10,22),'DRAFT 2'!$A:$A,"&lt;"&amp;DATE(2026,IF(10=12,10+1,10+1),1))</f>
        <v/>
      </c>
      <c r="HS53">
        <f>SUM(HO53:HR53)</f>
        <v/>
      </c>
      <c r="IC53">
        <f>IFERROR(LOOKUP(2,1/('DRAFT 2'!$D:$D=$B53)*('DRAFT 2'!$A:$A&gt;=DATE(2026,11,1))*('DRAFT 2'!$A:$A&lt;DATE(2026,IF(11=12,11+1,11+1),1)),'DRAFT 2'!$A:$A),"")</f>
        <v/>
      </c>
      <c r="ID53">
        <f>COUNTIFS('DRAFT 2'!$D:$D,$B53,'DRAFT 2'!$A:$A,"&gt;="&amp;DATE(2026,11,1),'DRAFT 2'!$A:$A,"&lt;="&amp;DATE(2026,11,7))</f>
        <v/>
      </c>
      <c r="IE53">
        <f>COUNTIFS('DRAFT 2'!$D:$D,$B53,'DRAFT 2'!$A:$A,"&gt;="&amp;DATE(2026,11,8),'DRAFT 2'!$A:$A,"&lt;="&amp;DATE(2026,11,14))</f>
        <v/>
      </c>
      <c r="IF53">
        <f>COUNTIFS('DRAFT 2'!$D:$D,$B53,'DRAFT 2'!$A:$A,"&gt;="&amp;DATE(2026,11,15),'DRAFT 2'!$A:$A,"&lt;="&amp;DATE(2026,11,21))</f>
        <v/>
      </c>
      <c r="IG53">
        <f>COUNTIFS('DRAFT 2'!$D:$D,$B53,'DRAFT 2'!$A:$A,"&gt;="&amp;DATE(2026,11,22),'DRAFT 2'!$A:$A,"&lt;"&amp;DATE(2026,IF(11=12,11+1,11+1),1))</f>
        <v/>
      </c>
      <c r="IH53">
        <f>SUM(ID53:IG53)</f>
        <v/>
      </c>
      <c r="IR53">
        <f>IFERROR(LOOKUP(2,1/('DRAFT 2'!$D:$D=$B53)*('DRAFT 2'!$A:$A&gt;=DATE(2026,12,1))*('DRAFT 2'!$A:$A&lt;DATE(2026,IF(12=12,12+1,12+1),1)),'DRAFT 2'!$A:$A),"")</f>
        <v/>
      </c>
      <c r="IS53">
        <f>COUNTIFS('DRAFT 2'!$D:$D,$B53,'DRAFT 2'!$A:$A,"&gt;="&amp;DATE(2026,12,1),'DRAFT 2'!$A:$A,"&lt;="&amp;DATE(2026,12,7))</f>
        <v/>
      </c>
      <c r="IT53">
        <f>COUNTIFS('DRAFT 2'!$D:$D,$B53,'DRAFT 2'!$A:$A,"&gt;="&amp;DATE(2026,12,8),'DRAFT 2'!$A:$A,"&lt;="&amp;DATE(2026,12,14))</f>
        <v/>
      </c>
      <c r="IU53">
        <f>COUNTIFS('DRAFT 2'!$D:$D,$B53,'DRAFT 2'!$A:$A,"&gt;="&amp;DATE(2026,12,15),'DRAFT 2'!$A:$A,"&lt;="&amp;DATE(2026,12,21))</f>
        <v/>
      </c>
      <c r="IV53">
        <f>COUNTIFS('DRAFT 2'!$D:$D,$B53,'DRAFT 2'!$A:$A,"&gt;="&amp;DATE(2026,12,22),'DRAFT 2'!$A:$A,"&lt;"&amp;DATE(2026,IF(12=12,12+1,12+1),1))</f>
        <v/>
      </c>
      <c r="IW53">
        <f>SUM(IS53:IV53)</f>
        <v/>
      </c>
    </row>
    <row r="54">
      <c r="A54">
        <f>IFERROR(INDEX('DRAFT 1'!$A:$A,MATCH($B54,'DRAFT 1'!$B:$B,0)),"")</f>
        <v/>
      </c>
      <c r="C54">
        <f>IFERROR(INDEX('DRAFT 1'!$C:$C,MATCH($B54,'DRAFT 1'!$B:$B,0)),"")</f>
        <v/>
      </c>
      <c r="D54">
        <f>IFERROR(INDEX('DRAFT 1'!$D:$D,MATCH($B54,'DRAFT 1'!$B:$B,0)),"")</f>
        <v/>
      </c>
      <c r="E54">
        <f>IFERROR(INDEX('DRAFT 1'!$E:$E,MATCH($B54,'DRAFT 1'!$B:$B,0)),"")</f>
        <v/>
      </c>
      <c r="F54">
        <f>IFERROR(INDEX('DRAFT 1'!$F:$F,MATCH($B54,'DRAFT 1'!$B:$B,0)),"")</f>
        <v/>
      </c>
      <c r="G54">
        <f>IFERROR(INDEX('DRAFT 1'!$G:$G,MATCH($B54,'DRAFT 1'!$B:$B,0)),"")</f>
        <v/>
      </c>
      <c r="H54">
        <f>IFERROR(INDEX('DRAFT 1'!$H:$H,MATCH($B54,'DRAFT 1'!$B:$B,0)),"")</f>
        <v/>
      </c>
      <c r="I54" t="inlineStr">
        <is>
          <t>BIOMUNDO</t>
        </is>
      </c>
      <c r="K54">
        <f>IFERROR(INDEX('DRAFT 1'!$AL:$AL,MATCH($B54,'DRAFT 1'!$B:$B,0)),"")</f>
        <v/>
      </c>
      <c r="L54">
        <f>IFERROR(INDEX('DRAFT 1'!$J:$J,MATCH($B54,'DRAFT 1'!$B:$B,0)),"")</f>
        <v/>
      </c>
      <c r="M54">
        <f>IFERROR(INDEX('DRAFT 1'!$K:$K,MATCH($B54,'DRAFT 1'!$B:$B,0)),"")</f>
        <v/>
      </c>
      <c r="N54" t="inlineStr">
        <is>
          <t>ATIVO</t>
        </is>
      </c>
      <c r="P54">
        <f>IFERROR(INDEX('DRAFT 1'!$L:$L,MATCH($B54,'DRAFT 1'!$B:$B,0)),"")</f>
        <v/>
      </c>
      <c r="Q54">
        <f>IFERROR(INDEX('DRAFT 1'!$M:$M,MATCH($B54,'DRAFT 1'!$B:$B,0)),"")</f>
        <v/>
      </c>
      <c r="R54">
        <f>IFERROR(INDEX('DRAFT 1'!$N:$N,MATCH($B54,'DRAFT 1'!$B:$B,0)),"")</f>
        <v/>
      </c>
      <c r="S54">
        <f>IFERROR(INDEX('DRAFT 1'!$O:$O,MATCH($B54,'DRAFT 1'!$B:$B,0)),"")</f>
        <v/>
      </c>
      <c r="T54">
        <f>IFERROR(INDEX('DRAFT 1'!$P:$P,MATCH($B54,'DRAFT 1'!$B:$B,0)),"")</f>
        <v/>
      </c>
      <c r="U54">
        <f>IFERROR(INDEX('DRAFT 1'!$Q:$Q,MATCH($B54,'DRAFT 1'!$B:$B,0)),"")</f>
        <v/>
      </c>
      <c r="V54">
        <f>IFERROR(INDEX('DRAFT 1'!$R:$R,MATCH($B54,'DRAFT 1'!$B:$B,0)),"")</f>
        <v/>
      </c>
      <c r="W54">
        <f>IFERROR(INDEX('DRAFT 1'!$S:$S,MATCH($B54,'DRAFT 1'!$B:$B,0)),"")</f>
        <v/>
      </c>
      <c r="X54">
        <f>IFERROR(INDEX('DRAFT 1'!$T:$T,MATCH($B54,'DRAFT 1'!$B:$B,0)),"")</f>
        <v/>
      </c>
      <c r="Z54">
        <f>IFERROR(INDEX('DRAFT 1'!$U:$U,MATCH($B54,'DRAFT 1'!$B:$B,0)),"")</f>
        <v/>
      </c>
      <c r="AA54">
        <f>IFERROR(INDEX('DRAFT 1'!$V:$V,MATCH($B54,'DRAFT 1'!$B:$B,0)),"")</f>
        <v/>
      </c>
      <c r="AB54">
        <f>IFERROR(INDEX('DRAFT 1'!$W:$W,MATCH($B54,'DRAFT 1'!$B:$B,0)),"")</f>
        <v/>
      </c>
      <c r="AC54">
        <f>IFERROR(INDEX('DRAFT 1'!$X:$X,MATCH($B54,'DRAFT 1'!$B:$B,0)),"")</f>
        <v/>
      </c>
      <c r="AD54">
        <f>IFERROR(INDEX('DRAFT 1'!$Y:$Y,MATCH($B54,'DRAFT 1'!$B:$B,0)),"")</f>
        <v/>
      </c>
      <c r="AE54">
        <f>IFERROR(INDEX('DRAFT 1'!$Z:$Z,MATCH($B54,'DRAFT 1'!$B:$B,0)),"")</f>
        <v/>
      </c>
      <c r="AF54">
        <f>IFERROR(INDEX('DRAFT 1'!$AA:$AA,MATCH($B54,'DRAFT 1'!$B:$B,0)),"")</f>
        <v/>
      </c>
      <c r="AG54">
        <f>IFERROR(INDEX('DRAFT 1'!$AB:$AB,MATCH($B54,'DRAFT 1'!$B:$B,0)),"")</f>
        <v/>
      </c>
      <c r="AH54">
        <f>IFERROR(INDEX('DRAFT 1'!$AC:$AC,MATCH($B54,'DRAFT 1'!$B:$B,0)),"")</f>
        <v/>
      </c>
      <c r="AI54">
        <f>IFERROR(INDEX('DRAFT 1'!$AD:$AD,MATCH($B54,'DRAFT 1'!$B:$B,0)),"")</f>
        <v/>
      </c>
      <c r="AJ54">
        <f>IFERROR(INDEX('DRAFT 1'!$AE:$AE,MATCH($B54,'DRAFT 1'!$B:$B,0)),"")</f>
        <v/>
      </c>
      <c r="AK54">
        <f>IFERROR(INDEX('DRAFT 1'!$AG:$AG,MATCH($B54,'DRAFT 1'!$B:$B,0)),"")</f>
        <v/>
      </c>
      <c r="AL54">
        <f>IFERROR(INDEX('DRAFT 1'!$AH:$AH,MATCH($B54,'DRAFT 1'!$B:$B,0)),"")</f>
        <v/>
      </c>
      <c r="AM54">
        <f>IFERROR(INDEX('DRAFT 1'!$AI:$AI,MATCH($B54,'DRAFT 1'!$B:$B,0)),"")</f>
        <v/>
      </c>
      <c r="AN54">
        <f>IFERROR(INDEX('DRAFT 1'!$AJ:$AJ,MATCH($B54,'DRAFT 1'!$B:$B,0)),"")</f>
        <v/>
      </c>
      <c r="AO54">
        <f>IFERROR(Y54/AN54,0)</f>
        <v/>
      </c>
      <c r="AP54">
        <f>IFERROR(INDEX('DRAFT 1'!$AK:$AK,MATCH($B54,'DRAFT 1'!$B:$B,0)),"")</f>
        <v/>
      </c>
      <c r="AR54" t="inlineStr">
        <is>
          <t>RECOMPRA</t>
        </is>
      </c>
      <c r="AS54">
        <f>IFERROR(LOOKUP(2,1/('DRAFT 2'!$D:$D=$B54),'DRAFT 2'!$T:$T),"")</f>
        <v/>
      </c>
      <c r="AT54">
        <f>IFERROR(LOOKUP(2,1/('DRAFT 2'!$D:$D=$B54),'DRAFT 2'!$A:$A),"")</f>
        <v/>
      </c>
      <c r="AU54">
        <f>IFERROR(LOOKUP(2,1/('DRAFT 2'!$D:$D=$B54),'DRAFT 2'!$R:$R),"")</f>
        <v/>
      </c>
      <c r="AV54">
        <f>IFERROR(LOOKUP(2,1/('DRAFT 2'!$D:$D=$B54),'DRAFT 2'!$S:$S),"")</f>
        <v/>
      </c>
      <c r="AW54" t="inlineStr">
        <is>
          <t>EM DESENVOLVIMENTO</t>
        </is>
      </c>
      <c r="AX54">
        <f>IFERROR(LOOKUP(2,1/('DRAFT 2'!$D:$D=$B54),'DRAFT 2'!$M:$M),"")</f>
        <v/>
      </c>
      <c r="AY54">
        <f>IFERROR(LOOKUP(2,1/('DRAFT 2'!$D:$D=$B54),'DRAFT 2'!$K:$K),"")</f>
        <v/>
      </c>
      <c r="BG54">
        <f>IFERROR(LOOKUP(2,1/('DRAFT 2'!$D:$D=$B54),'DRAFT 2'!$U:$U),"")</f>
        <v/>
      </c>
      <c r="BH54">
        <f>IFERROR(LOOKUP(2,1/('DRAFT 2'!$D:$D=$B54),'DRAFT 2'!$V:$V),"")</f>
        <v/>
      </c>
      <c r="CE54">
        <f>IFERROR(AJ54,0)</f>
        <v/>
      </c>
      <c r="CF54">
        <f>IFERROR(LOOKUP(2,1/('DRAFT 2'!$D:$D=$B54)*('DRAFT 2'!$A:$A&gt;=DATE(2026,1,1))*('DRAFT 2'!$A:$A&lt;DATE(2026,IF(1=12,1+1,1+1),1)),'DRAFT 2'!$A:$A),"")</f>
        <v/>
      </c>
      <c r="CG54">
        <f>COUNTIFS('DRAFT 2'!$D:$D,$B54,'DRAFT 2'!$A:$A,"&gt;="&amp;DATE(2026,1,1),'DRAFT 2'!$A:$A,"&lt;="&amp;DATE(2026,1,7))</f>
        <v/>
      </c>
      <c r="CH54">
        <f>COUNTIFS('DRAFT 2'!$D:$D,$B54,'DRAFT 2'!$A:$A,"&gt;="&amp;DATE(2026,1,8),'DRAFT 2'!$A:$A,"&lt;="&amp;DATE(2026,1,14))</f>
        <v/>
      </c>
      <c r="CI54">
        <f>COUNTIFS('DRAFT 2'!$D:$D,$B54,'DRAFT 2'!$A:$A,"&gt;="&amp;DATE(2026,1,15),'DRAFT 2'!$A:$A,"&lt;="&amp;DATE(2026,1,21))</f>
        <v/>
      </c>
      <c r="CJ54">
        <f>COUNTIFS('DRAFT 2'!$D:$D,$B54,'DRAFT 2'!$A:$A,"&gt;="&amp;DATE(2026,1,22),'DRAFT 2'!$A:$A,"&lt;"&amp;DATE(2026,IF(1=12,1+1,1+1),1))</f>
        <v/>
      </c>
      <c r="CK54">
        <f>SUM(CG54:CJ54)</f>
        <v/>
      </c>
      <c r="CT54" t="n">
        <v>0</v>
      </c>
      <c r="CU54">
        <f>IFERROR(LOOKUP(2,1/('DRAFT 2'!$D:$D=$B54)*('DRAFT 2'!$A:$A&gt;=DATE(2026,2,1))*('DRAFT 2'!$A:$A&lt;DATE(2026,IF(2=12,2+1,2+1),1)),'DRAFT 2'!$A:$A),"")</f>
        <v/>
      </c>
      <c r="CV54">
        <f>COUNTIFS('DRAFT 2'!$D:$D,$B54,'DRAFT 2'!$A:$A,"&gt;="&amp;DATE(2026,2,1),'DRAFT 2'!$A:$A,"&lt;="&amp;DATE(2026,2,7))</f>
        <v/>
      </c>
      <c r="CW54">
        <f>COUNTIFS('DRAFT 2'!$D:$D,$B54,'DRAFT 2'!$A:$A,"&gt;="&amp;DATE(2026,2,8),'DRAFT 2'!$A:$A,"&lt;="&amp;DATE(2026,2,14))</f>
        <v/>
      </c>
      <c r="CX54">
        <f>COUNTIFS('DRAFT 2'!$D:$D,$B54,'DRAFT 2'!$A:$A,"&gt;="&amp;DATE(2026,2,15),'DRAFT 2'!$A:$A,"&lt;="&amp;DATE(2026,2,21))</f>
        <v/>
      </c>
      <c r="CY54">
        <f>COUNTIFS('DRAFT 2'!$D:$D,$B54,'DRAFT 2'!$A:$A,"&gt;="&amp;DATE(2026,2,22),'DRAFT 2'!$A:$A,"&lt;"&amp;DATE(2026,IF(2=12,2+1,2+1),1))</f>
        <v/>
      </c>
      <c r="CZ54">
        <f>SUM(CV54:CY54)</f>
        <v/>
      </c>
      <c r="DJ54">
        <f>IFERROR(LOOKUP(2,1/('DRAFT 2'!$D:$D=$B54)*('DRAFT 2'!$A:$A&gt;=DATE(2026,3,1))*('DRAFT 2'!$A:$A&lt;DATE(2026,IF(3=12,3+1,3+1),1)),'DRAFT 2'!$A:$A),"")</f>
        <v/>
      </c>
      <c r="DK54">
        <f>COUNTIFS('DRAFT 2'!$D:$D,$B54,'DRAFT 2'!$A:$A,"&gt;="&amp;DATE(2026,3,1),'DRAFT 2'!$A:$A,"&lt;="&amp;DATE(2026,3,7))</f>
        <v/>
      </c>
      <c r="DL54">
        <f>COUNTIFS('DRAFT 2'!$D:$D,$B54,'DRAFT 2'!$A:$A,"&gt;="&amp;DATE(2026,3,8),'DRAFT 2'!$A:$A,"&lt;="&amp;DATE(2026,3,14))</f>
        <v/>
      </c>
      <c r="DM54">
        <f>COUNTIFS('DRAFT 2'!$D:$D,$B54,'DRAFT 2'!$A:$A,"&gt;="&amp;DATE(2026,3,15),'DRAFT 2'!$A:$A,"&lt;="&amp;DATE(2026,3,21))</f>
        <v/>
      </c>
      <c r="DN54">
        <f>COUNTIFS('DRAFT 2'!$D:$D,$B54,'DRAFT 2'!$A:$A,"&gt;="&amp;DATE(2026,3,22),'DRAFT 2'!$A:$A,"&lt;"&amp;DATE(2026,IF(3=12,3+1,3+1),1))</f>
        <v/>
      </c>
      <c r="DO54">
        <f>SUM(DK54:DN54)</f>
        <v/>
      </c>
      <c r="DZ54">
        <f>IFERROR(LOOKUP(2,1/('DRAFT 2'!$D:$D=$B54)*('DRAFT 2'!$A:$A&gt;=DATE(2026,4,1))*('DRAFT 2'!$A:$A&lt;DATE(2026,IF(4=12,4+1,4+1),1)),'DRAFT 2'!$A:$A),"")</f>
        <v/>
      </c>
      <c r="EA54">
        <f>COUNTIFS('DRAFT 2'!$D:$D,$B54,'DRAFT 2'!$A:$A,"&gt;="&amp;DATE(2026,4,1),'DRAFT 2'!$A:$A,"&lt;="&amp;DATE(2026,4,7))</f>
        <v/>
      </c>
      <c r="EB54">
        <f>COUNTIFS('DRAFT 2'!$D:$D,$B54,'DRAFT 2'!$A:$A,"&gt;="&amp;DATE(2026,4,8),'DRAFT 2'!$A:$A,"&lt;="&amp;DATE(2026,4,14))</f>
        <v/>
      </c>
      <c r="EC54">
        <f>COUNTIFS('DRAFT 2'!$D:$D,$B54,'DRAFT 2'!$A:$A,"&gt;="&amp;DATE(2026,4,15),'DRAFT 2'!$A:$A,"&lt;="&amp;DATE(2026,4,21))</f>
        <v/>
      </c>
      <c r="ED54">
        <f>COUNTIFS('DRAFT 2'!$D:$D,$B54,'DRAFT 2'!$A:$A,"&gt;="&amp;DATE(2026,4,22),'DRAFT 2'!$A:$A,"&lt;"&amp;DATE(2026,IF(4=12,4+1,4+1),1))</f>
        <v/>
      </c>
      <c r="EE54">
        <f>SUM(EA54:ED54)</f>
        <v/>
      </c>
      <c r="EO54">
        <f>IFERROR(LOOKUP(2,1/('DRAFT 2'!$D:$D=$B54)*('DRAFT 2'!$A:$A&gt;=DATE(2026,5,1))*('DRAFT 2'!$A:$A&lt;DATE(2026,IF(5=12,5+1,5+1),1)),'DRAFT 2'!$A:$A),"")</f>
        <v/>
      </c>
      <c r="EP54">
        <f>COUNTIFS('DRAFT 2'!$D:$D,$B54,'DRAFT 2'!$A:$A,"&gt;="&amp;DATE(2026,5,1),'DRAFT 2'!$A:$A,"&lt;="&amp;DATE(2026,5,7))</f>
        <v/>
      </c>
      <c r="EQ54">
        <f>COUNTIFS('DRAFT 2'!$D:$D,$B54,'DRAFT 2'!$A:$A,"&gt;="&amp;DATE(2026,5,8),'DRAFT 2'!$A:$A,"&lt;="&amp;DATE(2026,5,14))</f>
        <v/>
      </c>
      <c r="ER54">
        <f>COUNTIFS('DRAFT 2'!$D:$D,$B54,'DRAFT 2'!$A:$A,"&gt;="&amp;DATE(2026,5,15),'DRAFT 2'!$A:$A,"&lt;="&amp;DATE(2026,5,21))</f>
        <v/>
      </c>
      <c r="ES54">
        <f>COUNTIFS('DRAFT 2'!$D:$D,$B54,'DRAFT 2'!$A:$A,"&gt;="&amp;DATE(2026,5,22),'DRAFT 2'!$A:$A,"&lt;"&amp;DATE(2026,IF(5=12,5+1,5+1),1))</f>
        <v/>
      </c>
      <c r="ET54">
        <f>SUM(EP54:ES54)</f>
        <v/>
      </c>
      <c r="FD54">
        <f>IFERROR(LOOKUP(2,1/('DRAFT 2'!$D:$D=$B54)*('DRAFT 2'!$A:$A&gt;=DATE(2026,6,1))*('DRAFT 2'!$A:$A&lt;DATE(2026,IF(6=12,6+1,6+1),1)),'DRAFT 2'!$A:$A),"")</f>
        <v/>
      </c>
      <c r="FE54">
        <f>COUNTIFS('DRAFT 2'!$D:$D,$B54,'DRAFT 2'!$A:$A,"&gt;="&amp;DATE(2026,6,1),'DRAFT 2'!$A:$A,"&lt;="&amp;DATE(2026,6,7))</f>
        <v/>
      </c>
      <c r="FF54">
        <f>COUNTIFS('DRAFT 2'!$D:$D,$B54,'DRAFT 2'!$A:$A,"&gt;="&amp;DATE(2026,6,8),'DRAFT 2'!$A:$A,"&lt;="&amp;DATE(2026,6,14))</f>
        <v/>
      </c>
      <c r="FG54">
        <f>COUNTIFS('DRAFT 2'!$D:$D,$B54,'DRAFT 2'!$A:$A,"&gt;="&amp;DATE(2026,6,15),'DRAFT 2'!$A:$A,"&lt;="&amp;DATE(2026,6,21))</f>
        <v/>
      </c>
      <c r="FH54">
        <f>COUNTIFS('DRAFT 2'!$D:$D,$B54,'DRAFT 2'!$A:$A,"&gt;="&amp;DATE(2026,6,22),'DRAFT 2'!$A:$A,"&lt;"&amp;DATE(2026,IF(6=12,6+1,6+1),1))</f>
        <v/>
      </c>
      <c r="FI54">
        <f>SUM(FE54:FH54)</f>
        <v/>
      </c>
      <c r="FT54">
        <f>IFERROR(LOOKUP(2,1/('DRAFT 2'!$D:$D=$B54)*('DRAFT 2'!$A:$A&gt;=DATE(2026,7,1))*('DRAFT 2'!$A:$A&lt;DATE(2026,IF(7=12,7+1,7+1),1)),'DRAFT 2'!$A:$A),"")</f>
        <v/>
      </c>
      <c r="FU54">
        <f>COUNTIFS('DRAFT 2'!$D:$D,$B54,'DRAFT 2'!$A:$A,"&gt;="&amp;DATE(2026,7,1),'DRAFT 2'!$A:$A,"&lt;="&amp;DATE(2026,7,7))</f>
        <v/>
      </c>
      <c r="FV54">
        <f>COUNTIFS('DRAFT 2'!$D:$D,$B54,'DRAFT 2'!$A:$A,"&gt;="&amp;DATE(2026,7,8),'DRAFT 2'!$A:$A,"&lt;="&amp;DATE(2026,7,14))</f>
        <v/>
      </c>
      <c r="FW54">
        <f>COUNTIFS('DRAFT 2'!$D:$D,$B54,'DRAFT 2'!$A:$A,"&gt;="&amp;DATE(2026,7,15),'DRAFT 2'!$A:$A,"&lt;="&amp;DATE(2026,7,21))</f>
        <v/>
      </c>
      <c r="FX54">
        <f>COUNTIFS('DRAFT 2'!$D:$D,$B54,'DRAFT 2'!$A:$A,"&gt;="&amp;DATE(2026,7,22),'DRAFT 2'!$A:$A,"&lt;"&amp;DATE(2026,IF(7=12,7+1,7+1),1))</f>
        <v/>
      </c>
      <c r="FY54">
        <f>SUM(FU54:FX54)</f>
        <v/>
      </c>
      <c r="GI54">
        <f>IFERROR(LOOKUP(2,1/('DRAFT 2'!$D:$D=$B54)*('DRAFT 2'!$A:$A&gt;=DATE(2026,8,1))*('DRAFT 2'!$A:$A&lt;DATE(2026,IF(8=12,8+1,8+1),1)),'DRAFT 2'!$A:$A),"")</f>
        <v/>
      </c>
      <c r="GJ54">
        <f>COUNTIFS('DRAFT 2'!$D:$D,$B54,'DRAFT 2'!$A:$A,"&gt;="&amp;DATE(2026,8,1),'DRAFT 2'!$A:$A,"&lt;="&amp;DATE(2026,8,7))</f>
        <v/>
      </c>
      <c r="GK54">
        <f>COUNTIFS('DRAFT 2'!$D:$D,$B54,'DRAFT 2'!$A:$A,"&gt;="&amp;DATE(2026,8,8),'DRAFT 2'!$A:$A,"&lt;="&amp;DATE(2026,8,14))</f>
        <v/>
      </c>
      <c r="GL54">
        <f>COUNTIFS('DRAFT 2'!$D:$D,$B54,'DRAFT 2'!$A:$A,"&gt;="&amp;DATE(2026,8,15),'DRAFT 2'!$A:$A,"&lt;="&amp;DATE(2026,8,21))</f>
        <v/>
      </c>
      <c r="GM54">
        <f>COUNTIFS('DRAFT 2'!$D:$D,$B54,'DRAFT 2'!$A:$A,"&gt;="&amp;DATE(2026,8,22),'DRAFT 2'!$A:$A,"&lt;"&amp;DATE(2026,IF(8=12,8+1,8+1),1))</f>
        <v/>
      </c>
      <c r="GN54">
        <f>SUM(GJ54:GM54)</f>
        <v/>
      </c>
      <c r="GX54">
        <f>IFERROR(LOOKUP(2,1/('DRAFT 2'!$D:$D=$B54)*('DRAFT 2'!$A:$A&gt;=DATE(2026,9,1))*('DRAFT 2'!$A:$A&lt;DATE(2026,IF(9=12,9+1,9+1),1)),'DRAFT 2'!$A:$A),"")</f>
        <v/>
      </c>
      <c r="GY54">
        <f>COUNTIFS('DRAFT 2'!$D:$D,$B54,'DRAFT 2'!$A:$A,"&gt;="&amp;DATE(2026,9,1),'DRAFT 2'!$A:$A,"&lt;="&amp;DATE(2026,9,7))</f>
        <v/>
      </c>
      <c r="GZ54">
        <f>COUNTIFS('DRAFT 2'!$D:$D,$B54,'DRAFT 2'!$A:$A,"&gt;="&amp;DATE(2026,9,8),'DRAFT 2'!$A:$A,"&lt;="&amp;DATE(2026,9,14))</f>
        <v/>
      </c>
      <c r="HA54">
        <f>COUNTIFS('DRAFT 2'!$D:$D,$B54,'DRAFT 2'!$A:$A,"&gt;="&amp;DATE(2026,9,15),'DRAFT 2'!$A:$A,"&lt;="&amp;DATE(2026,9,21))</f>
        <v/>
      </c>
      <c r="HB54">
        <f>COUNTIFS('DRAFT 2'!$D:$D,$B54,'DRAFT 2'!$A:$A,"&gt;="&amp;DATE(2026,9,22),'DRAFT 2'!$A:$A,"&lt;"&amp;DATE(2026,IF(9=12,9+1,9+1),1))</f>
        <v/>
      </c>
      <c r="HC54">
        <f>SUM(GY54:HB54)</f>
        <v/>
      </c>
      <c r="HN54">
        <f>IFERROR(LOOKUP(2,1/('DRAFT 2'!$D:$D=$B54)*('DRAFT 2'!$A:$A&gt;=DATE(2026,10,1))*('DRAFT 2'!$A:$A&lt;DATE(2026,IF(10=12,10+1,10+1),1)),'DRAFT 2'!$A:$A),"")</f>
        <v/>
      </c>
      <c r="HO54">
        <f>COUNTIFS('DRAFT 2'!$D:$D,$B54,'DRAFT 2'!$A:$A,"&gt;="&amp;DATE(2026,10,1),'DRAFT 2'!$A:$A,"&lt;="&amp;DATE(2026,10,7))</f>
        <v/>
      </c>
      <c r="HP54">
        <f>COUNTIFS('DRAFT 2'!$D:$D,$B54,'DRAFT 2'!$A:$A,"&gt;="&amp;DATE(2026,10,8),'DRAFT 2'!$A:$A,"&lt;="&amp;DATE(2026,10,14))</f>
        <v/>
      </c>
      <c r="HQ54">
        <f>COUNTIFS('DRAFT 2'!$D:$D,$B54,'DRAFT 2'!$A:$A,"&gt;="&amp;DATE(2026,10,15),'DRAFT 2'!$A:$A,"&lt;="&amp;DATE(2026,10,21))</f>
        <v/>
      </c>
      <c r="HR54">
        <f>COUNTIFS('DRAFT 2'!$D:$D,$B54,'DRAFT 2'!$A:$A,"&gt;="&amp;DATE(2026,10,22),'DRAFT 2'!$A:$A,"&lt;"&amp;DATE(2026,IF(10=12,10+1,10+1),1))</f>
        <v/>
      </c>
      <c r="HS54">
        <f>SUM(HO54:HR54)</f>
        <v/>
      </c>
      <c r="IC54">
        <f>IFERROR(LOOKUP(2,1/('DRAFT 2'!$D:$D=$B54)*('DRAFT 2'!$A:$A&gt;=DATE(2026,11,1))*('DRAFT 2'!$A:$A&lt;DATE(2026,IF(11=12,11+1,11+1),1)),'DRAFT 2'!$A:$A),"")</f>
        <v/>
      </c>
      <c r="ID54">
        <f>COUNTIFS('DRAFT 2'!$D:$D,$B54,'DRAFT 2'!$A:$A,"&gt;="&amp;DATE(2026,11,1),'DRAFT 2'!$A:$A,"&lt;="&amp;DATE(2026,11,7))</f>
        <v/>
      </c>
      <c r="IE54">
        <f>COUNTIFS('DRAFT 2'!$D:$D,$B54,'DRAFT 2'!$A:$A,"&gt;="&amp;DATE(2026,11,8),'DRAFT 2'!$A:$A,"&lt;="&amp;DATE(2026,11,14))</f>
        <v/>
      </c>
      <c r="IF54">
        <f>COUNTIFS('DRAFT 2'!$D:$D,$B54,'DRAFT 2'!$A:$A,"&gt;="&amp;DATE(2026,11,15),'DRAFT 2'!$A:$A,"&lt;="&amp;DATE(2026,11,21))</f>
        <v/>
      </c>
      <c r="IG54">
        <f>COUNTIFS('DRAFT 2'!$D:$D,$B54,'DRAFT 2'!$A:$A,"&gt;="&amp;DATE(2026,11,22),'DRAFT 2'!$A:$A,"&lt;"&amp;DATE(2026,IF(11=12,11+1,11+1),1))</f>
        <v/>
      </c>
      <c r="IH54">
        <f>SUM(ID54:IG54)</f>
        <v/>
      </c>
      <c r="IR54">
        <f>IFERROR(LOOKUP(2,1/('DRAFT 2'!$D:$D=$B54)*('DRAFT 2'!$A:$A&gt;=DATE(2026,12,1))*('DRAFT 2'!$A:$A&lt;DATE(2026,IF(12=12,12+1,12+1),1)),'DRAFT 2'!$A:$A),"")</f>
        <v/>
      </c>
      <c r="IS54">
        <f>COUNTIFS('DRAFT 2'!$D:$D,$B54,'DRAFT 2'!$A:$A,"&gt;="&amp;DATE(2026,12,1),'DRAFT 2'!$A:$A,"&lt;="&amp;DATE(2026,12,7))</f>
        <v/>
      </c>
      <c r="IT54">
        <f>COUNTIFS('DRAFT 2'!$D:$D,$B54,'DRAFT 2'!$A:$A,"&gt;="&amp;DATE(2026,12,8),'DRAFT 2'!$A:$A,"&lt;="&amp;DATE(2026,12,14))</f>
        <v/>
      </c>
      <c r="IU54">
        <f>COUNTIFS('DRAFT 2'!$D:$D,$B54,'DRAFT 2'!$A:$A,"&gt;="&amp;DATE(2026,12,15),'DRAFT 2'!$A:$A,"&lt;="&amp;DATE(2026,12,21))</f>
        <v/>
      </c>
      <c r="IV54">
        <f>COUNTIFS('DRAFT 2'!$D:$D,$B54,'DRAFT 2'!$A:$A,"&gt;="&amp;DATE(2026,12,22),'DRAFT 2'!$A:$A,"&lt;"&amp;DATE(2026,IF(12=12,12+1,12+1),1))</f>
        <v/>
      </c>
      <c r="IW54">
        <f>SUM(IS54:IV54)</f>
        <v/>
      </c>
    </row>
    <row r="55">
      <c r="A55">
        <f>IFERROR(INDEX('DRAFT 1'!$A:$A,MATCH($B55,'DRAFT 1'!$B:$B,0)),"")</f>
        <v/>
      </c>
      <c r="C55">
        <f>IFERROR(INDEX('DRAFT 1'!$C:$C,MATCH($B55,'DRAFT 1'!$B:$B,0)),"")</f>
        <v/>
      </c>
      <c r="D55">
        <f>IFERROR(INDEX('DRAFT 1'!$D:$D,MATCH($B55,'DRAFT 1'!$B:$B,0)),"")</f>
        <v/>
      </c>
      <c r="E55">
        <f>IFERROR(INDEX('DRAFT 1'!$E:$E,MATCH($B55,'DRAFT 1'!$B:$B,0)),"")</f>
        <v/>
      </c>
      <c r="F55">
        <f>IFERROR(INDEX('DRAFT 1'!$F:$F,MATCH($B55,'DRAFT 1'!$B:$B,0)),"")</f>
        <v/>
      </c>
      <c r="G55">
        <f>IFERROR(INDEX('DRAFT 1'!$G:$G,MATCH($B55,'DRAFT 1'!$B:$B,0)),"")</f>
        <v/>
      </c>
      <c r="H55">
        <f>IFERROR(INDEX('DRAFT 1'!$H:$H,MATCH($B55,'DRAFT 1'!$B:$B,0)),"")</f>
        <v/>
      </c>
      <c r="I55" t="inlineStr">
        <is>
          <t>MUNDO VERDE</t>
        </is>
      </c>
      <c r="K55">
        <f>IFERROR(INDEX('DRAFT 1'!$AL:$AL,MATCH($B55,'DRAFT 1'!$B:$B,0)),"")</f>
        <v/>
      </c>
      <c r="L55">
        <f>IFERROR(INDEX('DRAFT 1'!$J:$J,MATCH($B55,'DRAFT 1'!$B:$B,0)),"")</f>
        <v/>
      </c>
      <c r="M55">
        <f>IFERROR(INDEX('DRAFT 1'!$K:$K,MATCH($B55,'DRAFT 1'!$B:$B,0)),"")</f>
        <v/>
      </c>
      <c r="N55" t="inlineStr">
        <is>
          <t>LEAD</t>
        </is>
      </c>
      <c r="P55">
        <f>IFERROR(INDEX('DRAFT 1'!$L:$L,MATCH($B55,'DRAFT 1'!$B:$B,0)),"")</f>
        <v/>
      </c>
      <c r="Q55">
        <f>IFERROR(INDEX('DRAFT 1'!$M:$M,MATCH($B55,'DRAFT 1'!$B:$B,0)),"")</f>
        <v/>
      </c>
      <c r="R55">
        <f>IFERROR(INDEX('DRAFT 1'!$N:$N,MATCH($B55,'DRAFT 1'!$B:$B,0)),"")</f>
        <v/>
      </c>
      <c r="S55">
        <f>IFERROR(INDEX('DRAFT 1'!$O:$O,MATCH($B55,'DRAFT 1'!$B:$B,0)),"")</f>
        <v/>
      </c>
      <c r="T55">
        <f>IFERROR(INDEX('DRAFT 1'!$P:$P,MATCH($B55,'DRAFT 1'!$B:$B,0)),"")</f>
        <v/>
      </c>
      <c r="U55">
        <f>IFERROR(INDEX('DRAFT 1'!$Q:$Q,MATCH($B55,'DRAFT 1'!$B:$B,0)),"")</f>
        <v/>
      </c>
      <c r="V55">
        <f>IFERROR(INDEX('DRAFT 1'!$R:$R,MATCH($B55,'DRAFT 1'!$B:$B,0)),"")</f>
        <v/>
      </c>
      <c r="W55">
        <f>IFERROR(INDEX('DRAFT 1'!$S:$S,MATCH($B55,'DRAFT 1'!$B:$B,0)),"")</f>
        <v/>
      </c>
      <c r="X55">
        <f>IFERROR(INDEX('DRAFT 1'!$T:$T,MATCH($B55,'DRAFT 1'!$B:$B,0)),"")</f>
        <v/>
      </c>
      <c r="Z55">
        <f>IFERROR(INDEX('DRAFT 1'!$U:$U,MATCH($B55,'DRAFT 1'!$B:$B,0)),"")</f>
        <v/>
      </c>
      <c r="AA55">
        <f>IFERROR(INDEX('DRAFT 1'!$V:$V,MATCH($B55,'DRAFT 1'!$B:$B,0)),"")</f>
        <v/>
      </c>
      <c r="AB55">
        <f>IFERROR(INDEX('DRAFT 1'!$W:$W,MATCH($B55,'DRAFT 1'!$B:$B,0)),"")</f>
        <v/>
      </c>
      <c r="AC55">
        <f>IFERROR(INDEX('DRAFT 1'!$X:$X,MATCH($B55,'DRAFT 1'!$B:$B,0)),"")</f>
        <v/>
      </c>
      <c r="AD55">
        <f>IFERROR(INDEX('DRAFT 1'!$Y:$Y,MATCH($B55,'DRAFT 1'!$B:$B,0)),"")</f>
        <v/>
      </c>
      <c r="AE55">
        <f>IFERROR(INDEX('DRAFT 1'!$Z:$Z,MATCH($B55,'DRAFT 1'!$B:$B,0)),"")</f>
        <v/>
      </c>
      <c r="AF55">
        <f>IFERROR(INDEX('DRAFT 1'!$AA:$AA,MATCH($B55,'DRAFT 1'!$B:$B,0)),"")</f>
        <v/>
      </c>
      <c r="AG55">
        <f>IFERROR(INDEX('DRAFT 1'!$AB:$AB,MATCH($B55,'DRAFT 1'!$B:$B,0)),"")</f>
        <v/>
      </c>
      <c r="AH55">
        <f>IFERROR(INDEX('DRAFT 1'!$AC:$AC,MATCH($B55,'DRAFT 1'!$B:$B,0)),"")</f>
        <v/>
      </c>
      <c r="AI55">
        <f>IFERROR(INDEX('DRAFT 1'!$AD:$AD,MATCH($B55,'DRAFT 1'!$B:$B,0)),"")</f>
        <v/>
      </c>
      <c r="AJ55">
        <f>IFERROR(INDEX('DRAFT 1'!$AE:$AE,MATCH($B55,'DRAFT 1'!$B:$B,0)),"")</f>
        <v/>
      </c>
      <c r="AK55">
        <f>IFERROR(INDEX('DRAFT 1'!$AG:$AG,MATCH($B55,'DRAFT 1'!$B:$B,0)),"")</f>
        <v/>
      </c>
      <c r="AL55">
        <f>IFERROR(INDEX('DRAFT 1'!$AH:$AH,MATCH($B55,'DRAFT 1'!$B:$B,0)),"")</f>
        <v/>
      </c>
      <c r="AM55">
        <f>IFERROR(INDEX('DRAFT 1'!$AI:$AI,MATCH($B55,'DRAFT 1'!$B:$B,0)),"")</f>
        <v/>
      </c>
      <c r="AN55">
        <f>IFERROR(INDEX('DRAFT 1'!$AJ:$AJ,MATCH($B55,'DRAFT 1'!$B:$B,0)),"")</f>
        <v/>
      </c>
      <c r="AO55">
        <f>IFERROR(Y55/AN55,0)</f>
        <v/>
      </c>
      <c r="AP55">
        <f>IFERROR(INDEX('DRAFT 1'!$AK:$AK,MATCH($B55,'DRAFT 1'!$B:$B,0)),"")</f>
        <v/>
      </c>
      <c r="AR55" t="inlineStr">
        <is>
          <t>RECOMPRA</t>
        </is>
      </c>
      <c r="AS55">
        <f>IFERROR(LOOKUP(2,1/('DRAFT 2'!$D:$D=$B55),'DRAFT 2'!$T:$T),"")</f>
        <v/>
      </c>
      <c r="AT55">
        <f>IFERROR(LOOKUP(2,1/('DRAFT 2'!$D:$D=$B55),'DRAFT 2'!$A:$A),"")</f>
        <v/>
      </c>
      <c r="AU55">
        <f>IFERROR(LOOKUP(2,1/('DRAFT 2'!$D:$D=$B55),'DRAFT 2'!$R:$R),"")</f>
        <v/>
      </c>
      <c r="AV55">
        <f>IFERROR(LOOKUP(2,1/('DRAFT 2'!$D:$D=$B55),'DRAFT 2'!$S:$S),"")</f>
        <v/>
      </c>
      <c r="AW55" t="inlineStr">
        <is>
          <t>RECORRENTE</t>
        </is>
      </c>
      <c r="AX55">
        <f>IFERROR(LOOKUP(2,1/('DRAFT 2'!$D:$D=$B55),'DRAFT 2'!$M:$M),"")</f>
        <v/>
      </c>
      <c r="AY55">
        <f>IFERROR(LOOKUP(2,1/('DRAFT 2'!$D:$D=$B55),'DRAFT 2'!$K:$K),"")</f>
        <v/>
      </c>
      <c r="BG55">
        <f>IFERROR(LOOKUP(2,1/('DRAFT 2'!$D:$D=$B55),'DRAFT 2'!$U:$U),"")</f>
        <v/>
      </c>
      <c r="BH55">
        <f>IFERROR(LOOKUP(2,1/('DRAFT 2'!$D:$D=$B55),'DRAFT 2'!$V:$V),"")</f>
        <v/>
      </c>
      <c r="CE55">
        <f>IFERROR(AJ55,0)</f>
        <v/>
      </c>
      <c r="CF55">
        <f>IFERROR(LOOKUP(2,1/('DRAFT 2'!$D:$D=$B55)*('DRAFT 2'!$A:$A&gt;=DATE(2026,1,1))*('DRAFT 2'!$A:$A&lt;DATE(2026,IF(1=12,1+1,1+1),1)),'DRAFT 2'!$A:$A),"")</f>
        <v/>
      </c>
      <c r="CG55">
        <f>COUNTIFS('DRAFT 2'!$D:$D,$B55,'DRAFT 2'!$A:$A,"&gt;="&amp;DATE(2026,1,1),'DRAFT 2'!$A:$A,"&lt;="&amp;DATE(2026,1,7))</f>
        <v/>
      </c>
      <c r="CH55">
        <f>COUNTIFS('DRAFT 2'!$D:$D,$B55,'DRAFT 2'!$A:$A,"&gt;="&amp;DATE(2026,1,8),'DRAFT 2'!$A:$A,"&lt;="&amp;DATE(2026,1,14))</f>
        <v/>
      </c>
      <c r="CI55">
        <f>COUNTIFS('DRAFT 2'!$D:$D,$B55,'DRAFT 2'!$A:$A,"&gt;="&amp;DATE(2026,1,15),'DRAFT 2'!$A:$A,"&lt;="&amp;DATE(2026,1,21))</f>
        <v/>
      </c>
      <c r="CJ55">
        <f>COUNTIFS('DRAFT 2'!$D:$D,$B55,'DRAFT 2'!$A:$A,"&gt;="&amp;DATE(2026,1,22),'DRAFT 2'!$A:$A,"&lt;"&amp;DATE(2026,IF(1=12,1+1,1+1),1))</f>
        <v/>
      </c>
      <c r="CK55">
        <f>SUM(CG55:CJ55)</f>
        <v/>
      </c>
      <c r="CT55" t="n">
        <v>0</v>
      </c>
      <c r="CU55">
        <f>IFERROR(LOOKUP(2,1/('DRAFT 2'!$D:$D=$B55)*('DRAFT 2'!$A:$A&gt;=DATE(2026,2,1))*('DRAFT 2'!$A:$A&lt;DATE(2026,IF(2=12,2+1,2+1),1)),'DRAFT 2'!$A:$A),"")</f>
        <v/>
      </c>
      <c r="CV55">
        <f>COUNTIFS('DRAFT 2'!$D:$D,$B55,'DRAFT 2'!$A:$A,"&gt;="&amp;DATE(2026,2,1),'DRAFT 2'!$A:$A,"&lt;="&amp;DATE(2026,2,7))</f>
        <v/>
      </c>
      <c r="CW55">
        <f>COUNTIFS('DRAFT 2'!$D:$D,$B55,'DRAFT 2'!$A:$A,"&gt;="&amp;DATE(2026,2,8),'DRAFT 2'!$A:$A,"&lt;="&amp;DATE(2026,2,14))</f>
        <v/>
      </c>
      <c r="CX55">
        <f>COUNTIFS('DRAFT 2'!$D:$D,$B55,'DRAFT 2'!$A:$A,"&gt;="&amp;DATE(2026,2,15),'DRAFT 2'!$A:$A,"&lt;="&amp;DATE(2026,2,21))</f>
        <v/>
      </c>
      <c r="CY55">
        <f>COUNTIFS('DRAFT 2'!$D:$D,$B55,'DRAFT 2'!$A:$A,"&gt;="&amp;DATE(2026,2,22),'DRAFT 2'!$A:$A,"&lt;"&amp;DATE(2026,IF(2=12,2+1,2+1),1))</f>
        <v/>
      </c>
      <c r="CZ55">
        <f>SUM(CV55:CY55)</f>
        <v/>
      </c>
      <c r="DJ55">
        <f>IFERROR(LOOKUP(2,1/('DRAFT 2'!$D:$D=$B55)*('DRAFT 2'!$A:$A&gt;=DATE(2026,3,1))*('DRAFT 2'!$A:$A&lt;DATE(2026,IF(3=12,3+1,3+1),1)),'DRAFT 2'!$A:$A),"")</f>
        <v/>
      </c>
      <c r="DK55">
        <f>COUNTIFS('DRAFT 2'!$D:$D,$B55,'DRAFT 2'!$A:$A,"&gt;="&amp;DATE(2026,3,1),'DRAFT 2'!$A:$A,"&lt;="&amp;DATE(2026,3,7))</f>
        <v/>
      </c>
      <c r="DL55">
        <f>COUNTIFS('DRAFT 2'!$D:$D,$B55,'DRAFT 2'!$A:$A,"&gt;="&amp;DATE(2026,3,8),'DRAFT 2'!$A:$A,"&lt;="&amp;DATE(2026,3,14))</f>
        <v/>
      </c>
      <c r="DM55">
        <f>COUNTIFS('DRAFT 2'!$D:$D,$B55,'DRAFT 2'!$A:$A,"&gt;="&amp;DATE(2026,3,15),'DRAFT 2'!$A:$A,"&lt;="&amp;DATE(2026,3,21))</f>
        <v/>
      </c>
      <c r="DN55">
        <f>COUNTIFS('DRAFT 2'!$D:$D,$B55,'DRAFT 2'!$A:$A,"&gt;="&amp;DATE(2026,3,22),'DRAFT 2'!$A:$A,"&lt;"&amp;DATE(2026,IF(3=12,3+1,3+1),1))</f>
        <v/>
      </c>
      <c r="DO55">
        <f>SUM(DK55:DN55)</f>
        <v/>
      </c>
      <c r="DZ55">
        <f>IFERROR(LOOKUP(2,1/('DRAFT 2'!$D:$D=$B55)*('DRAFT 2'!$A:$A&gt;=DATE(2026,4,1))*('DRAFT 2'!$A:$A&lt;DATE(2026,IF(4=12,4+1,4+1),1)),'DRAFT 2'!$A:$A),"")</f>
        <v/>
      </c>
      <c r="EA55">
        <f>COUNTIFS('DRAFT 2'!$D:$D,$B55,'DRAFT 2'!$A:$A,"&gt;="&amp;DATE(2026,4,1),'DRAFT 2'!$A:$A,"&lt;="&amp;DATE(2026,4,7))</f>
        <v/>
      </c>
      <c r="EB55">
        <f>COUNTIFS('DRAFT 2'!$D:$D,$B55,'DRAFT 2'!$A:$A,"&gt;="&amp;DATE(2026,4,8),'DRAFT 2'!$A:$A,"&lt;="&amp;DATE(2026,4,14))</f>
        <v/>
      </c>
      <c r="EC55">
        <f>COUNTIFS('DRAFT 2'!$D:$D,$B55,'DRAFT 2'!$A:$A,"&gt;="&amp;DATE(2026,4,15),'DRAFT 2'!$A:$A,"&lt;="&amp;DATE(2026,4,21))</f>
        <v/>
      </c>
      <c r="ED55">
        <f>COUNTIFS('DRAFT 2'!$D:$D,$B55,'DRAFT 2'!$A:$A,"&gt;="&amp;DATE(2026,4,22),'DRAFT 2'!$A:$A,"&lt;"&amp;DATE(2026,IF(4=12,4+1,4+1),1))</f>
        <v/>
      </c>
      <c r="EE55">
        <f>SUM(EA55:ED55)</f>
        <v/>
      </c>
      <c r="EO55">
        <f>IFERROR(LOOKUP(2,1/('DRAFT 2'!$D:$D=$B55)*('DRAFT 2'!$A:$A&gt;=DATE(2026,5,1))*('DRAFT 2'!$A:$A&lt;DATE(2026,IF(5=12,5+1,5+1),1)),'DRAFT 2'!$A:$A),"")</f>
        <v/>
      </c>
      <c r="EP55">
        <f>COUNTIFS('DRAFT 2'!$D:$D,$B55,'DRAFT 2'!$A:$A,"&gt;="&amp;DATE(2026,5,1),'DRAFT 2'!$A:$A,"&lt;="&amp;DATE(2026,5,7))</f>
        <v/>
      </c>
      <c r="EQ55">
        <f>COUNTIFS('DRAFT 2'!$D:$D,$B55,'DRAFT 2'!$A:$A,"&gt;="&amp;DATE(2026,5,8),'DRAFT 2'!$A:$A,"&lt;="&amp;DATE(2026,5,14))</f>
        <v/>
      </c>
      <c r="ER55">
        <f>COUNTIFS('DRAFT 2'!$D:$D,$B55,'DRAFT 2'!$A:$A,"&gt;="&amp;DATE(2026,5,15),'DRAFT 2'!$A:$A,"&lt;="&amp;DATE(2026,5,21))</f>
        <v/>
      </c>
      <c r="ES55">
        <f>COUNTIFS('DRAFT 2'!$D:$D,$B55,'DRAFT 2'!$A:$A,"&gt;="&amp;DATE(2026,5,22),'DRAFT 2'!$A:$A,"&lt;"&amp;DATE(2026,IF(5=12,5+1,5+1),1))</f>
        <v/>
      </c>
      <c r="ET55">
        <f>SUM(EP55:ES55)</f>
        <v/>
      </c>
      <c r="FD55">
        <f>IFERROR(LOOKUP(2,1/('DRAFT 2'!$D:$D=$B55)*('DRAFT 2'!$A:$A&gt;=DATE(2026,6,1))*('DRAFT 2'!$A:$A&lt;DATE(2026,IF(6=12,6+1,6+1),1)),'DRAFT 2'!$A:$A),"")</f>
        <v/>
      </c>
      <c r="FE55">
        <f>COUNTIFS('DRAFT 2'!$D:$D,$B55,'DRAFT 2'!$A:$A,"&gt;="&amp;DATE(2026,6,1),'DRAFT 2'!$A:$A,"&lt;="&amp;DATE(2026,6,7))</f>
        <v/>
      </c>
      <c r="FF55">
        <f>COUNTIFS('DRAFT 2'!$D:$D,$B55,'DRAFT 2'!$A:$A,"&gt;="&amp;DATE(2026,6,8),'DRAFT 2'!$A:$A,"&lt;="&amp;DATE(2026,6,14))</f>
        <v/>
      </c>
      <c r="FG55">
        <f>COUNTIFS('DRAFT 2'!$D:$D,$B55,'DRAFT 2'!$A:$A,"&gt;="&amp;DATE(2026,6,15),'DRAFT 2'!$A:$A,"&lt;="&amp;DATE(2026,6,21))</f>
        <v/>
      </c>
      <c r="FH55">
        <f>COUNTIFS('DRAFT 2'!$D:$D,$B55,'DRAFT 2'!$A:$A,"&gt;="&amp;DATE(2026,6,22),'DRAFT 2'!$A:$A,"&lt;"&amp;DATE(2026,IF(6=12,6+1,6+1),1))</f>
        <v/>
      </c>
      <c r="FI55">
        <f>SUM(FE55:FH55)</f>
        <v/>
      </c>
      <c r="FT55">
        <f>IFERROR(LOOKUP(2,1/('DRAFT 2'!$D:$D=$B55)*('DRAFT 2'!$A:$A&gt;=DATE(2026,7,1))*('DRAFT 2'!$A:$A&lt;DATE(2026,IF(7=12,7+1,7+1),1)),'DRAFT 2'!$A:$A),"")</f>
        <v/>
      </c>
      <c r="FU55">
        <f>COUNTIFS('DRAFT 2'!$D:$D,$B55,'DRAFT 2'!$A:$A,"&gt;="&amp;DATE(2026,7,1),'DRAFT 2'!$A:$A,"&lt;="&amp;DATE(2026,7,7))</f>
        <v/>
      </c>
      <c r="FV55">
        <f>COUNTIFS('DRAFT 2'!$D:$D,$B55,'DRAFT 2'!$A:$A,"&gt;="&amp;DATE(2026,7,8),'DRAFT 2'!$A:$A,"&lt;="&amp;DATE(2026,7,14))</f>
        <v/>
      </c>
      <c r="FW55">
        <f>COUNTIFS('DRAFT 2'!$D:$D,$B55,'DRAFT 2'!$A:$A,"&gt;="&amp;DATE(2026,7,15),'DRAFT 2'!$A:$A,"&lt;="&amp;DATE(2026,7,21))</f>
        <v/>
      </c>
      <c r="FX55">
        <f>COUNTIFS('DRAFT 2'!$D:$D,$B55,'DRAFT 2'!$A:$A,"&gt;="&amp;DATE(2026,7,22),'DRAFT 2'!$A:$A,"&lt;"&amp;DATE(2026,IF(7=12,7+1,7+1),1))</f>
        <v/>
      </c>
      <c r="FY55">
        <f>SUM(FU55:FX55)</f>
        <v/>
      </c>
      <c r="GI55">
        <f>IFERROR(LOOKUP(2,1/('DRAFT 2'!$D:$D=$B55)*('DRAFT 2'!$A:$A&gt;=DATE(2026,8,1))*('DRAFT 2'!$A:$A&lt;DATE(2026,IF(8=12,8+1,8+1),1)),'DRAFT 2'!$A:$A),"")</f>
        <v/>
      </c>
      <c r="GJ55">
        <f>COUNTIFS('DRAFT 2'!$D:$D,$B55,'DRAFT 2'!$A:$A,"&gt;="&amp;DATE(2026,8,1),'DRAFT 2'!$A:$A,"&lt;="&amp;DATE(2026,8,7))</f>
        <v/>
      </c>
      <c r="GK55">
        <f>COUNTIFS('DRAFT 2'!$D:$D,$B55,'DRAFT 2'!$A:$A,"&gt;="&amp;DATE(2026,8,8),'DRAFT 2'!$A:$A,"&lt;="&amp;DATE(2026,8,14))</f>
        <v/>
      </c>
      <c r="GL55">
        <f>COUNTIFS('DRAFT 2'!$D:$D,$B55,'DRAFT 2'!$A:$A,"&gt;="&amp;DATE(2026,8,15),'DRAFT 2'!$A:$A,"&lt;="&amp;DATE(2026,8,21))</f>
        <v/>
      </c>
      <c r="GM55">
        <f>COUNTIFS('DRAFT 2'!$D:$D,$B55,'DRAFT 2'!$A:$A,"&gt;="&amp;DATE(2026,8,22),'DRAFT 2'!$A:$A,"&lt;"&amp;DATE(2026,IF(8=12,8+1,8+1),1))</f>
        <v/>
      </c>
      <c r="GN55">
        <f>SUM(GJ55:GM55)</f>
        <v/>
      </c>
      <c r="GX55">
        <f>IFERROR(LOOKUP(2,1/('DRAFT 2'!$D:$D=$B55)*('DRAFT 2'!$A:$A&gt;=DATE(2026,9,1))*('DRAFT 2'!$A:$A&lt;DATE(2026,IF(9=12,9+1,9+1),1)),'DRAFT 2'!$A:$A),"")</f>
        <v/>
      </c>
      <c r="GY55">
        <f>COUNTIFS('DRAFT 2'!$D:$D,$B55,'DRAFT 2'!$A:$A,"&gt;="&amp;DATE(2026,9,1),'DRAFT 2'!$A:$A,"&lt;="&amp;DATE(2026,9,7))</f>
        <v/>
      </c>
      <c r="GZ55">
        <f>COUNTIFS('DRAFT 2'!$D:$D,$B55,'DRAFT 2'!$A:$A,"&gt;="&amp;DATE(2026,9,8),'DRAFT 2'!$A:$A,"&lt;="&amp;DATE(2026,9,14))</f>
        <v/>
      </c>
      <c r="HA55">
        <f>COUNTIFS('DRAFT 2'!$D:$D,$B55,'DRAFT 2'!$A:$A,"&gt;="&amp;DATE(2026,9,15),'DRAFT 2'!$A:$A,"&lt;="&amp;DATE(2026,9,21))</f>
        <v/>
      </c>
      <c r="HB55">
        <f>COUNTIFS('DRAFT 2'!$D:$D,$B55,'DRAFT 2'!$A:$A,"&gt;="&amp;DATE(2026,9,22),'DRAFT 2'!$A:$A,"&lt;"&amp;DATE(2026,IF(9=12,9+1,9+1),1))</f>
        <v/>
      </c>
      <c r="HC55">
        <f>SUM(GY55:HB55)</f>
        <v/>
      </c>
      <c r="HN55">
        <f>IFERROR(LOOKUP(2,1/('DRAFT 2'!$D:$D=$B55)*('DRAFT 2'!$A:$A&gt;=DATE(2026,10,1))*('DRAFT 2'!$A:$A&lt;DATE(2026,IF(10=12,10+1,10+1),1)),'DRAFT 2'!$A:$A),"")</f>
        <v/>
      </c>
      <c r="HO55">
        <f>COUNTIFS('DRAFT 2'!$D:$D,$B55,'DRAFT 2'!$A:$A,"&gt;="&amp;DATE(2026,10,1),'DRAFT 2'!$A:$A,"&lt;="&amp;DATE(2026,10,7))</f>
        <v/>
      </c>
      <c r="HP55">
        <f>COUNTIFS('DRAFT 2'!$D:$D,$B55,'DRAFT 2'!$A:$A,"&gt;="&amp;DATE(2026,10,8),'DRAFT 2'!$A:$A,"&lt;="&amp;DATE(2026,10,14))</f>
        <v/>
      </c>
      <c r="HQ55">
        <f>COUNTIFS('DRAFT 2'!$D:$D,$B55,'DRAFT 2'!$A:$A,"&gt;="&amp;DATE(2026,10,15),'DRAFT 2'!$A:$A,"&lt;="&amp;DATE(2026,10,21))</f>
        <v/>
      </c>
      <c r="HR55">
        <f>COUNTIFS('DRAFT 2'!$D:$D,$B55,'DRAFT 2'!$A:$A,"&gt;="&amp;DATE(2026,10,22),'DRAFT 2'!$A:$A,"&lt;"&amp;DATE(2026,IF(10=12,10+1,10+1),1))</f>
        <v/>
      </c>
      <c r="HS55">
        <f>SUM(HO55:HR55)</f>
        <v/>
      </c>
      <c r="IC55">
        <f>IFERROR(LOOKUP(2,1/('DRAFT 2'!$D:$D=$B55)*('DRAFT 2'!$A:$A&gt;=DATE(2026,11,1))*('DRAFT 2'!$A:$A&lt;DATE(2026,IF(11=12,11+1,11+1),1)),'DRAFT 2'!$A:$A),"")</f>
        <v/>
      </c>
      <c r="ID55">
        <f>COUNTIFS('DRAFT 2'!$D:$D,$B55,'DRAFT 2'!$A:$A,"&gt;="&amp;DATE(2026,11,1),'DRAFT 2'!$A:$A,"&lt;="&amp;DATE(2026,11,7))</f>
        <v/>
      </c>
      <c r="IE55">
        <f>COUNTIFS('DRAFT 2'!$D:$D,$B55,'DRAFT 2'!$A:$A,"&gt;="&amp;DATE(2026,11,8),'DRAFT 2'!$A:$A,"&lt;="&amp;DATE(2026,11,14))</f>
        <v/>
      </c>
      <c r="IF55">
        <f>COUNTIFS('DRAFT 2'!$D:$D,$B55,'DRAFT 2'!$A:$A,"&gt;="&amp;DATE(2026,11,15),'DRAFT 2'!$A:$A,"&lt;="&amp;DATE(2026,11,21))</f>
        <v/>
      </c>
      <c r="IG55">
        <f>COUNTIFS('DRAFT 2'!$D:$D,$B55,'DRAFT 2'!$A:$A,"&gt;="&amp;DATE(2026,11,22),'DRAFT 2'!$A:$A,"&lt;"&amp;DATE(2026,IF(11=12,11+1,11+1),1))</f>
        <v/>
      </c>
      <c r="IH55">
        <f>SUM(ID55:IG55)</f>
        <v/>
      </c>
      <c r="IR55">
        <f>IFERROR(LOOKUP(2,1/('DRAFT 2'!$D:$D=$B55)*('DRAFT 2'!$A:$A&gt;=DATE(2026,12,1))*('DRAFT 2'!$A:$A&lt;DATE(2026,IF(12=12,12+1,12+1),1)),'DRAFT 2'!$A:$A),"")</f>
        <v/>
      </c>
      <c r="IS55">
        <f>COUNTIFS('DRAFT 2'!$D:$D,$B55,'DRAFT 2'!$A:$A,"&gt;="&amp;DATE(2026,12,1),'DRAFT 2'!$A:$A,"&lt;="&amp;DATE(2026,12,7))</f>
        <v/>
      </c>
      <c r="IT55">
        <f>COUNTIFS('DRAFT 2'!$D:$D,$B55,'DRAFT 2'!$A:$A,"&gt;="&amp;DATE(2026,12,8),'DRAFT 2'!$A:$A,"&lt;="&amp;DATE(2026,12,14))</f>
        <v/>
      </c>
      <c r="IU55">
        <f>COUNTIFS('DRAFT 2'!$D:$D,$B55,'DRAFT 2'!$A:$A,"&gt;="&amp;DATE(2026,12,15),'DRAFT 2'!$A:$A,"&lt;="&amp;DATE(2026,12,21))</f>
        <v/>
      </c>
      <c r="IV55">
        <f>COUNTIFS('DRAFT 2'!$D:$D,$B55,'DRAFT 2'!$A:$A,"&gt;="&amp;DATE(2026,12,22),'DRAFT 2'!$A:$A,"&lt;"&amp;DATE(2026,IF(12=12,12+1,12+1),1))</f>
        <v/>
      </c>
      <c r="IW55">
        <f>SUM(IS55:IV55)</f>
        <v/>
      </c>
    </row>
    <row r="56">
      <c r="A56">
        <f>IFERROR(INDEX('DRAFT 1'!$A:$A,MATCH($B56,'DRAFT 1'!$B:$B,0)),"")</f>
        <v/>
      </c>
      <c r="C56">
        <f>IFERROR(INDEX('DRAFT 1'!$C:$C,MATCH($B56,'DRAFT 1'!$B:$B,0)),"")</f>
        <v/>
      </c>
      <c r="D56">
        <f>IFERROR(INDEX('DRAFT 1'!$D:$D,MATCH($B56,'DRAFT 1'!$B:$B,0)),"")</f>
        <v/>
      </c>
      <c r="E56">
        <f>IFERROR(INDEX('DRAFT 1'!$E:$E,MATCH($B56,'DRAFT 1'!$B:$B,0)),"")</f>
        <v/>
      </c>
      <c r="F56">
        <f>IFERROR(INDEX('DRAFT 1'!$F:$F,MATCH($B56,'DRAFT 1'!$B:$B,0)),"")</f>
        <v/>
      </c>
      <c r="G56">
        <f>IFERROR(INDEX('DRAFT 1'!$G:$G,MATCH($B56,'DRAFT 1'!$B:$B,0)),"")</f>
        <v/>
      </c>
      <c r="H56">
        <f>IFERROR(INDEX('DRAFT 1'!$H:$H,MATCH($B56,'DRAFT 1'!$B:$B,0)),"")</f>
        <v/>
      </c>
      <c r="I56" t="inlineStr">
        <is>
          <t>BIOMUNDO</t>
        </is>
      </c>
      <c r="K56">
        <f>IFERROR(INDEX('DRAFT 1'!$AL:$AL,MATCH($B56,'DRAFT 1'!$B:$B,0)),"")</f>
        <v/>
      </c>
      <c r="L56">
        <f>IFERROR(INDEX('DRAFT 1'!$J:$J,MATCH($B56,'DRAFT 1'!$B:$B,0)),"")</f>
        <v/>
      </c>
      <c r="M56">
        <f>IFERROR(INDEX('DRAFT 1'!$K:$K,MATCH($B56,'DRAFT 1'!$B:$B,0)),"")</f>
        <v/>
      </c>
      <c r="N56" t="inlineStr">
        <is>
          <t>NOVO</t>
        </is>
      </c>
      <c r="P56">
        <f>IFERROR(INDEX('DRAFT 1'!$L:$L,MATCH($B56,'DRAFT 1'!$B:$B,0)),"")</f>
        <v/>
      </c>
      <c r="Q56">
        <f>IFERROR(INDEX('DRAFT 1'!$M:$M,MATCH($B56,'DRAFT 1'!$B:$B,0)),"")</f>
        <v/>
      </c>
      <c r="R56">
        <f>IFERROR(INDEX('DRAFT 1'!$N:$N,MATCH($B56,'DRAFT 1'!$B:$B,0)),"")</f>
        <v/>
      </c>
      <c r="S56">
        <f>IFERROR(INDEX('DRAFT 1'!$O:$O,MATCH($B56,'DRAFT 1'!$B:$B,0)),"")</f>
        <v/>
      </c>
      <c r="T56">
        <f>IFERROR(INDEX('DRAFT 1'!$P:$P,MATCH($B56,'DRAFT 1'!$B:$B,0)),"")</f>
        <v/>
      </c>
      <c r="U56">
        <f>IFERROR(INDEX('DRAFT 1'!$Q:$Q,MATCH($B56,'DRAFT 1'!$B:$B,0)),"")</f>
        <v/>
      </c>
      <c r="V56">
        <f>IFERROR(INDEX('DRAFT 1'!$R:$R,MATCH($B56,'DRAFT 1'!$B:$B,0)),"")</f>
        <v/>
      </c>
      <c r="W56">
        <f>IFERROR(INDEX('DRAFT 1'!$S:$S,MATCH($B56,'DRAFT 1'!$B:$B,0)),"")</f>
        <v/>
      </c>
      <c r="X56">
        <f>IFERROR(INDEX('DRAFT 1'!$T:$T,MATCH($B56,'DRAFT 1'!$B:$B,0)),"")</f>
        <v/>
      </c>
      <c r="Z56">
        <f>IFERROR(INDEX('DRAFT 1'!$U:$U,MATCH($B56,'DRAFT 1'!$B:$B,0)),"")</f>
        <v/>
      </c>
      <c r="AA56">
        <f>IFERROR(INDEX('DRAFT 1'!$V:$V,MATCH($B56,'DRAFT 1'!$B:$B,0)),"")</f>
        <v/>
      </c>
      <c r="AB56">
        <f>IFERROR(INDEX('DRAFT 1'!$W:$W,MATCH($B56,'DRAFT 1'!$B:$B,0)),"")</f>
        <v/>
      </c>
      <c r="AC56">
        <f>IFERROR(INDEX('DRAFT 1'!$X:$X,MATCH($B56,'DRAFT 1'!$B:$B,0)),"")</f>
        <v/>
      </c>
      <c r="AD56">
        <f>IFERROR(INDEX('DRAFT 1'!$Y:$Y,MATCH($B56,'DRAFT 1'!$B:$B,0)),"")</f>
        <v/>
      </c>
      <c r="AE56">
        <f>IFERROR(INDEX('DRAFT 1'!$Z:$Z,MATCH($B56,'DRAFT 1'!$B:$B,0)),"")</f>
        <v/>
      </c>
      <c r="AF56">
        <f>IFERROR(INDEX('DRAFT 1'!$AA:$AA,MATCH($B56,'DRAFT 1'!$B:$B,0)),"")</f>
        <v/>
      </c>
      <c r="AG56">
        <f>IFERROR(INDEX('DRAFT 1'!$AB:$AB,MATCH($B56,'DRAFT 1'!$B:$B,0)),"")</f>
        <v/>
      </c>
      <c r="AH56">
        <f>IFERROR(INDEX('DRAFT 1'!$AC:$AC,MATCH($B56,'DRAFT 1'!$B:$B,0)),"")</f>
        <v/>
      </c>
      <c r="AI56">
        <f>IFERROR(INDEX('DRAFT 1'!$AD:$AD,MATCH($B56,'DRAFT 1'!$B:$B,0)),"")</f>
        <v/>
      </c>
      <c r="AJ56">
        <f>IFERROR(INDEX('DRAFT 1'!$AE:$AE,MATCH($B56,'DRAFT 1'!$B:$B,0)),"")</f>
        <v/>
      </c>
      <c r="AK56">
        <f>IFERROR(INDEX('DRAFT 1'!$AG:$AG,MATCH($B56,'DRAFT 1'!$B:$B,0)),"")</f>
        <v/>
      </c>
      <c r="AL56">
        <f>IFERROR(INDEX('DRAFT 1'!$AH:$AH,MATCH($B56,'DRAFT 1'!$B:$B,0)),"")</f>
        <v/>
      </c>
      <c r="AM56">
        <f>IFERROR(INDEX('DRAFT 1'!$AI:$AI,MATCH($B56,'DRAFT 1'!$B:$B,0)),"")</f>
        <v/>
      </c>
      <c r="AN56">
        <f>IFERROR(INDEX('DRAFT 1'!$AJ:$AJ,MATCH($B56,'DRAFT 1'!$B:$B,0)),"")</f>
        <v/>
      </c>
      <c r="AO56">
        <f>IFERROR(Y56/AN56,0)</f>
        <v/>
      </c>
      <c r="AP56">
        <f>IFERROR(INDEX('DRAFT 1'!$AK:$AK,MATCH($B56,'DRAFT 1'!$B:$B,0)),"")</f>
        <v/>
      </c>
      <c r="AR56" t="inlineStr">
        <is>
          <t>CS</t>
        </is>
      </c>
      <c r="AS56">
        <f>IFERROR(LOOKUP(2,1/('DRAFT 2'!$D:$D=$B56),'DRAFT 2'!$T:$T),"")</f>
        <v/>
      </c>
      <c r="AT56">
        <f>IFERROR(LOOKUP(2,1/('DRAFT 2'!$D:$D=$B56),'DRAFT 2'!$A:$A),"")</f>
        <v/>
      </c>
      <c r="AU56">
        <f>IFERROR(LOOKUP(2,1/('DRAFT 2'!$D:$D=$B56),'DRAFT 2'!$R:$R),"")</f>
        <v/>
      </c>
      <c r="AV56">
        <f>IFERROR(LOOKUP(2,1/('DRAFT 2'!$D:$D=$B56),'DRAFT 2'!$S:$S),"")</f>
        <v/>
      </c>
      <c r="AW56" t="inlineStr">
        <is>
          <t>LEAD</t>
        </is>
      </c>
      <c r="AX56">
        <f>IFERROR(LOOKUP(2,1/('DRAFT 2'!$D:$D=$B56),'DRAFT 2'!$M:$M),"")</f>
        <v/>
      </c>
      <c r="AY56">
        <f>IFERROR(LOOKUP(2,1/('DRAFT 2'!$D:$D=$B56),'DRAFT 2'!$K:$K),"")</f>
        <v/>
      </c>
      <c r="BG56">
        <f>IFERROR(LOOKUP(2,1/('DRAFT 2'!$D:$D=$B56),'DRAFT 2'!$U:$U),"")</f>
        <v/>
      </c>
      <c r="BH56">
        <f>IFERROR(LOOKUP(2,1/('DRAFT 2'!$D:$D=$B56),'DRAFT 2'!$V:$V),"")</f>
        <v/>
      </c>
      <c r="CE56">
        <f>IFERROR(AJ56,0)</f>
        <v/>
      </c>
      <c r="CF56">
        <f>IFERROR(LOOKUP(2,1/('DRAFT 2'!$D:$D=$B56)*('DRAFT 2'!$A:$A&gt;=DATE(2026,1,1))*('DRAFT 2'!$A:$A&lt;DATE(2026,IF(1=12,1+1,1+1),1)),'DRAFT 2'!$A:$A),"")</f>
        <v/>
      </c>
      <c r="CG56">
        <f>COUNTIFS('DRAFT 2'!$D:$D,$B56,'DRAFT 2'!$A:$A,"&gt;="&amp;DATE(2026,1,1),'DRAFT 2'!$A:$A,"&lt;="&amp;DATE(2026,1,7))</f>
        <v/>
      </c>
      <c r="CH56">
        <f>COUNTIFS('DRAFT 2'!$D:$D,$B56,'DRAFT 2'!$A:$A,"&gt;="&amp;DATE(2026,1,8),'DRAFT 2'!$A:$A,"&lt;="&amp;DATE(2026,1,14))</f>
        <v/>
      </c>
      <c r="CI56">
        <f>COUNTIFS('DRAFT 2'!$D:$D,$B56,'DRAFT 2'!$A:$A,"&gt;="&amp;DATE(2026,1,15),'DRAFT 2'!$A:$A,"&lt;="&amp;DATE(2026,1,21))</f>
        <v/>
      </c>
      <c r="CJ56">
        <f>COUNTIFS('DRAFT 2'!$D:$D,$B56,'DRAFT 2'!$A:$A,"&gt;="&amp;DATE(2026,1,22),'DRAFT 2'!$A:$A,"&lt;"&amp;DATE(2026,IF(1=12,1+1,1+1),1))</f>
        <v/>
      </c>
      <c r="CK56">
        <f>SUM(CG56:CJ56)</f>
        <v/>
      </c>
      <c r="CT56" t="n">
        <v>0</v>
      </c>
      <c r="CU56">
        <f>IFERROR(LOOKUP(2,1/('DRAFT 2'!$D:$D=$B56)*('DRAFT 2'!$A:$A&gt;=DATE(2026,2,1))*('DRAFT 2'!$A:$A&lt;DATE(2026,IF(2=12,2+1,2+1),1)),'DRAFT 2'!$A:$A),"")</f>
        <v/>
      </c>
      <c r="CV56">
        <f>COUNTIFS('DRAFT 2'!$D:$D,$B56,'DRAFT 2'!$A:$A,"&gt;="&amp;DATE(2026,2,1),'DRAFT 2'!$A:$A,"&lt;="&amp;DATE(2026,2,7))</f>
        <v/>
      </c>
      <c r="CW56">
        <f>COUNTIFS('DRAFT 2'!$D:$D,$B56,'DRAFT 2'!$A:$A,"&gt;="&amp;DATE(2026,2,8),'DRAFT 2'!$A:$A,"&lt;="&amp;DATE(2026,2,14))</f>
        <v/>
      </c>
      <c r="CX56">
        <f>COUNTIFS('DRAFT 2'!$D:$D,$B56,'DRAFT 2'!$A:$A,"&gt;="&amp;DATE(2026,2,15),'DRAFT 2'!$A:$A,"&lt;="&amp;DATE(2026,2,21))</f>
        <v/>
      </c>
      <c r="CY56">
        <f>COUNTIFS('DRAFT 2'!$D:$D,$B56,'DRAFT 2'!$A:$A,"&gt;="&amp;DATE(2026,2,22),'DRAFT 2'!$A:$A,"&lt;"&amp;DATE(2026,IF(2=12,2+1,2+1),1))</f>
        <v/>
      </c>
      <c r="CZ56">
        <f>SUM(CV56:CY56)</f>
        <v/>
      </c>
      <c r="DJ56">
        <f>IFERROR(LOOKUP(2,1/('DRAFT 2'!$D:$D=$B56)*('DRAFT 2'!$A:$A&gt;=DATE(2026,3,1))*('DRAFT 2'!$A:$A&lt;DATE(2026,IF(3=12,3+1,3+1),1)),'DRAFT 2'!$A:$A),"")</f>
        <v/>
      </c>
      <c r="DK56">
        <f>COUNTIFS('DRAFT 2'!$D:$D,$B56,'DRAFT 2'!$A:$A,"&gt;="&amp;DATE(2026,3,1),'DRAFT 2'!$A:$A,"&lt;="&amp;DATE(2026,3,7))</f>
        <v/>
      </c>
      <c r="DL56">
        <f>COUNTIFS('DRAFT 2'!$D:$D,$B56,'DRAFT 2'!$A:$A,"&gt;="&amp;DATE(2026,3,8),'DRAFT 2'!$A:$A,"&lt;="&amp;DATE(2026,3,14))</f>
        <v/>
      </c>
      <c r="DM56">
        <f>COUNTIFS('DRAFT 2'!$D:$D,$B56,'DRAFT 2'!$A:$A,"&gt;="&amp;DATE(2026,3,15),'DRAFT 2'!$A:$A,"&lt;="&amp;DATE(2026,3,21))</f>
        <v/>
      </c>
      <c r="DN56">
        <f>COUNTIFS('DRAFT 2'!$D:$D,$B56,'DRAFT 2'!$A:$A,"&gt;="&amp;DATE(2026,3,22),'DRAFT 2'!$A:$A,"&lt;"&amp;DATE(2026,IF(3=12,3+1,3+1),1))</f>
        <v/>
      </c>
      <c r="DO56">
        <f>SUM(DK56:DN56)</f>
        <v/>
      </c>
      <c r="DZ56">
        <f>IFERROR(LOOKUP(2,1/('DRAFT 2'!$D:$D=$B56)*('DRAFT 2'!$A:$A&gt;=DATE(2026,4,1))*('DRAFT 2'!$A:$A&lt;DATE(2026,IF(4=12,4+1,4+1),1)),'DRAFT 2'!$A:$A),"")</f>
        <v/>
      </c>
      <c r="EA56">
        <f>COUNTIFS('DRAFT 2'!$D:$D,$B56,'DRAFT 2'!$A:$A,"&gt;="&amp;DATE(2026,4,1),'DRAFT 2'!$A:$A,"&lt;="&amp;DATE(2026,4,7))</f>
        <v/>
      </c>
      <c r="EB56">
        <f>COUNTIFS('DRAFT 2'!$D:$D,$B56,'DRAFT 2'!$A:$A,"&gt;="&amp;DATE(2026,4,8),'DRAFT 2'!$A:$A,"&lt;="&amp;DATE(2026,4,14))</f>
        <v/>
      </c>
      <c r="EC56">
        <f>COUNTIFS('DRAFT 2'!$D:$D,$B56,'DRAFT 2'!$A:$A,"&gt;="&amp;DATE(2026,4,15),'DRAFT 2'!$A:$A,"&lt;="&amp;DATE(2026,4,21))</f>
        <v/>
      </c>
      <c r="ED56">
        <f>COUNTIFS('DRAFT 2'!$D:$D,$B56,'DRAFT 2'!$A:$A,"&gt;="&amp;DATE(2026,4,22),'DRAFT 2'!$A:$A,"&lt;"&amp;DATE(2026,IF(4=12,4+1,4+1),1))</f>
        <v/>
      </c>
      <c r="EE56">
        <f>SUM(EA56:ED56)</f>
        <v/>
      </c>
      <c r="EO56">
        <f>IFERROR(LOOKUP(2,1/('DRAFT 2'!$D:$D=$B56)*('DRAFT 2'!$A:$A&gt;=DATE(2026,5,1))*('DRAFT 2'!$A:$A&lt;DATE(2026,IF(5=12,5+1,5+1),1)),'DRAFT 2'!$A:$A),"")</f>
        <v/>
      </c>
      <c r="EP56">
        <f>COUNTIFS('DRAFT 2'!$D:$D,$B56,'DRAFT 2'!$A:$A,"&gt;="&amp;DATE(2026,5,1),'DRAFT 2'!$A:$A,"&lt;="&amp;DATE(2026,5,7))</f>
        <v/>
      </c>
      <c r="EQ56">
        <f>COUNTIFS('DRAFT 2'!$D:$D,$B56,'DRAFT 2'!$A:$A,"&gt;="&amp;DATE(2026,5,8),'DRAFT 2'!$A:$A,"&lt;="&amp;DATE(2026,5,14))</f>
        <v/>
      </c>
      <c r="ER56">
        <f>COUNTIFS('DRAFT 2'!$D:$D,$B56,'DRAFT 2'!$A:$A,"&gt;="&amp;DATE(2026,5,15),'DRAFT 2'!$A:$A,"&lt;="&amp;DATE(2026,5,21))</f>
        <v/>
      </c>
      <c r="ES56">
        <f>COUNTIFS('DRAFT 2'!$D:$D,$B56,'DRAFT 2'!$A:$A,"&gt;="&amp;DATE(2026,5,22),'DRAFT 2'!$A:$A,"&lt;"&amp;DATE(2026,IF(5=12,5+1,5+1),1))</f>
        <v/>
      </c>
      <c r="ET56">
        <f>SUM(EP56:ES56)</f>
        <v/>
      </c>
      <c r="FD56">
        <f>IFERROR(LOOKUP(2,1/('DRAFT 2'!$D:$D=$B56)*('DRAFT 2'!$A:$A&gt;=DATE(2026,6,1))*('DRAFT 2'!$A:$A&lt;DATE(2026,IF(6=12,6+1,6+1),1)),'DRAFT 2'!$A:$A),"")</f>
        <v/>
      </c>
      <c r="FE56">
        <f>COUNTIFS('DRAFT 2'!$D:$D,$B56,'DRAFT 2'!$A:$A,"&gt;="&amp;DATE(2026,6,1),'DRAFT 2'!$A:$A,"&lt;="&amp;DATE(2026,6,7))</f>
        <v/>
      </c>
      <c r="FF56">
        <f>COUNTIFS('DRAFT 2'!$D:$D,$B56,'DRAFT 2'!$A:$A,"&gt;="&amp;DATE(2026,6,8),'DRAFT 2'!$A:$A,"&lt;="&amp;DATE(2026,6,14))</f>
        <v/>
      </c>
      <c r="FG56">
        <f>COUNTIFS('DRAFT 2'!$D:$D,$B56,'DRAFT 2'!$A:$A,"&gt;="&amp;DATE(2026,6,15),'DRAFT 2'!$A:$A,"&lt;="&amp;DATE(2026,6,21))</f>
        <v/>
      </c>
      <c r="FH56">
        <f>COUNTIFS('DRAFT 2'!$D:$D,$B56,'DRAFT 2'!$A:$A,"&gt;="&amp;DATE(2026,6,22),'DRAFT 2'!$A:$A,"&lt;"&amp;DATE(2026,IF(6=12,6+1,6+1),1))</f>
        <v/>
      </c>
      <c r="FI56">
        <f>SUM(FE56:FH56)</f>
        <v/>
      </c>
      <c r="FT56">
        <f>IFERROR(LOOKUP(2,1/('DRAFT 2'!$D:$D=$B56)*('DRAFT 2'!$A:$A&gt;=DATE(2026,7,1))*('DRAFT 2'!$A:$A&lt;DATE(2026,IF(7=12,7+1,7+1),1)),'DRAFT 2'!$A:$A),"")</f>
        <v/>
      </c>
      <c r="FU56">
        <f>COUNTIFS('DRAFT 2'!$D:$D,$B56,'DRAFT 2'!$A:$A,"&gt;="&amp;DATE(2026,7,1),'DRAFT 2'!$A:$A,"&lt;="&amp;DATE(2026,7,7))</f>
        <v/>
      </c>
      <c r="FV56">
        <f>COUNTIFS('DRAFT 2'!$D:$D,$B56,'DRAFT 2'!$A:$A,"&gt;="&amp;DATE(2026,7,8),'DRAFT 2'!$A:$A,"&lt;="&amp;DATE(2026,7,14))</f>
        <v/>
      </c>
      <c r="FW56">
        <f>COUNTIFS('DRAFT 2'!$D:$D,$B56,'DRAFT 2'!$A:$A,"&gt;="&amp;DATE(2026,7,15),'DRAFT 2'!$A:$A,"&lt;="&amp;DATE(2026,7,21))</f>
        <v/>
      </c>
      <c r="FX56">
        <f>COUNTIFS('DRAFT 2'!$D:$D,$B56,'DRAFT 2'!$A:$A,"&gt;="&amp;DATE(2026,7,22),'DRAFT 2'!$A:$A,"&lt;"&amp;DATE(2026,IF(7=12,7+1,7+1),1))</f>
        <v/>
      </c>
      <c r="FY56">
        <f>SUM(FU56:FX56)</f>
        <v/>
      </c>
      <c r="GI56">
        <f>IFERROR(LOOKUP(2,1/('DRAFT 2'!$D:$D=$B56)*('DRAFT 2'!$A:$A&gt;=DATE(2026,8,1))*('DRAFT 2'!$A:$A&lt;DATE(2026,IF(8=12,8+1,8+1),1)),'DRAFT 2'!$A:$A),"")</f>
        <v/>
      </c>
      <c r="GJ56">
        <f>COUNTIFS('DRAFT 2'!$D:$D,$B56,'DRAFT 2'!$A:$A,"&gt;="&amp;DATE(2026,8,1),'DRAFT 2'!$A:$A,"&lt;="&amp;DATE(2026,8,7))</f>
        <v/>
      </c>
      <c r="GK56">
        <f>COUNTIFS('DRAFT 2'!$D:$D,$B56,'DRAFT 2'!$A:$A,"&gt;="&amp;DATE(2026,8,8),'DRAFT 2'!$A:$A,"&lt;="&amp;DATE(2026,8,14))</f>
        <v/>
      </c>
      <c r="GL56">
        <f>COUNTIFS('DRAFT 2'!$D:$D,$B56,'DRAFT 2'!$A:$A,"&gt;="&amp;DATE(2026,8,15),'DRAFT 2'!$A:$A,"&lt;="&amp;DATE(2026,8,21))</f>
        <v/>
      </c>
      <c r="GM56">
        <f>COUNTIFS('DRAFT 2'!$D:$D,$B56,'DRAFT 2'!$A:$A,"&gt;="&amp;DATE(2026,8,22),'DRAFT 2'!$A:$A,"&lt;"&amp;DATE(2026,IF(8=12,8+1,8+1),1))</f>
        <v/>
      </c>
      <c r="GN56">
        <f>SUM(GJ56:GM56)</f>
        <v/>
      </c>
      <c r="GX56">
        <f>IFERROR(LOOKUP(2,1/('DRAFT 2'!$D:$D=$B56)*('DRAFT 2'!$A:$A&gt;=DATE(2026,9,1))*('DRAFT 2'!$A:$A&lt;DATE(2026,IF(9=12,9+1,9+1),1)),'DRAFT 2'!$A:$A),"")</f>
        <v/>
      </c>
      <c r="GY56">
        <f>COUNTIFS('DRAFT 2'!$D:$D,$B56,'DRAFT 2'!$A:$A,"&gt;="&amp;DATE(2026,9,1),'DRAFT 2'!$A:$A,"&lt;="&amp;DATE(2026,9,7))</f>
        <v/>
      </c>
      <c r="GZ56">
        <f>COUNTIFS('DRAFT 2'!$D:$D,$B56,'DRAFT 2'!$A:$A,"&gt;="&amp;DATE(2026,9,8),'DRAFT 2'!$A:$A,"&lt;="&amp;DATE(2026,9,14))</f>
        <v/>
      </c>
      <c r="HA56">
        <f>COUNTIFS('DRAFT 2'!$D:$D,$B56,'DRAFT 2'!$A:$A,"&gt;="&amp;DATE(2026,9,15),'DRAFT 2'!$A:$A,"&lt;="&amp;DATE(2026,9,21))</f>
        <v/>
      </c>
      <c r="HB56">
        <f>COUNTIFS('DRAFT 2'!$D:$D,$B56,'DRAFT 2'!$A:$A,"&gt;="&amp;DATE(2026,9,22),'DRAFT 2'!$A:$A,"&lt;"&amp;DATE(2026,IF(9=12,9+1,9+1),1))</f>
        <v/>
      </c>
      <c r="HC56">
        <f>SUM(GY56:HB56)</f>
        <v/>
      </c>
      <c r="HN56">
        <f>IFERROR(LOOKUP(2,1/('DRAFT 2'!$D:$D=$B56)*('DRAFT 2'!$A:$A&gt;=DATE(2026,10,1))*('DRAFT 2'!$A:$A&lt;DATE(2026,IF(10=12,10+1,10+1),1)),'DRAFT 2'!$A:$A),"")</f>
        <v/>
      </c>
      <c r="HO56">
        <f>COUNTIFS('DRAFT 2'!$D:$D,$B56,'DRAFT 2'!$A:$A,"&gt;="&amp;DATE(2026,10,1),'DRAFT 2'!$A:$A,"&lt;="&amp;DATE(2026,10,7))</f>
        <v/>
      </c>
      <c r="HP56">
        <f>COUNTIFS('DRAFT 2'!$D:$D,$B56,'DRAFT 2'!$A:$A,"&gt;="&amp;DATE(2026,10,8),'DRAFT 2'!$A:$A,"&lt;="&amp;DATE(2026,10,14))</f>
        <v/>
      </c>
      <c r="HQ56">
        <f>COUNTIFS('DRAFT 2'!$D:$D,$B56,'DRAFT 2'!$A:$A,"&gt;="&amp;DATE(2026,10,15),'DRAFT 2'!$A:$A,"&lt;="&amp;DATE(2026,10,21))</f>
        <v/>
      </c>
      <c r="HR56">
        <f>COUNTIFS('DRAFT 2'!$D:$D,$B56,'DRAFT 2'!$A:$A,"&gt;="&amp;DATE(2026,10,22),'DRAFT 2'!$A:$A,"&lt;"&amp;DATE(2026,IF(10=12,10+1,10+1),1))</f>
        <v/>
      </c>
      <c r="HS56">
        <f>SUM(HO56:HR56)</f>
        <v/>
      </c>
      <c r="IC56">
        <f>IFERROR(LOOKUP(2,1/('DRAFT 2'!$D:$D=$B56)*('DRAFT 2'!$A:$A&gt;=DATE(2026,11,1))*('DRAFT 2'!$A:$A&lt;DATE(2026,IF(11=12,11+1,11+1),1)),'DRAFT 2'!$A:$A),"")</f>
        <v/>
      </c>
      <c r="ID56">
        <f>COUNTIFS('DRAFT 2'!$D:$D,$B56,'DRAFT 2'!$A:$A,"&gt;="&amp;DATE(2026,11,1),'DRAFT 2'!$A:$A,"&lt;="&amp;DATE(2026,11,7))</f>
        <v/>
      </c>
      <c r="IE56">
        <f>COUNTIFS('DRAFT 2'!$D:$D,$B56,'DRAFT 2'!$A:$A,"&gt;="&amp;DATE(2026,11,8),'DRAFT 2'!$A:$A,"&lt;="&amp;DATE(2026,11,14))</f>
        <v/>
      </c>
      <c r="IF56">
        <f>COUNTIFS('DRAFT 2'!$D:$D,$B56,'DRAFT 2'!$A:$A,"&gt;="&amp;DATE(2026,11,15),'DRAFT 2'!$A:$A,"&lt;="&amp;DATE(2026,11,21))</f>
        <v/>
      </c>
      <c r="IG56">
        <f>COUNTIFS('DRAFT 2'!$D:$D,$B56,'DRAFT 2'!$A:$A,"&gt;="&amp;DATE(2026,11,22),'DRAFT 2'!$A:$A,"&lt;"&amp;DATE(2026,IF(11=12,11+1,11+1),1))</f>
        <v/>
      </c>
      <c r="IH56">
        <f>SUM(ID56:IG56)</f>
        <v/>
      </c>
      <c r="IR56">
        <f>IFERROR(LOOKUP(2,1/('DRAFT 2'!$D:$D=$B56)*('DRAFT 2'!$A:$A&gt;=DATE(2026,12,1))*('DRAFT 2'!$A:$A&lt;DATE(2026,IF(12=12,12+1,12+1),1)),'DRAFT 2'!$A:$A),"")</f>
        <v/>
      </c>
      <c r="IS56">
        <f>COUNTIFS('DRAFT 2'!$D:$D,$B56,'DRAFT 2'!$A:$A,"&gt;="&amp;DATE(2026,12,1),'DRAFT 2'!$A:$A,"&lt;="&amp;DATE(2026,12,7))</f>
        <v/>
      </c>
      <c r="IT56">
        <f>COUNTIFS('DRAFT 2'!$D:$D,$B56,'DRAFT 2'!$A:$A,"&gt;="&amp;DATE(2026,12,8),'DRAFT 2'!$A:$A,"&lt;="&amp;DATE(2026,12,14))</f>
        <v/>
      </c>
      <c r="IU56">
        <f>COUNTIFS('DRAFT 2'!$D:$D,$B56,'DRAFT 2'!$A:$A,"&gt;="&amp;DATE(2026,12,15),'DRAFT 2'!$A:$A,"&lt;="&amp;DATE(2026,12,21))</f>
        <v/>
      </c>
      <c r="IV56">
        <f>COUNTIFS('DRAFT 2'!$D:$D,$B56,'DRAFT 2'!$A:$A,"&gt;="&amp;DATE(2026,12,22),'DRAFT 2'!$A:$A,"&lt;"&amp;DATE(2026,IF(12=12,12+1,12+1),1))</f>
        <v/>
      </c>
      <c r="IW56">
        <f>SUM(IS56:IV56)</f>
        <v/>
      </c>
    </row>
    <row r="57">
      <c r="A57">
        <f>IFERROR(INDEX('DRAFT 1'!$A:$A,MATCH($B57,'DRAFT 1'!$B:$B,0)),"")</f>
        <v/>
      </c>
      <c r="C57">
        <f>IFERROR(INDEX('DRAFT 1'!$C:$C,MATCH($B57,'DRAFT 1'!$B:$B,0)),"")</f>
        <v/>
      </c>
      <c r="D57">
        <f>IFERROR(INDEX('DRAFT 1'!$D:$D,MATCH($B57,'DRAFT 1'!$B:$B,0)),"")</f>
        <v/>
      </c>
      <c r="E57">
        <f>IFERROR(INDEX('DRAFT 1'!$E:$E,MATCH($B57,'DRAFT 1'!$B:$B,0)),"")</f>
        <v/>
      </c>
      <c r="F57">
        <f>IFERROR(INDEX('DRAFT 1'!$F:$F,MATCH($B57,'DRAFT 1'!$B:$B,0)),"")</f>
        <v/>
      </c>
      <c r="G57">
        <f>IFERROR(INDEX('DRAFT 1'!$G:$G,MATCH($B57,'DRAFT 1'!$B:$B,0)),"")</f>
        <v/>
      </c>
      <c r="H57">
        <f>IFERROR(INDEX('DRAFT 1'!$H:$H,MATCH($B57,'DRAFT 1'!$B:$B,0)),"")</f>
        <v/>
      </c>
      <c r="I57" t="inlineStr">
        <is>
          <t>TUDO EM GRAOS</t>
        </is>
      </c>
      <c r="K57">
        <f>IFERROR(INDEX('DRAFT 1'!$AL:$AL,MATCH($B57,'DRAFT 1'!$B:$B,0)),"")</f>
        <v/>
      </c>
      <c r="L57">
        <f>IFERROR(INDEX('DRAFT 1'!$J:$J,MATCH($B57,'DRAFT 1'!$B:$B,0)),"")</f>
        <v/>
      </c>
      <c r="M57">
        <f>IFERROR(INDEX('DRAFT 1'!$K:$K,MATCH($B57,'DRAFT 1'!$B:$B,0)),"")</f>
        <v/>
      </c>
      <c r="N57" t="inlineStr">
        <is>
          <t>ATIVO</t>
        </is>
      </c>
      <c r="P57">
        <f>IFERROR(INDEX('DRAFT 1'!$L:$L,MATCH($B57,'DRAFT 1'!$B:$B,0)),"")</f>
        <v/>
      </c>
      <c r="Q57">
        <f>IFERROR(INDEX('DRAFT 1'!$M:$M,MATCH($B57,'DRAFT 1'!$B:$B,0)),"")</f>
        <v/>
      </c>
      <c r="R57">
        <f>IFERROR(INDEX('DRAFT 1'!$N:$N,MATCH($B57,'DRAFT 1'!$B:$B,0)),"")</f>
        <v/>
      </c>
      <c r="S57">
        <f>IFERROR(INDEX('DRAFT 1'!$O:$O,MATCH($B57,'DRAFT 1'!$B:$B,0)),"")</f>
        <v/>
      </c>
      <c r="T57">
        <f>IFERROR(INDEX('DRAFT 1'!$P:$P,MATCH($B57,'DRAFT 1'!$B:$B,0)),"")</f>
        <v/>
      </c>
      <c r="U57">
        <f>IFERROR(INDEX('DRAFT 1'!$Q:$Q,MATCH($B57,'DRAFT 1'!$B:$B,0)),"")</f>
        <v/>
      </c>
      <c r="V57">
        <f>IFERROR(INDEX('DRAFT 1'!$R:$R,MATCH($B57,'DRAFT 1'!$B:$B,0)),"")</f>
        <v/>
      </c>
      <c r="W57">
        <f>IFERROR(INDEX('DRAFT 1'!$S:$S,MATCH($B57,'DRAFT 1'!$B:$B,0)),"")</f>
        <v/>
      </c>
      <c r="X57">
        <f>IFERROR(INDEX('DRAFT 1'!$T:$T,MATCH($B57,'DRAFT 1'!$B:$B,0)),"")</f>
        <v/>
      </c>
      <c r="Z57">
        <f>IFERROR(INDEX('DRAFT 1'!$U:$U,MATCH($B57,'DRAFT 1'!$B:$B,0)),"")</f>
        <v/>
      </c>
      <c r="AA57">
        <f>IFERROR(INDEX('DRAFT 1'!$V:$V,MATCH($B57,'DRAFT 1'!$B:$B,0)),"")</f>
        <v/>
      </c>
      <c r="AB57">
        <f>IFERROR(INDEX('DRAFT 1'!$W:$W,MATCH($B57,'DRAFT 1'!$B:$B,0)),"")</f>
        <v/>
      </c>
      <c r="AC57">
        <f>IFERROR(INDEX('DRAFT 1'!$X:$X,MATCH($B57,'DRAFT 1'!$B:$B,0)),"")</f>
        <v/>
      </c>
      <c r="AD57">
        <f>IFERROR(INDEX('DRAFT 1'!$Y:$Y,MATCH($B57,'DRAFT 1'!$B:$B,0)),"")</f>
        <v/>
      </c>
      <c r="AE57">
        <f>IFERROR(INDEX('DRAFT 1'!$Z:$Z,MATCH($B57,'DRAFT 1'!$B:$B,0)),"")</f>
        <v/>
      </c>
      <c r="AF57">
        <f>IFERROR(INDEX('DRAFT 1'!$AA:$AA,MATCH($B57,'DRAFT 1'!$B:$B,0)),"")</f>
        <v/>
      </c>
      <c r="AG57">
        <f>IFERROR(INDEX('DRAFT 1'!$AB:$AB,MATCH($B57,'DRAFT 1'!$B:$B,0)),"")</f>
        <v/>
      </c>
      <c r="AH57">
        <f>IFERROR(INDEX('DRAFT 1'!$AC:$AC,MATCH($B57,'DRAFT 1'!$B:$B,0)),"")</f>
        <v/>
      </c>
      <c r="AI57">
        <f>IFERROR(INDEX('DRAFT 1'!$AD:$AD,MATCH($B57,'DRAFT 1'!$B:$B,0)),"")</f>
        <v/>
      </c>
      <c r="AJ57">
        <f>IFERROR(INDEX('DRAFT 1'!$AE:$AE,MATCH($B57,'DRAFT 1'!$B:$B,0)),"")</f>
        <v/>
      </c>
      <c r="AK57">
        <f>IFERROR(INDEX('DRAFT 1'!$AG:$AG,MATCH($B57,'DRAFT 1'!$B:$B,0)),"")</f>
        <v/>
      </c>
      <c r="AL57">
        <f>IFERROR(INDEX('DRAFT 1'!$AH:$AH,MATCH($B57,'DRAFT 1'!$B:$B,0)),"")</f>
        <v/>
      </c>
      <c r="AM57">
        <f>IFERROR(INDEX('DRAFT 1'!$AI:$AI,MATCH($B57,'DRAFT 1'!$B:$B,0)),"")</f>
        <v/>
      </c>
      <c r="AN57">
        <f>IFERROR(INDEX('DRAFT 1'!$AJ:$AJ,MATCH($B57,'DRAFT 1'!$B:$B,0)),"")</f>
        <v/>
      </c>
      <c r="AO57">
        <f>IFERROR(Y57/AN57,0)</f>
        <v/>
      </c>
      <c r="AP57">
        <f>IFERROR(INDEX('DRAFT 1'!$AK:$AK,MATCH($B57,'DRAFT 1'!$B:$B,0)),"")</f>
        <v/>
      </c>
      <c r="AR57" t="inlineStr">
        <is>
          <t>EM ATENDIMENTO</t>
        </is>
      </c>
      <c r="AS57">
        <f>IFERROR(LOOKUP(2,1/('DRAFT 2'!$D:$D=$B57),'DRAFT 2'!$T:$T),"")</f>
        <v/>
      </c>
      <c r="AT57">
        <f>IFERROR(LOOKUP(2,1/('DRAFT 2'!$D:$D=$B57),'DRAFT 2'!$A:$A),"")</f>
        <v/>
      </c>
      <c r="AU57">
        <f>IFERROR(LOOKUP(2,1/('DRAFT 2'!$D:$D=$B57),'DRAFT 2'!$R:$R),"")</f>
        <v/>
      </c>
      <c r="AV57">
        <f>IFERROR(LOOKUP(2,1/('DRAFT 2'!$D:$D=$B57),'DRAFT 2'!$S:$S),"")</f>
        <v/>
      </c>
      <c r="AW57" t="inlineStr">
        <is>
          <t>RECORRENTE</t>
        </is>
      </c>
      <c r="AX57">
        <f>IFERROR(LOOKUP(2,1/('DRAFT 2'!$D:$D=$B57),'DRAFT 2'!$M:$M),"")</f>
        <v/>
      </c>
      <c r="AY57">
        <f>IFERROR(LOOKUP(2,1/('DRAFT 2'!$D:$D=$B57),'DRAFT 2'!$K:$K),"")</f>
        <v/>
      </c>
      <c r="BG57">
        <f>IFERROR(LOOKUP(2,1/('DRAFT 2'!$D:$D=$B57),'DRAFT 2'!$U:$U),"")</f>
        <v/>
      </c>
      <c r="BH57">
        <f>IFERROR(LOOKUP(2,1/('DRAFT 2'!$D:$D=$B57),'DRAFT 2'!$V:$V),"")</f>
        <v/>
      </c>
      <c r="CE57">
        <f>IFERROR(AJ57,0)</f>
        <v/>
      </c>
      <c r="CF57">
        <f>IFERROR(LOOKUP(2,1/('DRAFT 2'!$D:$D=$B57)*('DRAFT 2'!$A:$A&gt;=DATE(2026,1,1))*('DRAFT 2'!$A:$A&lt;DATE(2026,IF(1=12,1+1,1+1),1)),'DRAFT 2'!$A:$A),"")</f>
        <v/>
      </c>
      <c r="CG57">
        <f>COUNTIFS('DRAFT 2'!$D:$D,$B57,'DRAFT 2'!$A:$A,"&gt;="&amp;DATE(2026,1,1),'DRAFT 2'!$A:$A,"&lt;="&amp;DATE(2026,1,7))</f>
        <v/>
      </c>
      <c r="CH57">
        <f>COUNTIFS('DRAFT 2'!$D:$D,$B57,'DRAFT 2'!$A:$A,"&gt;="&amp;DATE(2026,1,8),'DRAFT 2'!$A:$A,"&lt;="&amp;DATE(2026,1,14))</f>
        <v/>
      </c>
      <c r="CI57">
        <f>COUNTIFS('DRAFT 2'!$D:$D,$B57,'DRAFT 2'!$A:$A,"&gt;="&amp;DATE(2026,1,15),'DRAFT 2'!$A:$A,"&lt;="&amp;DATE(2026,1,21))</f>
        <v/>
      </c>
      <c r="CJ57">
        <f>COUNTIFS('DRAFT 2'!$D:$D,$B57,'DRAFT 2'!$A:$A,"&gt;="&amp;DATE(2026,1,22),'DRAFT 2'!$A:$A,"&lt;"&amp;DATE(2026,IF(1=12,1+1,1+1),1))</f>
        <v/>
      </c>
      <c r="CK57">
        <f>SUM(CG57:CJ57)</f>
        <v/>
      </c>
      <c r="CT57" t="n">
        <v>0</v>
      </c>
      <c r="CU57">
        <f>IFERROR(LOOKUP(2,1/('DRAFT 2'!$D:$D=$B57)*('DRAFT 2'!$A:$A&gt;=DATE(2026,2,1))*('DRAFT 2'!$A:$A&lt;DATE(2026,IF(2=12,2+1,2+1),1)),'DRAFT 2'!$A:$A),"")</f>
        <v/>
      </c>
      <c r="CV57">
        <f>COUNTIFS('DRAFT 2'!$D:$D,$B57,'DRAFT 2'!$A:$A,"&gt;="&amp;DATE(2026,2,1),'DRAFT 2'!$A:$A,"&lt;="&amp;DATE(2026,2,7))</f>
        <v/>
      </c>
      <c r="CW57">
        <f>COUNTIFS('DRAFT 2'!$D:$D,$B57,'DRAFT 2'!$A:$A,"&gt;="&amp;DATE(2026,2,8),'DRAFT 2'!$A:$A,"&lt;="&amp;DATE(2026,2,14))</f>
        <v/>
      </c>
      <c r="CX57">
        <f>COUNTIFS('DRAFT 2'!$D:$D,$B57,'DRAFT 2'!$A:$A,"&gt;="&amp;DATE(2026,2,15),'DRAFT 2'!$A:$A,"&lt;="&amp;DATE(2026,2,21))</f>
        <v/>
      </c>
      <c r="CY57">
        <f>COUNTIFS('DRAFT 2'!$D:$D,$B57,'DRAFT 2'!$A:$A,"&gt;="&amp;DATE(2026,2,22),'DRAFT 2'!$A:$A,"&lt;"&amp;DATE(2026,IF(2=12,2+1,2+1),1))</f>
        <v/>
      </c>
      <c r="CZ57">
        <f>SUM(CV57:CY57)</f>
        <v/>
      </c>
      <c r="DJ57">
        <f>IFERROR(LOOKUP(2,1/('DRAFT 2'!$D:$D=$B57)*('DRAFT 2'!$A:$A&gt;=DATE(2026,3,1))*('DRAFT 2'!$A:$A&lt;DATE(2026,IF(3=12,3+1,3+1),1)),'DRAFT 2'!$A:$A),"")</f>
        <v/>
      </c>
      <c r="DK57">
        <f>COUNTIFS('DRAFT 2'!$D:$D,$B57,'DRAFT 2'!$A:$A,"&gt;="&amp;DATE(2026,3,1),'DRAFT 2'!$A:$A,"&lt;="&amp;DATE(2026,3,7))</f>
        <v/>
      </c>
      <c r="DL57">
        <f>COUNTIFS('DRAFT 2'!$D:$D,$B57,'DRAFT 2'!$A:$A,"&gt;="&amp;DATE(2026,3,8),'DRAFT 2'!$A:$A,"&lt;="&amp;DATE(2026,3,14))</f>
        <v/>
      </c>
      <c r="DM57">
        <f>COUNTIFS('DRAFT 2'!$D:$D,$B57,'DRAFT 2'!$A:$A,"&gt;="&amp;DATE(2026,3,15),'DRAFT 2'!$A:$A,"&lt;="&amp;DATE(2026,3,21))</f>
        <v/>
      </c>
      <c r="DN57">
        <f>COUNTIFS('DRAFT 2'!$D:$D,$B57,'DRAFT 2'!$A:$A,"&gt;="&amp;DATE(2026,3,22),'DRAFT 2'!$A:$A,"&lt;"&amp;DATE(2026,IF(3=12,3+1,3+1),1))</f>
        <v/>
      </c>
      <c r="DO57">
        <f>SUM(DK57:DN57)</f>
        <v/>
      </c>
      <c r="DZ57">
        <f>IFERROR(LOOKUP(2,1/('DRAFT 2'!$D:$D=$B57)*('DRAFT 2'!$A:$A&gt;=DATE(2026,4,1))*('DRAFT 2'!$A:$A&lt;DATE(2026,IF(4=12,4+1,4+1),1)),'DRAFT 2'!$A:$A),"")</f>
        <v/>
      </c>
      <c r="EA57">
        <f>COUNTIFS('DRAFT 2'!$D:$D,$B57,'DRAFT 2'!$A:$A,"&gt;="&amp;DATE(2026,4,1),'DRAFT 2'!$A:$A,"&lt;="&amp;DATE(2026,4,7))</f>
        <v/>
      </c>
      <c r="EB57">
        <f>COUNTIFS('DRAFT 2'!$D:$D,$B57,'DRAFT 2'!$A:$A,"&gt;="&amp;DATE(2026,4,8),'DRAFT 2'!$A:$A,"&lt;="&amp;DATE(2026,4,14))</f>
        <v/>
      </c>
      <c r="EC57">
        <f>COUNTIFS('DRAFT 2'!$D:$D,$B57,'DRAFT 2'!$A:$A,"&gt;="&amp;DATE(2026,4,15),'DRAFT 2'!$A:$A,"&lt;="&amp;DATE(2026,4,21))</f>
        <v/>
      </c>
      <c r="ED57">
        <f>COUNTIFS('DRAFT 2'!$D:$D,$B57,'DRAFT 2'!$A:$A,"&gt;="&amp;DATE(2026,4,22),'DRAFT 2'!$A:$A,"&lt;"&amp;DATE(2026,IF(4=12,4+1,4+1),1))</f>
        <v/>
      </c>
      <c r="EE57">
        <f>SUM(EA57:ED57)</f>
        <v/>
      </c>
      <c r="EO57">
        <f>IFERROR(LOOKUP(2,1/('DRAFT 2'!$D:$D=$B57)*('DRAFT 2'!$A:$A&gt;=DATE(2026,5,1))*('DRAFT 2'!$A:$A&lt;DATE(2026,IF(5=12,5+1,5+1),1)),'DRAFT 2'!$A:$A),"")</f>
        <v/>
      </c>
      <c r="EP57">
        <f>COUNTIFS('DRAFT 2'!$D:$D,$B57,'DRAFT 2'!$A:$A,"&gt;="&amp;DATE(2026,5,1),'DRAFT 2'!$A:$A,"&lt;="&amp;DATE(2026,5,7))</f>
        <v/>
      </c>
      <c r="EQ57">
        <f>COUNTIFS('DRAFT 2'!$D:$D,$B57,'DRAFT 2'!$A:$A,"&gt;="&amp;DATE(2026,5,8),'DRAFT 2'!$A:$A,"&lt;="&amp;DATE(2026,5,14))</f>
        <v/>
      </c>
      <c r="ER57">
        <f>COUNTIFS('DRAFT 2'!$D:$D,$B57,'DRAFT 2'!$A:$A,"&gt;="&amp;DATE(2026,5,15),'DRAFT 2'!$A:$A,"&lt;="&amp;DATE(2026,5,21))</f>
        <v/>
      </c>
      <c r="ES57">
        <f>COUNTIFS('DRAFT 2'!$D:$D,$B57,'DRAFT 2'!$A:$A,"&gt;="&amp;DATE(2026,5,22),'DRAFT 2'!$A:$A,"&lt;"&amp;DATE(2026,IF(5=12,5+1,5+1),1))</f>
        <v/>
      </c>
      <c r="ET57">
        <f>SUM(EP57:ES57)</f>
        <v/>
      </c>
      <c r="FD57">
        <f>IFERROR(LOOKUP(2,1/('DRAFT 2'!$D:$D=$B57)*('DRAFT 2'!$A:$A&gt;=DATE(2026,6,1))*('DRAFT 2'!$A:$A&lt;DATE(2026,IF(6=12,6+1,6+1),1)),'DRAFT 2'!$A:$A),"")</f>
        <v/>
      </c>
      <c r="FE57">
        <f>COUNTIFS('DRAFT 2'!$D:$D,$B57,'DRAFT 2'!$A:$A,"&gt;="&amp;DATE(2026,6,1),'DRAFT 2'!$A:$A,"&lt;="&amp;DATE(2026,6,7))</f>
        <v/>
      </c>
      <c r="FF57">
        <f>COUNTIFS('DRAFT 2'!$D:$D,$B57,'DRAFT 2'!$A:$A,"&gt;="&amp;DATE(2026,6,8),'DRAFT 2'!$A:$A,"&lt;="&amp;DATE(2026,6,14))</f>
        <v/>
      </c>
      <c r="FG57">
        <f>COUNTIFS('DRAFT 2'!$D:$D,$B57,'DRAFT 2'!$A:$A,"&gt;="&amp;DATE(2026,6,15),'DRAFT 2'!$A:$A,"&lt;="&amp;DATE(2026,6,21))</f>
        <v/>
      </c>
      <c r="FH57">
        <f>COUNTIFS('DRAFT 2'!$D:$D,$B57,'DRAFT 2'!$A:$A,"&gt;="&amp;DATE(2026,6,22),'DRAFT 2'!$A:$A,"&lt;"&amp;DATE(2026,IF(6=12,6+1,6+1),1))</f>
        <v/>
      </c>
      <c r="FI57">
        <f>SUM(FE57:FH57)</f>
        <v/>
      </c>
      <c r="FT57">
        <f>IFERROR(LOOKUP(2,1/('DRAFT 2'!$D:$D=$B57)*('DRAFT 2'!$A:$A&gt;=DATE(2026,7,1))*('DRAFT 2'!$A:$A&lt;DATE(2026,IF(7=12,7+1,7+1),1)),'DRAFT 2'!$A:$A),"")</f>
        <v/>
      </c>
      <c r="FU57">
        <f>COUNTIFS('DRAFT 2'!$D:$D,$B57,'DRAFT 2'!$A:$A,"&gt;="&amp;DATE(2026,7,1),'DRAFT 2'!$A:$A,"&lt;="&amp;DATE(2026,7,7))</f>
        <v/>
      </c>
      <c r="FV57">
        <f>COUNTIFS('DRAFT 2'!$D:$D,$B57,'DRAFT 2'!$A:$A,"&gt;="&amp;DATE(2026,7,8),'DRAFT 2'!$A:$A,"&lt;="&amp;DATE(2026,7,14))</f>
        <v/>
      </c>
      <c r="FW57">
        <f>COUNTIFS('DRAFT 2'!$D:$D,$B57,'DRAFT 2'!$A:$A,"&gt;="&amp;DATE(2026,7,15),'DRAFT 2'!$A:$A,"&lt;="&amp;DATE(2026,7,21))</f>
        <v/>
      </c>
      <c r="FX57">
        <f>COUNTIFS('DRAFT 2'!$D:$D,$B57,'DRAFT 2'!$A:$A,"&gt;="&amp;DATE(2026,7,22),'DRAFT 2'!$A:$A,"&lt;"&amp;DATE(2026,IF(7=12,7+1,7+1),1))</f>
        <v/>
      </c>
      <c r="FY57">
        <f>SUM(FU57:FX57)</f>
        <v/>
      </c>
      <c r="GI57">
        <f>IFERROR(LOOKUP(2,1/('DRAFT 2'!$D:$D=$B57)*('DRAFT 2'!$A:$A&gt;=DATE(2026,8,1))*('DRAFT 2'!$A:$A&lt;DATE(2026,IF(8=12,8+1,8+1),1)),'DRAFT 2'!$A:$A),"")</f>
        <v/>
      </c>
      <c r="GJ57">
        <f>COUNTIFS('DRAFT 2'!$D:$D,$B57,'DRAFT 2'!$A:$A,"&gt;="&amp;DATE(2026,8,1),'DRAFT 2'!$A:$A,"&lt;="&amp;DATE(2026,8,7))</f>
        <v/>
      </c>
      <c r="GK57">
        <f>COUNTIFS('DRAFT 2'!$D:$D,$B57,'DRAFT 2'!$A:$A,"&gt;="&amp;DATE(2026,8,8),'DRAFT 2'!$A:$A,"&lt;="&amp;DATE(2026,8,14))</f>
        <v/>
      </c>
      <c r="GL57">
        <f>COUNTIFS('DRAFT 2'!$D:$D,$B57,'DRAFT 2'!$A:$A,"&gt;="&amp;DATE(2026,8,15),'DRAFT 2'!$A:$A,"&lt;="&amp;DATE(2026,8,21))</f>
        <v/>
      </c>
      <c r="GM57">
        <f>COUNTIFS('DRAFT 2'!$D:$D,$B57,'DRAFT 2'!$A:$A,"&gt;="&amp;DATE(2026,8,22),'DRAFT 2'!$A:$A,"&lt;"&amp;DATE(2026,IF(8=12,8+1,8+1),1))</f>
        <v/>
      </c>
      <c r="GN57">
        <f>SUM(GJ57:GM57)</f>
        <v/>
      </c>
      <c r="GX57">
        <f>IFERROR(LOOKUP(2,1/('DRAFT 2'!$D:$D=$B57)*('DRAFT 2'!$A:$A&gt;=DATE(2026,9,1))*('DRAFT 2'!$A:$A&lt;DATE(2026,IF(9=12,9+1,9+1),1)),'DRAFT 2'!$A:$A),"")</f>
        <v/>
      </c>
      <c r="GY57">
        <f>COUNTIFS('DRAFT 2'!$D:$D,$B57,'DRAFT 2'!$A:$A,"&gt;="&amp;DATE(2026,9,1),'DRAFT 2'!$A:$A,"&lt;="&amp;DATE(2026,9,7))</f>
        <v/>
      </c>
      <c r="GZ57">
        <f>COUNTIFS('DRAFT 2'!$D:$D,$B57,'DRAFT 2'!$A:$A,"&gt;="&amp;DATE(2026,9,8),'DRAFT 2'!$A:$A,"&lt;="&amp;DATE(2026,9,14))</f>
        <v/>
      </c>
      <c r="HA57">
        <f>COUNTIFS('DRAFT 2'!$D:$D,$B57,'DRAFT 2'!$A:$A,"&gt;="&amp;DATE(2026,9,15),'DRAFT 2'!$A:$A,"&lt;="&amp;DATE(2026,9,21))</f>
        <v/>
      </c>
      <c r="HB57">
        <f>COUNTIFS('DRAFT 2'!$D:$D,$B57,'DRAFT 2'!$A:$A,"&gt;="&amp;DATE(2026,9,22),'DRAFT 2'!$A:$A,"&lt;"&amp;DATE(2026,IF(9=12,9+1,9+1),1))</f>
        <v/>
      </c>
      <c r="HC57">
        <f>SUM(GY57:HB57)</f>
        <v/>
      </c>
      <c r="HN57">
        <f>IFERROR(LOOKUP(2,1/('DRAFT 2'!$D:$D=$B57)*('DRAFT 2'!$A:$A&gt;=DATE(2026,10,1))*('DRAFT 2'!$A:$A&lt;DATE(2026,IF(10=12,10+1,10+1),1)),'DRAFT 2'!$A:$A),"")</f>
        <v/>
      </c>
      <c r="HO57">
        <f>COUNTIFS('DRAFT 2'!$D:$D,$B57,'DRAFT 2'!$A:$A,"&gt;="&amp;DATE(2026,10,1),'DRAFT 2'!$A:$A,"&lt;="&amp;DATE(2026,10,7))</f>
        <v/>
      </c>
      <c r="HP57">
        <f>COUNTIFS('DRAFT 2'!$D:$D,$B57,'DRAFT 2'!$A:$A,"&gt;="&amp;DATE(2026,10,8),'DRAFT 2'!$A:$A,"&lt;="&amp;DATE(2026,10,14))</f>
        <v/>
      </c>
      <c r="HQ57">
        <f>COUNTIFS('DRAFT 2'!$D:$D,$B57,'DRAFT 2'!$A:$A,"&gt;="&amp;DATE(2026,10,15),'DRAFT 2'!$A:$A,"&lt;="&amp;DATE(2026,10,21))</f>
        <v/>
      </c>
      <c r="HR57">
        <f>COUNTIFS('DRAFT 2'!$D:$D,$B57,'DRAFT 2'!$A:$A,"&gt;="&amp;DATE(2026,10,22),'DRAFT 2'!$A:$A,"&lt;"&amp;DATE(2026,IF(10=12,10+1,10+1),1))</f>
        <v/>
      </c>
      <c r="HS57">
        <f>SUM(HO57:HR57)</f>
        <v/>
      </c>
      <c r="IC57">
        <f>IFERROR(LOOKUP(2,1/('DRAFT 2'!$D:$D=$B57)*('DRAFT 2'!$A:$A&gt;=DATE(2026,11,1))*('DRAFT 2'!$A:$A&lt;DATE(2026,IF(11=12,11+1,11+1),1)),'DRAFT 2'!$A:$A),"")</f>
        <v/>
      </c>
      <c r="ID57">
        <f>COUNTIFS('DRAFT 2'!$D:$D,$B57,'DRAFT 2'!$A:$A,"&gt;="&amp;DATE(2026,11,1),'DRAFT 2'!$A:$A,"&lt;="&amp;DATE(2026,11,7))</f>
        <v/>
      </c>
      <c r="IE57">
        <f>COUNTIFS('DRAFT 2'!$D:$D,$B57,'DRAFT 2'!$A:$A,"&gt;="&amp;DATE(2026,11,8),'DRAFT 2'!$A:$A,"&lt;="&amp;DATE(2026,11,14))</f>
        <v/>
      </c>
      <c r="IF57">
        <f>COUNTIFS('DRAFT 2'!$D:$D,$B57,'DRAFT 2'!$A:$A,"&gt;="&amp;DATE(2026,11,15),'DRAFT 2'!$A:$A,"&lt;="&amp;DATE(2026,11,21))</f>
        <v/>
      </c>
      <c r="IG57">
        <f>COUNTIFS('DRAFT 2'!$D:$D,$B57,'DRAFT 2'!$A:$A,"&gt;="&amp;DATE(2026,11,22),'DRAFT 2'!$A:$A,"&lt;"&amp;DATE(2026,IF(11=12,11+1,11+1),1))</f>
        <v/>
      </c>
      <c r="IH57">
        <f>SUM(ID57:IG57)</f>
        <v/>
      </c>
      <c r="IR57">
        <f>IFERROR(LOOKUP(2,1/('DRAFT 2'!$D:$D=$B57)*('DRAFT 2'!$A:$A&gt;=DATE(2026,12,1))*('DRAFT 2'!$A:$A&lt;DATE(2026,IF(12=12,12+1,12+1),1)),'DRAFT 2'!$A:$A),"")</f>
        <v/>
      </c>
      <c r="IS57">
        <f>COUNTIFS('DRAFT 2'!$D:$D,$B57,'DRAFT 2'!$A:$A,"&gt;="&amp;DATE(2026,12,1),'DRAFT 2'!$A:$A,"&lt;="&amp;DATE(2026,12,7))</f>
        <v/>
      </c>
      <c r="IT57">
        <f>COUNTIFS('DRAFT 2'!$D:$D,$B57,'DRAFT 2'!$A:$A,"&gt;="&amp;DATE(2026,12,8),'DRAFT 2'!$A:$A,"&lt;="&amp;DATE(2026,12,14))</f>
        <v/>
      </c>
      <c r="IU57">
        <f>COUNTIFS('DRAFT 2'!$D:$D,$B57,'DRAFT 2'!$A:$A,"&gt;="&amp;DATE(2026,12,15),'DRAFT 2'!$A:$A,"&lt;="&amp;DATE(2026,12,21))</f>
        <v/>
      </c>
      <c r="IV57">
        <f>COUNTIFS('DRAFT 2'!$D:$D,$B57,'DRAFT 2'!$A:$A,"&gt;="&amp;DATE(2026,12,22),'DRAFT 2'!$A:$A,"&lt;"&amp;DATE(2026,IF(12=12,12+1,12+1),1))</f>
        <v/>
      </c>
      <c r="IW57">
        <f>SUM(IS57:IV57)</f>
        <v/>
      </c>
    </row>
    <row r="58">
      <c r="A58">
        <f>IFERROR(INDEX('DRAFT 1'!$A:$A,MATCH($B58,'DRAFT 1'!$B:$B,0)),"")</f>
        <v/>
      </c>
      <c r="C58">
        <f>IFERROR(INDEX('DRAFT 1'!$C:$C,MATCH($B58,'DRAFT 1'!$B:$B,0)),"")</f>
        <v/>
      </c>
      <c r="D58">
        <f>IFERROR(INDEX('DRAFT 1'!$D:$D,MATCH($B58,'DRAFT 1'!$B:$B,0)),"")</f>
        <v/>
      </c>
      <c r="E58">
        <f>IFERROR(INDEX('DRAFT 1'!$E:$E,MATCH($B58,'DRAFT 1'!$B:$B,0)),"")</f>
        <v/>
      </c>
      <c r="F58">
        <f>IFERROR(INDEX('DRAFT 1'!$F:$F,MATCH($B58,'DRAFT 1'!$B:$B,0)),"")</f>
        <v/>
      </c>
      <c r="G58">
        <f>IFERROR(INDEX('DRAFT 1'!$G:$G,MATCH($B58,'DRAFT 1'!$B:$B,0)),"")</f>
        <v/>
      </c>
      <c r="H58">
        <f>IFERROR(INDEX('DRAFT 1'!$H:$H,MATCH($B58,'DRAFT 1'!$B:$B,0)),"")</f>
        <v/>
      </c>
      <c r="I58" t="inlineStr">
        <is>
          <t>DEMAIS CLIENTES</t>
        </is>
      </c>
      <c r="K58">
        <f>IFERROR(INDEX('DRAFT 1'!$AL:$AL,MATCH($B58,'DRAFT 1'!$B:$B,0)),"")</f>
        <v/>
      </c>
      <c r="L58">
        <f>IFERROR(INDEX('DRAFT 1'!$J:$J,MATCH($B58,'DRAFT 1'!$B:$B,0)),"")</f>
        <v/>
      </c>
      <c r="M58">
        <f>IFERROR(INDEX('DRAFT 1'!$K:$K,MATCH($B58,'DRAFT 1'!$B:$B,0)),"")</f>
        <v/>
      </c>
      <c r="N58" t="inlineStr">
        <is>
          <t>ATIVO</t>
        </is>
      </c>
      <c r="P58">
        <f>IFERROR(INDEX('DRAFT 1'!$L:$L,MATCH($B58,'DRAFT 1'!$B:$B,0)),"")</f>
        <v/>
      </c>
      <c r="Q58">
        <f>IFERROR(INDEX('DRAFT 1'!$M:$M,MATCH($B58,'DRAFT 1'!$B:$B,0)),"")</f>
        <v/>
      </c>
      <c r="R58">
        <f>IFERROR(INDEX('DRAFT 1'!$N:$N,MATCH($B58,'DRAFT 1'!$B:$B,0)),"")</f>
        <v/>
      </c>
      <c r="S58">
        <f>IFERROR(INDEX('DRAFT 1'!$O:$O,MATCH($B58,'DRAFT 1'!$B:$B,0)),"")</f>
        <v/>
      </c>
      <c r="T58">
        <f>IFERROR(INDEX('DRAFT 1'!$P:$P,MATCH($B58,'DRAFT 1'!$B:$B,0)),"")</f>
        <v/>
      </c>
      <c r="U58">
        <f>IFERROR(INDEX('DRAFT 1'!$Q:$Q,MATCH($B58,'DRAFT 1'!$B:$B,0)),"")</f>
        <v/>
      </c>
      <c r="V58">
        <f>IFERROR(INDEX('DRAFT 1'!$R:$R,MATCH($B58,'DRAFT 1'!$B:$B,0)),"")</f>
        <v/>
      </c>
      <c r="W58">
        <f>IFERROR(INDEX('DRAFT 1'!$S:$S,MATCH($B58,'DRAFT 1'!$B:$B,0)),"")</f>
        <v/>
      </c>
      <c r="X58">
        <f>IFERROR(INDEX('DRAFT 1'!$T:$T,MATCH($B58,'DRAFT 1'!$B:$B,0)),"")</f>
        <v/>
      </c>
      <c r="Z58">
        <f>IFERROR(INDEX('DRAFT 1'!$U:$U,MATCH($B58,'DRAFT 1'!$B:$B,0)),"")</f>
        <v/>
      </c>
      <c r="AA58">
        <f>IFERROR(INDEX('DRAFT 1'!$V:$V,MATCH($B58,'DRAFT 1'!$B:$B,0)),"")</f>
        <v/>
      </c>
      <c r="AB58">
        <f>IFERROR(INDEX('DRAFT 1'!$W:$W,MATCH($B58,'DRAFT 1'!$B:$B,0)),"")</f>
        <v/>
      </c>
      <c r="AC58">
        <f>IFERROR(INDEX('DRAFT 1'!$X:$X,MATCH($B58,'DRAFT 1'!$B:$B,0)),"")</f>
        <v/>
      </c>
      <c r="AD58">
        <f>IFERROR(INDEX('DRAFT 1'!$Y:$Y,MATCH($B58,'DRAFT 1'!$B:$B,0)),"")</f>
        <v/>
      </c>
      <c r="AE58">
        <f>IFERROR(INDEX('DRAFT 1'!$Z:$Z,MATCH($B58,'DRAFT 1'!$B:$B,0)),"")</f>
        <v/>
      </c>
      <c r="AF58">
        <f>IFERROR(INDEX('DRAFT 1'!$AA:$AA,MATCH($B58,'DRAFT 1'!$B:$B,0)),"")</f>
        <v/>
      </c>
      <c r="AG58">
        <f>IFERROR(INDEX('DRAFT 1'!$AB:$AB,MATCH($B58,'DRAFT 1'!$B:$B,0)),"")</f>
        <v/>
      </c>
      <c r="AH58">
        <f>IFERROR(INDEX('DRAFT 1'!$AC:$AC,MATCH($B58,'DRAFT 1'!$B:$B,0)),"")</f>
        <v/>
      </c>
      <c r="AI58">
        <f>IFERROR(INDEX('DRAFT 1'!$AD:$AD,MATCH($B58,'DRAFT 1'!$B:$B,0)),"")</f>
        <v/>
      </c>
      <c r="AJ58">
        <f>IFERROR(INDEX('DRAFT 1'!$AE:$AE,MATCH($B58,'DRAFT 1'!$B:$B,0)),"")</f>
        <v/>
      </c>
      <c r="AK58">
        <f>IFERROR(INDEX('DRAFT 1'!$AG:$AG,MATCH($B58,'DRAFT 1'!$B:$B,0)),"")</f>
        <v/>
      </c>
      <c r="AL58">
        <f>IFERROR(INDEX('DRAFT 1'!$AH:$AH,MATCH($B58,'DRAFT 1'!$B:$B,0)),"")</f>
        <v/>
      </c>
      <c r="AM58">
        <f>IFERROR(INDEX('DRAFT 1'!$AI:$AI,MATCH($B58,'DRAFT 1'!$B:$B,0)),"")</f>
        <v/>
      </c>
      <c r="AN58">
        <f>IFERROR(INDEX('DRAFT 1'!$AJ:$AJ,MATCH($B58,'DRAFT 1'!$B:$B,0)),"")</f>
        <v/>
      </c>
      <c r="AO58">
        <f>IFERROR(Y58/AN58,0)</f>
        <v/>
      </c>
      <c r="AP58">
        <f>IFERROR(INDEX('DRAFT 1'!$AK:$AK,MATCH($B58,'DRAFT 1'!$B:$B,0)),"")</f>
        <v/>
      </c>
      <c r="AR58" t="inlineStr">
        <is>
          <t>PÓS-VENDA</t>
        </is>
      </c>
      <c r="AS58">
        <f>IFERROR(LOOKUP(2,1/('DRAFT 2'!$D:$D=$B58),'DRAFT 2'!$T:$T),"")</f>
        <v/>
      </c>
      <c r="AT58">
        <f>IFERROR(LOOKUP(2,1/('DRAFT 2'!$D:$D=$B58),'DRAFT 2'!$A:$A),"")</f>
        <v/>
      </c>
      <c r="AU58">
        <f>IFERROR(LOOKUP(2,1/('DRAFT 2'!$D:$D=$B58),'DRAFT 2'!$R:$R),"")</f>
        <v/>
      </c>
      <c r="AV58">
        <f>IFERROR(LOOKUP(2,1/('DRAFT 2'!$D:$D=$B58),'DRAFT 2'!$S:$S),"")</f>
        <v/>
      </c>
      <c r="AW58" t="inlineStr">
        <is>
          <t>FIDELIZADO</t>
        </is>
      </c>
      <c r="AX58">
        <f>IFERROR(LOOKUP(2,1/('DRAFT 2'!$D:$D=$B58),'DRAFT 2'!$M:$M),"")</f>
        <v/>
      </c>
      <c r="AY58">
        <f>IFERROR(LOOKUP(2,1/('DRAFT 2'!$D:$D=$B58),'DRAFT 2'!$K:$K),"")</f>
        <v/>
      </c>
      <c r="BG58">
        <f>IFERROR(LOOKUP(2,1/('DRAFT 2'!$D:$D=$B58),'DRAFT 2'!$U:$U),"")</f>
        <v/>
      </c>
      <c r="BH58">
        <f>IFERROR(LOOKUP(2,1/('DRAFT 2'!$D:$D=$B58),'DRAFT 2'!$V:$V),"")</f>
        <v/>
      </c>
      <c r="CE58">
        <f>IFERROR(AJ58,0)</f>
        <v/>
      </c>
      <c r="CF58">
        <f>IFERROR(LOOKUP(2,1/('DRAFT 2'!$D:$D=$B58)*('DRAFT 2'!$A:$A&gt;=DATE(2026,1,1))*('DRAFT 2'!$A:$A&lt;DATE(2026,IF(1=12,1+1,1+1),1)),'DRAFT 2'!$A:$A),"")</f>
        <v/>
      </c>
      <c r="CG58">
        <f>COUNTIFS('DRAFT 2'!$D:$D,$B58,'DRAFT 2'!$A:$A,"&gt;="&amp;DATE(2026,1,1),'DRAFT 2'!$A:$A,"&lt;="&amp;DATE(2026,1,7))</f>
        <v/>
      </c>
      <c r="CH58">
        <f>COUNTIFS('DRAFT 2'!$D:$D,$B58,'DRAFT 2'!$A:$A,"&gt;="&amp;DATE(2026,1,8),'DRAFT 2'!$A:$A,"&lt;="&amp;DATE(2026,1,14))</f>
        <v/>
      </c>
      <c r="CI58">
        <f>COUNTIFS('DRAFT 2'!$D:$D,$B58,'DRAFT 2'!$A:$A,"&gt;="&amp;DATE(2026,1,15),'DRAFT 2'!$A:$A,"&lt;="&amp;DATE(2026,1,21))</f>
        <v/>
      </c>
      <c r="CJ58">
        <f>COUNTIFS('DRAFT 2'!$D:$D,$B58,'DRAFT 2'!$A:$A,"&gt;="&amp;DATE(2026,1,22),'DRAFT 2'!$A:$A,"&lt;"&amp;DATE(2026,IF(1=12,1+1,1+1),1))</f>
        <v/>
      </c>
      <c r="CK58">
        <f>SUM(CG58:CJ58)</f>
        <v/>
      </c>
      <c r="CT58" t="n">
        <v>0</v>
      </c>
      <c r="CU58">
        <f>IFERROR(LOOKUP(2,1/('DRAFT 2'!$D:$D=$B58)*('DRAFT 2'!$A:$A&gt;=DATE(2026,2,1))*('DRAFT 2'!$A:$A&lt;DATE(2026,IF(2=12,2+1,2+1),1)),'DRAFT 2'!$A:$A),"")</f>
        <v/>
      </c>
      <c r="CV58">
        <f>COUNTIFS('DRAFT 2'!$D:$D,$B58,'DRAFT 2'!$A:$A,"&gt;="&amp;DATE(2026,2,1),'DRAFT 2'!$A:$A,"&lt;="&amp;DATE(2026,2,7))</f>
        <v/>
      </c>
      <c r="CW58">
        <f>COUNTIFS('DRAFT 2'!$D:$D,$B58,'DRAFT 2'!$A:$A,"&gt;="&amp;DATE(2026,2,8),'DRAFT 2'!$A:$A,"&lt;="&amp;DATE(2026,2,14))</f>
        <v/>
      </c>
      <c r="CX58">
        <f>COUNTIFS('DRAFT 2'!$D:$D,$B58,'DRAFT 2'!$A:$A,"&gt;="&amp;DATE(2026,2,15),'DRAFT 2'!$A:$A,"&lt;="&amp;DATE(2026,2,21))</f>
        <v/>
      </c>
      <c r="CY58">
        <f>COUNTIFS('DRAFT 2'!$D:$D,$B58,'DRAFT 2'!$A:$A,"&gt;="&amp;DATE(2026,2,22),'DRAFT 2'!$A:$A,"&lt;"&amp;DATE(2026,IF(2=12,2+1,2+1),1))</f>
        <v/>
      </c>
      <c r="CZ58">
        <f>SUM(CV58:CY58)</f>
        <v/>
      </c>
      <c r="DJ58">
        <f>IFERROR(LOOKUP(2,1/('DRAFT 2'!$D:$D=$B58)*('DRAFT 2'!$A:$A&gt;=DATE(2026,3,1))*('DRAFT 2'!$A:$A&lt;DATE(2026,IF(3=12,3+1,3+1),1)),'DRAFT 2'!$A:$A),"")</f>
        <v/>
      </c>
      <c r="DK58">
        <f>COUNTIFS('DRAFT 2'!$D:$D,$B58,'DRAFT 2'!$A:$A,"&gt;="&amp;DATE(2026,3,1),'DRAFT 2'!$A:$A,"&lt;="&amp;DATE(2026,3,7))</f>
        <v/>
      </c>
      <c r="DL58">
        <f>COUNTIFS('DRAFT 2'!$D:$D,$B58,'DRAFT 2'!$A:$A,"&gt;="&amp;DATE(2026,3,8),'DRAFT 2'!$A:$A,"&lt;="&amp;DATE(2026,3,14))</f>
        <v/>
      </c>
      <c r="DM58">
        <f>COUNTIFS('DRAFT 2'!$D:$D,$B58,'DRAFT 2'!$A:$A,"&gt;="&amp;DATE(2026,3,15),'DRAFT 2'!$A:$A,"&lt;="&amp;DATE(2026,3,21))</f>
        <v/>
      </c>
      <c r="DN58">
        <f>COUNTIFS('DRAFT 2'!$D:$D,$B58,'DRAFT 2'!$A:$A,"&gt;="&amp;DATE(2026,3,22),'DRAFT 2'!$A:$A,"&lt;"&amp;DATE(2026,IF(3=12,3+1,3+1),1))</f>
        <v/>
      </c>
      <c r="DO58">
        <f>SUM(DK58:DN58)</f>
        <v/>
      </c>
      <c r="DZ58">
        <f>IFERROR(LOOKUP(2,1/('DRAFT 2'!$D:$D=$B58)*('DRAFT 2'!$A:$A&gt;=DATE(2026,4,1))*('DRAFT 2'!$A:$A&lt;DATE(2026,IF(4=12,4+1,4+1),1)),'DRAFT 2'!$A:$A),"")</f>
        <v/>
      </c>
      <c r="EA58">
        <f>COUNTIFS('DRAFT 2'!$D:$D,$B58,'DRAFT 2'!$A:$A,"&gt;="&amp;DATE(2026,4,1),'DRAFT 2'!$A:$A,"&lt;="&amp;DATE(2026,4,7))</f>
        <v/>
      </c>
      <c r="EB58">
        <f>COUNTIFS('DRAFT 2'!$D:$D,$B58,'DRAFT 2'!$A:$A,"&gt;="&amp;DATE(2026,4,8),'DRAFT 2'!$A:$A,"&lt;="&amp;DATE(2026,4,14))</f>
        <v/>
      </c>
      <c r="EC58">
        <f>COUNTIFS('DRAFT 2'!$D:$D,$B58,'DRAFT 2'!$A:$A,"&gt;="&amp;DATE(2026,4,15),'DRAFT 2'!$A:$A,"&lt;="&amp;DATE(2026,4,21))</f>
        <v/>
      </c>
      <c r="ED58">
        <f>COUNTIFS('DRAFT 2'!$D:$D,$B58,'DRAFT 2'!$A:$A,"&gt;="&amp;DATE(2026,4,22),'DRAFT 2'!$A:$A,"&lt;"&amp;DATE(2026,IF(4=12,4+1,4+1),1))</f>
        <v/>
      </c>
      <c r="EE58">
        <f>SUM(EA58:ED58)</f>
        <v/>
      </c>
      <c r="EO58">
        <f>IFERROR(LOOKUP(2,1/('DRAFT 2'!$D:$D=$B58)*('DRAFT 2'!$A:$A&gt;=DATE(2026,5,1))*('DRAFT 2'!$A:$A&lt;DATE(2026,IF(5=12,5+1,5+1),1)),'DRAFT 2'!$A:$A),"")</f>
        <v/>
      </c>
      <c r="EP58">
        <f>COUNTIFS('DRAFT 2'!$D:$D,$B58,'DRAFT 2'!$A:$A,"&gt;="&amp;DATE(2026,5,1),'DRAFT 2'!$A:$A,"&lt;="&amp;DATE(2026,5,7))</f>
        <v/>
      </c>
      <c r="EQ58">
        <f>COUNTIFS('DRAFT 2'!$D:$D,$B58,'DRAFT 2'!$A:$A,"&gt;="&amp;DATE(2026,5,8),'DRAFT 2'!$A:$A,"&lt;="&amp;DATE(2026,5,14))</f>
        <v/>
      </c>
      <c r="ER58">
        <f>COUNTIFS('DRAFT 2'!$D:$D,$B58,'DRAFT 2'!$A:$A,"&gt;="&amp;DATE(2026,5,15),'DRAFT 2'!$A:$A,"&lt;="&amp;DATE(2026,5,21))</f>
        <v/>
      </c>
      <c r="ES58">
        <f>COUNTIFS('DRAFT 2'!$D:$D,$B58,'DRAFT 2'!$A:$A,"&gt;="&amp;DATE(2026,5,22),'DRAFT 2'!$A:$A,"&lt;"&amp;DATE(2026,IF(5=12,5+1,5+1),1))</f>
        <v/>
      </c>
      <c r="ET58">
        <f>SUM(EP58:ES58)</f>
        <v/>
      </c>
      <c r="FD58">
        <f>IFERROR(LOOKUP(2,1/('DRAFT 2'!$D:$D=$B58)*('DRAFT 2'!$A:$A&gt;=DATE(2026,6,1))*('DRAFT 2'!$A:$A&lt;DATE(2026,IF(6=12,6+1,6+1),1)),'DRAFT 2'!$A:$A),"")</f>
        <v/>
      </c>
      <c r="FE58">
        <f>COUNTIFS('DRAFT 2'!$D:$D,$B58,'DRAFT 2'!$A:$A,"&gt;="&amp;DATE(2026,6,1),'DRAFT 2'!$A:$A,"&lt;="&amp;DATE(2026,6,7))</f>
        <v/>
      </c>
      <c r="FF58">
        <f>COUNTIFS('DRAFT 2'!$D:$D,$B58,'DRAFT 2'!$A:$A,"&gt;="&amp;DATE(2026,6,8),'DRAFT 2'!$A:$A,"&lt;="&amp;DATE(2026,6,14))</f>
        <v/>
      </c>
      <c r="FG58">
        <f>COUNTIFS('DRAFT 2'!$D:$D,$B58,'DRAFT 2'!$A:$A,"&gt;="&amp;DATE(2026,6,15),'DRAFT 2'!$A:$A,"&lt;="&amp;DATE(2026,6,21))</f>
        <v/>
      </c>
      <c r="FH58">
        <f>COUNTIFS('DRAFT 2'!$D:$D,$B58,'DRAFT 2'!$A:$A,"&gt;="&amp;DATE(2026,6,22),'DRAFT 2'!$A:$A,"&lt;"&amp;DATE(2026,IF(6=12,6+1,6+1),1))</f>
        <v/>
      </c>
      <c r="FI58">
        <f>SUM(FE58:FH58)</f>
        <v/>
      </c>
      <c r="FT58">
        <f>IFERROR(LOOKUP(2,1/('DRAFT 2'!$D:$D=$B58)*('DRAFT 2'!$A:$A&gt;=DATE(2026,7,1))*('DRAFT 2'!$A:$A&lt;DATE(2026,IF(7=12,7+1,7+1),1)),'DRAFT 2'!$A:$A),"")</f>
        <v/>
      </c>
      <c r="FU58">
        <f>COUNTIFS('DRAFT 2'!$D:$D,$B58,'DRAFT 2'!$A:$A,"&gt;="&amp;DATE(2026,7,1),'DRAFT 2'!$A:$A,"&lt;="&amp;DATE(2026,7,7))</f>
        <v/>
      </c>
      <c r="FV58">
        <f>COUNTIFS('DRAFT 2'!$D:$D,$B58,'DRAFT 2'!$A:$A,"&gt;="&amp;DATE(2026,7,8),'DRAFT 2'!$A:$A,"&lt;="&amp;DATE(2026,7,14))</f>
        <v/>
      </c>
      <c r="FW58">
        <f>COUNTIFS('DRAFT 2'!$D:$D,$B58,'DRAFT 2'!$A:$A,"&gt;="&amp;DATE(2026,7,15),'DRAFT 2'!$A:$A,"&lt;="&amp;DATE(2026,7,21))</f>
        <v/>
      </c>
      <c r="FX58">
        <f>COUNTIFS('DRAFT 2'!$D:$D,$B58,'DRAFT 2'!$A:$A,"&gt;="&amp;DATE(2026,7,22),'DRAFT 2'!$A:$A,"&lt;"&amp;DATE(2026,IF(7=12,7+1,7+1),1))</f>
        <v/>
      </c>
      <c r="FY58">
        <f>SUM(FU58:FX58)</f>
        <v/>
      </c>
      <c r="GI58">
        <f>IFERROR(LOOKUP(2,1/('DRAFT 2'!$D:$D=$B58)*('DRAFT 2'!$A:$A&gt;=DATE(2026,8,1))*('DRAFT 2'!$A:$A&lt;DATE(2026,IF(8=12,8+1,8+1),1)),'DRAFT 2'!$A:$A),"")</f>
        <v/>
      </c>
      <c r="GJ58">
        <f>COUNTIFS('DRAFT 2'!$D:$D,$B58,'DRAFT 2'!$A:$A,"&gt;="&amp;DATE(2026,8,1),'DRAFT 2'!$A:$A,"&lt;="&amp;DATE(2026,8,7))</f>
        <v/>
      </c>
      <c r="GK58">
        <f>COUNTIFS('DRAFT 2'!$D:$D,$B58,'DRAFT 2'!$A:$A,"&gt;="&amp;DATE(2026,8,8),'DRAFT 2'!$A:$A,"&lt;="&amp;DATE(2026,8,14))</f>
        <v/>
      </c>
      <c r="GL58">
        <f>COUNTIFS('DRAFT 2'!$D:$D,$B58,'DRAFT 2'!$A:$A,"&gt;="&amp;DATE(2026,8,15),'DRAFT 2'!$A:$A,"&lt;="&amp;DATE(2026,8,21))</f>
        <v/>
      </c>
      <c r="GM58">
        <f>COUNTIFS('DRAFT 2'!$D:$D,$B58,'DRAFT 2'!$A:$A,"&gt;="&amp;DATE(2026,8,22),'DRAFT 2'!$A:$A,"&lt;"&amp;DATE(2026,IF(8=12,8+1,8+1),1))</f>
        <v/>
      </c>
      <c r="GN58">
        <f>SUM(GJ58:GM58)</f>
        <v/>
      </c>
      <c r="GX58">
        <f>IFERROR(LOOKUP(2,1/('DRAFT 2'!$D:$D=$B58)*('DRAFT 2'!$A:$A&gt;=DATE(2026,9,1))*('DRAFT 2'!$A:$A&lt;DATE(2026,IF(9=12,9+1,9+1),1)),'DRAFT 2'!$A:$A),"")</f>
        <v/>
      </c>
      <c r="GY58">
        <f>COUNTIFS('DRAFT 2'!$D:$D,$B58,'DRAFT 2'!$A:$A,"&gt;="&amp;DATE(2026,9,1),'DRAFT 2'!$A:$A,"&lt;="&amp;DATE(2026,9,7))</f>
        <v/>
      </c>
      <c r="GZ58">
        <f>COUNTIFS('DRAFT 2'!$D:$D,$B58,'DRAFT 2'!$A:$A,"&gt;="&amp;DATE(2026,9,8),'DRAFT 2'!$A:$A,"&lt;="&amp;DATE(2026,9,14))</f>
        <v/>
      </c>
      <c r="HA58">
        <f>COUNTIFS('DRAFT 2'!$D:$D,$B58,'DRAFT 2'!$A:$A,"&gt;="&amp;DATE(2026,9,15),'DRAFT 2'!$A:$A,"&lt;="&amp;DATE(2026,9,21))</f>
        <v/>
      </c>
      <c r="HB58">
        <f>COUNTIFS('DRAFT 2'!$D:$D,$B58,'DRAFT 2'!$A:$A,"&gt;="&amp;DATE(2026,9,22),'DRAFT 2'!$A:$A,"&lt;"&amp;DATE(2026,IF(9=12,9+1,9+1),1))</f>
        <v/>
      </c>
      <c r="HC58">
        <f>SUM(GY58:HB58)</f>
        <v/>
      </c>
      <c r="HN58">
        <f>IFERROR(LOOKUP(2,1/('DRAFT 2'!$D:$D=$B58)*('DRAFT 2'!$A:$A&gt;=DATE(2026,10,1))*('DRAFT 2'!$A:$A&lt;DATE(2026,IF(10=12,10+1,10+1),1)),'DRAFT 2'!$A:$A),"")</f>
        <v/>
      </c>
      <c r="HO58">
        <f>COUNTIFS('DRAFT 2'!$D:$D,$B58,'DRAFT 2'!$A:$A,"&gt;="&amp;DATE(2026,10,1),'DRAFT 2'!$A:$A,"&lt;="&amp;DATE(2026,10,7))</f>
        <v/>
      </c>
      <c r="HP58">
        <f>COUNTIFS('DRAFT 2'!$D:$D,$B58,'DRAFT 2'!$A:$A,"&gt;="&amp;DATE(2026,10,8),'DRAFT 2'!$A:$A,"&lt;="&amp;DATE(2026,10,14))</f>
        <v/>
      </c>
      <c r="HQ58">
        <f>COUNTIFS('DRAFT 2'!$D:$D,$B58,'DRAFT 2'!$A:$A,"&gt;="&amp;DATE(2026,10,15),'DRAFT 2'!$A:$A,"&lt;="&amp;DATE(2026,10,21))</f>
        <v/>
      </c>
      <c r="HR58">
        <f>COUNTIFS('DRAFT 2'!$D:$D,$B58,'DRAFT 2'!$A:$A,"&gt;="&amp;DATE(2026,10,22),'DRAFT 2'!$A:$A,"&lt;"&amp;DATE(2026,IF(10=12,10+1,10+1),1))</f>
        <v/>
      </c>
      <c r="HS58">
        <f>SUM(HO58:HR58)</f>
        <v/>
      </c>
      <c r="IC58">
        <f>IFERROR(LOOKUP(2,1/('DRAFT 2'!$D:$D=$B58)*('DRAFT 2'!$A:$A&gt;=DATE(2026,11,1))*('DRAFT 2'!$A:$A&lt;DATE(2026,IF(11=12,11+1,11+1),1)),'DRAFT 2'!$A:$A),"")</f>
        <v/>
      </c>
      <c r="ID58">
        <f>COUNTIFS('DRAFT 2'!$D:$D,$B58,'DRAFT 2'!$A:$A,"&gt;="&amp;DATE(2026,11,1),'DRAFT 2'!$A:$A,"&lt;="&amp;DATE(2026,11,7))</f>
        <v/>
      </c>
      <c r="IE58">
        <f>COUNTIFS('DRAFT 2'!$D:$D,$B58,'DRAFT 2'!$A:$A,"&gt;="&amp;DATE(2026,11,8),'DRAFT 2'!$A:$A,"&lt;="&amp;DATE(2026,11,14))</f>
        <v/>
      </c>
      <c r="IF58">
        <f>COUNTIFS('DRAFT 2'!$D:$D,$B58,'DRAFT 2'!$A:$A,"&gt;="&amp;DATE(2026,11,15),'DRAFT 2'!$A:$A,"&lt;="&amp;DATE(2026,11,21))</f>
        <v/>
      </c>
      <c r="IG58">
        <f>COUNTIFS('DRAFT 2'!$D:$D,$B58,'DRAFT 2'!$A:$A,"&gt;="&amp;DATE(2026,11,22),'DRAFT 2'!$A:$A,"&lt;"&amp;DATE(2026,IF(11=12,11+1,11+1),1))</f>
        <v/>
      </c>
      <c r="IH58">
        <f>SUM(ID58:IG58)</f>
        <v/>
      </c>
      <c r="IR58">
        <f>IFERROR(LOOKUP(2,1/('DRAFT 2'!$D:$D=$B58)*('DRAFT 2'!$A:$A&gt;=DATE(2026,12,1))*('DRAFT 2'!$A:$A&lt;DATE(2026,IF(12=12,12+1,12+1),1)),'DRAFT 2'!$A:$A),"")</f>
        <v/>
      </c>
      <c r="IS58">
        <f>COUNTIFS('DRAFT 2'!$D:$D,$B58,'DRAFT 2'!$A:$A,"&gt;="&amp;DATE(2026,12,1),'DRAFT 2'!$A:$A,"&lt;="&amp;DATE(2026,12,7))</f>
        <v/>
      </c>
      <c r="IT58">
        <f>COUNTIFS('DRAFT 2'!$D:$D,$B58,'DRAFT 2'!$A:$A,"&gt;="&amp;DATE(2026,12,8),'DRAFT 2'!$A:$A,"&lt;="&amp;DATE(2026,12,14))</f>
        <v/>
      </c>
      <c r="IU58">
        <f>COUNTIFS('DRAFT 2'!$D:$D,$B58,'DRAFT 2'!$A:$A,"&gt;="&amp;DATE(2026,12,15),'DRAFT 2'!$A:$A,"&lt;="&amp;DATE(2026,12,21))</f>
        <v/>
      </c>
      <c r="IV58">
        <f>COUNTIFS('DRAFT 2'!$D:$D,$B58,'DRAFT 2'!$A:$A,"&gt;="&amp;DATE(2026,12,22),'DRAFT 2'!$A:$A,"&lt;"&amp;DATE(2026,IF(12=12,12+1,12+1),1))</f>
        <v/>
      </c>
      <c r="IW58">
        <f>SUM(IS58:IV58)</f>
        <v/>
      </c>
    </row>
    <row r="59">
      <c r="A59">
        <f>IFERROR(INDEX('DRAFT 1'!$A:$A,MATCH($B59,'DRAFT 1'!$B:$B,0)),"")</f>
        <v/>
      </c>
      <c r="C59">
        <f>IFERROR(INDEX('DRAFT 1'!$C:$C,MATCH($B59,'DRAFT 1'!$B:$B,0)),"")</f>
        <v/>
      </c>
      <c r="D59">
        <f>IFERROR(INDEX('DRAFT 1'!$D:$D,MATCH($B59,'DRAFT 1'!$B:$B,0)),"")</f>
        <v/>
      </c>
      <c r="E59">
        <f>IFERROR(INDEX('DRAFT 1'!$E:$E,MATCH($B59,'DRAFT 1'!$B:$B,0)),"")</f>
        <v/>
      </c>
      <c r="F59">
        <f>IFERROR(INDEX('DRAFT 1'!$F:$F,MATCH($B59,'DRAFT 1'!$B:$B,0)),"")</f>
        <v/>
      </c>
      <c r="G59">
        <f>IFERROR(INDEX('DRAFT 1'!$G:$G,MATCH($B59,'DRAFT 1'!$B:$B,0)),"")</f>
        <v/>
      </c>
      <c r="H59">
        <f>IFERROR(INDEX('DRAFT 1'!$H:$H,MATCH($B59,'DRAFT 1'!$B:$B,0)),"")</f>
        <v/>
      </c>
      <c r="I59" t="inlineStr">
        <is>
          <t>DEMAIS CLIENTES</t>
        </is>
      </c>
      <c r="K59">
        <f>IFERROR(INDEX('DRAFT 1'!$AL:$AL,MATCH($B59,'DRAFT 1'!$B:$B,0)),"")</f>
        <v/>
      </c>
      <c r="L59">
        <f>IFERROR(INDEX('DRAFT 1'!$J:$J,MATCH($B59,'DRAFT 1'!$B:$B,0)),"")</f>
        <v/>
      </c>
      <c r="M59">
        <f>IFERROR(INDEX('DRAFT 1'!$K:$K,MATCH($B59,'DRAFT 1'!$B:$B,0)),"")</f>
        <v/>
      </c>
      <c r="N59" t="inlineStr">
        <is>
          <t>ATIVO</t>
        </is>
      </c>
      <c r="P59">
        <f>IFERROR(INDEX('DRAFT 1'!$L:$L,MATCH($B59,'DRAFT 1'!$B:$B,0)),"")</f>
        <v/>
      </c>
      <c r="Q59">
        <f>IFERROR(INDEX('DRAFT 1'!$M:$M,MATCH($B59,'DRAFT 1'!$B:$B,0)),"")</f>
        <v/>
      </c>
      <c r="R59">
        <f>IFERROR(INDEX('DRAFT 1'!$N:$N,MATCH($B59,'DRAFT 1'!$B:$B,0)),"")</f>
        <v/>
      </c>
      <c r="S59">
        <f>IFERROR(INDEX('DRAFT 1'!$O:$O,MATCH($B59,'DRAFT 1'!$B:$B,0)),"")</f>
        <v/>
      </c>
      <c r="T59">
        <f>IFERROR(INDEX('DRAFT 1'!$P:$P,MATCH($B59,'DRAFT 1'!$B:$B,0)),"")</f>
        <v/>
      </c>
      <c r="U59">
        <f>IFERROR(INDEX('DRAFT 1'!$Q:$Q,MATCH($B59,'DRAFT 1'!$B:$B,0)),"")</f>
        <v/>
      </c>
      <c r="V59">
        <f>IFERROR(INDEX('DRAFT 1'!$R:$R,MATCH($B59,'DRAFT 1'!$B:$B,0)),"")</f>
        <v/>
      </c>
      <c r="W59">
        <f>IFERROR(INDEX('DRAFT 1'!$S:$S,MATCH($B59,'DRAFT 1'!$B:$B,0)),"")</f>
        <v/>
      </c>
      <c r="X59">
        <f>IFERROR(INDEX('DRAFT 1'!$T:$T,MATCH($B59,'DRAFT 1'!$B:$B,0)),"")</f>
        <v/>
      </c>
      <c r="Z59">
        <f>IFERROR(INDEX('DRAFT 1'!$U:$U,MATCH($B59,'DRAFT 1'!$B:$B,0)),"")</f>
        <v/>
      </c>
      <c r="AA59">
        <f>IFERROR(INDEX('DRAFT 1'!$V:$V,MATCH($B59,'DRAFT 1'!$B:$B,0)),"")</f>
        <v/>
      </c>
      <c r="AB59">
        <f>IFERROR(INDEX('DRAFT 1'!$W:$W,MATCH($B59,'DRAFT 1'!$B:$B,0)),"")</f>
        <v/>
      </c>
      <c r="AC59">
        <f>IFERROR(INDEX('DRAFT 1'!$X:$X,MATCH($B59,'DRAFT 1'!$B:$B,0)),"")</f>
        <v/>
      </c>
      <c r="AD59">
        <f>IFERROR(INDEX('DRAFT 1'!$Y:$Y,MATCH($B59,'DRAFT 1'!$B:$B,0)),"")</f>
        <v/>
      </c>
      <c r="AE59">
        <f>IFERROR(INDEX('DRAFT 1'!$Z:$Z,MATCH($B59,'DRAFT 1'!$B:$B,0)),"")</f>
        <v/>
      </c>
      <c r="AF59">
        <f>IFERROR(INDEX('DRAFT 1'!$AA:$AA,MATCH($B59,'DRAFT 1'!$B:$B,0)),"")</f>
        <v/>
      </c>
      <c r="AG59">
        <f>IFERROR(INDEX('DRAFT 1'!$AB:$AB,MATCH($B59,'DRAFT 1'!$B:$B,0)),"")</f>
        <v/>
      </c>
      <c r="AH59">
        <f>IFERROR(INDEX('DRAFT 1'!$AC:$AC,MATCH($B59,'DRAFT 1'!$B:$B,0)),"")</f>
        <v/>
      </c>
      <c r="AI59">
        <f>IFERROR(INDEX('DRAFT 1'!$AD:$AD,MATCH($B59,'DRAFT 1'!$B:$B,0)),"")</f>
        <v/>
      </c>
      <c r="AJ59">
        <f>IFERROR(INDEX('DRAFT 1'!$AE:$AE,MATCH($B59,'DRAFT 1'!$B:$B,0)),"")</f>
        <v/>
      </c>
      <c r="AK59">
        <f>IFERROR(INDEX('DRAFT 1'!$AG:$AG,MATCH($B59,'DRAFT 1'!$B:$B,0)),"")</f>
        <v/>
      </c>
      <c r="AL59">
        <f>IFERROR(INDEX('DRAFT 1'!$AH:$AH,MATCH($B59,'DRAFT 1'!$B:$B,0)),"")</f>
        <v/>
      </c>
      <c r="AM59">
        <f>IFERROR(INDEX('DRAFT 1'!$AI:$AI,MATCH($B59,'DRAFT 1'!$B:$B,0)),"")</f>
        <v/>
      </c>
      <c r="AN59">
        <f>IFERROR(INDEX('DRAFT 1'!$AJ:$AJ,MATCH($B59,'DRAFT 1'!$B:$B,0)),"")</f>
        <v/>
      </c>
      <c r="AO59">
        <f>IFERROR(Y59/AN59,0)</f>
        <v/>
      </c>
      <c r="AP59">
        <f>IFERROR(INDEX('DRAFT 1'!$AK:$AK,MATCH($B59,'DRAFT 1'!$B:$B,0)),"")</f>
        <v/>
      </c>
      <c r="AR59" t="inlineStr">
        <is>
          <t>NUTRIÇÃO</t>
        </is>
      </c>
      <c r="AS59">
        <f>IFERROR(LOOKUP(2,1/('DRAFT 2'!$D:$D=$B59),'DRAFT 2'!$T:$T),"")</f>
        <v/>
      </c>
      <c r="AT59">
        <f>IFERROR(LOOKUP(2,1/('DRAFT 2'!$D:$D=$B59),'DRAFT 2'!$A:$A),"")</f>
        <v/>
      </c>
      <c r="AU59">
        <f>IFERROR(LOOKUP(2,1/('DRAFT 2'!$D:$D=$B59),'DRAFT 2'!$R:$R),"")</f>
        <v/>
      </c>
      <c r="AV59">
        <f>IFERROR(LOOKUP(2,1/('DRAFT 2'!$D:$D=$B59),'DRAFT 2'!$S:$S),"")</f>
        <v/>
      </c>
      <c r="AW59" t="inlineStr">
        <is>
          <t>LEAD</t>
        </is>
      </c>
      <c r="AX59">
        <f>IFERROR(LOOKUP(2,1/('DRAFT 2'!$D:$D=$B59),'DRAFT 2'!$M:$M),"")</f>
        <v/>
      </c>
      <c r="AY59">
        <f>IFERROR(LOOKUP(2,1/('DRAFT 2'!$D:$D=$B59),'DRAFT 2'!$K:$K),"")</f>
        <v/>
      </c>
      <c r="BG59">
        <f>IFERROR(LOOKUP(2,1/('DRAFT 2'!$D:$D=$B59),'DRAFT 2'!$U:$U),"")</f>
        <v/>
      </c>
      <c r="BH59">
        <f>IFERROR(LOOKUP(2,1/('DRAFT 2'!$D:$D=$B59),'DRAFT 2'!$V:$V),"")</f>
        <v/>
      </c>
      <c r="CE59">
        <f>IFERROR(AJ59,0)</f>
        <v/>
      </c>
      <c r="CF59">
        <f>IFERROR(LOOKUP(2,1/('DRAFT 2'!$D:$D=$B59)*('DRAFT 2'!$A:$A&gt;=DATE(2026,1,1))*('DRAFT 2'!$A:$A&lt;DATE(2026,IF(1=12,1+1,1+1),1)),'DRAFT 2'!$A:$A),"")</f>
        <v/>
      </c>
      <c r="CG59">
        <f>COUNTIFS('DRAFT 2'!$D:$D,$B59,'DRAFT 2'!$A:$A,"&gt;="&amp;DATE(2026,1,1),'DRAFT 2'!$A:$A,"&lt;="&amp;DATE(2026,1,7))</f>
        <v/>
      </c>
      <c r="CH59">
        <f>COUNTIFS('DRAFT 2'!$D:$D,$B59,'DRAFT 2'!$A:$A,"&gt;="&amp;DATE(2026,1,8),'DRAFT 2'!$A:$A,"&lt;="&amp;DATE(2026,1,14))</f>
        <v/>
      </c>
      <c r="CI59">
        <f>COUNTIFS('DRAFT 2'!$D:$D,$B59,'DRAFT 2'!$A:$A,"&gt;="&amp;DATE(2026,1,15),'DRAFT 2'!$A:$A,"&lt;="&amp;DATE(2026,1,21))</f>
        <v/>
      </c>
      <c r="CJ59">
        <f>COUNTIFS('DRAFT 2'!$D:$D,$B59,'DRAFT 2'!$A:$A,"&gt;="&amp;DATE(2026,1,22),'DRAFT 2'!$A:$A,"&lt;"&amp;DATE(2026,IF(1=12,1+1,1+1),1))</f>
        <v/>
      </c>
      <c r="CK59">
        <f>SUM(CG59:CJ59)</f>
        <v/>
      </c>
      <c r="CT59" t="n">
        <v>0</v>
      </c>
      <c r="CU59">
        <f>IFERROR(LOOKUP(2,1/('DRAFT 2'!$D:$D=$B59)*('DRAFT 2'!$A:$A&gt;=DATE(2026,2,1))*('DRAFT 2'!$A:$A&lt;DATE(2026,IF(2=12,2+1,2+1),1)),'DRAFT 2'!$A:$A),"")</f>
        <v/>
      </c>
      <c r="CV59">
        <f>COUNTIFS('DRAFT 2'!$D:$D,$B59,'DRAFT 2'!$A:$A,"&gt;="&amp;DATE(2026,2,1),'DRAFT 2'!$A:$A,"&lt;="&amp;DATE(2026,2,7))</f>
        <v/>
      </c>
      <c r="CW59">
        <f>COUNTIFS('DRAFT 2'!$D:$D,$B59,'DRAFT 2'!$A:$A,"&gt;="&amp;DATE(2026,2,8),'DRAFT 2'!$A:$A,"&lt;="&amp;DATE(2026,2,14))</f>
        <v/>
      </c>
      <c r="CX59">
        <f>COUNTIFS('DRAFT 2'!$D:$D,$B59,'DRAFT 2'!$A:$A,"&gt;="&amp;DATE(2026,2,15),'DRAFT 2'!$A:$A,"&lt;="&amp;DATE(2026,2,21))</f>
        <v/>
      </c>
      <c r="CY59">
        <f>COUNTIFS('DRAFT 2'!$D:$D,$B59,'DRAFT 2'!$A:$A,"&gt;="&amp;DATE(2026,2,22),'DRAFT 2'!$A:$A,"&lt;"&amp;DATE(2026,IF(2=12,2+1,2+1),1))</f>
        <v/>
      </c>
      <c r="CZ59">
        <f>SUM(CV59:CY59)</f>
        <v/>
      </c>
      <c r="DJ59">
        <f>IFERROR(LOOKUP(2,1/('DRAFT 2'!$D:$D=$B59)*('DRAFT 2'!$A:$A&gt;=DATE(2026,3,1))*('DRAFT 2'!$A:$A&lt;DATE(2026,IF(3=12,3+1,3+1),1)),'DRAFT 2'!$A:$A),"")</f>
        <v/>
      </c>
      <c r="DK59">
        <f>COUNTIFS('DRAFT 2'!$D:$D,$B59,'DRAFT 2'!$A:$A,"&gt;="&amp;DATE(2026,3,1),'DRAFT 2'!$A:$A,"&lt;="&amp;DATE(2026,3,7))</f>
        <v/>
      </c>
      <c r="DL59">
        <f>COUNTIFS('DRAFT 2'!$D:$D,$B59,'DRAFT 2'!$A:$A,"&gt;="&amp;DATE(2026,3,8),'DRAFT 2'!$A:$A,"&lt;="&amp;DATE(2026,3,14))</f>
        <v/>
      </c>
      <c r="DM59">
        <f>COUNTIFS('DRAFT 2'!$D:$D,$B59,'DRAFT 2'!$A:$A,"&gt;="&amp;DATE(2026,3,15),'DRAFT 2'!$A:$A,"&lt;="&amp;DATE(2026,3,21))</f>
        <v/>
      </c>
      <c r="DN59">
        <f>COUNTIFS('DRAFT 2'!$D:$D,$B59,'DRAFT 2'!$A:$A,"&gt;="&amp;DATE(2026,3,22),'DRAFT 2'!$A:$A,"&lt;"&amp;DATE(2026,IF(3=12,3+1,3+1),1))</f>
        <v/>
      </c>
      <c r="DO59">
        <f>SUM(DK59:DN59)</f>
        <v/>
      </c>
      <c r="DZ59">
        <f>IFERROR(LOOKUP(2,1/('DRAFT 2'!$D:$D=$B59)*('DRAFT 2'!$A:$A&gt;=DATE(2026,4,1))*('DRAFT 2'!$A:$A&lt;DATE(2026,IF(4=12,4+1,4+1),1)),'DRAFT 2'!$A:$A),"")</f>
        <v/>
      </c>
      <c r="EA59">
        <f>COUNTIFS('DRAFT 2'!$D:$D,$B59,'DRAFT 2'!$A:$A,"&gt;="&amp;DATE(2026,4,1),'DRAFT 2'!$A:$A,"&lt;="&amp;DATE(2026,4,7))</f>
        <v/>
      </c>
      <c r="EB59">
        <f>COUNTIFS('DRAFT 2'!$D:$D,$B59,'DRAFT 2'!$A:$A,"&gt;="&amp;DATE(2026,4,8),'DRAFT 2'!$A:$A,"&lt;="&amp;DATE(2026,4,14))</f>
        <v/>
      </c>
      <c r="EC59">
        <f>COUNTIFS('DRAFT 2'!$D:$D,$B59,'DRAFT 2'!$A:$A,"&gt;="&amp;DATE(2026,4,15),'DRAFT 2'!$A:$A,"&lt;="&amp;DATE(2026,4,21))</f>
        <v/>
      </c>
      <c r="ED59">
        <f>COUNTIFS('DRAFT 2'!$D:$D,$B59,'DRAFT 2'!$A:$A,"&gt;="&amp;DATE(2026,4,22),'DRAFT 2'!$A:$A,"&lt;"&amp;DATE(2026,IF(4=12,4+1,4+1),1))</f>
        <v/>
      </c>
      <c r="EE59">
        <f>SUM(EA59:ED59)</f>
        <v/>
      </c>
      <c r="EO59">
        <f>IFERROR(LOOKUP(2,1/('DRAFT 2'!$D:$D=$B59)*('DRAFT 2'!$A:$A&gt;=DATE(2026,5,1))*('DRAFT 2'!$A:$A&lt;DATE(2026,IF(5=12,5+1,5+1),1)),'DRAFT 2'!$A:$A),"")</f>
        <v/>
      </c>
      <c r="EP59">
        <f>COUNTIFS('DRAFT 2'!$D:$D,$B59,'DRAFT 2'!$A:$A,"&gt;="&amp;DATE(2026,5,1),'DRAFT 2'!$A:$A,"&lt;="&amp;DATE(2026,5,7))</f>
        <v/>
      </c>
      <c r="EQ59">
        <f>COUNTIFS('DRAFT 2'!$D:$D,$B59,'DRAFT 2'!$A:$A,"&gt;="&amp;DATE(2026,5,8),'DRAFT 2'!$A:$A,"&lt;="&amp;DATE(2026,5,14))</f>
        <v/>
      </c>
      <c r="ER59">
        <f>COUNTIFS('DRAFT 2'!$D:$D,$B59,'DRAFT 2'!$A:$A,"&gt;="&amp;DATE(2026,5,15),'DRAFT 2'!$A:$A,"&lt;="&amp;DATE(2026,5,21))</f>
        <v/>
      </c>
      <c r="ES59">
        <f>COUNTIFS('DRAFT 2'!$D:$D,$B59,'DRAFT 2'!$A:$A,"&gt;="&amp;DATE(2026,5,22),'DRAFT 2'!$A:$A,"&lt;"&amp;DATE(2026,IF(5=12,5+1,5+1),1))</f>
        <v/>
      </c>
      <c r="ET59">
        <f>SUM(EP59:ES59)</f>
        <v/>
      </c>
      <c r="FD59">
        <f>IFERROR(LOOKUP(2,1/('DRAFT 2'!$D:$D=$B59)*('DRAFT 2'!$A:$A&gt;=DATE(2026,6,1))*('DRAFT 2'!$A:$A&lt;DATE(2026,IF(6=12,6+1,6+1),1)),'DRAFT 2'!$A:$A),"")</f>
        <v/>
      </c>
      <c r="FE59">
        <f>COUNTIFS('DRAFT 2'!$D:$D,$B59,'DRAFT 2'!$A:$A,"&gt;="&amp;DATE(2026,6,1),'DRAFT 2'!$A:$A,"&lt;="&amp;DATE(2026,6,7))</f>
        <v/>
      </c>
      <c r="FF59">
        <f>COUNTIFS('DRAFT 2'!$D:$D,$B59,'DRAFT 2'!$A:$A,"&gt;="&amp;DATE(2026,6,8),'DRAFT 2'!$A:$A,"&lt;="&amp;DATE(2026,6,14))</f>
        <v/>
      </c>
      <c r="FG59">
        <f>COUNTIFS('DRAFT 2'!$D:$D,$B59,'DRAFT 2'!$A:$A,"&gt;="&amp;DATE(2026,6,15),'DRAFT 2'!$A:$A,"&lt;="&amp;DATE(2026,6,21))</f>
        <v/>
      </c>
      <c r="FH59">
        <f>COUNTIFS('DRAFT 2'!$D:$D,$B59,'DRAFT 2'!$A:$A,"&gt;="&amp;DATE(2026,6,22),'DRAFT 2'!$A:$A,"&lt;"&amp;DATE(2026,IF(6=12,6+1,6+1),1))</f>
        <v/>
      </c>
      <c r="FI59">
        <f>SUM(FE59:FH59)</f>
        <v/>
      </c>
      <c r="FT59">
        <f>IFERROR(LOOKUP(2,1/('DRAFT 2'!$D:$D=$B59)*('DRAFT 2'!$A:$A&gt;=DATE(2026,7,1))*('DRAFT 2'!$A:$A&lt;DATE(2026,IF(7=12,7+1,7+1),1)),'DRAFT 2'!$A:$A),"")</f>
        <v/>
      </c>
      <c r="FU59">
        <f>COUNTIFS('DRAFT 2'!$D:$D,$B59,'DRAFT 2'!$A:$A,"&gt;="&amp;DATE(2026,7,1),'DRAFT 2'!$A:$A,"&lt;="&amp;DATE(2026,7,7))</f>
        <v/>
      </c>
      <c r="FV59">
        <f>COUNTIFS('DRAFT 2'!$D:$D,$B59,'DRAFT 2'!$A:$A,"&gt;="&amp;DATE(2026,7,8),'DRAFT 2'!$A:$A,"&lt;="&amp;DATE(2026,7,14))</f>
        <v/>
      </c>
      <c r="FW59">
        <f>COUNTIFS('DRAFT 2'!$D:$D,$B59,'DRAFT 2'!$A:$A,"&gt;="&amp;DATE(2026,7,15),'DRAFT 2'!$A:$A,"&lt;="&amp;DATE(2026,7,21))</f>
        <v/>
      </c>
      <c r="FX59">
        <f>COUNTIFS('DRAFT 2'!$D:$D,$B59,'DRAFT 2'!$A:$A,"&gt;="&amp;DATE(2026,7,22),'DRAFT 2'!$A:$A,"&lt;"&amp;DATE(2026,IF(7=12,7+1,7+1),1))</f>
        <v/>
      </c>
      <c r="FY59">
        <f>SUM(FU59:FX59)</f>
        <v/>
      </c>
      <c r="GI59">
        <f>IFERROR(LOOKUP(2,1/('DRAFT 2'!$D:$D=$B59)*('DRAFT 2'!$A:$A&gt;=DATE(2026,8,1))*('DRAFT 2'!$A:$A&lt;DATE(2026,IF(8=12,8+1,8+1),1)),'DRAFT 2'!$A:$A),"")</f>
        <v/>
      </c>
      <c r="GJ59">
        <f>COUNTIFS('DRAFT 2'!$D:$D,$B59,'DRAFT 2'!$A:$A,"&gt;="&amp;DATE(2026,8,1),'DRAFT 2'!$A:$A,"&lt;="&amp;DATE(2026,8,7))</f>
        <v/>
      </c>
      <c r="GK59">
        <f>COUNTIFS('DRAFT 2'!$D:$D,$B59,'DRAFT 2'!$A:$A,"&gt;="&amp;DATE(2026,8,8),'DRAFT 2'!$A:$A,"&lt;="&amp;DATE(2026,8,14))</f>
        <v/>
      </c>
      <c r="GL59">
        <f>COUNTIFS('DRAFT 2'!$D:$D,$B59,'DRAFT 2'!$A:$A,"&gt;="&amp;DATE(2026,8,15),'DRAFT 2'!$A:$A,"&lt;="&amp;DATE(2026,8,21))</f>
        <v/>
      </c>
      <c r="GM59">
        <f>COUNTIFS('DRAFT 2'!$D:$D,$B59,'DRAFT 2'!$A:$A,"&gt;="&amp;DATE(2026,8,22),'DRAFT 2'!$A:$A,"&lt;"&amp;DATE(2026,IF(8=12,8+1,8+1),1))</f>
        <v/>
      </c>
      <c r="GN59">
        <f>SUM(GJ59:GM59)</f>
        <v/>
      </c>
      <c r="GX59">
        <f>IFERROR(LOOKUP(2,1/('DRAFT 2'!$D:$D=$B59)*('DRAFT 2'!$A:$A&gt;=DATE(2026,9,1))*('DRAFT 2'!$A:$A&lt;DATE(2026,IF(9=12,9+1,9+1),1)),'DRAFT 2'!$A:$A),"")</f>
        <v/>
      </c>
      <c r="GY59">
        <f>COUNTIFS('DRAFT 2'!$D:$D,$B59,'DRAFT 2'!$A:$A,"&gt;="&amp;DATE(2026,9,1),'DRAFT 2'!$A:$A,"&lt;="&amp;DATE(2026,9,7))</f>
        <v/>
      </c>
      <c r="GZ59">
        <f>COUNTIFS('DRAFT 2'!$D:$D,$B59,'DRAFT 2'!$A:$A,"&gt;="&amp;DATE(2026,9,8),'DRAFT 2'!$A:$A,"&lt;="&amp;DATE(2026,9,14))</f>
        <v/>
      </c>
      <c r="HA59">
        <f>COUNTIFS('DRAFT 2'!$D:$D,$B59,'DRAFT 2'!$A:$A,"&gt;="&amp;DATE(2026,9,15),'DRAFT 2'!$A:$A,"&lt;="&amp;DATE(2026,9,21))</f>
        <v/>
      </c>
      <c r="HB59">
        <f>COUNTIFS('DRAFT 2'!$D:$D,$B59,'DRAFT 2'!$A:$A,"&gt;="&amp;DATE(2026,9,22),'DRAFT 2'!$A:$A,"&lt;"&amp;DATE(2026,IF(9=12,9+1,9+1),1))</f>
        <v/>
      </c>
      <c r="HC59">
        <f>SUM(GY59:HB59)</f>
        <v/>
      </c>
      <c r="HN59">
        <f>IFERROR(LOOKUP(2,1/('DRAFT 2'!$D:$D=$B59)*('DRAFT 2'!$A:$A&gt;=DATE(2026,10,1))*('DRAFT 2'!$A:$A&lt;DATE(2026,IF(10=12,10+1,10+1),1)),'DRAFT 2'!$A:$A),"")</f>
        <v/>
      </c>
      <c r="HO59">
        <f>COUNTIFS('DRAFT 2'!$D:$D,$B59,'DRAFT 2'!$A:$A,"&gt;="&amp;DATE(2026,10,1),'DRAFT 2'!$A:$A,"&lt;="&amp;DATE(2026,10,7))</f>
        <v/>
      </c>
      <c r="HP59">
        <f>COUNTIFS('DRAFT 2'!$D:$D,$B59,'DRAFT 2'!$A:$A,"&gt;="&amp;DATE(2026,10,8),'DRAFT 2'!$A:$A,"&lt;="&amp;DATE(2026,10,14))</f>
        <v/>
      </c>
      <c r="HQ59">
        <f>COUNTIFS('DRAFT 2'!$D:$D,$B59,'DRAFT 2'!$A:$A,"&gt;="&amp;DATE(2026,10,15),'DRAFT 2'!$A:$A,"&lt;="&amp;DATE(2026,10,21))</f>
        <v/>
      </c>
      <c r="HR59">
        <f>COUNTIFS('DRAFT 2'!$D:$D,$B59,'DRAFT 2'!$A:$A,"&gt;="&amp;DATE(2026,10,22),'DRAFT 2'!$A:$A,"&lt;"&amp;DATE(2026,IF(10=12,10+1,10+1),1))</f>
        <v/>
      </c>
      <c r="HS59">
        <f>SUM(HO59:HR59)</f>
        <v/>
      </c>
      <c r="IC59">
        <f>IFERROR(LOOKUP(2,1/('DRAFT 2'!$D:$D=$B59)*('DRAFT 2'!$A:$A&gt;=DATE(2026,11,1))*('DRAFT 2'!$A:$A&lt;DATE(2026,IF(11=12,11+1,11+1),1)),'DRAFT 2'!$A:$A),"")</f>
        <v/>
      </c>
      <c r="ID59">
        <f>COUNTIFS('DRAFT 2'!$D:$D,$B59,'DRAFT 2'!$A:$A,"&gt;="&amp;DATE(2026,11,1),'DRAFT 2'!$A:$A,"&lt;="&amp;DATE(2026,11,7))</f>
        <v/>
      </c>
      <c r="IE59">
        <f>COUNTIFS('DRAFT 2'!$D:$D,$B59,'DRAFT 2'!$A:$A,"&gt;="&amp;DATE(2026,11,8),'DRAFT 2'!$A:$A,"&lt;="&amp;DATE(2026,11,14))</f>
        <v/>
      </c>
      <c r="IF59">
        <f>COUNTIFS('DRAFT 2'!$D:$D,$B59,'DRAFT 2'!$A:$A,"&gt;="&amp;DATE(2026,11,15),'DRAFT 2'!$A:$A,"&lt;="&amp;DATE(2026,11,21))</f>
        <v/>
      </c>
      <c r="IG59">
        <f>COUNTIFS('DRAFT 2'!$D:$D,$B59,'DRAFT 2'!$A:$A,"&gt;="&amp;DATE(2026,11,22),'DRAFT 2'!$A:$A,"&lt;"&amp;DATE(2026,IF(11=12,11+1,11+1),1))</f>
        <v/>
      </c>
      <c r="IH59">
        <f>SUM(ID59:IG59)</f>
        <v/>
      </c>
      <c r="IR59">
        <f>IFERROR(LOOKUP(2,1/('DRAFT 2'!$D:$D=$B59)*('DRAFT 2'!$A:$A&gt;=DATE(2026,12,1))*('DRAFT 2'!$A:$A&lt;DATE(2026,IF(12=12,12+1,12+1),1)),'DRAFT 2'!$A:$A),"")</f>
        <v/>
      </c>
      <c r="IS59">
        <f>COUNTIFS('DRAFT 2'!$D:$D,$B59,'DRAFT 2'!$A:$A,"&gt;="&amp;DATE(2026,12,1),'DRAFT 2'!$A:$A,"&lt;="&amp;DATE(2026,12,7))</f>
        <v/>
      </c>
      <c r="IT59">
        <f>COUNTIFS('DRAFT 2'!$D:$D,$B59,'DRAFT 2'!$A:$A,"&gt;="&amp;DATE(2026,12,8),'DRAFT 2'!$A:$A,"&lt;="&amp;DATE(2026,12,14))</f>
        <v/>
      </c>
      <c r="IU59">
        <f>COUNTIFS('DRAFT 2'!$D:$D,$B59,'DRAFT 2'!$A:$A,"&gt;="&amp;DATE(2026,12,15),'DRAFT 2'!$A:$A,"&lt;="&amp;DATE(2026,12,21))</f>
        <v/>
      </c>
      <c r="IV59">
        <f>COUNTIFS('DRAFT 2'!$D:$D,$B59,'DRAFT 2'!$A:$A,"&gt;="&amp;DATE(2026,12,22),'DRAFT 2'!$A:$A,"&lt;"&amp;DATE(2026,IF(12=12,12+1,12+1),1))</f>
        <v/>
      </c>
      <c r="IW59">
        <f>SUM(IS59:IV59)</f>
        <v/>
      </c>
    </row>
    <row r="60">
      <c r="A60">
        <f>IFERROR(INDEX('DRAFT 1'!$A:$A,MATCH($B60,'DRAFT 1'!$B:$B,0)),"")</f>
        <v/>
      </c>
      <c r="C60">
        <f>IFERROR(INDEX('DRAFT 1'!$C:$C,MATCH($B60,'DRAFT 1'!$B:$B,0)),"")</f>
        <v/>
      </c>
      <c r="D60">
        <f>IFERROR(INDEX('DRAFT 1'!$D:$D,MATCH($B60,'DRAFT 1'!$B:$B,0)),"")</f>
        <v/>
      </c>
      <c r="E60">
        <f>IFERROR(INDEX('DRAFT 1'!$E:$E,MATCH($B60,'DRAFT 1'!$B:$B,0)),"")</f>
        <v/>
      </c>
      <c r="F60">
        <f>IFERROR(INDEX('DRAFT 1'!$F:$F,MATCH($B60,'DRAFT 1'!$B:$B,0)),"")</f>
        <v/>
      </c>
      <c r="G60">
        <f>IFERROR(INDEX('DRAFT 1'!$G:$G,MATCH($B60,'DRAFT 1'!$B:$B,0)),"")</f>
        <v/>
      </c>
      <c r="H60">
        <f>IFERROR(INDEX('DRAFT 1'!$H:$H,MATCH($B60,'DRAFT 1'!$B:$B,0)),"")</f>
        <v/>
      </c>
      <c r="I60" t="inlineStr">
        <is>
          <t>MUNDO VERDE</t>
        </is>
      </c>
      <c r="K60">
        <f>IFERROR(INDEX('DRAFT 1'!$AL:$AL,MATCH($B60,'DRAFT 1'!$B:$B,0)),"")</f>
        <v/>
      </c>
      <c r="L60">
        <f>IFERROR(INDEX('DRAFT 1'!$J:$J,MATCH($B60,'DRAFT 1'!$B:$B,0)),"")</f>
        <v/>
      </c>
      <c r="M60">
        <f>IFERROR(INDEX('DRAFT 1'!$K:$K,MATCH($B60,'DRAFT 1'!$B:$B,0)),"")</f>
        <v/>
      </c>
      <c r="N60" t="inlineStr">
        <is>
          <t>ATIVO</t>
        </is>
      </c>
      <c r="P60">
        <f>IFERROR(INDEX('DRAFT 1'!$L:$L,MATCH($B60,'DRAFT 1'!$B:$B,0)),"")</f>
        <v/>
      </c>
      <c r="Q60">
        <f>IFERROR(INDEX('DRAFT 1'!$M:$M,MATCH($B60,'DRAFT 1'!$B:$B,0)),"")</f>
        <v/>
      </c>
      <c r="R60">
        <f>IFERROR(INDEX('DRAFT 1'!$N:$N,MATCH($B60,'DRAFT 1'!$B:$B,0)),"")</f>
        <v/>
      </c>
      <c r="S60">
        <f>IFERROR(INDEX('DRAFT 1'!$O:$O,MATCH($B60,'DRAFT 1'!$B:$B,0)),"")</f>
        <v/>
      </c>
      <c r="T60">
        <f>IFERROR(INDEX('DRAFT 1'!$P:$P,MATCH($B60,'DRAFT 1'!$B:$B,0)),"")</f>
        <v/>
      </c>
      <c r="U60">
        <f>IFERROR(INDEX('DRAFT 1'!$Q:$Q,MATCH($B60,'DRAFT 1'!$B:$B,0)),"")</f>
        <v/>
      </c>
      <c r="V60">
        <f>IFERROR(INDEX('DRAFT 1'!$R:$R,MATCH($B60,'DRAFT 1'!$B:$B,0)),"")</f>
        <v/>
      </c>
      <c r="W60">
        <f>IFERROR(INDEX('DRAFT 1'!$S:$S,MATCH($B60,'DRAFT 1'!$B:$B,0)),"")</f>
        <v/>
      </c>
      <c r="X60">
        <f>IFERROR(INDEX('DRAFT 1'!$T:$T,MATCH($B60,'DRAFT 1'!$B:$B,0)),"")</f>
        <v/>
      </c>
      <c r="Z60">
        <f>IFERROR(INDEX('DRAFT 1'!$U:$U,MATCH($B60,'DRAFT 1'!$B:$B,0)),"")</f>
        <v/>
      </c>
      <c r="AA60">
        <f>IFERROR(INDEX('DRAFT 1'!$V:$V,MATCH($B60,'DRAFT 1'!$B:$B,0)),"")</f>
        <v/>
      </c>
      <c r="AB60">
        <f>IFERROR(INDEX('DRAFT 1'!$W:$W,MATCH($B60,'DRAFT 1'!$B:$B,0)),"")</f>
        <v/>
      </c>
      <c r="AC60">
        <f>IFERROR(INDEX('DRAFT 1'!$X:$X,MATCH($B60,'DRAFT 1'!$B:$B,0)),"")</f>
        <v/>
      </c>
      <c r="AD60">
        <f>IFERROR(INDEX('DRAFT 1'!$Y:$Y,MATCH($B60,'DRAFT 1'!$B:$B,0)),"")</f>
        <v/>
      </c>
      <c r="AE60">
        <f>IFERROR(INDEX('DRAFT 1'!$Z:$Z,MATCH($B60,'DRAFT 1'!$B:$B,0)),"")</f>
        <v/>
      </c>
      <c r="AF60">
        <f>IFERROR(INDEX('DRAFT 1'!$AA:$AA,MATCH($B60,'DRAFT 1'!$B:$B,0)),"")</f>
        <v/>
      </c>
      <c r="AG60">
        <f>IFERROR(INDEX('DRAFT 1'!$AB:$AB,MATCH($B60,'DRAFT 1'!$B:$B,0)),"")</f>
        <v/>
      </c>
      <c r="AH60">
        <f>IFERROR(INDEX('DRAFT 1'!$AC:$AC,MATCH($B60,'DRAFT 1'!$B:$B,0)),"")</f>
        <v/>
      </c>
      <c r="AI60">
        <f>IFERROR(INDEX('DRAFT 1'!$AD:$AD,MATCH($B60,'DRAFT 1'!$B:$B,0)),"")</f>
        <v/>
      </c>
      <c r="AJ60">
        <f>IFERROR(INDEX('DRAFT 1'!$AE:$AE,MATCH($B60,'DRAFT 1'!$B:$B,0)),"")</f>
        <v/>
      </c>
      <c r="AK60">
        <f>IFERROR(INDEX('DRAFT 1'!$AG:$AG,MATCH($B60,'DRAFT 1'!$B:$B,0)),"")</f>
        <v/>
      </c>
      <c r="AL60">
        <f>IFERROR(INDEX('DRAFT 1'!$AH:$AH,MATCH($B60,'DRAFT 1'!$B:$B,0)),"")</f>
        <v/>
      </c>
      <c r="AM60">
        <f>IFERROR(INDEX('DRAFT 1'!$AI:$AI,MATCH($B60,'DRAFT 1'!$B:$B,0)),"")</f>
        <v/>
      </c>
      <c r="AN60">
        <f>IFERROR(INDEX('DRAFT 1'!$AJ:$AJ,MATCH($B60,'DRAFT 1'!$B:$B,0)),"")</f>
        <v/>
      </c>
      <c r="AO60">
        <f>IFERROR(Y60/AN60,0)</f>
        <v/>
      </c>
      <c r="AP60">
        <f>IFERROR(INDEX('DRAFT 1'!$AK:$AK,MATCH($B60,'DRAFT 1'!$B:$B,0)),"")</f>
        <v/>
      </c>
      <c r="AR60" t="inlineStr">
        <is>
          <t>RECOMPRA</t>
        </is>
      </c>
      <c r="AS60">
        <f>IFERROR(LOOKUP(2,1/('DRAFT 2'!$D:$D=$B60),'DRAFT 2'!$T:$T),"")</f>
        <v/>
      </c>
      <c r="AT60">
        <f>IFERROR(LOOKUP(2,1/('DRAFT 2'!$D:$D=$B60),'DRAFT 2'!$A:$A),"")</f>
        <v/>
      </c>
      <c r="AU60">
        <f>IFERROR(LOOKUP(2,1/('DRAFT 2'!$D:$D=$B60),'DRAFT 2'!$R:$R),"")</f>
        <v/>
      </c>
      <c r="AV60">
        <f>IFERROR(LOOKUP(2,1/('DRAFT 2'!$D:$D=$B60),'DRAFT 2'!$S:$S),"")</f>
        <v/>
      </c>
      <c r="AW60" t="inlineStr">
        <is>
          <t>RECORRENTE</t>
        </is>
      </c>
      <c r="AX60">
        <f>IFERROR(LOOKUP(2,1/('DRAFT 2'!$D:$D=$B60),'DRAFT 2'!$M:$M),"")</f>
        <v/>
      </c>
      <c r="AY60">
        <f>IFERROR(LOOKUP(2,1/('DRAFT 2'!$D:$D=$B60),'DRAFT 2'!$K:$K),"")</f>
        <v/>
      </c>
      <c r="BG60">
        <f>IFERROR(LOOKUP(2,1/('DRAFT 2'!$D:$D=$B60),'DRAFT 2'!$U:$U),"")</f>
        <v/>
      </c>
      <c r="BH60">
        <f>IFERROR(LOOKUP(2,1/('DRAFT 2'!$D:$D=$B60),'DRAFT 2'!$V:$V),"")</f>
        <v/>
      </c>
      <c r="CE60">
        <f>IFERROR(AJ60,0)</f>
        <v/>
      </c>
      <c r="CF60">
        <f>IFERROR(LOOKUP(2,1/('DRAFT 2'!$D:$D=$B60)*('DRAFT 2'!$A:$A&gt;=DATE(2026,1,1))*('DRAFT 2'!$A:$A&lt;DATE(2026,IF(1=12,1+1,1+1),1)),'DRAFT 2'!$A:$A),"")</f>
        <v/>
      </c>
      <c r="CG60">
        <f>COUNTIFS('DRAFT 2'!$D:$D,$B60,'DRAFT 2'!$A:$A,"&gt;="&amp;DATE(2026,1,1),'DRAFT 2'!$A:$A,"&lt;="&amp;DATE(2026,1,7))</f>
        <v/>
      </c>
      <c r="CH60">
        <f>COUNTIFS('DRAFT 2'!$D:$D,$B60,'DRAFT 2'!$A:$A,"&gt;="&amp;DATE(2026,1,8),'DRAFT 2'!$A:$A,"&lt;="&amp;DATE(2026,1,14))</f>
        <v/>
      </c>
      <c r="CI60">
        <f>COUNTIFS('DRAFT 2'!$D:$D,$B60,'DRAFT 2'!$A:$A,"&gt;="&amp;DATE(2026,1,15),'DRAFT 2'!$A:$A,"&lt;="&amp;DATE(2026,1,21))</f>
        <v/>
      </c>
      <c r="CJ60">
        <f>COUNTIFS('DRAFT 2'!$D:$D,$B60,'DRAFT 2'!$A:$A,"&gt;="&amp;DATE(2026,1,22),'DRAFT 2'!$A:$A,"&lt;"&amp;DATE(2026,IF(1=12,1+1,1+1),1))</f>
        <v/>
      </c>
      <c r="CK60">
        <f>SUM(CG60:CJ60)</f>
        <v/>
      </c>
      <c r="CT60" t="n">
        <v>0</v>
      </c>
      <c r="CU60">
        <f>IFERROR(LOOKUP(2,1/('DRAFT 2'!$D:$D=$B60)*('DRAFT 2'!$A:$A&gt;=DATE(2026,2,1))*('DRAFT 2'!$A:$A&lt;DATE(2026,IF(2=12,2+1,2+1),1)),'DRAFT 2'!$A:$A),"")</f>
        <v/>
      </c>
      <c r="CV60">
        <f>COUNTIFS('DRAFT 2'!$D:$D,$B60,'DRAFT 2'!$A:$A,"&gt;="&amp;DATE(2026,2,1),'DRAFT 2'!$A:$A,"&lt;="&amp;DATE(2026,2,7))</f>
        <v/>
      </c>
      <c r="CW60">
        <f>COUNTIFS('DRAFT 2'!$D:$D,$B60,'DRAFT 2'!$A:$A,"&gt;="&amp;DATE(2026,2,8),'DRAFT 2'!$A:$A,"&lt;="&amp;DATE(2026,2,14))</f>
        <v/>
      </c>
      <c r="CX60">
        <f>COUNTIFS('DRAFT 2'!$D:$D,$B60,'DRAFT 2'!$A:$A,"&gt;="&amp;DATE(2026,2,15),'DRAFT 2'!$A:$A,"&lt;="&amp;DATE(2026,2,21))</f>
        <v/>
      </c>
      <c r="CY60">
        <f>COUNTIFS('DRAFT 2'!$D:$D,$B60,'DRAFT 2'!$A:$A,"&gt;="&amp;DATE(2026,2,22),'DRAFT 2'!$A:$A,"&lt;"&amp;DATE(2026,IF(2=12,2+1,2+1),1))</f>
        <v/>
      </c>
      <c r="CZ60">
        <f>SUM(CV60:CY60)</f>
        <v/>
      </c>
      <c r="DJ60">
        <f>IFERROR(LOOKUP(2,1/('DRAFT 2'!$D:$D=$B60)*('DRAFT 2'!$A:$A&gt;=DATE(2026,3,1))*('DRAFT 2'!$A:$A&lt;DATE(2026,IF(3=12,3+1,3+1),1)),'DRAFT 2'!$A:$A),"")</f>
        <v/>
      </c>
      <c r="DK60">
        <f>COUNTIFS('DRAFT 2'!$D:$D,$B60,'DRAFT 2'!$A:$A,"&gt;="&amp;DATE(2026,3,1),'DRAFT 2'!$A:$A,"&lt;="&amp;DATE(2026,3,7))</f>
        <v/>
      </c>
      <c r="DL60">
        <f>COUNTIFS('DRAFT 2'!$D:$D,$B60,'DRAFT 2'!$A:$A,"&gt;="&amp;DATE(2026,3,8),'DRAFT 2'!$A:$A,"&lt;="&amp;DATE(2026,3,14))</f>
        <v/>
      </c>
      <c r="DM60">
        <f>COUNTIFS('DRAFT 2'!$D:$D,$B60,'DRAFT 2'!$A:$A,"&gt;="&amp;DATE(2026,3,15),'DRAFT 2'!$A:$A,"&lt;="&amp;DATE(2026,3,21))</f>
        <v/>
      </c>
      <c r="DN60">
        <f>COUNTIFS('DRAFT 2'!$D:$D,$B60,'DRAFT 2'!$A:$A,"&gt;="&amp;DATE(2026,3,22),'DRAFT 2'!$A:$A,"&lt;"&amp;DATE(2026,IF(3=12,3+1,3+1),1))</f>
        <v/>
      </c>
      <c r="DO60">
        <f>SUM(DK60:DN60)</f>
        <v/>
      </c>
      <c r="DZ60">
        <f>IFERROR(LOOKUP(2,1/('DRAFT 2'!$D:$D=$B60)*('DRAFT 2'!$A:$A&gt;=DATE(2026,4,1))*('DRAFT 2'!$A:$A&lt;DATE(2026,IF(4=12,4+1,4+1),1)),'DRAFT 2'!$A:$A),"")</f>
        <v/>
      </c>
      <c r="EA60">
        <f>COUNTIFS('DRAFT 2'!$D:$D,$B60,'DRAFT 2'!$A:$A,"&gt;="&amp;DATE(2026,4,1),'DRAFT 2'!$A:$A,"&lt;="&amp;DATE(2026,4,7))</f>
        <v/>
      </c>
      <c r="EB60">
        <f>COUNTIFS('DRAFT 2'!$D:$D,$B60,'DRAFT 2'!$A:$A,"&gt;="&amp;DATE(2026,4,8),'DRAFT 2'!$A:$A,"&lt;="&amp;DATE(2026,4,14))</f>
        <v/>
      </c>
      <c r="EC60">
        <f>COUNTIFS('DRAFT 2'!$D:$D,$B60,'DRAFT 2'!$A:$A,"&gt;="&amp;DATE(2026,4,15),'DRAFT 2'!$A:$A,"&lt;="&amp;DATE(2026,4,21))</f>
        <v/>
      </c>
      <c r="ED60">
        <f>COUNTIFS('DRAFT 2'!$D:$D,$B60,'DRAFT 2'!$A:$A,"&gt;="&amp;DATE(2026,4,22),'DRAFT 2'!$A:$A,"&lt;"&amp;DATE(2026,IF(4=12,4+1,4+1),1))</f>
        <v/>
      </c>
      <c r="EE60">
        <f>SUM(EA60:ED60)</f>
        <v/>
      </c>
      <c r="EO60">
        <f>IFERROR(LOOKUP(2,1/('DRAFT 2'!$D:$D=$B60)*('DRAFT 2'!$A:$A&gt;=DATE(2026,5,1))*('DRAFT 2'!$A:$A&lt;DATE(2026,IF(5=12,5+1,5+1),1)),'DRAFT 2'!$A:$A),"")</f>
        <v/>
      </c>
      <c r="EP60">
        <f>COUNTIFS('DRAFT 2'!$D:$D,$B60,'DRAFT 2'!$A:$A,"&gt;="&amp;DATE(2026,5,1),'DRAFT 2'!$A:$A,"&lt;="&amp;DATE(2026,5,7))</f>
        <v/>
      </c>
      <c r="EQ60">
        <f>COUNTIFS('DRAFT 2'!$D:$D,$B60,'DRAFT 2'!$A:$A,"&gt;="&amp;DATE(2026,5,8),'DRAFT 2'!$A:$A,"&lt;="&amp;DATE(2026,5,14))</f>
        <v/>
      </c>
      <c r="ER60">
        <f>COUNTIFS('DRAFT 2'!$D:$D,$B60,'DRAFT 2'!$A:$A,"&gt;="&amp;DATE(2026,5,15),'DRAFT 2'!$A:$A,"&lt;="&amp;DATE(2026,5,21))</f>
        <v/>
      </c>
      <c r="ES60">
        <f>COUNTIFS('DRAFT 2'!$D:$D,$B60,'DRAFT 2'!$A:$A,"&gt;="&amp;DATE(2026,5,22),'DRAFT 2'!$A:$A,"&lt;"&amp;DATE(2026,IF(5=12,5+1,5+1),1))</f>
        <v/>
      </c>
      <c r="ET60">
        <f>SUM(EP60:ES60)</f>
        <v/>
      </c>
      <c r="FD60">
        <f>IFERROR(LOOKUP(2,1/('DRAFT 2'!$D:$D=$B60)*('DRAFT 2'!$A:$A&gt;=DATE(2026,6,1))*('DRAFT 2'!$A:$A&lt;DATE(2026,IF(6=12,6+1,6+1),1)),'DRAFT 2'!$A:$A),"")</f>
        <v/>
      </c>
      <c r="FE60">
        <f>COUNTIFS('DRAFT 2'!$D:$D,$B60,'DRAFT 2'!$A:$A,"&gt;="&amp;DATE(2026,6,1),'DRAFT 2'!$A:$A,"&lt;="&amp;DATE(2026,6,7))</f>
        <v/>
      </c>
      <c r="FF60">
        <f>COUNTIFS('DRAFT 2'!$D:$D,$B60,'DRAFT 2'!$A:$A,"&gt;="&amp;DATE(2026,6,8),'DRAFT 2'!$A:$A,"&lt;="&amp;DATE(2026,6,14))</f>
        <v/>
      </c>
      <c r="FG60">
        <f>COUNTIFS('DRAFT 2'!$D:$D,$B60,'DRAFT 2'!$A:$A,"&gt;="&amp;DATE(2026,6,15),'DRAFT 2'!$A:$A,"&lt;="&amp;DATE(2026,6,21))</f>
        <v/>
      </c>
      <c r="FH60">
        <f>COUNTIFS('DRAFT 2'!$D:$D,$B60,'DRAFT 2'!$A:$A,"&gt;="&amp;DATE(2026,6,22),'DRAFT 2'!$A:$A,"&lt;"&amp;DATE(2026,IF(6=12,6+1,6+1),1))</f>
        <v/>
      </c>
      <c r="FI60">
        <f>SUM(FE60:FH60)</f>
        <v/>
      </c>
      <c r="FT60">
        <f>IFERROR(LOOKUP(2,1/('DRAFT 2'!$D:$D=$B60)*('DRAFT 2'!$A:$A&gt;=DATE(2026,7,1))*('DRAFT 2'!$A:$A&lt;DATE(2026,IF(7=12,7+1,7+1),1)),'DRAFT 2'!$A:$A),"")</f>
        <v/>
      </c>
      <c r="FU60">
        <f>COUNTIFS('DRAFT 2'!$D:$D,$B60,'DRAFT 2'!$A:$A,"&gt;="&amp;DATE(2026,7,1),'DRAFT 2'!$A:$A,"&lt;="&amp;DATE(2026,7,7))</f>
        <v/>
      </c>
      <c r="FV60">
        <f>COUNTIFS('DRAFT 2'!$D:$D,$B60,'DRAFT 2'!$A:$A,"&gt;="&amp;DATE(2026,7,8),'DRAFT 2'!$A:$A,"&lt;="&amp;DATE(2026,7,14))</f>
        <v/>
      </c>
      <c r="FW60">
        <f>COUNTIFS('DRAFT 2'!$D:$D,$B60,'DRAFT 2'!$A:$A,"&gt;="&amp;DATE(2026,7,15),'DRAFT 2'!$A:$A,"&lt;="&amp;DATE(2026,7,21))</f>
        <v/>
      </c>
      <c r="FX60">
        <f>COUNTIFS('DRAFT 2'!$D:$D,$B60,'DRAFT 2'!$A:$A,"&gt;="&amp;DATE(2026,7,22),'DRAFT 2'!$A:$A,"&lt;"&amp;DATE(2026,IF(7=12,7+1,7+1),1))</f>
        <v/>
      </c>
      <c r="FY60">
        <f>SUM(FU60:FX60)</f>
        <v/>
      </c>
      <c r="GI60">
        <f>IFERROR(LOOKUP(2,1/('DRAFT 2'!$D:$D=$B60)*('DRAFT 2'!$A:$A&gt;=DATE(2026,8,1))*('DRAFT 2'!$A:$A&lt;DATE(2026,IF(8=12,8+1,8+1),1)),'DRAFT 2'!$A:$A),"")</f>
        <v/>
      </c>
      <c r="GJ60">
        <f>COUNTIFS('DRAFT 2'!$D:$D,$B60,'DRAFT 2'!$A:$A,"&gt;="&amp;DATE(2026,8,1),'DRAFT 2'!$A:$A,"&lt;="&amp;DATE(2026,8,7))</f>
        <v/>
      </c>
      <c r="GK60">
        <f>COUNTIFS('DRAFT 2'!$D:$D,$B60,'DRAFT 2'!$A:$A,"&gt;="&amp;DATE(2026,8,8),'DRAFT 2'!$A:$A,"&lt;="&amp;DATE(2026,8,14))</f>
        <v/>
      </c>
      <c r="GL60">
        <f>COUNTIFS('DRAFT 2'!$D:$D,$B60,'DRAFT 2'!$A:$A,"&gt;="&amp;DATE(2026,8,15),'DRAFT 2'!$A:$A,"&lt;="&amp;DATE(2026,8,21))</f>
        <v/>
      </c>
      <c r="GM60">
        <f>COUNTIFS('DRAFT 2'!$D:$D,$B60,'DRAFT 2'!$A:$A,"&gt;="&amp;DATE(2026,8,22),'DRAFT 2'!$A:$A,"&lt;"&amp;DATE(2026,IF(8=12,8+1,8+1),1))</f>
        <v/>
      </c>
      <c r="GN60">
        <f>SUM(GJ60:GM60)</f>
        <v/>
      </c>
      <c r="GX60">
        <f>IFERROR(LOOKUP(2,1/('DRAFT 2'!$D:$D=$B60)*('DRAFT 2'!$A:$A&gt;=DATE(2026,9,1))*('DRAFT 2'!$A:$A&lt;DATE(2026,IF(9=12,9+1,9+1),1)),'DRAFT 2'!$A:$A),"")</f>
        <v/>
      </c>
      <c r="GY60">
        <f>COUNTIFS('DRAFT 2'!$D:$D,$B60,'DRAFT 2'!$A:$A,"&gt;="&amp;DATE(2026,9,1),'DRAFT 2'!$A:$A,"&lt;="&amp;DATE(2026,9,7))</f>
        <v/>
      </c>
      <c r="GZ60">
        <f>COUNTIFS('DRAFT 2'!$D:$D,$B60,'DRAFT 2'!$A:$A,"&gt;="&amp;DATE(2026,9,8),'DRAFT 2'!$A:$A,"&lt;="&amp;DATE(2026,9,14))</f>
        <v/>
      </c>
      <c r="HA60">
        <f>COUNTIFS('DRAFT 2'!$D:$D,$B60,'DRAFT 2'!$A:$A,"&gt;="&amp;DATE(2026,9,15),'DRAFT 2'!$A:$A,"&lt;="&amp;DATE(2026,9,21))</f>
        <v/>
      </c>
      <c r="HB60">
        <f>COUNTIFS('DRAFT 2'!$D:$D,$B60,'DRAFT 2'!$A:$A,"&gt;="&amp;DATE(2026,9,22),'DRAFT 2'!$A:$A,"&lt;"&amp;DATE(2026,IF(9=12,9+1,9+1),1))</f>
        <v/>
      </c>
      <c r="HC60">
        <f>SUM(GY60:HB60)</f>
        <v/>
      </c>
      <c r="HN60">
        <f>IFERROR(LOOKUP(2,1/('DRAFT 2'!$D:$D=$B60)*('DRAFT 2'!$A:$A&gt;=DATE(2026,10,1))*('DRAFT 2'!$A:$A&lt;DATE(2026,IF(10=12,10+1,10+1),1)),'DRAFT 2'!$A:$A),"")</f>
        <v/>
      </c>
      <c r="HO60">
        <f>COUNTIFS('DRAFT 2'!$D:$D,$B60,'DRAFT 2'!$A:$A,"&gt;="&amp;DATE(2026,10,1),'DRAFT 2'!$A:$A,"&lt;="&amp;DATE(2026,10,7))</f>
        <v/>
      </c>
      <c r="HP60">
        <f>COUNTIFS('DRAFT 2'!$D:$D,$B60,'DRAFT 2'!$A:$A,"&gt;="&amp;DATE(2026,10,8),'DRAFT 2'!$A:$A,"&lt;="&amp;DATE(2026,10,14))</f>
        <v/>
      </c>
      <c r="HQ60">
        <f>COUNTIFS('DRAFT 2'!$D:$D,$B60,'DRAFT 2'!$A:$A,"&gt;="&amp;DATE(2026,10,15),'DRAFT 2'!$A:$A,"&lt;="&amp;DATE(2026,10,21))</f>
        <v/>
      </c>
      <c r="HR60">
        <f>COUNTIFS('DRAFT 2'!$D:$D,$B60,'DRAFT 2'!$A:$A,"&gt;="&amp;DATE(2026,10,22),'DRAFT 2'!$A:$A,"&lt;"&amp;DATE(2026,IF(10=12,10+1,10+1),1))</f>
        <v/>
      </c>
      <c r="HS60">
        <f>SUM(HO60:HR60)</f>
        <v/>
      </c>
      <c r="IC60">
        <f>IFERROR(LOOKUP(2,1/('DRAFT 2'!$D:$D=$B60)*('DRAFT 2'!$A:$A&gt;=DATE(2026,11,1))*('DRAFT 2'!$A:$A&lt;DATE(2026,IF(11=12,11+1,11+1),1)),'DRAFT 2'!$A:$A),"")</f>
        <v/>
      </c>
      <c r="ID60">
        <f>COUNTIFS('DRAFT 2'!$D:$D,$B60,'DRAFT 2'!$A:$A,"&gt;="&amp;DATE(2026,11,1),'DRAFT 2'!$A:$A,"&lt;="&amp;DATE(2026,11,7))</f>
        <v/>
      </c>
      <c r="IE60">
        <f>COUNTIFS('DRAFT 2'!$D:$D,$B60,'DRAFT 2'!$A:$A,"&gt;="&amp;DATE(2026,11,8),'DRAFT 2'!$A:$A,"&lt;="&amp;DATE(2026,11,14))</f>
        <v/>
      </c>
      <c r="IF60">
        <f>COUNTIFS('DRAFT 2'!$D:$D,$B60,'DRAFT 2'!$A:$A,"&gt;="&amp;DATE(2026,11,15),'DRAFT 2'!$A:$A,"&lt;="&amp;DATE(2026,11,21))</f>
        <v/>
      </c>
      <c r="IG60">
        <f>COUNTIFS('DRAFT 2'!$D:$D,$B60,'DRAFT 2'!$A:$A,"&gt;="&amp;DATE(2026,11,22),'DRAFT 2'!$A:$A,"&lt;"&amp;DATE(2026,IF(11=12,11+1,11+1),1))</f>
        <v/>
      </c>
      <c r="IH60">
        <f>SUM(ID60:IG60)</f>
        <v/>
      </c>
      <c r="IR60">
        <f>IFERROR(LOOKUP(2,1/('DRAFT 2'!$D:$D=$B60)*('DRAFT 2'!$A:$A&gt;=DATE(2026,12,1))*('DRAFT 2'!$A:$A&lt;DATE(2026,IF(12=12,12+1,12+1),1)),'DRAFT 2'!$A:$A),"")</f>
        <v/>
      </c>
      <c r="IS60">
        <f>COUNTIFS('DRAFT 2'!$D:$D,$B60,'DRAFT 2'!$A:$A,"&gt;="&amp;DATE(2026,12,1),'DRAFT 2'!$A:$A,"&lt;="&amp;DATE(2026,12,7))</f>
        <v/>
      </c>
      <c r="IT60">
        <f>COUNTIFS('DRAFT 2'!$D:$D,$B60,'DRAFT 2'!$A:$A,"&gt;="&amp;DATE(2026,12,8),'DRAFT 2'!$A:$A,"&lt;="&amp;DATE(2026,12,14))</f>
        <v/>
      </c>
      <c r="IU60">
        <f>COUNTIFS('DRAFT 2'!$D:$D,$B60,'DRAFT 2'!$A:$A,"&gt;="&amp;DATE(2026,12,15),'DRAFT 2'!$A:$A,"&lt;="&amp;DATE(2026,12,21))</f>
        <v/>
      </c>
      <c r="IV60">
        <f>COUNTIFS('DRAFT 2'!$D:$D,$B60,'DRAFT 2'!$A:$A,"&gt;="&amp;DATE(2026,12,22),'DRAFT 2'!$A:$A,"&lt;"&amp;DATE(2026,IF(12=12,12+1,12+1),1))</f>
        <v/>
      </c>
      <c r="IW60">
        <f>SUM(IS60:IV60)</f>
        <v/>
      </c>
    </row>
    <row r="61">
      <c r="A61">
        <f>IFERROR(INDEX('DRAFT 1'!$A:$A,MATCH($B61,'DRAFT 1'!$B:$B,0)),"")</f>
        <v/>
      </c>
      <c r="C61">
        <f>IFERROR(INDEX('DRAFT 1'!$C:$C,MATCH($B61,'DRAFT 1'!$B:$B,0)),"")</f>
        <v/>
      </c>
      <c r="D61">
        <f>IFERROR(INDEX('DRAFT 1'!$D:$D,MATCH($B61,'DRAFT 1'!$B:$B,0)),"")</f>
        <v/>
      </c>
      <c r="E61">
        <f>IFERROR(INDEX('DRAFT 1'!$E:$E,MATCH($B61,'DRAFT 1'!$B:$B,0)),"")</f>
        <v/>
      </c>
      <c r="F61">
        <f>IFERROR(INDEX('DRAFT 1'!$F:$F,MATCH($B61,'DRAFT 1'!$B:$B,0)),"")</f>
        <v/>
      </c>
      <c r="G61">
        <f>IFERROR(INDEX('DRAFT 1'!$G:$G,MATCH($B61,'DRAFT 1'!$B:$B,0)),"")</f>
        <v/>
      </c>
      <c r="H61">
        <f>IFERROR(INDEX('DRAFT 1'!$H:$H,MATCH($B61,'DRAFT 1'!$B:$B,0)),"")</f>
        <v/>
      </c>
      <c r="I61" t="inlineStr">
        <is>
          <t>DIVINA TERRA</t>
        </is>
      </c>
      <c r="K61">
        <f>IFERROR(INDEX('DRAFT 1'!$AL:$AL,MATCH($B61,'DRAFT 1'!$B:$B,0)),"")</f>
        <v/>
      </c>
      <c r="L61">
        <f>IFERROR(INDEX('DRAFT 1'!$J:$J,MATCH($B61,'DRAFT 1'!$B:$B,0)),"")</f>
        <v/>
      </c>
      <c r="M61">
        <f>IFERROR(INDEX('DRAFT 1'!$K:$K,MATCH($B61,'DRAFT 1'!$B:$B,0)),"")</f>
        <v/>
      </c>
      <c r="N61" t="inlineStr">
        <is>
          <t>INAT.REC</t>
        </is>
      </c>
      <c r="P61">
        <f>IFERROR(INDEX('DRAFT 1'!$L:$L,MATCH($B61,'DRAFT 1'!$B:$B,0)),"")</f>
        <v/>
      </c>
      <c r="Q61">
        <f>IFERROR(INDEX('DRAFT 1'!$M:$M,MATCH($B61,'DRAFT 1'!$B:$B,0)),"")</f>
        <v/>
      </c>
      <c r="R61">
        <f>IFERROR(INDEX('DRAFT 1'!$N:$N,MATCH($B61,'DRAFT 1'!$B:$B,0)),"")</f>
        <v/>
      </c>
      <c r="S61">
        <f>IFERROR(INDEX('DRAFT 1'!$O:$O,MATCH($B61,'DRAFT 1'!$B:$B,0)),"")</f>
        <v/>
      </c>
      <c r="T61">
        <f>IFERROR(INDEX('DRAFT 1'!$P:$P,MATCH($B61,'DRAFT 1'!$B:$B,0)),"")</f>
        <v/>
      </c>
      <c r="U61">
        <f>IFERROR(INDEX('DRAFT 1'!$Q:$Q,MATCH($B61,'DRAFT 1'!$B:$B,0)),"")</f>
        <v/>
      </c>
      <c r="V61">
        <f>IFERROR(INDEX('DRAFT 1'!$R:$R,MATCH($B61,'DRAFT 1'!$B:$B,0)),"")</f>
        <v/>
      </c>
      <c r="W61">
        <f>IFERROR(INDEX('DRAFT 1'!$S:$S,MATCH($B61,'DRAFT 1'!$B:$B,0)),"")</f>
        <v/>
      </c>
      <c r="X61">
        <f>IFERROR(INDEX('DRAFT 1'!$T:$T,MATCH($B61,'DRAFT 1'!$B:$B,0)),"")</f>
        <v/>
      </c>
      <c r="Z61">
        <f>IFERROR(INDEX('DRAFT 1'!$U:$U,MATCH($B61,'DRAFT 1'!$B:$B,0)),"")</f>
        <v/>
      </c>
      <c r="AA61">
        <f>IFERROR(INDEX('DRAFT 1'!$V:$V,MATCH($B61,'DRAFT 1'!$B:$B,0)),"")</f>
        <v/>
      </c>
      <c r="AB61">
        <f>IFERROR(INDEX('DRAFT 1'!$W:$W,MATCH($B61,'DRAFT 1'!$B:$B,0)),"")</f>
        <v/>
      </c>
      <c r="AC61">
        <f>IFERROR(INDEX('DRAFT 1'!$X:$X,MATCH($B61,'DRAFT 1'!$B:$B,0)),"")</f>
        <v/>
      </c>
      <c r="AD61">
        <f>IFERROR(INDEX('DRAFT 1'!$Y:$Y,MATCH($B61,'DRAFT 1'!$B:$B,0)),"")</f>
        <v/>
      </c>
      <c r="AE61">
        <f>IFERROR(INDEX('DRAFT 1'!$Z:$Z,MATCH($B61,'DRAFT 1'!$B:$B,0)),"")</f>
        <v/>
      </c>
      <c r="AF61">
        <f>IFERROR(INDEX('DRAFT 1'!$AA:$AA,MATCH($B61,'DRAFT 1'!$B:$B,0)),"")</f>
        <v/>
      </c>
      <c r="AG61">
        <f>IFERROR(INDEX('DRAFT 1'!$AB:$AB,MATCH($B61,'DRAFT 1'!$B:$B,0)),"")</f>
        <v/>
      </c>
      <c r="AH61">
        <f>IFERROR(INDEX('DRAFT 1'!$AC:$AC,MATCH($B61,'DRAFT 1'!$B:$B,0)),"")</f>
        <v/>
      </c>
      <c r="AI61">
        <f>IFERROR(INDEX('DRAFT 1'!$AD:$AD,MATCH($B61,'DRAFT 1'!$B:$B,0)),"")</f>
        <v/>
      </c>
      <c r="AJ61">
        <f>IFERROR(INDEX('DRAFT 1'!$AE:$AE,MATCH($B61,'DRAFT 1'!$B:$B,0)),"")</f>
        <v/>
      </c>
      <c r="AK61">
        <f>IFERROR(INDEX('DRAFT 1'!$AG:$AG,MATCH($B61,'DRAFT 1'!$B:$B,0)),"")</f>
        <v/>
      </c>
      <c r="AL61">
        <f>IFERROR(INDEX('DRAFT 1'!$AH:$AH,MATCH($B61,'DRAFT 1'!$B:$B,0)),"")</f>
        <v/>
      </c>
      <c r="AM61">
        <f>IFERROR(INDEX('DRAFT 1'!$AI:$AI,MATCH($B61,'DRAFT 1'!$B:$B,0)),"")</f>
        <v/>
      </c>
      <c r="AN61">
        <f>IFERROR(INDEX('DRAFT 1'!$AJ:$AJ,MATCH($B61,'DRAFT 1'!$B:$B,0)),"")</f>
        <v/>
      </c>
      <c r="AO61">
        <f>IFERROR(Y61/AN61,0)</f>
        <v/>
      </c>
      <c r="AP61">
        <f>IFERROR(INDEX('DRAFT 1'!$AK:$AK,MATCH($B61,'DRAFT 1'!$B:$B,0)),"")</f>
        <v/>
      </c>
      <c r="AR61" t="inlineStr">
        <is>
          <t>NUTRIÇÃO</t>
        </is>
      </c>
      <c r="AS61">
        <f>IFERROR(LOOKUP(2,1/('DRAFT 2'!$D:$D=$B61),'DRAFT 2'!$T:$T),"")</f>
        <v/>
      </c>
      <c r="AT61">
        <f>IFERROR(LOOKUP(2,1/('DRAFT 2'!$D:$D=$B61),'DRAFT 2'!$A:$A),"")</f>
        <v/>
      </c>
      <c r="AU61">
        <f>IFERROR(LOOKUP(2,1/('DRAFT 2'!$D:$D=$B61),'DRAFT 2'!$R:$R),"")</f>
        <v/>
      </c>
      <c r="AV61">
        <f>IFERROR(LOOKUP(2,1/('DRAFT 2'!$D:$D=$B61),'DRAFT 2'!$S:$S),"")</f>
        <v/>
      </c>
      <c r="AW61" t="inlineStr">
        <is>
          <t>RECORRENTE</t>
        </is>
      </c>
      <c r="AX61">
        <f>IFERROR(LOOKUP(2,1/('DRAFT 2'!$D:$D=$B61),'DRAFT 2'!$M:$M),"")</f>
        <v/>
      </c>
      <c r="AY61">
        <f>IFERROR(LOOKUP(2,1/('DRAFT 2'!$D:$D=$B61),'DRAFT 2'!$K:$K),"")</f>
        <v/>
      </c>
      <c r="BG61">
        <f>IFERROR(LOOKUP(2,1/('DRAFT 2'!$D:$D=$B61),'DRAFT 2'!$U:$U),"")</f>
        <v/>
      </c>
      <c r="BH61">
        <f>IFERROR(LOOKUP(2,1/('DRAFT 2'!$D:$D=$B61),'DRAFT 2'!$V:$V),"")</f>
        <v/>
      </c>
      <c r="CE61">
        <f>IFERROR(AJ61,0)</f>
        <v/>
      </c>
      <c r="CF61">
        <f>IFERROR(LOOKUP(2,1/('DRAFT 2'!$D:$D=$B61)*('DRAFT 2'!$A:$A&gt;=DATE(2026,1,1))*('DRAFT 2'!$A:$A&lt;DATE(2026,IF(1=12,1+1,1+1),1)),'DRAFT 2'!$A:$A),"")</f>
        <v/>
      </c>
      <c r="CG61">
        <f>COUNTIFS('DRAFT 2'!$D:$D,$B61,'DRAFT 2'!$A:$A,"&gt;="&amp;DATE(2026,1,1),'DRAFT 2'!$A:$A,"&lt;="&amp;DATE(2026,1,7))</f>
        <v/>
      </c>
      <c r="CH61">
        <f>COUNTIFS('DRAFT 2'!$D:$D,$B61,'DRAFT 2'!$A:$A,"&gt;="&amp;DATE(2026,1,8),'DRAFT 2'!$A:$A,"&lt;="&amp;DATE(2026,1,14))</f>
        <v/>
      </c>
      <c r="CI61">
        <f>COUNTIFS('DRAFT 2'!$D:$D,$B61,'DRAFT 2'!$A:$A,"&gt;="&amp;DATE(2026,1,15),'DRAFT 2'!$A:$A,"&lt;="&amp;DATE(2026,1,21))</f>
        <v/>
      </c>
      <c r="CJ61">
        <f>COUNTIFS('DRAFT 2'!$D:$D,$B61,'DRAFT 2'!$A:$A,"&gt;="&amp;DATE(2026,1,22),'DRAFT 2'!$A:$A,"&lt;"&amp;DATE(2026,IF(1=12,1+1,1+1),1))</f>
        <v/>
      </c>
      <c r="CK61">
        <f>SUM(CG61:CJ61)</f>
        <v/>
      </c>
      <c r="CT61" t="n">
        <v>0</v>
      </c>
      <c r="CU61">
        <f>IFERROR(LOOKUP(2,1/('DRAFT 2'!$D:$D=$B61)*('DRAFT 2'!$A:$A&gt;=DATE(2026,2,1))*('DRAFT 2'!$A:$A&lt;DATE(2026,IF(2=12,2+1,2+1),1)),'DRAFT 2'!$A:$A),"")</f>
        <v/>
      </c>
      <c r="CV61">
        <f>COUNTIFS('DRAFT 2'!$D:$D,$B61,'DRAFT 2'!$A:$A,"&gt;="&amp;DATE(2026,2,1),'DRAFT 2'!$A:$A,"&lt;="&amp;DATE(2026,2,7))</f>
        <v/>
      </c>
      <c r="CW61">
        <f>COUNTIFS('DRAFT 2'!$D:$D,$B61,'DRAFT 2'!$A:$A,"&gt;="&amp;DATE(2026,2,8),'DRAFT 2'!$A:$A,"&lt;="&amp;DATE(2026,2,14))</f>
        <v/>
      </c>
      <c r="CX61">
        <f>COUNTIFS('DRAFT 2'!$D:$D,$B61,'DRAFT 2'!$A:$A,"&gt;="&amp;DATE(2026,2,15),'DRAFT 2'!$A:$A,"&lt;="&amp;DATE(2026,2,21))</f>
        <v/>
      </c>
      <c r="CY61">
        <f>COUNTIFS('DRAFT 2'!$D:$D,$B61,'DRAFT 2'!$A:$A,"&gt;="&amp;DATE(2026,2,22),'DRAFT 2'!$A:$A,"&lt;"&amp;DATE(2026,IF(2=12,2+1,2+1),1))</f>
        <v/>
      </c>
      <c r="CZ61">
        <f>SUM(CV61:CY61)</f>
        <v/>
      </c>
      <c r="DJ61">
        <f>IFERROR(LOOKUP(2,1/('DRAFT 2'!$D:$D=$B61)*('DRAFT 2'!$A:$A&gt;=DATE(2026,3,1))*('DRAFT 2'!$A:$A&lt;DATE(2026,IF(3=12,3+1,3+1),1)),'DRAFT 2'!$A:$A),"")</f>
        <v/>
      </c>
      <c r="DK61">
        <f>COUNTIFS('DRAFT 2'!$D:$D,$B61,'DRAFT 2'!$A:$A,"&gt;="&amp;DATE(2026,3,1),'DRAFT 2'!$A:$A,"&lt;="&amp;DATE(2026,3,7))</f>
        <v/>
      </c>
      <c r="DL61">
        <f>COUNTIFS('DRAFT 2'!$D:$D,$B61,'DRAFT 2'!$A:$A,"&gt;="&amp;DATE(2026,3,8),'DRAFT 2'!$A:$A,"&lt;="&amp;DATE(2026,3,14))</f>
        <v/>
      </c>
      <c r="DM61">
        <f>COUNTIFS('DRAFT 2'!$D:$D,$B61,'DRAFT 2'!$A:$A,"&gt;="&amp;DATE(2026,3,15),'DRAFT 2'!$A:$A,"&lt;="&amp;DATE(2026,3,21))</f>
        <v/>
      </c>
      <c r="DN61">
        <f>COUNTIFS('DRAFT 2'!$D:$D,$B61,'DRAFT 2'!$A:$A,"&gt;="&amp;DATE(2026,3,22),'DRAFT 2'!$A:$A,"&lt;"&amp;DATE(2026,IF(3=12,3+1,3+1),1))</f>
        <v/>
      </c>
      <c r="DO61">
        <f>SUM(DK61:DN61)</f>
        <v/>
      </c>
      <c r="DZ61">
        <f>IFERROR(LOOKUP(2,1/('DRAFT 2'!$D:$D=$B61)*('DRAFT 2'!$A:$A&gt;=DATE(2026,4,1))*('DRAFT 2'!$A:$A&lt;DATE(2026,IF(4=12,4+1,4+1),1)),'DRAFT 2'!$A:$A),"")</f>
        <v/>
      </c>
      <c r="EA61">
        <f>COUNTIFS('DRAFT 2'!$D:$D,$B61,'DRAFT 2'!$A:$A,"&gt;="&amp;DATE(2026,4,1),'DRAFT 2'!$A:$A,"&lt;="&amp;DATE(2026,4,7))</f>
        <v/>
      </c>
      <c r="EB61">
        <f>COUNTIFS('DRAFT 2'!$D:$D,$B61,'DRAFT 2'!$A:$A,"&gt;="&amp;DATE(2026,4,8),'DRAFT 2'!$A:$A,"&lt;="&amp;DATE(2026,4,14))</f>
        <v/>
      </c>
      <c r="EC61">
        <f>COUNTIFS('DRAFT 2'!$D:$D,$B61,'DRAFT 2'!$A:$A,"&gt;="&amp;DATE(2026,4,15),'DRAFT 2'!$A:$A,"&lt;="&amp;DATE(2026,4,21))</f>
        <v/>
      </c>
      <c r="ED61">
        <f>COUNTIFS('DRAFT 2'!$D:$D,$B61,'DRAFT 2'!$A:$A,"&gt;="&amp;DATE(2026,4,22),'DRAFT 2'!$A:$A,"&lt;"&amp;DATE(2026,IF(4=12,4+1,4+1),1))</f>
        <v/>
      </c>
      <c r="EE61">
        <f>SUM(EA61:ED61)</f>
        <v/>
      </c>
      <c r="EO61">
        <f>IFERROR(LOOKUP(2,1/('DRAFT 2'!$D:$D=$B61)*('DRAFT 2'!$A:$A&gt;=DATE(2026,5,1))*('DRAFT 2'!$A:$A&lt;DATE(2026,IF(5=12,5+1,5+1),1)),'DRAFT 2'!$A:$A),"")</f>
        <v/>
      </c>
      <c r="EP61">
        <f>COUNTIFS('DRAFT 2'!$D:$D,$B61,'DRAFT 2'!$A:$A,"&gt;="&amp;DATE(2026,5,1),'DRAFT 2'!$A:$A,"&lt;="&amp;DATE(2026,5,7))</f>
        <v/>
      </c>
      <c r="EQ61">
        <f>COUNTIFS('DRAFT 2'!$D:$D,$B61,'DRAFT 2'!$A:$A,"&gt;="&amp;DATE(2026,5,8),'DRAFT 2'!$A:$A,"&lt;="&amp;DATE(2026,5,14))</f>
        <v/>
      </c>
      <c r="ER61">
        <f>COUNTIFS('DRAFT 2'!$D:$D,$B61,'DRAFT 2'!$A:$A,"&gt;="&amp;DATE(2026,5,15),'DRAFT 2'!$A:$A,"&lt;="&amp;DATE(2026,5,21))</f>
        <v/>
      </c>
      <c r="ES61">
        <f>COUNTIFS('DRAFT 2'!$D:$D,$B61,'DRAFT 2'!$A:$A,"&gt;="&amp;DATE(2026,5,22),'DRAFT 2'!$A:$A,"&lt;"&amp;DATE(2026,IF(5=12,5+1,5+1),1))</f>
        <v/>
      </c>
      <c r="ET61">
        <f>SUM(EP61:ES61)</f>
        <v/>
      </c>
      <c r="FD61">
        <f>IFERROR(LOOKUP(2,1/('DRAFT 2'!$D:$D=$B61)*('DRAFT 2'!$A:$A&gt;=DATE(2026,6,1))*('DRAFT 2'!$A:$A&lt;DATE(2026,IF(6=12,6+1,6+1),1)),'DRAFT 2'!$A:$A),"")</f>
        <v/>
      </c>
      <c r="FE61">
        <f>COUNTIFS('DRAFT 2'!$D:$D,$B61,'DRAFT 2'!$A:$A,"&gt;="&amp;DATE(2026,6,1),'DRAFT 2'!$A:$A,"&lt;="&amp;DATE(2026,6,7))</f>
        <v/>
      </c>
      <c r="FF61">
        <f>COUNTIFS('DRAFT 2'!$D:$D,$B61,'DRAFT 2'!$A:$A,"&gt;="&amp;DATE(2026,6,8),'DRAFT 2'!$A:$A,"&lt;="&amp;DATE(2026,6,14))</f>
        <v/>
      </c>
      <c r="FG61">
        <f>COUNTIFS('DRAFT 2'!$D:$D,$B61,'DRAFT 2'!$A:$A,"&gt;="&amp;DATE(2026,6,15),'DRAFT 2'!$A:$A,"&lt;="&amp;DATE(2026,6,21))</f>
        <v/>
      </c>
      <c r="FH61">
        <f>COUNTIFS('DRAFT 2'!$D:$D,$B61,'DRAFT 2'!$A:$A,"&gt;="&amp;DATE(2026,6,22),'DRAFT 2'!$A:$A,"&lt;"&amp;DATE(2026,IF(6=12,6+1,6+1),1))</f>
        <v/>
      </c>
      <c r="FI61">
        <f>SUM(FE61:FH61)</f>
        <v/>
      </c>
      <c r="FT61">
        <f>IFERROR(LOOKUP(2,1/('DRAFT 2'!$D:$D=$B61)*('DRAFT 2'!$A:$A&gt;=DATE(2026,7,1))*('DRAFT 2'!$A:$A&lt;DATE(2026,IF(7=12,7+1,7+1),1)),'DRAFT 2'!$A:$A),"")</f>
        <v/>
      </c>
      <c r="FU61">
        <f>COUNTIFS('DRAFT 2'!$D:$D,$B61,'DRAFT 2'!$A:$A,"&gt;="&amp;DATE(2026,7,1),'DRAFT 2'!$A:$A,"&lt;="&amp;DATE(2026,7,7))</f>
        <v/>
      </c>
      <c r="FV61">
        <f>COUNTIFS('DRAFT 2'!$D:$D,$B61,'DRAFT 2'!$A:$A,"&gt;="&amp;DATE(2026,7,8),'DRAFT 2'!$A:$A,"&lt;="&amp;DATE(2026,7,14))</f>
        <v/>
      </c>
      <c r="FW61">
        <f>COUNTIFS('DRAFT 2'!$D:$D,$B61,'DRAFT 2'!$A:$A,"&gt;="&amp;DATE(2026,7,15),'DRAFT 2'!$A:$A,"&lt;="&amp;DATE(2026,7,21))</f>
        <v/>
      </c>
      <c r="FX61">
        <f>COUNTIFS('DRAFT 2'!$D:$D,$B61,'DRAFT 2'!$A:$A,"&gt;="&amp;DATE(2026,7,22),'DRAFT 2'!$A:$A,"&lt;"&amp;DATE(2026,IF(7=12,7+1,7+1),1))</f>
        <v/>
      </c>
      <c r="FY61">
        <f>SUM(FU61:FX61)</f>
        <v/>
      </c>
      <c r="GI61">
        <f>IFERROR(LOOKUP(2,1/('DRAFT 2'!$D:$D=$B61)*('DRAFT 2'!$A:$A&gt;=DATE(2026,8,1))*('DRAFT 2'!$A:$A&lt;DATE(2026,IF(8=12,8+1,8+1),1)),'DRAFT 2'!$A:$A),"")</f>
        <v/>
      </c>
      <c r="GJ61">
        <f>COUNTIFS('DRAFT 2'!$D:$D,$B61,'DRAFT 2'!$A:$A,"&gt;="&amp;DATE(2026,8,1),'DRAFT 2'!$A:$A,"&lt;="&amp;DATE(2026,8,7))</f>
        <v/>
      </c>
      <c r="GK61">
        <f>COUNTIFS('DRAFT 2'!$D:$D,$B61,'DRAFT 2'!$A:$A,"&gt;="&amp;DATE(2026,8,8),'DRAFT 2'!$A:$A,"&lt;="&amp;DATE(2026,8,14))</f>
        <v/>
      </c>
      <c r="GL61">
        <f>COUNTIFS('DRAFT 2'!$D:$D,$B61,'DRAFT 2'!$A:$A,"&gt;="&amp;DATE(2026,8,15),'DRAFT 2'!$A:$A,"&lt;="&amp;DATE(2026,8,21))</f>
        <v/>
      </c>
      <c r="GM61">
        <f>COUNTIFS('DRAFT 2'!$D:$D,$B61,'DRAFT 2'!$A:$A,"&gt;="&amp;DATE(2026,8,22),'DRAFT 2'!$A:$A,"&lt;"&amp;DATE(2026,IF(8=12,8+1,8+1),1))</f>
        <v/>
      </c>
      <c r="GN61">
        <f>SUM(GJ61:GM61)</f>
        <v/>
      </c>
      <c r="GX61">
        <f>IFERROR(LOOKUP(2,1/('DRAFT 2'!$D:$D=$B61)*('DRAFT 2'!$A:$A&gt;=DATE(2026,9,1))*('DRAFT 2'!$A:$A&lt;DATE(2026,IF(9=12,9+1,9+1),1)),'DRAFT 2'!$A:$A),"")</f>
        <v/>
      </c>
      <c r="GY61">
        <f>COUNTIFS('DRAFT 2'!$D:$D,$B61,'DRAFT 2'!$A:$A,"&gt;="&amp;DATE(2026,9,1),'DRAFT 2'!$A:$A,"&lt;="&amp;DATE(2026,9,7))</f>
        <v/>
      </c>
      <c r="GZ61">
        <f>COUNTIFS('DRAFT 2'!$D:$D,$B61,'DRAFT 2'!$A:$A,"&gt;="&amp;DATE(2026,9,8),'DRAFT 2'!$A:$A,"&lt;="&amp;DATE(2026,9,14))</f>
        <v/>
      </c>
      <c r="HA61">
        <f>COUNTIFS('DRAFT 2'!$D:$D,$B61,'DRAFT 2'!$A:$A,"&gt;="&amp;DATE(2026,9,15),'DRAFT 2'!$A:$A,"&lt;="&amp;DATE(2026,9,21))</f>
        <v/>
      </c>
      <c r="HB61">
        <f>COUNTIFS('DRAFT 2'!$D:$D,$B61,'DRAFT 2'!$A:$A,"&gt;="&amp;DATE(2026,9,22),'DRAFT 2'!$A:$A,"&lt;"&amp;DATE(2026,IF(9=12,9+1,9+1),1))</f>
        <v/>
      </c>
      <c r="HC61">
        <f>SUM(GY61:HB61)</f>
        <v/>
      </c>
      <c r="HN61">
        <f>IFERROR(LOOKUP(2,1/('DRAFT 2'!$D:$D=$B61)*('DRAFT 2'!$A:$A&gt;=DATE(2026,10,1))*('DRAFT 2'!$A:$A&lt;DATE(2026,IF(10=12,10+1,10+1),1)),'DRAFT 2'!$A:$A),"")</f>
        <v/>
      </c>
      <c r="HO61">
        <f>COUNTIFS('DRAFT 2'!$D:$D,$B61,'DRAFT 2'!$A:$A,"&gt;="&amp;DATE(2026,10,1),'DRAFT 2'!$A:$A,"&lt;="&amp;DATE(2026,10,7))</f>
        <v/>
      </c>
      <c r="HP61">
        <f>COUNTIFS('DRAFT 2'!$D:$D,$B61,'DRAFT 2'!$A:$A,"&gt;="&amp;DATE(2026,10,8),'DRAFT 2'!$A:$A,"&lt;="&amp;DATE(2026,10,14))</f>
        <v/>
      </c>
      <c r="HQ61">
        <f>COUNTIFS('DRAFT 2'!$D:$D,$B61,'DRAFT 2'!$A:$A,"&gt;="&amp;DATE(2026,10,15),'DRAFT 2'!$A:$A,"&lt;="&amp;DATE(2026,10,21))</f>
        <v/>
      </c>
      <c r="HR61">
        <f>COUNTIFS('DRAFT 2'!$D:$D,$B61,'DRAFT 2'!$A:$A,"&gt;="&amp;DATE(2026,10,22),'DRAFT 2'!$A:$A,"&lt;"&amp;DATE(2026,IF(10=12,10+1,10+1),1))</f>
        <v/>
      </c>
      <c r="HS61">
        <f>SUM(HO61:HR61)</f>
        <v/>
      </c>
      <c r="IC61">
        <f>IFERROR(LOOKUP(2,1/('DRAFT 2'!$D:$D=$B61)*('DRAFT 2'!$A:$A&gt;=DATE(2026,11,1))*('DRAFT 2'!$A:$A&lt;DATE(2026,IF(11=12,11+1,11+1),1)),'DRAFT 2'!$A:$A),"")</f>
        <v/>
      </c>
      <c r="ID61">
        <f>COUNTIFS('DRAFT 2'!$D:$D,$B61,'DRAFT 2'!$A:$A,"&gt;="&amp;DATE(2026,11,1),'DRAFT 2'!$A:$A,"&lt;="&amp;DATE(2026,11,7))</f>
        <v/>
      </c>
      <c r="IE61">
        <f>COUNTIFS('DRAFT 2'!$D:$D,$B61,'DRAFT 2'!$A:$A,"&gt;="&amp;DATE(2026,11,8),'DRAFT 2'!$A:$A,"&lt;="&amp;DATE(2026,11,14))</f>
        <v/>
      </c>
      <c r="IF61">
        <f>COUNTIFS('DRAFT 2'!$D:$D,$B61,'DRAFT 2'!$A:$A,"&gt;="&amp;DATE(2026,11,15),'DRAFT 2'!$A:$A,"&lt;="&amp;DATE(2026,11,21))</f>
        <v/>
      </c>
      <c r="IG61">
        <f>COUNTIFS('DRAFT 2'!$D:$D,$B61,'DRAFT 2'!$A:$A,"&gt;="&amp;DATE(2026,11,22),'DRAFT 2'!$A:$A,"&lt;"&amp;DATE(2026,IF(11=12,11+1,11+1),1))</f>
        <v/>
      </c>
      <c r="IH61">
        <f>SUM(ID61:IG61)</f>
        <v/>
      </c>
      <c r="IR61">
        <f>IFERROR(LOOKUP(2,1/('DRAFT 2'!$D:$D=$B61)*('DRAFT 2'!$A:$A&gt;=DATE(2026,12,1))*('DRAFT 2'!$A:$A&lt;DATE(2026,IF(12=12,12+1,12+1),1)),'DRAFT 2'!$A:$A),"")</f>
        <v/>
      </c>
      <c r="IS61">
        <f>COUNTIFS('DRAFT 2'!$D:$D,$B61,'DRAFT 2'!$A:$A,"&gt;="&amp;DATE(2026,12,1),'DRAFT 2'!$A:$A,"&lt;="&amp;DATE(2026,12,7))</f>
        <v/>
      </c>
      <c r="IT61">
        <f>COUNTIFS('DRAFT 2'!$D:$D,$B61,'DRAFT 2'!$A:$A,"&gt;="&amp;DATE(2026,12,8),'DRAFT 2'!$A:$A,"&lt;="&amp;DATE(2026,12,14))</f>
        <v/>
      </c>
      <c r="IU61">
        <f>COUNTIFS('DRAFT 2'!$D:$D,$B61,'DRAFT 2'!$A:$A,"&gt;="&amp;DATE(2026,12,15),'DRAFT 2'!$A:$A,"&lt;="&amp;DATE(2026,12,21))</f>
        <v/>
      </c>
      <c r="IV61">
        <f>COUNTIFS('DRAFT 2'!$D:$D,$B61,'DRAFT 2'!$A:$A,"&gt;="&amp;DATE(2026,12,22),'DRAFT 2'!$A:$A,"&lt;"&amp;DATE(2026,IF(12=12,12+1,12+1),1))</f>
        <v/>
      </c>
      <c r="IW61">
        <f>SUM(IS61:IV61)</f>
        <v/>
      </c>
    </row>
    <row r="62">
      <c r="A62">
        <f>IFERROR(INDEX('DRAFT 1'!$A:$A,MATCH($B62,'DRAFT 1'!$B:$B,0)),"")</f>
        <v/>
      </c>
      <c r="C62">
        <f>IFERROR(INDEX('DRAFT 1'!$C:$C,MATCH($B62,'DRAFT 1'!$B:$B,0)),"")</f>
        <v/>
      </c>
      <c r="D62">
        <f>IFERROR(INDEX('DRAFT 1'!$D:$D,MATCH($B62,'DRAFT 1'!$B:$B,0)),"")</f>
        <v/>
      </c>
      <c r="E62">
        <f>IFERROR(INDEX('DRAFT 1'!$E:$E,MATCH($B62,'DRAFT 1'!$B:$B,0)),"")</f>
        <v/>
      </c>
      <c r="F62">
        <f>IFERROR(INDEX('DRAFT 1'!$F:$F,MATCH($B62,'DRAFT 1'!$B:$B,0)),"")</f>
        <v/>
      </c>
      <c r="G62">
        <f>IFERROR(INDEX('DRAFT 1'!$G:$G,MATCH($B62,'DRAFT 1'!$B:$B,0)),"")</f>
        <v/>
      </c>
      <c r="H62">
        <f>IFERROR(INDEX('DRAFT 1'!$H:$H,MATCH($B62,'DRAFT 1'!$B:$B,0)),"")</f>
        <v/>
      </c>
      <c r="I62" t="inlineStr">
        <is>
          <t>CIA DA SAUDE</t>
        </is>
      </c>
      <c r="K62">
        <f>IFERROR(INDEX('DRAFT 1'!$AL:$AL,MATCH($B62,'DRAFT 1'!$B:$B,0)),"")</f>
        <v/>
      </c>
      <c r="L62">
        <f>IFERROR(INDEX('DRAFT 1'!$J:$J,MATCH($B62,'DRAFT 1'!$B:$B,0)),"")</f>
        <v/>
      </c>
      <c r="M62">
        <f>IFERROR(INDEX('DRAFT 1'!$K:$K,MATCH($B62,'DRAFT 1'!$B:$B,0)),"")</f>
        <v/>
      </c>
      <c r="N62" t="inlineStr">
        <is>
          <t>INAT.REC</t>
        </is>
      </c>
      <c r="P62">
        <f>IFERROR(INDEX('DRAFT 1'!$L:$L,MATCH($B62,'DRAFT 1'!$B:$B,0)),"")</f>
        <v/>
      </c>
      <c r="Q62">
        <f>IFERROR(INDEX('DRAFT 1'!$M:$M,MATCH($B62,'DRAFT 1'!$B:$B,0)),"")</f>
        <v/>
      </c>
      <c r="R62">
        <f>IFERROR(INDEX('DRAFT 1'!$N:$N,MATCH($B62,'DRAFT 1'!$B:$B,0)),"")</f>
        <v/>
      </c>
      <c r="S62">
        <f>IFERROR(INDEX('DRAFT 1'!$O:$O,MATCH($B62,'DRAFT 1'!$B:$B,0)),"")</f>
        <v/>
      </c>
      <c r="T62">
        <f>IFERROR(INDEX('DRAFT 1'!$P:$P,MATCH($B62,'DRAFT 1'!$B:$B,0)),"")</f>
        <v/>
      </c>
      <c r="U62">
        <f>IFERROR(INDEX('DRAFT 1'!$Q:$Q,MATCH($B62,'DRAFT 1'!$B:$B,0)),"")</f>
        <v/>
      </c>
      <c r="V62">
        <f>IFERROR(INDEX('DRAFT 1'!$R:$R,MATCH($B62,'DRAFT 1'!$B:$B,0)),"")</f>
        <v/>
      </c>
      <c r="W62">
        <f>IFERROR(INDEX('DRAFT 1'!$S:$S,MATCH($B62,'DRAFT 1'!$B:$B,0)),"")</f>
        <v/>
      </c>
      <c r="X62">
        <f>IFERROR(INDEX('DRAFT 1'!$T:$T,MATCH($B62,'DRAFT 1'!$B:$B,0)),"")</f>
        <v/>
      </c>
      <c r="Z62">
        <f>IFERROR(INDEX('DRAFT 1'!$U:$U,MATCH($B62,'DRAFT 1'!$B:$B,0)),"")</f>
        <v/>
      </c>
      <c r="AA62">
        <f>IFERROR(INDEX('DRAFT 1'!$V:$V,MATCH($B62,'DRAFT 1'!$B:$B,0)),"")</f>
        <v/>
      </c>
      <c r="AB62">
        <f>IFERROR(INDEX('DRAFT 1'!$W:$W,MATCH($B62,'DRAFT 1'!$B:$B,0)),"")</f>
        <v/>
      </c>
      <c r="AC62">
        <f>IFERROR(INDEX('DRAFT 1'!$X:$X,MATCH($B62,'DRAFT 1'!$B:$B,0)),"")</f>
        <v/>
      </c>
      <c r="AD62">
        <f>IFERROR(INDEX('DRAFT 1'!$Y:$Y,MATCH($B62,'DRAFT 1'!$B:$B,0)),"")</f>
        <v/>
      </c>
      <c r="AE62">
        <f>IFERROR(INDEX('DRAFT 1'!$Z:$Z,MATCH($B62,'DRAFT 1'!$B:$B,0)),"")</f>
        <v/>
      </c>
      <c r="AF62">
        <f>IFERROR(INDEX('DRAFT 1'!$AA:$AA,MATCH($B62,'DRAFT 1'!$B:$B,0)),"")</f>
        <v/>
      </c>
      <c r="AG62">
        <f>IFERROR(INDEX('DRAFT 1'!$AB:$AB,MATCH($B62,'DRAFT 1'!$B:$B,0)),"")</f>
        <v/>
      </c>
      <c r="AH62">
        <f>IFERROR(INDEX('DRAFT 1'!$AC:$AC,MATCH($B62,'DRAFT 1'!$B:$B,0)),"")</f>
        <v/>
      </c>
      <c r="AI62">
        <f>IFERROR(INDEX('DRAFT 1'!$AD:$AD,MATCH($B62,'DRAFT 1'!$B:$B,0)),"")</f>
        <v/>
      </c>
      <c r="AJ62">
        <f>IFERROR(INDEX('DRAFT 1'!$AE:$AE,MATCH($B62,'DRAFT 1'!$B:$B,0)),"")</f>
        <v/>
      </c>
      <c r="AK62">
        <f>IFERROR(INDEX('DRAFT 1'!$AG:$AG,MATCH($B62,'DRAFT 1'!$B:$B,0)),"")</f>
        <v/>
      </c>
      <c r="AL62">
        <f>IFERROR(INDEX('DRAFT 1'!$AH:$AH,MATCH($B62,'DRAFT 1'!$B:$B,0)),"")</f>
        <v/>
      </c>
      <c r="AM62">
        <f>IFERROR(INDEX('DRAFT 1'!$AI:$AI,MATCH($B62,'DRAFT 1'!$B:$B,0)),"")</f>
        <v/>
      </c>
      <c r="AN62">
        <f>IFERROR(INDEX('DRAFT 1'!$AJ:$AJ,MATCH($B62,'DRAFT 1'!$B:$B,0)),"")</f>
        <v/>
      </c>
      <c r="AO62">
        <f>IFERROR(Y62/AN62,0)</f>
        <v/>
      </c>
      <c r="AP62">
        <f>IFERROR(INDEX('DRAFT 1'!$AK:$AK,MATCH($B62,'DRAFT 1'!$B:$B,0)),"")</f>
        <v/>
      </c>
      <c r="AR62" t="inlineStr">
        <is>
          <t>PÓS-VENDA</t>
        </is>
      </c>
      <c r="AS62">
        <f>IFERROR(LOOKUP(2,1/('DRAFT 2'!$D:$D=$B62),'DRAFT 2'!$T:$T),"")</f>
        <v/>
      </c>
      <c r="AT62">
        <f>IFERROR(LOOKUP(2,1/('DRAFT 2'!$D:$D=$B62),'DRAFT 2'!$A:$A),"")</f>
        <v/>
      </c>
      <c r="AU62">
        <f>IFERROR(LOOKUP(2,1/('DRAFT 2'!$D:$D=$B62),'DRAFT 2'!$R:$R),"")</f>
        <v/>
      </c>
      <c r="AV62">
        <f>IFERROR(LOOKUP(2,1/('DRAFT 2'!$D:$D=$B62),'DRAFT 2'!$S:$S),"")</f>
        <v/>
      </c>
      <c r="AW62" t="inlineStr">
        <is>
          <t>FIDELIZADO</t>
        </is>
      </c>
      <c r="AX62">
        <f>IFERROR(LOOKUP(2,1/('DRAFT 2'!$D:$D=$B62),'DRAFT 2'!$M:$M),"")</f>
        <v/>
      </c>
      <c r="AY62">
        <f>IFERROR(LOOKUP(2,1/('DRAFT 2'!$D:$D=$B62),'DRAFT 2'!$K:$K),"")</f>
        <v/>
      </c>
      <c r="BG62">
        <f>IFERROR(LOOKUP(2,1/('DRAFT 2'!$D:$D=$B62),'DRAFT 2'!$U:$U),"")</f>
        <v/>
      </c>
      <c r="BH62">
        <f>IFERROR(LOOKUP(2,1/('DRAFT 2'!$D:$D=$B62),'DRAFT 2'!$V:$V),"")</f>
        <v/>
      </c>
      <c r="CE62">
        <f>IFERROR(AJ62,0)</f>
        <v/>
      </c>
      <c r="CF62">
        <f>IFERROR(LOOKUP(2,1/('DRAFT 2'!$D:$D=$B62)*('DRAFT 2'!$A:$A&gt;=DATE(2026,1,1))*('DRAFT 2'!$A:$A&lt;DATE(2026,IF(1=12,1+1,1+1),1)),'DRAFT 2'!$A:$A),"")</f>
        <v/>
      </c>
      <c r="CG62">
        <f>COUNTIFS('DRAFT 2'!$D:$D,$B62,'DRAFT 2'!$A:$A,"&gt;="&amp;DATE(2026,1,1),'DRAFT 2'!$A:$A,"&lt;="&amp;DATE(2026,1,7))</f>
        <v/>
      </c>
      <c r="CH62">
        <f>COUNTIFS('DRAFT 2'!$D:$D,$B62,'DRAFT 2'!$A:$A,"&gt;="&amp;DATE(2026,1,8),'DRAFT 2'!$A:$A,"&lt;="&amp;DATE(2026,1,14))</f>
        <v/>
      </c>
      <c r="CI62">
        <f>COUNTIFS('DRAFT 2'!$D:$D,$B62,'DRAFT 2'!$A:$A,"&gt;="&amp;DATE(2026,1,15),'DRAFT 2'!$A:$A,"&lt;="&amp;DATE(2026,1,21))</f>
        <v/>
      </c>
      <c r="CJ62">
        <f>COUNTIFS('DRAFT 2'!$D:$D,$B62,'DRAFT 2'!$A:$A,"&gt;="&amp;DATE(2026,1,22),'DRAFT 2'!$A:$A,"&lt;"&amp;DATE(2026,IF(1=12,1+1,1+1),1))</f>
        <v/>
      </c>
      <c r="CK62">
        <f>SUM(CG62:CJ62)</f>
        <v/>
      </c>
      <c r="CT62" t="n">
        <v>0</v>
      </c>
      <c r="CU62">
        <f>IFERROR(LOOKUP(2,1/('DRAFT 2'!$D:$D=$B62)*('DRAFT 2'!$A:$A&gt;=DATE(2026,2,1))*('DRAFT 2'!$A:$A&lt;DATE(2026,IF(2=12,2+1,2+1),1)),'DRAFT 2'!$A:$A),"")</f>
        <v/>
      </c>
      <c r="CV62">
        <f>COUNTIFS('DRAFT 2'!$D:$D,$B62,'DRAFT 2'!$A:$A,"&gt;="&amp;DATE(2026,2,1),'DRAFT 2'!$A:$A,"&lt;="&amp;DATE(2026,2,7))</f>
        <v/>
      </c>
      <c r="CW62">
        <f>COUNTIFS('DRAFT 2'!$D:$D,$B62,'DRAFT 2'!$A:$A,"&gt;="&amp;DATE(2026,2,8),'DRAFT 2'!$A:$A,"&lt;="&amp;DATE(2026,2,14))</f>
        <v/>
      </c>
      <c r="CX62">
        <f>COUNTIFS('DRAFT 2'!$D:$D,$B62,'DRAFT 2'!$A:$A,"&gt;="&amp;DATE(2026,2,15),'DRAFT 2'!$A:$A,"&lt;="&amp;DATE(2026,2,21))</f>
        <v/>
      </c>
      <c r="CY62">
        <f>COUNTIFS('DRAFT 2'!$D:$D,$B62,'DRAFT 2'!$A:$A,"&gt;="&amp;DATE(2026,2,22),'DRAFT 2'!$A:$A,"&lt;"&amp;DATE(2026,IF(2=12,2+1,2+1),1))</f>
        <v/>
      </c>
      <c r="CZ62">
        <f>SUM(CV62:CY62)</f>
        <v/>
      </c>
      <c r="DJ62">
        <f>IFERROR(LOOKUP(2,1/('DRAFT 2'!$D:$D=$B62)*('DRAFT 2'!$A:$A&gt;=DATE(2026,3,1))*('DRAFT 2'!$A:$A&lt;DATE(2026,IF(3=12,3+1,3+1),1)),'DRAFT 2'!$A:$A),"")</f>
        <v/>
      </c>
      <c r="DK62">
        <f>COUNTIFS('DRAFT 2'!$D:$D,$B62,'DRAFT 2'!$A:$A,"&gt;="&amp;DATE(2026,3,1),'DRAFT 2'!$A:$A,"&lt;="&amp;DATE(2026,3,7))</f>
        <v/>
      </c>
      <c r="DL62">
        <f>COUNTIFS('DRAFT 2'!$D:$D,$B62,'DRAFT 2'!$A:$A,"&gt;="&amp;DATE(2026,3,8),'DRAFT 2'!$A:$A,"&lt;="&amp;DATE(2026,3,14))</f>
        <v/>
      </c>
      <c r="DM62">
        <f>COUNTIFS('DRAFT 2'!$D:$D,$B62,'DRAFT 2'!$A:$A,"&gt;="&amp;DATE(2026,3,15),'DRAFT 2'!$A:$A,"&lt;="&amp;DATE(2026,3,21))</f>
        <v/>
      </c>
      <c r="DN62">
        <f>COUNTIFS('DRAFT 2'!$D:$D,$B62,'DRAFT 2'!$A:$A,"&gt;="&amp;DATE(2026,3,22),'DRAFT 2'!$A:$A,"&lt;"&amp;DATE(2026,IF(3=12,3+1,3+1),1))</f>
        <v/>
      </c>
      <c r="DO62">
        <f>SUM(DK62:DN62)</f>
        <v/>
      </c>
      <c r="DZ62">
        <f>IFERROR(LOOKUP(2,1/('DRAFT 2'!$D:$D=$B62)*('DRAFT 2'!$A:$A&gt;=DATE(2026,4,1))*('DRAFT 2'!$A:$A&lt;DATE(2026,IF(4=12,4+1,4+1),1)),'DRAFT 2'!$A:$A),"")</f>
        <v/>
      </c>
      <c r="EA62">
        <f>COUNTIFS('DRAFT 2'!$D:$D,$B62,'DRAFT 2'!$A:$A,"&gt;="&amp;DATE(2026,4,1),'DRAFT 2'!$A:$A,"&lt;="&amp;DATE(2026,4,7))</f>
        <v/>
      </c>
      <c r="EB62">
        <f>COUNTIFS('DRAFT 2'!$D:$D,$B62,'DRAFT 2'!$A:$A,"&gt;="&amp;DATE(2026,4,8),'DRAFT 2'!$A:$A,"&lt;="&amp;DATE(2026,4,14))</f>
        <v/>
      </c>
      <c r="EC62">
        <f>COUNTIFS('DRAFT 2'!$D:$D,$B62,'DRAFT 2'!$A:$A,"&gt;="&amp;DATE(2026,4,15),'DRAFT 2'!$A:$A,"&lt;="&amp;DATE(2026,4,21))</f>
        <v/>
      </c>
      <c r="ED62">
        <f>COUNTIFS('DRAFT 2'!$D:$D,$B62,'DRAFT 2'!$A:$A,"&gt;="&amp;DATE(2026,4,22),'DRAFT 2'!$A:$A,"&lt;"&amp;DATE(2026,IF(4=12,4+1,4+1),1))</f>
        <v/>
      </c>
      <c r="EE62">
        <f>SUM(EA62:ED62)</f>
        <v/>
      </c>
      <c r="EO62">
        <f>IFERROR(LOOKUP(2,1/('DRAFT 2'!$D:$D=$B62)*('DRAFT 2'!$A:$A&gt;=DATE(2026,5,1))*('DRAFT 2'!$A:$A&lt;DATE(2026,IF(5=12,5+1,5+1),1)),'DRAFT 2'!$A:$A),"")</f>
        <v/>
      </c>
      <c r="EP62">
        <f>COUNTIFS('DRAFT 2'!$D:$D,$B62,'DRAFT 2'!$A:$A,"&gt;="&amp;DATE(2026,5,1),'DRAFT 2'!$A:$A,"&lt;="&amp;DATE(2026,5,7))</f>
        <v/>
      </c>
      <c r="EQ62">
        <f>COUNTIFS('DRAFT 2'!$D:$D,$B62,'DRAFT 2'!$A:$A,"&gt;="&amp;DATE(2026,5,8),'DRAFT 2'!$A:$A,"&lt;="&amp;DATE(2026,5,14))</f>
        <v/>
      </c>
      <c r="ER62">
        <f>COUNTIFS('DRAFT 2'!$D:$D,$B62,'DRAFT 2'!$A:$A,"&gt;="&amp;DATE(2026,5,15),'DRAFT 2'!$A:$A,"&lt;="&amp;DATE(2026,5,21))</f>
        <v/>
      </c>
      <c r="ES62">
        <f>COUNTIFS('DRAFT 2'!$D:$D,$B62,'DRAFT 2'!$A:$A,"&gt;="&amp;DATE(2026,5,22),'DRAFT 2'!$A:$A,"&lt;"&amp;DATE(2026,IF(5=12,5+1,5+1),1))</f>
        <v/>
      </c>
      <c r="ET62">
        <f>SUM(EP62:ES62)</f>
        <v/>
      </c>
      <c r="FD62">
        <f>IFERROR(LOOKUP(2,1/('DRAFT 2'!$D:$D=$B62)*('DRAFT 2'!$A:$A&gt;=DATE(2026,6,1))*('DRAFT 2'!$A:$A&lt;DATE(2026,IF(6=12,6+1,6+1),1)),'DRAFT 2'!$A:$A),"")</f>
        <v/>
      </c>
      <c r="FE62">
        <f>COUNTIFS('DRAFT 2'!$D:$D,$B62,'DRAFT 2'!$A:$A,"&gt;="&amp;DATE(2026,6,1),'DRAFT 2'!$A:$A,"&lt;="&amp;DATE(2026,6,7))</f>
        <v/>
      </c>
      <c r="FF62">
        <f>COUNTIFS('DRAFT 2'!$D:$D,$B62,'DRAFT 2'!$A:$A,"&gt;="&amp;DATE(2026,6,8),'DRAFT 2'!$A:$A,"&lt;="&amp;DATE(2026,6,14))</f>
        <v/>
      </c>
      <c r="FG62">
        <f>COUNTIFS('DRAFT 2'!$D:$D,$B62,'DRAFT 2'!$A:$A,"&gt;="&amp;DATE(2026,6,15),'DRAFT 2'!$A:$A,"&lt;="&amp;DATE(2026,6,21))</f>
        <v/>
      </c>
      <c r="FH62">
        <f>COUNTIFS('DRAFT 2'!$D:$D,$B62,'DRAFT 2'!$A:$A,"&gt;="&amp;DATE(2026,6,22),'DRAFT 2'!$A:$A,"&lt;"&amp;DATE(2026,IF(6=12,6+1,6+1),1))</f>
        <v/>
      </c>
      <c r="FI62">
        <f>SUM(FE62:FH62)</f>
        <v/>
      </c>
      <c r="FT62">
        <f>IFERROR(LOOKUP(2,1/('DRAFT 2'!$D:$D=$B62)*('DRAFT 2'!$A:$A&gt;=DATE(2026,7,1))*('DRAFT 2'!$A:$A&lt;DATE(2026,IF(7=12,7+1,7+1),1)),'DRAFT 2'!$A:$A),"")</f>
        <v/>
      </c>
      <c r="FU62">
        <f>COUNTIFS('DRAFT 2'!$D:$D,$B62,'DRAFT 2'!$A:$A,"&gt;="&amp;DATE(2026,7,1),'DRAFT 2'!$A:$A,"&lt;="&amp;DATE(2026,7,7))</f>
        <v/>
      </c>
      <c r="FV62">
        <f>COUNTIFS('DRAFT 2'!$D:$D,$B62,'DRAFT 2'!$A:$A,"&gt;="&amp;DATE(2026,7,8),'DRAFT 2'!$A:$A,"&lt;="&amp;DATE(2026,7,14))</f>
        <v/>
      </c>
      <c r="FW62">
        <f>COUNTIFS('DRAFT 2'!$D:$D,$B62,'DRAFT 2'!$A:$A,"&gt;="&amp;DATE(2026,7,15),'DRAFT 2'!$A:$A,"&lt;="&amp;DATE(2026,7,21))</f>
        <v/>
      </c>
      <c r="FX62">
        <f>COUNTIFS('DRAFT 2'!$D:$D,$B62,'DRAFT 2'!$A:$A,"&gt;="&amp;DATE(2026,7,22),'DRAFT 2'!$A:$A,"&lt;"&amp;DATE(2026,IF(7=12,7+1,7+1),1))</f>
        <v/>
      </c>
      <c r="FY62">
        <f>SUM(FU62:FX62)</f>
        <v/>
      </c>
      <c r="GI62">
        <f>IFERROR(LOOKUP(2,1/('DRAFT 2'!$D:$D=$B62)*('DRAFT 2'!$A:$A&gt;=DATE(2026,8,1))*('DRAFT 2'!$A:$A&lt;DATE(2026,IF(8=12,8+1,8+1),1)),'DRAFT 2'!$A:$A),"")</f>
        <v/>
      </c>
      <c r="GJ62">
        <f>COUNTIFS('DRAFT 2'!$D:$D,$B62,'DRAFT 2'!$A:$A,"&gt;="&amp;DATE(2026,8,1),'DRAFT 2'!$A:$A,"&lt;="&amp;DATE(2026,8,7))</f>
        <v/>
      </c>
      <c r="GK62">
        <f>COUNTIFS('DRAFT 2'!$D:$D,$B62,'DRAFT 2'!$A:$A,"&gt;="&amp;DATE(2026,8,8),'DRAFT 2'!$A:$A,"&lt;="&amp;DATE(2026,8,14))</f>
        <v/>
      </c>
      <c r="GL62">
        <f>COUNTIFS('DRAFT 2'!$D:$D,$B62,'DRAFT 2'!$A:$A,"&gt;="&amp;DATE(2026,8,15),'DRAFT 2'!$A:$A,"&lt;="&amp;DATE(2026,8,21))</f>
        <v/>
      </c>
      <c r="GM62">
        <f>COUNTIFS('DRAFT 2'!$D:$D,$B62,'DRAFT 2'!$A:$A,"&gt;="&amp;DATE(2026,8,22),'DRAFT 2'!$A:$A,"&lt;"&amp;DATE(2026,IF(8=12,8+1,8+1),1))</f>
        <v/>
      </c>
      <c r="GN62">
        <f>SUM(GJ62:GM62)</f>
        <v/>
      </c>
      <c r="GX62">
        <f>IFERROR(LOOKUP(2,1/('DRAFT 2'!$D:$D=$B62)*('DRAFT 2'!$A:$A&gt;=DATE(2026,9,1))*('DRAFT 2'!$A:$A&lt;DATE(2026,IF(9=12,9+1,9+1),1)),'DRAFT 2'!$A:$A),"")</f>
        <v/>
      </c>
      <c r="GY62">
        <f>COUNTIFS('DRAFT 2'!$D:$D,$B62,'DRAFT 2'!$A:$A,"&gt;="&amp;DATE(2026,9,1),'DRAFT 2'!$A:$A,"&lt;="&amp;DATE(2026,9,7))</f>
        <v/>
      </c>
      <c r="GZ62">
        <f>COUNTIFS('DRAFT 2'!$D:$D,$B62,'DRAFT 2'!$A:$A,"&gt;="&amp;DATE(2026,9,8),'DRAFT 2'!$A:$A,"&lt;="&amp;DATE(2026,9,14))</f>
        <v/>
      </c>
      <c r="HA62">
        <f>COUNTIFS('DRAFT 2'!$D:$D,$B62,'DRAFT 2'!$A:$A,"&gt;="&amp;DATE(2026,9,15),'DRAFT 2'!$A:$A,"&lt;="&amp;DATE(2026,9,21))</f>
        <v/>
      </c>
      <c r="HB62">
        <f>COUNTIFS('DRAFT 2'!$D:$D,$B62,'DRAFT 2'!$A:$A,"&gt;="&amp;DATE(2026,9,22),'DRAFT 2'!$A:$A,"&lt;"&amp;DATE(2026,IF(9=12,9+1,9+1),1))</f>
        <v/>
      </c>
      <c r="HC62">
        <f>SUM(GY62:HB62)</f>
        <v/>
      </c>
      <c r="HN62">
        <f>IFERROR(LOOKUP(2,1/('DRAFT 2'!$D:$D=$B62)*('DRAFT 2'!$A:$A&gt;=DATE(2026,10,1))*('DRAFT 2'!$A:$A&lt;DATE(2026,IF(10=12,10+1,10+1),1)),'DRAFT 2'!$A:$A),"")</f>
        <v/>
      </c>
      <c r="HO62">
        <f>COUNTIFS('DRAFT 2'!$D:$D,$B62,'DRAFT 2'!$A:$A,"&gt;="&amp;DATE(2026,10,1),'DRAFT 2'!$A:$A,"&lt;="&amp;DATE(2026,10,7))</f>
        <v/>
      </c>
      <c r="HP62">
        <f>COUNTIFS('DRAFT 2'!$D:$D,$B62,'DRAFT 2'!$A:$A,"&gt;="&amp;DATE(2026,10,8),'DRAFT 2'!$A:$A,"&lt;="&amp;DATE(2026,10,14))</f>
        <v/>
      </c>
      <c r="HQ62">
        <f>COUNTIFS('DRAFT 2'!$D:$D,$B62,'DRAFT 2'!$A:$A,"&gt;="&amp;DATE(2026,10,15),'DRAFT 2'!$A:$A,"&lt;="&amp;DATE(2026,10,21))</f>
        <v/>
      </c>
      <c r="HR62">
        <f>COUNTIFS('DRAFT 2'!$D:$D,$B62,'DRAFT 2'!$A:$A,"&gt;="&amp;DATE(2026,10,22),'DRAFT 2'!$A:$A,"&lt;"&amp;DATE(2026,IF(10=12,10+1,10+1),1))</f>
        <v/>
      </c>
      <c r="HS62">
        <f>SUM(HO62:HR62)</f>
        <v/>
      </c>
      <c r="IC62">
        <f>IFERROR(LOOKUP(2,1/('DRAFT 2'!$D:$D=$B62)*('DRAFT 2'!$A:$A&gt;=DATE(2026,11,1))*('DRAFT 2'!$A:$A&lt;DATE(2026,IF(11=12,11+1,11+1),1)),'DRAFT 2'!$A:$A),"")</f>
        <v/>
      </c>
      <c r="ID62">
        <f>COUNTIFS('DRAFT 2'!$D:$D,$B62,'DRAFT 2'!$A:$A,"&gt;="&amp;DATE(2026,11,1),'DRAFT 2'!$A:$A,"&lt;="&amp;DATE(2026,11,7))</f>
        <v/>
      </c>
      <c r="IE62">
        <f>COUNTIFS('DRAFT 2'!$D:$D,$B62,'DRAFT 2'!$A:$A,"&gt;="&amp;DATE(2026,11,8),'DRAFT 2'!$A:$A,"&lt;="&amp;DATE(2026,11,14))</f>
        <v/>
      </c>
      <c r="IF62">
        <f>COUNTIFS('DRAFT 2'!$D:$D,$B62,'DRAFT 2'!$A:$A,"&gt;="&amp;DATE(2026,11,15),'DRAFT 2'!$A:$A,"&lt;="&amp;DATE(2026,11,21))</f>
        <v/>
      </c>
      <c r="IG62">
        <f>COUNTIFS('DRAFT 2'!$D:$D,$B62,'DRAFT 2'!$A:$A,"&gt;="&amp;DATE(2026,11,22),'DRAFT 2'!$A:$A,"&lt;"&amp;DATE(2026,IF(11=12,11+1,11+1),1))</f>
        <v/>
      </c>
      <c r="IH62">
        <f>SUM(ID62:IG62)</f>
        <v/>
      </c>
      <c r="IR62">
        <f>IFERROR(LOOKUP(2,1/('DRAFT 2'!$D:$D=$B62)*('DRAFT 2'!$A:$A&gt;=DATE(2026,12,1))*('DRAFT 2'!$A:$A&lt;DATE(2026,IF(12=12,12+1,12+1),1)),'DRAFT 2'!$A:$A),"")</f>
        <v/>
      </c>
      <c r="IS62">
        <f>COUNTIFS('DRAFT 2'!$D:$D,$B62,'DRAFT 2'!$A:$A,"&gt;="&amp;DATE(2026,12,1),'DRAFT 2'!$A:$A,"&lt;="&amp;DATE(2026,12,7))</f>
        <v/>
      </c>
      <c r="IT62">
        <f>COUNTIFS('DRAFT 2'!$D:$D,$B62,'DRAFT 2'!$A:$A,"&gt;="&amp;DATE(2026,12,8),'DRAFT 2'!$A:$A,"&lt;="&amp;DATE(2026,12,14))</f>
        <v/>
      </c>
      <c r="IU62">
        <f>COUNTIFS('DRAFT 2'!$D:$D,$B62,'DRAFT 2'!$A:$A,"&gt;="&amp;DATE(2026,12,15),'DRAFT 2'!$A:$A,"&lt;="&amp;DATE(2026,12,21))</f>
        <v/>
      </c>
      <c r="IV62">
        <f>COUNTIFS('DRAFT 2'!$D:$D,$B62,'DRAFT 2'!$A:$A,"&gt;="&amp;DATE(2026,12,22),'DRAFT 2'!$A:$A,"&lt;"&amp;DATE(2026,IF(12=12,12+1,12+1),1))</f>
        <v/>
      </c>
      <c r="IW62">
        <f>SUM(IS62:IV62)</f>
        <v/>
      </c>
    </row>
    <row r="63">
      <c r="A63">
        <f>IFERROR(INDEX('DRAFT 1'!$A:$A,MATCH($B63,'DRAFT 1'!$B:$B,0)),"")</f>
        <v/>
      </c>
      <c r="C63">
        <f>IFERROR(INDEX('DRAFT 1'!$C:$C,MATCH($B63,'DRAFT 1'!$B:$B,0)),"")</f>
        <v/>
      </c>
      <c r="D63">
        <f>IFERROR(INDEX('DRAFT 1'!$D:$D,MATCH($B63,'DRAFT 1'!$B:$B,0)),"")</f>
        <v/>
      </c>
      <c r="E63">
        <f>IFERROR(INDEX('DRAFT 1'!$E:$E,MATCH($B63,'DRAFT 1'!$B:$B,0)),"")</f>
        <v/>
      </c>
      <c r="F63">
        <f>IFERROR(INDEX('DRAFT 1'!$F:$F,MATCH($B63,'DRAFT 1'!$B:$B,0)),"")</f>
        <v/>
      </c>
      <c r="G63">
        <f>IFERROR(INDEX('DRAFT 1'!$G:$G,MATCH($B63,'DRAFT 1'!$B:$B,0)),"")</f>
        <v/>
      </c>
      <c r="H63">
        <f>IFERROR(INDEX('DRAFT 1'!$H:$H,MATCH($B63,'DRAFT 1'!$B:$B,0)),"")</f>
        <v/>
      </c>
      <c r="I63" t="inlineStr">
        <is>
          <t>TUDO EM GRAOS</t>
        </is>
      </c>
      <c r="K63">
        <f>IFERROR(INDEX('DRAFT 1'!$AL:$AL,MATCH($B63,'DRAFT 1'!$B:$B,0)),"")</f>
        <v/>
      </c>
      <c r="L63">
        <f>IFERROR(INDEX('DRAFT 1'!$J:$J,MATCH($B63,'DRAFT 1'!$B:$B,0)),"")</f>
        <v/>
      </c>
      <c r="M63">
        <f>IFERROR(INDEX('DRAFT 1'!$K:$K,MATCH($B63,'DRAFT 1'!$B:$B,0)),"")</f>
        <v/>
      </c>
      <c r="N63" t="inlineStr">
        <is>
          <t>PROSPECT</t>
        </is>
      </c>
      <c r="P63">
        <f>IFERROR(INDEX('DRAFT 1'!$L:$L,MATCH($B63,'DRAFT 1'!$B:$B,0)),"")</f>
        <v/>
      </c>
      <c r="Q63">
        <f>IFERROR(INDEX('DRAFT 1'!$M:$M,MATCH($B63,'DRAFT 1'!$B:$B,0)),"")</f>
        <v/>
      </c>
      <c r="R63">
        <f>IFERROR(INDEX('DRAFT 1'!$N:$N,MATCH($B63,'DRAFT 1'!$B:$B,0)),"")</f>
        <v/>
      </c>
      <c r="S63">
        <f>IFERROR(INDEX('DRAFT 1'!$O:$O,MATCH($B63,'DRAFT 1'!$B:$B,0)),"")</f>
        <v/>
      </c>
      <c r="T63">
        <f>IFERROR(INDEX('DRAFT 1'!$P:$P,MATCH($B63,'DRAFT 1'!$B:$B,0)),"")</f>
        <v/>
      </c>
      <c r="U63">
        <f>IFERROR(INDEX('DRAFT 1'!$Q:$Q,MATCH($B63,'DRAFT 1'!$B:$B,0)),"")</f>
        <v/>
      </c>
      <c r="V63">
        <f>IFERROR(INDEX('DRAFT 1'!$R:$R,MATCH($B63,'DRAFT 1'!$B:$B,0)),"")</f>
        <v/>
      </c>
      <c r="W63">
        <f>IFERROR(INDEX('DRAFT 1'!$S:$S,MATCH($B63,'DRAFT 1'!$B:$B,0)),"")</f>
        <v/>
      </c>
      <c r="X63">
        <f>IFERROR(INDEX('DRAFT 1'!$T:$T,MATCH($B63,'DRAFT 1'!$B:$B,0)),"")</f>
        <v/>
      </c>
      <c r="Z63">
        <f>IFERROR(INDEX('DRAFT 1'!$U:$U,MATCH($B63,'DRAFT 1'!$B:$B,0)),"")</f>
        <v/>
      </c>
      <c r="AA63">
        <f>IFERROR(INDEX('DRAFT 1'!$V:$V,MATCH($B63,'DRAFT 1'!$B:$B,0)),"")</f>
        <v/>
      </c>
      <c r="AB63">
        <f>IFERROR(INDEX('DRAFT 1'!$W:$W,MATCH($B63,'DRAFT 1'!$B:$B,0)),"")</f>
        <v/>
      </c>
      <c r="AC63">
        <f>IFERROR(INDEX('DRAFT 1'!$X:$X,MATCH($B63,'DRAFT 1'!$B:$B,0)),"")</f>
        <v/>
      </c>
      <c r="AD63">
        <f>IFERROR(INDEX('DRAFT 1'!$Y:$Y,MATCH($B63,'DRAFT 1'!$B:$B,0)),"")</f>
        <v/>
      </c>
      <c r="AE63">
        <f>IFERROR(INDEX('DRAFT 1'!$Z:$Z,MATCH($B63,'DRAFT 1'!$B:$B,0)),"")</f>
        <v/>
      </c>
      <c r="AF63">
        <f>IFERROR(INDEX('DRAFT 1'!$AA:$AA,MATCH($B63,'DRAFT 1'!$B:$B,0)),"")</f>
        <v/>
      </c>
      <c r="AG63">
        <f>IFERROR(INDEX('DRAFT 1'!$AB:$AB,MATCH($B63,'DRAFT 1'!$B:$B,0)),"")</f>
        <v/>
      </c>
      <c r="AH63">
        <f>IFERROR(INDEX('DRAFT 1'!$AC:$AC,MATCH($B63,'DRAFT 1'!$B:$B,0)),"")</f>
        <v/>
      </c>
      <c r="AI63">
        <f>IFERROR(INDEX('DRAFT 1'!$AD:$AD,MATCH($B63,'DRAFT 1'!$B:$B,0)),"")</f>
        <v/>
      </c>
      <c r="AJ63">
        <f>IFERROR(INDEX('DRAFT 1'!$AE:$AE,MATCH($B63,'DRAFT 1'!$B:$B,0)),"")</f>
        <v/>
      </c>
      <c r="AK63">
        <f>IFERROR(INDEX('DRAFT 1'!$AG:$AG,MATCH($B63,'DRAFT 1'!$B:$B,0)),"")</f>
        <v/>
      </c>
      <c r="AL63">
        <f>IFERROR(INDEX('DRAFT 1'!$AH:$AH,MATCH($B63,'DRAFT 1'!$B:$B,0)),"")</f>
        <v/>
      </c>
      <c r="AM63">
        <f>IFERROR(INDEX('DRAFT 1'!$AI:$AI,MATCH($B63,'DRAFT 1'!$B:$B,0)),"")</f>
        <v/>
      </c>
      <c r="AN63">
        <f>IFERROR(INDEX('DRAFT 1'!$AJ:$AJ,MATCH($B63,'DRAFT 1'!$B:$B,0)),"")</f>
        <v/>
      </c>
      <c r="AO63">
        <f>IFERROR(Y63/AN63,0)</f>
        <v/>
      </c>
      <c r="AP63">
        <f>IFERROR(INDEX('DRAFT 1'!$AK:$AK,MATCH($B63,'DRAFT 1'!$B:$B,0)),"")</f>
        <v/>
      </c>
      <c r="AR63" t="inlineStr">
        <is>
          <t>PÓS-VENDA</t>
        </is>
      </c>
      <c r="AS63">
        <f>IFERROR(LOOKUP(2,1/('DRAFT 2'!$D:$D=$B63),'DRAFT 2'!$T:$T),"")</f>
        <v/>
      </c>
      <c r="AT63">
        <f>IFERROR(LOOKUP(2,1/('DRAFT 2'!$D:$D=$B63),'DRAFT 2'!$A:$A),"")</f>
        <v/>
      </c>
      <c r="AU63">
        <f>IFERROR(LOOKUP(2,1/('DRAFT 2'!$D:$D=$B63),'DRAFT 2'!$R:$R),"")</f>
        <v/>
      </c>
      <c r="AV63">
        <f>IFERROR(LOOKUP(2,1/('DRAFT 2'!$D:$D=$B63),'DRAFT 2'!$S:$S),"")</f>
        <v/>
      </c>
      <c r="AW63" t="inlineStr">
        <is>
          <t>NOVO</t>
        </is>
      </c>
      <c r="AX63">
        <f>IFERROR(LOOKUP(2,1/('DRAFT 2'!$D:$D=$B63),'DRAFT 2'!$M:$M),"")</f>
        <v/>
      </c>
      <c r="AY63">
        <f>IFERROR(LOOKUP(2,1/('DRAFT 2'!$D:$D=$B63),'DRAFT 2'!$K:$K),"")</f>
        <v/>
      </c>
      <c r="BG63">
        <f>IFERROR(LOOKUP(2,1/('DRAFT 2'!$D:$D=$B63),'DRAFT 2'!$U:$U),"")</f>
        <v/>
      </c>
      <c r="BH63">
        <f>IFERROR(LOOKUP(2,1/('DRAFT 2'!$D:$D=$B63),'DRAFT 2'!$V:$V),"")</f>
        <v/>
      </c>
      <c r="CE63">
        <f>IFERROR(AJ63,0)</f>
        <v/>
      </c>
      <c r="CF63">
        <f>IFERROR(LOOKUP(2,1/('DRAFT 2'!$D:$D=$B63)*('DRAFT 2'!$A:$A&gt;=DATE(2026,1,1))*('DRAFT 2'!$A:$A&lt;DATE(2026,IF(1=12,1+1,1+1),1)),'DRAFT 2'!$A:$A),"")</f>
        <v/>
      </c>
      <c r="CG63">
        <f>COUNTIFS('DRAFT 2'!$D:$D,$B63,'DRAFT 2'!$A:$A,"&gt;="&amp;DATE(2026,1,1),'DRAFT 2'!$A:$A,"&lt;="&amp;DATE(2026,1,7))</f>
        <v/>
      </c>
      <c r="CH63">
        <f>COUNTIFS('DRAFT 2'!$D:$D,$B63,'DRAFT 2'!$A:$A,"&gt;="&amp;DATE(2026,1,8),'DRAFT 2'!$A:$A,"&lt;="&amp;DATE(2026,1,14))</f>
        <v/>
      </c>
      <c r="CI63">
        <f>COUNTIFS('DRAFT 2'!$D:$D,$B63,'DRAFT 2'!$A:$A,"&gt;="&amp;DATE(2026,1,15),'DRAFT 2'!$A:$A,"&lt;="&amp;DATE(2026,1,21))</f>
        <v/>
      </c>
      <c r="CJ63">
        <f>COUNTIFS('DRAFT 2'!$D:$D,$B63,'DRAFT 2'!$A:$A,"&gt;="&amp;DATE(2026,1,22),'DRAFT 2'!$A:$A,"&lt;"&amp;DATE(2026,IF(1=12,1+1,1+1),1))</f>
        <v/>
      </c>
      <c r="CK63">
        <f>SUM(CG63:CJ63)</f>
        <v/>
      </c>
      <c r="CT63" t="n">
        <v>0</v>
      </c>
      <c r="CU63">
        <f>IFERROR(LOOKUP(2,1/('DRAFT 2'!$D:$D=$B63)*('DRAFT 2'!$A:$A&gt;=DATE(2026,2,1))*('DRAFT 2'!$A:$A&lt;DATE(2026,IF(2=12,2+1,2+1),1)),'DRAFT 2'!$A:$A),"")</f>
        <v/>
      </c>
      <c r="CV63">
        <f>COUNTIFS('DRAFT 2'!$D:$D,$B63,'DRAFT 2'!$A:$A,"&gt;="&amp;DATE(2026,2,1),'DRAFT 2'!$A:$A,"&lt;="&amp;DATE(2026,2,7))</f>
        <v/>
      </c>
      <c r="CW63">
        <f>COUNTIFS('DRAFT 2'!$D:$D,$B63,'DRAFT 2'!$A:$A,"&gt;="&amp;DATE(2026,2,8),'DRAFT 2'!$A:$A,"&lt;="&amp;DATE(2026,2,14))</f>
        <v/>
      </c>
      <c r="CX63">
        <f>COUNTIFS('DRAFT 2'!$D:$D,$B63,'DRAFT 2'!$A:$A,"&gt;="&amp;DATE(2026,2,15),'DRAFT 2'!$A:$A,"&lt;="&amp;DATE(2026,2,21))</f>
        <v/>
      </c>
      <c r="CY63">
        <f>COUNTIFS('DRAFT 2'!$D:$D,$B63,'DRAFT 2'!$A:$A,"&gt;="&amp;DATE(2026,2,22),'DRAFT 2'!$A:$A,"&lt;"&amp;DATE(2026,IF(2=12,2+1,2+1),1))</f>
        <v/>
      </c>
      <c r="CZ63">
        <f>SUM(CV63:CY63)</f>
        <v/>
      </c>
      <c r="DJ63">
        <f>IFERROR(LOOKUP(2,1/('DRAFT 2'!$D:$D=$B63)*('DRAFT 2'!$A:$A&gt;=DATE(2026,3,1))*('DRAFT 2'!$A:$A&lt;DATE(2026,IF(3=12,3+1,3+1),1)),'DRAFT 2'!$A:$A),"")</f>
        <v/>
      </c>
      <c r="DK63">
        <f>COUNTIFS('DRAFT 2'!$D:$D,$B63,'DRAFT 2'!$A:$A,"&gt;="&amp;DATE(2026,3,1),'DRAFT 2'!$A:$A,"&lt;="&amp;DATE(2026,3,7))</f>
        <v/>
      </c>
      <c r="DL63">
        <f>COUNTIFS('DRAFT 2'!$D:$D,$B63,'DRAFT 2'!$A:$A,"&gt;="&amp;DATE(2026,3,8),'DRAFT 2'!$A:$A,"&lt;="&amp;DATE(2026,3,14))</f>
        <v/>
      </c>
      <c r="DM63">
        <f>COUNTIFS('DRAFT 2'!$D:$D,$B63,'DRAFT 2'!$A:$A,"&gt;="&amp;DATE(2026,3,15),'DRAFT 2'!$A:$A,"&lt;="&amp;DATE(2026,3,21))</f>
        <v/>
      </c>
      <c r="DN63">
        <f>COUNTIFS('DRAFT 2'!$D:$D,$B63,'DRAFT 2'!$A:$A,"&gt;="&amp;DATE(2026,3,22),'DRAFT 2'!$A:$A,"&lt;"&amp;DATE(2026,IF(3=12,3+1,3+1),1))</f>
        <v/>
      </c>
      <c r="DO63">
        <f>SUM(DK63:DN63)</f>
        <v/>
      </c>
      <c r="DZ63">
        <f>IFERROR(LOOKUP(2,1/('DRAFT 2'!$D:$D=$B63)*('DRAFT 2'!$A:$A&gt;=DATE(2026,4,1))*('DRAFT 2'!$A:$A&lt;DATE(2026,IF(4=12,4+1,4+1),1)),'DRAFT 2'!$A:$A),"")</f>
        <v/>
      </c>
      <c r="EA63">
        <f>COUNTIFS('DRAFT 2'!$D:$D,$B63,'DRAFT 2'!$A:$A,"&gt;="&amp;DATE(2026,4,1),'DRAFT 2'!$A:$A,"&lt;="&amp;DATE(2026,4,7))</f>
        <v/>
      </c>
      <c r="EB63">
        <f>COUNTIFS('DRAFT 2'!$D:$D,$B63,'DRAFT 2'!$A:$A,"&gt;="&amp;DATE(2026,4,8),'DRAFT 2'!$A:$A,"&lt;="&amp;DATE(2026,4,14))</f>
        <v/>
      </c>
      <c r="EC63">
        <f>COUNTIFS('DRAFT 2'!$D:$D,$B63,'DRAFT 2'!$A:$A,"&gt;="&amp;DATE(2026,4,15),'DRAFT 2'!$A:$A,"&lt;="&amp;DATE(2026,4,21))</f>
        <v/>
      </c>
      <c r="ED63">
        <f>COUNTIFS('DRAFT 2'!$D:$D,$B63,'DRAFT 2'!$A:$A,"&gt;="&amp;DATE(2026,4,22),'DRAFT 2'!$A:$A,"&lt;"&amp;DATE(2026,IF(4=12,4+1,4+1),1))</f>
        <v/>
      </c>
      <c r="EE63">
        <f>SUM(EA63:ED63)</f>
        <v/>
      </c>
      <c r="EO63">
        <f>IFERROR(LOOKUP(2,1/('DRAFT 2'!$D:$D=$B63)*('DRAFT 2'!$A:$A&gt;=DATE(2026,5,1))*('DRAFT 2'!$A:$A&lt;DATE(2026,IF(5=12,5+1,5+1),1)),'DRAFT 2'!$A:$A),"")</f>
        <v/>
      </c>
      <c r="EP63">
        <f>COUNTIFS('DRAFT 2'!$D:$D,$B63,'DRAFT 2'!$A:$A,"&gt;="&amp;DATE(2026,5,1),'DRAFT 2'!$A:$A,"&lt;="&amp;DATE(2026,5,7))</f>
        <v/>
      </c>
      <c r="EQ63">
        <f>COUNTIFS('DRAFT 2'!$D:$D,$B63,'DRAFT 2'!$A:$A,"&gt;="&amp;DATE(2026,5,8),'DRAFT 2'!$A:$A,"&lt;="&amp;DATE(2026,5,14))</f>
        <v/>
      </c>
      <c r="ER63">
        <f>COUNTIFS('DRAFT 2'!$D:$D,$B63,'DRAFT 2'!$A:$A,"&gt;="&amp;DATE(2026,5,15),'DRAFT 2'!$A:$A,"&lt;="&amp;DATE(2026,5,21))</f>
        <v/>
      </c>
      <c r="ES63">
        <f>COUNTIFS('DRAFT 2'!$D:$D,$B63,'DRAFT 2'!$A:$A,"&gt;="&amp;DATE(2026,5,22),'DRAFT 2'!$A:$A,"&lt;"&amp;DATE(2026,IF(5=12,5+1,5+1),1))</f>
        <v/>
      </c>
      <c r="ET63">
        <f>SUM(EP63:ES63)</f>
        <v/>
      </c>
      <c r="FD63">
        <f>IFERROR(LOOKUP(2,1/('DRAFT 2'!$D:$D=$B63)*('DRAFT 2'!$A:$A&gt;=DATE(2026,6,1))*('DRAFT 2'!$A:$A&lt;DATE(2026,IF(6=12,6+1,6+1),1)),'DRAFT 2'!$A:$A),"")</f>
        <v/>
      </c>
      <c r="FE63">
        <f>COUNTIFS('DRAFT 2'!$D:$D,$B63,'DRAFT 2'!$A:$A,"&gt;="&amp;DATE(2026,6,1),'DRAFT 2'!$A:$A,"&lt;="&amp;DATE(2026,6,7))</f>
        <v/>
      </c>
      <c r="FF63">
        <f>COUNTIFS('DRAFT 2'!$D:$D,$B63,'DRAFT 2'!$A:$A,"&gt;="&amp;DATE(2026,6,8),'DRAFT 2'!$A:$A,"&lt;="&amp;DATE(2026,6,14))</f>
        <v/>
      </c>
      <c r="FG63">
        <f>COUNTIFS('DRAFT 2'!$D:$D,$B63,'DRAFT 2'!$A:$A,"&gt;="&amp;DATE(2026,6,15),'DRAFT 2'!$A:$A,"&lt;="&amp;DATE(2026,6,21))</f>
        <v/>
      </c>
      <c r="FH63">
        <f>COUNTIFS('DRAFT 2'!$D:$D,$B63,'DRAFT 2'!$A:$A,"&gt;="&amp;DATE(2026,6,22),'DRAFT 2'!$A:$A,"&lt;"&amp;DATE(2026,IF(6=12,6+1,6+1),1))</f>
        <v/>
      </c>
      <c r="FI63">
        <f>SUM(FE63:FH63)</f>
        <v/>
      </c>
      <c r="FT63">
        <f>IFERROR(LOOKUP(2,1/('DRAFT 2'!$D:$D=$B63)*('DRAFT 2'!$A:$A&gt;=DATE(2026,7,1))*('DRAFT 2'!$A:$A&lt;DATE(2026,IF(7=12,7+1,7+1),1)),'DRAFT 2'!$A:$A),"")</f>
        <v/>
      </c>
      <c r="FU63">
        <f>COUNTIFS('DRAFT 2'!$D:$D,$B63,'DRAFT 2'!$A:$A,"&gt;="&amp;DATE(2026,7,1),'DRAFT 2'!$A:$A,"&lt;="&amp;DATE(2026,7,7))</f>
        <v/>
      </c>
      <c r="FV63">
        <f>COUNTIFS('DRAFT 2'!$D:$D,$B63,'DRAFT 2'!$A:$A,"&gt;="&amp;DATE(2026,7,8),'DRAFT 2'!$A:$A,"&lt;="&amp;DATE(2026,7,14))</f>
        <v/>
      </c>
      <c r="FW63">
        <f>COUNTIFS('DRAFT 2'!$D:$D,$B63,'DRAFT 2'!$A:$A,"&gt;="&amp;DATE(2026,7,15),'DRAFT 2'!$A:$A,"&lt;="&amp;DATE(2026,7,21))</f>
        <v/>
      </c>
      <c r="FX63">
        <f>COUNTIFS('DRAFT 2'!$D:$D,$B63,'DRAFT 2'!$A:$A,"&gt;="&amp;DATE(2026,7,22),'DRAFT 2'!$A:$A,"&lt;"&amp;DATE(2026,IF(7=12,7+1,7+1),1))</f>
        <v/>
      </c>
      <c r="FY63">
        <f>SUM(FU63:FX63)</f>
        <v/>
      </c>
      <c r="GI63">
        <f>IFERROR(LOOKUP(2,1/('DRAFT 2'!$D:$D=$B63)*('DRAFT 2'!$A:$A&gt;=DATE(2026,8,1))*('DRAFT 2'!$A:$A&lt;DATE(2026,IF(8=12,8+1,8+1),1)),'DRAFT 2'!$A:$A),"")</f>
        <v/>
      </c>
      <c r="GJ63">
        <f>COUNTIFS('DRAFT 2'!$D:$D,$B63,'DRAFT 2'!$A:$A,"&gt;="&amp;DATE(2026,8,1),'DRAFT 2'!$A:$A,"&lt;="&amp;DATE(2026,8,7))</f>
        <v/>
      </c>
      <c r="GK63">
        <f>COUNTIFS('DRAFT 2'!$D:$D,$B63,'DRAFT 2'!$A:$A,"&gt;="&amp;DATE(2026,8,8),'DRAFT 2'!$A:$A,"&lt;="&amp;DATE(2026,8,14))</f>
        <v/>
      </c>
      <c r="GL63">
        <f>COUNTIFS('DRAFT 2'!$D:$D,$B63,'DRAFT 2'!$A:$A,"&gt;="&amp;DATE(2026,8,15),'DRAFT 2'!$A:$A,"&lt;="&amp;DATE(2026,8,21))</f>
        <v/>
      </c>
      <c r="GM63">
        <f>COUNTIFS('DRAFT 2'!$D:$D,$B63,'DRAFT 2'!$A:$A,"&gt;="&amp;DATE(2026,8,22),'DRAFT 2'!$A:$A,"&lt;"&amp;DATE(2026,IF(8=12,8+1,8+1),1))</f>
        <v/>
      </c>
      <c r="GN63">
        <f>SUM(GJ63:GM63)</f>
        <v/>
      </c>
      <c r="GX63">
        <f>IFERROR(LOOKUP(2,1/('DRAFT 2'!$D:$D=$B63)*('DRAFT 2'!$A:$A&gt;=DATE(2026,9,1))*('DRAFT 2'!$A:$A&lt;DATE(2026,IF(9=12,9+1,9+1),1)),'DRAFT 2'!$A:$A),"")</f>
        <v/>
      </c>
      <c r="GY63">
        <f>COUNTIFS('DRAFT 2'!$D:$D,$B63,'DRAFT 2'!$A:$A,"&gt;="&amp;DATE(2026,9,1),'DRAFT 2'!$A:$A,"&lt;="&amp;DATE(2026,9,7))</f>
        <v/>
      </c>
      <c r="GZ63">
        <f>COUNTIFS('DRAFT 2'!$D:$D,$B63,'DRAFT 2'!$A:$A,"&gt;="&amp;DATE(2026,9,8),'DRAFT 2'!$A:$A,"&lt;="&amp;DATE(2026,9,14))</f>
        <v/>
      </c>
      <c r="HA63">
        <f>COUNTIFS('DRAFT 2'!$D:$D,$B63,'DRAFT 2'!$A:$A,"&gt;="&amp;DATE(2026,9,15),'DRAFT 2'!$A:$A,"&lt;="&amp;DATE(2026,9,21))</f>
        <v/>
      </c>
      <c r="HB63">
        <f>COUNTIFS('DRAFT 2'!$D:$D,$B63,'DRAFT 2'!$A:$A,"&gt;="&amp;DATE(2026,9,22),'DRAFT 2'!$A:$A,"&lt;"&amp;DATE(2026,IF(9=12,9+1,9+1),1))</f>
        <v/>
      </c>
      <c r="HC63">
        <f>SUM(GY63:HB63)</f>
        <v/>
      </c>
      <c r="HN63">
        <f>IFERROR(LOOKUP(2,1/('DRAFT 2'!$D:$D=$B63)*('DRAFT 2'!$A:$A&gt;=DATE(2026,10,1))*('DRAFT 2'!$A:$A&lt;DATE(2026,IF(10=12,10+1,10+1),1)),'DRAFT 2'!$A:$A),"")</f>
        <v/>
      </c>
      <c r="HO63">
        <f>COUNTIFS('DRAFT 2'!$D:$D,$B63,'DRAFT 2'!$A:$A,"&gt;="&amp;DATE(2026,10,1),'DRAFT 2'!$A:$A,"&lt;="&amp;DATE(2026,10,7))</f>
        <v/>
      </c>
      <c r="HP63">
        <f>COUNTIFS('DRAFT 2'!$D:$D,$B63,'DRAFT 2'!$A:$A,"&gt;="&amp;DATE(2026,10,8),'DRAFT 2'!$A:$A,"&lt;="&amp;DATE(2026,10,14))</f>
        <v/>
      </c>
      <c r="HQ63">
        <f>COUNTIFS('DRAFT 2'!$D:$D,$B63,'DRAFT 2'!$A:$A,"&gt;="&amp;DATE(2026,10,15),'DRAFT 2'!$A:$A,"&lt;="&amp;DATE(2026,10,21))</f>
        <v/>
      </c>
      <c r="HR63">
        <f>COUNTIFS('DRAFT 2'!$D:$D,$B63,'DRAFT 2'!$A:$A,"&gt;="&amp;DATE(2026,10,22),'DRAFT 2'!$A:$A,"&lt;"&amp;DATE(2026,IF(10=12,10+1,10+1),1))</f>
        <v/>
      </c>
      <c r="HS63">
        <f>SUM(HO63:HR63)</f>
        <v/>
      </c>
      <c r="IC63">
        <f>IFERROR(LOOKUP(2,1/('DRAFT 2'!$D:$D=$B63)*('DRAFT 2'!$A:$A&gt;=DATE(2026,11,1))*('DRAFT 2'!$A:$A&lt;DATE(2026,IF(11=12,11+1,11+1),1)),'DRAFT 2'!$A:$A),"")</f>
        <v/>
      </c>
      <c r="ID63">
        <f>COUNTIFS('DRAFT 2'!$D:$D,$B63,'DRAFT 2'!$A:$A,"&gt;="&amp;DATE(2026,11,1),'DRAFT 2'!$A:$A,"&lt;="&amp;DATE(2026,11,7))</f>
        <v/>
      </c>
      <c r="IE63">
        <f>COUNTIFS('DRAFT 2'!$D:$D,$B63,'DRAFT 2'!$A:$A,"&gt;="&amp;DATE(2026,11,8),'DRAFT 2'!$A:$A,"&lt;="&amp;DATE(2026,11,14))</f>
        <v/>
      </c>
      <c r="IF63">
        <f>COUNTIFS('DRAFT 2'!$D:$D,$B63,'DRAFT 2'!$A:$A,"&gt;="&amp;DATE(2026,11,15),'DRAFT 2'!$A:$A,"&lt;="&amp;DATE(2026,11,21))</f>
        <v/>
      </c>
      <c r="IG63">
        <f>COUNTIFS('DRAFT 2'!$D:$D,$B63,'DRAFT 2'!$A:$A,"&gt;="&amp;DATE(2026,11,22),'DRAFT 2'!$A:$A,"&lt;"&amp;DATE(2026,IF(11=12,11+1,11+1),1))</f>
        <v/>
      </c>
      <c r="IH63">
        <f>SUM(ID63:IG63)</f>
        <v/>
      </c>
      <c r="IR63">
        <f>IFERROR(LOOKUP(2,1/('DRAFT 2'!$D:$D=$B63)*('DRAFT 2'!$A:$A&gt;=DATE(2026,12,1))*('DRAFT 2'!$A:$A&lt;DATE(2026,IF(12=12,12+1,12+1),1)),'DRAFT 2'!$A:$A),"")</f>
        <v/>
      </c>
      <c r="IS63">
        <f>COUNTIFS('DRAFT 2'!$D:$D,$B63,'DRAFT 2'!$A:$A,"&gt;="&amp;DATE(2026,12,1),'DRAFT 2'!$A:$A,"&lt;="&amp;DATE(2026,12,7))</f>
        <v/>
      </c>
      <c r="IT63">
        <f>COUNTIFS('DRAFT 2'!$D:$D,$B63,'DRAFT 2'!$A:$A,"&gt;="&amp;DATE(2026,12,8),'DRAFT 2'!$A:$A,"&lt;="&amp;DATE(2026,12,14))</f>
        <v/>
      </c>
      <c r="IU63">
        <f>COUNTIFS('DRAFT 2'!$D:$D,$B63,'DRAFT 2'!$A:$A,"&gt;="&amp;DATE(2026,12,15),'DRAFT 2'!$A:$A,"&lt;="&amp;DATE(2026,12,21))</f>
        <v/>
      </c>
      <c r="IV63">
        <f>COUNTIFS('DRAFT 2'!$D:$D,$B63,'DRAFT 2'!$A:$A,"&gt;="&amp;DATE(2026,12,22),'DRAFT 2'!$A:$A,"&lt;"&amp;DATE(2026,IF(12=12,12+1,12+1),1))</f>
        <v/>
      </c>
      <c r="IW63">
        <f>SUM(IS63:IV63)</f>
        <v/>
      </c>
    </row>
    <row r="64">
      <c r="A64">
        <f>IFERROR(INDEX('DRAFT 1'!$A:$A,MATCH($B64,'DRAFT 1'!$B:$B,0)),"")</f>
        <v/>
      </c>
      <c r="C64">
        <f>IFERROR(INDEX('DRAFT 1'!$C:$C,MATCH($B64,'DRAFT 1'!$B:$B,0)),"")</f>
        <v/>
      </c>
      <c r="D64">
        <f>IFERROR(INDEX('DRAFT 1'!$D:$D,MATCH($B64,'DRAFT 1'!$B:$B,0)),"")</f>
        <v/>
      </c>
      <c r="E64">
        <f>IFERROR(INDEX('DRAFT 1'!$E:$E,MATCH($B64,'DRAFT 1'!$B:$B,0)),"")</f>
        <v/>
      </c>
      <c r="F64">
        <f>IFERROR(INDEX('DRAFT 1'!$F:$F,MATCH($B64,'DRAFT 1'!$B:$B,0)),"")</f>
        <v/>
      </c>
      <c r="G64">
        <f>IFERROR(INDEX('DRAFT 1'!$G:$G,MATCH($B64,'DRAFT 1'!$B:$B,0)),"")</f>
        <v/>
      </c>
      <c r="H64">
        <f>IFERROR(INDEX('DRAFT 1'!$H:$H,MATCH($B64,'DRAFT 1'!$B:$B,0)),"")</f>
        <v/>
      </c>
      <c r="I64" t="inlineStr">
        <is>
          <t>VIDA LEVE</t>
        </is>
      </c>
      <c r="K64">
        <f>IFERROR(INDEX('DRAFT 1'!$AL:$AL,MATCH($B64,'DRAFT 1'!$B:$B,0)),"")</f>
        <v/>
      </c>
      <c r="L64">
        <f>IFERROR(INDEX('DRAFT 1'!$J:$J,MATCH($B64,'DRAFT 1'!$B:$B,0)),"")</f>
        <v/>
      </c>
      <c r="M64">
        <f>IFERROR(INDEX('DRAFT 1'!$K:$K,MATCH($B64,'DRAFT 1'!$B:$B,0)),"")</f>
        <v/>
      </c>
      <c r="N64" t="inlineStr">
        <is>
          <t>ATIVO</t>
        </is>
      </c>
      <c r="P64">
        <f>IFERROR(INDEX('DRAFT 1'!$L:$L,MATCH($B64,'DRAFT 1'!$B:$B,0)),"")</f>
        <v/>
      </c>
      <c r="Q64">
        <f>IFERROR(INDEX('DRAFT 1'!$M:$M,MATCH($B64,'DRAFT 1'!$B:$B,0)),"")</f>
        <v/>
      </c>
      <c r="R64">
        <f>IFERROR(INDEX('DRAFT 1'!$N:$N,MATCH($B64,'DRAFT 1'!$B:$B,0)),"")</f>
        <v/>
      </c>
      <c r="S64">
        <f>IFERROR(INDEX('DRAFT 1'!$O:$O,MATCH($B64,'DRAFT 1'!$B:$B,0)),"")</f>
        <v/>
      </c>
      <c r="T64">
        <f>IFERROR(INDEX('DRAFT 1'!$P:$P,MATCH($B64,'DRAFT 1'!$B:$B,0)),"")</f>
        <v/>
      </c>
      <c r="U64">
        <f>IFERROR(INDEX('DRAFT 1'!$Q:$Q,MATCH($B64,'DRAFT 1'!$B:$B,0)),"")</f>
        <v/>
      </c>
      <c r="V64">
        <f>IFERROR(INDEX('DRAFT 1'!$R:$R,MATCH($B64,'DRAFT 1'!$B:$B,0)),"")</f>
        <v/>
      </c>
      <c r="W64">
        <f>IFERROR(INDEX('DRAFT 1'!$S:$S,MATCH($B64,'DRAFT 1'!$B:$B,0)),"")</f>
        <v/>
      </c>
      <c r="X64">
        <f>IFERROR(INDEX('DRAFT 1'!$T:$T,MATCH($B64,'DRAFT 1'!$B:$B,0)),"")</f>
        <v/>
      </c>
      <c r="Z64">
        <f>IFERROR(INDEX('DRAFT 1'!$U:$U,MATCH($B64,'DRAFT 1'!$B:$B,0)),"")</f>
        <v/>
      </c>
      <c r="AA64">
        <f>IFERROR(INDEX('DRAFT 1'!$V:$V,MATCH($B64,'DRAFT 1'!$B:$B,0)),"")</f>
        <v/>
      </c>
      <c r="AB64">
        <f>IFERROR(INDEX('DRAFT 1'!$W:$W,MATCH($B64,'DRAFT 1'!$B:$B,0)),"")</f>
        <v/>
      </c>
      <c r="AC64">
        <f>IFERROR(INDEX('DRAFT 1'!$X:$X,MATCH($B64,'DRAFT 1'!$B:$B,0)),"")</f>
        <v/>
      </c>
      <c r="AD64">
        <f>IFERROR(INDEX('DRAFT 1'!$Y:$Y,MATCH($B64,'DRAFT 1'!$B:$B,0)),"")</f>
        <v/>
      </c>
      <c r="AE64">
        <f>IFERROR(INDEX('DRAFT 1'!$Z:$Z,MATCH($B64,'DRAFT 1'!$B:$B,0)),"")</f>
        <v/>
      </c>
      <c r="AF64">
        <f>IFERROR(INDEX('DRAFT 1'!$AA:$AA,MATCH($B64,'DRAFT 1'!$B:$B,0)),"")</f>
        <v/>
      </c>
      <c r="AG64">
        <f>IFERROR(INDEX('DRAFT 1'!$AB:$AB,MATCH($B64,'DRAFT 1'!$B:$B,0)),"")</f>
        <v/>
      </c>
      <c r="AH64">
        <f>IFERROR(INDEX('DRAFT 1'!$AC:$AC,MATCH($B64,'DRAFT 1'!$B:$B,0)),"")</f>
        <v/>
      </c>
      <c r="AI64">
        <f>IFERROR(INDEX('DRAFT 1'!$AD:$AD,MATCH($B64,'DRAFT 1'!$B:$B,0)),"")</f>
        <v/>
      </c>
      <c r="AJ64">
        <f>IFERROR(INDEX('DRAFT 1'!$AE:$AE,MATCH($B64,'DRAFT 1'!$B:$B,0)),"")</f>
        <v/>
      </c>
      <c r="AK64">
        <f>IFERROR(INDEX('DRAFT 1'!$AG:$AG,MATCH($B64,'DRAFT 1'!$B:$B,0)),"")</f>
        <v/>
      </c>
      <c r="AL64">
        <f>IFERROR(INDEX('DRAFT 1'!$AH:$AH,MATCH($B64,'DRAFT 1'!$B:$B,0)),"")</f>
        <v/>
      </c>
      <c r="AM64">
        <f>IFERROR(INDEX('DRAFT 1'!$AI:$AI,MATCH($B64,'DRAFT 1'!$B:$B,0)),"")</f>
        <v/>
      </c>
      <c r="AN64">
        <f>IFERROR(INDEX('DRAFT 1'!$AJ:$AJ,MATCH($B64,'DRAFT 1'!$B:$B,0)),"")</f>
        <v/>
      </c>
      <c r="AO64">
        <f>IFERROR(Y64/AN64,0)</f>
        <v/>
      </c>
      <c r="AP64">
        <f>IFERROR(INDEX('DRAFT 1'!$AK:$AK,MATCH($B64,'DRAFT 1'!$B:$B,0)),"")</f>
        <v/>
      </c>
      <c r="AR64" t="inlineStr">
        <is>
          <t>RECUPERAÇÃO</t>
        </is>
      </c>
      <c r="AS64">
        <f>IFERROR(LOOKUP(2,1/('DRAFT 2'!$D:$D=$B64),'DRAFT 2'!$T:$T),"")</f>
        <v/>
      </c>
      <c r="AT64">
        <f>IFERROR(LOOKUP(2,1/('DRAFT 2'!$D:$D=$B64),'DRAFT 2'!$A:$A),"")</f>
        <v/>
      </c>
      <c r="AU64">
        <f>IFERROR(LOOKUP(2,1/('DRAFT 2'!$D:$D=$B64),'DRAFT 2'!$R:$R),"")</f>
        <v/>
      </c>
      <c r="AV64">
        <f>IFERROR(LOOKUP(2,1/('DRAFT 2'!$D:$D=$B64),'DRAFT 2'!$S:$S),"")</f>
        <v/>
      </c>
      <c r="AW64" t="inlineStr">
        <is>
          <t>PROSPECT</t>
        </is>
      </c>
      <c r="AX64">
        <f>IFERROR(LOOKUP(2,1/('DRAFT 2'!$D:$D=$B64),'DRAFT 2'!$M:$M),"")</f>
        <v/>
      </c>
      <c r="AY64">
        <f>IFERROR(LOOKUP(2,1/('DRAFT 2'!$D:$D=$B64),'DRAFT 2'!$K:$K),"")</f>
        <v/>
      </c>
      <c r="BG64">
        <f>IFERROR(LOOKUP(2,1/('DRAFT 2'!$D:$D=$B64),'DRAFT 2'!$U:$U),"")</f>
        <v/>
      </c>
      <c r="BH64">
        <f>IFERROR(LOOKUP(2,1/('DRAFT 2'!$D:$D=$B64),'DRAFT 2'!$V:$V),"")</f>
        <v/>
      </c>
      <c r="CE64">
        <f>IFERROR(AJ64,0)</f>
        <v/>
      </c>
      <c r="CF64">
        <f>IFERROR(LOOKUP(2,1/('DRAFT 2'!$D:$D=$B64)*('DRAFT 2'!$A:$A&gt;=DATE(2026,1,1))*('DRAFT 2'!$A:$A&lt;DATE(2026,IF(1=12,1+1,1+1),1)),'DRAFT 2'!$A:$A),"")</f>
        <v/>
      </c>
      <c r="CG64">
        <f>COUNTIFS('DRAFT 2'!$D:$D,$B64,'DRAFT 2'!$A:$A,"&gt;="&amp;DATE(2026,1,1),'DRAFT 2'!$A:$A,"&lt;="&amp;DATE(2026,1,7))</f>
        <v/>
      </c>
      <c r="CH64">
        <f>COUNTIFS('DRAFT 2'!$D:$D,$B64,'DRAFT 2'!$A:$A,"&gt;="&amp;DATE(2026,1,8),'DRAFT 2'!$A:$A,"&lt;="&amp;DATE(2026,1,14))</f>
        <v/>
      </c>
      <c r="CI64">
        <f>COUNTIFS('DRAFT 2'!$D:$D,$B64,'DRAFT 2'!$A:$A,"&gt;="&amp;DATE(2026,1,15),'DRAFT 2'!$A:$A,"&lt;="&amp;DATE(2026,1,21))</f>
        <v/>
      </c>
      <c r="CJ64">
        <f>COUNTIFS('DRAFT 2'!$D:$D,$B64,'DRAFT 2'!$A:$A,"&gt;="&amp;DATE(2026,1,22),'DRAFT 2'!$A:$A,"&lt;"&amp;DATE(2026,IF(1=12,1+1,1+1),1))</f>
        <v/>
      </c>
      <c r="CK64">
        <f>SUM(CG64:CJ64)</f>
        <v/>
      </c>
      <c r="CT64" t="n">
        <v>0</v>
      </c>
      <c r="CU64">
        <f>IFERROR(LOOKUP(2,1/('DRAFT 2'!$D:$D=$B64)*('DRAFT 2'!$A:$A&gt;=DATE(2026,2,1))*('DRAFT 2'!$A:$A&lt;DATE(2026,IF(2=12,2+1,2+1),1)),'DRAFT 2'!$A:$A),"")</f>
        <v/>
      </c>
      <c r="CV64">
        <f>COUNTIFS('DRAFT 2'!$D:$D,$B64,'DRAFT 2'!$A:$A,"&gt;="&amp;DATE(2026,2,1),'DRAFT 2'!$A:$A,"&lt;="&amp;DATE(2026,2,7))</f>
        <v/>
      </c>
      <c r="CW64">
        <f>COUNTIFS('DRAFT 2'!$D:$D,$B64,'DRAFT 2'!$A:$A,"&gt;="&amp;DATE(2026,2,8),'DRAFT 2'!$A:$A,"&lt;="&amp;DATE(2026,2,14))</f>
        <v/>
      </c>
      <c r="CX64">
        <f>COUNTIFS('DRAFT 2'!$D:$D,$B64,'DRAFT 2'!$A:$A,"&gt;="&amp;DATE(2026,2,15),'DRAFT 2'!$A:$A,"&lt;="&amp;DATE(2026,2,21))</f>
        <v/>
      </c>
      <c r="CY64">
        <f>COUNTIFS('DRAFT 2'!$D:$D,$B64,'DRAFT 2'!$A:$A,"&gt;="&amp;DATE(2026,2,22),'DRAFT 2'!$A:$A,"&lt;"&amp;DATE(2026,IF(2=12,2+1,2+1),1))</f>
        <v/>
      </c>
      <c r="CZ64">
        <f>SUM(CV64:CY64)</f>
        <v/>
      </c>
      <c r="DJ64">
        <f>IFERROR(LOOKUP(2,1/('DRAFT 2'!$D:$D=$B64)*('DRAFT 2'!$A:$A&gt;=DATE(2026,3,1))*('DRAFT 2'!$A:$A&lt;DATE(2026,IF(3=12,3+1,3+1),1)),'DRAFT 2'!$A:$A),"")</f>
        <v/>
      </c>
      <c r="DK64">
        <f>COUNTIFS('DRAFT 2'!$D:$D,$B64,'DRAFT 2'!$A:$A,"&gt;="&amp;DATE(2026,3,1),'DRAFT 2'!$A:$A,"&lt;="&amp;DATE(2026,3,7))</f>
        <v/>
      </c>
      <c r="DL64">
        <f>COUNTIFS('DRAFT 2'!$D:$D,$B64,'DRAFT 2'!$A:$A,"&gt;="&amp;DATE(2026,3,8),'DRAFT 2'!$A:$A,"&lt;="&amp;DATE(2026,3,14))</f>
        <v/>
      </c>
      <c r="DM64">
        <f>COUNTIFS('DRAFT 2'!$D:$D,$B64,'DRAFT 2'!$A:$A,"&gt;="&amp;DATE(2026,3,15),'DRAFT 2'!$A:$A,"&lt;="&amp;DATE(2026,3,21))</f>
        <v/>
      </c>
      <c r="DN64">
        <f>COUNTIFS('DRAFT 2'!$D:$D,$B64,'DRAFT 2'!$A:$A,"&gt;="&amp;DATE(2026,3,22),'DRAFT 2'!$A:$A,"&lt;"&amp;DATE(2026,IF(3=12,3+1,3+1),1))</f>
        <v/>
      </c>
      <c r="DO64">
        <f>SUM(DK64:DN64)</f>
        <v/>
      </c>
      <c r="DZ64">
        <f>IFERROR(LOOKUP(2,1/('DRAFT 2'!$D:$D=$B64)*('DRAFT 2'!$A:$A&gt;=DATE(2026,4,1))*('DRAFT 2'!$A:$A&lt;DATE(2026,IF(4=12,4+1,4+1),1)),'DRAFT 2'!$A:$A),"")</f>
        <v/>
      </c>
      <c r="EA64">
        <f>COUNTIFS('DRAFT 2'!$D:$D,$B64,'DRAFT 2'!$A:$A,"&gt;="&amp;DATE(2026,4,1),'DRAFT 2'!$A:$A,"&lt;="&amp;DATE(2026,4,7))</f>
        <v/>
      </c>
      <c r="EB64">
        <f>COUNTIFS('DRAFT 2'!$D:$D,$B64,'DRAFT 2'!$A:$A,"&gt;="&amp;DATE(2026,4,8),'DRAFT 2'!$A:$A,"&lt;="&amp;DATE(2026,4,14))</f>
        <v/>
      </c>
      <c r="EC64">
        <f>COUNTIFS('DRAFT 2'!$D:$D,$B64,'DRAFT 2'!$A:$A,"&gt;="&amp;DATE(2026,4,15),'DRAFT 2'!$A:$A,"&lt;="&amp;DATE(2026,4,21))</f>
        <v/>
      </c>
      <c r="ED64">
        <f>COUNTIFS('DRAFT 2'!$D:$D,$B64,'DRAFT 2'!$A:$A,"&gt;="&amp;DATE(2026,4,22),'DRAFT 2'!$A:$A,"&lt;"&amp;DATE(2026,IF(4=12,4+1,4+1),1))</f>
        <v/>
      </c>
      <c r="EE64">
        <f>SUM(EA64:ED64)</f>
        <v/>
      </c>
      <c r="EO64">
        <f>IFERROR(LOOKUP(2,1/('DRAFT 2'!$D:$D=$B64)*('DRAFT 2'!$A:$A&gt;=DATE(2026,5,1))*('DRAFT 2'!$A:$A&lt;DATE(2026,IF(5=12,5+1,5+1),1)),'DRAFT 2'!$A:$A),"")</f>
        <v/>
      </c>
      <c r="EP64">
        <f>COUNTIFS('DRAFT 2'!$D:$D,$B64,'DRAFT 2'!$A:$A,"&gt;="&amp;DATE(2026,5,1),'DRAFT 2'!$A:$A,"&lt;="&amp;DATE(2026,5,7))</f>
        <v/>
      </c>
      <c r="EQ64">
        <f>COUNTIFS('DRAFT 2'!$D:$D,$B64,'DRAFT 2'!$A:$A,"&gt;="&amp;DATE(2026,5,8),'DRAFT 2'!$A:$A,"&lt;="&amp;DATE(2026,5,14))</f>
        <v/>
      </c>
      <c r="ER64">
        <f>COUNTIFS('DRAFT 2'!$D:$D,$B64,'DRAFT 2'!$A:$A,"&gt;="&amp;DATE(2026,5,15),'DRAFT 2'!$A:$A,"&lt;="&amp;DATE(2026,5,21))</f>
        <v/>
      </c>
      <c r="ES64">
        <f>COUNTIFS('DRAFT 2'!$D:$D,$B64,'DRAFT 2'!$A:$A,"&gt;="&amp;DATE(2026,5,22),'DRAFT 2'!$A:$A,"&lt;"&amp;DATE(2026,IF(5=12,5+1,5+1),1))</f>
        <v/>
      </c>
      <c r="ET64">
        <f>SUM(EP64:ES64)</f>
        <v/>
      </c>
      <c r="FD64">
        <f>IFERROR(LOOKUP(2,1/('DRAFT 2'!$D:$D=$B64)*('DRAFT 2'!$A:$A&gt;=DATE(2026,6,1))*('DRAFT 2'!$A:$A&lt;DATE(2026,IF(6=12,6+1,6+1),1)),'DRAFT 2'!$A:$A),"")</f>
        <v/>
      </c>
      <c r="FE64">
        <f>COUNTIFS('DRAFT 2'!$D:$D,$B64,'DRAFT 2'!$A:$A,"&gt;="&amp;DATE(2026,6,1),'DRAFT 2'!$A:$A,"&lt;="&amp;DATE(2026,6,7))</f>
        <v/>
      </c>
      <c r="FF64">
        <f>COUNTIFS('DRAFT 2'!$D:$D,$B64,'DRAFT 2'!$A:$A,"&gt;="&amp;DATE(2026,6,8),'DRAFT 2'!$A:$A,"&lt;="&amp;DATE(2026,6,14))</f>
        <v/>
      </c>
      <c r="FG64">
        <f>COUNTIFS('DRAFT 2'!$D:$D,$B64,'DRAFT 2'!$A:$A,"&gt;="&amp;DATE(2026,6,15),'DRAFT 2'!$A:$A,"&lt;="&amp;DATE(2026,6,21))</f>
        <v/>
      </c>
      <c r="FH64">
        <f>COUNTIFS('DRAFT 2'!$D:$D,$B64,'DRAFT 2'!$A:$A,"&gt;="&amp;DATE(2026,6,22),'DRAFT 2'!$A:$A,"&lt;"&amp;DATE(2026,IF(6=12,6+1,6+1),1))</f>
        <v/>
      </c>
      <c r="FI64">
        <f>SUM(FE64:FH64)</f>
        <v/>
      </c>
      <c r="FT64">
        <f>IFERROR(LOOKUP(2,1/('DRAFT 2'!$D:$D=$B64)*('DRAFT 2'!$A:$A&gt;=DATE(2026,7,1))*('DRAFT 2'!$A:$A&lt;DATE(2026,IF(7=12,7+1,7+1),1)),'DRAFT 2'!$A:$A),"")</f>
        <v/>
      </c>
      <c r="FU64">
        <f>COUNTIFS('DRAFT 2'!$D:$D,$B64,'DRAFT 2'!$A:$A,"&gt;="&amp;DATE(2026,7,1),'DRAFT 2'!$A:$A,"&lt;="&amp;DATE(2026,7,7))</f>
        <v/>
      </c>
      <c r="FV64">
        <f>COUNTIFS('DRAFT 2'!$D:$D,$B64,'DRAFT 2'!$A:$A,"&gt;="&amp;DATE(2026,7,8),'DRAFT 2'!$A:$A,"&lt;="&amp;DATE(2026,7,14))</f>
        <v/>
      </c>
      <c r="FW64">
        <f>COUNTIFS('DRAFT 2'!$D:$D,$B64,'DRAFT 2'!$A:$A,"&gt;="&amp;DATE(2026,7,15),'DRAFT 2'!$A:$A,"&lt;="&amp;DATE(2026,7,21))</f>
        <v/>
      </c>
      <c r="FX64">
        <f>COUNTIFS('DRAFT 2'!$D:$D,$B64,'DRAFT 2'!$A:$A,"&gt;="&amp;DATE(2026,7,22),'DRAFT 2'!$A:$A,"&lt;"&amp;DATE(2026,IF(7=12,7+1,7+1),1))</f>
        <v/>
      </c>
      <c r="FY64">
        <f>SUM(FU64:FX64)</f>
        <v/>
      </c>
      <c r="GI64">
        <f>IFERROR(LOOKUP(2,1/('DRAFT 2'!$D:$D=$B64)*('DRAFT 2'!$A:$A&gt;=DATE(2026,8,1))*('DRAFT 2'!$A:$A&lt;DATE(2026,IF(8=12,8+1,8+1),1)),'DRAFT 2'!$A:$A),"")</f>
        <v/>
      </c>
      <c r="GJ64">
        <f>COUNTIFS('DRAFT 2'!$D:$D,$B64,'DRAFT 2'!$A:$A,"&gt;="&amp;DATE(2026,8,1),'DRAFT 2'!$A:$A,"&lt;="&amp;DATE(2026,8,7))</f>
        <v/>
      </c>
      <c r="GK64">
        <f>COUNTIFS('DRAFT 2'!$D:$D,$B64,'DRAFT 2'!$A:$A,"&gt;="&amp;DATE(2026,8,8),'DRAFT 2'!$A:$A,"&lt;="&amp;DATE(2026,8,14))</f>
        <v/>
      </c>
      <c r="GL64">
        <f>COUNTIFS('DRAFT 2'!$D:$D,$B64,'DRAFT 2'!$A:$A,"&gt;="&amp;DATE(2026,8,15),'DRAFT 2'!$A:$A,"&lt;="&amp;DATE(2026,8,21))</f>
        <v/>
      </c>
      <c r="GM64">
        <f>COUNTIFS('DRAFT 2'!$D:$D,$B64,'DRAFT 2'!$A:$A,"&gt;="&amp;DATE(2026,8,22),'DRAFT 2'!$A:$A,"&lt;"&amp;DATE(2026,IF(8=12,8+1,8+1),1))</f>
        <v/>
      </c>
      <c r="GN64">
        <f>SUM(GJ64:GM64)</f>
        <v/>
      </c>
      <c r="GX64">
        <f>IFERROR(LOOKUP(2,1/('DRAFT 2'!$D:$D=$B64)*('DRAFT 2'!$A:$A&gt;=DATE(2026,9,1))*('DRAFT 2'!$A:$A&lt;DATE(2026,IF(9=12,9+1,9+1),1)),'DRAFT 2'!$A:$A),"")</f>
        <v/>
      </c>
      <c r="GY64">
        <f>COUNTIFS('DRAFT 2'!$D:$D,$B64,'DRAFT 2'!$A:$A,"&gt;="&amp;DATE(2026,9,1),'DRAFT 2'!$A:$A,"&lt;="&amp;DATE(2026,9,7))</f>
        <v/>
      </c>
      <c r="GZ64">
        <f>COUNTIFS('DRAFT 2'!$D:$D,$B64,'DRAFT 2'!$A:$A,"&gt;="&amp;DATE(2026,9,8),'DRAFT 2'!$A:$A,"&lt;="&amp;DATE(2026,9,14))</f>
        <v/>
      </c>
      <c r="HA64">
        <f>COUNTIFS('DRAFT 2'!$D:$D,$B64,'DRAFT 2'!$A:$A,"&gt;="&amp;DATE(2026,9,15),'DRAFT 2'!$A:$A,"&lt;="&amp;DATE(2026,9,21))</f>
        <v/>
      </c>
      <c r="HB64">
        <f>COUNTIFS('DRAFT 2'!$D:$D,$B64,'DRAFT 2'!$A:$A,"&gt;="&amp;DATE(2026,9,22),'DRAFT 2'!$A:$A,"&lt;"&amp;DATE(2026,IF(9=12,9+1,9+1),1))</f>
        <v/>
      </c>
      <c r="HC64">
        <f>SUM(GY64:HB64)</f>
        <v/>
      </c>
      <c r="HN64">
        <f>IFERROR(LOOKUP(2,1/('DRAFT 2'!$D:$D=$B64)*('DRAFT 2'!$A:$A&gt;=DATE(2026,10,1))*('DRAFT 2'!$A:$A&lt;DATE(2026,IF(10=12,10+1,10+1),1)),'DRAFT 2'!$A:$A),"")</f>
        <v/>
      </c>
      <c r="HO64">
        <f>COUNTIFS('DRAFT 2'!$D:$D,$B64,'DRAFT 2'!$A:$A,"&gt;="&amp;DATE(2026,10,1),'DRAFT 2'!$A:$A,"&lt;="&amp;DATE(2026,10,7))</f>
        <v/>
      </c>
      <c r="HP64">
        <f>COUNTIFS('DRAFT 2'!$D:$D,$B64,'DRAFT 2'!$A:$A,"&gt;="&amp;DATE(2026,10,8),'DRAFT 2'!$A:$A,"&lt;="&amp;DATE(2026,10,14))</f>
        <v/>
      </c>
      <c r="HQ64">
        <f>COUNTIFS('DRAFT 2'!$D:$D,$B64,'DRAFT 2'!$A:$A,"&gt;="&amp;DATE(2026,10,15),'DRAFT 2'!$A:$A,"&lt;="&amp;DATE(2026,10,21))</f>
        <v/>
      </c>
      <c r="HR64">
        <f>COUNTIFS('DRAFT 2'!$D:$D,$B64,'DRAFT 2'!$A:$A,"&gt;="&amp;DATE(2026,10,22),'DRAFT 2'!$A:$A,"&lt;"&amp;DATE(2026,IF(10=12,10+1,10+1),1))</f>
        <v/>
      </c>
      <c r="HS64">
        <f>SUM(HO64:HR64)</f>
        <v/>
      </c>
      <c r="IC64">
        <f>IFERROR(LOOKUP(2,1/('DRAFT 2'!$D:$D=$B64)*('DRAFT 2'!$A:$A&gt;=DATE(2026,11,1))*('DRAFT 2'!$A:$A&lt;DATE(2026,IF(11=12,11+1,11+1),1)),'DRAFT 2'!$A:$A),"")</f>
        <v/>
      </c>
      <c r="ID64">
        <f>COUNTIFS('DRAFT 2'!$D:$D,$B64,'DRAFT 2'!$A:$A,"&gt;="&amp;DATE(2026,11,1),'DRAFT 2'!$A:$A,"&lt;="&amp;DATE(2026,11,7))</f>
        <v/>
      </c>
      <c r="IE64">
        <f>COUNTIFS('DRAFT 2'!$D:$D,$B64,'DRAFT 2'!$A:$A,"&gt;="&amp;DATE(2026,11,8),'DRAFT 2'!$A:$A,"&lt;="&amp;DATE(2026,11,14))</f>
        <v/>
      </c>
      <c r="IF64">
        <f>COUNTIFS('DRAFT 2'!$D:$D,$B64,'DRAFT 2'!$A:$A,"&gt;="&amp;DATE(2026,11,15),'DRAFT 2'!$A:$A,"&lt;="&amp;DATE(2026,11,21))</f>
        <v/>
      </c>
      <c r="IG64">
        <f>COUNTIFS('DRAFT 2'!$D:$D,$B64,'DRAFT 2'!$A:$A,"&gt;="&amp;DATE(2026,11,22),'DRAFT 2'!$A:$A,"&lt;"&amp;DATE(2026,IF(11=12,11+1,11+1),1))</f>
        <v/>
      </c>
      <c r="IH64">
        <f>SUM(ID64:IG64)</f>
        <v/>
      </c>
      <c r="IR64">
        <f>IFERROR(LOOKUP(2,1/('DRAFT 2'!$D:$D=$B64)*('DRAFT 2'!$A:$A&gt;=DATE(2026,12,1))*('DRAFT 2'!$A:$A&lt;DATE(2026,IF(12=12,12+1,12+1),1)),'DRAFT 2'!$A:$A),"")</f>
        <v/>
      </c>
      <c r="IS64">
        <f>COUNTIFS('DRAFT 2'!$D:$D,$B64,'DRAFT 2'!$A:$A,"&gt;="&amp;DATE(2026,12,1),'DRAFT 2'!$A:$A,"&lt;="&amp;DATE(2026,12,7))</f>
        <v/>
      </c>
      <c r="IT64">
        <f>COUNTIFS('DRAFT 2'!$D:$D,$B64,'DRAFT 2'!$A:$A,"&gt;="&amp;DATE(2026,12,8),'DRAFT 2'!$A:$A,"&lt;="&amp;DATE(2026,12,14))</f>
        <v/>
      </c>
      <c r="IU64">
        <f>COUNTIFS('DRAFT 2'!$D:$D,$B64,'DRAFT 2'!$A:$A,"&gt;="&amp;DATE(2026,12,15),'DRAFT 2'!$A:$A,"&lt;="&amp;DATE(2026,12,21))</f>
        <v/>
      </c>
      <c r="IV64">
        <f>COUNTIFS('DRAFT 2'!$D:$D,$B64,'DRAFT 2'!$A:$A,"&gt;="&amp;DATE(2026,12,22),'DRAFT 2'!$A:$A,"&lt;"&amp;DATE(2026,IF(12=12,12+1,12+1),1))</f>
        <v/>
      </c>
      <c r="IW64">
        <f>SUM(IS64:IV64)</f>
        <v/>
      </c>
    </row>
    <row r="65">
      <c r="A65">
        <f>IFERROR(INDEX('DRAFT 1'!$A:$A,MATCH($B65,'DRAFT 1'!$B:$B,0)),"")</f>
        <v/>
      </c>
      <c r="C65">
        <f>IFERROR(INDEX('DRAFT 1'!$C:$C,MATCH($B65,'DRAFT 1'!$B:$B,0)),"")</f>
        <v/>
      </c>
      <c r="D65">
        <f>IFERROR(INDEX('DRAFT 1'!$D:$D,MATCH($B65,'DRAFT 1'!$B:$B,0)),"")</f>
        <v/>
      </c>
      <c r="E65">
        <f>IFERROR(INDEX('DRAFT 1'!$E:$E,MATCH($B65,'DRAFT 1'!$B:$B,0)),"")</f>
        <v/>
      </c>
      <c r="F65">
        <f>IFERROR(INDEX('DRAFT 1'!$F:$F,MATCH($B65,'DRAFT 1'!$B:$B,0)),"")</f>
        <v/>
      </c>
      <c r="G65">
        <f>IFERROR(INDEX('DRAFT 1'!$G:$G,MATCH($B65,'DRAFT 1'!$B:$B,0)),"")</f>
        <v/>
      </c>
      <c r="H65">
        <f>IFERROR(INDEX('DRAFT 1'!$H:$H,MATCH($B65,'DRAFT 1'!$B:$B,0)),"")</f>
        <v/>
      </c>
      <c r="I65" t="inlineStr">
        <is>
          <t>MUNDO VERDE</t>
        </is>
      </c>
      <c r="K65">
        <f>IFERROR(INDEX('DRAFT 1'!$AL:$AL,MATCH($B65,'DRAFT 1'!$B:$B,0)),"")</f>
        <v/>
      </c>
      <c r="L65">
        <f>IFERROR(INDEX('DRAFT 1'!$J:$J,MATCH($B65,'DRAFT 1'!$B:$B,0)),"")</f>
        <v/>
      </c>
      <c r="M65">
        <f>IFERROR(INDEX('DRAFT 1'!$K:$K,MATCH($B65,'DRAFT 1'!$B:$B,0)),"")</f>
        <v/>
      </c>
      <c r="N65" t="inlineStr">
        <is>
          <t>INAT.ANT</t>
        </is>
      </c>
      <c r="P65">
        <f>IFERROR(INDEX('DRAFT 1'!$L:$L,MATCH($B65,'DRAFT 1'!$B:$B,0)),"")</f>
        <v/>
      </c>
      <c r="Q65">
        <f>IFERROR(INDEX('DRAFT 1'!$M:$M,MATCH($B65,'DRAFT 1'!$B:$B,0)),"")</f>
        <v/>
      </c>
      <c r="R65">
        <f>IFERROR(INDEX('DRAFT 1'!$N:$N,MATCH($B65,'DRAFT 1'!$B:$B,0)),"")</f>
        <v/>
      </c>
      <c r="S65">
        <f>IFERROR(INDEX('DRAFT 1'!$O:$O,MATCH($B65,'DRAFT 1'!$B:$B,0)),"")</f>
        <v/>
      </c>
      <c r="T65">
        <f>IFERROR(INDEX('DRAFT 1'!$P:$P,MATCH($B65,'DRAFT 1'!$B:$B,0)),"")</f>
        <v/>
      </c>
      <c r="U65">
        <f>IFERROR(INDEX('DRAFT 1'!$Q:$Q,MATCH($B65,'DRAFT 1'!$B:$B,0)),"")</f>
        <v/>
      </c>
      <c r="V65">
        <f>IFERROR(INDEX('DRAFT 1'!$R:$R,MATCH($B65,'DRAFT 1'!$B:$B,0)),"")</f>
        <v/>
      </c>
      <c r="W65">
        <f>IFERROR(INDEX('DRAFT 1'!$S:$S,MATCH($B65,'DRAFT 1'!$B:$B,0)),"")</f>
        <v/>
      </c>
      <c r="X65">
        <f>IFERROR(INDEX('DRAFT 1'!$T:$T,MATCH($B65,'DRAFT 1'!$B:$B,0)),"")</f>
        <v/>
      </c>
      <c r="Z65">
        <f>IFERROR(INDEX('DRAFT 1'!$U:$U,MATCH($B65,'DRAFT 1'!$B:$B,0)),"")</f>
        <v/>
      </c>
      <c r="AA65">
        <f>IFERROR(INDEX('DRAFT 1'!$V:$V,MATCH($B65,'DRAFT 1'!$B:$B,0)),"")</f>
        <v/>
      </c>
      <c r="AB65">
        <f>IFERROR(INDEX('DRAFT 1'!$W:$W,MATCH($B65,'DRAFT 1'!$B:$B,0)),"")</f>
        <v/>
      </c>
      <c r="AC65">
        <f>IFERROR(INDEX('DRAFT 1'!$X:$X,MATCH($B65,'DRAFT 1'!$B:$B,0)),"")</f>
        <v/>
      </c>
      <c r="AD65">
        <f>IFERROR(INDEX('DRAFT 1'!$Y:$Y,MATCH($B65,'DRAFT 1'!$B:$B,0)),"")</f>
        <v/>
      </c>
      <c r="AE65">
        <f>IFERROR(INDEX('DRAFT 1'!$Z:$Z,MATCH($B65,'DRAFT 1'!$B:$B,0)),"")</f>
        <v/>
      </c>
      <c r="AF65">
        <f>IFERROR(INDEX('DRAFT 1'!$AA:$AA,MATCH($B65,'DRAFT 1'!$B:$B,0)),"")</f>
        <v/>
      </c>
      <c r="AG65">
        <f>IFERROR(INDEX('DRAFT 1'!$AB:$AB,MATCH($B65,'DRAFT 1'!$B:$B,0)),"")</f>
        <v/>
      </c>
      <c r="AH65">
        <f>IFERROR(INDEX('DRAFT 1'!$AC:$AC,MATCH($B65,'DRAFT 1'!$B:$B,0)),"")</f>
        <v/>
      </c>
      <c r="AI65">
        <f>IFERROR(INDEX('DRAFT 1'!$AD:$AD,MATCH($B65,'DRAFT 1'!$B:$B,0)),"")</f>
        <v/>
      </c>
      <c r="AJ65">
        <f>IFERROR(INDEX('DRAFT 1'!$AE:$AE,MATCH($B65,'DRAFT 1'!$B:$B,0)),"")</f>
        <v/>
      </c>
      <c r="AK65">
        <f>IFERROR(INDEX('DRAFT 1'!$AG:$AG,MATCH($B65,'DRAFT 1'!$B:$B,0)),"")</f>
        <v/>
      </c>
      <c r="AL65">
        <f>IFERROR(INDEX('DRAFT 1'!$AH:$AH,MATCH($B65,'DRAFT 1'!$B:$B,0)),"")</f>
        <v/>
      </c>
      <c r="AM65">
        <f>IFERROR(INDEX('DRAFT 1'!$AI:$AI,MATCH($B65,'DRAFT 1'!$B:$B,0)),"")</f>
        <v/>
      </c>
      <c r="AN65">
        <f>IFERROR(INDEX('DRAFT 1'!$AJ:$AJ,MATCH($B65,'DRAFT 1'!$B:$B,0)),"")</f>
        <v/>
      </c>
      <c r="AO65">
        <f>IFERROR(Y65/AN65,0)</f>
        <v/>
      </c>
      <c r="AP65">
        <f>IFERROR(INDEX('DRAFT 1'!$AK:$AK,MATCH($B65,'DRAFT 1'!$B:$B,0)),"")</f>
        <v/>
      </c>
      <c r="AR65" t="inlineStr">
        <is>
          <t>RECOMPRA</t>
        </is>
      </c>
      <c r="AS65">
        <f>IFERROR(LOOKUP(2,1/('DRAFT 2'!$D:$D=$B65),'DRAFT 2'!$T:$T),"")</f>
        <v/>
      </c>
      <c r="AT65">
        <f>IFERROR(LOOKUP(2,1/('DRAFT 2'!$D:$D=$B65),'DRAFT 2'!$A:$A),"")</f>
        <v/>
      </c>
      <c r="AU65">
        <f>IFERROR(LOOKUP(2,1/('DRAFT 2'!$D:$D=$B65),'DRAFT 2'!$R:$R),"")</f>
        <v/>
      </c>
      <c r="AV65">
        <f>IFERROR(LOOKUP(2,1/('DRAFT 2'!$D:$D=$B65),'DRAFT 2'!$S:$S),"")</f>
        <v/>
      </c>
      <c r="AW65" t="inlineStr">
        <is>
          <t>PROSPECT</t>
        </is>
      </c>
      <c r="AX65">
        <f>IFERROR(LOOKUP(2,1/('DRAFT 2'!$D:$D=$B65),'DRAFT 2'!$M:$M),"")</f>
        <v/>
      </c>
      <c r="AY65">
        <f>IFERROR(LOOKUP(2,1/('DRAFT 2'!$D:$D=$B65),'DRAFT 2'!$K:$K),"")</f>
        <v/>
      </c>
      <c r="BG65">
        <f>IFERROR(LOOKUP(2,1/('DRAFT 2'!$D:$D=$B65),'DRAFT 2'!$U:$U),"")</f>
        <v/>
      </c>
      <c r="BH65">
        <f>IFERROR(LOOKUP(2,1/('DRAFT 2'!$D:$D=$B65),'DRAFT 2'!$V:$V),"")</f>
        <v/>
      </c>
      <c r="CE65">
        <f>IFERROR(AJ65,0)</f>
        <v/>
      </c>
      <c r="CF65">
        <f>IFERROR(LOOKUP(2,1/('DRAFT 2'!$D:$D=$B65)*('DRAFT 2'!$A:$A&gt;=DATE(2026,1,1))*('DRAFT 2'!$A:$A&lt;DATE(2026,IF(1=12,1+1,1+1),1)),'DRAFT 2'!$A:$A),"")</f>
        <v/>
      </c>
      <c r="CG65">
        <f>COUNTIFS('DRAFT 2'!$D:$D,$B65,'DRAFT 2'!$A:$A,"&gt;="&amp;DATE(2026,1,1),'DRAFT 2'!$A:$A,"&lt;="&amp;DATE(2026,1,7))</f>
        <v/>
      </c>
      <c r="CH65">
        <f>COUNTIFS('DRAFT 2'!$D:$D,$B65,'DRAFT 2'!$A:$A,"&gt;="&amp;DATE(2026,1,8),'DRAFT 2'!$A:$A,"&lt;="&amp;DATE(2026,1,14))</f>
        <v/>
      </c>
      <c r="CI65">
        <f>COUNTIFS('DRAFT 2'!$D:$D,$B65,'DRAFT 2'!$A:$A,"&gt;="&amp;DATE(2026,1,15),'DRAFT 2'!$A:$A,"&lt;="&amp;DATE(2026,1,21))</f>
        <v/>
      </c>
      <c r="CJ65">
        <f>COUNTIFS('DRAFT 2'!$D:$D,$B65,'DRAFT 2'!$A:$A,"&gt;="&amp;DATE(2026,1,22),'DRAFT 2'!$A:$A,"&lt;"&amp;DATE(2026,IF(1=12,1+1,1+1),1))</f>
        <v/>
      </c>
      <c r="CK65">
        <f>SUM(CG65:CJ65)</f>
        <v/>
      </c>
      <c r="CT65" t="n">
        <v>0</v>
      </c>
      <c r="CU65">
        <f>IFERROR(LOOKUP(2,1/('DRAFT 2'!$D:$D=$B65)*('DRAFT 2'!$A:$A&gt;=DATE(2026,2,1))*('DRAFT 2'!$A:$A&lt;DATE(2026,IF(2=12,2+1,2+1),1)),'DRAFT 2'!$A:$A),"")</f>
        <v/>
      </c>
      <c r="CV65">
        <f>COUNTIFS('DRAFT 2'!$D:$D,$B65,'DRAFT 2'!$A:$A,"&gt;="&amp;DATE(2026,2,1),'DRAFT 2'!$A:$A,"&lt;="&amp;DATE(2026,2,7))</f>
        <v/>
      </c>
      <c r="CW65">
        <f>COUNTIFS('DRAFT 2'!$D:$D,$B65,'DRAFT 2'!$A:$A,"&gt;="&amp;DATE(2026,2,8),'DRAFT 2'!$A:$A,"&lt;="&amp;DATE(2026,2,14))</f>
        <v/>
      </c>
      <c r="CX65">
        <f>COUNTIFS('DRAFT 2'!$D:$D,$B65,'DRAFT 2'!$A:$A,"&gt;="&amp;DATE(2026,2,15),'DRAFT 2'!$A:$A,"&lt;="&amp;DATE(2026,2,21))</f>
        <v/>
      </c>
      <c r="CY65">
        <f>COUNTIFS('DRAFT 2'!$D:$D,$B65,'DRAFT 2'!$A:$A,"&gt;="&amp;DATE(2026,2,22),'DRAFT 2'!$A:$A,"&lt;"&amp;DATE(2026,IF(2=12,2+1,2+1),1))</f>
        <v/>
      </c>
      <c r="CZ65">
        <f>SUM(CV65:CY65)</f>
        <v/>
      </c>
      <c r="DJ65">
        <f>IFERROR(LOOKUP(2,1/('DRAFT 2'!$D:$D=$B65)*('DRAFT 2'!$A:$A&gt;=DATE(2026,3,1))*('DRAFT 2'!$A:$A&lt;DATE(2026,IF(3=12,3+1,3+1),1)),'DRAFT 2'!$A:$A),"")</f>
        <v/>
      </c>
      <c r="DK65">
        <f>COUNTIFS('DRAFT 2'!$D:$D,$B65,'DRAFT 2'!$A:$A,"&gt;="&amp;DATE(2026,3,1),'DRAFT 2'!$A:$A,"&lt;="&amp;DATE(2026,3,7))</f>
        <v/>
      </c>
      <c r="DL65">
        <f>COUNTIFS('DRAFT 2'!$D:$D,$B65,'DRAFT 2'!$A:$A,"&gt;="&amp;DATE(2026,3,8),'DRAFT 2'!$A:$A,"&lt;="&amp;DATE(2026,3,14))</f>
        <v/>
      </c>
      <c r="DM65">
        <f>COUNTIFS('DRAFT 2'!$D:$D,$B65,'DRAFT 2'!$A:$A,"&gt;="&amp;DATE(2026,3,15),'DRAFT 2'!$A:$A,"&lt;="&amp;DATE(2026,3,21))</f>
        <v/>
      </c>
      <c r="DN65">
        <f>COUNTIFS('DRAFT 2'!$D:$D,$B65,'DRAFT 2'!$A:$A,"&gt;="&amp;DATE(2026,3,22),'DRAFT 2'!$A:$A,"&lt;"&amp;DATE(2026,IF(3=12,3+1,3+1),1))</f>
        <v/>
      </c>
      <c r="DO65">
        <f>SUM(DK65:DN65)</f>
        <v/>
      </c>
      <c r="DZ65">
        <f>IFERROR(LOOKUP(2,1/('DRAFT 2'!$D:$D=$B65)*('DRAFT 2'!$A:$A&gt;=DATE(2026,4,1))*('DRAFT 2'!$A:$A&lt;DATE(2026,IF(4=12,4+1,4+1),1)),'DRAFT 2'!$A:$A),"")</f>
        <v/>
      </c>
      <c r="EA65">
        <f>COUNTIFS('DRAFT 2'!$D:$D,$B65,'DRAFT 2'!$A:$A,"&gt;="&amp;DATE(2026,4,1),'DRAFT 2'!$A:$A,"&lt;="&amp;DATE(2026,4,7))</f>
        <v/>
      </c>
      <c r="EB65">
        <f>COUNTIFS('DRAFT 2'!$D:$D,$B65,'DRAFT 2'!$A:$A,"&gt;="&amp;DATE(2026,4,8),'DRAFT 2'!$A:$A,"&lt;="&amp;DATE(2026,4,14))</f>
        <v/>
      </c>
      <c r="EC65">
        <f>COUNTIFS('DRAFT 2'!$D:$D,$B65,'DRAFT 2'!$A:$A,"&gt;="&amp;DATE(2026,4,15),'DRAFT 2'!$A:$A,"&lt;="&amp;DATE(2026,4,21))</f>
        <v/>
      </c>
      <c r="ED65">
        <f>COUNTIFS('DRAFT 2'!$D:$D,$B65,'DRAFT 2'!$A:$A,"&gt;="&amp;DATE(2026,4,22),'DRAFT 2'!$A:$A,"&lt;"&amp;DATE(2026,IF(4=12,4+1,4+1),1))</f>
        <v/>
      </c>
      <c r="EE65">
        <f>SUM(EA65:ED65)</f>
        <v/>
      </c>
      <c r="EO65">
        <f>IFERROR(LOOKUP(2,1/('DRAFT 2'!$D:$D=$B65)*('DRAFT 2'!$A:$A&gt;=DATE(2026,5,1))*('DRAFT 2'!$A:$A&lt;DATE(2026,IF(5=12,5+1,5+1),1)),'DRAFT 2'!$A:$A),"")</f>
        <v/>
      </c>
      <c r="EP65">
        <f>COUNTIFS('DRAFT 2'!$D:$D,$B65,'DRAFT 2'!$A:$A,"&gt;="&amp;DATE(2026,5,1),'DRAFT 2'!$A:$A,"&lt;="&amp;DATE(2026,5,7))</f>
        <v/>
      </c>
      <c r="EQ65">
        <f>COUNTIFS('DRAFT 2'!$D:$D,$B65,'DRAFT 2'!$A:$A,"&gt;="&amp;DATE(2026,5,8),'DRAFT 2'!$A:$A,"&lt;="&amp;DATE(2026,5,14))</f>
        <v/>
      </c>
      <c r="ER65">
        <f>COUNTIFS('DRAFT 2'!$D:$D,$B65,'DRAFT 2'!$A:$A,"&gt;="&amp;DATE(2026,5,15),'DRAFT 2'!$A:$A,"&lt;="&amp;DATE(2026,5,21))</f>
        <v/>
      </c>
      <c r="ES65">
        <f>COUNTIFS('DRAFT 2'!$D:$D,$B65,'DRAFT 2'!$A:$A,"&gt;="&amp;DATE(2026,5,22),'DRAFT 2'!$A:$A,"&lt;"&amp;DATE(2026,IF(5=12,5+1,5+1),1))</f>
        <v/>
      </c>
      <c r="ET65">
        <f>SUM(EP65:ES65)</f>
        <v/>
      </c>
      <c r="FD65">
        <f>IFERROR(LOOKUP(2,1/('DRAFT 2'!$D:$D=$B65)*('DRAFT 2'!$A:$A&gt;=DATE(2026,6,1))*('DRAFT 2'!$A:$A&lt;DATE(2026,IF(6=12,6+1,6+1),1)),'DRAFT 2'!$A:$A),"")</f>
        <v/>
      </c>
      <c r="FE65">
        <f>COUNTIFS('DRAFT 2'!$D:$D,$B65,'DRAFT 2'!$A:$A,"&gt;="&amp;DATE(2026,6,1),'DRAFT 2'!$A:$A,"&lt;="&amp;DATE(2026,6,7))</f>
        <v/>
      </c>
      <c r="FF65">
        <f>COUNTIFS('DRAFT 2'!$D:$D,$B65,'DRAFT 2'!$A:$A,"&gt;="&amp;DATE(2026,6,8),'DRAFT 2'!$A:$A,"&lt;="&amp;DATE(2026,6,14))</f>
        <v/>
      </c>
      <c r="FG65">
        <f>COUNTIFS('DRAFT 2'!$D:$D,$B65,'DRAFT 2'!$A:$A,"&gt;="&amp;DATE(2026,6,15),'DRAFT 2'!$A:$A,"&lt;="&amp;DATE(2026,6,21))</f>
        <v/>
      </c>
      <c r="FH65">
        <f>COUNTIFS('DRAFT 2'!$D:$D,$B65,'DRAFT 2'!$A:$A,"&gt;="&amp;DATE(2026,6,22),'DRAFT 2'!$A:$A,"&lt;"&amp;DATE(2026,IF(6=12,6+1,6+1),1))</f>
        <v/>
      </c>
      <c r="FI65">
        <f>SUM(FE65:FH65)</f>
        <v/>
      </c>
      <c r="FT65">
        <f>IFERROR(LOOKUP(2,1/('DRAFT 2'!$D:$D=$B65)*('DRAFT 2'!$A:$A&gt;=DATE(2026,7,1))*('DRAFT 2'!$A:$A&lt;DATE(2026,IF(7=12,7+1,7+1),1)),'DRAFT 2'!$A:$A),"")</f>
        <v/>
      </c>
      <c r="FU65">
        <f>COUNTIFS('DRAFT 2'!$D:$D,$B65,'DRAFT 2'!$A:$A,"&gt;="&amp;DATE(2026,7,1),'DRAFT 2'!$A:$A,"&lt;="&amp;DATE(2026,7,7))</f>
        <v/>
      </c>
      <c r="FV65">
        <f>COUNTIFS('DRAFT 2'!$D:$D,$B65,'DRAFT 2'!$A:$A,"&gt;="&amp;DATE(2026,7,8),'DRAFT 2'!$A:$A,"&lt;="&amp;DATE(2026,7,14))</f>
        <v/>
      </c>
      <c r="FW65">
        <f>COUNTIFS('DRAFT 2'!$D:$D,$B65,'DRAFT 2'!$A:$A,"&gt;="&amp;DATE(2026,7,15),'DRAFT 2'!$A:$A,"&lt;="&amp;DATE(2026,7,21))</f>
        <v/>
      </c>
      <c r="FX65">
        <f>COUNTIFS('DRAFT 2'!$D:$D,$B65,'DRAFT 2'!$A:$A,"&gt;="&amp;DATE(2026,7,22),'DRAFT 2'!$A:$A,"&lt;"&amp;DATE(2026,IF(7=12,7+1,7+1),1))</f>
        <v/>
      </c>
      <c r="FY65">
        <f>SUM(FU65:FX65)</f>
        <v/>
      </c>
      <c r="GI65">
        <f>IFERROR(LOOKUP(2,1/('DRAFT 2'!$D:$D=$B65)*('DRAFT 2'!$A:$A&gt;=DATE(2026,8,1))*('DRAFT 2'!$A:$A&lt;DATE(2026,IF(8=12,8+1,8+1),1)),'DRAFT 2'!$A:$A),"")</f>
        <v/>
      </c>
      <c r="GJ65">
        <f>COUNTIFS('DRAFT 2'!$D:$D,$B65,'DRAFT 2'!$A:$A,"&gt;="&amp;DATE(2026,8,1),'DRAFT 2'!$A:$A,"&lt;="&amp;DATE(2026,8,7))</f>
        <v/>
      </c>
      <c r="GK65">
        <f>COUNTIFS('DRAFT 2'!$D:$D,$B65,'DRAFT 2'!$A:$A,"&gt;="&amp;DATE(2026,8,8),'DRAFT 2'!$A:$A,"&lt;="&amp;DATE(2026,8,14))</f>
        <v/>
      </c>
      <c r="GL65">
        <f>COUNTIFS('DRAFT 2'!$D:$D,$B65,'DRAFT 2'!$A:$A,"&gt;="&amp;DATE(2026,8,15),'DRAFT 2'!$A:$A,"&lt;="&amp;DATE(2026,8,21))</f>
        <v/>
      </c>
      <c r="GM65">
        <f>COUNTIFS('DRAFT 2'!$D:$D,$B65,'DRAFT 2'!$A:$A,"&gt;="&amp;DATE(2026,8,22),'DRAFT 2'!$A:$A,"&lt;"&amp;DATE(2026,IF(8=12,8+1,8+1),1))</f>
        <v/>
      </c>
      <c r="GN65">
        <f>SUM(GJ65:GM65)</f>
        <v/>
      </c>
      <c r="GX65">
        <f>IFERROR(LOOKUP(2,1/('DRAFT 2'!$D:$D=$B65)*('DRAFT 2'!$A:$A&gt;=DATE(2026,9,1))*('DRAFT 2'!$A:$A&lt;DATE(2026,IF(9=12,9+1,9+1),1)),'DRAFT 2'!$A:$A),"")</f>
        <v/>
      </c>
      <c r="GY65">
        <f>COUNTIFS('DRAFT 2'!$D:$D,$B65,'DRAFT 2'!$A:$A,"&gt;="&amp;DATE(2026,9,1),'DRAFT 2'!$A:$A,"&lt;="&amp;DATE(2026,9,7))</f>
        <v/>
      </c>
      <c r="GZ65">
        <f>COUNTIFS('DRAFT 2'!$D:$D,$B65,'DRAFT 2'!$A:$A,"&gt;="&amp;DATE(2026,9,8),'DRAFT 2'!$A:$A,"&lt;="&amp;DATE(2026,9,14))</f>
        <v/>
      </c>
      <c r="HA65">
        <f>COUNTIFS('DRAFT 2'!$D:$D,$B65,'DRAFT 2'!$A:$A,"&gt;="&amp;DATE(2026,9,15),'DRAFT 2'!$A:$A,"&lt;="&amp;DATE(2026,9,21))</f>
        <v/>
      </c>
      <c r="HB65">
        <f>COUNTIFS('DRAFT 2'!$D:$D,$B65,'DRAFT 2'!$A:$A,"&gt;="&amp;DATE(2026,9,22),'DRAFT 2'!$A:$A,"&lt;"&amp;DATE(2026,IF(9=12,9+1,9+1),1))</f>
        <v/>
      </c>
      <c r="HC65">
        <f>SUM(GY65:HB65)</f>
        <v/>
      </c>
      <c r="HN65">
        <f>IFERROR(LOOKUP(2,1/('DRAFT 2'!$D:$D=$B65)*('DRAFT 2'!$A:$A&gt;=DATE(2026,10,1))*('DRAFT 2'!$A:$A&lt;DATE(2026,IF(10=12,10+1,10+1),1)),'DRAFT 2'!$A:$A),"")</f>
        <v/>
      </c>
      <c r="HO65">
        <f>COUNTIFS('DRAFT 2'!$D:$D,$B65,'DRAFT 2'!$A:$A,"&gt;="&amp;DATE(2026,10,1),'DRAFT 2'!$A:$A,"&lt;="&amp;DATE(2026,10,7))</f>
        <v/>
      </c>
      <c r="HP65">
        <f>COUNTIFS('DRAFT 2'!$D:$D,$B65,'DRAFT 2'!$A:$A,"&gt;="&amp;DATE(2026,10,8),'DRAFT 2'!$A:$A,"&lt;="&amp;DATE(2026,10,14))</f>
        <v/>
      </c>
      <c r="HQ65">
        <f>COUNTIFS('DRAFT 2'!$D:$D,$B65,'DRAFT 2'!$A:$A,"&gt;="&amp;DATE(2026,10,15),'DRAFT 2'!$A:$A,"&lt;="&amp;DATE(2026,10,21))</f>
        <v/>
      </c>
      <c r="HR65">
        <f>COUNTIFS('DRAFT 2'!$D:$D,$B65,'DRAFT 2'!$A:$A,"&gt;="&amp;DATE(2026,10,22),'DRAFT 2'!$A:$A,"&lt;"&amp;DATE(2026,IF(10=12,10+1,10+1),1))</f>
        <v/>
      </c>
      <c r="HS65">
        <f>SUM(HO65:HR65)</f>
        <v/>
      </c>
      <c r="IC65">
        <f>IFERROR(LOOKUP(2,1/('DRAFT 2'!$D:$D=$B65)*('DRAFT 2'!$A:$A&gt;=DATE(2026,11,1))*('DRAFT 2'!$A:$A&lt;DATE(2026,IF(11=12,11+1,11+1),1)),'DRAFT 2'!$A:$A),"")</f>
        <v/>
      </c>
      <c r="ID65">
        <f>COUNTIFS('DRAFT 2'!$D:$D,$B65,'DRAFT 2'!$A:$A,"&gt;="&amp;DATE(2026,11,1),'DRAFT 2'!$A:$A,"&lt;="&amp;DATE(2026,11,7))</f>
        <v/>
      </c>
      <c r="IE65">
        <f>COUNTIFS('DRAFT 2'!$D:$D,$B65,'DRAFT 2'!$A:$A,"&gt;="&amp;DATE(2026,11,8),'DRAFT 2'!$A:$A,"&lt;="&amp;DATE(2026,11,14))</f>
        <v/>
      </c>
      <c r="IF65">
        <f>COUNTIFS('DRAFT 2'!$D:$D,$B65,'DRAFT 2'!$A:$A,"&gt;="&amp;DATE(2026,11,15),'DRAFT 2'!$A:$A,"&lt;="&amp;DATE(2026,11,21))</f>
        <v/>
      </c>
      <c r="IG65">
        <f>COUNTIFS('DRAFT 2'!$D:$D,$B65,'DRAFT 2'!$A:$A,"&gt;="&amp;DATE(2026,11,22),'DRAFT 2'!$A:$A,"&lt;"&amp;DATE(2026,IF(11=12,11+1,11+1),1))</f>
        <v/>
      </c>
      <c r="IH65">
        <f>SUM(ID65:IG65)</f>
        <v/>
      </c>
      <c r="IR65">
        <f>IFERROR(LOOKUP(2,1/('DRAFT 2'!$D:$D=$B65)*('DRAFT 2'!$A:$A&gt;=DATE(2026,12,1))*('DRAFT 2'!$A:$A&lt;DATE(2026,IF(12=12,12+1,12+1),1)),'DRAFT 2'!$A:$A),"")</f>
        <v/>
      </c>
      <c r="IS65">
        <f>COUNTIFS('DRAFT 2'!$D:$D,$B65,'DRAFT 2'!$A:$A,"&gt;="&amp;DATE(2026,12,1),'DRAFT 2'!$A:$A,"&lt;="&amp;DATE(2026,12,7))</f>
        <v/>
      </c>
      <c r="IT65">
        <f>COUNTIFS('DRAFT 2'!$D:$D,$B65,'DRAFT 2'!$A:$A,"&gt;="&amp;DATE(2026,12,8),'DRAFT 2'!$A:$A,"&lt;="&amp;DATE(2026,12,14))</f>
        <v/>
      </c>
      <c r="IU65">
        <f>COUNTIFS('DRAFT 2'!$D:$D,$B65,'DRAFT 2'!$A:$A,"&gt;="&amp;DATE(2026,12,15),'DRAFT 2'!$A:$A,"&lt;="&amp;DATE(2026,12,21))</f>
        <v/>
      </c>
      <c r="IV65">
        <f>COUNTIFS('DRAFT 2'!$D:$D,$B65,'DRAFT 2'!$A:$A,"&gt;="&amp;DATE(2026,12,22),'DRAFT 2'!$A:$A,"&lt;"&amp;DATE(2026,IF(12=12,12+1,12+1),1))</f>
        <v/>
      </c>
      <c r="IW65">
        <f>SUM(IS65:IV65)</f>
        <v/>
      </c>
    </row>
    <row r="66">
      <c r="A66">
        <f>IFERROR(INDEX('DRAFT 1'!$A:$A,MATCH($B66,'DRAFT 1'!$B:$B,0)),"")</f>
        <v/>
      </c>
      <c r="C66">
        <f>IFERROR(INDEX('DRAFT 1'!$C:$C,MATCH($B66,'DRAFT 1'!$B:$B,0)),"")</f>
        <v/>
      </c>
      <c r="D66">
        <f>IFERROR(INDEX('DRAFT 1'!$D:$D,MATCH($B66,'DRAFT 1'!$B:$B,0)),"")</f>
        <v/>
      </c>
      <c r="E66">
        <f>IFERROR(INDEX('DRAFT 1'!$E:$E,MATCH($B66,'DRAFT 1'!$B:$B,0)),"")</f>
        <v/>
      </c>
      <c r="F66">
        <f>IFERROR(INDEX('DRAFT 1'!$F:$F,MATCH($B66,'DRAFT 1'!$B:$B,0)),"")</f>
        <v/>
      </c>
      <c r="G66">
        <f>IFERROR(INDEX('DRAFT 1'!$G:$G,MATCH($B66,'DRAFT 1'!$B:$B,0)),"")</f>
        <v/>
      </c>
      <c r="H66">
        <f>IFERROR(INDEX('DRAFT 1'!$H:$H,MATCH($B66,'DRAFT 1'!$B:$B,0)),"")</f>
        <v/>
      </c>
      <c r="I66" t="inlineStr">
        <is>
          <t>DIVINA TERRA</t>
        </is>
      </c>
      <c r="K66">
        <f>IFERROR(INDEX('DRAFT 1'!$AL:$AL,MATCH($B66,'DRAFT 1'!$B:$B,0)),"")</f>
        <v/>
      </c>
      <c r="L66">
        <f>IFERROR(INDEX('DRAFT 1'!$J:$J,MATCH($B66,'DRAFT 1'!$B:$B,0)),"")</f>
        <v/>
      </c>
      <c r="M66">
        <f>IFERROR(INDEX('DRAFT 1'!$K:$K,MATCH($B66,'DRAFT 1'!$B:$B,0)),"")</f>
        <v/>
      </c>
      <c r="N66" t="inlineStr">
        <is>
          <t>NOVO</t>
        </is>
      </c>
      <c r="P66">
        <f>IFERROR(INDEX('DRAFT 1'!$L:$L,MATCH($B66,'DRAFT 1'!$B:$B,0)),"")</f>
        <v/>
      </c>
      <c r="Q66">
        <f>IFERROR(INDEX('DRAFT 1'!$M:$M,MATCH($B66,'DRAFT 1'!$B:$B,0)),"")</f>
        <v/>
      </c>
      <c r="R66">
        <f>IFERROR(INDEX('DRAFT 1'!$N:$N,MATCH($B66,'DRAFT 1'!$B:$B,0)),"")</f>
        <v/>
      </c>
      <c r="S66">
        <f>IFERROR(INDEX('DRAFT 1'!$O:$O,MATCH($B66,'DRAFT 1'!$B:$B,0)),"")</f>
        <v/>
      </c>
      <c r="T66">
        <f>IFERROR(INDEX('DRAFT 1'!$P:$P,MATCH($B66,'DRAFT 1'!$B:$B,0)),"")</f>
        <v/>
      </c>
      <c r="U66">
        <f>IFERROR(INDEX('DRAFT 1'!$Q:$Q,MATCH($B66,'DRAFT 1'!$B:$B,0)),"")</f>
        <v/>
      </c>
      <c r="V66">
        <f>IFERROR(INDEX('DRAFT 1'!$R:$R,MATCH($B66,'DRAFT 1'!$B:$B,0)),"")</f>
        <v/>
      </c>
      <c r="W66">
        <f>IFERROR(INDEX('DRAFT 1'!$S:$S,MATCH($B66,'DRAFT 1'!$B:$B,0)),"")</f>
        <v/>
      </c>
      <c r="X66">
        <f>IFERROR(INDEX('DRAFT 1'!$T:$T,MATCH($B66,'DRAFT 1'!$B:$B,0)),"")</f>
        <v/>
      </c>
      <c r="Z66">
        <f>IFERROR(INDEX('DRAFT 1'!$U:$U,MATCH($B66,'DRAFT 1'!$B:$B,0)),"")</f>
        <v/>
      </c>
      <c r="AA66">
        <f>IFERROR(INDEX('DRAFT 1'!$V:$V,MATCH($B66,'DRAFT 1'!$B:$B,0)),"")</f>
        <v/>
      </c>
      <c r="AB66">
        <f>IFERROR(INDEX('DRAFT 1'!$W:$W,MATCH($B66,'DRAFT 1'!$B:$B,0)),"")</f>
        <v/>
      </c>
      <c r="AC66">
        <f>IFERROR(INDEX('DRAFT 1'!$X:$X,MATCH($B66,'DRAFT 1'!$B:$B,0)),"")</f>
        <v/>
      </c>
      <c r="AD66">
        <f>IFERROR(INDEX('DRAFT 1'!$Y:$Y,MATCH($B66,'DRAFT 1'!$B:$B,0)),"")</f>
        <v/>
      </c>
      <c r="AE66">
        <f>IFERROR(INDEX('DRAFT 1'!$Z:$Z,MATCH($B66,'DRAFT 1'!$B:$B,0)),"")</f>
        <v/>
      </c>
      <c r="AF66">
        <f>IFERROR(INDEX('DRAFT 1'!$AA:$AA,MATCH($B66,'DRAFT 1'!$B:$B,0)),"")</f>
        <v/>
      </c>
      <c r="AG66">
        <f>IFERROR(INDEX('DRAFT 1'!$AB:$AB,MATCH($B66,'DRAFT 1'!$B:$B,0)),"")</f>
        <v/>
      </c>
      <c r="AH66">
        <f>IFERROR(INDEX('DRAFT 1'!$AC:$AC,MATCH($B66,'DRAFT 1'!$B:$B,0)),"")</f>
        <v/>
      </c>
      <c r="AI66">
        <f>IFERROR(INDEX('DRAFT 1'!$AD:$AD,MATCH($B66,'DRAFT 1'!$B:$B,0)),"")</f>
        <v/>
      </c>
      <c r="AJ66">
        <f>IFERROR(INDEX('DRAFT 1'!$AE:$AE,MATCH($B66,'DRAFT 1'!$B:$B,0)),"")</f>
        <v/>
      </c>
      <c r="AK66">
        <f>IFERROR(INDEX('DRAFT 1'!$AG:$AG,MATCH($B66,'DRAFT 1'!$B:$B,0)),"")</f>
        <v/>
      </c>
      <c r="AL66">
        <f>IFERROR(INDEX('DRAFT 1'!$AH:$AH,MATCH($B66,'DRAFT 1'!$B:$B,0)),"")</f>
        <v/>
      </c>
      <c r="AM66">
        <f>IFERROR(INDEX('DRAFT 1'!$AI:$AI,MATCH($B66,'DRAFT 1'!$B:$B,0)),"")</f>
        <v/>
      </c>
      <c r="AN66">
        <f>IFERROR(INDEX('DRAFT 1'!$AJ:$AJ,MATCH($B66,'DRAFT 1'!$B:$B,0)),"")</f>
        <v/>
      </c>
      <c r="AO66">
        <f>IFERROR(Y66/AN66,0)</f>
        <v/>
      </c>
      <c r="AP66">
        <f>IFERROR(INDEX('DRAFT 1'!$AK:$AK,MATCH($B66,'DRAFT 1'!$B:$B,0)),"")</f>
        <v/>
      </c>
      <c r="AR66" t="inlineStr">
        <is>
          <t>PÓS-VENDA</t>
        </is>
      </c>
      <c r="AS66">
        <f>IFERROR(LOOKUP(2,1/('DRAFT 2'!$D:$D=$B66),'DRAFT 2'!$T:$T),"")</f>
        <v/>
      </c>
      <c r="AT66">
        <f>IFERROR(LOOKUP(2,1/('DRAFT 2'!$D:$D=$B66),'DRAFT 2'!$A:$A),"")</f>
        <v/>
      </c>
      <c r="AU66">
        <f>IFERROR(LOOKUP(2,1/('DRAFT 2'!$D:$D=$B66),'DRAFT 2'!$R:$R),"")</f>
        <v/>
      </c>
      <c r="AV66">
        <f>IFERROR(LOOKUP(2,1/('DRAFT 2'!$D:$D=$B66),'DRAFT 2'!$S:$S),"")</f>
        <v/>
      </c>
      <c r="AW66" t="inlineStr">
        <is>
          <t>NOVO</t>
        </is>
      </c>
      <c r="AX66">
        <f>IFERROR(LOOKUP(2,1/('DRAFT 2'!$D:$D=$B66),'DRAFT 2'!$M:$M),"")</f>
        <v/>
      </c>
      <c r="AY66">
        <f>IFERROR(LOOKUP(2,1/('DRAFT 2'!$D:$D=$B66),'DRAFT 2'!$K:$K),"")</f>
        <v/>
      </c>
      <c r="BG66">
        <f>IFERROR(LOOKUP(2,1/('DRAFT 2'!$D:$D=$B66),'DRAFT 2'!$U:$U),"")</f>
        <v/>
      </c>
      <c r="BH66">
        <f>IFERROR(LOOKUP(2,1/('DRAFT 2'!$D:$D=$B66),'DRAFT 2'!$V:$V),"")</f>
        <v/>
      </c>
      <c r="CE66">
        <f>IFERROR(AJ66,0)</f>
        <v/>
      </c>
      <c r="CF66">
        <f>IFERROR(LOOKUP(2,1/('DRAFT 2'!$D:$D=$B66)*('DRAFT 2'!$A:$A&gt;=DATE(2026,1,1))*('DRAFT 2'!$A:$A&lt;DATE(2026,IF(1=12,1+1,1+1),1)),'DRAFT 2'!$A:$A),"")</f>
        <v/>
      </c>
      <c r="CG66">
        <f>COUNTIFS('DRAFT 2'!$D:$D,$B66,'DRAFT 2'!$A:$A,"&gt;="&amp;DATE(2026,1,1),'DRAFT 2'!$A:$A,"&lt;="&amp;DATE(2026,1,7))</f>
        <v/>
      </c>
      <c r="CH66">
        <f>COUNTIFS('DRAFT 2'!$D:$D,$B66,'DRAFT 2'!$A:$A,"&gt;="&amp;DATE(2026,1,8),'DRAFT 2'!$A:$A,"&lt;="&amp;DATE(2026,1,14))</f>
        <v/>
      </c>
      <c r="CI66">
        <f>COUNTIFS('DRAFT 2'!$D:$D,$B66,'DRAFT 2'!$A:$A,"&gt;="&amp;DATE(2026,1,15),'DRAFT 2'!$A:$A,"&lt;="&amp;DATE(2026,1,21))</f>
        <v/>
      </c>
      <c r="CJ66">
        <f>COUNTIFS('DRAFT 2'!$D:$D,$B66,'DRAFT 2'!$A:$A,"&gt;="&amp;DATE(2026,1,22),'DRAFT 2'!$A:$A,"&lt;"&amp;DATE(2026,IF(1=12,1+1,1+1),1))</f>
        <v/>
      </c>
      <c r="CK66">
        <f>SUM(CG66:CJ66)</f>
        <v/>
      </c>
      <c r="CT66" t="n">
        <v>0</v>
      </c>
      <c r="CU66">
        <f>IFERROR(LOOKUP(2,1/('DRAFT 2'!$D:$D=$B66)*('DRAFT 2'!$A:$A&gt;=DATE(2026,2,1))*('DRAFT 2'!$A:$A&lt;DATE(2026,IF(2=12,2+1,2+1),1)),'DRAFT 2'!$A:$A),"")</f>
        <v/>
      </c>
      <c r="CV66">
        <f>COUNTIFS('DRAFT 2'!$D:$D,$B66,'DRAFT 2'!$A:$A,"&gt;="&amp;DATE(2026,2,1),'DRAFT 2'!$A:$A,"&lt;="&amp;DATE(2026,2,7))</f>
        <v/>
      </c>
      <c r="CW66">
        <f>COUNTIFS('DRAFT 2'!$D:$D,$B66,'DRAFT 2'!$A:$A,"&gt;="&amp;DATE(2026,2,8),'DRAFT 2'!$A:$A,"&lt;="&amp;DATE(2026,2,14))</f>
        <v/>
      </c>
      <c r="CX66">
        <f>COUNTIFS('DRAFT 2'!$D:$D,$B66,'DRAFT 2'!$A:$A,"&gt;="&amp;DATE(2026,2,15),'DRAFT 2'!$A:$A,"&lt;="&amp;DATE(2026,2,21))</f>
        <v/>
      </c>
      <c r="CY66">
        <f>COUNTIFS('DRAFT 2'!$D:$D,$B66,'DRAFT 2'!$A:$A,"&gt;="&amp;DATE(2026,2,22),'DRAFT 2'!$A:$A,"&lt;"&amp;DATE(2026,IF(2=12,2+1,2+1),1))</f>
        <v/>
      </c>
      <c r="CZ66">
        <f>SUM(CV66:CY66)</f>
        <v/>
      </c>
      <c r="DJ66">
        <f>IFERROR(LOOKUP(2,1/('DRAFT 2'!$D:$D=$B66)*('DRAFT 2'!$A:$A&gt;=DATE(2026,3,1))*('DRAFT 2'!$A:$A&lt;DATE(2026,IF(3=12,3+1,3+1),1)),'DRAFT 2'!$A:$A),"")</f>
        <v/>
      </c>
      <c r="DK66">
        <f>COUNTIFS('DRAFT 2'!$D:$D,$B66,'DRAFT 2'!$A:$A,"&gt;="&amp;DATE(2026,3,1),'DRAFT 2'!$A:$A,"&lt;="&amp;DATE(2026,3,7))</f>
        <v/>
      </c>
      <c r="DL66">
        <f>COUNTIFS('DRAFT 2'!$D:$D,$B66,'DRAFT 2'!$A:$A,"&gt;="&amp;DATE(2026,3,8),'DRAFT 2'!$A:$A,"&lt;="&amp;DATE(2026,3,14))</f>
        <v/>
      </c>
      <c r="DM66">
        <f>COUNTIFS('DRAFT 2'!$D:$D,$B66,'DRAFT 2'!$A:$A,"&gt;="&amp;DATE(2026,3,15),'DRAFT 2'!$A:$A,"&lt;="&amp;DATE(2026,3,21))</f>
        <v/>
      </c>
      <c r="DN66">
        <f>COUNTIFS('DRAFT 2'!$D:$D,$B66,'DRAFT 2'!$A:$A,"&gt;="&amp;DATE(2026,3,22),'DRAFT 2'!$A:$A,"&lt;"&amp;DATE(2026,IF(3=12,3+1,3+1),1))</f>
        <v/>
      </c>
      <c r="DO66">
        <f>SUM(DK66:DN66)</f>
        <v/>
      </c>
      <c r="DZ66">
        <f>IFERROR(LOOKUP(2,1/('DRAFT 2'!$D:$D=$B66)*('DRAFT 2'!$A:$A&gt;=DATE(2026,4,1))*('DRAFT 2'!$A:$A&lt;DATE(2026,IF(4=12,4+1,4+1),1)),'DRAFT 2'!$A:$A),"")</f>
        <v/>
      </c>
      <c r="EA66">
        <f>COUNTIFS('DRAFT 2'!$D:$D,$B66,'DRAFT 2'!$A:$A,"&gt;="&amp;DATE(2026,4,1),'DRAFT 2'!$A:$A,"&lt;="&amp;DATE(2026,4,7))</f>
        <v/>
      </c>
      <c r="EB66">
        <f>COUNTIFS('DRAFT 2'!$D:$D,$B66,'DRAFT 2'!$A:$A,"&gt;="&amp;DATE(2026,4,8),'DRAFT 2'!$A:$A,"&lt;="&amp;DATE(2026,4,14))</f>
        <v/>
      </c>
      <c r="EC66">
        <f>COUNTIFS('DRAFT 2'!$D:$D,$B66,'DRAFT 2'!$A:$A,"&gt;="&amp;DATE(2026,4,15),'DRAFT 2'!$A:$A,"&lt;="&amp;DATE(2026,4,21))</f>
        <v/>
      </c>
      <c r="ED66">
        <f>COUNTIFS('DRAFT 2'!$D:$D,$B66,'DRAFT 2'!$A:$A,"&gt;="&amp;DATE(2026,4,22),'DRAFT 2'!$A:$A,"&lt;"&amp;DATE(2026,IF(4=12,4+1,4+1),1))</f>
        <v/>
      </c>
      <c r="EE66">
        <f>SUM(EA66:ED66)</f>
        <v/>
      </c>
      <c r="EO66">
        <f>IFERROR(LOOKUP(2,1/('DRAFT 2'!$D:$D=$B66)*('DRAFT 2'!$A:$A&gt;=DATE(2026,5,1))*('DRAFT 2'!$A:$A&lt;DATE(2026,IF(5=12,5+1,5+1),1)),'DRAFT 2'!$A:$A),"")</f>
        <v/>
      </c>
      <c r="EP66">
        <f>COUNTIFS('DRAFT 2'!$D:$D,$B66,'DRAFT 2'!$A:$A,"&gt;="&amp;DATE(2026,5,1),'DRAFT 2'!$A:$A,"&lt;="&amp;DATE(2026,5,7))</f>
        <v/>
      </c>
      <c r="EQ66">
        <f>COUNTIFS('DRAFT 2'!$D:$D,$B66,'DRAFT 2'!$A:$A,"&gt;="&amp;DATE(2026,5,8),'DRAFT 2'!$A:$A,"&lt;="&amp;DATE(2026,5,14))</f>
        <v/>
      </c>
      <c r="ER66">
        <f>COUNTIFS('DRAFT 2'!$D:$D,$B66,'DRAFT 2'!$A:$A,"&gt;="&amp;DATE(2026,5,15),'DRAFT 2'!$A:$A,"&lt;="&amp;DATE(2026,5,21))</f>
        <v/>
      </c>
      <c r="ES66">
        <f>COUNTIFS('DRAFT 2'!$D:$D,$B66,'DRAFT 2'!$A:$A,"&gt;="&amp;DATE(2026,5,22),'DRAFT 2'!$A:$A,"&lt;"&amp;DATE(2026,IF(5=12,5+1,5+1),1))</f>
        <v/>
      </c>
      <c r="ET66">
        <f>SUM(EP66:ES66)</f>
        <v/>
      </c>
      <c r="FD66">
        <f>IFERROR(LOOKUP(2,1/('DRAFT 2'!$D:$D=$B66)*('DRAFT 2'!$A:$A&gt;=DATE(2026,6,1))*('DRAFT 2'!$A:$A&lt;DATE(2026,IF(6=12,6+1,6+1),1)),'DRAFT 2'!$A:$A),"")</f>
        <v/>
      </c>
      <c r="FE66">
        <f>COUNTIFS('DRAFT 2'!$D:$D,$B66,'DRAFT 2'!$A:$A,"&gt;="&amp;DATE(2026,6,1),'DRAFT 2'!$A:$A,"&lt;="&amp;DATE(2026,6,7))</f>
        <v/>
      </c>
      <c r="FF66">
        <f>COUNTIFS('DRAFT 2'!$D:$D,$B66,'DRAFT 2'!$A:$A,"&gt;="&amp;DATE(2026,6,8),'DRAFT 2'!$A:$A,"&lt;="&amp;DATE(2026,6,14))</f>
        <v/>
      </c>
      <c r="FG66">
        <f>COUNTIFS('DRAFT 2'!$D:$D,$B66,'DRAFT 2'!$A:$A,"&gt;="&amp;DATE(2026,6,15),'DRAFT 2'!$A:$A,"&lt;="&amp;DATE(2026,6,21))</f>
        <v/>
      </c>
      <c r="FH66">
        <f>COUNTIFS('DRAFT 2'!$D:$D,$B66,'DRAFT 2'!$A:$A,"&gt;="&amp;DATE(2026,6,22),'DRAFT 2'!$A:$A,"&lt;"&amp;DATE(2026,IF(6=12,6+1,6+1),1))</f>
        <v/>
      </c>
      <c r="FI66">
        <f>SUM(FE66:FH66)</f>
        <v/>
      </c>
      <c r="FT66">
        <f>IFERROR(LOOKUP(2,1/('DRAFT 2'!$D:$D=$B66)*('DRAFT 2'!$A:$A&gt;=DATE(2026,7,1))*('DRAFT 2'!$A:$A&lt;DATE(2026,IF(7=12,7+1,7+1),1)),'DRAFT 2'!$A:$A),"")</f>
        <v/>
      </c>
      <c r="FU66">
        <f>COUNTIFS('DRAFT 2'!$D:$D,$B66,'DRAFT 2'!$A:$A,"&gt;="&amp;DATE(2026,7,1),'DRAFT 2'!$A:$A,"&lt;="&amp;DATE(2026,7,7))</f>
        <v/>
      </c>
      <c r="FV66">
        <f>COUNTIFS('DRAFT 2'!$D:$D,$B66,'DRAFT 2'!$A:$A,"&gt;="&amp;DATE(2026,7,8),'DRAFT 2'!$A:$A,"&lt;="&amp;DATE(2026,7,14))</f>
        <v/>
      </c>
      <c r="FW66">
        <f>COUNTIFS('DRAFT 2'!$D:$D,$B66,'DRAFT 2'!$A:$A,"&gt;="&amp;DATE(2026,7,15),'DRAFT 2'!$A:$A,"&lt;="&amp;DATE(2026,7,21))</f>
        <v/>
      </c>
      <c r="FX66">
        <f>COUNTIFS('DRAFT 2'!$D:$D,$B66,'DRAFT 2'!$A:$A,"&gt;="&amp;DATE(2026,7,22),'DRAFT 2'!$A:$A,"&lt;"&amp;DATE(2026,IF(7=12,7+1,7+1),1))</f>
        <v/>
      </c>
      <c r="FY66">
        <f>SUM(FU66:FX66)</f>
        <v/>
      </c>
      <c r="GI66">
        <f>IFERROR(LOOKUP(2,1/('DRAFT 2'!$D:$D=$B66)*('DRAFT 2'!$A:$A&gt;=DATE(2026,8,1))*('DRAFT 2'!$A:$A&lt;DATE(2026,IF(8=12,8+1,8+1),1)),'DRAFT 2'!$A:$A),"")</f>
        <v/>
      </c>
      <c r="GJ66">
        <f>COUNTIFS('DRAFT 2'!$D:$D,$B66,'DRAFT 2'!$A:$A,"&gt;="&amp;DATE(2026,8,1),'DRAFT 2'!$A:$A,"&lt;="&amp;DATE(2026,8,7))</f>
        <v/>
      </c>
      <c r="GK66">
        <f>COUNTIFS('DRAFT 2'!$D:$D,$B66,'DRAFT 2'!$A:$A,"&gt;="&amp;DATE(2026,8,8),'DRAFT 2'!$A:$A,"&lt;="&amp;DATE(2026,8,14))</f>
        <v/>
      </c>
      <c r="GL66">
        <f>COUNTIFS('DRAFT 2'!$D:$D,$B66,'DRAFT 2'!$A:$A,"&gt;="&amp;DATE(2026,8,15),'DRAFT 2'!$A:$A,"&lt;="&amp;DATE(2026,8,21))</f>
        <v/>
      </c>
      <c r="GM66">
        <f>COUNTIFS('DRAFT 2'!$D:$D,$B66,'DRAFT 2'!$A:$A,"&gt;="&amp;DATE(2026,8,22),'DRAFT 2'!$A:$A,"&lt;"&amp;DATE(2026,IF(8=12,8+1,8+1),1))</f>
        <v/>
      </c>
      <c r="GN66">
        <f>SUM(GJ66:GM66)</f>
        <v/>
      </c>
      <c r="GX66">
        <f>IFERROR(LOOKUP(2,1/('DRAFT 2'!$D:$D=$B66)*('DRAFT 2'!$A:$A&gt;=DATE(2026,9,1))*('DRAFT 2'!$A:$A&lt;DATE(2026,IF(9=12,9+1,9+1),1)),'DRAFT 2'!$A:$A),"")</f>
        <v/>
      </c>
      <c r="GY66">
        <f>COUNTIFS('DRAFT 2'!$D:$D,$B66,'DRAFT 2'!$A:$A,"&gt;="&amp;DATE(2026,9,1),'DRAFT 2'!$A:$A,"&lt;="&amp;DATE(2026,9,7))</f>
        <v/>
      </c>
      <c r="GZ66">
        <f>COUNTIFS('DRAFT 2'!$D:$D,$B66,'DRAFT 2'!$A:$A,"&gt;="&amp;DATE(2026,9,8),'DRAFT 2'!$A:$A,"&lt;="&amp;DATE(2026,9,14))</f>
        <v/>
      </c>
      <c r="HA66">
        <f>COUNTIFS('DRAFT 2'!$D:$D,$B66,'DRAFT 2'!$A:$A,"&gt;="&amp;DATE(2026,9,15),'DRAFT 2'!$A:$A,"&lt;="&amp;DATE(2026,9,21))</f>
        <v/>
      </c>
      <c r="HB66">
        <f>COUNTIFS('DRAFT 2'!$D:$D,$B66,'DRAFT 2'!$A:$A,"&gt;="&amp;DATE(2026,9,22),'DRAFT 2'!$A:$A,"&lt;"&amp;DATE(2026,IF(9=12,9+1,9+1),1))</f>
        <v/>
      </c>
      <c r="HC66">
        <f>SUM(GY66:HB66)</f>
        <v/>
      </c>
      <c r="HN66">
        <f>IFERROR(LOOKUP(2,1/('DRAFT 2'!$D:$D=$B66)*('DRAFT 2'!$A:$A&gt;=DATE(2026,10,1))*('DRAFT 2'!$A:$A&lt;DATE(2026,IF(10=12,10+1,10+1),1)),'DRAFT 2'!$A:$A),"")</f>
        <v/>
      </c>
      <c r="HO66">
        <f>COUNTIFS('DRAFT 2'!$D:$D,$B66,'DRAFT 2'!$A:$A,"&gt;="&amp;DATE(2026,10,1),'DRAFT 2'!$A:$A,"&lt;="&amp;DATE(2026,10,7))</f>
        <v/>
      </c>
      <c r="HP66">
        <f>COUNTIFS('DRAFT 2'!$D:$D,$B66,'DRAFT 2'!$A:$A,"&gt;="&amp;DATE(2026,10,8),'DRAFT 2'!$A:$A,"&lt;="&amp;DATE(2026,10,14))</f>
        <v/>
      </c>
      <c r="HQ66">
        <f>COUNTIFS('DRAFT 2'!$D:$D,$B66,'DRAFT 2'!$A:$A,"&gt;="&amp;DATE(2026,10,15),'DRAFT 2'!$A:$A,"&lt;="&amp;DATE(2026,10,21))</f>
        <v/>
      </c>
      <c r="HR66">
        <f>COUNTIFS('DRAFT 2'!$D:$D,$B66,'DRAFT 2'!$A:$A,"&gt;="&amp;DATE(2026,10,22),'DRAFT 2'!$A:$A,"&lt;"&amp;DATE(2026,IF(10=12,10+1,10+1),1))</f>
        <v/>
      </c>
      <c r="HS66">
        <f>SUM(HO66:HR66)</f>
        <v/>
      </c>
      <c r="IC66">
        <f>IFERROR(LOOKUP(2,1/('DRAFT 2'!$D:$D=$B66)*('DRAFT 2'!$A:$A&gt;=DATE(2026,11,1))*('DRAFT 2'!$A:$A&lt;DATE(2026,IF(11=12,11+1,11+1),1)),'DRAFT 2'!$A:$A),"")</f>
        <v/>
      </c>
      <c r="ID66">
        <f>COUNTIFS('DRAFT 2'!$D:$D,$B66,'DRAFT 2'!$A:$A,"&gt;="&amp;DATE(2026,11,1),'DRAFT 2'!$A:$A,"&lt;="&amp;DATE(2026,11,7))</f>
        <v/>
      </c>
      <c r="IE66">
        <f>COUNTIFS('DRAFT 2'!$D:$D,$B66,'DRAFT 2'!$A:$A,"&gt;="&amp;DATE(2026,11,8),'DRAFT 2'!$A:$A,"&lt;="&amp;DATE(2026,11,14))</f>
        <v/>
      </c>
      <c r="IF66">
        <f>COUNTIFS('DRAFT 2'!$D:$D,$B66,'DRAFT 2'!$A:$A,"&gt;="&amp;DATE(2026,11,15),'DRAFT 2'!$A:$A,"&lt;="&amp;DATE(2026,11,21))</f>
        <v/>
      </c>
      <c r="IG66">
        <f>COUNTIFS('DRAFT 2'!$D:$D,$B66,'DRAFT 2'!$A:$A,"&gt;="&amp;DATE(2026,11,22),'DRAFT 2'!$A:$A,"&lt;"&amp;DATE(2026,IF(11=12,11+1,11+1),1))</f>
        <v/>
      </c>
      <c r="IH66">
        <f>SUM(ID66:IG66)</f>
        <v/>
      </c>
      <c r="IR66">
        <f>IFERROR(LOOKUP(2,1/('DRAFT 2'!$D:$D=$B66)*('DRAFT 2'!$A:$A&gt;=DATE(2026,12,1))*('DRAFT 2'!$A:$A&lt;DATE(2026,IF(12=12,12+1,12+1),1)),'DRAFT 2'!$A:$A),"")</f>
        <v/>
      </c>
      <c r="IS66">
        <f>COUNTIFS('DRAFT 2'!$D:$D,$B66,'DRAFT 2'!$A:$A,"&gt;="&amp;DATE(2026,12,1),'DRAFT 2'!$A:$A,"&lt;="&amp;DATE(2026,12,7))</f>
        <v/>
      </c>
      <c r="IT66">
        <f>COUNTIFS('DRAFT 2'!$D:$D,$B66,'DRAFT 2'!$A:$A,"&gt;="&amp;DATE(2026,12,8),'DRAFT 2'!$A:$A,"&lt;="&amp;DATE(2026,12,14))</f>
        <v/>
      </c>
      <c r="IU66">
        <f>COUNTIFS('DRAFT 2'!$D:$D,$B66,'DRAFT 2'!$A:$A,"&gt;="&amp;DATE(2026,12,15),'DRAFT 2'!$A:$A,"&lt;="&amp;DATE(2026,12,21))</f>
        <v/>
      </c>
      <c r="IV66">
        <f>COUNTIFS('DRAFT 2'!$D:$D,$B66,'DRAFT 2'!$A:$A,"&gt;="&amp;DATE(2026,12,22),'DRAFT 2'!$A:$A,"&lt;"&amp;DATE(2026,IF(12=12,12+1,12+1),1))</f>
        <v/>
      </c>
      <c r="IW66">
        <f>SUM(IS66:IV66)</f>
        <v/>
      </c>
    </row>
    <row r="67">
      <c r="A67">
        <f>IFERROR(INDEX('DRAFT 1'!$A:$A,MATCH($B67,'DRAFT 1'!$B:$B,0)),"")</f>
        <v/>
      </c>
      <c r="C67">
        <f>IFERROR(INDEX('DRAFT 1'!$C:$C,MATCH($B67,'DRAFT 1'!$B:$B,0)),"")</f>
        <v/>
      </c>
      <c r="D67">
        <f>IFERROR(INDEX('DRAFT 1'!$D:$D,MATCH($B67,'DRAFT 1'!$B:$B,0)),"")</f>
        <v/>
      </c>
      <c r="E67">
        <f>IFERROR(INDEX('DRAFT 1'!$E:$E,MATCH($B67,'DRAFT 1'!$B:$B,0)),"")</f>
        <v/>
      </c>
      <c r="F67">
        <f>IFERROR(INDEX('DRAFT 1'!$F:$F,MATCH($B67,'DRAFT 1'!$B:$B,0)),"")</f>
        <v/>
      </c>
      <c r="G67">
        <f>IFERROR(INDEX('DRAFT 1'!$G:$G,MATCH($B67,'DRAFT 1'!$B:$B,0)),"")</f>
        <v/>
      </c>
      <c r="H67">
        <f>IFERROR(INDEX('DRAFT 1'!$H:$H,MATCH($B67,'DRAFT 1'!$B:$B,0)),"")</f>
        <v/>
      </c>
      <c r="I67" t="inlineStr">
        <is>
          <t>BIOMUNDO</t>
        </is>
      </c>
      <c r="K67">
        <f>IFERROR(INDEX('DRAFT 1'!$AL:$AL,MATCH($B67,'DRAFT 1'!$B:$B,0)),"")</f>
        <v/>
      </c>
      <c r="L67">
        <f>IFERROR(INDEX('DRAFT 1'!$J:$J,MATCH($B67,'DRAFT 1'!$B:$B,0)),"")</f>
        <v/>
      </c>
      <c r="M67">
        <f>IFERROR(INDEX('DRAFT 1'!$K:$K,MATCH($B67,'DRAFT 1'!$B:$B,0)),"")</f>
        <v/>
      </c>
      <c r="N67" t="inlineStr">
        <is>
          <t>ATIVO</t>
        </is>
      </c>
      <c r="P67">
        <f>IFERROR(INDEX('DRAFT 1'!$L:$L,MATCH($B67,'DRAFT 1'!$B:$B,0)),"")</f>
        <v/>
      </c>
      <c r="Q67">
        <f>IFERROR(INDEX('DRAFT 1'!$M:$M,MATCH($B67,'DRAFT 1'!$B:$B,0)),"")</f>
        <v/>
      </c>
      <c r="R67">
        <f>IFERROR(INDEX('DRAFT 1'!$N:$N,MATCH($B67,'DRAFT 1'!$B:$B,0)),"")</f>
        <v/>
      </c>
      <c r="S67">
        <f>IFERROR(INDEX('DRAFT 1'!$O:$O,MATCH($B67,'DRAFT 1'!$B:$B,0)),"")</f>
        <v/>
      </c>
      <c r="T67">
        <f>IFERROR(INDEX('DRAFT 1'!$P:$P,MATCH($B67,'DRAFT 1'!$B:$B,0)),"")</f>
        <v/>
      </c>
      <c r="U67">
        <f>IFERROR(INDEX('DRAFT 1'!$Q:$Q,MATCH($B67,'DRAFT 1'!$B:$B,0)),"")</f>
        <v/>
      </c>
      <c r="V67">
        <f>IFERROR(INDEX('DRAFT 1'!$R:$R,MATCH($B67,'DRAFT 1'!$B:$B,0)),"")</f>
        <v/>
      </c>
      <c r="W67">
        <f>IFERROR(INDEX('DRAFT 1'!$S:$S,MATCH($B67,'DRAFT 1'!$B:$B,0)),"")</f>
        <v/>
      </c>
      <c r="X67">
        <f>IFERROR(INDEX('DRAFT 1'!$T:$T,MATCH($B67,'DRAFT 1'!$B:$B,0)),"")</f>
        <v/>
      </c>
      <c r="Z67">
        <f>IFERROR(INDEX('DRAFT 1'!$U:$U,MATCH($B67,'DRAFT 1'!$B:$B,0)),"")</f>
        <v/>
      </c>
      <c r="AA67">
        <f>IFERROR(INDEX('DRAFT 1'!$V:$V,MATCH($B67,'DRAFT 1'!$B:$B,0)),"")</f>
        <v/>
      </c>
      <c r="AB67">
        <f>IFERROR(INDEX('DRAFT 1'!$W:$W,MATCH($B67,'DRAFT 1'!$B:$B,0)),"")</f>
        <v/>
      </c>
      <c r="AC67">
        <f>IFERROR(INDEX('DRAFT 1'!$X:$X,MATCH($B67,'DRAFT 1'!$B:$B,0)),"")</f>
        <v/>
      </c>
      <c r="AD67">
        <f>IFERROR(INDEX('DRAFT 1'!$Y:$Y,MATCH($B67,'DRAFT 1'!$B:$B,0)),"")</f>
        <v/>
      </c>
      <c r="AE67">
        <f>IFERROR(INDEX('DRAFT 1'!$Z:$Z,MATCH($B67,'DRAFT 1'!$B:$B,0)),"")</f>
        <v/>
      </c>
      <c r="AF67">
        <f>IFERROR(INDEX('DRAFT 1'!$AA:$AA,MATCH($B67,'DRAFT 1'!$B:$B,0)),"")</f>
        <v/>
      </c>
      <c r="AG67">
        <f>IFERROR(INDEX('DRAFT 1'!$AB:$AB,MATCH($B67,'DRAFT 1'!$B:$B,0)),"")</f>
        <v/>
      </c>
      <c r="AH67">
        <f>IFERROR(INDEX('DRAFT 1'!$AC:$AC,MATCH($B67,'DRAFT 1'!$B:$B,0)),"")</f>
        <v/>
      </c>
      <c r="AI67">
        <f>IFERROR(INDEX('DRAFT 1'!$AD:$AD,MATCH($B67,'DRAFT 1'!$B:$B,0)),"")</f>
        <v/>
      </c>
      <c r="AJ67">
        <f>IFERROR(INDEX('DRAFT 1'!$AE:$AE,MATCH($B67,'DRAFT 1'!$B:$B,0)),"")</f>
        <v/>
      </c>
      <c r="AK67">
        <f>IFERROR(INDEX('DRAFT 1'!$AG:$AG,MATCH($B67,'DRAFT 1'!$B:$B,0)),"")</f>
        <v/>
      </c>
      <c r="AL67">
        <f>IFERROR(INDEX('DRAFT 1'!$AH:$AH,MATCH($B67,'DRAFT 1'!$B:$B,0)),"")</f>
        <v/>
      </c>
      <c r="AM67">
        <f>IFERROR(INDEX('DRAFT 1'!$AI:$AI,MATCH($B67,'DRAFT 1'!$B:$B,0)),"")</f>
        <v/>
      </c>
      <c r="AN67">
        <f>IFERROR(INDEX('DRAFT 1'!$AJ:$AJ,MATCH($B67,'DRAFT 1'!$B:$B,0)),"")</f>
        <v/>
      </c>
      <c r="AO67">
        <f>IFERROR(Y67/AN67,0)</f>
        <v/>
      </c>
      <c r="AP67">
        <f>IFERROR(INDEX('DRAFT 1'!$AK:$AK,MATCH($B67,'DRAFT 1'!$B:$B,0)),"")</f>
        <v/>
      </c>
      <c r="AR67" t="inlineStr">
        <is>
          <t>EM ATENDIMENTO</t>
        </is>
      </c>
      <c r="AS67">
        <f>IFERROR(LOOKUP(2,1/('DRAFT 2'!$D:$D=$B67),'DRAFT 2'!$T:$T),"")</f>
        <v/>
      </c>
      <c r="AT67">
        <f>IFERROR(LOOKUP(2,1/('DRAFT 2'!$D:$D=$B67),'DRAFT 2'!$A:$A),"")</f>
        <v/>
      </c>
      <c r="AU67">
        <f>IFERROR(LOOKUP(2,1/('DRAFT 2'!$D:$D=$B67),'DRAFT 2'!$R:$R),"")</f>
        <v/>
      </c>
      <c r="AV67">
        <f>IFERROR(LOOKUP(2,1/('DRAFT 2'!$D:$D=$B67),'DRAFT 2'!$S:$S),"")</f>
        <v/>
      </c>
      <c r="AW67" t="inlineStr">
        <is>
          <t>LEAD</t>
        </is>
      </c>
      <c r="AX67">
        <f>IFERROR(LOOKUP(2,1/('DRAFT 2'!$D:$D=$B67),'DRAFT 2'!$M:$M),"")</f>
        <v/>
      </c>
      <c r="AY67">
        <f>IFERROR(LOOKUP(2,1/('DRAFT 2'!$D:$D=$B67),'DRAFT 2'!$K:$K),"")</f>
        <v/>
      </c>
      <c r="BG67">
        <f>IFERROR(LOOKUP(2,1/('DRAFT 2'!$D:$D=$B67),'DRAFT 2'!$U:$U),"")</f>
        <v/>
      </c>
      <c r="BH67">
        <f>IFERROR(LOOKUP(2,1/('DRAFT 2'!$D:$D=$B67),'DRAFT 2'!$V:$V),"")</f>
        <v/>
      </c>
      <c r="CE67">
        <f>IFERROR(AJ67,0)</f>
        <v/>
      </c>
      <c r="CF67">
        <f>IFERROR(LOOKUP(2,1/('DRAFT 2'!$D:$D=$B67)*('DRAFT 2'!$A:$A&gt;=DATE(2026,1,1))*('DRAFT 2'!$A:$A&lt;DATE(2026,IF(1=12,1+1,1+1),1)),'DRAFT 2'!$A:$A),"")</f>
        <v/>
      </c>
      <c r="CG67">
        <f>COUNTIFS('DRAFT 2'!$D:$D,$B67,'DRAFT 2'!$A:$A,"&gt;="&amp;DATE(2026,1,1),'DRAFT 2'!$A:$A,"&lt;="&amp;DATE(2026,1,7))</f>
        <v/>
      </c>
      <c r="CH67">
        <f>COUNTIFS('DRAFT 2'!$D:$D,$B67,'DRAFT 2'!$A:$A,"&gt;="&amp;DATE(2026,1,8),'DRAFT 2'!$A:$A,"&lt;="&amp;DATE(2026,1,14))</f>
        <v/>
      </c>
      <c r="CI67">
        <f>COUNTIFS('DRAFT 2'!$D:$D,$B67,'DRAFT 2'!$A:$A,"&gt;="&amp;DATE(2026,1,15),'DRAFT 2'!$A:$A,"&lt;="&amp;DATE(2026,1,21))</f>
        <v/>
      </c>
      <c r="CJ67">
        <f>COUNTIFS('DRAFT 2'!$D:$D,$B67,'DRAFT 2'!$A:$A,"&gt;="&amp;DATE(2026,1,22),'DRAFT 2'!$A:$A,"&lt;"&amp;DATE(2026,IF(1=12,1+1,1+1),1))</f>
        <v/>
      </c>
      <c r="CK67">
        <f>SUM(CG67:CJ67)</f>
        <v/>
      </c>
      <c r="CT67" t="n">
        <v>0</v>
      </c>
      <c r="CU67">
        <f>IFERROR(LOOKUP(2,1/('DRAFT 2'!$D:$D=$B67)*('DRAFT 2'!$A:$A&gt;=DATE(2026,2,1))*('DRAFT 2'!$A:$A&lt;DATE(2026,IF(2=12,2+1,2+1),1)),'DRAFT 2'!$A:$A),"")</f>
        <v/>
      </c>
      <c r="CV67">
        <f>COUNTIFS('DRAFT 2'!$D:$D,$B67,'DRAFT 2'!$A:$A,"&gt;="&amp;DATE(2026,2,1),'DRAFT 2'!$A:$A,"&lt;="&amp;DATE(2026,2,7))</f>
        <v/>
      </c>
      <c r="CW67">
        <f>COUNTIFS('DRAFT 2'!$D:$D,$B67,'DRAFT 2'!$A:$A,"&gt;="&amp;DATE(2026,2,8),'DRAFT 2'!$A:$A,"&lt;="&amp;DATE(2026,2,14))</f>
        <v/>
      </c>
      <c r="CX67">
        <f>COUNTIFS('DRAFT 2'!$D:$D,$B67,'DRAFT 2'!$A:$A,"&gt;="&amp;DATE(2026,2,15),'DRAFT 2'!$A:$A,"&lt;="&amp;DATE(2026,2,21))</f>
        <v/>
      </c>
      <c r="CY67">
        <f>COUNTIFS('DRAFT 2'!$D:$D,$B67,'DRAFT 2'!$A:$A,"&gt;="&amp;DATE(2026,2,22),'DRAFT 2'!$A:$A,"&lt;"&amp;DATE(2026,IF(2=12,2+1,2+1),1))</f>
        <v/>
      </c>
      <c r="CZ67">
        <f>SUM(CV67:CY67)</f>
        <v/>
      </c>
      <c r="DJ67">
        <f>IFERROR(LOOKUP(2,1/('DRAFT 2'!$D:$D=$B67)*('DRAFT 2'!$A:$A&gt;=DATE(2026,3,1))*('DRAFT 2'!$A:$A&lt;DATE(2026,IF(3=12,3+1,3+1),1)),'DRAFT 2'!$A:$A),"")</f>
        <v/>
      </c>
      <c r="DK67">
        <f>COUNTIFS('DRAFT 2'!$D:$D,$B67,'DRAFT 2'!$A:$A,"&gt;="&amp;DATE(2026,3,1),'DRAFT 2'!$A:$A,"&lt;="&amp;DATE(2026,3,7))</f>
        <v/>
      </c>
      <c r="DL67">
        <f>COUNTIFS('DRAFT 2'!$D:$D,$B67,'DRAFT 2'!$A:$A,"&gt;="&amp;DATE(2026,3,8),'DRAFT 2'!$A:$A,"&lt;="&amp;DATE(2026,3,14))</f>
        <v/>
      </c>
      <c r="DM67">
        <f>COUNTIFS('DRAFT 2'!$D:$D,$B67,'DRAFT 2'!$A:$A,"&gt;="&amp;DATE(2026,3,15),'DRAFT 2'!$A:$A,"&lt;="&amp;DATE(2026,3,21))</f>
        <v/>
      </c>
      <c r="DN67">
        <f>COUNTIFS('DRAFT 2'!$D:$D,$B67,'DRAFT 2'!$A:$A,"&gt;="&amp;DATE(2026,3,22),'DRAFT 2'!$A:$A,"&lt;"&amp;DATE(2026,IF(3=12,3+1,3+1),1))</f>
        <v/>
      </c>
      <c r="DO67">
        <f>SUM(DK67:DN67)</f>
        <v/>
      </c>
      <c r="DZ67">
        <f>IFERROR(LOOKUP(2,1/('DRAFT 2'!$D:$D=$B67)*('DRAFT 2'!$A:$A&gt;=DATE(2026,4,1))*('DRAFT 2'!$A:$A&lt;DATE(2026,IF(4=12,4+1,4+1),1)),'DRAFT 2'!$A:$A),"")</f>
        <v/>
      </c>
      <c r="EA67">
        <f>COUNTIFS('DRAFT 2'!$D:$D,$B67,'DRAFT 2'!$A:$A,"&gt;="&amp;DATE(2026,4,1),'DRAFT 2'!$A:$A,"&lt;="&amp;DATE(2026,4,7))</f>
        <v/>
      </c>
      <c r="EB67">
        <f>COUNTIFS('DRAFT 2'!$D:$D,$B67,'DRAFT 2'!$A:$A,"&gt;="&amp;DATE(2026,4,8),'DRAFT 2'!$A:$A,"&lt;="&amp;DATE(2026,4,14))</f>
        <v/>
      </c>
      <c r="EC67">
        <f>COUNTIFS('DRAFT 2'!$D:$D,$B67,'DRAFT 2'!$A:$A,"&gt;="&amp;DATE(2026,4,15),'DRAFT 2'!$A:$A,"&lt;="&amp;DATE(2026,4,21))</f>
        <v/>
      </c>
      <c r="ED67">
        <f>COUNTIFS('DRAFT 2'!$D:$D,$B67,'DRAFT 2'!$A:$A,"&gt;="&amp;DATE(2026,4,22),'DRAFT 2'!$A:$A,"&lt;"&amp;DATE(2026,IF(4=12,4+1,4+1),1))</f>
        <v/>
      </c>
      <c r="EE67">
        <f>SUM(EA67:ED67)</f>
        <v/>
      </c>
      <c r="EO67">
        <f>IFERROR(LOOKUP(2,1/('DRAFT 2'!$D:$D=$B67)*('DRAFT 2'!$A:$A&gt;=DATE(2026,5,1))*('DRAFT 2'!$A:$A&lt;DATE(2026,IF(5=12,5+1,5+1),1)),'DRAFT 2'!$A:$A),"")</f>
        <v/>
      </c>
      <c r="EP67">
        <f>COUNTIFS('DRAFT 2'!$D:$D,$B67,'DRAFT 2'!$A:$A,"&gt;="&amp;DATE(2026,5,1),'DRAFT 2'!$A:$A,"&lt;="&amp;DATE(2026,5,7))</f>
        <v/>
      </c>
      <c r="EQ67">
        <f>COUNTIFS('DRAFT 2'!$D:$D,$B67,'DRAFT 2'!$A:$A,"&gt;="&amp;DATE(2026,5,8),'DRAFT 2'!$A:$A,"&lt;="&amp;DATE(2026,5,14))</f>
        <v/>
      </c>
      <c r="ER67">
        <f>COUNTIFS('DRAFT 2'!$D:$D,$B67,'DRAFT 2'!$A:$A,"&gt;="&amp;DATE(2026,5,15),'DRAFT 2'!$A:$A,"&lt;="&amp;DATE(2026,5,21))</f>
        <v/>
      </c>
      <c r="ES67">
        <f>COUNTIFS('DRAFT 2'!$D:$D,$B67,'DRAFT 2'!$A:$A,"&gt;="&amp;DATE(2026,5,22),'DRAFT 2'!$A:$A,"&lt;"&amp;DATE(2026,IF(5=12,5+1,5+1),1))</f>
        <v/>
      </c>
      <c r="ET67">
        <f>SUM(EP67:ES67)</f>
        <v/>
      </c>
      <c r="FD67">
        <f>IFERROR(LOOKUP(2,1/('DRAFT 2'!$D:$D=$B67)*('DRAFT 2'!$A:$A&gt;=DATE(2026,6,1))*('DRAFT 2'!$A:$A&lt;DATE(2026,IF(6=12,6+1,6+1),1)),'DRAFT 2'!$A:$A),"")</f>
        <v/>
      </c>
      <c r="FE67">
        <f>COUNTIFS('DRAFT 2'!$D:$D,$B67,'DRAFT 2'!$A:$A,"&gt;="&amp;DATE(2026,6,1),'DRAFT 2'!$A:$A,"&lt;="&amp;DATE(2026,6,7))</f>
        <v/>
      </c>
      <c r="FF67">
        <f>COUNTIFS('DRAFT 2'!$D:$D,$B67,'DRAFT 2'!$A:$A,"&gt;="&amp;DATE(2026,6,8),'DRAFT 2'!$A:$A,"&lt;="&amp;DATE(2026,6,14))</f>
        <v/>
      </c>
      <c r="FG67">
        <f>COUNTIFS('DRAFT 2'!$D:$D,$B67,'DRAFT 2'!$A:$A,"&gt;="&amp;DATE(2026,6,15),'DRAFT 2'!$A:$A,"&lt;="&amp;DATE(2026,6,21))</f>
        <v/>
      </c>
      <c r="FH67">
        <f>COUNTIFS('DRAFT 2'!$D:$D,$B67,'DRAFT 2'!$A:$A,"&gt;="&amp;DATE(2026,6,22),'DRAFT 2'!$A:$A,"&lt;"&amp;DATE(2026,IF(6=12,6+1,6+1),1))</f>
        <v/>
      </c>
      <c r="FI67">
        <f>SUM(FE67:FH67)</f>
        <v/>
      </c>
      <c r="FT67">
        <f>IFERROR(LOOKUP(2,1/('DRAFT 2'!$D:$D=$B67)*('DRAFT 2'!$A:$A&gt;=DATE(2026,7,1))*('DRAFT 2'!$A:$A&lt;DATE(2026,IF(7=12,7+1,7+1),1)),'DRAFT 2'!$A:$A),"")</f>
        <v/>
      </c>
      <c r="FU67">
        <f>COUNTIFS('DRAFT 2'!$D:$D,$B67,'DRAFT 2'!$A:$A,"&gt;="&amp;DATE(2026,7,1),'DRAFT 2'!$A:$A,"&lt;="&amp;DATE(2026,7,7))</f>
        <v/>
      </c>
      <c r="FV67">
        <f>COUNTIFS('DRAFT 2'!$D:$D,$B67,'DRAFT 2'!$A:$A,"&gt;="&amp;DATE(2026,7,8),'DRAFT 2'!$A:$A,"&lt;="&amp;DATE(2026,7,14))</f>
        <v/>
      </c>
      <c r="FW67">
        <f>COUNTIFS('DRAFT 2'!$D:$D,$B67,'DRAFT 2'!$A:$A,"&gt;="&amp;DATE(2026,7,15),'DRAFT 2'!$A:$A,"&lt;="&amp;DATE(2026,7,21))</f>
        <v/>
      </c>
      <c r="FX67">
        <f>COUNTIFS('DRAFT 2'!$D:$D,$B67,'DRAFT 2'!$A:$A,"&gt;="&amp;DATE(2026,7,22),'DRAFT 2'!$A:$A,"&lt;"&amp;DATE(2026,IF(7=12,7+1,7+1),1))</f>
        <v/>
      </c>
      <c r="FY67">
        <f>SUM(FU67:FX67)</f>
        <v/>
      </c>
      <c r="GI67">
        <f>IFERROR(LOOKUP(2,1/('DRAFT 2'!$D:$D=$B67)*('DRAFT 2'!$A:$A&gt;=DATE(2026,8,1))*('DRAFT 2'!$A:$A&lt;DATE(2026,IF(8=12,8+1,8+1),1)),'DRAFT 2'!$A:$A),"")</f>
        <v/>
      </c>
      <c r="GJ67">
        <f>COUNTIFS('DRAFT 2'!$D:$D,$B67,'DRAFT 2'!$A:$A,"&gt;="&amp;DATE(2026,8,1),'DRAFT 2'!$A:$A,"&lt;="&amp;DATE(2026,8,7))</f>
        <v/>
      </c>
      <c r="GK67">
        <f>COUNTIFS('DRAFT 2'!$D:$D,$B67,'DRAFT 2'!$A:$A,"&gt;="&amp;DATE(2026,8,8),'DRAFT 2'!$A:$A,"&lt;="&amp;DATE(2026,8,14))</f>
        <v/>
      </c>
      <c r="GL67">
        <f>COUNTIFS('DRAFT 2'!$D:$D,$B67,'DRAFT 2'!$A:$A,"&gt;="&amp;DATE(2026,8,15),'DRAFT 2'!$A:$A,"&lt;="&amp;DATE(2026,8,21))</f>
        <v/>
      </c>
      <c r="GM67">
        <f>COUNTIFS('DRAFT 2'!$D:$D,$B67,'DRAFT 2'!$A:$A,"&gt;="&amp;DATE(2026,8,22),'DRAFT 2'!$A:$A,"&lt;"&amp;DATE(2026,IF(8=12,8+1,8+1),1))</f>
        <v/>
      </c>
      <c r="GN67">
        <f>SUM(GJ67:GM67)</f>
        <v/>
      </c>
      <c r="GX67">
        <f>IFERROR(LOOKUP(2,1/('DRAFT 2'!$D:$D=$B67)*('DRAFT 2'!$A:$A&gt;=DATE(2026,9,1))*('DRAFT 2'!$A:$A&lt;DATE(2026,IF(9=12,9+1,9+1),1)),'DRAFT 2'!$A:$A),"")</f>
        <v/>
      </c>
      <c r="GY67">
        <f>COUNTIFS('DRAFT 2'!$D:$D,$B67,'DRAFT 2'!$A:$A,"&gt;="&amp;DATE(2026,9,1),'DRAFT 2'!$A:$A,"&lt;="&amp;DATE(2026,9,7))</f>
        <v/>
      </c>
      <c r="GZ67">
        <f>COUNTIFS('DRAFT 2'!$D:$D,$B67,'DRAFT 2'!$A:$A,"&gt;="&amp;DATE(2026,9,8),'DRAFT 2'!$A:$A,"&lt;="&amp;DATE(2026,9,14))</f>
        <v/>
      </c>
      <c r="HA67">
        <f>COUNTIFS('DRAFT 2'!$D:$D,$B67,'DRAFT 2'!$A:$A,"&gt;="&amp;DATE(2026,9,15),'DRAFT 2'!$A:$A,"&lt;="&amp;DATE(2026,9,21))</f>
        <v/>
      </c>
      <c r="HB67">
        <f>COUNTIFS('DRAFT 2'!$D:$D,$B67,'DRAFT 2'!$A:$A,"&gt;="&amp;DATE(2026,9,22),'DRAFT 2'!$A:$A,"&lt;"&amp;DATE(2026,IF(9=12,9+1,9+1),1))</f>
        <v/>
      </c>
      <c r="HC67">
        <f>SUM(GY67:HB67)</f>
        <v/>
      </c>
      <c r="HN67">
        <f>IFERROR(LOOKUP(2,1/('DRAFT 2'!$D:$D=$B67)*('DRAFT 2'!$A:$A&gt;=DATE(2026,10,1))*('DRAFT 2'!$A:$A&lt;DATE(2026,IF(10=12,10+1,10+1),1)),'DRAFT 2'!$A:$A),"")</f>
        <v/>
      </c>
      <c r="HO67">
        <f>COUNTIFS('DRAFT 2'!$D:$D,$B67,'DRAFT 2'!$A:$A,"&gt;="&amp;DATE(2026,10,1),'DRAFT 2'!$A:$A,"&lt;="&amp;DATE(2026,10,7))</f>
        <v/>
      </c>
      <c r="HP67">
        <f>COUNTIFS('DRAFT 2'!$D:$D,$B67,'DRAFT 2'!$A:$A,"&gt;="&amp;DATE(2026,10,8),'DRAFT 2'!$A:$A,"&lt;="&amp;DATE(2026,10,14))</f>
        <v/>
      </c>
      <c r="HQ67">
        <f>COUNTIFS('DRAFT 2'!$D:$D,$B67,'DRAFT 2'!$A:$A,"&gt;="&amp;DATE(2026,10,15),'DRAFT 2'!$A:$A,"&lt;="&amp;DATE(2026,10,21))</f>
        <v/>
      </c>
      <c r="HR67">
        <f>COUNTIFS('DRAFT 2'!$D:$D,$B67,'DRAFT 2'!$A:$A,"&gt;="&amp;DATE(2026,10,22),'DRAFT 2'!$A:$A,"&lt;"&amp;DATE(2026,IF(10=12,10+1,10+1),1))</f>
        <v/>
      </c>
      <c r="HS67">
        <f>SUM(HO67:HR67)</f>
        <v/>
      </c>
      <c r="IC67">
        <f>IFERROR(LOOKUP(2,1/('DRAFT 2'!$D:$D=$B67)*('DRAFT 2'!$A:$A&gt;=DATE(2026,11,1))*('DRAFT 2'!$A:$A&lt;DATE(2026,IF(11=12,11+1,11+1),1)),'DRAFT 2'!$A:$A),"")</f>
        <v/>
      </c>
      <c r="ID67">
        <f>COUNTIFS('DRAFT 2'!$D:$D,$B67,'DRAFT 2'!$A:$A,"&gt;="&amp;DATE(2026,11,1),'DRAFT 2'!$A:$A,"&lt;="&amp;DATE(2026,11,7))</f>
        <v/>
      </c>
      <c r="IE67">
        <f>COUNTIFS('DRAFT 2'!$D:$D,$B67,'DRAFT 2'!$A:$A,"&gt;="&amp;DATE(2026,11,8),'DRAFT 2'!$A:$A,"&lt;="&amp;DATE(2026,11,14))</f>
        <v/>
      </c>
      <c r="IF67">
        <f>COUNTIFS('DRAFT 2'!$D:$D,$B67,'DRAFT 2'!$A:$A,"&gt;="&amp;DATE(2026,11,15),'DRAFT 2'!$A:$A,"&lt;="&amp;DATE(2026,11,21))</f>
        <v/>
      </c>
      <c r="IG67">
        <f>COUNTIFS('DRAFT 2'!$D:$D,$B67,'DRAFT 2'!$A:$A,"&gt;="&amp;DATE(2026,11,22),'DRAFT 2'!$A:$A,"&lt;"&amp;DATE(2026,IF(11=12,11+1,11+1),1))</f>
        <v/>
      </c>
      <c r="IH67">
        <f>SUM(ID67:IG67)</f>
        <v/>
      </c>
      <c r="IR67">
        <f>IFERROR(LOOKUP(2,1/('DRAFT 2'!$D:$D=$B67)*('DRAFT 2'!$A:$A&gt;=DATE(2026,12,1))*('DRAFT 2'!$A:$A&lt;DATE(2026,IF(12=12,12+1,12+1),1)),'DRAFT 2'!$A:$A),"")</f>
        <v/>
      </c>
      <c r="IS67">
        <f>COUNTIFS('DRAFT 2'!$D:$D,$B67,'DRAFT 2'!$A:$A,"&gt;="&amp;DATE(2026,12,1),'DRAFT 2'!$A:$A,"&lt;="&amp;DATE(2026,12,7))</f>
        <v/>
      </c>
      <c r="IT67">
        <f>COUNTIFS('DRAFT 2'!$D:$D,$B67,'DRAFT 2'!$A:$A,"&gt;="&amp;DATE(2026,12,8),'DRAFT 2'!$A:$A,"&lt;="&amp;DATE(2026,12,14))</f>
        <v/>
      </c>
      <c r="IU67">
        <f>COUNTIFS('DRAFT 2'!$D:$D,$B67,'DRAFT 2'!$A:$A,"&gt;="&amp;DATE(2026,12,15),'DRAFT 2'!$A:$A,"&lt;="&amp;DATE(2026,12,21))</f>
        <v/>
      </c>
      <c r="IV67">
        <f>COUNTIFS('DRAFT 2'!$D:$D,$B67,'DRAFT 2'!$A:$A,"&gt;="&amp;DATE(2026,12,22),'DRAFT 2'!$A:$A,"&lt;"&amp;DATE(2026,IF(12=12,12+1,12+1),1))</f>
        <v/>
      </c>
      <c r="IW67">
        <f>SUM(IS67:IV67)</f>
        <v/>
      </c>
    </row>
    <row r="68">
      <c r="A68">
        <f>IFERROR(INDEX('DRAFT 1'!$A:$A,MATCH($B68,'DRAFT 1'!$B:$B,0)),"")</f>
        <v/>
      </c>
      <c r="C68">
        <f>IFERROR(INDEX('DRAFT 1'!$C:$C,MATCH($B68,'DRAFT 1'!$B:$B,0)),"")</f>
        <v/>
      </c>
      <c r="D68">
        <f>IFERROR(INDEX('DRAFT 1'!$D:$D,MATCH($B68,'DRAFT 1'!$B:$B,0)),"")</f>
        <v/>
      </c>
      <c r="E68">
        <f>IFERROR(INDEX('DRAFT 1'!$E:$E,MATCH($B68,'DRAFT 1'!$B:$B,0)),"")</f>
        <v/>
      </c>
      <c r="F68">
        <f>IFERROR(INDEX('DRAFT 1'!$F:$F,MATCH($B68,'DRAFT 1'!$B:$B,0)),"")</f>
        <v/>
      </c>
      <c r="G68">
        <f>IFERROR(INDEX('DRAFT 1'!$G:$G,MATCH($B68,'DRAFT 1'!$B:$B,0)),"")</f>
        <v/>
      </c>
      <c r="H68">
        <f>IFERROR(INDEX('DRAFT 1'!$H:$H,MATCH($B68,'DRAFT 1'!$B:$B,0)),"")</f>
        <v/>
      </c>
      <c r="I68" t="inlineStr">
        <is>
          <t>VIDA LEVE</t>
        </is>
      </c>
      <c r="K68">
        <f>IFERROR(INDEX('DRAFT 1'!$AL:$AL,MATCH($B68,'DRAFT 1'!$B:$B,0)),"")</f>
        <v/>
      </c>
      <c r="L68">
        <f>IFERROR(INDEX('DRAFT 1'!$J:$J,MATCH($B68,'DRAFT 1'!$B:$B,0)),"")</f>
        <v/>
      </c>
      <c r="M68">
        <f>IFERROR(INDEX('DRAFT 1'!$K:$K,MATCH($B68,'DRAFT 1'!$B:$B,0)),"")</f>
        <v/>
      </c>
      <c r="N68" t="inlineStr">
        <is>
          <t>ATIVO</t>
        </is>
      </c>
      <c r="P68">
        <f>IFERROR(INDEX('DRAFT 1'!$L:$L,MATCH($B68,'DRAFT 1'!$B:$B,0)),"")</f>
        <v/>
      </c>
      <c r="Q68">
        <f>IFERROR(INDEX('DRAFT 1'!$M:$M,MATCH($B68,'DRAFT 1'!$B:$B,0)),"")</f>
        <v/>
      </c>
      <c r="R68">
        <f>IFERROR(INDEX('DRAFT 1'!$N:$N,MATCH($B68,'DRAFT 1'!$B:$B,0)),"")</f>
        <v/>
      </c>
      <c r="S68">
        <f>IFERROR(INDEX('DRAFT 1'!$O:$O,MATCH($B68,'DRAFT 1'!$B:$B,0)),"")</f>
        <v/>
      </c>
      <c r="T68">
        <f>IFERROR(INDEX('DRAFT 1'!$P:$P,MATCH($B68,'DRAFT 1'!$B:$B,0)),"")</f>
        <v/>
      </c>
      <c r="U68">
        <f>IFERROR(INDEX('DRAFT 1'!$Q:$Q,MATCH($B68,'DRAFT 1'!$B:$B,0)),"")</f>
        <v/>
      </c>
      <c r="V68">
        <f>IFERROR(INDEX('DRAFT 1'!$R:$R,MATCH($B68,'DRAFT 1'!$B:$B,0)),"")</f>
        <v/>
      </c>
      <c r="W68">
        <f>IFERROR(INDEX('DRAFT 1'!$S:$S,MATCH($B68,'DRAFT 1'!$B:$B,0)),"")</f>
        <v/>
      </c>
      <c r="X68">
        <f>IFERROR(INDEX('DRAFT 1'!$T:$T,MATCH($B68,'DRAFT 1'!$B:$B,0)),"")</f>
        <v/>
      </c>
      <c r="Z68">
        <f>IFERROR(INDEX('DRAFT 1'!$U:$U,MATCH($B68,'DRAFT 1'!$B:$B,0)),"")</f>
        <v/>
      </c>
      <c r="AA68">
        <f>IFERROR(INDEX('DRAFT 1'!$V:$V,MATCH($B68,'DRAFT 1'!$B:$B,0)),"")</f>
        <v/>
      </c>
      <c r="AB68">
        <f>IFERROR(INDEX('DRAFT 1'!$W:$W,MATCH($B68,'DRAFT 1'!$B:$B,0)),"")</f>
        <v/>
      </c>
      <c r="AC68">
        <f>IFERROR(INDEX('DRAFT 1'!$X:$X,MATCH($B68,'DRAFT 1'!$B:$B,0)),"")</f>
        <v/>
      </c>
      <c r="AD68">
        <f>IFERROR(INDEX('DRAFT 1'!$Y:$Y,MATCH($B68,'DRAFT 1'!$B:$B,0)),"")</f>
        <v/>
      </c>
      <c r="AE68">
        <f>IFERROR(INDEX('DRAFT 1'!$Z:$Z,MATCH($B68,'DRAFT 1'!$B:$B,0)),"")</f>
        <v/>
      </c>
      <c r="AF68">
        <f>IFERROR(INDEX('DRAFT 1'!$AA:$AA,MATCH($B68,'DRAFT 1'!$B:$B,0)),"")</f>
        <v/>
      </c>
      <c r="AG68">
        <f>IFERROR(INDEX('DRAFT 1'!$AB:$AB,MATCH($B68,'DRAFT 1'!$B:$B,0)),"")</f>
        <v/>
      </c>
      <c r="AH68">
        <f>IFERROR(INDEX('DRAFT 1'!$AC:$AC,MATCH($B68,'DRAFT 1'!$B:$B,0)),"")</f>
        <v/>
      </c>
      <c r="AI68">
        <f>IFERROR(INDEX('DRAFT 1'!$AD:$AD,MATCH($B68,'DRAFT 1'!$B:$B,0)),"")</f>
        <v/>
      </c>
      <c r="AJ68">
        <f>IFERROR(INDEX('DRAFT 1'!$AE:$AE,MATCH($B68,'DRAFT 1'!$B:$B,0)),"")</f>
        <v/>
      </c>
      <c r="AK68">
        <f>IFERROR(INDEX('DRAFT 1'!$AG:$AG,MATCH($B68,'DRAFT 1'!$B:$B,0)),"")</f>
        <v/>
      </c>
      <c r="AL68">
        <f>IFERROR(INDEX('DRAFT 1'!$AH:$AH,MATCH($B68,'DRAFT 1'!$B:$B,0)),"")</f>
        <v/>
      </c>
      <c r="AM68">
        <f>IFERROR(INDEX('DRAFT 1'!$AI:$AI,MATCH($B68,'DRAFT 1'!$B:$B,0)),"")</f>
        <v/>
      </c>
      <c r="AN68">
        <f>IFERROR(INDEX('DRAFT 1'!$AJ:$AJ,MATCH($B68,'DRAFT 1'!$B:$B,0)),"")</f>
        <v/>
      </c>
      <c r="AO68">
        <f>IFERROR(Y68/AN68,0)</f>
        <v/>
      </c>
      <c r="AP68">
        <f>IFERROR(INDEX('DRAFT 1'!$AK:$AK,MATCH($B68,'DRAFT 1'!$B:$B,0)),"")</f>
        <v/>
      </c>
      <c r="AR68" t="inlineStr">
        <is>
          <t>PROSPECÇÃO</t>
        </is>
      </c>
      <c r="AS68">
        <f>IFERROR(LOOKUP(2,1/('DRAFT 2'!$D:$D=$B68),'DRAFT 2'!$T:$T),"")</f>
        <v/>
      </c>
      <c r="AT68">
        <f>IFERROR(LOOKUP(2,1/('DRAFT 2'!$D:$D=$B68),'DRAFT 2'!$A:$A),"")</f>
        <v/>
      </c>
      <c r="AU68">
        <f>IFERROR(LOOKUP(2,1/('DRAFT 2'!$D:$D=$B68),'DRAFT 2'!$R:$R),"")</f>
        <v/>
      </c>
      <c r="AV68">
        <f>IFERROR(LOOKUP(2,1/('DRAFT 2'!$D:$D=$B68),'DRAFT 2'!$S:$S),"")</f>
        <v/>
      </c>
      <c r="AW68" t="inlineStr">
        <is>
          <t>LEAD</t>
        </is>
      </c>
      <c r="AX68">
        <f>IFERROR(LOOKUP(2,1/('DRAFT 2'!$D:$D=$B68),'DRAFT 2'!$M:$M),"")</f>
        <v/>
      </c>
      <c r="AY68">
        <f>IFERROR(LOOKUP(2,1/('DRAFT 2'!$D:$D=$B68),'DRAFT 2'!$K:$K),"")</f>
        <v/>
      </c>
      <c r="BG68">
        <f>IFERROR(LOOKUP(2,1/('DRAFT 2'!$D:$D=$B68),'DRAFT 2'!$U:$U),"")</f>
        <v/>
      </c>
      <c r="BH68">
        <f>IFERROR(LOOKUP(2,1/('DRAFT 2'!$D:$D=$B68),'DRAFT 2'!$V:$V),"")</f>
        <v/>
      </c>
      <c r="CE68">
        <f>IFERROR(AJ68,0)</f>
        <v/>
      </c>
      <c r="CF68">
        <f>IFERROR(LOOKUP(2,1/('DRAFT 2'!$D:$D=$B68)*('DRAFT 2'!$A:$A&gt;=DATE(2026,1,1))*('DRAFT 2'!$A:$A&lt;DATE(2026,IF(1=12,1+1,1+1),1)),'DRAFT 2'!$A:$A),"")</f>
        <v/>
      </c>
      <c r="CG68">
        <f>COUNTIFS('DRAFT 2'!$D:$D,$B68,'DRAFT 2'!$A:$A,"&gt;="&amp;DATE(2026,1,1),'DRAFT 2'!$A:$A,"&lt;="&amp;DATE(2026,1,7))</f>
        <v/>
      </c>
      <c r="CH68">
        <f>COUNTIFS('DRAFT 2'!$D:$D,$B68,'DRAFT 2'!$A:$A,"&gt;="&amp;DATE(2026,1,8),'DRAFT 2'!$A:$A,"&lt;="&amp;DATE(2026,1,14))</f>
        <v/>
      </c>
      <c r="CI68">
        <f>COUNTIFS('DRAFT 2'!$D:$D,$B68,'DRAFT 2'!$A:$A,"&gt;="&amp;DATE(2026,1,15),'DRAFT 2'!$A:$A,"&lt;="&amp;DATE(2026,1,21))</f>
        <v/>
      </c>
      <c r="CJ68">
        <f>COUNTIFS('DRAFT 2'!$D:$D,$B68,'DRAFT 2'!$A:$A,"&gt;="&amp;DATE(2026,1,22),'DRAFT 2'!$A:$A,"&lt;"&amp;DATE(2026,IF(1=12,1+1,1+1),1))</f>
        <v/>
      </c>
      <c r="CK68">
        <f>SUM(CG68:CJ68)</f>
        <v/>
      </c>
      <c r="CT68" t="n">
        <v>0</v>
      </c>
      <c r="CU68">
        <f>IFERROR(LOOKUP(2,1/('DRAFT 2'!$D:$D=$B68)*('DRAFT 2'!$A:$A&gt;=DATE(2026,2,1))*('DRAFT 2'!$A:$A&lt;DATE(2026,IF(2=12,2+1,2+1),1)),'DRAFT 2'!$A:$A),"")</f>
        <v/>
      </c>
      <c r="CV68">
        <f>COUNTIFS('DRAFT 2'!$D:$D,$B68,'DRAFT 2'!$A:$A,"&gt;="&amp;DATE(2026,2,1),'DRAFT 2'!$A:$A,"&lt;="&amp;DATE(2026,2,7))</f>
        <v/>
      </c>
      <c r="CW68">
        <f>COUNTIFS('DRAFT 2'!$D:$D,$B68,'DRAFT 2'!$A:$A,"&gt;="&amp;DATE(2026,2,8),'DRAFT 2'!$A:$A,"&lt;="&amp;DATE(2026,2,14))</f>
        <v/>
      </c>
      <c r="CX68">
        <f>COUNTIFS('DRAFT 2'!$D:$D,$B68,'DRAFT 2'!$A:$A,"&gt;="&amp;DATE(2026,2,15),'DRAFT 2'!$A:$A,"&lt;="&amp;DATE(2026,2,21))</f>
        <v/>
      </c>
      <c r="CY68">
        <f>COUNTIFS('DRAFT 2'!$D:$D,$B68,'DRAFT 2'!$A:$A,"&gt;="&amp;DATE(2026,2,22),'DRAFT 2'!$A:$A,"&lt;"&amp;DATE(2026,IF(2=12,2+1,2+1),1))</f>
        <v/>
      </c>
      <c r="CZ68">
        <f>SUM(CV68:CY68)</f>
        <v/>
      </c>
      <c r="DJ68">
        <f>IFERROR(LOOKUP(2,1/('DRAFT 2'!$D:$D=$B68)*('DRAFT 2'!$A:$A&gt;=DATE(2026,3,1))*('DRAFT 2'!$A:$A&lt;DATE(2026,IF(3=12,3+1,3+1),1)),'DRAFT 2'!$A:$A),"")</f>
        <v/>
      </c>
      <c r="DK68">
        <f>COUNTIFS('DRAFT 2'!$D:$D,$B68,'DRAFT 2'!$A:$A,"&gt;="&amp;DATE(2026,3,1),'DRAFT 2'!$A:$A,"&lt;="&amp;DATE(2026,3,7))</f>
        <v/>
      </c>
      <c r="DL68">
        <f>COUNTIFS('DRAFT 2'!$D:$D,$B68,'DRAFT 2'!$A:$A,"&gt;="&amp;DATE(2026,3,8),'DRAFT 2'!$A:$A,"&lt;="&amp;DATE(2026,3,14))</f>
        <v/>
      </c>
      <c r="DM68">
        <f>COUNTIFS('DRAFT 2'!$D:$D,$B68,'DRAFT 2'!$A:$A,"&gt;="&amp;DATE(2026,3,15),'DRAFT 2'!$A:$A,"&lt;="&amp;DATE(2026,3,21))</f>
        <v/>
      </c>
      <c r="DN68">
        <f>COUNTIFS('DRAFT 2'!$D:$D,$B68,'DRAFT 2'!$A:$A,"&gt;="&amp;DATE(2026,3,22),'DRAFT 2'!$A:$A,"&lt;"&amp;DATE(2026,IF(3=12,3+1,3+1),1))</f>
        <v/>
      </c>
      <c r="DO68">
        <f>SUM(DK68:DN68)</f>
        <v/>
      </c>
      <c r="DZ68">
        <f>IFERROR(LOOKUP(2,1/('DRAFT 2'!$D:$D=$B68)*('DRAFT 2'!$A:$A&gt;=DATE(2026,4,1))*('DRAFT 2'!$A:$A&lt;DATE(2026,IF(4=12,4+1,4+1),1)),'DRAFT 2'!$A:$A),"")</f>
        <v/>
      </c>
      <c r="EA68">
        <f>COUNTIFS('DRAFT 2'!$D:$D,$B68,'DRAFT 2'!$A:$A,"&gt;="&amp;DATE(2026,4,1),'DRAFT 2'!$A:$A,"&lt;="&amp;DATE(2026,4,7))</f>
        <v/>
      </c>
      <c r="EB68">
        <f>COUNTIFS('DRAFT 2'!$D:$D,$B68,'DRAFT 2'!$A:$A,"&gt;="&amp;DATE(2026,4,8),'DRAFT 2'!$A:$A,"&lt;="&amp;DATE(2026,4,14))</f>
        <v/>
      </c>
      <c r="EC68">
        <f>COUNTIFS('DRAFT 2'!$D:$D,$B68,'DRAFT 2'!$A:$A,"&gt;="&amp;DATE(2026,4,15),'DRAFT 2'!$A:$A,"&lt;="&amp;DATE(2026,4,21))</f>
        <v/>
      </c>
      <c r="ED68">
        <f>COUNTIFS('DRAFT 2'!$D:$D,$B68,'DRAFT 2'!$A:$A,"&gt;="&amp;DATE(2026,4,22),'DRAFT 2'!$A:$A,"&lt;"&amp;DATE(2026,IF(4=12,4+1,4+1),1))</f>
        <v/>
      </c>
      <c r="EE68">
        <f>SUM(EA68:ED68)</f>
        <v/>
      </c>
      <c r="EO68">
        <f>IFERROR(LOOKUP(2,1/('DRAFT 2'!$D:$D=$B68)*('DRAFT 2'!$A:$A&gt;=DATE(2026,5,1))*('DRAFT 2'!$A:$A&lt;DATE(2026,IF(5=12,5+1,5+1),1)),'DRAFT 2'!$A:$A),"")</f>
        <v/>
      </c>
      <c r="EP68">
        <f>COUNTIFS('DRAFT 2'!$D:$D,$B68,'DRAFT 2'!$A:$A,"&gt;="&amp;DATE(2026,5,1),'DRAFT 2'!$A:$A,"&lt;="&amp;DATE(2026,5,7))</f>
        <v/>
      </c>
      <c r="EQ68">
        <f>COUNTIFS('DRAFT 2'!$D:$D,$B68,'DRAFT 2'!$A:$A,"&gt;="&amp;DATE(2026,5,8),'DRAFT 2'!$A:$A,"&lt;="&amp;DATE(2026,5,14))</f>
        <v/>
      </c>
      <c r="ER68">
        <f>COUNTIFS('DRAFT 2'!$D:$D,$B68,'DRAFT 2'!$A:$A,"&gt;="&amp;DATE(2026,5,15),'DRAFT 2'!$A:$A,"&lt;="&amp;DATE(2026,5,21))</f>
        <v/>
      </c>
      <c r="ES68">
        <f>COUNTIFS('DRAFT 2'!$D:$D,$B68,'DRAFT 2'!$A:$A,"&gt;="&amp;DATE(2026,5,22),'DRAFT 2'!$A:$A,"&lt;"&amp;DATE(2026,IF(5=12,5+1,5+1),1))</f>
        <v/>
      </c>
      <c r="ET68">
        <f>SUM(EP68:ES68)</f>
        <v/>
      </c>
      <c r="FD68">
        <f>IFERROR(LOOKUP(2,1/('DRAFT 2'!$D:$D=$B68)*('DRAFT 2'!$A:$A&gt;=DATE(2026,6,1))*('DRAFT 2'!$A:$A&lt;DATE(2026,IF(6=12,6+1,6+1),1)),'DRAFT 2'!$A:$A),"")</f>
        <v/>
      </c>
      <c r="FE68">
        <f>COUNTIFS('DRAFT 2'!$D:$D,$B68,'DRAFT 2'!$A:$A,"&gt;="&amp;DATE(2026,6,1),'DRAFT 2'!$A:$A,"&lt;="&amp;DATE(2026,6,7))</f>
        <v/>
      </c>
      <c r="FF68">
        <f>COUNTIFS('DRAFT 2'!$D:$D,$B68,'DRAFT 2'!$A:$A,"&gt;="&amp;DATE(2026,6,8),'DRAFT 2'!$A:$A,"&lt;="&amp;DATE(2026,6,14))</f>
        <v/>
      </c>
      <c r="FG68">
        <f>COUNTIFS('DRAFT 2'!$D:$D,$B68,'DRAFT 2'!$A:$A,"&gt;="&amp;DATE(2026,6,15),'DRAFT 2'!$A:$A,"&lt;="&amp;DATE(2026,6,21))</f>
        <v/>
      </c>
      <c r="FH68">
        <f>COUNTIFS('DRAFT 2'!$D:$D,$B68,'DRAFT 2'!$A:$A,"&gt;="&amp;DATE(2026,6,22),'DRAFT 2'!$A:$A,"&lt;"&amp;DATE(2026,IF(6=12,6+1,6+1),1))</f>
        <v/>
      </c>
      <c r="FI68">
        <f>SUM(FE68:FH68)</f>
        <v/>
      </c>
      <c r="FT68">
        <f>IFERROR(LOOKUP(2,1/('DRAFT 2'!$D:$D=$B68)*('DRAFT 2'!$A:$A&gt;=DATE(2026,7,1))*('DRAFT 2'!$A:$A&lt;DATE(2026,IF(7=12,7+1,7+1),1)),'DRAFT 2'!$A:$A),"")</f>
        <v/>
      </c>
      <c r="FU68">
        <f>COUNTIFS('DRAFT 2'!$D:$D,$B68,'DRAFT 2'!$A:$A,"&gt;="&amp;DATE(2026,7,1),'DRAFT 2'!$A:$A,"&lt;="&amp;DATE(2026,7,7))</f>
        <v/>
      </c>
      <c r="FV68">
        <f>COUNTIFS('DRAFT 2'!$D:$D,$B68,'DRAFT 2'!$A:$A,"&gt;="&amp;DATE(2026,7,8),'DRAFT 2'!$A:$A,"&lt;="&amp;DATE(2026,7,14))</f>
        <v/>
      </c>
      <c r="FW68">
        <f>COUNTIFS('DRAFT 2'!$D:$D,$B68,'DRAFT 2'!$A:$A,"&gt;="&amp;DATE(2026,7,15),'DRAFT 2'!$A:$A,"&lt;="&amp;DATE(2026,7,21))</f>
        <v/>
      </c>
      <c r="FX68">
        <f>COUNTIFS('DRAFT 2'!$D:$D,$B68,'DRAFT 2'!$A:$A,"&gt;="&amp;DATE(2026,7,22),'DRAFT 2'!$A:$A,"&lt;"&amp;DATE(2026,IF(7=12,7+1,7+1),1))</f>
        <v/>
      </c>
      <c r="FY68">
        <f>SUM(FU68:FX68)</f>
        <v/>
      </c>
      <c r="GI68">
        <f>IFERROR(LOOKUP(2,1/('DRAFT 2'!$D:$D=$B68)*('DRAFT 2'!$A:$A&gt;=DATE(2026,8,1))*('DRAFT 2'!$A:$A&lt;DATE(2026,IF(8=12,8+1,8+1),1)),'DRAFT 2'!$A:$A),"")</f>
        <v/>
      </c>
      <c r="GJ68">
        <f>COUNTIFS('DRAFT 2'!$D:$D,$B68,'DRAFT 2'!$A:$A,"&gt;="&amp;DATE(2026,8,1),'DRAFT 2'!$A:$A,"&lt;="&amp;DATE(2026,8,7))</f>
        <v/>
      </c>
      <c r="GK68">
        <f>COUNTIFS('DRAFT 2'!$D:$D,$B68,'DRAFT 2'!$A:$A,"&gt;="&amp;DATE(2026,8,8),'DRAFT 2'!$A:$A,"&lt;="&amp;DATE(2026,8,14))</f>
        <v/>
      </c>
      <c r="GL68">
        <f>COUNTIFS('DRAFT 2'!$D:$D,$B68,'DRAFT 2'!$A:$A,"&gt;="&amp;DATE(2026,8,15),'DRAFT 2'!$A:$A,"&lt;="&amp;DATE(2026,8,21))</f>
        <v/>
      </c>
      <c r="GM68">
        <f>COUNTIFS('DRAFT 2'!$D:$D,$B68,'DRAFT 2'!$A:$A,"&gt;="&amp;DATE(2026,8,22),'DRAFT 2'!$A:$A,"&lt;"&amp;DATE(2026,IF(8=12,8+1,8+1),1))</f>
        <v/>
      </c>
      <c r="GN68">
        <f>SUM(GJ68:GM68)</f>
        <v/>
      </c>
      <c r="GX68">
        <f>IFERROR(LOOKUP(2,1/('DRAFT 2'!$D:$D=$B68)*('DRAFT 2'!$A:$A&gt;=DATE(2026,9,1))*('DRAFT 2'!$A:$A&lt;DATE(2026,IF(9=12,9+1,9+1),1)),'DRAFT 2'!$A:$A),"")</f>
        <v/>
      </c>
      <c r="GY68">
        <f>COUNTIFS('DRAFT 2'!$D:$D,$B68,'DRAFT 2'!$A:$A,"&gt;="&amp;DATE(2026,9,1),'DRAFT 2'!$A:$A,"&lt;="&amp;DATE(2026,9,7))</f>
        <v/>
      </c>
      <c r="GZ68">
        <f>COUNTIFS('DRAFT 2'!$D:$D,$B68,'DRAFT 2'!$A:$A,"&gt;="&amp;DATE(2026,9,8),'DRAFT 2'!$A:$A,"&lt;="&amp;DATE(2026,9,14))</f>
        <v/>
      </c>
      <c r="HA68">
        <f>COUNTIFS('DRAFT 2'!$D:$D,$B68,'DRAFT 2'!$A:$A,"&gt;="&amp;DATE(2026,9,15),'DRAFT 2'!$A:$A,"&lt;="&amp;DATE(2026,9,21))</f>
        <v/>
      </c>
      <c r="HB68">
        <f>COUNTIFS('DRAFT 2'!$D:$D,$B68,'DRAFT 2'!$A:$A,"&gt;="&amp;DATE(2026,9,22),'DRAFT 2'!$A:$A,"&lt;"&amp;DATE(2026,IF(9=12,9+1,9+1),1))</f>
        <v/>
      </c>
      <c r="HC68">
        <f>SUM(GY68:HB68)</f>
        <v/>
      </c>
      <c r="HN68">
        <f>IFERROR(LOOKUP(2,1/('DRAFT 2'!$D:$D=$B68)*('DRAFT 2'!$A:$A&gt;=DATE(2026,10,1))*('DRAFT 2'!$A:$A&lt;DATE(2026,IF(10=12,10+1,10+1),1)),'DRAFT 2'!$A:$A),"")</f>
        <v/>
      </c>
      <c r="HO68">
        <f>COUNTIFS('DRAFT 2'!$D:$D,$B68,'DRAFT 2'!$A:$A,"&gt;="&amp;DATE(2026,10,1),'DRAFT 2'!$A:$A,"&lt;="&amp;DATE(2026,10,7))</f>
        <v/>
      </c>
      <c r="HP68">
        <f>COUNTIFS('DRAFT 2'!$D:$D,$B68,'DRAFT 2'!$A:$A,"&gt;="&amp;DATE(2026,10,8),'DRAFT 2'!$A:$A,"&lt;="&amp;DATE(2026,10,14))</f>
        <v/>
      </c>
      <c r="HQ68">
        <f>COUNTIFS('DRAFT 2'!$D:$D,$B68,'DRAFT 2'!$A:$A,"&gt;="&amp;DATE(2026,10,15),'DRAFT 2'!$A:$A,"&lt;="&amp;DATE(2026,10,21))</f>
        <v/>
      </c>
      <c r="HR68">
        <f>COUNTIFS('DRAFT 2'!$D:$D,$B68,'DRAFT 2'!$A:$A,"&gt;="&amp;DATE(2026,10,22),'DRAFT 2'!$A:$A,"&lt;"&amp;DATE(2026,IF(10=12,10+1,10+1),1))</f>
        <v/>
      </c>
      <c r="HS68">
        <f>SUM(HO68:HR68)</f>
        <v/>
      </c>
      <c r="IC68">
        <f>IFERROR(LOOKUP(2,1/('DRAFT 2'!$D:$D=$B68)*('DRAFT 2'!$A:$A&gt;=DATE(2026,11,1))*('DRAFT 2'!$A:$A&lt;DATE(2026,IF(11=12,11+1,11+1),1)),'DRAFT 2'!$A:$A),"")</f>
        <v/>
      </c>
      <c r="ID68">
        <f>COUNTIFS('DRAFT 2'!$D:$D,$B68,'DRAFT 2'!$A:$A,"&gt;="&amp;DATE(2026,11,1),'DRAFT 2'!$A:$A,"&lt;="&amp;DATE(2026,11,7))</f>
        <v/>
      </c>
      <c r="IE68">
        <f>COUNTIFS('DRAFT 2'!$D:$D,$B68,'DRAFT 2'!$A:$A,"&gt;="&amp;DATE(2026,11,8),'DRAFT 2'!$A:$A,"&lt;="&amp;DATE(2026,11,14))</f>
        <v/>
      </c>
      <c r="IF68">
        <f>COUNTIFS('DRAFT 2'!$D:$D,$B68,'DRAFT 2'!$A:$A,"&gt;="&amp;DATE(2026,11,15),'DRAFT 2'!$A:$A,"&lt;="&amp;DATE(2026,11,21))</f>
        <v/>
      </c>
      <c r="IG68">
        <f>COUNTIFS('DRAFT 2'!$D:$D,$B68,'DRAFT 2'!$A:$A,"&gt;="&amp;DATE(2026,11,22),'DRAFT 2'!$A:$A,"&lt;"&amp;DATE(2026,IF(11=12,11+1,11+1),1))</f>
        <v/>
      </c>
      <c r="IH68">
        <f>SUM(ID68:IG68)</f>
        <v/>
      </c>
      <c r="IR68">
        <f>IFERROR(LOOKUP(2,1/('DRAFT 2'!$D:$D=$B68)*('DRAFT 2'!$A:$A&gt;=DATE(2026,12,1))*('DRAFT 2'!$A:$A&lt;DATE(2026,IF(12=12,12+1,12+1),1)),'DRAFT 2'!$A:$A),"")</f>
        <v/>
      </c>
      <c r="IS68">
        <f>COUNTIFS('DRAFT 2'!$D:$D,$B68,'DRAFT 2'!$A:$A,"&gt;="&amp;DATE(2026,12,1),'DRAFT 2'!$A:$A,"&lt;="&amp;DATE(2026,12,7))</f>
        <v/>
      </c>
      <c r="IT68">
        <f>COUNTIFS('DRAFT 2'!$D:$D,$B68,'DRAFT 2'!$A:$A,"&gt;="&amp;DATE(2026,12,8),'DRAFT 2'!$A:$A,"&lt;="&amp;DATE(2026,12,14))</f>
        <v/>
      </c>
      <c r="IU68">
        <f>COUNTIFS('DRAFT 2'!$D:$D,$B68,'DRAFT 2'!$A:$A,"&gt;="&amp;DATE(2026,12,15),'DRAFT 2'!$A:$A,"&lt;="&amp;DATE(2026,12,21))</f>
        <v/>
      </c>
      <c r="IV68">
        <f>COUNTIFS('DRAFT 2'!$D:$D,$B68,'DRAFT 2'!$A:$A,"&gt;="&amp;DATE(2026,12,22),'DRAFT 2'!$A:$A,"&lt;"&amp;DATE(2026,IF(12=12,12+1,12+1),1))</f>
        <v/>
      </c>
      <c r="IW68">
        <f>SUM(IS68:IV68)</f>
        <v/>
      </c>
    </row>
    <row r="69">
      <c r="A69">
        <f>IFERROR(INDEX('DRAFT 1'!$A:$A,MATCH($B69,'DRAFT 1'!$B:$B,0)),"")</f>
        <v/>
      </c>
      <c r="C69">
        <f>IFERROR(INDEX('DRAFT 1'!$C:$C,MATCH($B69,'DRAFT 1'!$B:$B,0)),"")</f>
        <v/>
      </c>
      <c r="D69">
        <f>IFERROR(INDEX('DRAFT 1'!$D:$D,MATCH($B69,'DRAFT 1'!$B:$B,0)),"")</f>
        <v/>
      </c>
      <c r="E69">
        <f>IFERROR(INDEX('DRAFT 1'!$E:$E,MATCH($B69,'DRAFT 1'!$B:$B,0)),"")</f>
        <v/>
      </c>
      <c r="F69">
        <f>IFERROR(INDEX('DRAFT 1'!$F:$F,MATCH($B69,'DRAFT 1'!$B:$B,0)),"")</f>
        <v/>
      </c>
      <c r="G69">
        <f>IFERROR(INDEX('DRAFT 1'!$G:$G,MATCH($B69,'DRAFT 1'!$B:$B,0)),"")</f>
        <v/>
      </c>
      <c r="H69">
        <f>IFERROR(INDEX('DRAFT 1'!$H:$H,MATCH($B69,'DRAFT 1'!$B:$B,0)),"")</f>
        <v/>
      </c>
      <c r="I69" t="inlineStr">
        <is>
          <t>VIDA LEVE</t>
        </is>
      </c>
      <c r="K69">
        <f>IFERROR(INDEX('DRAFT 1'!$AL:$AL,MATCH($B69,'DRAFT 1'!$B:$B,0)),"")</f>
        <v/>
      </c>
      <c r="L69">
        <f>IFERROR(INDEX('DRAFT 1'!$J:$J,MATCH($B69,'DRAFT 1'!$B:$B,0)),"")</f>
        <v/>
      </c>
      <c r="M69">
        <f>IFERROR(INDEX('DRAFT 1'!$K:$K,MATCH($B69,'DRAFT 1'!$B:$B,0)),"")</f>
        <v/>
      </c>
      <c r="N69" t="inlineStr">
        <is>
          <t>INAT.ANT</t>
        </is>
      </c>
      <c r="P69">
        <f>IFERROR(INDEX('DRAFT 1'!$L:$L,MATCH($B69,'DRAFT 1'!$B:$B,0)),"")</f>
        <v/>
      </c>
      <c r="Q69">
        <f>IFERROR(INDEX('DRAFT 1'!$M:$M,MATCH($B69,'DRAFT 1'!$B:$B,0)),"")</f>
        <v/>
      </c>
      <c r="R69">
        <f>IFERROR(INDEX('DRAFT 1'!$N:$N,MATCH($B69,'DRAFT 1'!$B:$B,0)),"")</f>
        <v/>
      </c>
      <c r="S69">
        <f>IFERROR(INDEX('DRAFT 1'!$O:$O,MATCH($B69,'DRAFT 1'!$B:$B,0)),"")</f>
        <v/>
      </c>
      <c r="T69">
        <f>IFERROR(INDEX('DRAFT 1'!$P:$P,MATCH($B69,'DRAFT 1'!$B:$B,0)),"")</f>
        <v/>
      </c>
      <c r="U69">
        <f>IFERROR(INDEX('DRAFT 1'!$Q:$Q,MATCH($B69,'DRAFT 1'!$B:$B,0)),"")</f>
        <v/>
      </c>
      <c r="V69">
        <f>IFERROR(INDEX('DRAFT 1'!$R:$R,MATCH($B69,'DRAFT 1'!$B:$B,0)),"")</f>
        <v/>
      </c>
      <c r="W69">
        <f>IFERROR(INDEX('DRAFT 1'!$S:$S,MATCH($B69,'DRAFT 1'!$B:$B,0)),"")</f>
        <v/>
      </c>
      <c r="X69">
        <f>IFERROR(INDEX('DRAFT 1'!$T:$T,MATCH($B69,'DRAFT 1'!$B:$B,0)),"")</f>
        <v/>
      </c>
      <c r="Z69">
        <f>IFERROR(INDEX('DRAFT 1'!$U:$U,MATCH($B69,'DRAFT 1'!$B:$B,0)),"")</f>
        <v/>
      </c>
      <c r="AA69">
        <f>IFERROR(INDEX('DRAFT 1'!$V:$V,MATCH($B69,'DRAFT 1'!$B:$B,0)),"")</f>
        <v/>
      </c>
      <c r="AB69">
        <f>IFERROR(INDEX('DRAFT 1'!$W:$W,MATCH($B69,'DRAFT 1'!$B:$B,0)),"")</f>
        <v/>
      </c>
      <c r="AC69">
        <f>IFERROR(INDEX('DRAFT 1'!$X:$X,MATCH($B69,'DRAFT 1'!$B:$B,0)),"")</f>
        <v/>
      </c>
      <c r="AD69">
        <f>IFERROR(INDEX('DRAFT 1'!$Y:$Y,MATCH($B69,'DRAFT 1'!$B:$B,0)),"")</f>
        <v/>
      </c>
      <c r="AE69">
        <f>IFERROR(INDEX('DRAFT 1'!$Z:$Z,MATCH($B69,'DRAFT 1'!$B:$B,0)),"")</f>
        <v/>
      </c>
      <c r="AF69">
        <f>IFERROR(INDEX('DRAFT 1'!$AA:$AA,MATCH($B69,'DRAFT 1'!$B:$B,0)),"")</f>
        <v/>
      </c>
      <c r="AG69">
        <f>IFERROR(INDEX('DRAFT 1'!$AB:$AB,MATCH($B69,'DRAFT 1'!$B:$B,0)),"")</f>
        <v/>
      </c>
      <c r="AH69">
        <f>IFERROR(INDEX('DRAFT 1'!$AC:$AC,MATCH($B69,'DRAFT 1'!$B:$B,0)),"")</f>
        <v/>
      </c>
      <c r="AI69">
        <f>IFERROR(INDEX('DRAFT 1'!$AD:$AD,MATCH($B69,'DRAFT 1'!$B:$B,0)),"")</f>
        <v/>
      </c>
      <c r="AJ69">
        <f>IFERROR(INDEX('DRAFT 1'!$AE:$AE,MATCH($B69,'DRAFT 1'!$B:$B,0)),"")</f>
        <v/>
      </c>
      <c r="AK69">
        <f>IFERROR(INDEX('DRAFT 1'!$AG:$AG,MATCH($B69,'DRAFT 1'!$B:$B,0)),"")</f>
        <v/>
      </c>
      <c r="AL69">
        <f>IFERROR(INDEX('DRAFT 1'!$AH:$AH,MATCH($B69,'DRAFT 1'!$B:$B,0)),"")</f>
        <v/>
      </c>
      <c r="AM69">
        <f>IFERROR(INDEX('DRAFT 1'!$AI:$AI,MATCH($B69,'DRAFT 1'!$B:$B,0)),"")</f>
        <v/>
      </c>
      <c r="AN69">
        <f>IFERROR(INDEX('DRAFT 1'!$AJ:$AJ,MATCH($B69,'DRAFT 1'!$B:$B,0)),"")</f>
        <v/>
      </c>
      <c r="AO69">
        <f>IFERROR(Y69/AN69,0)</f>
        <v/>
      </c>
      <c r="AP69">
        <f>IFERROR(INDEX('DRAFT 1'!$AK:$AK,MATCH($B69,'DRAFT 1'!$B:$B,0)),"")</f>
        <v/>
      </c>
      <c r="AR69" t="inlineStr">
        <is>
          <t>CS</t>
        </is>
      </c>
      <c r="AS69">
        <f>IFERROR(LOOKUP(2,1/('DRAFT 2'!$D:$D=$B69),'DRAFT 2'!$T:$T),"")</f>
        <v/>
      </c>
      <c r="AT69">
        <f>IFERROR(LOOKUP(2,1/('DRAFT 2'!$D:$D=$B69),'DRAFT 2'!$A:$A),"")</f>
        <v/>
      </c>
      <c r="AU69">
        <f>IFERROR(LOOKUP(2,1/('DRAFT 2'!$D:$D=$B69),'DRAFT 2'!$R:$R),"")</f>
        <v/>
      </c>
      <c r="AV69">
        <f>IFERROR(LOOKUP(2,1/('DRAFT 2'!$D:$D=$B69),'DRAFT 2'!$S:$S),"")</f>
        <v/>
      </c>
      <c r="AW69" t="inlineStr">
        <is>
          <t>FIDELIZADO</t>
        </is>
      </c>
      <c r="AX69">
        <f>IFERROR(LOOKUP(2,1/('DRAFT 2'!$D:$D=$B69),'DRAFT 2'!$M:$M),"")</f>
        <v/>
      </c>
      <c r="AY69">
        <f>IFERROR(LOOKUP(2,1/('DRAFT 2'!$D:$D=$B69),'DRAFT 2'!$K:$K),"")</f>
        <v/>
      </c>
      <c r="BG69">
        <f>IFERROR(LOOKUP(2,1/('DRAFT 2'!$D:$D=$B69),'DRAFT 2'!$U:$U),"")</f>
        <v/>
      </c>
      <c r="BH69">
        <f>IFERROR(LOOKUP(2,1/('DRAFT 2'!$D:$D=$B69),'DRAFT 2'!$V:$V),"")</f>
        <v/>
      </c>
      <c r="CE69">
        <f>IFERROR(AJ69,0)</f>
        <v/>
      </c>
      <c r="CF69">
        <f>IFERROR(LOOKUP(2,1/('DRAFT 2'!$D:$D=$B69)*('DRAFT 2'!$A:$A&gt;=DATE(2026,1,1))*('DRAFT 2'!$A:$A&lt;DATE(2026,IF(1=12,1+1,1+1),1)),'DRAFT 2'!$A:$A),"")</f>
        <v/>
      </c>
      <c r="CG69">
        <f>COUNTIFS('DRAFT 2'!$D:$D,$B69,'DRAFT 2'!$A:$A,"&gt;="&amp;DATE(2026,1,1),'DRAFT 2'!$A:$A,"&lt;="&amp;DATE(2026,1,7))</f>
        <v/>
      </c>
      <c r="CH69">
        <f>COUNTIFS('DRAFT 2'!$D:$D,$B69,'DRAFT 2'!$A:$A,"&gt;="&amp;DATE(2026,1,8),'DRAFT 2'!$A:$A,"&lt;="&amp;DATE(2026,1,14))</f>
        <v/>
      </c>
      <c r="CI69">
        <f>COUNTIFS('DRAFT 2'!$D:$D,$B69,'DRAFT 2'!$A:$A,"&gt;="&amp;DATE(2026,1,15),'DRAFT 2'!$A:$A,"&lt;="&amp;DATE(2026,1,21))</f>
        <v/>
      </c>
      <c r="CJ69">
        <f>COUNTIFS('DRAFT 2'!$D:$D,$B69,'DRAFT 2'!$A:$A,"&gt;="&amp;DATE(2026,1,22),'DRAFT 2'!$A:$A,"&lt;"&amp;DATE(2026,IF(1=12,1+1,1+1),1))</f>
        <v/>
      </c>
      <c r="CK69">
        <f>SUM(CG69:CJ69)</f>
        <v/>
      </c>
      <c r="CT69" t="n">
        <v>0</v>
      </c>
      <c r="CU69">
        <f>IFERROR(LOOKUP(2,1/('DRAFT 2'!$D:$D=$B69)*('DRAFT 2'!$A:$A&gt;=DATE(2026,2,1))*('DRAFT 2'!$A:$A&lt;DATE(2026,IF(2=12,2+1,2+1),1)),'DRAFT 2'!$A:$A),"")</f>
        <v/>
      </c>
      <c r="CV69">
        <f>COUNTIFS('DRAFT 2'!$D:$D,$B69,'DRAFT 2'!$A:$A,"&gt;="&amp;DATE(2026,2,1),'DRAFT 2'!$A:$A,"&lt;="&amp;DATE(2026,2,7))</f>
        <v/>
      </c>
      <c r="CW69">
        <f>COUNTIFS('DRAFT 2'!$D:$D,$B69,'DRAFT 2'!$A:$A,"&gt;="&amp;DATE(2026,2,8),'DRAFT 2'!$A:$A,"&lt;="&amp;DATE(2026,2,14))</f>
        <v/>
      </c>
      <c r="CX69">
        <f>COUNTIFS('DRAFT 2'!$D:$D,$B69,'DRAFT 2'!$A:$A,"&gt;="&amp;DATE(2026,2,15),'DRAFT 2'!$A:$A,"&lt;="&amp;DATE(2026,2,21))</f>
        <v/>
      </c>
      <c r="CY69">
        <f>COUNTIFS('DRAFT 2'!$D:$D,$B69,'DRAFT 2'!$A:$A,"&gt;="&amp;DATE(2026,2,22),'DRAFT 2'!$A:$A,"&lt;"&amp;DATE(2026,IF(2=12,2+1,2+1),1))</f>
        <v/>
      </c>
      <c r="CZ69">
        <f>SUM(CV69:CY69)</f>
        <v/>
      </c>
      <c r="DJ69">
        <f>IFERROR(LOOKUP(2,1/('DRAFT 2'!$D:$D=$B69)*('DRAFT 2'!$A:$A&gt;=DATE(2026,3,1))*('DRAFT 2'!$A:$A&lt;DATE(2026,IF(3=12,3+1,3+1),1)),'DRAFT 2'!$A:$A),"")</f>
        <v/>
      </c>
      <c r="DK69">
        <f>COUNTIFS('DRAFT 2'!$D:$D,$B69,'DRAFT 2'!$A:$A,"&gt;="&amp;DATE(2026,3,1),'DRAFT 2'!$A:$A,"&lt;="&amp;DATE(2026,3,7))</f>
        <v/>
      </c>
      <c r="DL69">
        <f>COUNTIFS('DRAFT 2'!$D:$D,$B69,'DRAFT 2'!$A:$A,"&gt;="&amp;DATE(2026,3,8),'DRAFT 2'!$A:$A,"&lt;="&amp;DATE(2026,3,14))</f>
        <v/>
      </c>
      <c r="DM69">
        <f>COUNTIFS('DRAFT 2'!$D:$D,$B69,'DRAFT 2'!$A:$A,"&gt;="&amp;DATE(2026,3,15),'DRAFT 2'!$A:$A,"&lt;="&amp;DATE(2026,3,21))</f>
        <v/>
      </c>
      <c r="DN69">
        <f>COUNTIFS('DRAFT 2'!$D:$D,$B69,'DRAFT 2'!$A:$A,"&gt;="&amp;DATE(2026,3,22),'DRAFT 2'!$A:$A,"&lt;"&amp;DATE(2026,IF(3=12,3+1,3+1),1))</f>
        <v/>
      </c>
      <c r="DO69">
        <f>SUM(DK69:DN69)</f>
        <v/>
      </c>
      <c r="DZ69">
        <f>IFERROR(LOOKUP(2,1/('DRAFT 2'!$D:$D=$B69)*('DRAFT 2'!$A:$A&gt;=DATE(2026,4,1))*('DRAFT 2'!$A:$A&lt;DATE(2026,IF(4=12,4+1,4+1),1)),'DRAFT 2'!$A:$A),"")</f>
        <v/>
      </c>
      <c r="EA69">
        <f>COUNTIFS('DRAFT 2'!$D:$D,$B69,'DRAFT 2'!$A:$A,"&gt;="&amp;DATE(2026,4,1),'DRAFT 2'!$A:$A,"&lt;="&amp;DATE(2026,4,7))</f>
        <v/>
      </c>
      <c r="EB69">
        <f>COUNTIFS('DRAFT 2'!$D:$D,$B69,'DRAFT 2'!$A:$A,"&gt;="&amp;DATE(2026,4,8),'DRAFT 2'!$A:$A,"&lt;="&amp;DATE(2026,4,14))</f>
        <v/>
      </c>
      <c r="EC69">
        <f>COUNTIFS('DRAFT 2'!$D:$D,$B69,'DRAFT 2'!$A:$A,"&gt;="&amp;DATE(2026,4,15),'DRAFT 2'!$A:$A,"&lt;="&amp;DATE(2026,4,21))</f>
        <v/>
      </c>
      <c r="ED69">
        <f>COUNTIFS('DRAFT 2'!$D:$D,$B69,'DRAFT 2'!$A:$A,"&gt;="&amp;DATE(2026,4,22),'DRAFT 2'!$A:$A,"&lt;"&amp;DATE(2026,IF(4=12,4+1,4+1),1))</f>
        <v/>
      </c>
      <c r="EE69">
        <f>SUM(EA69:ED69)</f>
        <v/>
      </c>
      <c r="EO69">
        <f>IFERROR(LOOKUP(2,1/('DRAFT 2'!$D:$D=$B69)*('DRAFT 2'!$A:$A&gt;=DATE(2026,5,1))*('DRAFT 2'!$A:$A&lt;DATE(2026,IF(5=12,5+1,5+1),1)),'DRAFT 2'!$A:$A),"")</f>
        <v/>
      </c>
      <c r="EP69">
        <f>COUNTIFS('DRAFT 2'!$D:$D,$B69,'DRAFT 2'!$A:$A,"&gt;="&amp;DATE(2026,5,1),'DRAFT 2'!$A:$A,"&lt;="&amp;DATE(2026,5,7))</f>
        <v/>
      </c>
      <c r="EQ69">
        <f>COUNTIFS('DRAFT 2'!$D:$D,$B69,'DRAFT 2'!$A:$A,"&gt;="&amp;DATE(2026,5,8),'DRAFT 2'!$A:$A,"&lt;="&amp;DATE(2026,5,14))</f>
        <v/>
      </c>
      <c r="ER69">
        <f>COUNTIFS('DRAFT 2'!$D:$D,$B69,'DRAFT 2'!$A:$A,"&gt;="&amp;DATE(2026,5,15),'DRAFT 2'!$A:$A,"&lt;="&amp;DATE(2026,5,21))</f>
        <v/>
      </c>
      <c r="ES69">
        <f>COUNTIFS('DRAFT 2'!$D:$D,$B69,'DRAFT 2'!$A:$A,"&gt;="&amp;DATE(2026,5,22),'DRAFT 2'!$A:$A,"&lt;"&amp;DATE(2026,IF(5=12,5+1,5+1),1))</f>
        <v/>
      </c>
      <c r="ET69">
        <f>SUM(EP69:ES69)</f>
        <v/>
      </c>
      <c r="FD69">
        <f>IFERROR(LOOKUP(2,1/('DRAFT 2'!$D:$D=$B69)*('DRAFT 2'!$A:$A&gt;=DATE(2026,6,1))*('DRAFT 2'!$A:$A&lt;DATE(2026,IF(6=12,6+1,6+1),1)),'DRAFT 2'!$A:$A),"")</f>
        <v/>
      </c>
      <c r="FE69">
        <f>COUNTIFS('DRAFT 2'!$D:$D,$B69,'DRAFT 2'!$A:$A,"&gt;="&amp;DATE(2026,6,1),'DRAFT 2'!$A:$A,"&lt;="&amp;DATE(2026,6,7))</f>
        <v/>
      </c>
      <c r="FF69">
        <f>COUNTIFS('DRAFT 2'!$D:$D,$B69,'DRAFT 2'!$A:$A,"&gt;="&amp;DATE(2026,6,8),'DRAFT 2'!$A:$A,"&lt;="&amp;DATE(2026,6,14))</f>
        <v/>
      </c>
      <c r="FG69">
        <f>COUNTIFS('DRAFT 2'!$D:$D,$B69,'DRAFT 2'!$A:$A,"&gt;="&amp;DATE(2026,6,15),'DRAFT 2'!$A:$A,"&lt;="&amp;DATE(2026,6,21))</f>
        <v/>
      </c>
      <c r="FH69">
        <f>COUNTIFS('DRAFT 2'!$D:$D,$B69,'DRAFT 2'!$A:$A,"&gt;="&amp;DATE(2026,6,22),'DRAFT 2'!$A:$A,"&lt;"&amp;DATE(2026,IF(6=12,6+1,6+1),1))</f>
        <v/>
      </c>
      <c r="FI69">
        <f>SUM(FE69:FH69)</f>
        <v/>
      </c>
      <c r="FT69">
        <f>IFERROR(LOOKUP(2,1/('DRAFT 2'!$D:$D=$B69)*('DRAFT 2'!$A:$A&gt;=DATE(2026,7,1))*('DRAFT 2'!$A:$A&lt;DATE(2026,IF(7=12,7+1,7+1),1)),'DRAFT 2'!$A:$A),"")</f>
        <v/>
      </c>
      <c r="FU69">
        <f>COUNTIFS('DRAFT 2'!$D:$D,$B69,'DRAFT 2'!$A:$A,"&gt;="&amp;DATE(2026,7,1),'DRAFT 2'!$A:$A,"&lt;="&amp;DATE(2026,7,7))</f>
        <v/>
      </c>
      <c r="FV69">
        <f>COUNTIFS('DRAFT 2'!$D:$D,$B69,'DRAFT 2'!$A:$A,"&gt;="&amp;DATE(2026,7,8),'DRAFT 2'!$A:$A,"&lt;="&amp;DATE(2026,7,14))</f>
        <v/>
      </c>
      <c r="FW69">
        <f>COUNTIFS('DRAFT 2'!$D:$D,$B69,'DRAFT 2'!$A:$A,"&gt;="&amp;DATE(2026,7,15),'DRAFT 2'!$A:$A,"&lt;="&amp;DATE(2026,7,21))</f>
        <v/>
      </c>
      <c r="FX69">
        <f>COUNTIFS('DRAFT 2'!$D:$D,$B69,'DRAFT 2'!$A:$A,"&gt;="&amp;DATE(2026,7,22),'DRAFT 2'!$A:$A,"&lt;"&amp;DATE(2026,IF(7=12,7+1,7+1),1))</f>
        <v/>
      </c>
      <c r="FY69">
        <f>SUM(FU69:FX69)</f>
        <v/>
      </c>
      <c r="GI69">
        <f>IFERROR(LOOKUP(2,1/('DRAFT 2'!$D:$D=$B69)*('DRAFT 2'!$A:$A&gt;=DATE(2026,8,1))*('DRAFT 2'!$A:$A&lt;DATE(2026,IF(8=12,8+1,8+1),1)),'DRAFT 2'!$A:$A),"")</f>
        <v/>
      </c>
      <c r="GJ69">
        <f>COUNTIFS('DRAFT 2'!$D:$D,$B69,'DRAFT 2'!$A:$A,"&gt;="&amp;DATE(2026,8,1),'DRAFT 2'!$A:$A,"&lt;="&amp;DATE(2026,8,7))</f>
        <v/>
      </c>
      <c r="GK69">
        <f>COUNTIFS('DRAFT 2'!$D:$D,$B69,'DRAFT 2'!$A:$A,"&gt;="&amp;DATE(2026,8,8),'DRAFT 2'!$A:$A,"&lt;="&amp;DATE(2026,8,14))</f>
        <v/>
      </c>
      <c r="GL69">
        <f>COUNTIFS('DRAFT 2'!$D:$D,$B69,'DRAFT 2'!$A:$A,"&gt;="&amp;DATE(2026,8,15),'DRAFT 2'!$A:$A,"&lt;="&amp;DATE(2026,8,21))</f>
        <v/>
      </c>
      <c r="GM69">
        <f>COUNTIFS('DRAFT 2'!$D:$D,$B69,'DRAFT 2'!$A:$A,"&gt;="&amp;DATE(2026,8,22),'DRAFT 2'!$A:$A,"&lt;"&amp;DATE(2026,IF(8=12,8+1,8+1),1))</f>
        <v/>
      </c>
      <c r="GN69">
        <f>SUM(GJ69:GM69)</f>
        <v/>
      </c>
      <c r="GX69">
        <f>IFERROR(LOOKUP(2,1/('DRAFT 2'!$D:$D=$B69)*('DRAFT 2'!$A:$A&gt;=DATE(2026,9,1))*('DRAFT 2'!$A:$A&lt;DATE(2026,IF(9=12,9+1,9+1),1)),'DRAFT 2'!$A:$A),"")</f>
        <v/>
      </c>
      <c r="GY69">
        <f>COUNTIFS('DRAFT 2'!$D:$D,$B69,'DRAFT 2'!$A:$A,"&gt;="&amp;DATE(2026,9,1),'DRAFT 2'!$A:$A,"&lt;="&amp;DATE(2026,9,7))</f>
        <v/>
      </c>
      <c r="GZ69">
        <f>COUNTIFS('DRAFT 2'!$D:$D,$B69,'DRAFT 2'!$A:$A,"&gt;="&amp;DATE(2026,9,8),'DRAFT 2'!$A:$A,"&lt;="&amp;DATE(2026,9,14))</f>
        <v/>
      </c>
      <c r="HA69">
        <f>COUNTIFS('DRAFT 2'!$D:$D,$B69,'DRAFT 2'!$A:$A,"&gt;="&amp;DATE(2026,9,15),'DRAFT 2'!$A:$A,"&lt;="&amp;DATE(2026,9,21))</f>
        <v/>
      </c>
      <c r="HB69">
        <f>COUNTIFS('DRAFT 2'!$D:$D,$B69,'DRAFT 2'!$A:$A,"&gt;="&amp;DATE(2026,9,22),'DRAFT 2'!$A:$A,"&lt;"&amp;DATE(2026,IF(9=12,9+1,9+1),1))</f>
        <v/>
      </c>
      <c r="HC69">
        <f>SUM(GY69:HB69)</f>
        <v/>
      </c>
      <c r="HN69">
        <f>IFERROR(LOOKUP(2,1/('DRAFT 2'!$D:$D=$B69)*('DRAFT 2'!$A:$A&gt;=DATE(2026,10,1))*('DRAFT 2'!$A:$A&lt;DATE(2026,IF(10=12,10+1,10+1),1)),'DRAFT 2'!$A:$A),"")</f>
        <v/>
      </c>
      <c r="HO69">
        <f>COUNTIFS('DRAFT 2'!$D:$D,$B69,'DRAFT 2'!$A:$A,"&gt;="&amp;DATE(2026,10,1),'DRAFT 2'!$A:$A,"&lt;="&amp;DATE(2026,10,7))</f>
        <v/>
      </c>
      <c r="HP69">
        <f>COUNTIFS('DRAFT 2'!$D:$D,$B69,'DRAFT 2'!$A:$A,"&gt;="&amp;DATE(2026,10,8),'DRAFT 2'!$A:$A,"&lt;="&amp;DATE(2026,10,14))</f>
        <v/>
      </c>
      <c r="HQ69">
        <f>COUNTIFS('DRAFT 2'!$D:$D,$B69,'DRAFT 2'!$A:$A,"&gt;="&amp;DATE(2026,10,15),'DRAFT 2'!$A:$A,"&lt;="&amp;DATE(2026,10,21))</f>
        <v/>
      </c>
      <c r="HR69">
        <f>COUNTIFS('DRAFT 2'!$D:$D,$B69,'DRAFT 2'!$A:$A,"&gt;="&amp;DATE(2026,10,22),'DRAFT 2'!$A:$A,"&lt;"&amp;DATE(2026,IF(10=12,10+1,10+1),1))</f>
        <v/>
      </c>
      <c r="HS69">
        <f>SUM(HO69:HR69)</f>
        <v/>
      </c>
      <c r="IC69">
        <f>IFERROR(LOOKUP(2,1/('DRAFT 2'!$D:$D=$B69)*('DRAFT 2'!$A:$A&gt;=DATE(2026,11,1))*('DRAFT 2'!$A:$A&lt;DATE(2026,IF(11=12,11+1,11+1),1)),'DRAFT 2'!$A:$A),"")</f>
        <v/>
      </c>
      <c r="ID69">
        <f>COUNTIFS('DRAFT 2'!$D:$D,$B69,'DRAFT 2'!$A:$A,"&gt;="&amp;DATE(2026,11,1),'DRAFT 2'!$A:$A,"&lt;="&amp;DATE(2026,11,7))</f>
        <v/>
      </c>
      <c r="IE69">
        <f>COUNTIFS('DRAFT 2'!$D:$D,$B69,'DRAFT 2'!$A:$A,"&gt;="&amp;DATE(2026,11,8),'DRAFT 2'!$A:$A,"&lt;="&amp;DATE(2026,11,14))</f>
        <v/>
      </c>
      <c r="IF69">
        <f>COUNTIFS('DRAFT 2'!$D:$D,$B69,'DRAFT 2'!$A:$A,"&gt;="&amp;DATE(2026,11,15),'DRAFT 2'!$A:$A,"&lt;="&amp;DATE(2026,11,21))</f>
        <v/>
      </c>
      <c r="IG69">
        <f>COUNTIFS('DRAFT 2'!$D:$D,$B69,'DRAFT 2'!$A:$A,"&gt;="&amp;DATE(2026,11,22),'DRAFT 2'!$A:$A,"&lt;"&amp;DATE(2026,IF(11=12,11+1,11+1),1))</f>
        <v/>
      </c>
      <c r="IH69">
        <f>SUM(ID69:IG69)</f>
        <v/>
      </c>
      <c r="IR69">
        <f>IFERROR(LOOKUP(2,1/('DRAFT 2'!$D:$D=$B69)*('DRAFT 2'!$A:$A&gt;=DATE(2026,12,1))*('DRAFT 2'!$A:$A&lt;DATE(2026,IF(12=12,12+1,12+1),1)),'DRAFT 2'!$A:$A),"")</f>
        <v/>
      </c>
      <c r="IS69">
        <f>COUNTIFS('DRAFT 2'!$D:$D,$B69,'DRAFT 2'!$A:$A,"&gt;="&amp;DATE(2026,12,1),'DRAFT 2'!$A:$A,"&lt;="&amp;DATE(2026,12,7))</f>
        <v/>
      </c>
      <c r="IT69">
        <f>COUNTIFS('DRAFT 2'!$D:$D,$B69,'DRAFT 2'!$A:$A,"&gt;="&amp;DATE(2026,12,8),'DRAFT 2'!$A:$A,"&lt;="&amp;DATE(2026,12,14))</f>
        <v/>
      </c>
      <c r="IU69">
        <f>COUNTIFS('DRAFT 2'!$D:$D,$B69,'DRAFT 2'!$A:$A,"&gt;="&amp;DATE(2026,12,15),'DRAFT 2'!$A:$A,"&lt;="&amp;DATE(2026,12,21))</f>
        <v/>
      </c>
      <c r="IV69">
        <f>COUNTIFS('DRAFT 2'!$D:$D,$B69,'DRAFT 2'!$A:$A,"&gt;="&amp;DATE(2026,12,22),'DRAFT 2'!$A:$A,"&lt;"&amp;DATE(2026,IF(12=12,12+1,12+1),1))</f>
        <v/>
      </c>
      <c r="IW69">
        <f>SUM(IS69:IV69)</f>
        <v/>
      </c>
    </row>
    <row r="70">
      <c r="A70">
        <f>IFERROR(INDEX('DRAFT 1'!$A:$A,MATCH($B70,'DRAFT 1'!$B:$B,0)),"")</f>
        <v/>
      </c>
      <c r="C70">
        <f>IFERROR(INDEX('DRAFT 1'!$C:$C,MATCH($B70,'DRAFT 1'!$B:$B,0)),"")</f>
        <v/>
      </c>
      <c r="D70">
        <f>IFERROR(INDEX('DRAFT 1'!$D:$D,MATCH($B70,'DRAFT 1'!$B:$B,0)),"")</f>
        <v/>
      </c>
      <c r="E70">
        <f>IFERROR(INDEX('DRAFT 1'!$E:$E,MATCH($B70,'DRAFT 1'!$B:$B,0)),"")</f>
        <v/>
      </c>
      <c r="F70">
        <f>IFERROR(INDEX('DRAFT 1'!$F:$F,MATCH($B70,'DRAFT 1'!$B:$B,0)),"")</f>
        <v/>
      </c>
      <c r="G70">
        <f>IFERROR(INDEX('DRAFT 1'!$G:$G,MATCH($B70,'DRAFT 1'!$B:$B,0)),"")</f>
        <v/>
      </c>
      <c r="H70">
        <f>IFERROR(INDEX('DRAFT 1'!$H:$H,MATCH($B70,'DRAFT 1'!$B:$B,0)),"")</f>
        <v/>
      </c>
      <c r="I70" t="inlineStr">
        <is>
          <t>DEMAIS CLIENTES</t>
        </is>
      </c>
      <c r="K70">
        <f>IFERROR(INDEX('DRAFT 1'!$AL:$AL,MATCH($B70,'DRAFT 1'!$B:$B,0)),"")</f>
        <v/>
      </c>
      <c r="L70">
        <f>IFERROR(INDEX('DRAFT 1'!$J:$J,MATCH($B70,'DRAFT 1'!$B:$B,0)),"")</f>
        <v/>
      </c>
      <c r="M70">
        <f>IFERROR(INDEX('DRAFT 1'!$K:$K,MATCH($B70,'DRAFT 1'!$B:$B,0)),"")</f>
        <v/>
      </c>
      <c r="N70" t="inlineStr">
        <is>
          <t>ATIVO</t>
        </is>
      </c>
      <c r="P70">
        <f>IFERROR(INDEX('DRAFT 1'!$L:$L,MATCH($B70,'DRAFT 1'!$B:$B,0)),"")</f>
        <v/>
      </c>
      <c r="Q70">
        <f>IFERROR(INDEX('DRAFT 1'!$M:$M,MATCH($B70,'DRAFT 1'!$B:$B,0)),"")</f>
        <v/>
      </c>
      <c r="R70">
        <f>IFERROR(INDEX('DRAFT 1'!$N:$N,MATCH($B70,'DRAFT 1'!$B:$B,0)),"")</f>
        <v/>
      </c>
      <c r="S70">
        <f>IFERROR(INDEX('DRAFT 1'!$O:$O,MATCH($B70,'DRAFT 1'!$B:$B,0)),"")</f>
        <v/>
      </c>
      <c r="T70">
        <f>IFERROR(INDEX('DRAFT 1'!$P:$P,MATCH($B70,'DRAFT 1'!$B:$B,0)),"")</f>
        <v/>
      </c>
      <c r="U70">
        <f>IFERROR(INDEX('DRAFT 1'!$Q:$Q,MATCH($B70,'DRAFT 1'!$B:$B,0)),"")</f>
        <v/>
      </c>
      <c r="V70">
        <f>IFERROR(INDEX('DRAFT 1'!$R:$R,MATCH($B70,'DRAFT 1'!$B:$B,0)),"")</f>
        <v/>
      </c>
      <c r="W70">
        <f>IFERROR(INDEX('DRAFT 1'!$S:$S,MATCH($B70,'DRAFT 1'!$B:$B,0)),"")</f>
        <v/>
      </c>
      <c r="X70">
        <f>IFERROR(INDEX('DRAFT 1'!$T:$T,MATCH($B70,'DRAFT 1'!$B:$B,0)),"")</f>
        <v/>
      </c>
      <c r="Z70">
        <f>IFERROR(INDEX('DRAFT 1'!$U:$U,MATCH($B70,'DRAFT 1'!$B:$B,0)),"")</f>
        <v/>
      </c>
      <c r="AA70">
        <f>IFERROR(INDEX('DRAFT 1'!$V:$V,MATCH($B70,'DRAFT 1'!$B:$B,0)),"")</f>
        <v/>
      </c>
      <c r="AB70">
        <f>IFERROR(INDEX('DRAFT 1'!$W:$W,MATCH($B70,'DRAFT 1'!$B:$B,0)),"")</f>
        <v/>
      </c>
      <c r="AC70">
        <f>IFERROR(INDEX('DRAFT 1'!$X:$X,MATCH($B70,'DRAFT 1'!$B:$B,0)),"")</f>
        <v/>
      </c>
      <c r="AD70">
        <f>IFERROR(INDEX('DRAFT 1'!$Y:$Y,MATCH($B70,'DRAFT 1'!$B:$B,0)),"")</f>
        <v/>
      </c>
      <c r="AE70">
        <f>IFERROR(INDEX('DRAFT 1'!$Z:$Z,MATCH($B70,'DRAFT 1'!$B:$B,0)),"")</f>
        <v/>
      </c>
      <c r="AF70">
        <f>IFERROR(INDEX('DRAFT 1'!$AA:$AA,MATCH($B70,'DRAFT 1'!$B:$B,0)),"")</f>
        <v/>
      </c>
      <c r="AG70">
        <f>IFERROR(INDEX('DRAFT 1'!$AB:$AB,MATCH($B70,'DRAFT 1'!$B:$B,0)),"")</f>
        <v/>
      </c>
      <c r="AH70">
        <f>IFERROR(INDEX('DRAFT 1'!$AC:$AC,MATCH($B70,'DRAFT 1'!$B:$B,0)),"")</f>
        <v/>
      </c>
      <c r="AI70">
        <f>IFERROR(INDEX('DRAFT 1'!$AD:$AD,MATCH($B70,'DRAFT 1'!$B:$B,0)),"")</f>
        <v/>
      </c>
      <c r="AJ70">
        <f>IFERROR(INDEX('DRAFT 1'!$AE:$AE,MATCH($B70,'DRAFT 1'!$B:$B,0)),"")</f>
        <v/>
      </c>
      <c r="AK70">
        <f>IFERROR(INDEX('DRAFT 1'!$AG:$AG,MATCH($B70,'DRAFT 1'!$B:$B,0)),"")</f>
        <v/>
      </c>
      <c r="AL70">
        <f>IFERROR(INDEX('DRAFT 1'!$AH:$AH,MATCH($B70,'DRAFT 1'!$B:$B,0)),"")</f>
        <v/>
      </c>
      <c r="AM70">
        <f>IFERROR(INDEX('DRAFT 1'!$AI:$AI,MATCH($B70,'DRAFT 1'!$B:$B,0)),"")</f>
        <v/>
      </c>
      <c r="AN70">
        <f>IFERROR(INDEX('DRAFT 1'!$AJ:$AJ,MATCH($B70,'DRAFT 1'!$B:$B,0)),"")</f>
        <v/>
      </c>
      <c r="AO70">
        <f>IFERROR(Y70/AN70,0)</f>
        <v/>
      </c>
      <c r="AP70">
        <f>IFERROR(INDEX('DRAFT 1'!$AK:$AK,MATCH($B70,'DRAFT 1'!$B:$B,0)),"")</f>
        <v/>
      </c>
      <c r="AR70" t="inlineStr">
        <is>
          <t>CS</t>
        </is>
      </c>
      <c r="AS70">
        <f>IFERROR(LOOKUP(2,1/('DRAFT 2'!$D:$D=$B70),'DRAFT 2'!$T:$T),"")</f>
        <v/>
      </c>
      <c r="AT70">
        <f>IFERROR(LOOKUP(2,1/('DRAFT 2'!$D:$D=$B70),'DRAFT 2'!$A:$A),"")</f>
        <v/>
      </c>
      <c r="AU70">
        <f>IFERROR(LOOKUP(2,1/('DRAFT 2'!$D:$D=$B70),'DRAFT 2'!$R:$R),"")</f>
        <v/>
      </c>
      <c r="AV70">
        <f>IFERROR(LOOKUP(2,1/('DRAFT 2'!$D:$D=$B70),'DRAFT 2'!$S:$S),"")</f>
        <v/>
      </c>
      <c r="AW70" t="inlineStr">
        <is>
          <t>PROSPECT</t>
        </is>
      </c>
      <c r="AX70">
        <f>IFERROR(LOOKUP(2,1/('DRAFT 2'!$D:$D=$B70),'DRAFT 2'!$M:$M),"")</f>
        <v/>
      </c>
      <c r="AY70">
        <f>IFERROR(LOOKUP(2,1/('DRAFT 2'!$D:$D=$B70),'DRAFT 2'!$K:$K),"")</f>
        <v/>
      </c>
      <c r="BG70">
        <f>IFERROR(LOOKUP(2,1/('DRAFT 2'!$D:$D=$B70),'DRAFT 2'!$U:$U),"")</f>
        <v/>
      </c>
      <c r="BH70">
        <f>IFERROR(LOOKUP(2,1/('DRAFT 2'!$D:$D=$B70),'DRAFT 2'!$V:$V),"")</f>
        <v/>
      </c>
      <c r="CE70">
        <f>IFERROR(AJ70,0)</f>
        <v/>
      </c>
      <c r="CF70">
        <f>IFERROR(LOOKUP(2,1/('DRAFT 2'!$D:$D=$B70)*('DRAFT 2'!$A:$A&gt;=DATE(2026,1,1))*('DRAFT 2'!$A:$A&lt;DATE(2026,IF(1=12,1+1,1+1),1)),'DRAFT 2'!$A:$A),"")</f>
        <v/>
      </c>
      <c r="CG70">
        <f>COUNTIFS('DRAFT 2'!$D:$D,$B70,'DRAFT 2'!$A:$A,"&gt;="&amp;DATE(2026,1,1),'DRAFT 2'!$A:$A,"&lt;="&amp;DATE(2026,1,7))</f>
        <v/>
      </c>
      <c r="CH70">
        <f>COUNTIFS('DRAFT 2'!$D:$D,$B70,'DRAFT 2'!$A:$A,"&gt;="&amp;DATE(2026,1,8),'DRAFT 2'!$A:$A,"&lt;="&amp;DATE(2026,1,14))</f>
        <v/>
      </c>
      <c r="CI70">
        <f>COUNTIFS('DRAFT 2'!$D:$D,$B70,'DRAFT 2'!$A:$A,"&gt;="&amp;DATE(2026,1,15),'DRAFT 2'!$A:$A,"&lt;="&amp;DATE(2026,1,21))</f>
        <v/>
      </c>
      <c r="CJ70">
        <f>COUNTIFS('DRAFT 2'!$D:$D,$B70,'DRAFT 2'!$A:$A,"&gt;="&amp;DATE(2026,1,22),'DRAFT 2'!$A:$A,"&lt;"&amp;DATE(2026,IF(1=12,1+1,1+1),1))</f>
        <v/>
      </c>
      <c r="CK70">
        <f>SUM(CG70:CJ70)</f>
        <v/>
      </c>
      <c r="CT70" t="n">
        <v>0</v>
      </c>
      <c r="CU70">
        <f>IFERROR(LOOKUP(2,1/('DRAFT 2'!$D:$D=$B70)*('DRAFT 2'!$A:$A&gt;=DATE(2026,2,1))*('DRAFT 2'!$A:$A&lt;DATE(2026,IF(2=12,2+1,2+1),1)),'DRAFT 2'!$A:$A),"")</f>
        <v/>
      </c>
      <c r="CV70">
        <f>COUNTIFS('DRAFT 2'!$D:$D,$B70,'DRAFT 2'!$A:$A,"&gt;="&amp;DATE(2026,2,1),'DRAFT 2'!$A:$A,"&lt;="&amp;DATE(2026,2,7))</f>
        <v/>
      </c>
      <c r="CW70">
        <f>COUNTIFS('DRAFT 2'!$D:$D,$B70,'DRAFT 2'!$A:$A,"&gt;="&amp;DATE(2026,2,8),'DRAFT 2'!$A:$A,"&lt;="&amp;DATE(2026,2,14))</f>
        <v/>
      </c>
      <c r="CX70">
        <f>COUNTIFS('DRAFT 2'!$D:$D,$B70,'DRAFT 2'!$A:$A,"&gt;="&amp;DATE(2026,2,15),'DRAFT 2'!$A:$A,"&lt;="&amp;DATE(2026,2,21))</f>
        <v/>
      </c>
      <c r="CY70">
        <f>COUNTIFS('DRAFT 2'!$D:$D,$B70,'DRAFT 2'!$A:$A,"&gt;="&amp;DATE(2026,2,22),'DRAFT 2'!$A:$A,"&lt;"&amp;DATE(2026,IF(2=12,2+1,2+1),1))</f>
        <v/>
      </c>
      <c r="CZ70">
        <f>SUM(CV70:CY70)</f>
        <v/>
      </c>
      <c r="DJ70">
        <f>IFERROR(LOOKUP(2,1/('DRAFT 2'!$D:$D=$B70)*('DRAFT 2'!$A:$A&gt;=DATE(2026,3,1))*('DRAFT 2'!$A:$A&lt;DATE(2026,IF(3=12,3+1,3+1),1)),'DRAFT 2'!$A:$A),"")</f>
        <v/>
      </c>
      <c r="DK70">
        <f>COUNTIFS('DRAFT 2'!$D:$D,$B70,'DRAFT 2'!$A:$A,"&gt;="&amp;DATE(2026,3,1),'DRAFT 2'!$A:$A,"&lt;="&amp;DATE(2026,3,7))</f>
        <v/>
      </c>
      <c r="DL70">
        <f>COUNTIFS('DRAFT 2'!$D:$D,$B70,'DRAFT 2'!$A:$A,"&gt;="&amp;DATE(2026,3,8),'DRAFT 2'!$A:$A,"&lt;="&amp;DATE(2026,3,14))</f>
        <v/>
      </c>
      <c r="DM70">
        <f>COUNTIFS('DRAFT 2'!$D:$D,$B70,'DRAFT 2'!$A:$A,"&gt;="&amp;DATE(2026,3,15),'DRAFT 2'!$A:$A,"&lt;="&amp;DATE(2026,3,21))</f>
        <v/>
      </c>
      <c r="DN70">
        <f>COUNTIFS('DRAFT 2'!$D:$D,$B70,'DRAFT 2'!$A:$A,"&gt;="&amp;DATE(2026,3,22),'DRAFT 2'!$A:$A,"&lt;"&amp;DATE(2026,IF(3=12,3+1,3+1),1))</f>
        <v/>
      </c>
      <c r="DO70">
        <f>SUM(DK70:DN70)</f>
        <v/>
      </c>
      <c r="DZ70">
        <f>IFERROR(LOOKUP(2,1/('DRAFT 2'!$D:$D=$B70)*('DRAFT 2'!$A:$A&gt;=DATE(2026,4,1))*('DRAFT 2'!$A:$A&lt;DATE(2026,IF(4=12,4+1,4+1),1)),'DRAFT 2'!$A:$A),"")</f>
        <v/>
      </c>
      <c r="EA70">
        <f>COUNTIFS('DRAFT 2'!$D:$D,$B70,'DRAFT 2'!$A:$A,"&gt;="&amp;DATE(2026,4,1),'DRAFT 2'!$A:$A,"&lt;="&amp;DATE(2026,4,7))</f>
        <v/>
      </c>
      <c r="EB70">
        <f>COUNTIFS('DRAFT 2'!$D:$D,$B70,'DRAFT 2'!$A:$A,"&gt;="&amp;DATE(2026,4,8),'DRAFT 2'!$A:$A,"&lt;="&amp;DATE(2026,4,14))</f>
        <v/>
      </c>
      <c r="EC70">
        <f>COUNTIFS('DRAFT 2'!$D:$D,$B70,'DRAFT 2'!$A:$A,"&gt;="&amp;DATE(2026,4,15),'DRAFT 2'!$A:$A,"&lt;="&amp;DATE(2026,4,21))</f>
        <v/>
      </c>
      <c r="ED70">
        <f>COUNTIFS('DRAFT 2'!$D:$D,$B70,'DRAFT 2'!$A:$A,"&gt;="&amp;DATE(2026,4,22),'DRAFT 2'!$A:$A,"&lt;"&amp;DATE(2026,IF(4=12,4+1,4+1),1))</f>
        <v/>
      </c>
      <c r="EE70">
        <f>SUM(EA70:ED70)</f>
        <v/>
      </c>
      <c r="EO70">
        <f>IFERROR(LOOKUP(2,1/('DRAFT 2'!$D:$D=$B70)*('DRAFT 2'!$A:$A&gt;=DATE(2026,5,1))*('DRAFT 2'!$A:$A&lt;DATE(2026,IF(5=12,5+1,5+1),1)),'DRAFT 2'!$A:$A),"")</f>
        <v/>
      </c>
      <c r="EP70">
        <f>COUNTIFS('DRAFT 2'!$D:$D,$B70,'DRAFT 2'!$A:$A,"&gt;="&amp;DATE(2026,5,1),'DRAFT 2'!$A:$A,"&lt;="&amp;DATE(2026,5,7))</f>
        <v/>
      </c>
      <c r="EQ70">
        <f>COUNTIFS('DRAFT 2'!$D:$D,$B70,'DRAFT 2'!$A:$A,"&gt;="&amp;DATE(2026,5,8),'DRAFT 2'!$A:$A,"&lt;="&amp;DATE(2026,5,14))</f>
        <v/>
      </c>
      <c r="ER70">
        <f>COUNTIFS('DRAFT 2'!$D:$D,$B70,'DRAFT 2'!$A:$A,"&gt;="&amp;DATE(2026,5,15),'DRAFT 2'!$A:$A,"&lt;="&amp;DATE(2026,5,21))</f>
        <v/>
      </c>
      <c r="ES70">
        <f>COUNTIFS('DRAFT 2'!$D:$D,$B70,'DRAFT 2'!$A:$A,"&gt;="&amp;DATE(2026,5,22),'DRAFT 2'!$A:$A,"&lt;"&amp;DATE(2026,IF(5=12,5+1,5+1),1))</f>
        <v/>
      </c>
      <c r="ET70">
        <f>SUM(EP70:ES70)</f>
        <v/>
      </c>
      <c r="FD70">
        <f>IFERROR(LOOKUP(2,1/('DRAFT 2'!$D:$D=$B70)*('DRAFT 2'!$A:$A&gt;=DATE(2026,6,1))*('DRAFT 2'!$A:$A&lt;DATE(2026,IF(6=12,6+1,6+1),1)),'DRAFT 2'!$A:$A),"")</f>
        <v/>
      </c>
      <c r="FE70">
        <f>COUNTIFS('DRAFT 2'!$D:$D,$B70,'DRAFT 2'!$A:$A,"&gt;="&amp;DATE(2026,6,1),'DRAFT 2'!$A:$A,"&lt;="&amp;DATE(2026,6,7))</f>
        <v/>
      </c>
      <c r="FF70">
        <f>COUNTIFS('DRAFT 2'!$D:$D,$B70,'DRAFT 2'!$A:$A,"&gt;="&amp;DATE(2026,6,8),'DRAFT 2'!$A:$A,"&lt;="&amp;DATE(2026,6,14))</f>
        <v/>
      </c>
      <c r="FG70">
        <f>COUNTIFS('DRAFT 2'!$D:$D,$B70,'DRAFT 2'!$A:$A,"&gt;="&amp;DATE(2026,6,15),'DRAFT 2'!$A:$A,"&lt;="&amp;DATE(2026,6,21))</f>
        <v/>
      </c>
      <c r="FH70">
        <f>COUNTIFS('DRAFT 2'!$D:$D,$B70,'DRAFT 2'!$A:$A,"&gt;="&amp;DATE(2026,6,22),'DRAFT 2'!$A:$A,"&lt;"&amp;DATE(2026,IF(6=12,6+1,6+1),1))</f>
        <v/>
      </c>
      <c r="FI70">
        <f>SUM(FE70:FH70)</f>
        <v/>
      </c>
      <c r="FT70">
        <f>IFERROR(LOOKUP(2,1/('DRAFT 2'!$D:$D=$B70)*('DRAFT 2'!$A:$A&gt;=DATE(2026,7,1))*('DRAFT 2'!$A:$A&lt;DATE(2026,IF(7=12,7+1,7+1),1)),'DRAFT 2'!$A:$A),"")</f>
        <v/>
      </c>
      <c r="FU70">
        <f>COUNTIFS('DRAFT 2'!$D:$D,$B70,'DRAFT 2'!$A:$A,"&gt;="&amp;DATE(2026,7,1),'DRAFT 2'!$A:$A,"&lt;="&amp;DATE(2026,7,7))</f>
        <v/>
      </c>
      <c r="FV70">
        <f>COUNTIFS('DRAFT 2'!$D:$D,$B70,'DRAFT 2'!$A:$A,"&gt;="&amp;DATE(2026,7,8),'DRAFT 2'!$A:$A,"&lt;="&amp;DATE(2026,7,14))</f>
        <v/>
      </c>
      <c r="FW70">
        <f>COUNTIFS('DRAFT 2'!$D:$D,$B70,'DRAFT 2'!$A:$A,"&gt;="&amp;DATE(2026,7,15),'DRAFT 2'!$A:$A,"&lt;="&amp;DATE(2026,7,21))</f>
        <v/>
      </c>
      <c r="FX70">
        <f>COUNTIFS('DRAFT 2'!$D:$D,$B70,'DRAFT 2'!$A:$A,"&gt;="&amp;DATE(2026,7,22),'DRAFT 2'!$A:$A,"&lt;"&amp;DATE(2026,IF(7=12,7+1,7+1),1))</f>
        <v/>
      </c>
      <c r="FY70">
        <f>SUM(FU70:FX70)</f>
        <v/>
      </c>
      <c r="GI70">
        <f>IFERROR(LOOKUP(2,1/('DRAFT 2'!$D:$D=$B70)*('DRAFT 2'!$A:$A&gt;=DATE(2026,8,1))*('DRAFT 2'!$A:$A&lt;DATE(2026,IF(8=12,8+1,8+1),1)),'DRAFT 2'!$A:$A),"")</f>
        <v/>
      </c>
      <c r="GJ70">
        <f>COUNTIFS('DRAFT 2'!$D:$D,$B70,'DRAFT 2'!$A:$A,"&gt;="&amp;DATE(2026,8,1),'DRAFT 2'!$A:$A,"&lt;="&amp;DATE(2026,8,7))</f>
        <v/>
      </c>
      <c r="GK70">
        <f>COUNTIFS('DRAFT 2'!$D:$D,$B70,'DRAFT 2'!$A:$A,"&gt;="&amp;DATE(2026,8,8),'DRAFT 2'!$A:$A,"&lt;="&amp;DATE(2026,8,14))</f>
        <v/>
      </c>
      <c r="GL70">
        <f>COUNTIFS('DRAFT 2'!$D:$D,$B70,'DRAFT 2'!$A:$A,"&gt;="&amp;DATE(2026,8,15),'DRAFT 2'!$A:$A,"&lt;="&amp;DATE(2026,8,21))</f>
        <v/>
      </c>
      <c r="GM70">
        <f>COUNTIFS('DRAFT 2'!$D:$D,$B70,'DRAFT 2'!$A:$A,"&gt;="&amp;DATE(2026,8,22),'DRAFT 2'!$A:$A,"&lt;"&amp;DATE(2026,IF(8=12,8+1,8+1),1))</f>
        <v/>
      </c>
      <c r="GN70">
        <f>SUM(GJ70:GM70)</f>
        <v/>
      </c>
      <c r="GX70">
        <f>IFERROR(LOOKUP(2,1/('DRAFT 2'!$D:$D=$B70)*('DRAFT 2'!$A:$A&gt;=DATE(2026,9,1))*('DRAFT 2'!$A:$A&lt;DATE(2026,IF(9=12,9+1,9+1),1)),'DRAFT 2'!$A:$A),"")</f>
        <v/>
      </c>
      <c r="GY70">
        <f>COUNTIFS('DRAFT 2'!$D:$D,$B70,'DRAFT 2'!$A:$A,"&gt;="&amp;DATE(2026,9,1),'DRAFT 2'!$A:$A,"&lt;="&amp;DATE(2026,9,7))</f>
        <v/>
      </c>
      <c r="GZ70">
        <f>COUNTIFS('DRAFT 2'!$D:$D,$B70,'DRAFT 2'!$A:$A,"&gt;="&amp;DATE(2026,9,8),'DRAFT 2'!$A:$A,"&lt;="&amp;DATE(2026,9,14))</f>
        <v/>
      </c>
      <c r="HA70">
        <f>COUNTIFS('DRAFT 2'!$D:$D,$B70,'DRAFT 2'!$A:$A,"&gt;="&amp;DATE(2026,9,15),'DRAFT 2'!$A:$A,"&lt;="&amp;DATE(2026,9,21))</f>
        <v/>
      </c>
      <c r="HB70">
        <f>COUNTIFS('DRAFT 2'!$D:$D,$B70,'DRAFT 2'!$A:$A,"&gt;="&amp;DATE(2026,9,22),'DRAFT 2'!$A:$A,"&lt;"&amp;DATE(2026,IF(9=12,9+1,9+1),1))</f>
        <v/>
      </c>
      <c r="HC70">
        <f>SUM(GY70:HB70)</f>
        <v/>
      </c>
      <c r="HN70">
        <f>IFERROR(LOOKUP(2,1/('DRAFT 2'!$D:$D=$B70)*('DRAFT 2'!$A:$A&gt;=DATE(2026,10,1))*('DRAFT 2'!$A:$A&lt;DATE(2026,IF(10=12,10+1,10+1),1)),'DRAFT 2'!$A:$A),"")</f>
        <v/>
      </c>
      <c r="HO70">
        <f>COUNTIFS('DRAFT 2'!$D:$D,$B70,'DRAFT 2'!$A:$A,"&gt;="&amp;DATE(2026,10,1),'DRAFT 2'!$A:$A,"&lt;="&amp;DATE(2026,10,7))</f>
        <v/>
      </c>
      <c r="HP70">
        <f>COUNTIFS('DRAFT 2'!$D:$D,$B70,'DRAFT 2'!$A:$A,"&gt;="&amp;DATE(2026,10,8),'DRAFT 2'!$A:$A,"&lt;="&amp;DATE(2026,10,14))</f>
        <v/>
      </c>
      <c r="HQ70">
        <f>COUNTIFS('DRAFT 2'!$D:$D,$B70,'DRAFT 2'!$A:$A,"&gt;="&amp;DATE(2026,10,15),'DRAFT 2'!$A:$A,"&lt;="&amp;DATE(2026,10,21))</f>
        <v/>
      </c>
      <c r="HR70">
        <f>COUNTIFS('DRAFT 2'!$D:$D,$B70,'DRAFT 2'!$A:$A,"&gt;="&amp;DATE(2026,10,22),'DRAFT 2'!$A:$A,"&lt;"&amp;DATE(2026,IF(10=12,10+1,10+1),1))</f>
        <v/>
      </c>
      <c r="HS70">
        <f>SUM(HO70:HR70)</f>
        <v/>
      </c>
      <c r="IC70">
        <f>IFERROR(LOOKUP(2,1/('DRAFT 2'!$D:$D=$B70)*('DRAFT 2'!$A:$A&gt;=DATE(2026,11,1))*('DRAFT 2'!$A:$A&lt;DATE(2026,IF(11=12,11+1,11+1),1)),'DRAFT 2'!$A:$A),"")</f>
        <v/>
      </c>
      <c r="ID70">
        <f>COUNTIFS('DRAFT 2'!$D:$D,$B70,'DRAFT 2'!$A:$A,"&gt;="&amp;DATE(2026,11,1),'DRAFT 2'!$A:$A,"&lt;="&amp;DATE(2026,11,7))</f>
        <v/>
      </c>
      <c r="IE70">
        <f>COUNTIFS('DRAFT 2'!$D:$D,$B70,'DRAFT 2'!$A:$A,"&gt;="&amp;DATE(2026,11,8),'DRAFT 2'!$A:$A,"&lt;="&amp;DATE(2026,11,14))</f>
        <v/>
      </c>
      <c r="IF70">
        <f>COUNTIFS('DRAFT 2'!$D:$D,$B70,'DRAFT 2'!$A:$A,"&gt;="&amp;DATE(2026,11,15),'DRAFT 2'!$A:$A,"&lt;="&amp;DATE(2026,11,21))</f>
        <v/>
      </c>
      <c r="IG70">
        <f>COUNTIFS('DRAFT 2'!$D:$D,$B70,'DRAFT 2'!$A:$A,"&gt;="&amp;DATE(2026,11,22),'DRAFT 2'!$A:$A,"&lt;"&amp;DATE(2026,IF(11=12,11+1,11+1),1))</f>
        <v/>
      </c>
      <c r="IH70">
        <f>SUM(ID70:IG70)</f>
        <v/>
      </c>
      <c r="IR70">
        <f>IFERROR(LOOKUP(2,1/('DRAFT 2'!$D:$D=$B70)*('DRAFT 2'!$A:$A&gt;=DATE(2026,12,1))*('DRAFT 2'!$A:$A&lt;DATE(2026,IF(12=12,12+1,12+1),1)),'DRAFT 2'!$A:$A),"")</f>
        <v/>
      </c>
      <c r="IS70">
        <f>COUNTIFS('DRAFT 2'!$D:$D,$B70,'DRAFT 2'!$A:$A,"&gt;="&amp;DATE(2026,12,1),'DRAFT 2'!$A:$A,"&lt;="&amp;DATE(2026,12,7))</f>
        <v/>
      </c>
      <c r="IT70">
        <f>COUNTIFS('DRAFT 2'!$D:$D,$B70,'DRAFT 2'!$A:$A,"&gt;="&amp;DATE(2026,12,8),'DRAFT 2'!$A:$A,"&lt;="&amp;DATE(2026,12,14))</f>
        <v/>
      </c>
      <c r="IU70">
        <f>COUNTIFS('DRAFT 2'!$D:$D,$B70,'DRAFT 2'!$A:$A,"&gt;="&amp;DATE(2026,12,15),'DRAFT 2'!$A:$A,"&lt;="&amp;DATE(2026,12,21))</f>
        <v/>
      </c>
      <c r="IV70">
        <f>COUNTIFS('DRAFT 2'!$D:$D,$B70,'DRAFT 2'!$A:$A,"&gt;="&amp;DATE(2026,12,22),'DRAFT 2'!$A:$A,"&lt;"&amp;DATE(2026,IF(12=12,12+1,12+1),1))</f>
        <v/>
      </c>
      <c r="IW70">
        <f>SUM(IS70:IV70)</f>
        <v/>
      </c>
    </row>
    <row r="71">
      <c r="A71">
        <f>IFERROR(INDEX('DRAFT 1'!$A:$A,MATCH($B71,'DRAFT 1'!$B:$B,0)),"")</f>
        <v/>
      </c>
      <c r="C71">
        <f>IFERROR(INDEX('DRAFT 1'!$C:$C,MATCH($B71,'DRAFT 1'!$B:$B,0)),"")</f>
        <v/>
      </c>
      <c r="D71">
        <f>IFERROR(INDEX('DRAFT 1'!$D:$D,MATCH($B71,'DRAFT 1'!$B:$B,0)),"")</f>
        <v/>
      </c>
      <c r="E71">
        <f>IFERROR(INDEX('DRAFT 1'!$E:$E,MATCH($B71,'DRAFT 1'!$B:$B,0)),"")</f>
        <v/>
      </c>
      <c r="F71">
        <f>IFERROR(INDEX('DRAFT 1'!$F:$F,MATCH($B71,'DRAFT 1'!$B:$B,0)),"")</f>
        <v/>
      </c>
      <c r="G71">
        <f>IFERROR(INDEX('DRAFT 1'!$G:$G,MATCH($B71,'DRAFT 1'!$B:$B,0)),"")</f>
        <v/>
      </c>
      <c r="H71">
        <f>IFERROR(INDEX('DRAFT 1'!$H:$H,MATCH($B71,'DRAFT 1'!$B:$B,0)),"")</f>
        <v/>
      </c>
      <c r="I71" t="inlineStr">
        <is>
          <t>DEMAIS CLIENTES</t>
        </is>
      </c>
      <c r="K71">
        <f>IFERROR(INDEX('DRAFT 1'!$AL:$AL,MATCH($B71,'DRAFT 1'!$B:$B,0)),"")</f>
        <v/>
      </c>
      <c r="L71">
        <f>IFERROR(INDEX('DRAFT 1'!$J:$J,MATCH($B71,'DRAFT 1'!$B:$B,0)),"")</f>
        <v/>
      </c>
      <c r="M71">
        <f>IFERROR(INDEX('DRAFT 1'!$K:$K,MATCH($B71,'DRAFT 1'!$B:$B,0)),"")</f>
        <v/>
      </c>
      <c r="N71" t="inlineStr">
        <is>
          <t>PROSPECT</t>
        </is>
      </c>
      <c r="P71">
        <f>IFERROR(INDEX('DRAFT 1'!$L:$L,MATCH($B71,'DRAFT 1'!$B:$B,0)),"")</f>
        <v/>
      </c>
      <c r="Q71">
        <f>IFERROR(INDEX('DRAFT 1'!$M:$M,MATCH($B71,'DRAFT 1'!$B:$B,0)),"")</f>
        <v/>
      </c>
      <c r="R71">
        <f>IFERROR(INDEX('DRAFT 1'!$N:$N,MATCH($B71,'DRAFT 1'!$B:$B,0)),"")</f>
        <v/>
      </c>
      <c r="S71">
        <f>IFERROR(INDEX('DRAFT 1'!$O:$O,MATCH($B71,'DRAFT 1'!$B:$B,0)),"")</f>
        <v/>
      </c>
      <c r="T71">
        <f>IFERROR(INDEX('DRAFT 1'!$P:$P,MATCH($B71,'DRAFT 1'!$B:$B,0)),"")</f>
        <v/>
      </c>
      <c r="U71">
        <f>IFERROR(INDEX('DRAFT 1'!$Q:$Q,MATCH($B71,'DRAFT 1'!$B:$B,0)),"")</f>
        <v/>
      </c>
      <c r="V71">
        <f>IFERROR(INDEX('DRAFT 1'!$R:$R,MATCH($B71,'DRAFT 1'!$B:$B,0)),"")</f>
        <v/>
      </c>
      <c r="W71">
        <f>IFERROR(INDEX('DRAFT 1'!$S:$S,MATCH($B71,'DRAFT 1'!$B:$B,0)),"")</f>
        <v/>
      </c>
      <c r="X71">
        <f>IFERROR(INDEX('DRAFT 1'!$T:$T,MATCH($B71,'DRAFT 1'!$B:$B,0)),"")</f>
        <v/>
      </c>
      <c r="Z71">
        <f>IFERROR(INDEX('DRAFT 1'!$U:$U,MATCH($B71,'DRAFT 1'!$B:$B,0)),"")</f>
        <v/>
      </c>
      <c r="AA71">
        <f>IFERROR(INDEX('DRAFT 1'!$V:$V,MATCH($B71,'DRAFT 1'!$B:$B,0)),"")</f>
        <v/>
      </c>
      <c r="AB71">
        <f>IFERROR(INDEX('DRAFT 1'!$W:$W,MATCH($B71,'DRAFT 1'!$B:$B,0)),"")</f>
        <v/>
      </c>
      <c r="AC71">
        <f>IFERROR(INDEX('DRAFT 1'!$X:$X,MATCH($B71,'DRAFT 1'!$B:$B,0)),"")</f>
        <v/>
      </c>
      <c r="AD71">
        <f>IFERROR(INDEX('DRAFT 1'!$Y:$Y,MATCH($B71,'DRAFT 1'!$B:$B,0)),"")</f>
        <v/>
      </c>
      <c r="AE71">
        <f>IFERROR(INDEX('DRAFT 1'!$Z:$Z,MATCH($B71,'DRAFT 1'!$B:$B,0)),"")</f>
        <v/>
      </c>
      <c r="AF71">
        <f>IFERROR(INDEX('DRAFT 1'!$AA:$AA,MATCH($B71,'DRAFT 1'!$B:$B,0)),"")</f>
        <v/>
      </c>
      <c r="AG71">
        <f>IFERROR(INDEX('DRAFT 1'!$AB:$AB,MATCH($B71,'DRAFT 1'!$B:$B,0)),"")</f>
        <v/>
      </c>
      <c r="AH71">
        <f>IFERROR(INDEX('DRAFT 1'!$AC:$AC,MATCH($B71,'DRAFT 1'!$B:$B,0)),"")</f>
        <v/>
      </c>
      <c r="AI71">
        <f>IFERROR(INDEX('DRAFT 1'!$AD:$AD,MATCH($B71,'DRAFT 1'!$B:$B,0)),"")</f>
        <v/>
      </c>
      <c r="AJ71">
        <f>IFERROR(INDEX('DRAFT 1'!$AE:$AE,MATCH($B71,'DRAFT 1'!$B:$B,0)),"")</f>
        <v/>
      </c>
      <c r="AK71">
        <f>IFERROR(INDEX('DRAFT 1'!$AG:$AG,MATCH($B71,'DRAFT 1'!$B:$B,0)),"")</f>
        <v/>
      </c>
      <c r="AL71">
        <f>IFERROR(INDEX('DRAFT 1'!$AH:$AH,MATCH($B71,'DRAFT 1'!$B:$B,0)),"")</f>
        <v/>
      </c>
      <c r="AM71">
        <f>IFERROR(INDEX('DRAFT 1'!$AI:$AI,MATCH($B71,'DRAFT 1'!$B:$B,0)),"")</f>
        <v/>
      </c>
      <c r="AN71">
        <f>IFERROR(INDEX('DRAFT 1'!$AJ:$AJ,MATCH($B71,'DRAFT 1'!$B:$B,0)),"")</f>
        <v/>
      </c>
      <c r="AO71">
        <f>IFERROR(Y71/AN71,0)</f>
        <v/>
      </c>
      <c r="AP71">
        <f>IFERROR(INDEX('DRAFT 1'!$AK:$AK,MATCH($B71,'DRAFT 1'!$B:$B,0)),"")</f>
        <v/>
      </c>
      <c r="AR71" t="inlineStr">
        <is>
          <t>CS</t>
        </is>
      </c>
      <c r="AS71">
        <f>IFERROR(LOOKUP(2,1/('DRAFT 2'!$D:$D=$B71),'DRAFT 2'!$T:$T),"")</f>
        <v/>
      </c>
      <c r="AT71">
        <f>IFERROR(LOOKUP(2,1/('DRAFT 2'!$D:$D=$B71),'DRAFT 2'!$A:$A),"")</f>
        <v/>
      </c>
      <c r="AU71">
        <f>IFERROR(LOOKUP(2,1/('DRAFT 2'!$D:$D=$B71),'DRAFT 2'!$R:$R),"")</f>
        <v/>
      </c>
      <c r="AV71">
        <f>IFERROR(LOOKUP(2,1/('DRAFT 2'!$D:$D=$B71),'DRAFT 2'!$S:$S),"")</f>
        <v/>
      </c>
      <c r="AW71" t="inlineStr">
        <is>
          <t>PROSPECT</t>
        </is>
      </c>
      <c r="AX71">
        <f>IFERROR(LOOKUP(2,1/('DRAFT 2'!$D:$D=$B71),'DRAFT 2'!$M:$M),"")</f>
        <v/>
      </c>
      <c r="AY71">
        <f>IFERROR(LOOKUP(2,1/('DRAFT 2'!$D:$D=$B71),'DRAFT 2'!$K:$K),"")</f>
        <v/>
      </c>
      <c r="BG71">
        <f>IFERROR(LOOKUP(2,1/('DRAFT 2'!$D:$D=$B71),'DRAFT 2'!$U:$U),"")</f>
        <v/>
      </c>
      <c r="BH71">
        <f>IFERROR(LOOKUP(2,1/('DRAFT 2'!$D:$D=$B71),'DRAFT 2'!$V:$V),"")</f>
        <v/>
      </c>
      <c r="CE71">
        <f>IFERROR(AJ71,0)</f>
        <v/>
      </c>
      <c r="CF71">
        <f>IFERROR(LOOKUP(2,1/('DRAFT 2'!$D:$D=$B71)*('DRAFT 2'!$A:$A&gt;=DATE(2026,1,1))*('DRAFT 2'!$A:$A&lt;DATE(2026,IF(1=12,1+1,1+1),1)),'DRAFT 2'!$A:$A),"")</f>
        <v/>
      </c>
      <c r="CG71">
        <f>COUNTIFS('DRAFT 2'!$D:$D,$B71,'DRAFT 2'!$A:$A,"&gt;="&amp;DATE(2026,1,1),'DRAFT 2'!$A:$A,"&lt;="&amp;DATE(2026,1,7))</f>
        <v/>
      </c>
      <c r="CH71">
        <f>COUNTIFS('DRAFT 2'!$D:$D,$B71,'DRAFT 2'!$A:$A,"&gt;="&amp;DATE(2026,1,8),'DRAFT 2'!$A:$A,"&lt;="&amp;DATE(2026,1,14))</f>
        <v/>
      </c>
      <c r="CI71">
        <f>COUNTIFS('DRAFT 2'!$D:$D,$B71,'DRAFT 2'!$A:$A,"&gt;="&amp;DATE(2026,1,15),'DRAFT 2'!$A:$A,"&lt;="&amp;DATE(2026,1,21))</f>
        <v/>
      </c>
      <c r="CJ71">
        <f>COUNTIFS('DRAFT 2'!$D:$D,$B71,'DRAFT 2'!$A:$A,"&gt;="&amp;DATE(2026,1,22),'DRAFT 2'!$A:$A,"&lt;"&amp;DATE(2026,IF(1=12,1+1,1+1),1))</f>
        <v/>
      </c>
      <c r="CK71">
        <f>SUM(CG71:CJ71)</f>
        <v/>
      </c>
      <c r="CT71" t="n">
        <v>0</v>
      </c>
      <c r="CU71">
        <f>IFERROR(LOOKUP(2,1/('DRAFT 2'!$D:$D=$B71)*('DRAFT 2'!$A:$A&gt;=DATE(2026,2,1))*('DRAFT 2'!$A:$A&lt;DATE(2026,IF(2=12,2+1,2+1),1)),'DRAFT 2'!$A:$A),"")</f>
        <v/>
      </c>
      <c r="CV71">
        <f>COUNTIFS('DRAFT 2'!$D:$D,$B71,'DRAFT 2'!$A:$A,"&gt;="&amp;DATE(2026,2,1),'DRAFT 2'!$A:$A,"&lt;="&amp;DATE(2026,2,7))</f>
        <v/>
      </c>
      <c r="CW71">
        <f>COUNTIFS('DRAFT 2'!$D:$D,$B71,'DRAFT 2'!$A:$A,"&gt;="&amp;DATE(2026,2,8),'DRAFT 2'!$A:$A,"&lt;="&amp;DATE(2026,2,14))</f>
        <v/>
      </c>
      <c r="CX71">
        <f>COUNTIFS('DRAFT 2'!$D:$D,$B71,'DRAFT 2'!$A:$A,"&gt;="&amp;DATE(2026,2,15),'DRAFT 2'!$A:$A,"&lt;="&amp;DATE(2026,2,21))</f>
        <v/>
      </c>
      <c r="CY71">
        <f>COUNTIFS('DRAFT 2'!$D:$D,$B71,'DRAFT 2'!$A:$A,"&gt;="&amp;DATE(2026,2,22),'DRAFT 2'!$A:$A,"&lt;"&amp;DATE(2026,IF(2=12,2+1,2+1),1))</f>
        <v/>
      </c>
      <c r="CZ71">
        <f>SUM(CV71:CY71)</f>
        <v/>
      </c>
      <c r="DJ71">
        <f>IFERROR(LOOKUP(2,1/('DRAFT 2'!$D:$D=$B71)*('DRAFT 2'!$A:$A&gt;=DATE(2026,3,1))*('DRAFT 2'!$A:$A&lt;DATE(2026,IF(3=12,3+1,3+1),1)),'DRAFT 2'!$A:$A),"")</f>
        <v/>
      </c>
      <c r="DK71">
        <f>COUNTIFS('DRAFT 2'!$D:$D,$B71,'DRAFT 2'!$A:$A,"&gt;="&amp;DATE(2026,3,1),'DRAFT 2'!$A:$A,"&lt;="&amp;DATE(2026,3,7))</f>
        <v/>
      </c>
      <c r="DL71">
        <f>COUNTIFS('DRAFT 2'!$D:$D,$B71,'DRAFT 2'!$A:$A,"&gt;="&amp;DATE(2026,3,8),'DRAFT 2'!$A:$A,"&lt;="&amp;DATE(2026,3,14))</f>
        <v/>
      </c>
      <c r="DM71">
        <f>COUNTIFS('DRAFT 2'!$D:$D,$B71,'DRAFT 2'!$A:$A,"&gt;="&amp;DATE(2026,3,15),'DRAFT 2'!$A:$A,"&lt;="&amp;DATE(2026,3,21))</f>
        <v/>
      </c>
      <c r="DN71">
        <f>COUNTIFS('DRAFT 2'!$D:$D,$B71,'DRAFT 2'!$A:$A,"&gt;="&amp;DATE(2026,3,22),'DRAFT 2'!$A:$A,"&lt;"&amp;DATE(2026,IF(3=12,3+1,3+1),1))</f>
        <v/>
      </c>
      <c r="DO71">
        <f>SUM(DK71:DN71)</f>
        <v/>
      </c>
      <c r="DZ71">
        <f>IFERROR(LOOKUP(2,1/('DRAFT 2'!$D:$D=$B71)*('DRAFT 2'!$A:$A&gt;=DATE(2026,4,1))*('DRAFT 2'!$A:$A&lt;DATE(2026,IF(4=12,4+1,4+1),1)),'DRAFT 2'!$A:$A),"")</f>
        <v/>
      </c>
      <c r="EA71">
        <f>COUNTIFS('DRAFT 2'!$D:$D,$B71,'DRAFT 2'!$A:$A,"&gt;="&amp;DATE(2026,4,1),'DRAFT 2'!$A:$A,"&lt;="&amp;DATE(2026,4,7))</f>
        <v/>
      </c>
      <c r="EB71">
        <f>COUNTIFS('DRAFT 2'!$D:$D,$B71,'DRAFT 2'!$A:$A,"&gt;="&amp;DATE(2026,4,8),'DRAFT 2'!$A:$A,"&lt;="&amp;DATE(2026,4,14))</f>
        <v/>
      </c>
      <c r="EC71">
        <f>COUNTIFS('DRAFT 2'!$D:$D,$B71,'DRAFT 2'!$A:$A,"&gt;="&amp;DATE(2026,4,15),'DRAFT 2'!$A:$A,"&lt;="&amp;DATE(2026,4,21))</f>
        <v/>
      </c>
      <c r="ED71">
        <f>COUNTIFS('DRAFT 2'!$D:$D,$B71,'DRAFT 2'!$A:$A,"&gt;="&amp;DATE(2026,4,22),'DRAFT 2'!$A:$A,"&lt;"&amp;DATE(2026,IF(4=12,4+1,4+1),1))</f>
        <v/>
      </c>
      <c r="EE71">
        <f>SUM(EA71:ED71)</f>
        <v/>
      </c>
      <c r="EO71">
        <f>IFERROR(LOOKUP(2,1/('DRAFT 2'!$D:$D=$B71)*('DRAFT 2'!$A:$A&gt;=DATE(2026,5,1))*('DRAFT 2'!$A:$A&lt;DATE(2026,IF(5=12,5+1,5+1),1)),'DRAFT 2'!$A:$A),"")</f>
        <v/>
      </c>
      <c r="EP71">
        <f>COUNTIFS('DRAFT 2'!$D:$D,$B71,'DRAFT 2'!$A:$A,"&gt;="&amp;DATE(2026,5,1),'DRAFT 2'!$A:$A,"&lt;="&amp;DATE(2026,5,7))</f>
        <v/>
      </c>
      <c r="EQ71">
        <f>COUNTIFS('DRAFT 2'!$D:$D,$B71,'DRAFT 2'!$A:$A,"&gt;="&amp;DATE(2026,5,8),'DRAFT 2'!$A:$A,"&lt;="&amp;DATE(2026,5,14))</f>
        <v/>
      </c>
      <c r="ER71">
        <f>COUNTIFS('DRAFT 2'!$D:$D,$B71,'DRAFT 2'!$A:$A,"&gt;="&amp;DATE(2026,5,15),'DRAFT 2'!$A:$A,"&lt;="&amp;DATE(2026,5,21))</f>
        <v/>
      </c>
      <c r="ES71">
        <f>COUNTIFS('DRAFT 2'!$D:$D,$B71,'DRAFT 2'!$A:$A,"&gt;="&amp;DATE(2026,5,22),'DRAFT 2'!$A:$A,"&lt;"&amp;DATE(2026,IF(5=12,5+1,5+1),1))</f>
        <v/>
      </c>
      <c r="ET71">
        <f>SUM(EP71:ES71)</f>
        <v/>
      </c>
      <c r="FD71">
        <f>IFERROR(LOOKUP(2,1/('DRAFT 2'!$D:$D=$B71)*('DRAFT 2'!$A:$A&gt;=DATE(2026,6,1))*('DRAFT 2'!$A:$A&lt;DATE(2026,IF(6=12,6+1,6+1),1)),'DRAFT 2'!$A:$A),"")</f>
        <v/>
      </c>
      <c r="FE71">
        <f>COUNTIFS('DRAFT 2'!$D:$D,$B71,'DRAFT 2'!$A:$A,"&gt;="&amp;DATE(2026,6,1),'DRAFT 2'!$A:$A,"&lt;="&amp;DATE(2026,6,7))</f>
        <v/>
      </c>
      <c r="FF71">
        <f>COUNTIFS('DRAFT 2'!$D:$D,$B71,'DRAFT 2'!$A:$A,"&gt;="&amp;DATE(2026,6,8),'DRAFT 2'!$A:$A,"&lt;="&amp;DATE(2026,6,14))</f>
        <v/>
      </c>
      <c r="FG71">
        <f>COUNTIFS('DRAFT 2'!$D:$D,$B71,'DRAFT 2'!$A:$A,"&gt;="&amp;DATE(2026,6,15),'DRAFT 2'!$A:$A,"&lt;="&amp;DATE(2026,6,21))</f>
        <v/>
      </c>
      <c r="FH71">
        <f>COUNTIFS('DRAFT 2'!$D:$D,$B71,'DRAFT 2'!$A:$A,"&gt;="&amp;DATE(2026,6,22),'DRAFT 2'!$A:$A,"&lt;"&amp;DATE(2026,IF(6=12,6+1,6+1),1))</f>
        <v/>
      </c>
      <c r="FI71">
        <f>SUM(FE71:FH71)</f>
        <v/>
      </c>
      <c r="FT71">
        <f>IFERROR(LOOKUP(2,1/('DRAFT 2'!$D:$D=$B71)*('DRAFT 2'!$A:$A&gt;=DATE(2026,7,1))*('DRAFT 2'!$A:$A&lt;DATE(2026,IF(7=12,7+1,7+1),1)),'DRAFT 2'!$A:$A),"")</f>
        <v/>
      </c>
      <c r="FU71">
        <f>COUNTIFS('DRAFT 2'!$D:$D,$B71,'DRAFT 2'!$A:$A,"&gt;="&amp;DATE(2026,7,1),'DRAFT 2'!$A:$A,"&lt;="&amp;DATE(2026,7,7))</f>
        <v/>
      </c>
      <c r="FV71">
        <f>COUNTIFS('DRAFT 2'!$D:$D,$B71,'DRAFT 2'!$A:$A,"&gt;="&amp;DATE(2026,7,8),'DRAFT 2'!$A:$A,"&lt;="&amp;DATE(2026,7,14))</f>
        <v/>
      </c>
      <c r="FW71">
        <f>COUNTIFS('DRAFT 2'!$D:$D,$B71,'DRAFT 2'!$A:$A,"&gt;="&amp;DATE(2026,7,15),'DRAFT 2'!$A:$A,"&lt;="&amp;DATE(2026,7,21))</f>
        <v/>
      </c>
      <c r="FX71">
        <f>COUNTIFS('DRAFT 2'!$D:$D,$B71,'DRAFT 2'!$A:$A,"&gt;="&amp;DATE(2026,7,22),'DRAFT 2'!$A:$A,"&lt;"&amp;DATE(2026,IF(7=12,7+1,7+1),1))</f>
        <v/>
      </c>
      <c r="FY71">
        <f>SUM(FU71:FX71)</f>
        <v/>
      </c>
      <c r="GI71">
        <f>IFERROR(LOOKUP(2,1/('DRAFT 2'!$D:$D=$B71)*('DRAFT 2'!$A:$A&gt;=DATE(2026,8,1))*('DRAFT 2'!$A:$A&lt;DATE(2026,IF(8=12,8+1,8+1),1)),'DRAFT 2'!$A:$A),"")</f>
        <v/>
      </c>
      <c r="GJ71">
        <f>COUNTIFS('DRAFT 2'!$D:$D,$B71,'DRAFT 2'!$A:$A,"&gt;="&amp;DATE(2026,8,1),'DRAFT 2'!$A:$A,"&lt;="&amp;DATE(2026,8,7))</f>
        <v/>
      </c>
      <c r="GK71">
        <f>COUNTIFS('DRAFT 2'!$D:$D,$B71,'DRAFT 2'!$A:$A,"&gt;="&amp;DATE(2026,8,8),'DRAFT 2'!$A:$A,"&lt;="&amp;DATE(2026,8,14))</f>
        <v/>
      </c>
      <c r="GL71">
        <f>COUNTIFS('DRAFT 2'!$D:$D,$B71,'DRAFT 2'!$A:$A,"&gt;="&amp;DATE(2026,8,15),'DRAFT 2'!$A:$A,"&lt;="&amp;DATE(2026,8,21))</f>
        <v/>
      </c>
      <c r="GM71">
        <f>COUNTIFS('DRAFT 2'!$D:$D,$B71,'DRAFT 2'!$A:$A,"&gt;="&amp;DATE(2026,8,22),'DRAFT 2'!$A:$A,"&lt;"&amp;DATE(2026,IF(8=12,8+1,8+1),1))</f>
        <v/>
      </c>
      <c r="GN71">
        <f>SUM(GJ71:GM71)</f>
        <v/>
      </c>
      <c r="GX71">
        <f>IFERROR(LOOKUP(2,1/('DRAFT 2'!$D:$D=$B71)*('DRAFT 2'!$A:$A&gt;=DATE(2026,9,1))*('DRAFT 2'!$A:$A&lt;DATE(2026,IF(9=12,9+1,9+1),1)),'DRAFT 2'!$A:$A),"")</f>
        <v/>
      </c>
      <c r="GY71">
        <f>COUNTIFS('DRAFT 2'!$D:$D,$B71,'DRAFT 2'!$A:$A,"&gt;="&amp;DATE(2026,9,1),'DRAFT 2'!$A:$A,"&lt;="&amp;DATE(2026,9,7))</f>
        <v/>
      </c>
      <c r="GZ71">
        <f>COUNTIFS('DRAFT 2'!$D:$D,$B71,'DRAFT 2'!$A:$A,"&gt;="&amp;DATE(2026,9,8),'DRAFT 2'!$A:$A,"&lt;="&amp;DATE(2026,9,14))</f>
        <v/>
      </c>
      <c r="HA71">
        <f>COUNTIFS('DRAFT 2'!$D:$D,$B71,'DRAFT 2'!$A:$A,"&gt;="&amp;DATE(2026,9,15),'DRAFT 2'!$A:$A,"&lt;="&amp;DATE(2026,9,21))</f>
        <v/>
      </c>
      <c r="HB71">
        <f>COUNTIFS('DRAFT 2'!$D:$D,$B71,'DRAFT 2'!$A:$A,"&gt;="&amp;DATE(2026,9,22),'DRAFT 2'!$A:$A,"&lt;"&amp;DATE(2026,IF(9=12,9+1,9+1),1))</f>
        <v/>
      </c>
      <c r="HC71">
        <f>SUM(GY71:HB71)</f>
        <v/>
      </c>
      <c r="HN71">
        <f>IFERROR(LOOKUP(2,1/('DRAFT 2'!$D:$D=$B71)*('DRAFT 2'!$A:$A&gt;=DATE(2026,10,1))*('DRAFT 2'!$A:$A&lt;DATE(2026,IF(10=12,10+1,10+1),1)),'DRAFT 2'!$A:$A),"")</f>
        <v/>
      </c>
      <c r="HO71">
        <f>COUNTIFS('DRAFT 2'!$D:$D,$B71,'DRAFT 2'!$A:$A,"&gt;="&amp;DATE(2026,10,1),'DRAFT 2'!$A:$A,"&lt;="&amp;DATE(2026,10,7))</f>
        <v/>
      </c>
      <c r="HP71">
        <f>COUNTIFS('DRAFT 2'!$D:$D,$B71,'DRAFT 2'!$A:$A,"&gt;="&amp;DATE(2026,10,8),'DRAFT 2'!$A:$A,"&lt;="&amp;DATE(2026,10,14))</f>
        <v/>
      </c>
      <c r="HQ71">
        <f>COUNTIFS('DRAFT 2'!$D:$D,$B71,'DRAFT 2'!$A:$A,"&gt;="&amp;DATE(2026,10,15),'DRAFT 2'!$A:$A,"&lt;="&amp;DATE(2026,10,21))</f>
        <v/>
      </c>
      <c r="HR71">
        <f>COUNTIFS('DRAFT 2'!$D:$D,$B71,'DRAFT 2'!$A:$A,"&gt;="&amp;DATE(2026,10,22),'DRAFT 2'!$A:$A,"&lt;"&amp;DATE(2026,IF(10=12,10+1,10+1),1))</f>
        <v/>
      </c>
      <c r="HS71">
        <f>SUM(HO71:HR71)</f>
        <v/>
      </c>
      <c r="IC71">
        <f>IFERROR(LOOKUP(2,1/('DRAFT 2'!$D:$D=$B71)*('DRAFT 2'!$A:$A&gt;=DATE(2026,11,1))*('DRAFT 2'!$A:$A&lt;DATE(2026,IF(11=12,11+1,11+1),1)),'DRAFT 2'!$A:$A),"")</f>
        <v/>
      </c>
      <c r="ID71">
        <f>COUNTIFS('DRAFT 2'!$D:$D,$B71,'DRAFT 2'!$A:$A,"&gt;="&amp;DATE(2026,11,1),'DRAFT 2'!$A:$A,"&lt;="&amp;DATE(2026,11,7))</f>
        <v/>
      </c>
      <c r="IE71">
        <f>COUNTIFS('DRAFT 2'!$D:$D,$B71,'DRAFT 2'!$A:$A,"&gt;="&amp;DATE(2026,11,8),'DRAFT 2'!$A:$A,"&lt;="&amp;DATE(2026,11,14))</f>
        <v/>
      </c>
      <c r="IF71">
        <f>COUNTIFS('DRAFT 2'!$D:$D,$B71,'DRAFT 2'!$A:$A,"&gt;="&amp;DATE(2026,11,15),'DRAFT 2'!$A:$A,"&lt;="&amp;DATE(2026,11,21))</f>
        <v/>
      </c>
      <c r="IG71">
        <f>COUNTIFS('DRAFT 2'!$D:$D,$B71,'DRAFT 2'!$A:$A,"&gt;="&amp;DATE(2026,11,22),'DRAFT 2'!$A:$A,"&lt;"&amp;DATE(2026,IF(11=12,11+1,11+1),1))</f>
        <v/>
      </c>
      <c r="IH71">
        <f>SUM(ID71:IG71)</f>
        <v/>
      </c>
      <c r="IR71">
        <f>IFERROR(LOOKUP(2,1/('DRAFT 2'!$D:$D=$B71)*('DRAFT 2'!$A:$A&gt;=DATE(2026,12,1))*('DRAFT 2'!$A:$A&lt;DATE(2026,IF(12=12,12+1,12+1),1)),'DRAFT 2'!$A:$A),"")</f>
        <v/>
      </c>
      <c r="IS71">
        <f>COUNTIFS('DRAFT 2'!$D:$D,$B71,'DRAFT 2'!$A:$A,"&gt;="&amp;DATE(2026,12,1),'DRAFT 2'!$A:$A,"&lt;="&amp;DATE(2026,12,7))</f>
        <v/>
      </c>
      <c r="IT71">
        <f>COUNTIFS('DRAFT 2'!$D:$D,$B71,'DRAFT 2'!$A:$A,"&gt;="&amp;DATE(2026,12,8),'DRAFT 2'!$A:$A,"&lt;="&amp;DATE(2026,12,14))</f>
        <v/>
      </c>
      <c r="IU71">
        <f>COUNTIFS('DRAFT 2'!$D:$D,$B71,'DRAFT 2'!$A:$A,"&gt;="&amp;DATE(2026,12,15),'DRAFT 2'!$A:$A,"&lt;="&amp;DATE(2026,12,21))</f>
        <v/>
      </c>
      <c r="IV71">
        <f>COUNTIFS('DRAFT 2'!$D:$D,$B71,'DRAFT 2'!$A:$A,"&gt;="&amp;DATE(2026,12,22),'DRAFT 2'!$A:$A,"&lt;"&amp;DATE(2026,IF(12=12,12+1,12+1),1))</f>
        <v/>
      </c>
      <c r="IW71">
        <f>SUM(IS71:IV71)</f>
        <v/>
      </c>
    </row>
    <row r="72">
      <c r="A72">
        <f>IFERROR(INDEX('DRAFT 1'!$A:$A,MATCH($B72,'DRAFT 1'!$B:$B,0)),"")</f>
        <v/>
      </c>
      <c r="C72">
        <f>IFERROR(INDEX('DRAFT 1'!$C:$C,MATCH($B72,'DRAFT 1'!$B:$B,0)),"")</f>
        <v/>
      </c>
      <c r="D72">
        <f>IFERROR(INDEX('DRAFT 1'!$D:$D,MATCH($B72,'DRAFT 1'!$B:$B,0)),"")</f>
        <v/>
      </c>
      <c r="E72">
        <f>IFERROR(INDEX('DRAFT 1'!$E:$E,MATCH($B72,'DRAFT 1'!$B:$B,0)),"")</f>
        <v/>
      </c>
      <c r="F72">
        <f>IFERROR(INDEX('DRAFT 1'!$F:$F,MATCH($B72,'DRAFT 1'!$B:$B,0)),"")</f>
        <v/>
      </c>
      <c r="G72">
        <f>IFERROR(INDEX('DRAFT 1'!$G:$G,MATCH($B72,'DRAFT 1'!$B:$B,0)),"")</f>
        <v/>
      </c>
      <c r="H72">
        <f>IFERROR(INDEX('DRAFT 1'!$H:$H,MATCH($B72,'DRAFT 1'!$B:$B,0)),"")</f>
        <v/>
      </c>
      <c r="I72" t="inlineStr">
        <is>
          <t>CIA DA SAUDE</t>
        </is>
      </c>
      <c r="K72">
        <f>IFERROR(INDEX('DRAFT 1'!$AL:$AL,MATCH($B72,'DRAFT 1'!$B:$B,0)),"")</f>
        <v/>
      </c>
      <c r="L72">
        <f>IFERROR(INDEX('DRAFT 1'!$J:$J,MATCH($B72,'DRAFT 1'!$B:$B,0)),"")</f>
        <v/>
      </c>
      <c r="M72">
        <f>IFERROR(INDEX('DRAFT 1'!$K:$K,MATCH($B72,'DRAFT 1'!$B:$B,0)),"")</f>
        <v/>
      </c>
      <c r="N72" t="inlineStr">
        <is>
          <t>ATIVO</t>
        </is>
      </c>
      <c r="P72">
        <f>IFERROR(INDEX('DRAFT 1'!$L:$L,MATCH($B72,'DRAFT 1'!$B:$B,0)),"")</f>
        <v/>
      </c>
      <c r="Q72">
        <f>IFERROR(INDEX('DRAFT 1'!$M:$M,MATCH($B72,'DRAFT 1'!$B:$B,0)),"")</f>
        <v/>
      </c>
      <c r="R72">
        <f>IFERROR(INDEX('DRAFT 1'!$N:$N,MATCH($B72,'DRAFT 1'!$B:$B,0)),"")</f>
        <v/>
      </c>
      <c r="S72">
        <f>IFERROR(INDEX('DRAFT 1'!$O:$O,MATCH($B72,'DRAFT 1'!$B:$B,0)),"")</f>
        <v/>
      </c>
      <c r="T72">
        <f>IFERROR(INDEX('DRAFT 1'!$P:$P,MATCH($B72,'DRAFT 1'!$B:$B,0)),"")</f>
        <v/>
      </c>
      <c r="U72">
        <f>IFERROR(INDEX('DRAFT 1'!$Q:$Q,MATCH($B72,'DRAFT 1'!$B:$B,0)),"")</f>
        <v/>
      </c>
      <c r="V72">
        <f>IFERROR(INDEX('DRAFT 1'!$R:$R,MATCH($B72,'DRAFT 1'!$B:$B,0)),"")</f>
        <v/>
      </c>
      <c r="W72">
        <f>IFERROR(INDEX('DRAFT 1'!$S:$S,MATCH($B72,'DRAFT 1'!$B:$B,0)),"")</f>
        <v/>
      </c>
      <c r="X72">
        <f>IFERROR(INDEX('DRAFT 1'!$T:$T,MATCH($B72,'DRAFT 1'!$B:$B,0)),"")</f>
        <v/>
      </c>
      <c r="Z72">
        <f>IFERROR(INDEX('DRAFT 1'!$U:$U,MATCH($B72,'DRAFT 1'!$B:$B,0)),"")</f>
        <v/>
      </c>
      <c r="AA72">
        <f>IFERROR(INDEX('DRAFT 1'!$V:$V,MATCH($B72,'DRAFT 1'!$B:$B,0)),"")</f>
        <v/>
      </c>
      <c r="AB72">
        <f>IFERROR(INDEX('DRAFT 1'!$W:$W,MATCH($B72,'DRAFT 1'!$B:$B,0)),"")</f>
        <v/>
      </c>
      <c r="AC72">
        <f>IFERROR(INDEX('DRAFT 1'!$X:$X,MATCH($B72,'DRAFT 1'!$B:$B,0)),"")</f>
        <v/>
      </c>
      <c r="AD72">
        <f>IFERROR(INDEX('DRAFT 1'!$Y:$Y,MATCH($B72,'DRAFT 1'!$B:$B,0)),"")</f>
        <v/>
      </c>
      <c r="AE72">
        <f>IFERROR(INDEX('DRAFT 1'!$Z:$Z,MATCH($B72,'DRAFT 1'!$B:$B,0)),"")</f>
        <v/>
      </c>
      <c r="AF72">
        <f>IFERROR(INDEX('DRAFT 1'!$AA:$AA,MATCH($B72,'DRAFT 1'!$B:$B,0)),"")</f>
        <v/>
      </c>
      <c r="AG72">
        <f>IFERROR(INDEX('DRAFT 1'!$AB:$AB,MATCH($B72,'DRAFT 1'!$B:$B,0)),"")</f>
        <v/>
      </c>
      <c r="AH72">
        <f>IFERROR(INDEX('DRAFT 1'!$AC:$AC,MATCH($B72,'DRAFT 1'!$B:$B,0)),"")</f>
        <v/>
      </c>
      <c r="AI72">
        <f>IFERROR(INDEX('DRAFT 1'!$AD:$AD,MATCH($B72,'DRAFT 1'!$B:$B,0)),"")</f>
        <v/>
      </c>
      <c r="AJ72">
        <f>IFERROR(INDEX('DRAFT 1'!$AE:$AE,MATCH($B72,'DRAFT 1'!$B:$B,0)),"")</f>
        <v/>
      </c>
      <c r="AK72">
        <f>IFERROR(INDEX('DRAFT 1'!$AG:$AG,MATCH($B72,'DRAFT 1'!$B:$B,0)),"")</f>
        <v/>
      </c>
      <c r="AL72">
        <f>IFERROR(INDEX('DRAFT 1'!$AH:$AH,MATCH($B72,'DRAFT 1'!$B:$B,0)),"")</f>
        <v/>
      </c>
      <c r="AM72">
        <f>IFERROR(INDEX('DRAFT 1'!$AI:$AI,MATCH($B72,'DRAFT 1'!$B:$B,0)),"")</f>
        <v/>
      </c>
      <c r="AN72">
        <f>IFERROR(INDEX('DRAFT 1'!$AJ:$AJ,MATCH($B72,'DRAFT 1'!$B:$B,0)),"")</f>
        <v/>
      </c>
      <c r="AO72">
        <f>IFERROR(Y72/AN72,0)</f>
        <v/>
      </c>
      <c r="AP72">
        <f>IFERROR(INDEX('DRAFT 1'!$AK:$AK,MATCH($B72,'DRAFT 1'!$B:$B,0)),"")</f>
        <v/>
      </c>
      <c r="AR72" t="inlineStr">
        <is>
          <t>RECOMPRA</t>
        </is>
      </c>
      <c r="AS72">
        <f>IFERROR(LOOKUP(2,1/('DRAFT 2'!$D:$D=$B72),'DRAFT 2'!$T:$T),"")</f>
        <v/>
      </c>
      <c r="AT72">
        <f>IFERROR(LOOKUP(2,1/('DRAFT 2'!$D:$D=$B72),'DRAFT 2'!$A:$A),"")</f>
        <v/>
      </c>
      <c r="AU72">
        <f>IFERROR(LOOKUP(2,1/('DRAFT 2'!$D:$D=$B72),'DRAFT 2'!$R:$R),"")</f>
        <v/>
      </c>
      <c r="AV72">
        <f>IFERROR(LOOKUP(2,1/('DRAFT 2'!$D:$D=$B72),'DRAFT 2'!$S:$S),"")</f>
        <v/>
      </c>
      <c r="AW72" t="inlineStr">
        <is>
          <t>FIDELIZADO</t>
        </is>
      </c>
      <c r="AX72">
        <f>IFERROR(LOOKUP(2,1/('DRAFT 2'!$D:$D=$B72),'DRAFT 2'!$M:$M),"")</f>
        <v/>
      </c>
      <c r="AY72">
        <f>IFERROR(LOOKUP(2,1/('DRAFT 2'!$D:$D=$B72),'DRAFT 2'!$K:$K),"")</f>
        <v/>
      </c>
      <c r="BG72">
        <f>IFERROR(LOOKUP(2,1/('DRAFT 2'!$D:$D=$B72),'DRAFT 2'!$U:$U),"")</f>
        <v/>
      </c>
      <c r="BH72">
        <f>IFERROR(LOOKUP(2,1/('DRAFT 2'!$D:$D=$B72),'DRAFT 2'!$V:$V),"")</f>
        <v/>
      </c>
      <c r="CE72">
        <f>IFERROR(AJ72,0)</f>
        <v/>
      </c>
      <c r="CF72">
        <f>IFERROR(LOOKUP(2,1/('DRAFT 2'!$D:$D=$B72)*('DRAFT 2'!$A:$A&gt;=DATE(2026,1,1))*('DRAFT 2'!$A:$A&lt;DATE(2026,IF(1=12,1+1,1+1),1)),'DRAFT 2'!$A:$A),"")</f>
        <v/>
      </c>
      <c r="CG72">
        <f>COUNTIFS('DRAFT 2'!$D:$D,$B72,'DRAFT 2'!$A:$A,"&gt;="&amp;DATE(2026,1,1),'DRAFT 2'!$A:$A,"&lt;="&amp;DATE(2026,1,7))</f>
        <v/>
      </c>
      <c r="CH72">
        <f>COUNTIFS('DRAFT 2'!$D:$D,$B72,'DRAFT 2'!$A:$A,"&gt;="&amp;DATE(2026,1,8),'DRAFT 2'!$A:$A,"&lt;="&amp;DATE(2026,1,14))</f>
        <v/>
      </c>
      <c r="CI72">
        <f>COUNTIFS('DRAFT 2'!$D:$D,$B72,'DRAFT 2'!$A:$A,"&gt;="&amp;DATE(2026,1,15),'DRAFT 2'!$A:$A,"&lt;="&amp;DATE(2026,1,21))</f>
        <v/>
      </c>
      <c r="CJ72">
        <f>COUNTIFS('DRAFT 2'!$D:$D,$B72,'DRAFT 2'!$A:$A,"&gt;="&amp;DATE(2026,1,22),'DRAFT 2'!$A:$A,"&lt;"&amp;DATE(2026,IF(1=12,1+1,1+1),1))</f>
        <v/>
      </c>
      <c r="CK72">
        <f>SUM(CG72:CJ72)</f>
        <v/>
      </c>
      <c r="CT72" t="n">
        <v>0</v>
      </c>
      <c r="CU72">
        <f>IFERROR(LOOKUP(2,1/('DRAFT 2'!$D:$D=$B72)*('DRAFT 2'!$A:$A&gt;=DATE(2026,2,1))*('DRAFT 2'!$A:$A&lt;DATE(2026,IF(2=12,2+1,2+1),1)),'DRAFT 2'!$A:$A),"")</f>
        <v/>
      </c>
      <c r="CV72">
        <f>COUNTIFS('DRAFT 2'!$D:$D,$B72,'DRAFT 2'!$A:$A,"&gt;="&amp;DATE(2026,2,1),'DRAFT 2'!$A:$A,"&lt;="&amp;DATE(2026,2,7))</f>
        <v/>
      </c>
      <c r="CW72">
        <f>COUNTIFS('DRAFT 2'!$D:$D,$B72,'DRAFT 2'!$A:$A,"&gt;="&amp;DATE(2026,2,8),'DRAFT 2'!$A:$A,"&lt;="&amp;DATE(2026,2,14))</f>
        <v/>
      </c>
      <c r="CX72">
        <f>COUNTIFS('DRAFT 2'!$D:$D,$B72,'DRAFT 2'!$A:$A,"&gt;="&amp;DATE(2026,2,15),'DRAFT 2'!$A:$A,"&lt;="&amp;DATE(2026,2,21))</f>
        <v/>
      </c>
      <c r="CY72">
        <f>COUNTIFS('DRAFT 2'!$D:$D,$B72,'DRAFT 2'!$A:$A,"&gt;="&amp;DATE(2026,2,22),'DRAFT 2'!$A:$A,"&lt;"&amp;DATE(2026,IF(2=12,2+1,2+1),1))</f>
        <v/>
      </c>
      <c r="CZ72">
        <f>SUM(CV72:CY72)</f>
        <v/>
      </c>
      <c r="DJ72">
        <f>IFERROR(LOOKUP(2,1/('DRAFT 2'!$D:$D=$B72)*('DRAFT 2'!$A:$A&gt;=DATE(2026,3,1))*('DRAFT 2'!$A:$A&lt;DATE(2026,IF(3=12,3+1,3+1),1)),'DRAFT 2'!$A:$A),"")</f>
        <v/>
      </c>
      <c r="DK72">
        <f>COUNTIFS('DRAFT 2'!$D:$D,$B72,'DRAFT 2'!$A:$A,"&gt;="&amp;DATE(2026,3,1),'DRAFT 2'!$A:$A,"&lt;="&amp;DATE(2026,3,7))</f>
        <v/>
      </c>
      <c r="DL72">
        <f>COUNTIFS('DRAFT 2'!$D:$D,$B72,'DRAFT 2'!$A:$A,"&gt;="&amp;DATE(2026,3,8),'DRAFT 2'!$A:$A,"&lt;="&amp;DATE(2026,3,14))</f>
        <v/>
      </c>
      <c r="DM72">
        <f>COUNTIFS('DRAFT 2'!$D:$D,$B72,'DRAFT 2'!$A:$A,"&gt;="&amp;DATE(2026,3,15),'DRAFT 2'!$A:$A,"&lt;="&amp;DATE(2026,3,21))</f>
        <v/>
      </c>
      <c r="DN72">
        <f>COUNTIFS('DRAFT 2'!$D:$D,$B72,'DRAFT 2'!$A:$A,"&gt;="&amp;DATE(2026,3,22),'DRAFT 2'!$A:$A,"&lt;"&amp;DATE(2026,IF(3=12,3+1,3+1),1))</f>
        <v/>
      </c>
      <c r="DO72">
        <f>SUM(DK72:DN72)</f>
        <v/>
      </c>
      <c r="DZ72">
        <f>IFERROR(LOOKUP(2,1/('DRAFT 2'!$D:$D=$B72)*('DRAFT 2'!$A:$A&gt;=DATE(2026,4,1))*('DRAFT 2'!$A:$A&lt;DATE(2026,IF(4=12,4+1,4+1),1)),'DRAFT 2'!$A:$A),"")</f>
        <v/>
      </c>
      <c r="EA72">
        <f>COUNTIFS('DRAFT 2'!$D:$D,$B72,'DRAFT 2'!$A:$A,"&gt;="&amp;DATE(2026,4,1),'DRAFT 2'!$A:$A,"&lt;="&amp;DATE(2026,4,7))</f>
        <v/>
      </c>
      <c r="EB72">
        <f>COUNTIFS('DRAFT 2'!$D:$D,$B72,'DRAFT 2'!$A:$A,"&gt;="&amp;DATE(2026,4,8),'DRAFT 2'!$A:$A,"&lt;="&amp;DATE(2026,4,14))</f>
        <v/>
      </c>
      <c r="EC72">
        <f>COUNTIFS('DRAFT 2'!$D:$D,$B72,'DRAFT 2'!$A:$A,"&gt;="&amp;DATE(2026,4,15),'DRAFT 2'!$A:$A,"&lt;="&amp;DATE(2026,4,21))</f>
        <v/>
      </c>
      <c r="ED72">
        <f>COUNTIFS('DRAFT 2'!$D:$D,$B72,'DRAFT 2'!$A:$A,"&gt;="&amp;DATE(2026,4,22),'DRAFT 2'!$A:$A,"&lt;"&amp;DATE(2026,IF(4=12,4+1,4+1),1))</f>
        <v/>
      </c>
      <c r="EE72">
        <f>SUM(EA72:ED72)</f>
        <v/>
      </c>
      <c r="EO72">
        <f>IFERROR(LOOKUP(2,1/('DRAFT 2'!$D:$D=$B72)*('DRAFT 2'!$A:$A&gt;=DATE(2026,5,1))*('DRAFT 2'!$A:$A&lt;DATE(2026,IF(5=12,5+1,5+1),1)),'DRAFT 2'!$A:$A),"")</f>
        <v/>
      </c>
      <c r="EP72">
        <f>COUNTIFS('DRAFT 2'!$D:$D,$B72,'DRAFT 2'!$A:$A,"&gt;="&amp;DATE(2026,5,1),'DRAFT 2'!$A:$A,"&lt;="&amp;DATE(2026,5,7))</f>
        <v/>
      </c>
      <c r="EQ72">
        <f>COUNTIFS('DRAFT 2'!$D:$D,$B72,'DRAFT 2'!$A:$A,"&gt;="&amp;DATE(2026,5,8),'DRAFT 2'!$A:$A,"&lt;="&amp;DATE(2026,5,14))</f>
        <v/>
      </c>
      <c r="ER72">
        <f>COUNTIFS('DRAFT 2'!$D:$D,$B72,'DRAFT 2'!$A:$A,"&gt;="&amp;DATE(2026,5,15),'DRAFT 2'!$A:$A,"&lt;="&amp;DATE(2026,5,21))</f>
        <v/>
      </c>
      <c r="ES72">
        <f>COUNTIFS('DRAFT 2'!$D:$D,$B72,'DRAFT 2'!$A:$A,"&gt;="&amp;DATE(2026,5,22),'DRAFT 2'!$A:$A,"&lt;"&amp;DATE(2026,IF(5=12,5+1,5+1),1))</f>
        <v/>
      </c>
      <c r="ET72">
        <f>SUM(EP72:ES72)</f>
        <v/>
      </c>
      <c r="FD72">
        <f>IFERROR(LOOKUP(2,1/('DRAFT 2'!$D:$D=$B72)*('DRAFT 2'!$A:$A&gt;=DATE(2026,6,1))*('DRAFT 2'!$A:$A&lt;DATE(2026,IF(6=12,6+1,6+1),1)),'DRAFT 2'!$A:$A),"")</f>
        <v/>
      </c>
      <c r="FE72">
        <f>COUNTIFS('DRAFT 2'!$D:$D,$B72,'DRAFT 2'!$A:$A,"&gt;="&amp;DATE(2026,6,1),'DRAFT 2'!$A:$A,"&lt;="&amp;DATE(2026,6,7))</f>
        <v/>
      </c>
      <c r="FF72">
        <f>COUNTIFS('DRAFT 2'!$D:$D,$B72,'DRAFT 2'!$A:$A,"&gt;="&amp;DATE(2026,6,8),'DRAFT 2'!$A:$A,"&lt;="&amp;DATE(2026,6,14))</f>
        <v/>
      </c>
      <c r="FG72">
        <f>COUNTIFS('DRAFT 2'!$D:$D,$B72,'DRAFT 2'!$A:$A,"&gt;="&amp;DATE(2026,6,15),'DRAFT 2'!$A:$A,"&lt;="&amp;DATE(2026,6,21))</f>
        <v/>
      </c>
      <c r="FH72">
        <f>COUNTIFS('DRAFT 2'!$D:$D,$B72,'DRAFT 2'!$A:$A,"&gt;="&amp;DATE(2026,6,22),'DRAFT 2'!$A:$A,"&lt;"&amp;DATE(2026,IF(6=12,6+1,6+1),1))</f>
        <v/>
      </c>
      <c r="FI72">
        <f>SUM(FE72:FH72)</f>
        <v/>
      </c>
      <c r="FT72">
        <f>IFERROR(LOOKUP(2,1/('DRAFT 2'!$D:$D=$B72)*('DRAFT 2'!$A:$A&gt;=DATE(2026,7,1))*('DRAFT 2'!$A:$A&lt;DATE(2026,IF(7=12,7+1,7+1),1)),'DRAFT 2'!$A:$A),"")</f>
        <v/>
      </c>
      <c r="FU72">
        <f>COUNTIFS('DRAFT 2'!$D:$D,$B72,'DRAFT 2'!$A:$A,"&gt;="&amp;DATE(2026,7,1),'DRAFT 2'!$A:$A,"&lt;="&amp;DATE(2026,7,7))</f>
        <v/>
      </c>
      <c r="FV72">
        <f>COUNTIFS('DRAFT 2'!$D:$D,$B72,'DRAFT 2'!$A:$A,"&gt;="&amp;DATE(2026,7,8),'DRAFT 2'!$A:$A,"&lt;="&amp;DATE(2026,7,14))</f>
        <v/>
      </c>
      <c r="FW72">
        <f>COUNTIFS('DRAFT 2'!$D:$D,$B72,'DRAFT 2'!$A:$A,"&gt;="&amp;DATE(2026,7,15),'DRAFT 2'!$A:$A,"&lt;="&amp;DATE(2026,7,21))</f>
        <v/>
      </c>
      <c r="FX72">
        <f>COUNTIFS('DRAFT 2'!$D:$D,$B72,'DRAFT 2'!$A:$A,"&gt;="&amp;DATE(2026,7,22),'DRAFT 2'!$A:$A,"&lt;"&amp;DATE(2026,IF(7=12,7+1,7+1),1))</f>
        <v/>
      </c>
      <c r="FY72">
        <f>SUM(FU72:FX72)</f>
        <v/>
      </c>
      <c r="GI72">
        <f>IFERROR(LOOKUP(2,1/('DRAFT 2'!$D:$D=$B72)*('DRAFT 2'!$A:$A&gt;=DATE(2026,8,1))*('DRAFT 2'!$A:$A&lt;DATE(2026,IF(8=12,8+1,8+1),1)),'DRAFT 2'!$A:$A),"")</f>
        <v/>
      </c>
      <c r="GJ72">
        <f>COUNTIFS('DRAFT 2'!$D:$D,$B72,'DRAFT 2'!$A:$A,"&gt;="&amp;DATE(2026,8,1),'DRAFT 2'!$A:$A,"&lt;="&amp;DATE(2026,8,7))</f>
        <v/>
      </c>
      <c r="GK72">
        <f>COUNTIFS('DRAFT 2'!$D:$D,$B72,'DRAFT 2'!$A:$A,"&gt;="&amp;DATE(2026,8,8),'DRAFT 2'!$A:$A,"&lt;="&amp;DATE(2026,8,14))</f>
        <v/>
      </c>
      <c r="GL72">
        <f>COUNTIFS('DRAFT 2'!$D:$D,$B72,'DRAFT 2'!$A:$A,"&gt;="&amp;DATE(2026,8,15),'DRAFT 2'!$A:$A,"&lt;="&amp;DATE(2026,8,21))</f>
        <v/>
      </c>
      <c r="GM72">
        <f>COUNTIFS('DRAFT 2'!$D:$D,$B72,'DRAFT 2'!$A:$A,"&gt;="&amp;DATE(2026,8,22),'DRAFT 2'!$A:$A,"&lt;"&amp;DATE(2026,IF(8=12,8+1,8+1),1))</f>
        <v/>
      </c>
      <c r="GN72">
        <f>SUM(GJ72:GM72)</f>
        <v/>
      </c>
      <c r="GX72">
        <f>IFERROR(LOOKUP(2,1/('DRAFT 2'!$D:$D=$B72)*('DRAFT 2'!$A:$A&gt;=DATE(2026,9,1))*('DRAFT 2'!$A:$A&lt;DATE(2026,IF(9=12,9+1,9+1),1)),'DRAFT 2'!$A:$A),"")</f>
        <v/>
      </c>
      <c r="GY72">
        <f>COUNTIFS('DRAFT 2'!$D:$D,$B72,'DRAFT 2'!$A:$A,"&gt;="&amp;DATE(2026,9,1),'DRAFT 2'!$A:$A,"&lt;="&amp;DATE(2026,9,7))</f>
        <v/>
      </c>
      <c r="GZ72">
        <f>COUNTIFS('DRAFT 2'!$D:$D,$B72,'DRAFT 2'!$A:$A,"&gt;="&amp;DATE(2026,9,8),'DRAFT 2'!$A:$A,"&lt;="&amp;DATE(2026,9,14))</f>
        <v/>
      </c>
      <c r="HA72">
        <f>COUNTIFS('DRAFT 2'!$D:$D,$B72,'DRAFT 2'!$A:$A,"&gt;="&amp;DATE(2026,9,15),'DRAFT 2'!$A:$A,"&lt;="&amp;DATE(2026,9,21))</f>
        <v/>
      </c>
      <c r="HB72">
        <f>COUNTIFS('DRAFT 2'!$D:$D,$B72,'DRAFT 2'!$A:$A,"&gt;="&amp;DATE(2026,9,22),'DRAFT 2'!$A:$A,"&lt;"&amp;DATE(2026,IF(9=12,9+1,9+1),1))</f>
        <v/>
      </c>
      <c r="HC72">
        <f>SUM(GY72:HB72)</f>
        <v/>
      </c>
      <c r="HN72">
        <f>IFERROR(LOOKUP(2,1/('DRAFT 2'!$D:$D=$B72)*('DRAFT 2'!$A:$A&gt;=DATE(2026,10,1))*('DRAFT 2'!$A:$A&lt;DATE(2026,IF(10=12,10+1,10+1),1)),'DRAFT 2'!$A:$A),"")</f>
        <v/>
      </c>
      <c r="HO72">
        <f>COUNTIFS('DRAFT 2'!$D:$D,$B72,'DRAFT 2'!$A:$A,"&gt;="&amp;DATE(2026,10,1),'DRAFT 2'!$A:$A,"&lt;="&amp;DATE(2026,10,7))</f>
        <v/>
      </c>
      <c r="HP72">
        <f>COUNTIFS('DRAFT 2'!$D:$D,$B72,'DRAFT 2'!$A:$A,"&gt;="&amp;DATE(2026,10,8),'DRAFT 2'!$A:$A,"&lt;="&amp;DATE(2026,10,14))</f>
        <v/>
      </c>
      <c r="HQ72">
        <f>COUNTIFS('DRAFT 2'!$D:$D,$B72,'DRAFT 2'!$A:$A,"&gt;="&amp;DATE(2026,10,15),'DRAFT 2'!$A:$A,"&lt;="&amp;DATE(2026,10,21))</f>
        <v/>
      </c>
      <c r="HR72">
        <f>COUNTIFS('DRAFT 2'!$D:$D,$B72,'DRAFT 2'!$A:$A,"&gt;="&amp;DATE(2026,10,22),'DRAFT 2'!$A:$A,"&lt;"&amp;DATE(2026,IF(10=12,10+1,10+1),1))</f>
        <v/>
      </c>
      <c r="HS72">
        <f>SUM(HO72:HR72)</f>
        <v/>
      </c>
      <c r="IC72">
        <f>IFERROR(LOOKUP(2,1/('DRAFT 2'!$D:$D=$B72)*('DRAFT 2'!$A:$A&gt;=DATE(2026,11,1))*('DRAFT 2'!$A:$A&lt;DATE(2026,IF(11=12,11+1,11+1),1)),'DRAFT 2'!$A:$A),"")</f>
        <v/>
      </c>
      <c r="ID72">
        <f>COUNTIFS('DRAFT 2'!$D:$D,$B72,'DRAFT 2'!$A:$A,"&gt;="&amp;DATE(2026,11,1),'DRAFT 2'!$A:$A,"&lt;="&amp;DATE(2026,11,7))</f>
        <v/>
      </c>
      <c r="IE72">
        <f>COUNTIFS('DRAFT 2'!$D:$D,$B72,'DRAFT 2'!$A:$A,"&gt;="&amp;DATE(2026,11,8),'DRAFT 2'!$A:$A,"&lt;="&amp;DATE(2026,11,14))</f>
        <v/>
      </c>
      <c r="IF72">
        <f>COUNTIFS('DRAFT 2'!$D:$D,$B72,'DRAFT 2'!$A:$A,"&gt;="&amp;DATE(2026,11,15),'DRAFT 2'!$A:$A,"&lt;="&amp;DATE(2026,11,21))</f>
        <v/>
      </c>
      <c r="IG72">
        <f>COUNTIFS('DRAFT 2'!$D:$D,$B72,'DRAFT 2'!$A:$A,"&gt;="&amp;DATE(2026,11,22),'DRAFT 2'!$A:$A,"&lt;"&amp;DATE(2026,IF(11=12,11+1,11+1),1))</f>
        <v/>
      </c>
      <c r="IH72">
        <f>SUM(ID72:IG72)</f>
        <v/>
      </c>
      <c r="IR72">
        <f>IFERROR(LOOKUP(2,1/('DRAFT 2'!$D:$D=$B72)*('DRAFT 2'!$A:$A&gt;=DATE(2026,12,1))*('DRAFT 2'!$A:$A&lt;DATE(2026,IF(12=12,12+1,12+1),1)),'DRAFT 2'!$A:$A),"")</f>
        <v/>
      </c>
      <c r="IS72">
        <f>COUNTIFS('DRAFT 2'!$D:$D,$B72,'DRAFT 2'!$A:$A,"&gt;="&amp;DATE(2026,12,1),'DRAFT 2'!$A:$A,"&lt;="&amp;DATE(2026,12,7))</f>
        <v/>
      </c>
      <c r="IT72">
        <f>COUNTIFS('DRAFT 2'!$D:$D,$B72,'DRAFT 2'!$A:$A,"&gt;="&amp;DATE(2026,12,8),'DRAFT 2'!$A:$A,"&lt;="&amp;DATE(2026,12,14))</f>
        <v/>
      </c>
      <c r="IU72">
        <f>COUNTIFS('DRAFT 2'!$D:$D,$B72,'DRAFT 2'!$A:$A,"&gt;="&amp;DATE(2026,12,15),'DRAFT 2'!$A:$A,"&lt;="&amp;DATE(2026,12,21))</f>
        <v/>
      </c>
      <c r="IV72">
        <f>COUNTIFS('DRAFT 2'!$D:$D,$B72,'DRAFT 2'!$A:$A,"&gt;="&amp;DATE(2026,12,22),'DRAFT 2'!$A:$A,"&lt;"&amp;DATE(2026,IF(12=12,12+1,12+1),1))</f>
        <v/>
      </c>
      <c r="IW72">
        <f>SUM(IS72:IV72)</f>
        <v/>
      </c>
    </row>
    <row r="73">
      <c r="A73">
        <f>IFERROR(INDEX('DRAFT 1'!$A:$A,MATCH($B73,'DRAFT 1'!$B:$B,0)),"")</f>
        <v/>
      </c>
      <c r="C73">
        <f>IFERROR(INDEX('DRAFT 1'!$C:$C,MATCH($B73,'DRAFT 1'!$B:$B,0)),"")</f>
        <v/>
      </c>
      <c r="D73">
        <f>IFERROR(INDEX('DRAFT 1'!$D:$D,MATCH($B73,'DRAFT 1'!$B:$B,0)),"")</f>
        <v/>
      </c>
      <c r="E73">
        <f>IFERROR(INDEX('DRAFT 1'!$E:$E,MATCH($B73,'DRAFT 1'!$B:$B,0)),"")</f>
        <v/>
      </c>
      <c r="F73">
        <f>IFERROR(INDEX('DRAFT 1'!$F:$F,MATCH($B73,'DRAFT 1'!$B:$B,0)),"")</f>
        <v/>
      </c>
      <c r="G73">
        <f>IFERROR(INDEX('DRAFT 1'!$G:$G,MATCH($B73,'DRAFT 1'!$B:$B,0)),"")</f>
        <v/>
      </c>
      <c r="H73">
        <f>IFERROR(INDEX('DRAFT 1'!$H:$H,MATCH($B73,'DRAFT 1'!$B:$B,0)),"")</f>
        <v/>
      </c>
      <c r="I73" t="inlineStr">
        <is>
          <t>MUNDO VERDE</t>
        </is>
      </c>
      <c r="K73">
        <f>IFERROR(INDEX('DRAFT 1'!$AL:$AL,MATCH($B73,'DRAFT 1'!$B:$B,0)),"")</f>
        <v/>
      </c>
      <c r="L73">
        <f>IFERROR(INDEX('DRAFT 1'!$J:$J,MATCH($B73,'DRAFT 1'!$B:$B,0)),"")</f>
        <v/>
      </c>
      <c r="M73">
        <f>IFERROR(INDEX('DRAFT 1'!$K:$K,MATCH($B73,'DRAFT 1'!$B:$B,0)),"")</f>
        <v/>
      </c>
      <c r="N73" t="inlineStr">
        <is>
          <t>INAT.ANT</t>
        </is>
      </c>
      <c r="P73">
        <f>IFERROR(INDEX('DRAFT 1'!$L:$L,MATCH($B73,'DRAFT 1'!$B:$B,0)),"")</f>
        <v/>
      </c>
      <c r="Q73">
        <f>IFERROR(INDEX('DRAFT 1'!$M:$M,MATCH($B73,'DRAFT 1'!$B:$B,0)),"")</f>
        <v/>
      </c>
      <c r="R73">
        <f>IFERROR(INDEX('DRAFT 1'!$N:$N,MATCH($B73,'DRAFT 1'!$B:$B,0)),"")</f>
        <v/>
      </c>
      <c r="S73">
        <f>IFERROR(INDEX('DRAFT 1'!$O:$O,MATCH($B73,'DRAFT 1'!$B:$B,0)),"")</f>
        <v/>
      </c>
      <c r="T73">
        <f>IFERROR(INDEX('DRAFT 1'!$P:$P,MATCH($B73,'DRAFT 1'!$B:$B,0)),"")</f>
        <v/>
      </c>
      <c r="U73">
        <f>IFERROR(INDEX('DRAFT 1'!$Q:$Q,MATCH($B73,'DRAFT 1'!$B:$B,0)),"")</f>
        <v/>
      </c>
      <c r="V73">
        <f>IFERROR(INDEX('DRAFT 1'!$R:$R,MATCH($B73,'DRAFT 1'!$B:$B,0)),"")</f>
        <v/>
      </c>
      <c r="W73">
        <f>IFERROR(INDEX('DRAFT 1'!$S:$S,MATCH($B73,'DRAFT 1'!$B:$B,0)),"")</f>
        <v/>
      </c>
      <c r="X73">
        <f>IFERROR(INDEX('DRAFT 1'!$T:$T,MATCH($B73,'DRAFT 1'!$B:$B,0)),"")</f>
        <v/>
      </c>
      <c r="Z73">
        <f>IFERROR(INDEX('DRAFT 1'!$U:$U,MATCH($B73,'DRAFT 1'!$B:$B,0)),"")</f>
        <v/>
      </c>
      <c r="AA73">
        <f>IFERROR(INDEX('DRAFT 1'!$V:$V,MATCH($B73,'DRAFT 1'!$B:$B,0)),"")</f>
        <v/>
      </c>
      <c r="AB73">
        <f>IFERROR(INDEX('DRAFT 1'!$W:$W,MATCH($B73,'DRAFT 1'!$B:$B,0)),"")</f>
        <v/>
      </c>
      <c r="AC73">
        <f>IFERROR(INDEX('DRAFT 1'!$X:$X,MATCH($B73,'DRAFT 1'!$B:$B,0)),"")</f>
        <v/>
      </c>
      <c r="AD73">
        <f>IFERROR(INDEX('DRAFT 1'!$Y:$Y,MATCH($B73,'DRAFT 1'!$B:$B,0)),"")</f>
        <v/>
      </c>
      <c r="AE73">
        <f>IFERROR(INDEX('DRAFT 1'!$Z:$Z,MATCH($B73,'DRAFT 1'!$B:$B,0)),"")</f>
        <v/>
      </c>
      <c r="AF73">
        <f>IFERROR(INDEX('DRAFT 1'!$AA:$AA,MATCH($B73,'DRAFT 1'!$B:$B,0)),"")</f>
        <v/>
      </c>
      <c r="AG73">
        <f>IFERROR(INDEX('DRAFT 1'!$AB:$AB,MATCH($B73,'DRAFT 1'!$B:$B,0)),"")</f>
        <v/>
      </c>
      <c r="AH73">
        <f>IFERROR(INDEX('DRAFT 1'!$AC:$AC,MATCH($B73,'DRAFT 1'!$B:$B,0)),"")</f>
        <v/>
      </c>
      <c r="AI73">
        <f>IFERROR(INDEX('DRAFT 1'!$AD:$AD,MATCH($B73,'DRAFT 1'!$B:$B,0)),"")</f>
        <v/>
      </c>
      <c r="AJ73">
        <f>IFERROR(INDEX('DRAFT 1'!$AE:$AE,MATCH($B73,'DRAFT 1'!$B:$B,0)),"")</f>
        <v/>
      </c>
      <c r="AK73">
        <f>IFERROR(INDEX('DRAFT 1'!$AG:$AG,MATCH($B73,'DRAFT 1'!$B:$B,0)),"")</f>
        <v/>
      </c>
      <c r="AL73">
        <f>IFERROR(INDEX('DRAFT 1'!$AH:$AH,MATCH($B73,'DRAFT 1'!$B:$B,0)),"")</f>
        <v/>
      </c>
      <c r="AM73">
        <f>IFERROR(INDEX('DRAFT 1'!$AI:$AI,MATCH($B73,'DRAFT 1'!$B:$B,0)),"")</f>
        <v/>
      </c>
      <c r="AN73">
        <f>IFERROR(INDEX('DRAFT 1'!$AJ:$AJ,MATCH($B73,'DRAFT 1'!$B:$B,0)),"")</f>
        <v/>
      </c>
      <c r="AO73">
        <f>IFERROR(Y73/AN73,0)</f>
        <v/>
      </c>
      <c r="AP73">
        <f>IFERROR(INDEX('DRAFT 1'!$AK:$AK,MATCH($B73,'DRAFT 1'!$B:$B,0)),"")</f>
        <v/>
      </c>
      <c r="AR73" t="inlineStr">
        <is>
          <t>PROSPECÇÃO</t>
        </is>
      </c>
      <c r="AS73">
        <f>IFERROR(LOOKUP(2,1/('DRAFT 2'!$D:$D=$B73),'DRAFT 2'!$T:$T),"")</f>
        <v/>
      </c>
      <c r="AT73">
        <f>IFERROR(LOOKUP(2,1/('DRAFT 2'!$D:$D=$B73),'DRAFT 2'!$A:$A),"")</f>
        <v/>
      </c>
      <c r="AU73">
        <f>IFERROR(LOOKUP(2,1/('DRAFT 2'!$D:$D=$B73),'DRAFT 2'!$R:$R),"")</f>
        <v/>
      </c>
      <c r="AV73">
        <f>IFERROR(LOOKUP(2,1/('DRAFT 2'!$D:$D=$B73),'DRAFT 2'!$S:$S),"")</f>
        <v/>
      </c>
      <c r="AW73" t="inlineStr">
        <is>
          <t>PROSPECT</t>
        </is>
      </c>
      <c r="AX73">
        <f>IFERROR(LOOKUP(2,1/('DRAFT 2'!$D:$D=$B73),'DRAFT 2'!$M:$M),"")</f>
        <v/>
      </c>
      <c r="AY73">
        <f>IFERROR(LOOKUP(2,1/('DRAFT 2'!$D:$D=$B73),'DRAFT 2'!$K:$K),"")</f>
        <v/>
      </c>
      <c r="BG73">
        <f>IFERROR(LOOKUP(2,1/('DRAFT 2'!$D:$D=$B73),'DRAFT 2'!$U:$U),"")</f>
        <v/>
      </c>
      <c r="BH73">
        <f>IFERROR(LOOKUP(2,1/('DRAFT 2'!$D:$D=$B73),'DRAFT 2'!$V:$V),"")</f>
        <v/>
      </c>
      <c r="CE73">
        <f>IFERROR(AJ73,0)</f>
        <v/>
      </c>
      <c r="CF73">
        <f>IFERROR(LOOKUP(2,1/('DRAFT 2'!$D:$D=$B73)*('DRAFT 2'!$A:$A&gt;=DATE(2026,1,1))*('DRAFT 2'!$A:$A&lt;DATE(2026,IF(1=12,1+1,1+1),1)),'DRAFT 2'!$A:$A),"")</f>
        <v/>
      </c>
      <c r="CG73">
        <f>COUNTIFS('DRAFT 2'!$D:$D,$B73,'DRAFT 2'!$A:$A,"&gt;="&amp;DATE(2026,1,1),'DRAFT 2'!$A:$A,"&lt;="&amp;DATE(2026,1,7))</f>
        <v/>
      </c>
      <c r="CH73">
        <f>COUNTIFS('DRAFT 2'!$D:$D,$B73,'DRAFT 2'!$A:$A,"&gt;="&amp;DATE(2026,1,8),'DRAFT 2'!$A:$A,"&lt;="&amp;DATE(2026,1,14))</f>
        <v/>
      </c>
      <c r="CI73">
        <f>COUNTIFS('DRAFT 2'!$D:$D,$B73,'DRAFT 2'!$A:$A,"&gt;="&amp;DATE(2026,1,15),'DRAFT 2'!$A:$A,"&lt;="&amp;DATE(2026,1,21))</f>
        <v/>
      </c>
      <c r="CJ73">
        <f>COUNTIFS('DRAFT 2'!$D:$D,$B73,'DRAFT 2'!$A:$A,"&gt;="&amp;DATE(2026,1,22),'DRAFT 2'!$A:$A,"&lt;"&amp;DATE(2026,IF(1=12,1+1,1+1),1))</f>
        <v/>
      </c>
      <c r="CK73">
        <f>SUM(CG73:CJ73)</f>
        <v/>
      </c>
      <c r="CT73" t="n">
        <v>0</v>
      </c>
      <c r="CU73">
        <f>IFERROR(LOOKUP(2,1/('DRAFT 2'!$D:$D=$B73)*('DRAFT 2'!$A:$A&gt;=DATE(2026,2,1))*('DRAFT 2'!$A:$A&lt;DATE(2026,IF(2=12,2+1,2+1),1)),'DRAFT 2'!$A:$A),"")</f>
        <v/>
      </c>
      <c r="CV73">
        <f>COUNTIFS('DRAFT 2'!$D:$D,$B73,'DRAFT 2'!$A:$A,"&gt;="&amp;DATE(2026,2,1),'DRAFT 2'!$A:$A,"&lt;="&amp;DATE(2026,2,7))</f>
        <v/>
      </c>
      <c r="CW73">
        <f>COUNTIFS('DRAFT 2'!$D:$D,$B73,'DRAFT 2'!$A:$A,"&gt;="&amp;DATE(2026,2,8),'DRAFT 2'!$A:$A,"&lt;="&amp;DATE(2026,2,14))</f>
        <v/>
      </c>
      <c r="CX73">
        <f>COUNTIFS('DRAFT 2'!$D:$D,$B73,'DRAFT 2'!$A:$A,"&gt;="&amp;DATE(2026,2,15),'DRAFT 2'!$A:$A,"&lt;="&amp;DATE(2026,2,21))</f>
        <v/>
      </c>
      <c r="CY73">
        <f>COUNTIFS('DRAFT 2'!$D:$D,$B73,'DRAFT 2'!$A:$A,"&gt;="&amp;DATE(2026,2,22),'DRAFT 2'!$A:$A,"&lt;"&amp;DATE(2026,IF(2=12,2+1,2+1),1))</f>
        <v/>
      </c>
      <c r="CZ73">
        <f>SUM(CV73:CY73)</f>
        <v/>
      </c>
      <c r="DJ73">
        <f>IFERROR(LOOKUP(2,1/('DRAFT 2'!$D:$D=$B73)*('DRAFT 2'!$A:$A&gt;=DATE(2026,3,1))*('DRAFT 2'!$A:$A&lt;DATE(2026,IF(3=12,3+1,3+1),1)),'DRAFT 2'!$A:$A),"")</f>
        <v/>
      </c>
      <c r="DK73">
        <f>COUNTIFS('DRAFT 2'!$D:$D,$B73,'DRAFT 2'!$A:$A,"&gt;="&amp;DATE(2026,3,1),'DRAFT 2'!$A:$A,"&lt;="&amp;DATE(2026,3,7))</f>
        <v/>
      </c>
      <c r="DL73">
        <f>COUNTIFS('DRAFT 2'!$D:$D,$B73,'DRAFT 2'!$A:$A,"&gt;="&amp;DATE(2026,3,8),'DRAFT 2'!$A:$A,"&lt;="&amp;DATE(2026,3,14))</f>
        <v/>
      </c>
      <c r="DM73">
        <f>COUNTIFS('DRAFT 2'!$D:$D,$B73,'DRAFT 2'!$A:$A,"&gt;="&amp;DATE(2026,3,15),'DRAFT 2'!$A:$A,"&lt;="&amp;DATE(2026,3,21))</f>
        <v/>
      </c>
      <c r="DN73">
        <f>COUNTIFS('DRAFT 2'!$D:$D,$B73,'DRAFT 2'!$A:$A,"&gt;="&amp;DATE(2026,3,22),'DRAFT 2'!$A:$A,"&lt;"&amp;DATE(2026,IF(3=12,3+1,3+1),1))</f>
        <v/>
      </c>
      <c r="DO73">
        <f>SUM(DK73:DN73)</f>
        <v/>
      </c>
      <c r="DZ73">
        <f>IFERROR(LOOKUP(2,1/('DRAFT 2'!$D:$D=$B73)*('DRAFT 2'!$A:$A&gt;=DATE(2026,4,1))*('DRAFT 2'!$A:$A&lt;DATE(2026,IF(4=12,4+1,4+1),1)),'DRAFT 2'!$A:$A),"")</f>
        <v/>
      </c>
      <c r="EA73">
        <f>COUNTIFS('DRAFT 2'!$D:$D,$B73,'DRAFT 2'!$A:$A,"&gt;="&amp;DATE(2026,4,1),'DRAFT 2'!$A:$A,"&lt;="&amp;DATE(2026,4,7))</f>
        <v/>
      </c>
      <c r="EB73">
        <f>COUNTIFS('DRAFT 2'!$D:$D,$B73,'DRAFT 2'!$A:$A,"&gt;="&amp;DATE(2026,4,8),'DRAFT 2'!$A:$A,"&lt;="&amp;DATE(2026,4,14))</f>
        <v/>
      </c>
      <c r="EC73">
        <f>COUNTIFS('DRAFT 2'!$D:$D,$B73,'DRAFT 2'!$A:$A,"&gt;="&amp;DATE(2026,4,15),'DRAFT 2'!$A:$A,"&lt;="&amp;DATE(2026,4,21))</f>
        <v/>
      </c>
      <c r="ED73">
        <f>COUNTIFS('DRAFT 2'!$D:$D,$B73,'DRAFT 2'!$A:$A,"&gt;="&amp;DATE(2026,4,22),'DRAFT 2'!$A:$A,"&lt;"&amp;DATE(2026,IF(4=12,4+1,4+1),1))</f>
        <v/>
      </c>
      <c r="EE73">
        <f>SUM(EA73:ED73)</f>
        <v/>
      </c>
      <c r="EO73">
        <f>IFERROR(LOOKUP(2,1/('DRAFT 2'!$D:$D=$B73)*('DRAFT 2'!$A:$A&gt;=DATE(2026,5,1))*('DRAFT 2'!$A:$A&lt;DATE(2026,IF(5=12,5+1,5+1),1)),'DRAFT 2'!$A:$A),"")</f>
        <v/>
      </c>
      <c r="EP73">
        <f>COUNTIFS('DRAFT 2'!$D:$D,$B73,'DRAFT 2'!$A:$A,"&gt;="&amp;DATE(2026,5,1),'DRAFT 2'!$A:$A,"&lt;="&amp;DATE(2026,5,7))</f>
        <v/>
      </c>
      <c r="EQ73">
        <f>COUNTIFS('DRAFT 2'!$D:$D,$B73,'DRAFT 2'!$A:$A,"&gt;="&amp;DATE(2026,5,8),'DRAFT 2'!$A:$A,"&lt;="&amp;DATE(2026,5,14))</f>
        <v/>
      </c>
      <c r="ER73">
        <f>COUNTIFS('DRAFT 2'!$D:$D,$B73,'DRAFT 2'!$A:$A,"&gt;="&amp;DATE(2026,5,15),'DRAFT 2'!$A:$A,"&lt;="&amp;DATE(2026,5,21))</f>
        <v/>
      </c>
      <c r="ES73">
        <f>COUNTIFS('DRAFT 2'!$D:$D,$B73,'DRAFT 2'!$A:$A,"&gt;="&amp;DATE(2026,5,22),'DRAFT 2'!$A:$A,"&lt;"&amp;DATE(2026,IF(5=12,5+1,5+1),1))</f>
        <v/>
      </c>
      <c r="ET73">
        <f>SUM(EP73:ES73)</f>
        <v/>
      </c>
      <c r="FD73">
        <f>IFERROR(LOOKUP(2,1/('DRAFT 2'!$D:$D=$B73)*('DRAFT 2'!$A:$A&gt;=DATE(2026,6,1))*('DRAFT 2'!$A:$A&lt;DATE(2026,IF(6=12,6+1,6+1),1)),'DRAFT 2'!$A:$A),"")</f>
        <v/>
      </c>
      <c r="FE73">
        <f>COUNTIFS('DRAFT 2'!$D:$D,$B73,'DRAFT 2'!$A:$A,"&gt;="&amp;DATE(2026,6,1),'DRAFT 2'!$A:$A,"&lt;="&amp;DATE(2026,6,7))</f>
        <v/>
      </c>
      <c r="FF73">
        <f>COUNTIFS('DRAFT 2'!$D:$D,$B73,'DRAFT 2'!$A:$A,"&gt;="&amp;DATE(2026,6,8),'DRAFT 2'!$A:$A,"&lt;="&amp;DATE(2026,6,14))</f>
        <v/>
      </c>
      <c r="FG73">
        <f>COUNTIFS('DRAFT 2'!$D:$D,$B73,'DRAFT 2'!$A:$A,"&gt;="&amp;DATE(2026,6,15),'DRAFT 2'!$A:$A,"&lt;="&amp;DATE(2026,6,21))</f>
        <v/>
      </c>
      <c r="FH73">
        <f>COUNTIFS('DRAFT 2'!$D:$D,$B73,'DRAFT 2'!$A:$A,"&gt;="&amp;DATE(2026,6,22),'DRAFT 2'!$A:$A,"&lt;"&amp;DATE(2026,IF(6=12,6+1,6+1),1))</f>
        <v/>
      </c>
      <c r="FI73">
        <f>SUM(FE73:FH73)</f>
        <v/>
      </c>
      <c r="FT73">
        <f>IFERROR(LOOKUP(2,1/('DRAFT 2'!$D:$D=$B73)*('DRAFT 2'!$A:$A&gt;=DATE(2026,7,1))*('DRAFT 2'!$A:$A&lt;DATE(2026,IF(7=12,7+1,7+1),1)),'DRAFT 2'!$A:$A),"")</f>
        <v/>
      </c>
      <c r="FU73">
        <f>COUNTIFS('DRAFT 2'!$D:$D,$B73,'DRAFT 2'!$A:$A,"&gt;="&amp;DATE(2026,7,1),'DRAFT 2'!$A:$A,"&lt;="&amp;DATE(2026,7,7))</f>
        <v/>
      </c>
      <c r="FV73">
        <f>COUNTIFS('DRAFT 2'!$D:$D,$B73,'DRAFT 2'!$A:$A,"&gt;="&amp;DATE(2026,7,8),'DRAFT 2'!$A:$A,"&lt;="&amp;DATE(2026,7,14))</f>
        <v/>
      </c>
      <c r="FW73">
        <f>COUNTIFS('DRAFT 2'!$D:$D,$B73,'DRAFT 2'!$A:$A,"&gt;="&amp;DATE(2026,7,15),'DRAFT 2'!$A:$A,"&lt;="&amp;DATE(2026,7,21))</f>
        <v/>
      </c>
      <c r="FX73">
        <f>COUNTIFS('DRAFT 2'!$D:$D,$B73,'DRAFT 2'!$A:$A,"&gt;="&amp;DATE(2026,7,22),'DRAFT 2'!$A:$A,"&lt;"&amp;DATE(2026,IF(7=12,7+1,7+1),1))</f>
        <v/>
      </c>
      <c r="FY73">
        <f>SUM(FU73:FX73)</f>
        <v/>
      </c>
      <c r="GI73">
        <f>IFERROR(LOOKUP(2,1/('DRAFT 2'!$D:$D=$B73)*('DRAFT 2'!$A:$A&gt;=DATE(2026,8,1))*('DRAFT 2'!$A:$A&lt;DATE(2026,IF(8=12,8+1,8+1),1)),'DRAFT 2'!$A:$A),"")</f>
        <v/>
      </c>
      <c r="GJ73">
        <f>COUNTIFS('DRAFT 2'!$D:$D,$B73,'DRAFT 2'!$A:$A,"&gt;="&amp;DATE(2026,8,1),'DRAFT 2'!$A:$A,"&lt;="&amp;DATE(2026,8,7))</f>
        <v/>
      </c>
      <c r="GK73">
        <f>COUNTIFS('DRAFT 2'!$D:$D,$B73,'DRAFT 2'!$A:$A,"&gt;="&amp;DATE(2026,8,8),'DRAFT 2'!$A:$A,"&lt;="&amp;DATE(2026,8,14))</f>
        <v/>
      </c>
      <c r="GL73">
        <f>COUNTIFS('DRAFT 2'!$D:$D,$B73,'DRAFT 2'!$A:$A,"&gt;="&amp;DATE(2026,8,15),'DRAFT 2'!$A:$A,"&lt;="&amp;DATE(2026,8,21))</f>
        <v/>
      </c>
      <c r="GM73">
        <f>COUNTIFS('DRAFT 2'!$D:$D,$B73,'DRAFT 2'!$A:$A,"&gt;="&amp;DATE(2026,8,22),'DRAFT 2'!$A:$A,"&lt;"&amp;DATE(2026,IF(8=12,8+1,8+1),1))</f>
        <v/>
      </c>
      <c r="GN73">
        <f>SUM(GJ73:GM73)</f>
        <v/>
      </c>
      <c r="GX73">
        <f>IFERROR(LOOKUP(2,1/('DRAFT 2'!$D:$D=$B73)*('DRAFT 2'!$A:$A&gt;=DATE(2026,9,1))*('DRAFT 2'!$A:$A&lt;DATE(2026,IF(9=12,9+1,9+1),1)),'DRAFT 2'!$A:$A),"")</f>
        <v/>
      </c>
      <c r="GY73">
        <f>COUNTIFS('DRAFT 2'!$D:$D,$B73,'DRAFT 2'!$A:$A,"&gt;="&amp;DATE(2026,9,1),'DRAFT 2'!$A:$A,"&lt;="&amp;DATE(2026,9,7))</f>
        <v/>
      </c>
      <c r="GZ73">
        <f>COUNTIFS('DRAFT 2'!$D:$D,$B73,'DRAFT 2'!$A:$A,"&gt;="&amp;DATE(2026,9,8),'DRAFT 2'!$A:$A,"&lt;="&amp;DATE(2026,9,14))</f>
        <v/>
      </c>
      <c r="HA73">
        <f>COUNTIFS('DRAFT 2'!$D:$D,$B73,'DRAFT 2'!$A:$A,"&gt;="&amp;DATE(2026,9,15),'DRAFT 2'!$A:$A,"&lt;="&amp;DATE(2026,9,21))</f>
        <v/>
      </c>
      <c r="HB73">
        <f>COUNTIFS('DRAFT 2'!$D:$D,$B73,'DRAFT 2'!$A:$A,"&gt;="&amp;DATE(2026,9,22),'DRAFT 2'!$A:$A,"&lt;"&amp;DATE(2026,IF(9=12,9+1,9+1),1))</f>
        <v/>
      </c>
      <c r="HC73">
        <f>SUM(GY73:HB73)</f>
        <v/>
      </c>
      <c r="HN73">
        <f>IFERROR(LOOKUP(2,1/('DRAFT 2'!$D:$D=$B73)*('DRAFT 2'!$A:$A&gt;=DATE(2026,10,1))*('DRAFT 2'!$A:$A&lt;DATE(2026,IF(10=12,10+1,10+1),1)),'DRAFT 2'!$A:$A),"")</f>
        <v/>
      </c>
      <c r="HO73">
        <f>COUNTIFS('DRAFT 2'!$D:$D,$B73,'DRAFT 2'!$A:$A,"&gt;="&amp;DATE(2026,10,1),'DRAFT 2'!$A:$A,"&lt;="&amp;DATE(2026,10,7))</f>
        <v/>
      </c>
      <c r="HP73">
        <f>COUNTIFS('DRAFT 2'!$D:$D,$B73,'DRAFT 2'!$A:$A,"&gt;="&amp;DATE(2026,10,8),'DRAFT 2'!$A:$A,"&lt;="&amp;DATE(2026,10,14))</f>
        <v/>
      </c>
      <c r="HQ73">
        <f>COUNTIFS('DRAFT 2'!$D:$D,$B73,'DRAFT 2'!$A:$A,"&gt;="&amp;DATE(2026,10,15),'DRAFT 2'!$A:$A,"&lt;="&amp;DATE(2026,10,21))</f>
        <v/>
      </c>
      <c r="HR73">
        <f>COUNTIFS('DRAFT 2'!$D:$D,$B73,'DRAFT 2'!$A:$A,"&gt;="&amp;DATE(2026,10,22),'DRAFT 2'!$A:$A,"&lt;"&amp;DATE(2026,IF(10=12,10+1,10+1),1))</f>
        <v/>
      </c>
      <c r="HS73">
        <f>SUM(HO73:HR73)</f>
        <v/>
      </c>
      <c r="IC73">
        <f>IFERROR(LOOKUP(2,1/('DRAFT 2'!$D:$D=$B73)*('DRAFT 2'!$A:$A&gt;=DATE(2026,11,1))*('DRAFT 2'!$A:$A&lt;DATE(2026,IF(11=12,11+1,11+1),1)),'DRAFT 2'!$A:$A),"")</f>
        <v/>
      </c>
      <c r="ID73">
        <f>COUNTIFS('DRAFT 2'!$D:$D,$B73,'DRAFT 2'!$A:$A,"&gt;="&amp;DATE(2026,11,1),'DRAFT 2'!$A:$A,"&lt;="&amp;DATE(2026,11,7))</f>
        <v/>
      </c>
      <c r="IE73">
        <f>COUNTIFS('DRAFT 2'!$D:$D,$B73,'DRAFT 2'!$A:$A,"&gt;="&amp;DATE(2026,11,8),'DRAFT 2'!$A:$A,"&lt;="&amp;DATE(2026,11,14))</f>
        <v/>
      </c>
      <c r="IF73">
        <f>COUNTIFS('DRAFT 2'!$D:$D,$B73,'DRAFT 2'!$A:$A,"&gt;="&amp;DATE(2026,11,15),'DRAFT 2'!$A:$A,"&lt;="&amp;DATE(2026,11,21))</f>
        <v/>
      </c>
      <c r="IG73">
        <f>COUNTIFS('DRAFT 2'!$D:$D,$B73,'DRAFT 2'!$A:$A,"&gt;="&amp;DATE(2026,11,22),'DRAFT 2'!$A:$A,"&lt;"&amp;DATE(2026,IF(11=12,11+1,11+1),1))</f>
        <v/>
      </c>
      <c r="IH73">
        <f>SUM(ID73:IG73)</f>
        <v/>
      </c>
      <c r="IR73">
        <f>IFERROR(LOOKUP(2,1/('DRAFT 2'!$D:$D=$B73)*('DRAFT 2'!$A:$A&gt;=DATE(2026,12,1))*('DRAFT 2'!$A:$A&lt;DATE(2026,IF(12=12,12+1,12+1),1)),'DRAFT 2'!$A:$A),"")</f>
        <v/>
      </c>
      <c r="IS73">
        <f>COUNTIFS('DRAFT 2'!$D:$D,$B73,'DRAFT 2'!$A:$A,"&gt;="&amp;DATE(2026,12,1),'DRAFT 2'!$A:$A,"&lt;="&amp;DATE(2026,12,7))</f>
        <v/>
      </c>
      <c r="IT73">
        <f>COUNTIFS('DRAFT 2'!$D:$D,$B73,'DRAFT 2'!$A:$A,"&gt;="&amp;DATE(2026,12,8),'DRAFT 2'!$A:$A,"&lt;="&amp;DATE(2026,12,14))</f>
        <v/>
      </c>
      <c r="IU73">
        <f>COUNTIFS('DRAFT 2'!$D:$D,$B73,'DRAFT 2'!$A:$A,"&gt;="&amp;DATE(2026,12,15),'DRAFT 2'!$A:$A,"&lt;="&amp;DATE(2026,12,21))</f>
        <v/>
      </c>
      <c r="IV73">
        <f>COUNTIFS('DRAFT 2'!$D:$D,$B73,'DRAFT 2'!$A:$A,"&gt;="&amp;DATE(2026,12,22),'DRAFT 2'!$A:$A,"&lt;"&amp;DATE(2026,IF(12=12,12+1,12+1),1))</f>
        <v/>
      </c>
      <c r="IW73">
        <f>SUM(IS73:IV73)</f>
        <v/>
      </c>
    </row>
    <row r="74">
      <c r="A74">
        <f>IFERROR(INDEX('DRAFT 1'!$A:$A,MATCH($B74,'DRAFT 1'!$B:$B,0)),"")</f>
        <v/>
      </c>
      <c r="C74">
        <f>IFERROR(INDEX('DRAFT 1'!$C:$C,MATCH($B74,'DRAFT 1'!$B:$B,0)),"")</f>
        <v/>
      </c>
      <c r="D74">
        <f>IFERROR(INDEX('DRAFT 1'!$D:$D,MATCH($B74,'DRAFT 1'!$B:$B,0)),"")</f>
        <v/>
      </c>
      <c r="E74">
        <f>IFERROR(INDEX('DRAFT 1'!$E:$E,MATCH($B74,'DRAFT 1'!$B:$B,0)),"")</f>
        <v/>
      </c>
      <c r="F74">
        <f>IFERROR(INDEX('DRAFT 1'!$F:$F,MATCH($B74,'DRAFT 1'!$B:$B,0)),"")</f>
        <v/>
      </c>
      <c r="G74">
        <f>IFERROR(INDEX('DRAFT 1'!$G:$G,MATCH($B74,'DRAFT 1'!$B:$B,0)),"")</f>
        <v/>
      </c>
      <c r="H74">
        <f>IFERROR(INDEX('DRAFT 1'!$H:$H,MATCH($B74,'DRAFT 1'!$B:$B,0)),"")</f>
        <v/>
      </c>
      <c r="I74" t="inlineStr">
        <is>
          <t>DEMAIS CLIENTES</t>
        </is>
      </c>
      <c r="K74">
        <f>IFERROR(INDEX('DRAFT 1'!$AL:$AL,MATCH($B74,'DRAFT 1'!$B:$B,0)),"")</f>
        <v/>
      </c>
      <c r="L74">
        <f>IFERROR(INDEX('DRAFT 1'!$J:$J,MATCH($B74,'DRAFT 1'!$B:$B,0)),"")</f>
        <v/>
      </c>
      <c r="M74">
        <f>IFERROR(INDEX('DRAFT 1'!$K:$K,MATCH($B74,'DRAFT 1'!$B:$B,0)),"")</f>
        <v/>
      </c>
      <c r="N74" t="inlineStr">
        <is>
          <t>PROSPECT</t>
        </is>
      </c>
      <c r="P74">
        <f>IFERROR(INDEX('DRAFT 1'!$L:$L,MATCH($B74,'DRAFT 1'!$B:$B,0)),"")</f>
        <v/>
      </c>
      <c r="Q74">
        <f>IFERROR(INDEX('DRAFT 1'!$M:$M,MATCH($B74,'DRAFT 1'!$B:$B,0)),"")</f>
        <v/>
      </c>
      <c r="R74">
        <f>IFERROR(INDEX('DRAFT 1'!$N:$N,MATCH($B74,'DRAFT 1'!$B:$B,0)),"")</f>
        <v/>
      </c>
      <c r="S74">
        <f>IFERROR(INDEX('DRAFT 1'!$O:$O,MATCH($B74,'DRAFT 1'!$B:$B,0)),"")</f>
        <v/>
      </c>
      <c r="T74">
        <f>IFERROR(INDEX('DRAFT 1'!$P:$P,MATCH($B74,'DRAFT 1'!$B:$B,0)),"")</f>
        <v/>
      </c>
      <c r="U74">
        <f>IFERROR(INDEX('DRAFT 1'!$Q:$Q,MATCH($B74,'DRAFT 1'!$B:$B,0)),"")</f>
        <v/>
      </c>
      <c r="V74">
        <f>IFERROR(INDEX('DRAFT 1'!$R:$R,MATCH($B74,'DRAFT 1'!$B:$B,0)),"")</f>
        <v/>
      </c>
      <c r="W74">
        <f>IFERROR(INDEX('DRAFT 1'!$S:$S,MATCH($B74,'DRAFT 1'!$B:$B,0)),"")</f>
        <v/>
      </c>
      <c r="X74">
        <f>IFERROR(INDEX('DRAFT 1'!$T:$T,MATCH($B74,'DRAFT 1'!$B:$B,0)),"")</f>
        <v/>
      </c>
      <c r="Z74">
        <f>IFERROR(INDEX('DRAFT 1'!$U:$U,MATCH($B74,'DRAFT 1'!$B:$B,0)),"")</f>
        <v/>
      </c>
      <c r="AA74">
        <f>IFERROR(INDEX('DRAFT 1'!$V:$V,MATCH($B74,'DRAFT 1'!$B:$B,0)),"")</f>
        <v/>
      </c>
      <c r="AB74">
        <f>IFERROR(INDEX('DRAFT 1'!$W:$W,MATCH($B74,'DRAFT 1'!$B:$B,0)),"")</f>
        <v/>
      </c>
      <c r="AC74">
        <f>IFERROR(INDEX('DRAFT 1'!$X:$X,MATCH($B74,'DRAFT 1'!$B:$B,0)),"")</f>
        <v/>
      </c>
      <c r="AD74">
        <f>IFERROR(INDEX('DRAFT 1'!$Y:$Y,MATCH($B74,'DRAFT 1'!$B:$B,0)),"")</f>
        <v/>
      </c>
      <c r="AE74">
        <f>IFERROR(INDEX('DRAFT 1'!$Z:$Z,MATCH($B74,'DRAFT 1'!$B:$B,0)),"")</f>
        <v/>
      </c>
      <c r="AF74">
        <f>IFERROR(INDEX('DRAFT 1'!$AA:$AA,MATCH($B74,'DRAFT 1'!$B:$B,0)),"")</f>
        <v/>
      </c>
      <c r="AG74">
        <f>IFERROR(INDEX('DRAFT 1'!$AB:$AB,MATCH($B74,'DRAFT 1'!$B:$B,0)),"")</f>
        <v/>
      </c>
      <c r="AH74">
        <f>IFERROR(INDEX('DRAFT 1'!$AC:$AC,MATCH($B74,'DRAFT 1'!$B:$B,0)),"")</f>
        <v/>
      </c>
      <c r="AI74">
        <f>IFERROR(INDEX('DRAFT 1'!$AD:$AD,MATCH($B74,'DRAFT 1'!$B:$B,0)),"")</f>
        <v/>
      </c>
      <c r="AJ74">
        <f>IFERROR(INDEX('DRAFT 1'!$AE:$AE,MATCH($B74,'DRAFT 1'!$B:$B,0)),"")</f>
        <v/>
      </c>
      <c r="AK74">
        <f>IFERROR(INDEX('DRAFT 1'!$AG:$AG,MATCH($B74,'DRAFT 1'!$B:$B,0)),"")</f>
        <v/>
      </c>
      <c r="AL74">
        <f>IFERROR(INDEX('DRAFT 1'!$AH:$AH,MATCH($B74,'DRAFT 1'!$B:$B,0)),"")</f>
        <v/>
      </c>
      <c r="AM74">
        <f>IFERROR(INDEX('DRAFT 1'!$AI:$AI,MATCH($B74,'DRAFT 1'!$B:$B,0)),"")</f>
        <v/>
      </c>
      <c r="AN74">
        <f>IFERROR(INDEX('DRAFT 1'!$AJ:$AJ,MATCH($B74,'DRAFT 1'!$B:$B,0)),"")</f>
        <v/>
      </c>
      <c r="AO74">
        <f>IFERROR(Y74/AN74,0)</f>
        <v/>
      </c>
      <c r="AP74">
        <f>IFERROR(INDEX('DRAFT 1'!$AK:$AK,MATCH($B74,'DRAFT 1'!$B:$B,0)),"")</f>
        <v/>
      </c>
      <c r="AR74" t="inlineStr">
        <is>
          <t>CS</t>
        </is>
      </c>
      <c r="AS74">
        <f>IFERROR(LOOKUP(2,1/('DRAFT 2'!$D:$D=$B74),'DRAFT 2'!$T:$T),"")</f>
        <v/>
      </c>
      <c r="AT74">
        <f>IFERROR(LOOKUP(2,1/('DRAFT 2'!$D:$D=$B74),'DRAFT 2'!$A:$A),"")</f>
        <v/>
      </c>
      <c r="AU74">
        <f>IFERROR(LOOKUP(2,1/('DRAFT 2'!$D:$D=$B74),'DRAFT 2'!$R:$R),"")</f>
        <v/>
      </c>
      <c r="AV74">
        <f>IFERROR(LOOKUP(2,1/('DRAFT 2'!$D:$D=$B74),'DRAFT 2'!$S:$S),"")</f>
        <v/>
      </c>
      <c r="AW74" t="inlineStr">
        <is>
          <t>EM DESENVOLVIMENTO</t>
        </is>
      </c>
      <c r="AX74">
        <f>IFERROR(LOOKUP(2,1/('DRAFT 2'!$D:$D=$B74),'DRAFT 2'!$M:$M),"")</f>
        <v/>
      </c>
      <c r="AY74">
        <f>IFERROR(LOOKUP(2,1/('DRAFT 2'!$D:$D=$B74),'DRAFT 2'!$K:$K),"")</f>
        <v/>
      </c>
      <c r="BG74">
        <f>IFERROR(LOOKUP(2,1/('DRAFT 2'!$D:$D=$B74),'DRAFT 2'!$U:$U),"")</f>
        <v/>
      </c>
      <c r="BH74">
        <f>IFERROR(LOOKUP(2,1/('DRAFT 2'!$D:$D=$B74),'DRAFT 2'!$V:$V),"")</f>
        <v/>
      </c>
      <c r="CE74">
        <f>IFERROR(AJ74,0)</f>
        <v/>
      </c>
      <c r="CF74">
        <f>IFERROR(LOOKUP(2,1/('DRAFT 2'!$D:$D=$B74)*('DRAFT 2'!$A:$A&gt;=DATE(2026,1,1))*('DRAFT 2'!$A:$A&lt;DATE(2026,IF(1=12,1+1,1+1),1)),'DRAFT 2'!$A:$A),"")</f>
        <v/>
      </c>
      <c r="CG74">
        <f>COUNTIFS('DRAFT 2'!$D:$D,$B74,'DRAFT 2'!$A:$A,"&gt;="&amp;DATE(2026,1,1),'DRAFT 2'!$A:$A,"&lt;="&amp;DATE(2026,1,7))</f>
        <v/>
      </c>
      <c r="CH74">
        <f>COUNTIFS('DRAFT 2'!$D:$D,$B74,'DRAFT 2'!$A:$A,"&gt;="&amp;DATE(2026,1,8),'DRAFT 2'!$A:$A,"&lt;="&amp;DATE(2026,1,14))</f>
        <v/>
      </c>
      <c r="CI74">
        <f>COUNTIFS('DRAFT 2'!$D:$D,$B74,'DRAFT 2'!$A:$A,"&gt;="&amp;DATE(2026,1,15),'DRAFT 2'!$A:$A,"&lt;="&amp;DATE(2026,1,21))</f>
        <v/>
      </c>
      <c r="CJ74">
        <f>COUNTIFS('DRAFT 2'!$D:$D,$B74,'DRAFT 2'!$A:$A,"&gt;="&amp;DATE(2026,1,22),'DRAFT 2'!$A:$A,"&lt;"&amp;DATE(2026,IF(1=12,1+1,1+1),1))</f>
        <v/>
      </c>
      <c r="CK74">
        <f>SUM(CG74:CJ74)</f>
        <v/>
      </c>
      <c r="CT74" t="n">
        <v>0</v>
      </c>
      <c r="CU74">
        <f>IFERROR(LOOKUP(2,1/('DRAFT 2'!$D:$D=$B74)*('DRAFT 2'!$A:$A&gt;=DATE(2026,2,1))*('DRAFT 2'!$A:$A&lt;DATE(2026,IF(2=12,2+1,2+1),1)),'DRAFT 2'!$A:$A),"")</f>
        <v/>
      </c>
      <c r="CV74">
        <f>COUNTIFS('DRAFT 2'!$D:$D,$B74,'DRAFT 2'!$A:$A,"&gt;="&amp;DATE(2026,2,1),'DRAFT 2'!$A:$A,"&lt;="&amp;DATE(2026,2,7))</f>
        <v/>
      </c>
      <c r="CW74">
        <f>COUNTIFS('DRAFT 2'!$D:$D,$B74,'DRAFT 2'!$A:$A,"&gt;="&amp;DATE(2026,2,8),'DRAFT 2'!$A:$A,"&lt;="&amp;DATE(2026,2,14))</f>
        <v/>
      </c>
      <c r="CX74">
        <f>COUNTIFS('DRAFT 2'!$D:$D,$B74,'DRAFT 2'!$A:$A,"&gt;="&amp;DATE(2026,2,15),'DRAFT 2'!$A:$A,"&lt;="&amp;DATE(2026,2,21))</f>
        <v/>
      </c>
      <c r="CY74">
        <f>COUNTIFS('DRAFT 2'!$D:$D,$B74,'DRAFT 2'!$A:$A,"&gt;="&amp;DATE(2026,2,22),'DRAFT 2'!$A:$A,"&lt;"&amp;DATE(2026,IF(2=12,2+1,2+1),1))</f>
        <v/>
      </c>
      <c r="CZ74">
        <f>SUM(CV74:CY74)</f>
        <v/>
      </c>
      <c r="DJ74">
        <f>IFERROR(LOOKUP(2,1/('DRAFT 2'!$D:$D=$B74)*('DRAFT 2'!$A:$A&gt;=DATE(2026,3,1))*('DRAFT 2'!$A:$A&lt;DATE(2026,IF(3=12,3+1,3+1),1)),'DRAFT 2'!$A:$A),"")</f>
        <v/>
      </c>
      <c r="DK74">
        <f>COUNTIFS('DRAFT 2'!$D:$D,$B74,'DRAFT 2'!$A:$A,"&gt;="&amp;DATE(2026,3,1),'DRAFT 2'!$A:$A,"&lt;="&amp;DATE(2026,3,7))</f>
        <v/>
      </c>
      <c r="DL74">
        <f>COUNTIFS('DRAFT 2'!$D:$D,$B74,'DRAFT 2'!$A:$A,"&gt;="&amp;DATE(2026,3,8),'DRAFT 2'!$A:$A,"&lt;="&amp;DATE(2026,3,14))</f>
        <v/>
      </c>
      <c r="DM74">
        <f>COUNTIFS('DRAFT 2'!$D:$D,$B74,'DRAFT 2'!$A:$A,"&gt;="&amp;DATE(2026,3,15),'DRAFT 2'!$A:$A,"&lt;="&amp;DATE(2026,3,21))</f>
        <v/>
      </c>
      <c r="DN74">
        <f>COUNTIFS('DRAFT 2'!$D:$D,$B74,'DRAFT 2'!$A:$A,"&gt;="&amp;DATE(2026,3,22),'DRAFT 2'!$A:$A,"&lt;"&amp;DATE(2026,IF(3=12,3+1,3+1),1))</f>
        <v/>
      </c>
      <c r="DO74">
        <f>SUM(DK74:DN74)</f>
        <v/>
      </c>
      <c r="DZ74">
        <f>IFERROR(LOOKUP(2,1/('DRAFT 2'!$D:$D=$B74)*('DRAFT 2'!$A:$A&gt;=DATE(2026,4,1))*('DRAFT 2'!$A:$A&lt;DATE(2026,IF(4=12,4+1,4+1),1)),'DRAFT 2'!$A:$A),"")</f>
        <v/>
      </c>
      <c r="EA74">
        <f>COUNTIFS('DRAFT 2'!$D:$D,$B74,'DRAFT 2'!$A:$A,"&gt;="&amp;DATE(2026,4,1),'DRAFT 2'!$A:$A,"&lt;="&amp;DATE(2026,4,7))</f>
        <v/>
      </c>
      <c r="EB74">
        <f>COUNTIFS('DRAFT 2'!$D:$D,$B74,'DRAFT 2'!$A:$A,"&gt;="&amp;DATE(2026,4,8),'DRAFT 2'!$A:$A,"&lt;="&amp;DATE(2026,4,14))</f>
        <v/>
      </c>
      <c r="EC74">
        <f>COUNTIFS('DRAFT 2'!$D:$D,$B74,'DRAFT 2'!$A:$A,"&gt;="&amp;DATE(2026,4,15),'DRAFT 2'!$A:$A,"&lt;="&amp;DATE(2026,4,21))</f>
        <v/>
      </c>
      <c r="ED74">
        <f>COUNTIFS('DRAFT 2'!$D:$D,$B74,'DRAFT 2'!$A:$A,"&gt;="&amp;DATE(2026,4,22),'DRAFT 2'!$A:$A,"&lt;"&amp;DATE(2026,IF(4=12,4+1,4+1),1))</f>
        <v/>
      </c>
      <c r="EE74">
        <f>SUM(EA74:ED74)</f>
        <v/>
      </c>
      <c r="EO74">
        <f>IFERROR(LOOKUP(2,1/('DRAFT 2'!$D:$D=$B74)*('DRAFT 2'!$A:$A&gt;=DATE(2026,5,1))*('DRAFT 2'!$A:$A&lt;DATE(2026,IF(5=12,5+1,5+1),1)),'DRAFT 2'!$A:$A),"")</f>
        <v/>
      </c>
      <c r="EP74">
        <f>COUNTIFS('DRAFT 2'!$D:$D,$B74,'DRAFT 2'!$A:$A,"&gt;="&amp;DATE(2026,5,1),'DRAFT 2'!$A:$A,"&lt;="&amp;DATE(2026,5,7))</f>
        <v/>
      </c>
      <c r="EQ74">
        <f>COUNTIFS('DRAFT 2'!$D:$D,$B74,'DRAFT 2'!$A:$A,"&gt;="&amp;DATE(2026,5,8),'DRAFT 2'!$A:$A,"&lt;="&amp;DATE(2026,5,14))</f>
        <v/>
      </c>
      <c r="ER74">
        <f>COUNTIFS('DRAFT 2'!$D:$D,$B74,'DRAFT 2'!$A:$A,"&gt;="&amp;DATE(2026,5,15),'DRAFT 2'!$A:$A,"&lt;="&amp;DATE(2026,5,21))</f>
        <v/>
      </c>
      <c r="ES74">
        <f>COUNTIFS('DRAFT 2'!$D:$D,$B74,'DRAFT 2'!$A:$A,"&gt;="&amp;DATE(2026,5,22),'DRAFT 2'!$A:$A,"&lt;"&amp;DATE(2026,IF(5=12,5+1,5+1),1))</f>
        <v/>
      </c>
      <c r="ET74">
        <f>SUM(EP74:ES74)</f>
        <v/>
      </c>
      <c r="FD74">
        <f>IFERROR(LOOKUP(2,1/('DRAFT 2'!$D:$D=$B74)*('DRAFT 2'!$A:$A&gt;=DATE(2026,6,1))*('DRAFT 2'!$A:$A&lt;DATE(2026,IF(6=12,6+1,6+1),1)),'DRAFT 2'!$A:$A),"")</f>
        <v/>
      </c>
      <c r="FE74">
        <f>COUNTIFS('DRAFT 2'!$D:$D,$B74,'DRAFT 2'!$A:$A,"&gt;="&amp;DATE(2026,6,1),'DRAFT 2'!$A:$A,"&lt;="&amp;DATE(2026,6,7))</f>
        <v/>
      </c>
      <c r="FF74">
        <f>COUNTIFS('DRAFT 2'!$D:$D,$B74,'DRAFT 2'!$A:$A,"&gt;="&amp;DATE(2026,6,8),'DRAFT 2'!$A:$A,"&lt;="&amp;DATE(2026,6,14))</f>
        <v/>
      </c>
      <c r="FG74">
        <f>COUNTIFS('DRAFT 2'!$D:$D,$B74,'DRAFT 2'!$A:$A,"&gt;="&amp;DATE(2026,6,15),'DRAFT 2'!$A:$A,"&lt;="&amp;DATE(2026,6,21))</f>
        <v/>
      </c>
      <c r="FH74">
        <f>COUNTIFS('DRAFT 2'!$D:$D,$B74,'DRAFT 2'!$A:$A,"&gt;="&amp;DATE(2026,6,22),'DRAFT 2'!$A:$A,"&lt;"&amp;DATE(2026,IF(6=12,6+1,6+1),1))</f>
        <v/>
      </c>
      <c r="FI74">
        <f>SUM(FE74:FH74)</f>
        <v/>
      </c>
      <c r="FT74">
        <f>IFERROR(LOOKUP(2,1/('DRAFT 2'!$D:$D=$B74)*('DRAFT 2'!$A:$A&gt;=DATE(2026,7,1))*('DRAFT 2'!$A:$A&lt;DATE(2026,IF(7=12,7+1,7+1),1)),'DRAFT 2'!$A:$A),"")</f>
        <v/>
      </c>
      <c r="FU74">
        <f>COUNTIFS('DRAFT 2'!$D:$D,$B74,'DRAFT 2'!$A:$A,"&gt;="&amp;DATE(2026,7,1),'DRAFT 2'!$A:$A,"&lt;="&amp;DATE(2026,7,7))</f>
        <v/>
      </c>
      <c r="FV74">
        <f>COUNTIFS('DRAFT 2'!$D:$D,$B74,'DRAFT 2'!$A:$A,"&gt;="&amp;DATE(2026,7,8),'DRAFT 2'!$A:$A,"&lt;="&amp;DATE(2026,7,14))</f>
        <v/>
      </c>
      <c r="FW74">
        <f>COUNTIFS('DRAFT 2'!$D:$D,$B74,'DRAFT 2'!$A:$A,"&gt;="&amp;DATE(2026,7,15),'DRAFT 2'!$A:$A,"&lt;="&amp;DATE(2026,7,21))</f>
        <v/>
      </c>
      <c r="FX74">
        <f>COUNTIFS('DRAFT 2'!$D:$D,$B74,'DRAFT 2'!$A:$A,"&gt;="&amp;DATE(2026,7,22),'DRAFT 2'!$A:$A,"&lt;"&amp;DATE(2026,IF(7=12,7+1,7+1),1))</f>
        <v/>
      </c>
      <c r="FY74">
        <f>SUM(FU74:FX74)</f>
        <v/>
      </c>
      <c r="GI74">
        <f>IFERROR(LOOKUP(2,1/('DRAFT 2'!$D:$D=$B74)*('DRAFT 2'!$A:$A&gt;=DATE(2026,8,1))*('DRAFT 2'!$A:$A&lt;DATE(2026,IF(8=12,8+1,8+1),1)),'DRAFT 2'!$A:$A),"")</f>
        <v/>
      </c>
      <c r="GJ74">
        <f>COUNTIFS('DRAFT 2'!$D:$D,$B74,'DRAFT 2'!$A:$A,"&gt;="&amp;DATE(2026,8,1),'DRAFT 2'!$A:$A,"&lt;="&amp;DATE(2026,8,7))</f>
        <v/>
      </c>
      <c r="GK74">
        <f>COUNTIFS('DRAFT 2'!$D:$D,$B74,'DRAFT 2'!$A:$A,"&gt;="&amp;DATE(2026,8,8),'DRAFT 2'!$A:$A,"&lt;="&amp;DATE(2026,8,14))</f>
        <v/>
      </c>
      <c r="GL74">
        <f>COUNTIFS('DRAFT 2'!$D:$D,$B74,'DRAFT 2'!$A:$A,"&gt;="&amp;DATE(2026,8,15),'DRAFT 2'!$A:$A,"&lt;="&amp;DATE(2026,8,21))</f>
        <v/>
      </c>
      <c r="GM74">
        <f>COUNTIFS('DRAFT 2'!$D:$D,$B74,'DRAFT 2'!$A:$A,"&gt;="&amp;DATE(2026,8,22),'DRAFT 2'!$A:$A,"&lt;"&amp;DATE(2026,IF(8=12,8+1,8+1),1))</f>
        <v/>
      </c>
      <c r="GN74">
        <f>SUM(GJ74:GM74)</f>
        <v/>
      </c>
      <c r="GX74">
        <f>IFERROR(LOOKUP(2,1/('DRAFT 2'!$D:$D=$B74)*('DRAFT 2'!$A:$A&gt;=DATE(2026,9,1))*('DRAFT 2'!$A:$A&lt;DATE(2026,IF(9=12,9+1,9+1),1)),'DRAFT 2'!$A:$A),"")</f>
        <v/>
      </c>
      <c r="GY74">
        <f>COUNTIFS('DRAFT 2'!$D:$D,$B74,'DRAFT 2'!$A:$A,"&gt;="&amp;DATE(2026,9,1),'DRAFT 2'!$A:$A,"&lt;="&amp;DATE(2026,9,7))</f>
        <v/>
      </c>
      <c r="GZ74">
        <f>COUNTIFS('DRAFT 2'!$D:$D,$B74,'DRAFT 2'!$A:$A,"&gt;="&amp;DATE(2026,9,8),'DRAFT 2'!$A:$A,"&lt;="&amp;DATE(2026,9,14))</f>
        <v/>
      </c>
      <c r="HA74">
        <f>COUNTIFS('DRAFT 2'!$D:$D,$B74,'DRAFT 2'!$A:$A,"&gt;="&amp;DATE(2026,9,15),'DRAFT 2'!$A:$A,"&lt;="&amp;DATE(2026,9,21))</f>
        <v/>
      </c>
      <c r="HB74">
        <f>COUNTIFS('DRAFT 2'!$D:$D,$B74,'DRAFT 2'!$A:$A,"&gt;="&amp;DATE(2026,9,22),'DRAFT 2'!$A:$A,"&lt;"&amp;DATE(2026,IF(9=12,9+1,9+1),1))</f>
        <v/>
      </c>
      <c r="HC74">
        <f>SUM(GY74:HB74)</f>
        <v/>
      </c>
      <c r="HN74">
        <f>IFERROR(LOOKUP(2,1/('DRAFT 2'!$D:$D=$B74)*('DRAFT 2'!$A:$A&gt;=DATE(2026,10,1))*('DRAFT 2'!$A:$A&lt;DATE(2026,IF(10=12,10+1,10+1),1)),'DRAFT 2'!$A:$A),"")</f>
        <v/>
      </c>
      <c r="HO74">
        <f>COUNTIFS('DRAFT 2'!$D:$D,$B74,'DRAFT 2'!$A:$A,"&gt;="&amp;DATE(2026,10,1),'DRAFT 2'!$A:$A,"&lt;="&amp;DATE(2026,10,7))</f>
        <v/>
      </c>
      <c r="HP74">
        <f>COUNTIFS('DRAFT 2'!$D:$D,$B74,'DRAFT 2'!$A:$A,"&gt;="&amp;DATE(2026,10,8),'DRAFT 2'!$A:$A,"&lt;="&amp;DATE(2026,10,14))</f>
        <v/>
      </c>
      <c r="HQ74">
        <f>COUNTIFS('DRAFT 2'!$D:$D,$B74,'DRAFT 2'!$A:$A,"&gt;="&amp;DATE(2026,10,15),'DRAFT 2'!$A:$A,"&lt;="&amp;DATE(2026,10,21))</f>
        <v/>
      </c>
      <c r="HR74">
        <f>COUNTIFS('DRAFT 2'!$D:$D,$B74,'DRAFT 2'!$A:$A,"&gt;="&amp;DATE(2026,10,22),'DRAFT 2'!$A:$A,"&lt;"&amp;DATE(2026,IF(10=12,10+1,10+1),1))</f>
        <v/>
      </c>
      <c r="HS74">
        <f>SUM(HO74:HR74)</f>
        <v/>
      </c>
      <c r="IC74">
        <f>IFERROR(LOOKUP(2,1/('DRAFT 2'!$D:$D=$B74)*('DRAFT 2'!$A:$A&gt;=DATE(2026,11,1))*('DRAFT 2'!$A:$A&lt;DATE(2026,IF(11=12,11+1,11+1),1)),'DRAFT 2'!$A:$A),"")</f>
        <v/>
      </c>
      <c r="ID74">
        <f>COUNTIFS('DRAFT 2'!$D:$D,$B74,'DRAFT 2'!$A:$A,"&gt;="&amp;DATE(2026,11,1),'DRAFT 2'!$A:$A,"&lt;="&amp;DATE(2026,11,7))</f>
        <v/>
      </c>
      <c r="IE74">
        <f>COUNTIFS('DRAFT 2'!$D:$D,$B74,'DRAFT 2'!$A:$A,"&gt;="&amp;DATE(2026,11,8),'DRAFT 2'!$A:$A,"&lt;="&amp;DATE(2026,11,14))</f>
        <v/>
      </c>
      <c r="IF74">
        <f>COUNTIFS('DRAFT 2'!$D:$D,$B74,'DRAFT 2'!$A:$A,"&gt;="&amp;DATE(2026,11,15),'DRAFT 2'!$A:$A,"&lt;="&amp;DATE(2026,11,21))</f>
        <v/>
      </c>
      <c r="IG74">
        <f>COUNTIFS('DRAFT 2'!$D:$D,$B74,'DRAFT 2'!$A:$A,"&gt;="&amp;DATE(2026,11,22),'DRAFT 2'!$A:$A,"&lt;"&amp;DATE(2026,IF(11=12,11+1,11+1),1))</f>
        <v/>
      </c>
      <c r="IH74">
        <f>SUM(ID74:IG74)</f>
        <v/>
      </c>
      <c r="IR74">
        <f>IFERROR(LOOKUP(2,1/('DRAFT 2'!$D:$D=$B74)*('DRAFT 2'!$A:$A&gt;=DATE(2026,12,1))*('DRAFT 2'!$A:$A&lt;DATE(2026,IF(12=12,12+1,12+1),1)),'DRAFT 2'!$A:$A),"")</f>
        <v/>
      </c>
      <c r="IS74">
        <f>COUNTIFS('DRAFT 2'!$D:$D,$B74,'DRAFT 2'!$A:$A,"&gt;="&amp;DATE(2026,12,1),'DRAFT 2'!$A:$A,"&lt;="&amp;DATE(2026,12,7))</f>
        <v/>
      </c>
      <c r="IT74">
        <f>COUNTIFS('DRAFT 2'!$D:$D,$B74,'DRAFT 2'!$A:$A,"&gt;="&amp;DATE(2026,12,8),'DRAFT 2'!$A:$A,"&lt;="&amp;DATE(2026,12,14))</f>
        <v/>
      </c>
      <c r="IU74">
        <f>COUNTIFS('DRAFT 2'!$D:$D,$B74,'DRAFT 2'!$A:$A,"&gt;="&amp;DATE(2026,12,15),'DRAFT 2'!$A:$A,"&lt;="&amp;DATE(2026,12,21))</f>
        <v/>
      </c>
      <c r="IV74">
        <f>COUNTIFS('DRAFT 2'!$D:$D,$B74,'DRAFT 2'!$A:$A,"&gt;="&amp;DATE(2026,12,22),'DRAFT 2'!$A:$A,"&lt;"&amp;DATE(2026,IF(12=12,12+1,12+1),1))</f>
        <v/>
      </c>
      <c r="IW74">
        <f>SUM(IS74:IV74)</f>
        <v/>
      </c>
    </row>
    <row r="75">
      <c r="A75">
        <f>IFERROR(INDEX('DRAFT 1'!$A:$A,MATCH($B75,'DRAFT 1'!$B:$B,0)),"")</f>
        <v/>
      </c>
      <c r="C75">
        <f>IFERROR(INDEX('DRAFT 1'!$C:$C,MATCH($B75,'DRAFT 1'!$B:$B,0)),"")</f>
        <v/>
      </c>
      <c r="D75">
        <f>IFERROR(INDEX('DRAFT 1'!$D:$D,MATCH($B75,'DRAFT 1'!$B:$B,0)),"")</f>
        <v/>
      </c>
      <c r="E75">
        <f>IFERROR(INDEX('DRAFT 1'!$E:$E,MATCH($B75,'DRAFT 1'!$B:$B,0)),"")</f>
        <v/>
      </c>
      <c r="F75">
        <f>IFERROR(INDEX('DRAFT 1'!$F:$F,MATCH($B75,'DRAFT 1'!$B:$B,0)),"")</f>
        <v/>
      </c>
      <c r="G75">
        <f>IFERROR(INDEX('DRAFT 1'!$G:$G,MATCH($B75,'DRAFT 1'!$B:$B,0)),"")</f>
        <v/>
      </c>
      <c r="H75">
        <f>IFERROR(INDEX('DRAFT 1'!$H:$H,MATCH($B75,'DRAFT 1'!$B:$B,0)),"")</f>
        <v/>
      </c>
      <c r="I75" t="inlineStr">
        <is>
          <t>DEMAIS CLIENTES</t>
        </is>
      </c>
      <c r="K75">
        <f>IFERROR(INDEX('DRAFT 1'!$AL:$AL,MATCH($B75,'DRAFT 1'!$B:$B,0)),"")</f>
        <v/>
      </c>
      <c r="L75">
        <f>IFERROR(INDEX('DRAFT 1'!$J:$J,MATCH($B75,'DRAFT 1'!$B:$B,0)),"")</f>
        <v/>
      </c>
      <c r="M75">
        <f>IFERROR(INDEX('DRAFT 1'!$K:$K,MATCH($B75,'DRAFT 1'!$B:$B,0)),"")</f>
        <v/>
      </c>
      <c r="N75" t="inlineStr">
        <is>
          <t>PROSPECT</t>
        </is>
      </c>
      <c r="P75">
        <f>IFERROR(INDEX('DRAFT 1'!$L:$L,MATCH($B75,'DRAFT 1'!$B:$B,0)),"")</f>
        <v/>
      </c>
      <c r="Q75">
        <f>IFERROR(INDEX('DRAFT 1'!$M:$M,MATCH($B75,'DRAFT 1'!$B:$B,0)),"")</f>
        <v/>
      </c>
      <c r="R75">
        <f>IFERROR(INDEX('DRAFT 1'!$N:$N,MATCH($B75,'DRAFT 1'!$B:$B,0)),"")</f>
        <v/>
      </c>
      <c r="S75">
        <f>IFERROR(INDEX('DRAFT 1'!$O:$O,MATCH($B75,'DRAFT 1'!$B:$B,0)),"")</f>
        <v/>
      </c>
      <c r="T75">
        <f>IFERROR(INDEX('DRAFT 1'!$P:$P,MATCH($B75,'DRAFT 1'!$B:$B,0)),"")</f>
        <v/>
      </c>
      <c r="U75">
        <f>IFERROR(INDEX('DRAFT 1'!$Q:$Q,MATCH($B75,'DRAFT 1'!$B:$B,0)),"")</f>
        <v/>
      </c>
      <c r="V75">
        <f>IFERROR(INDEX('DRAFT 1'!$R:$R,MATCH($B75,'DRAFT 1'!$B:$B,0)),"")</f>
        <v/>
      </c>
      <c r="W75">
        <f>IFERROR(INDEX('DRAFT 1'!$S:$S,MATCH($B75,'DRAFT 1'!$B:$B,0)),"")</f>
        <v/>
      </c>
      <c r="X75">
        <f>IFERROR(INDEX('DRAFT 1'!$T:$T,MATCH($B75,'DRAFT 1'!$B:$B,0)),"")</f>
        <v/>
      </c>
      <c r="Z75">
        <f>IFERROR(INDEX('DRAFT 1'!$U:$U,MATCH($B75,'DRAFT 1'!$B:$B,0)),"")</f>
        <v/>
      </c>
      <c r="AA75">
        <f>IFERROR(INDEX('DRAFT 1'!$V:$V,MATCH($B75,'DRAFT 1'!$B:$B,0)),"")</f>
        <v/>
      </c>
      <c r="AB75">
        <f>IFERROR(INDEX('DRAFT 1'!$W:$W,MATCH($B75,'DRAFT 1'!$B:$B,0)),"")</f>
        <v/>
      </c>
      <c r="AC75">
        <f>IFERROR(INDEX('DRAFT 1'!$X:$X,MATCH($B75,'DRAFT 1'!$B:$B,0)),"")</f>
        <v/>
      </c>
      <c r="AD75">
        <f>IFERROR(INDEX('DRAFT 1'!$Y:$Y,MATCH($B75,'DRAFT 1'!$B:$B,0)),"")</f>
        <v/>
      </c>
      <c r="AE75">
        <f>IFERROR(INDEX('DRAFT 1'!$Z:$Z,MATCH($B75,'DRAFT 1'!$B:$B,0)),"")</f>
        <v/>
      </c>
      <c r="AF75">
        <f>IFERROR(INDEX('DRAFT 1'!$AA:$AA,MATCH($B75,'DRAFT 1'!$B:$B,0)),"")</f>
        <v/>
      </c>
      <c r="AG75">
        <f>IFERROR(INDEX('DRAFT 1'!$AB:$AB,MATCH($B75,'DRAFT 1'!$B:$B,0)),"")</f>
        <v/>
      </c>
      <c r="AH75">
        <f>IFERROR(INDEX('DRAFT 1'!$AC:$AC,MATCH($B75,'DRAFT 1'!$B:$B,0)),"")</f>
        <v/>
      </c>
      <c r="AI75">
        <f>IFERROR(INDEX('DRAFT 1'!$AD:$AD,MATCH($B75,'DRAFT 1'!$B:$B,0)),"")</f>
        <v/>
      </c>
      <c r="AJ75">
        <f>IFERROR(INDEX('DRAFT 1'!$AE:$AE,MATCH($B75,'DRAFT 1'!$B:$B,0)),"")</f>
        <v/>
      </c>
      <c r="AK75">
        <f>IFERROR(INDEX('DRAFT 1'!$AG:$AG,MATCH($B75,'DRAFT 1'!$B:$B,0)),"")</f>
        <v/>
      </c>
      <c r="AL75">
        <f>IFERROR(INDEX('DRAFT 1'!$AH:$AH,MATCH($B75,'DRAFT 1'!$B:$B,0)),"")</f>
        <v/>
      </c>
      <c r="AM75">
        <f>IFERROR(INDEX('DRAFT 1'!$AI:$AI,MATCH($B75,'DRAFT 1'!$B:$B,0)),"")</f>
        <v/>
      </c>
      <c r="AN75">
        <f>IFERROR(INDEX('DRAFT 1'!$AJ:$AJ,MATCH($B75,'DRAFT 1'!$B:$B,0)),"")</f>
        <v/>
      </c>
      <c r="AO75">
        <f>IFERROR(Y75/AN75,0)</f>
        <v/>
      </c>
      <c r="AP75">
        <f>IFERROR(INDEX('DRAFT 1'!$AK:$AK,MATCH($B75,'DRAFT 1'!$B:$B,0)),"")</f>
        <v/>
      </c>
      <c r="AR75" t="inlineStr">
        <is>
          <t>NUTRIÇÃO</t>
        </is>
      </c>
      <c r="AS75">
        <f>IFERROR(LOOKUP(2,1/('DRAFT 2'!$D:$D=$B75),'DRAFT 2'!$T:$T),"")</f>
        <v/>
      </c>
      <c r="AT75">
        <f>IFERROR(LOOKUP(2,1/('DRAFT 2'!$D:$D=$B75),'DRAFT 2'!$A:$A),"")</f>
        <v/>
      </c>
      <c r="AU75">
        <f>IFERROR(LOOKUP(2,1/('DRAFT 2'!$D:$D=$B75),'DRAFT 2'!$R:$R),"")</f>
        <v/>
      </c>
      <c r="AV75">
        <f>IFERROR(LOOKUP(2,1/('DRAFT 2'!$D:$D=$B75),'DRAFT 2'!$S:$S),"")</f>
        <v/>
      </c>
      <c r="AW75" t="inlineStr">
        <is>
          <t>NOVO</t>
        </is>
      </c>
      <c r="AX75">
        <f>IFERROR(LOOKUP(2,1/('DRAFT 2'!$D:$D=$B75),'DRAFT 2'!$M:$M),"")</f>
        <v/>
      </c>
      <c r="AY75">
        <f>IFERROR(LOOKUP(2,1/('DRAFT 2'!$D:$D=$B75),'DRAFT 2'!$K:$K),"")</f>
        <v/>
      </c>
      <c r="BG75">
        <f>IFERROR(LOOKUP(2,1/('DRAFT 2'!$D:$D=$B75),'DRAFT 2'!$U:$U),"")</f>
        <v/>
      </c>
      <c r="BH75">
        <f>IFERROR(LOOKUP(2,1/('DRAFT 2'!$D:$D=$B75),'DRAFT 2'!$V:$V),"")</f>
        <v/>
      </c>
      <c r="CE75">
        <f>IFERROR(AJ75,0)</f>
        <v/>
      </c>
      <c r="CF75">
        <f>IFERROR(LOOKUP(2,1/('DRAFT 2'!$D:$D=$B75)*('DRAFT 2'!$A:$A&gt;=DATE(2026,1,1))*('DRAFT 2'!$A:$A&lt;DATE(2026,IF(1=12,1+1,1+1),1)),'DRAFT 2'!$A:$A),"")</f>
        <v/>
      </c>
      <c r="CG75">
        <f>COUNTIFS('DRAFT 2'!$D:$D,$B75,'DRAFT 2'!$A:$A,"&gt;="&amp;DATE(2026,1,1),'DRAFT 2'!$A:$A,"&lt;="&amp;DATE(2026,1,7))</f>
        <v/>
      </c>
      <c r="CH75">
        <f>COUNTIFS('DRAFT 2'!$D:$D,$B75,'DRAFT 2'!$A:$A,"&gt;="&amp;DATE(2026,1,8),'DRAFT 2'!$A:$A,"&lt;="&amp;DATE(2026,1,14))</f>
        <v/>
      </c>
      <c r="CI75">
        <f>COUNTIFS('DRAFT 2'!$D:$D,$B75,'DRAFT 2'!$A:$A,"&gt;="&amp;DATE(2026,1,15),'DRAFT 2'!$A:$A,"&lt;="&amp;DATE(2026,1,21))</f>
        <v/>
      </c>
      <c r="CJ75">
        <f>COUNTIFS('DRAFT 2'!$D:$D,$B75,'DRAFT 2'!$A:$A,"&gt;="&amp;DATE(2026,1,22),'DRAFT 2'!$A:$A,"&lt;"&amp;DATE(2026,IF(1=12,1+1,1+1),1))</f>
        <v/>
      </c>
      <c r="CK75">
        <f>SUM(CG75:CJ75)</f>
        <v/>
      </c>
      <c r="CT75" t="n">
        <v>0</v>
      </c>
      <c r="CU75">
        <f>IFERROR(LOOKUP(2,1/('DRAFT 2'!$D:$D=$B75)*('DRAFT 2'!$A:$A&gt;=DATE(2026,2,1))*('DRAFT 2'!$A:$A&lt;DATE(2026,IF(2=12,2+1,2+1),1)),'DRAFT 2'!$A:$A),"")</f>
        <v/>
      </c>
      <c r="CV75">
        <f>COUNTIFS('DRAFT 2'!$D:$D,$B75,'DRAFT 2'!$A:$A,"&gt;="&amp;DATE(2026,2,1),'DRAFT 2'!$A:$A,"&lt;="&amp;DATE(2026,2,7))</f>
        <v/>
      </c>
      <c r="CW75">
        <f>COUNTIFS('DRAFT 2'!$D:$D,$B75,'DRAFT 2'!$A:$A,"&gt;="&amp;DATE(2026,2,8),'DRAFT 2'!$A:$A,"&lt;="&amp;DATE(2026,2,14))</f>
        <v/>
      </c>
      <c r="CX75">
        <f>COUNTIFS('DRAFT 2'!$D:$D,$B75,'DRAFT 2'!$A:$A,"&gt;="&amp;DATE(2026,2,15),'DRAFT 2'!$A:$A,"&lt;="&amp;DATE(2026,2,21))</f>
        <v/>
      </c>
      <c r="CY75">
        <f>COUNTIFS('DRAFT 2'!$D:$D,$B75,'DRAFT 2'!$A:$A,"&gt;="&amp;DATE(2026,2,22),'DRAFT 2'!$A:$A,"&lt;"&amp;DATE(2026,IF(2=12,2+1,2+1),1))</f>
        <v/>
      </c>
      <c r="CZ75">
        <f>SUM(CV75:CY75)</f>
        <v/>
      </c>
      <c r="DJ75">
        <f>IFERROR(LOOKUP(2,1/('DRAFT 2'!$D:$D=$B75)*('DRAFT 2'!$A:$A&gt;=DATE(2026,3,1))*('DRAFT 2'!$A:$A&lt;DATE(2026,IF(3=12,3+1,3+1),1)),'DRAFT 2'!$A:$A),"")</f>
        <v/>
      </c>
      <c r="DK75">
        <f>COUNTIFS('DRAFT 2'!$D:$D,$B75,'DRAFT 2'!$A:$A,"&gt;="&amp;DATE(2026,3,1),'DRAFT 2'!$A:$A,"&lt;="&amp;DATE(2026,3,7))</f>
        <v/>
      </c>
      <c r="DL75">
        <f>COUNTIFS('DRAFT 2'!$D:$D,$B75,'DRAFT 2'!$A:$A,"&gt;="&amp;DATE(2026,3,8),'DRAFT 2'!$A:$A,"&lt;="&amp;DATE(2026,3,14))</f>
        <v/>
      </c>
      <c r="DM75">
        <f>COUNTIFS('DRAFT 2'!$D:$D,$B75,'DRAFT 2'!$A:$A,"&gt;="&amp;DATE(2026,3,15),'DRAFT 2'!$A:$A,"&lt;="&amp;DATE(2026,3,21))</f>
        <v/>
      </c>
      <c r="DN75">
        <f>COUNTIFS('DRAFT 2'!$D:$D,$B75,'DRAFT 2'!$A:$A,"&gt;="&amp;DATE(2026,3,22),'DRAFT 2'!$A:$A,"&lt;"&amp;DATE(2026,IF(3=12,3+1,3+1),1))</f>
        <v/>
      </c>
      <c r="DO75">
        <f>SUM(DK75:DN75)</f>
        <v/>
      </c>
      <c r="DZ75">
        <f>IFERROR(LOOKUP(2,1/('DRAFT 2'!$D:$D=$B75)*('DRAFT 2'!$A:$A&gt;=DATE(2026,4,1))*('DRAFT 2'!$A:$A&lt;DATE(2026,IF(4=12,4+1,4+1),1)),'DRAFT 2'!$A:$A),"")</f>
        <v/>
      </c>
      <c r="EA75">
        <f>COUNTIFS('DRAFT 2'!$D:$D,$B75,'DRAFT 2'!$A:$A,"&gt;="&amp;DATE(2026,4,1),'DRAFT 2'!$A:$A,"&lt;="&amp;DATE(2026,4,7))</f>
        <v/>
      </c>
      <c r="EB75">
        <f>COUNTIFS('DRAFT 2'!$D:$D,$B75,'DRAFT 2'!$A:$A,"&gt;="&amp;DATE(2026,4,8),'DRAFT 2'!$A:$A,"&lt;="&amp;DATE(2026,4,14))</f>
        <v/>
      </c>
      <c r="EC75">
        <f>COUNTIFS('DRAFT 2'!$D:$D,$B75,'DRAFT 2'!$A:$A,"&gt;="&amp;DATE(2026,4,15),'DRAFT 2'!$A:$A,"&lt;="&amp;DATE(2026,4,21))</f>
        <v/>
      </c>
      <c r="ED75">
        <f>COUNTIFS('DRAFT 2'!$D:$D,$B75,'DRAFT 2'!$A:$A,"&gt;="&amp;DATE(2026,4,22),'DRAFT 2'!$A:$A,"&lt;"&amp;DATE(2026,IF(4=12,4+1,4+1),1))</f>
        <v/>
      </c>
      <c r="EE75">
        <f>SUM(EA75:ED75)</f>
        <v/>
      </c>
      <c r="EO75">
        <f>IFERROR(LOOKUP(2,1/('DRAFT 2'!$D:$D=$B75)*('DRAFT 2'!$A:$A&gt;=DATE(2026,5,1))*('DRAFT 2'!$A:$A&lt;DATE(2026,IF(5=12,5+1,5+1),1)),'DRAFT 2'!$A:$A),"")</f>
        <v/>
      </c>
      <c r="EP75">
        <f>COUNTIFS('DRAFT 2'!$D:$D,$B75,'DRAFT 2'!$A:$A,"&gt;="&amp;DATE(2026,5,1),'DRAFT 2'!$A:$A,"&lt;="&amp;DATE(2026,5,7))</f>
        <v/>
      </c>
      <c r="EQ75">
        <f>COUNTIFS('DRAFT 2'!$D:$D,$B75,'DRAFT 2'!$A:$A,"&gt;="&amp;DATE(2026,5,8),'DRAFT 2'!$A:$A,"&lt;="&amp;DATE(2026,5,14))</f>
        <v/>
      </c>
      <c r="ER75">
        <f>COUNTIFS('DRAFT 2'!$D:$D,$B75,'DRAFT 2'!$A:$A,"&gt;="&amp;DATE(2026,5,15),'DRAFT 2'!$A:$A,"&lt;="&amp;DATE(2026,5,21))</f>
        <v/>
      </c>
      <c r="ES75">
        <f>COUNTIFS('DRAFT 2'!$D:$D,$B75,'DRAFT 2'!$A:$A,"&gt;="&amp;DATE(2026,5,22),'DRAFT 2'!$A:$A,"&lt;"&amp;DATE(2026,IF(5=12,5+1,5+1),1))</f>
        <v/>
      </c>
      <c r="ET75">
        <f>SUM(EP75:ES75)</f>
        <v/>
      </c>
      <c r="FD75">
        <f>IFERROR(LOOKUP(2,1/('DRAFT 2'!$D:$D=$B75)*('DRAFT 2'!$A:$A&gt;=DATE(2026,6,1))*('DRAFT 2'!$A:$A&lt;DATE(2026,IF(6=12,6+1,6+1),1)),'DRAFT 2'!$A:$A),"")</f>
        <v/>
      </c>
      <c r="FE75">
        <f>COUNTIFS('DRAFT 2'!$D:$D,$B75,'DRAFT 2'!$A:$A,"&gt;="&amp;DATE(2026,6,1),'DRAFT 2'!$A:$A,"&lt;="&amp;DATE(2026,6,7))</f>
        <v/>
      </c>
      <c r="FF75">
        <f>COUNTIFS('DRAFT 2'!$D:$D,$B75,'DRAFT 2'!$A:$A,"&gt;="&amp;DATE(2026,6,8),'DRAFT 2'!$A:$A,"&lt;="&amp;DATE(2026,6,14))</f>
        <v/>
      </c>
      <c r="FG75">
        <f>COUNTIFS('DRAFT 2'!$D:$D,$B75,'DRAFT 2'!$A:$A,"&gt;="&amp;DATE(2026,6,15),'DRAFT 2'!$A:$A,"&lt;="&amp;DATE(2026,6,21))</f>
        <v/>
      </c>
      <c r="FH75">
        <f>COUNTIFS('DRAFT 2'!$D:$D,$B75,'DRAFT 2'!$A:$A,"&gt;="&amp;DATE(2026,6,22),'DRAFT 2'!$A:$A,"&lt;"&amp;DATE(2026,IF(6=12,6+1,6+1),1))</f>
        <v/>
      </c>
      <c r="FI75">
        <f>SUM(FE75:FH75)</f>
        <v/>
      </c>
      <c r="FT75">
        <f>IFERROR(LOOKUP(2,1/('DRAFT 2'!$D:$D=$B75)*('DRAFT 2'!$A:$A&gt;=DATE(2026,7,1))*('DRAFT 2'!$A:$A&lt;DATE(2026,IF(7=12,7+1,7+1),1)),'DRAFT 2'!$A:$A),"")</f>
        <v/>
      </c>
      <c r="FU75">
        <f>COUNTIFS('DRAFT 2'!$D:$D,$B75,'DRAFT 2'!$A:$A,"&gt;="&amp;DATE(2026,7,1),'DRAFT 2'!$A:$A,"&lt;="&amp;DATE(2026,7,7))</f>
        <v/>
      </c>
      <c r="FV75">
        <f>COUNTIFS('DRAFT 2'!$D:$D,$B75,'DRAFT 2'!$A:$A,"&gt;="&amp;DATE(2026,7,8),'DRAFT 2'!$A:$A,"&lt;="&amp;DATE(2026,7,14))</f>
        <v/>
      </c>
      <c r="FW75">
        <f>COUNTIFS('DRAFT 2'!$D:$D,$B75,'DRAFT 2'!$A:$A,"&gt;="&amp;DATE(2026,7,15),'DRAFT 2'!$A:$A,"&lt;="&amp;DATE(2026,7,21))</f>
        <v/>
      </c>
      <c r="FX75">
        <f>COUNTIFS('DRAFT 2'!$D:$D,$B75,'DRAFT 2'!$A:$A,"&gt;="&amp;DATE(2026,7,22),'DRAFT 2'!$A:$A,"&lt;"&amp;DATE(2026,IF(7=12,7+1,7+1),1))</f>
        <v/>
      </c>
      <c r="FY75">
        <f>SUM(FU75:FX75)</f>
        <v/>
      </c>
      <c r="GI75">
        <f>IFERROR(LOOKUP(2,1/('DRAFT 2'!$D:$D=$B75)*('DRAFT 2'!$A:$A&gt;=DATE(2026,8,1))*('DRAFT 2'!$A:$A&lt;DATE(2026,IF(8=12,8+1,8+1),1)),'DRAFT 2'!$A:$A),"")</f>
        <v/>
      </c>
      <c r="GJ75">
        <f>COUNTIFS('DRAFT 2'!$D:$D,$B75,'DRAFT 2'!$A:$A,"&gt;="&amp;DATE(2026,8,1),'DRAFT 2'!$A:$A,"&lt;="&amp;DATE(2026,8,7))</f>
        <v/>
      </c>
      <c r="GK75">
        <f>COUNTIFS('DRAFT 2'!$D:$D,$B75,'DRAFT 2'!$A:$A,"&gt;="&amp;DATE(2026,8,8),'DRAFT 2'!$A:$A,"&lt;="&amp;DATE(2026,8,14))</f>
        <v/>
      </c>
      <c r="GL75">
        <f>COUNTIFS('DRAFT 2'!$D:$D,$B75,'DRAFT 2'!$A:$A,"&gt;="&amp;DATE(2026,8,15),'DRAFT 2'!$A:$A,"&lt;="&amp;DATE(2026,8,21))</f>
        <v/>
      </c>
      <c r="GM75">
        <f>COUNTIFS('DRAFT 2'!$D:$D,$B75,'DRAFT 2'!$A:$A,"&gt;="&amp;DATE(2026,8,22),'DRAFT 2'!$A:$A,"&lt;"&amp;DATE(2026,IF(8=12,8+1,8+1),1))</f>
        <v/>
      </c>
      <c r="GN75">
        <f>SUM(GJ75:GM75)</f>
        <v/>
      </c>
      <c r="GX75">
        <f>IFERROR(LOOKUP(2,1/('DRAFT 2'!$D:$D=$B75)*('DRAFT 2'!$A:$A&gt;=DATE(2026,9,1))*('DRAFT 2'!$A:$A&lt;DATE(2026,IF(9=12,9+1,9+1),1)),'DRAFT 2'!$A:$A),"")</f>
        <v/>
      </c>
      <c r="GY75">
        <f>COUNTIFS('DRAFT 2'!$D:$D,$B75,'DRAFT 2'!$A:$A,"&gt;="&amp;DATE(2026,9,1),'DRAFT 2'!$A:$A,"&lt;="&amp;DATE(2026,9,7))</f>
        <v/>
      </c>
      <c r="GZ75">
        <f>COUNTIFS('DRAFT 2'!$D:$D,$B75,'DRAFT 2'!$A:$A,"&gt;="&amp;DATE(2026,9,8),'DRAFT 2'!$A:$A,"&lt;="&amp;DATE(2026,9,14))</f>
        <v/>
      </c>
      <c r="HA75">
        <f>COUNTIFS('DRAFT 2'!$D:$D,$B75,'DRAFT 2'!$A:$A,"&gt;="&amp;DATE(2026,9,15),'DRAFT 2'!$A:$A,"&lt;="&amp;DATE(2026,9,21))</f>
        <v/>
      </c>
      <c r="HB75">
        <f>COUNTIFS('DRAFT 2'!$D:$D,$B75,'DRAFT 2'!$A:$A,"&gt;="&amp;DATE(2026,9,22),'DRAFT 2'!$A:$A,"&lt;"&amp;DATE(2026,IF(9=12,9+1,9+1),1))</f>
        <v/>
      </c>
      <c r="HC75">
        <f>SUM(GY75:HB75)</f>
        <v/>
      </c>
      <c r="HN75">
        <f>IFERROR(LOOKUP(2,1/('DRAFT 2'!$D:$D=$B75)*('DRAFT 2'!$A:$A&gt;=DATE(2026,10,1))*('DRAFT 2'!$A:$A&lt;DATE(2026,IF(10=12,10+1,10+1),1)),'DRAFT 2'!$A:$A),"")</f>
        <v/>
      </c>
      <c r="HO75">
        <f>COUNTIFS('DRAFT 2'!$D:$D,$B75,'DRAFT 2'!$A:$A,"&gt;="&amp;DATE(2026,10,1),'DRAFT 2'!$A:$A,"&lt;="&amp;DATE(2026,10,7))</f>
        <v/>
      </c>
      <c r="HP75">
        <f>COUNTIFS('DRAFT 2'!$D:$D,$B75,'DRAFT 2'!$A:$A,"&gt;="&amp;DATE(2026,10,8),'DRAFT 2'!$A:$A,"&lt;="&amp;DATE(2026,10,14))</f>
        <v/>
      </c>
      <c r="HQ75">
        <f>COUNTIFS('DRAFT 2'!$D:$D,$B75,'DRAFT 2'!$A:$A,"&gt;="&amp;DATE(2026,10,15),'DRAFT 2'!$A:$A,"&lt;="&amp;DATE(2026,10,21))</f>
        <v/>
      </c>
      <c r="HR75">
        <f>COUNTIFS('DRAFT 2'!$D:$D,$B75,'DRAFT 2'!$A:$A,"&gt;="&amp;DATE(2026,10,22),'DRAFT 2'!$A:$A,"&lt;"&amp;DATE(2026,IF(10=12,10+1,10+1),1))</f>
        <v/>
      </c>
      <c r="HS75">
        <f>SUM(HO75:HR75)</f>
        <v/>
      </c>
      <c r="IC75">
        <f>IFERROR(LOOKUP(2,1/('DRAFT 2'!$D:$D=$B75)*('DRAFT 2'!$A:$A&gt;=DATE(2026,11,1))*('DRAFT 2'!$A:$A&lt;DATE(2026,IF(11=12,11+1,11+1),1)),'DRAFT 2'!$A:$A),"")</f>
        <v/>
      </c>
      <c r="ID75">
        <f>COUNTIFS('DRAFT 2'!$D:$D,$B75,'DRAFT 2'!$A:$A,"&gt;="&amp;DATE(2026,11,1),'DRAFT 2'!$A:$A,"&lt;="&amp;DATE(2026,11,7))</f>
        <v/>
      </c>
      <c r="IE75">
        <f>COUNTIFS('DRAFT 2'!$D:$D,$B75,'DRAFT 2'!$A:$A,"&gt;="&amp;DATE(2026,11,8),'DRAFT 2'!$A:$A,"&lt;="&amp;DATE(2026,11,14))</f>
        <v/>
      </c>
      <c r="IF75">
        <f>COUNTIFS('DRAFT 2'!$D:$D,$B75,'DRAFT 2'!$A:$A,"&gt;="&amp;DATE(2026,11,15),'DRAFT 2'!$A:$A,"&lt;="&amp;DATE(2026,11,21))</f>
        <v/>
      </c>
      <c r="IG75">
        <f>COUNTIFS('DRAFT 2'!$D:$D,$B75,'DRAFT 2'!$A:$A,"&gt;="&amp;DATE(2026,11,22),'DRAFT 2'!$A:$A,"&lt;"&amp;DATE(2026,IF(11=12,11+1,11+1),1))</f>
        <v/>
      </c>
      <c r="IH75">
        <f>SUM(ID75:IG75)</f>
        <v/>
      </c>
      <c r="IR75">
        <f>IFERROR(LOOKUP(2,1/('DRAFT 2'!$D:$D=$B75)*('DRAFT 2'!$A:$A&gt;=DATE(2026,12,1))*('DRAFT 2'!$A:$A&lt;DATE(2026,IF(12=12,12+1,12+1),1)),'DRAFT 2'!$A:$A),"")</f>
        <v/>
      </c>
      <c r="IS75">
        <f>COUNTIFS('DRAFT 2'!$D:$D,$B75,'DRAFT 2'!$A:$A,"&gt;="&amp;DATE(2026,12,1),'DRAFT 2'!$A:$A,"&lt;="&amp;DATE(2026,12,7))</f>
        <v/>
      </c>
      <c r="IT75">
        <f>COUNTIFS('DRAFT 2'!$D:$D,$B75,'DRAFT 2'!$A:$A,"&gt;="&amp;DATE(2026,12,8),'DRAFT 2'!$A:$A,"&lt;="&amp;DATE(2026,12,14))</f>
        <v/>
      </c>
      <c r="IU75">
        <f>COUNTIFS('DRAFT 2'!$D:$D,$B75,'DRAFT 2'!$A:$A,"&gt;="&amp;DATE(2026,12,15),'DRAFT 2'!$A:$A,"&lt;="&amp;DATE(2026,12,21))</f>
        <v/>
      </c>
      <c r="IV75">
        <f>COUNTIFS('DRAFT 2'!$D:$D,$B75,'DRAFT 2'!$A:$A,"&gt;="&amp;DATE(2026,12,22),'DRAFT 2'!$A:$A,"&lt;"&amp;DATE(2026,IF(12=12,12+1,12+1),1))</f>
        <v/>
      </c>
      <c r="IW75">
        <f>SUM(IS75:IV75)</f>
        <v/>
      </c>
    </row>
    <row r="76">
      <c r="A76">
        <f>IFERROR(INDEX('DRAFT 1'!$A:$A,MATCH($B76,'DRAFT 1'!$B:$B,0)),"")</f>
        <v/>
      </c>
      <c r="C76">
        <f>IFERROR(INDEX('DRAFT 1'!$C:$C,MATCH($B76,'DRAFT 1'!$B:$B,0)),"")</f>
        <v/>
      </c>
      <c r="D76">
        <f>IFERROR(INDEX('DRAFT 1'!$D:$D,MATCH($B76,'DRAFT 1'!$B:$B,0)),"")</f>
        <v/>
      </c>
      <c r="E76">
        <f>IFERROR(INDEX('DRAFT 1'!$E:$E,MATCH($B76,'DRAFT 1'!$B:$B,0)),"")</f>
        <v/>
      </c>
      <c r="F76">
        <f>IFERROR(INDEX('DRAFT 1'!$F:$F,MATCH($B76,'DRAFT 1'!$B:$B,0)),"")</f>
        <v/>
      </c>
      <c r="G76">
        <f>IFERROR(INDEX('DRAFT 1'!$G:$G,MATCH($B76,'DRAFT 1'!$B:$B,0)),"")</f>
        <v/>
      </c>
      <c r="H76">
        <f>IFERROR(INDEX('DRAFT 1'!$H:$H,MATCH($B76,'DRAFT 1'!$B:$B,0)),"")</f>
        <v/>
      </c>
      <c r="I76" t="inlineStr">
        <is>
          <t>DEMAIS CLIENTES</t>
        </is>
      </c>
      <c r="K76">
        <f>IFERROR(INDEX('DRAFT 1'!$AL:$AL,MATCH($B76,'DRAFT 1'!$B:$B,0)),"")</f>
        <v/>
      </c>
      <c r="L76">
        <f>IFERROR(INDEX('DRAFT 1'!$J:$J,MATCH($B76,'DRAFT 1'!$B:$B,0)),"")</f>
        <v/>
      </c>
      <c r="M76">
        <f>IFERROR(INDEX('DRAFT 1'!$K:$K,MATCH($B76,'DRAFT 1'!$B:$B,0)),"")</f>
        <v/>
      </c>
      <c r="N76" t="inlineStr">
        <is>
          <t>INAT.ANT</t>
        </is>
      </c>
      <c r="P76">
        <f>IFERROR(INDEX('DRAFT 1'!$L:$L,MATCH($B76,'DRAFT 1'!$B:$B,0)),"")</f>
        <v/>
      </c>
      <c r="Q76">
        <f>IFERROR(INDEX('DRAFT 1'!$M:$M,MATCH($B76,'DRAFT 1'!$B:$B,0)),"")</f>
        <v/>
      </c>
      <c r="R76">
        <f>IFERROR(INDEX('DRAFT 1'!$N:$N,MATCH($B76,'DRAFT 1'!$B:$B,0)),"")</f>
        <v/>
      </c>
      <c r="S76">
        <f>IFERROR(INDEX('DRAFT 1'!$O:$O,MATCH($B76,'DRAFT 1'!$B:$B,0)),"")</f>
        <v/>
      </c>
      <c r="T76">
        <f>IFERROR(INDEX('DRAFT 1'!$P:$P,MATCH($B76,'DRAFT 1'!$B:$B,0)),"")</f>
        <v/>
      </c>
      <c r="U76">
        <f>IFERROR(INDEX('DRAFT 1'!$Q:$Q,MATCH($B76,'DRAFT 1'!$B:$B,0)),"")</f>
        <v/>
      </c>
      <c r="V76">
        <f>IFERROR(INDEX('DRAFT 1'!$R:$R,MATCH($B76,'DRAFT 1'!$B:$B,0)),"")</f>
        <v/>
      </c>
      <c r="W76">
        <f>IFERROR(INDEX('DRAFT 1'!$S:$S,MATCH($B76,'DRAFT 1'!$B:$B,0)),"")</f>
        <v/>
      </c>
      <c r="X76">
        <f>IFERROR(INDEX('DRAFT 1'!$T:$T,MATCH($B76,'DRAFT 1'!$B:$B,0)),"")</f>
        <v/>
      </c>
      <c r="Z76">
        <f>IFERROR(INDEX('DRAFT 1'!$U:$U,MATCH($B76,'DRAFT 1'!$B:$B,0)),"")</f>
        <v/>
      </c>
      <c r="AA76">
        <f>IFERROR(INDEX('DRAFT 1'!$V:$V,MATCH($B76,'DRAFT 1'!$B:$B,0)),"")</f>
        <v/>
      </c>
      <c r="AB76">
        <f>IFERROR(INDEX('DRAFT 1'!$W:$W,MATCH($B76,'DRAFT 1'!$B:$B,0)),"")</f>
        <v/>
      </c>
      <c r="AC76">
        <f>IFERROR(INDEX('DRAFT 1'!$X:$X,MATCH($B76,'DRAFT 1'!$B:$B,0)),"")</f>
        <v/>
      </c>
      <c r="AD76">
        <f>IFERROR(INDEX('DRAFT 1'!$Y:$Y,MATCH($B76,'DRAFT 1'!$B:$B,0)),"")</f>
        <v/>
      </c>
      <c r="AE76">
        <f>IFERROR(INDEX('DRAFT 1'!$Z:$Z,MATCH($B76,'DRAFT 1'!$B:$B,0)),"")</f>
        <v/>
      </c>
      <c r="AF76">
        <f>IFERROR(INDEX('DRAFT 1'!$AA:$AA,MATCH($B76,'DRAFT 1'!$B:$B,0)),"")</f>
        <v/>
      </c>
      <c r="AG76">
        <f>IFERROR(INDEX('DRAFT 1'!$AB:$AB,MATCH($B76,'DRAFT 1'!$B:$B,0)),"")</f>
        <v/>
      </c>
      <c r="AH76">
        <f>IFERROR(INDEX('DRAFT 1'!$AC:$AC,MATCH($B76,'DRAFT 1'!$B:$B,0)),"")</f>
        <v/>
      </c>
      <c r="AI76">
        <f>IFERROR(INDEX('DRAFT 1'!$AD:$AD,MATCH($B76,'DRAFT 1'!$B:$B,0)),"")</f>
        <v/>
      </c>
      <c r="AJ76">
        <f>IFERROR(INDEX('DRAFT 1'!$AE:$AE,MATCH($B76,'DRAFT 1'!$B:$B,0)),"")</f>
        <v/>
      </c>
      <c r="AK76">
        <f>IFERROR(INDEX('DRAFT 1'!$AG:$AG,MATCH($B76,'DRAFT 1'!$B:$B,0)),"")</f>
        <v/>
      </c>
      <c r="AL76">
        <f>IFERROR(INDEX('DRAFT 1'!$AH:$AH,MATCH($B76,'DRAFT 1'!$B:$B,0)),"")</f>
        <v/>
      </c>
      <c r="AM76">
        <f>IFERROR(INDEX('DRAFT 1'!$AI:$AI,MATCH($B76,'DRAFT 1'!$B:$B,0)),"")</f>
        <v/>
      </c>
      <c r="AN76">
        <f>IFERROR(INDEX('DRAFT 1'!$AJ:$AJ,MATCH($B76,'DRAFT 1'!$B:$B,0)),"")</f>
        <v/>
      </c>
      <c r="AO76">
        <f>IFERROR(Y76/AN76,0)</f>
        <v/>
      </c>
      <c r="AP76">
        <f>IFERROR(INDEX('DRAFT 1'!$AK:$AK,MATCH($B76,'DRAFT 1'!$B:$B,0)),"")</f>
        <v/>
      </c>
      <c r="AR76" t="inlineStr">
        <is>
          <t>CS</t>
        </is>
      </c>
      <c r="AS76">
        <f>IFERROR(LOOKUP(2,1/('DRAFT 2'!$D:$D=$B76),'DRAFT 2'!$T:$T),"")</f>
        <v/>
      </c>
      <c r="AT76">
        <f>IFERROR(LOOKUP(2,1/('DRAFT 2'!$D:$D=$B76),'DRAFT 2'!$A:$A),"")</f>
        <v/>
      </c>
      <c r="AU76">
        <f>IFERROR(LOOKUP(2,1/('DRAFT 2'!$D:$D=$B76),'DRAFT 2'!$R:$R),"")</f>
        <v/>
      </c>
      <c r="AV76">
        <f>IFERROR(LOOKUP(2,1/('DRAFT 2'!$D:$D=$B76),'DRAFT 2'!$S:$S),"")</f>
        <v/>
      </c>
      <c r="AW76" t="inlineStr">
        <is>
          <t>PROSPECT</t>
        </is>
      </c>
      <c r="AX76">
        <f>IFERROR(LOOKUP(2,1/('DRAFT 2'!$D:$D=$B76),'DRAFT 2'!$M:$M),"")</f>
        <v/>
      </c>
      <c r="AY76">
        <f>IFERROR(LOOKUP(2,1/('DRAFT 2'!$D:$D=$B76),'DRAFT 2'!$K:$K),"")</f>
        <v/>
      </c>
      <c r="BG76">
        <f>IFERROR(LOOKUP(2,1/('DRAFT 2'!$D:$D=$B76),'DRAFT 2'!$U:$U),"")</f>
        <v/>
      </c>
      <c r="BH76">
        <f>IFERROR(LOOKUP(2,1/('DRAFT 2'!$D:$D=$B76),'DRAFT 2'!$V:$V),"")</f>
        <v/>
      </c>
      <c r="CE76">
        <f>IFERROR(AJ76,0)</f>
        <v/>
      </c>
      <c r="CF76">
        <f>IFERROR(LOOKUP(2,1/('DRAFT 2'!$D:$D=$B76)*('DRAFT 2'!$A:$A&gt;=DATE(2026,1,1))*('DRAFT 2'!$A:$A&lt;DATE(2026,IF(1=12,1+1,1+1),1)),'DRAFT 2'!$A:$A),"")</f>
        <v/>
      </c>
      <c r="CG76">
        <f>COUNTIFS('DRAFT 2'!$D:$D,$B76,'DRAFT 2'!$A:$A,"&gt;="&amp;DATE(2026,1,1),'DRAFT 2'!$A:$A,"&lt;="&amp;DATE(2026,1,7))</f>
        <v/>
      </c>
      <c r="CH76">
        <f>COUNTIFS('DRAFT 2'!$D:$D,$B76,'DRAFT 2'!$A:$A,"&gt;="&amp;DATE(2026,1,8),'DRAFT 2'!$A:$A,"&lt;="&amp;DATE(2026,1,14))</f>
        <v/>
      </c>
      <c r="CI76">
        <f>COUNTIFS('DRAFT 2'!$D:$D,$B76,'DRAFT 2'!$A:$A,"&gt;="&amp;DATE(2026,1,15),'DRAFT 2'!$A:$A,"&lt;="&amp;DATE(2026,1,21))</f>
        <v/>
      </c>
      <c r="CJ76">
        <f>COUNTIFS('DRAFT 2'!$D:$D,$B76,'DRAFT 2'!$A:$A,"&gt;="&amp;DATE(2026,1,22),'DRAFT 2'!$A:$A,"&lt;"&amp;DATE(2026,IF(1=12,1+1,1+1),1))</f>
        <v/>
      </c>
      <c r="CK76">
        <f>SUM(CG76:CJ76)</f>
        <v/>
      </c>
      <c r="CT76" t="n">
        <v>0</v>
      </c>
      <c r="CU76">
        <f>IFERROR(LOOKUP(2,1/('DRAFT 2'!$D:$D=$B76)*('DRAFT 2'!$A:$A&gt;=DATE(2026,2,1))*('DRAFT 2'!$A:$A&lt;DATE(2026,IF(2=12,2+1,2+1),1)),'DRAFT 2'!$A:$A),"")</f>
        <v/>
      </c>
      <c r="CV76">
        <f>COUNTIFS('DRAFT 2'!$D:$D,$B76,'DRAFT 2'!$A:$A,"&gt;="&amp;DATE(2026,2,1),'DRAFT 2'!$A:$A,"&lt;="&amp;DATE(2026,2,7))</f>
        <v/>
      </c>
      <c r="CW76">
        <f>COUNTIFS('DRAFT 2'!$D:$D,$B76,'DRAFT 2'!$A:$A,"&gt;="&amp;DATE(2026,2,8),'DRAFT 2'!$A:$A,"&lt;="&amp;DATE(2026,2,14))</f>
        <v/>
      </c>
      <c r="CX76">
        <f>COUNTIFS('DRAFT 2'!$D:$D,$B76,'DRAFT 2'!$A:$A,"&gt;="&amp;DATE(2026,2,15),'DRAFT 2'!$A:$A,"&lt;="&amp;DATE(2026,2,21))</f>
        <v/>
      </c>
      <c r="CY76">
        <f>COUNTIFS('DRAFT 2'!$D:$D,$B76,'DRAFT 2'!$A:$A,"&gt;="&amp;DATE(2026,2,22),'DRAFT 2'!$A:$A,"&lt;"&amp;DATE(2026,IF(2=12,2+1,2+1),1))</f>
        <v/>
      </c>
      <c r="CZ76">
        <f>SUM(CV76:CY76)</f>
        <v/>
      </c>
      <c r="DJ76">
        <f>IFERROR(LOOKUP(2,1/('DRAFT 2'!$D:$D=$B76)*('DRAFT 2'!$A:$A&gt;=DATE(2026,3,1))*('DRAFT 2'!$A:$A&lt;DATE(2026,IF(3=12,3+1,3+1),1)),'DRAFT 2'!$A:$A),"")</f>
        <v/>
      </c>
      <c r="DK76">
        <f>COUNTIFS('DRAFT 2'!$D:$D,$B76,'DRAFT 2'!$A:$A,"&gt;="&amp;DATE(2026,3,1),'DRAFT 2'!$A:$A,"&lt;="&amp;DATE(2026,3,7))</f>
        <v/>
      </c>
      <c r="DL76">
        <f>COUNTIFS('DRAFT 2'!$D:$D,$B76,'DRAFT 2'!$A:$A,"&gt;="&amp;DATE(2026,3,8),'DRAFT 2'!$A:$A,"&lt;="&amp;DATE(2026,3,14))</f>
        <v/>
      </c>
      <c r="DM76">
        <f>COUNTIFS('DRAFT 2'!$D:$D,$B76,'DRAFT 2'!$A:$A,"&gt;="&amp;DATE(2026,3,15),'DRAFT 2'!$A:$A,"&lt;="&amp;DATE(2026,3,21))</f>
        <v/>
      </c>
      <c r="DN76">
        <f>COUNTIFS('DRAFT 2'!$D:$D,$B76,'DRAFT 2'!$A:$A,"&gt;="&amp;DATE(2026,3,22),'DRAFT 2'!$A:$A,"&lt;"&amp;DATE(2026,IF(3=12,3+1,3+1),1))</f>
        <v/>
      </c>
      <c r="DO76">
        <f>SUM(DK76:DN76)</f>
        <v/>
      </c>
      <c r="DZ76">
        <f>IFERROR(LOOKUP(2,1/('DRAFT 2'!$D:$D=$B76)*('DRAFT 2'!$A:$A&gt;=DATE(2026,4,1))*('DRAFT 2'!$A:$A&lt;DATE(2026,IF(4=12,4+1,4+1),1)),'DRAFT 2'!$A:$A),"")</f>
        <v/>
      </c>
      <c r="EA76">
        <f>COUNTIFS('DRAFT 2'!$D:$D,$B76,'DRAFT 2'!$A:$A,"&gt;="&amp;DATE(2026,4,1),'DRAFT 2'!$A:$A,"&lt;="&amp;DATE(2026,4,7))</f>
        <v/>
      </c>
      <c r="EB76">
        <f>COUNTIFS('DRAFT 2'!$D:$D,$B76,'DRAFT 2'!$A:$A,"&gt;="&amp;DATE(2026,4,8),'DRAFT 2'!$A:$A,"&lt;="&amp;DATE(2026,4,14))</f>
        <v/>
      </c>
      <c r="EC76">
        <f>COUNTIFS('DRAFT 2'!$D:$D,$B76,'DRAFT 2'!$A:$A,"&gt;="&amp;DATE(2026,4,15),'DRAFT 2'!$A:$A,"&lt;="&amp;DATE(2026,4,21))</f>
        <v/>
      </c>
      <c r="ED76">
        <f>COUNTIFS('DRAFT 2'!$D:$D,$B76,'DRAFT 2'!$A:$A,"&gt;="&amp;DATE(2026,4,22),'DRAFT 2'!$A:$A,"&lt;"&amp;DATE(2026,IF(4=12,4+1,4+1),1))</f>
        <v/>
      </c>
      <c r="EE76">
        <f>SUM(EA76:ED76)</f>
        <v/>
      </c>
      <c r="EO76">
        <f>IFERROR(LOOKUP(2,1/('DRAFT 2'!$D:$D=$B76)*('DRAFT 2'!$A:$A&gt;=DATE(2026,5,1))*('DRAFT 2'!$A:$A&lt;DATE(2026,IF(5=12,5+1,5+1),1)),'DRAFT 2'!$A:$A),"")</f>
        <v/>
      </c>
      <c r="EP76">
        <f>COUNTIFS('DRAFT 2'!$D:$D,$B76,'DRAFT 2'!$A:$A,"&gt;="&amp;DATE(2026,5,1),'DRAFT 2'!$A:$A,"&lt;="&amp;DATE(2026,5,7))</f>
        <v/>
      </c>
      <c r="EQ76">
        <f>COUNTIFS('DRAFT 2'!$D:$D,$B76,'DRAFT 2'!$A:$A,"&gt;="&amp;DATE(2026,5,8),'DRAFT 2'!$A:$A,"&lt;="&amp;DATE(2026,5,14))</f>
        <v/>
      </c>
      <c r="ER76">
        <f>COUNTIFS('DRAFT 2'!$D:$D,$B76,'DRAFT 2'!$A:$A,"&gt;="&amp;DATE(2026,5,15),'DRAFT 2'!$A:$A,"&lt;="&amp;DATE(2026,5,21))</f>
        <v/>
      </c>
      <c r="ES76">
        <f>COUNTIFS('DRAFT 2'!$D:$D,$B76,'DRAFT 2'!$A:$A,"&gt;="&amp;DATE(2026,5,22),'DRAFT 2'!$A:$A,"&lt;"&amp;DATE(2026,IF(5=12,5+1,5+1),1))</f>
        <v/>
      </c>
      <c r="ET76">
        <f>SUM(EP76:ES76)</f>
        <v/>
      </c>
      <c r="FD76">
        <f>IFERROR(LOOKUP(2,1/('DRAFT 2'!$D:$D=$B76)*('DRAFT 2'!$A:$A&gt;=DATE(2026,6,1))*('DRAFT 2'!$A:$A&lt;DATE(2026,IF(6=12,6+1,6+1),1)),'DRAFT 2'!$A:$A),"")</f>
        <v/>
      </c>
      <c r="FE76">
        <f>COUNTIFS('DRAFT 2'!$D:$D,$B76,'DRAFT 2'!$A:$A,"&gt;="&amp;DATE(2026,6,1),'DRAFT 2'!$A:$A,"&lt;="&amp;DATE(2026,6,7))</f>
        <v/>
      </c>
      <c r="FF76">
        <f>COUNTIFS('DRAFT 2'!$D:$D,$B76,'DRAFT 2'!$A:$A,"&gt;="&amp;DATE(2026,6,8),'DRAFT 2'!$A:$A,"&lt;="&amp;DATE(2026,6,14))</f>
        <v/>
      </c>
      <c r="FG76">
        <f>COUNTIFS('DRAFT 2'!$D:$D,$B76,'DRAFT 2'!$A:$A,"&gt;="&amp;DATE(2026,6,15),'DRAFT 2'!$A:$A,"&lt;="&amp;DATE(2026,6,21))</f>
        <v/>
      </c>
      <c r="FH76">
        <f>COUNTIFS('DRAFT 2'!$D:$D,$B76,'DRAFT 2'!$A:$A,"&gt;="&amp;DATE(2026,6,22),'DRAFT 2'!$A:$A,"&lt;"&amp;DATE(2026,IF(6=12,6+1,6+1),1))</f>
        <v/>
      </c>
      <c r="FI76">
        <f>SUM(FE76:FH76)</f>
        <v/>
      </c>
      <c r="FT76">
        <f>IFERROR(LOOKUP(2,1/('DRAFT 2'!$D:$D=$B76)*('DRAFT 2'!$A:$A&gt;=DATE(2026,7,1))*('DRAFT 2'!$A:$A&lt;DATE(2026,IF(7=12,7+1,7+1),1)),'DRAFT 2'!$A:$A),"")</f>
        <v/>
      </c>
      <c r="FU76">
        <f>COUNTIFS('DRAFT 2'!$D:$D,$B76,'DRAFT 2'!$A:$A,"&gt;="&amp;DATE(2026,7,1),'DRAFT 2'!$A:$A,"&lt;="&amp;DATE(2026,7,7))</f>
        <v/>
      </c>
      <c r="FV76">
        <f>COUNTIFS('DRAFT 2'!$D:$D,$B76,'DRAFT 2'!$A:$A,"&gt;="&amp;DATE(2026,7,8),'DRAFT 2'!$A:$A,"&lt;="&amp;DATE(2026,7,14))</f>
        <v/>
      </c>
      <c r="FW76">
        <f>COUNTIFS('DRAFT 2'!$D:$D,$B76,'DRAFT 2'!$A:$A,"&gt;="&amp;DATE(2026,7,15),'DRAFT 2'!$A:$A,"&lt;="&amp;DATE(2026,7,21))</f>
        <v/>
      </c>
      <c r="FX76">
        <f>COUNTIFS('DRAFT 2'!$D:$D,$B76,'DRAFT 2'!$A:$A,"&gt;="&amp;DATE(2026,7,22),'DRAFT 2'!$A:$A,"&lt;"&amp;DATE(2026,IF(7=12,7+1,7+1),1))</f>
        <v/>
      </c>
      <c r="FY76">
        <f>SUM(FU76:FX76)</f>
        <v/>
      </c>
      <c r="GI76">
        <f>IFERROR(LOOKUP(2,1/('DRAFT 2'!$D:$D=$B76)*('DRAFT 2'!$A:$A&gt;=DATE(2026,8,1))*('DRAFT 2'!$A:$A&lt;DATE(2026,IF(8=12,8+1,8+1),1)),'DRAFT 2'!$A:$A),"")</f>
        <v/>
      </c>
      <c r="GJ76">
        <f>COUNTIFS('DRAFT 2'!$D:$D,$B76,'DRAFT 2'!$A:$A,"&gt;="&amp;DATE(2026,8,1),'DRAFT 2'!$A:$A,"&lt;="&amp;DATE(2026,8,7))</f>
        <v/>
      </c>
      <c r="GK76">
        <f>COUNTIFS('DRAFT 2'!$D:$D,$B76,'DRAFT 2'!$A:$A,"&gt;="&amp;DATE(2026,8,8),'DRAFT 2'!$A:$A,"&lt;="&amp;DATE(2026,8,14))</f>
        <v/>
      </c>
      <c r="GL76">
        <f>COUNTIFS('DRAFT 2'!$D:$D,$B76,'DRAFT 2'!$A:$A,"&gt;="&amp;DATE(2026,8,15),'DRAFT 2'!$A:$A,"&lt;="&amp;DATE(2026,8,21))</f>
        <v/>
      </c>
      <c r="GM76">
        <f>COUNTIFS('DRAFT 2'!$D:$D,$B76,'DRAFT 2'!$A:$A,"&gt;="&amp;DATE(2026,8,22),'DRAFT 2'!$A:$A,"&lt;"&amp;DATE(2026,IF(8=12,8+1,8+1),1))</f>
        <v/>
      </c>
      <c r="GN76">
        <f>SUM(GJ76:GM76)</f>
        <v/>
      </c>
      <c r="GX76">
        <f>IFERROR(LOOKUP(2,1/('DRAFT 2'!$D:$D=$B76)*('DRAFT 2'!$A:$A&gt;=DATE(2026,9,1))*('DRAFT 2'!$A:$A&lt;DATE(2026,IF(9=12,9+1,9+1),1)),'DRAFT 2'!$A:$A),"")</f>
        <v/>
      </c>
      <c r="GY76">
        <f>COUNTIFS('DRAFT 2'!$D:$D,$B76,'DRAFT 2'!$A:$A,"&gt;="&amp;DATE(2026,9,1),'DRAFT 2'!$A:$A,"&lt;="&amp;DATE(2026,9,7))</f>
        <v/>
      </c>
      <c r="GZ76">
        <f>COUNTIFS('DRAFT 2'!$D:$D,$B76,'DRAFT 2'!$A:$A,"&gt;="&amp;DATE(2026,9,8),'DRAFT 2'!$A:$A,"&lt;="&amp;DATE(2026,9,14))</f>
        <v/>
      </c>
      <c r="HA76">
        <f>COUNTIFS('DRAFT 2'!$D:$D,$B76,'DRAFT 2'!$A:$A,"&gt;="&amp;DATE(2026,9,15),'DRAFT 2'!$A:$A,"&lt;="&amp;DATE(2026,9,21))</f>
        <v/>
      </c>
      <c r="HB76">
        <f>COUNTIFS('DRAFT 2'!$D:$D,$B76,'DRAFT 2'!$A:$A,"&gt;="&amp;DATE(2026,9,22),'DRAFT 2'!$A:$A,"&lt;"&amp;DATE(2026,IF(9=12,9+1,9+1),1))</f>
        <v/>
      </c>
      <c r="HC76">
        <f>SUM(GY76:HB76)</f>
        <v/>
      </c>
      <c r="HN76">
        <f>IFERROR(LOOKUP(2,1/('DRAFT 2'!$D:$D=$B76)*('DRAFT 2'!$A:$A&gt;=DATE(2026,10,1))*('DRAFT 2'!$A:$A&lt;DATE(2026,IF(10=12,10+1,10+1),1)),'DRAFT 2'!$A:$A),"")</f>
        <v/>
      </c>
      <c r="HO76">
        <f>COUNTIFS('DRAFT 2'!$D:$D,$B76,'DRAFT 2'!$A:$A,"&gt;="&amp;DATE(2026,10,1),'DRAFT 2'!$A:$A,"&lt;="&amp;DATE(2026,10,7))</f>
        <v/>
      </c>
      <c r="HP76">
        <f>COUNTIFS('DRAFT 2'!$D:$D,$B76,'DRAFT 2'!$A:$A,"&gt;="&amp;DATE(2026,10,8),'DRAFT 2'!$A:$A,"&lt;="&amp;DATE(2026,10,14))</f>
        <v/>
      </c>
      <c r="HQ76">
        <f>COUNTIFS('DRAFT 2'!$D:$D,$B76,'DRAFT 2'!$A:$A,"&gt;="&amp;DATE(2026,10,15),'DRAFT 2'!$A:$A,"&lt;="&amp;DATE(2026,10,21))</f>
        <v/>
      </c>
      <c r="HR76">
        <f>COUNTIFS('DRAFT 2'!$D:$D,$B76,'DRAFT 2'!$A:$A,"&gt;="&amp;DATE(2026,10,22),'DRAFT 2'!$A:$A,"&lt;"&amp;DATE(2026,IF(10=12,10+1,10+1),1))</f>
        <v/>
      </c>
      <c r="HS76">
        <f>SUM(HO76:HR76)</f>
        <v/>
      </c>
      <c r="IC76">
        <f>IFERROR(LOOKUP(2,1/('DRAFT 2'!$D:$D=$B76)*('DRAFT 2'!$A:$A&gt;=DATE(2026,11,1))*('DRAFT 2'!$A:$A&lt;DATE(2026,IF(11=12,11+1,11+1),1)),'DRAFT 2'!$A:$A),"")</f>
        <v/>
      </c>
      <c r="ID76">
        <f>COUNTIFS('DRAFT 2'!$D:$D,$B76,'DRAFT 2'!$A:$A,"&gt;="&amp;DATE(2026,11,1),'DRAFT 2'!$A:$A,"&lt;="&amp;DATE(2026,11,7))</f>
        <v/>
      </c>
      <c r="IE76">
        <f>COUNTIFS('DRAFT 2'!$D:$D,$B76,'DRAFT 2'!$A:$A,"&gt;="&amp;DATE(2026,11,8),'DRAFT 2'!$A:$A,"&lt;="&amp;DATE(2026,11,14))</f>
        <v/>
      </c>
      <c r="IF76">
        <f>COUNTIFS('DRAFT 2'!$D:$D,$B76,'DRAFT 2'!$A:$A,"&gt;="&amp;DATE(2026,11,15),'DRAFT 2'!$A:$A,"&lt;="&amp;DATE(2026,11,21))</f>
        <v/>
      </c>
      <c r="IG76">
        <f>COUNTIFS('DRAFT 2'!$D:$D,$B76,'DRAFT 2'!$A:$A,"&gt;="&amp;DATE(2026,11,22),'DRAFT 2'!$A:$A,"&lt;"&amp;DATE(2026,IF(11=12,11+1,11+1),1))</f>
        <v/>
      </c>
      <c r="IH76">
        <f>SUM(ID76:IG76)</f>
        <v/>
      </c>
      <c r="IR76">
        <f>IFERROR(LOOKUP(2,1/('DRAFT 2'!$D:$D=$B76)*('DRAFT 2'!$A:$A&gt;=DATE(2026,12,1))*('DRAFT 2'!$A:$A&lt;DATE(2026,IF(12=12,12+1,12+1),1)),'DRAFT 2'!$A:$A),"")</f>
        <v/>
      </c>
      <c r="IS76">
        <f>COUNTIFS('DRAFT 2'!$D:$D,$B76,'DRAFT 2'!$A:$A,"&gt;="&amp;DATE(2026,12,1),'DRAFT 2'!$A:$A,"&lt;="&amp;DATE(2026,12,7))</f>
        <v/>
      </c>
      <c r="IT76">
        <f>COUNTIFS('DRAFT 2'!$D:$D,$B76,'DRAFT 2'!$A:$A,"&gt;="&amp;DATE(2026,12,8),'DRAFT 2'!$A:$A,"&lt;="&amp;DATE(2026,12,14))</f>
        <v/>
      </c>
      <c r="IU76">
        <f>COUNTIFS('DRAFT 2'!$D:$D,$B76,'DRAFT 2'!$A:$A,"&gt;="&amp;DATE(2026,12,15),'DRAFT 2'!$A:$A,"&lt;="&amp;DATE(2026,12,21))</f>
        <v/>
      </c>
      <c r="IV76">
        <f>COUNTIFS('DRAFT 2'!$D:$D,$B76,'DRAFT 2'!$A:$A,"&gt;="&amp;DATE(2026,12,22),'DRAFT 2'!$A:$A,"&lt;"&amp;DATE(2026,IF(12=12,12+1,12+1),1))</f>
        <v/>
      </c>
      <c r="IW76">
        <f>SUM(IS76:IV76)</f>
        <v/>
      </c>
    </row>
    <row r="77">
      <c r="A77">
        <f>IFERROR(INDEX('DRAFT 1'!$A:$A,MATCH($B77,'DRAFT 1'!$B:$B,0)),"")</f>
        <v/>
      </c>
      <c r="C77">
        <f>IFERROR(INDEX('DRAFT 1'!$C:$C,MATCH($B77,'DRAFT 1'!$B:$B,0)),"")</f>
        <v/>
      </c>
      <c r="D77">
        <f>IFERROR(INDEX('DRAFT 1'!$D:$D,MATCH($B77,'DRAFT 1'!$B:$B,0)),"")</f>
        <v/>
      </c>
      <c r="E77">
        <f>IFERROR(INDEX('DRAFT 1'!$E:$E,MATCH($B77,'DRAFT 1'!$B:$B,0)),"")</f>
        <v/>
      </c>
      <c r="F77">
        <f>IFERROR(INDEX('DRAFT 1'!$F:$F,MATCH($B77,'DRAFT 1'!$B:$B,0)),"")</f>
        <v/>
      </c>
      <c r="G77">
        <f>IFERROR(INDEX('DRAFT 1'!$G:$G,MATCH($B77,'DRAFT 1'!$B:$B,0)),"")</f>
        <v/>
      </c>
      <c r="H77">
        <f>IFERROR(INDEX('DRAFT 1'!$H:$H,MATCH($B77,'DRAFT 1'!$B:$B,0)),"")</f>
        <v/>
      </c>
      <c r="I77" t="inlineStr">
        <is>
          <t>CIA DA SAUDE</t>
        </is>
      </c>
      <c r="K77">
        <f>IFERROR(INDEX('DRAFT 1'!$AL:$AL,MATCH($B77,'DRAFT 1'!$B:$B,0)),"")</f>
        <v/>
      </c>
      <c r="L77">
        <f>IFERROR(INDEX('DRAFT 1'!$J:$J,MATCH($B77,'DRAFT 1'!$B:$B,0)),"")</f>
        <v/>
      </c>
      <c r="M77">
        <f>IFERROR(INDEX('DRAFT 1'!$K:$K,MATCH($B77,'DRAFT 1'!$B:$B,0)),"")</f>
        <v/>
      </c>
      <c r="N77" t="inlineStr">
        <is>
          <t>ATIVO</t>
        </is>
      </c>
      <c r="P77">
        <f>IFERROR(INDEX('DRAFT 1'!$L:$L,MATCH($B77,'DRAFT 1'!$B:$B,0)),"")</f>
        <v/>
      </c>
      <c r="Q77">
        <f>IFERROR(INDEX('DRAFT 1'!$M:$M,MATCH($B77,'DRAFT 1'!$B:$B,0)),"")</f>
        <v/>
      </c>
      <c r="R77">
        <f>IFERROR(INDEX('DRAFT 1'!$N:$N,MATCH($B77,'DRAFT 1'!$B:$B,0)),"")</f>
        <v/>
      </c>
      <c r="S77">
        <f>IFERROR(INDEX('DRAFT 1'!$O:$O,MATCH($B77,'DRAFT 1'!$B:$B,0)),"")</f>
        <v/>
      </c>
      <c r="T77">
        <f>IFERROR(INDEX('DRAFT 1'!$P:$P,MATCH($B77,'DRAFT 1'!$B:$B,0)),"")</f>
        <v/>
      </c>
      <c r="U77">
        <f>IFERROR(INDEX('DRAFT 1'!$Q:$Q,MATCH($B77,'DRAFT 1'!$B:$B,0)),"")</f>
        <v/>
      </c>
      <c r="V77">
        <f>IFERROR(INDEX('DRAFT 1'!$R:$R,MATCH($B77,'DRAFT 1'!$B:$B,0)),"")</f>
        <v/>
      </c>
      <c r="W77">
        <f>IFERROR(INDEX('DRAFT 1'!$S:$S,MATCH($B77,'DRAFT 1'!$B:$B,0)),"")</f>
        <v/>
      </c>
      <c r="X77">
        <f>IFERROR(INDEX('DRAFT 1'!$T:$T,MATCH($B77,'DRAFT 1'!$B:$B,0)),"")</f>
        <v/>
      </c>
      <c r="Z77">
        <f>IFERROR(INDEX('DRAFT 1'!$U:$U,MATCH($B77,'DRAFT 1'!$B:$B,0)),"")</f>
        <v/>
      </c>
      <c r="AA77">
        <f>IFERROR(INDEX('DRAFT 1'!$V:$V,MATCH($B77,'DRAFT 1'!$B:$B,0)),"")</f>
        <v/>
      </c>
      <c r="AB77">
        <f>IFERROR(INDEX('DRAFT 1'!$W:$W,MATCH($B77,'DRAFT 1'!$B:$B,0)),"")</f>
        <v/>
      </c>
      <c r="AC77">
        <f>IFERROR(INDEX('DRAFT 1'!$X:$X,MATCH($B77,'DRAFT 1'!$B:$B,0)),"")</f>
        <v/>
      </c>
      <c r="AD77">
        <f>IFERROR(INDEX('DRAFT 1'!$Y:$Y,MATCH($B77,'DRAFT 1'!$B:$B,0)),"")</f>
        <v/>
      </c>
      <c r="AE77">
        <f>IFERROR(INDEX('DRAFT 1'!$Z:$Z,MATCH($B77,'DRAFT 1'!$B:$B,0)),"")</f>
        <v/>
      </c>
      <c r="AF77">
        <f>IFERROR(INDEX('DRAFT 1'!$AA:$AA,MATCH($B77,'DRAFT 1'!$B:$B,0)),"")</f>
        <v/>
      </c>
      <c r="AG77">
        <f>IFERROR(INDEX('DRAFT 1'!$AB:$AB,MATCH($B77,'DRAFT 1'!$B:$B,0)),"")</f>
        <v/>
      </c>
      <c r="AH77">
        <f>IFERROR(INDEX('DRAFT 1'!$AC:$AC,MATCH($B77,'DRAFT 1'!$B:$B,0)),"")</f>
        <v/>
      </c>
      <c r="AI77">
        <f>IFERROR(INDEX('DRAFT 1'!$AD:$AD,MATCH($B77,'DRAFT 1'!$B:$B,0)),"")</f>
        <v/>
      </c>
      <c r="AJ77">
        <f>IFERROR(INDEX('DRAFT 1'!$AE:$AE,MATCH($B77,'DRAFT 1'!$B:$B,0)),"")</f>
        <v/>
      </c>
      <c r="AK77">
        <f>IFERROR(INDEX('DRAFT 1'!$AG:$AG,MATCH($B77,'DRAFT 1'!$B:$B,0)),"")</f>
        <v/>
      </c>
      <c r="AL77">
        <f>IFERROR(INDEX('DRAFT 1'!$AH:$AH,MATCH($B77,'DRAFT 1'!$B:$B,0)),"")</f>
        <v/>
      </c>
      <c r="AM77">
        <f>IFERROR(INDEX('DRAFT 1'!$AI:$AI,MATCH($B77,'DRAFT 1'!$B:$B,0)),"")</f>
        <v/>
      </c>
      <c r="AN77">
        <f>IFERROR(INDEX('DRAFT 1'!$AJ:$AJ,MATCH($B77,'DRAFT 1'!$B:$B,0)),"")</f>
        <v/>
      </c>
      <c r="AO77">
        <f>IFERROR(Y77/AN77,0)</f>
        <v/>
      </c>
      <c r="AP77">
        <f>IFERROR(INDEX('DRAFT 1'!$AK:$AK,MATCH($B77,'DRAFT 1'!$B:$B,0)),"")</f>
        <v/>
      </c>
      <c r="AR77" t="inlineStr">
        <is>
          <t>EM ATENDIMENTO</t>
        </is>
      </c>
      <c r="AS77">
        <f>IFERROR(LOOKUP(2,1/('DRAFT 2'!$D:$D=$B77),'DRAFT 2'!$T:$T),"")</f>
        <v/>
      </c>
      <c r="AT77">
        <f>IFERROR(LOOKUP(2,1/('DRAFT 2'!$D:$D=$B77),'DRAFT 2'!$A:$A),"")</f>
        <v/>
      </c>
      <c r="AU77">
        <f>IFERROR(LOOKUP(2,1/('DRAFT 2'!$D:$D=$B77),'DRAFT 2'!$R:$R),"")</f>
        <v/>
      </c>
      <c r="AV77">
        <f>IFERROR(LOOKUP(2,1/('DRAFT 2'!$D:$D=$B77),'DRAFT 2'!$S:$S),"")</f>
        <v/>
      </c>
      <c r="AW77" t="inlineStr">
        <is>
          <t>RECORRENTE</t>
        </is>
      </c>
      <c r="AX77">
        <f>IFERROR(LOOKUP(2,1/('DRAFT 2'!$D:$D=$B77),'DRAFT 2'!$M:$M),"")</f>
        <v/>
      </c>
      <c r="AY77">
        <f>IFERROR(LOOKUP(2,1/('DRAFT 2'!$D:$D=$B77),'DRAFT 2'!$K:$K),"")</f>
        <v/>
      </c>
      <c r="BG77">
        <f>IFERROR(LOOKUP(2,1/('DRAFT 2'!$D:$D=$B77),'DRAFT 2'!$U:$U),"")</f>
        <v/>
      </c>
      <c r="BH77">
        <f>IFERROR(LOOKUP(2,1/('DRAFT 2'!$D:$D=$B77),'DRAFT 2'!$V:$V),"")</f>
        <v/>
      </c>
      <c r="CE77">
        <f>IFERROR(AJ77,0)</f>
        <v/>
      </c>
      <c r="CF77">
        <f>IFERROR(LOOKUP(2,1/('DRAFT 2'!$D:$D=$B77)*('DRAFT 2'!$A:$A&gt;=DATE(2026,1,1))*('DRAFT 2'!$A:$A&lt;DATE(2026,IF(1=12,1+1,1+1),1)),'DRAFT 2'!$A:$A),"")</f>
        <v/>
      </c>
      <c r="CG77">
        <f>COUNTIFS('DRAFT 2'!$D:$D,$B77,'DRAFT 2'!$A:$A,"&gt;="&amp;DATE(2026,1,1),'DRAFT 2'!$A:$A,"&lt;="&amp;DATE(2026,1,7))</f>
        <v/>
      </c>
      <c r="CH77">
        <f>COUNTIFS('DRAFT 2'!$D:$D,$B77,'DRAFT 2'!$A:$A,"&gt;="&amp;DATE(2026,1,8),'DRAFT 2'!$A:$A,"&lt;="&amp;DATE(2026,1,14))</f>
        <v/>
      </c>
      <c r="CI77">
        <f>COUNTIFS('DRAFT 2'!$D:$D,$B77,'DRAFT 2'!$A:$A,"&gt;="&amp;DATE(2026,1,15),'DRAFT 2'!$A:$A,"&lt;="&amp;DATE(2026,1,21))</f>
        <v/>
      </c>
      <c r="CJ77">
        <f>COUNTIFS('DRAFT 2'!$D:$D,$B77,'DRAFT 2'!$A:$A,"&gt;="&amp;DATE(2026,1,22),'DRAFT 2'!$A:$A,"&lt;"&amp;DATE(2026,IF(1=12,1+1,1+1),1))</f>
        <v/>
      </c>
      <c r="CK77">
        <f>SUM(CG77:CJ77)</f>
        <v/>
      </c>
      <c r="CT77" t="n">
        <v>0</v>
      </c>
      <c r="CU77">
        <f>IFERROR(LOOKUP(2,1/('DRAFT 2'!$D:$D=$B77)*('DRAFT 2'!$A:$A&gt;=DATE(2026,2,1))*('DRAFT 2'!$A:$A&lt;DATE(2026,IF(2=12,2+1,2+1),1)),'DRAFT 2'!$A:$A),"")</f>
        <v/>
      </c>
      <c r="CV77">
        <f>COUNTIFS('DRAFT 2'!$D:$D,$B77,'DRAFT 2'!$A:$A,"&gt;="&amp;DATE(2026,2,1),'DRAFT 2'!$A:$A,"&lt;="&amp;DATE(2026,2,7))</f>
        <v/>
      </c>
      <c r="CW77">
        <f>COUNTIFS('DRAFT 2'!$D:$D,$B77,'DRAFT 2'!$A:$A,"&gt;="&amp;DATE(2026,2,8),'DRAFT 2'!$A:$A,"&lt;="&amp;DATE(2026,2,14))</f>
        <v/>
      </c>
      <c r="CX77">
        <f>COUNTIFS('DRAFT 2'!$D:$D,$B77,'DRAFT 2'!$A:$A,"&gt;="&amp;DATE(2026,2,15),'DRAFT 2'!$A:$A,"&lt;="&amp;DATE(2026,2,21))</f>
        <v/>
      </c>
      <c r="CY77">
        <f>COUNTIFS('DRAFT 2'!$D:$D,$B77,'DRAFT 2'!$A:$A,"&gt;="&amp;DATE(2026,2,22),'DRAFT 2'!$A:$A,"&lt;"&amp;DATE(2026,IF(2=12,2+1,2+1),1))</f>
        <v/>
      </c>
      <c r="CZ77">
        <f>SUM(CV77:CY77)</f>
        <v/>
      </c>
      <c r="DJ77">
        <f>IFERROR(LOOKUP(2,1/('DRAFT 2'!$D:$D=$B77)*('DRAFT 2'!$A:$A&gt;=DATE(2026,3,1))*('DRAFT 2'!$A:$A&lt;DATE(2026,IF(3=12,3+1,3+1),1)),'DRAFT 2'!$A:$A),"")</f>
        <v/>
      </c>
      <c r="DK77">
        <f>COUNTIFS('DRAFT 2'!$D:$D,$B77,'DRAFT 2'!$A:$A,"&gt;="&amp;DATE(2026,3,1),'DRAFT 2'!$A:$A,"&lt;="&amp;DATE(2026,3,7))</f>
        <v/>
      </c>
      <c r="DL77">
        <f>COUNTIFS('DRAFT 2'!$D:$D,$B77,'DRAFT 2'!$A:$A,"&gt;="&amp;DATE(2026,3,8),'DRAFT 2'!$A:$A,"&lt;="&amp;DATE(2026,3,14))</f>
        <v/>
      </c>
      <c r="DM77">
        <f>COUNTIFS('DRAFT 2'!$D:$D,$B77,'DRAFT 2'!$A:$A,"&gt;="&amp;DATE(2026,3,15),'DRAFT 2'!$A:$A,"&lt;="&amp;DATE(2026,3,21))</f>
        <v/>
      </c>
      <c r="DN77">
        <f>COUNTIFS('DRAFT 2'!$D:$D,$B77,'DRAFT 2'!$A:$A,"&gt;="&amp;DATE(2026,3,22),'DRAFT 2'!$A:$A,"&lt;"&amp;DATE(2026,IF(3=12,3+1,3+1),1))</f>
        <v/>
      </c>
      <c r="DO77">
        <f>SUM(DK77:DN77)</f>
        <v/>
      </c>
      <c r="DZ77">
        <f>IFERROR(LOOKUP(2,1/('DRAFT 2'!$D:$D=$B77)*('DRAFT 2'!$A:$A&gt;=DATE(2026,4,1))*('DRAFT 2'!$A:$A&lt;DATE(2026,IF(4=12,4+1,4+1),1)),'DRAFT 2'!$A:$A),"")</f>
        <v/>
      </c>
      <c r="EA77">
        <f>COUNTIFS('DRAFT 2'!$D:$D,$B77,'DRAFT 2'!$A:$A,"&gt;="&amp;DATE(2026,4,1),'DRAFT 2'!$A:$A,"&lt;="&amp;DATE(2026,4,7))</f>
        <v/>
      </c>
      <c r="EB77">
        <f>COUNTIFS('DRAFT 2'!$D:$D,$B77,'DRAFT 2'!$A:$A,"&gt;="&amp;DATE(2026,4,8),'DRAFT 2'!$A:$A,"&lt;="&amp;DATE(2026,4,14))</f>
        <v/>
      </c>
      <c r="EC77">
        <f>COUNTIFS('DRAFT 2'!$D:$D,$B77,'DRAFT 2'!$A:$A,"&gt;="&amp;DATE(2026,4,15),'DRAFT 2'!$A:$A,"&lt;="&amp;DATE(2026,4,21))</f>
        <v/>
      </c>
      <c r="ED77">
        <f>COUNTIFS('DRAFT 2'!$D:$D,$B77,'DRAFT 2'!$A:$A,"&gt;="&amp;DATE(2026,4,22),'DRAFT 2'!$A:$A,"&lt;"&amp;DATE(2026,IF(4=12,4+1,4+1),1))</f>
        <v/>
      </c>
      <c r="EE77">
        <f>SUM(EA77:ED77)</f>
        <v/>
      </c>
      <c r="EO77">
        <f>IFERROR(LOOKUP(2,1/('DRAFT 2'!$D:$D=$B77)*('DRAFT 2'!$A:$A&gt;=DATE(2026,5,1))*('DRAFT 2'!$A:$A&lt;DATE(2026,IF(5=12,5+1,5+1),1)),'DRAFT 2'!$A:$A),"")</f>
        <v/>
      </c>
      <c r="EP77">
        <f>COUNTIFS('DRAFT 2'!$D:$D,$B77,'DRAFT 2'!$A:$A,"&gt;="&amp;DATE(2026,5,1),'DRAFT 2'!$A:$A,"&lt;="&amp;DATE(2026,5,7))</f>
        <v/>
      </c>
      <c r="EQ77">
        <f>COUNTIFS('DRAFT 2'!$D:$D,$B77,'DRAFT 2'!$A:$A,"&gt;="&amp;DATE(2026,5,8),'DRAFT 2'!$A:$A,"&lt;="&amp;DATE(2026,5,14))</f>
        <v/>
      </c>
      <c r="ER77">
        <f>COUNTIFS('DRAFT 2'!$D:$D,$B77,'DRAFT 2'!$A:$A,"&gt;="&amp;DATE(2026,5,15),'DRAFT 2'!$A:$A,"&lt;="&amp;DATE(2026,5,21))</f>
        <v/>
      </c>
      <c r="ES77">
        <f>COUNTIFS('DRAFT 2'!$D:$D,$B77,'DRAFT 2'!$A:$A,"&gt;="&amp;DATE(2026,5,22),'DRAFT 2'!$A:$A,"&lt;"&amp;DATE(2026,IF(5=12,5+1,5+1),1))</f>
        <v/>
      </c>
      <c r="ET77">
        <f>SUM(EP77:ES77)</f>
        <v/>
      </c>
      <c r="FD77">
        <f>IFERROR(LOOKUP(2,1/('DRAFT 2'!$D:$D=$B77)*('DRAFT 2'!$A:$A&gt;=DATE(2026,6,1))*('DRAFT 2'!$A:$A&lt;DATE(2026,IF(6=12,6+1,6+1),1)),'DRAFT 2'!$A:$A),"")</f>
        <v/>
      </c>
      <c r="FE77">
        <f>COUNTIFS('DRAFT 2'!$D:$D,$B77,'DRAFT 2'!$A:$A,"&gt;="&amp;DATE(2026,6,1),'DRAFT 2'!$A:$A,"&lt;="&amp;DATE(2026,6,7))</f>
        <v/>
      </c>
      <c r="FF77">
        <f>COUNTIFS('DRAFT 2'!$D:$D,$B77,'DRAFT 2'!$A:$A,"&gt;="&amp;DATE(2026,6,8),'DRAFT 2'!$A:$A,"&lt;="&amp;DATE(2026,6,14))</f>
        <v/>
      </c>
      <c r="FG77">
        <f>COUNTIFS('DRAFT 2'!$D:$D,$B77,'DRAFT 2'!$A:$A,"&gt;="&amp;DATE(2026,6,15),'DRAFT 2'!$A:$A,"&lt;="&amp;DATE(2026,6,21))</f>
        <v/>
      </c>
      <c r="FH77">
        <f>COUNTIFS('DRAFT 2'!$D:$D,$B77,'DRAFT 2'!$A:$A,"&gt;="&amp;DATE(2026,6,22),'DRAFT 2'!$A:$A,"&lt;"&amp;DATE(2026,IF(6=12,6+1,6+1),1))</f>
        <v/>
      </c>
      <c r="FI77">
        <f>SUM(FE77:FH77)</f>
        <v/>
      </c>
      <c r="FT77">
        <f>IFERROR(LOOKUP(2,1/('DRAFT 2'!$D:$D=$B77)*('DRAFT 2'!$A:$A&gt;=DATE(2026,7,1))*('DRAFT 2'!$A:$A&lt;DATE(2026,IF(7=12,7+1,7+1),1)),'DRAFT 2'!$A:$A),"")</f>
        <v/>
      </c>
      <c r="FU77">
        <f>COUNTIFS('DRAFT 2'!$D:$D,$B77,'DRAFT 2'!$A:$A,"&gt;="&amp;DATE(2026,7,1),'DRAFT 2'!$A:$A,"&lt;="&amp;DATE(2026,7,7))</f>
        <v/>
      </c>
      <c r="FV77">
        <f>COUNTIFS('DRAFT 2'!$D:$D,$B77,'DRAFT 2'!$A:$A,"&gt;="&amp;DATE(2026,7,8),'DRAFT 2'!$A:$A,"&lt;="&amp;DATE(2026,7,14))</f>
        <v/>
      </c>
      <c r="FW77">
        <f>COUNTIFS('DRAFT 2'!$D:$D,$B77,'DRAFT 2'!$A:$A,"&gt;="&amp;DATE(2026,7,15),'DRAFT 2'!$A:$A,"&lt;="&amp;DATE(2026,7,21))</f>
        <v/>
      </c>
      <c r="FX77">
        <f>COUNTIFS('DRAFT 2'!$D:$D,$B77,'DRAFT 2'!$A:$A,"&gt;="&amp;DATE(2026,7,22),'DRAFT 2'!$A:$A,"&lt;"&amp;DATE(2026,IF(7=12,7+1,7+1),1))</f>
        <v/>
      </c>
      <c r="FY77">
        <f>SUM(FU77:FX77)</f>
        <v/>
      </c>
      <c r="GI77">
        <f>IFERROR(LOOKUP(2,1/('DRAFT 2'!$D:$D=$B77)*('DRAFT 2'!$A:$A&gt;=DATE(2026,8,1))*('DRAFT 2'!$A:$A&lt;DATE(2026,IF(8=12,8+1,8+1),1)),'DRAFT 2'!$A:$A),"")</f>
        <v/>
      </c>
      <c r="GJ77">
        <f>COUNTIFS('DRAFT 2'!$D:$D,$B77,'DRAFT 2'!$A:$A,"&gt;="&amp;DATE(2026,8,1),'DRAFT 2'!$A:$A,"&lt;="&amp;DATE(2026,8,7))</f>
        <v/>
      </c>
      <c r="GK77">
        <f>COUNTIFS('DRAFT 2'!$D:$D,$B77,'DRAFT 2'!$A:$A,"&gt;="&amp;DATE(2026,8,8),'DRAFT 2'!$A:$A,"&lt;="&amp;DATE(2026,8,14))</f>
        <v/>
      </c>
      <c r="GL77">
        <f>COUNTIFS('DRAFT 2'!$D:$D,$B77,'DRAFT 2'!$A:$A,"&gt;="&amp;DATE(2026,8,15),'DRAFT 2'!$A:$A,"&lt;="&amp;DATE(2026,8,21))</f>
        <v/>
      </c>
      <c r="GM77">
        <f>COUNTIFS('DRAFT 2'!$D:$D,$B77,'DRAFT 2'!$A:$A,"&gt;="&amp;DATE(2026,8,22),'DRAFT 2'!$A:$A,"&lt;"&amp;DATE(2026,IF(8=12,8+1,8+1),1))</f>
        <v/>
      </c>
      <c r="GN77">
        <f>SUM(GJ77:GM77)</f>
        <v/>
      </c>
      <c r="GX77">
        <f>IFERROR(LOOKUP(2,1/('DRAFT 2'!$D:$D=$B77)*('DRAFT 2'!$A:$A&gt;=DATE(2026,9,1))*('DRAFT 2'!$A:$A&lt;DATE(2026,IF(9=12,9+1,9+1),1)),'DRAFT 2'!$A:$A),"")</f>
        <v/>
      </c>
      <c r="GY77">
        <f>COUNTIFS('DRAFT 2'!$D:$D,$B77,'DRAFT 2'!$A:$A,"&gt;="&amp;DATE(2026,9,1),'DRAFT 2'!$A:$A,"&lt;="&amp;DATE(2026,9,7))</f>
        <v/>
      </c>
      <c r="GZ77">
        <f>COUNTIFS('DRAFT 2'!$D:$D,$B77,'DRAFT 2'!$A:$A,"&gt;="&amp;DATE(2026,9,8),'DRAFT 2'!$A:$A,"&lt;="&amp;DATE(2026,9,14))</f>
        <v/>
      </c>
      <c r="HA77">
        <f>COUNTIFS('DRAFT 2'!$D:$D,$B77,'DRAFT 2'!$A:$A,"&gt;="&amp;DATE(2026,9,15),'DRAFT 2'!$A:$A,"&lt;="&amp;DATE(2026,9,21))</f>
        <v/>
      </c>
      <c r="HB77">
        <f>COUNTIFS('DRAFT 2'!$D:$D,$B77,'DRAFT 2'!$A:$A,"&gt;="&amp;DATE(2026,9,22),'DRAFT 2'!$A:$A,"&lt;"&amp;DATE(2026,IF(9=12,9+1,9+1),1))</f>
        <v/>
      </c>
      <c r="HC77">
        <f>SUM(GY77:HB77)</f>
        <v/>
      </c>
      <c r="HN77">
        <f>IFERROR(LOOKUP(2,1/('DRAFT 2'!$D:$D=$B77)*('DRAFT 2'!$A:$A&gt;=DATE(2026,10,1))*('DRAFT 2'!$A:$A&lt;DATE(2026,IF(10=12,10+1,10+1),1)),'DRAFT 2'!$A:$A),"")</f>
        <v/>
      </c>
      <c r="HO77">
        <f>COUNTIFS('DRAFT 2'!$D:$D,$B77,'DRAFT 2'!$A:$A,"&gt;="&amp;DATE(2026,10,1),'DRAFT 2'!$A:$A,"&lt;="&amp;DATE(2026,10,7))</f>
        <v/>
      </c>
      <c r="HP77">
        <f>COUNTIFS('DRAFT 2'!$D:$D,$B77,'DRAFT 2'!$A:$A,"&gt;="&amp;DATE(2026,10,8),'DRAFT 2'!$A:$A,"&lt;="&amp;DATE(2026,10,14))</f>
        <v/>
      </c>
      <c r="HQ77">
        <f>COUNTIFS('DRAFT 2'!$D:$D,$B77,'DRAFT 2'!$A:$A,"&gt;="&amp;DATE(2026,10,15),'DRAFT 2'!$A:$A,"&lt;="&amp;DATE(2026,10,21))</f>
        <v/>
      </c>
      <c r="HR77">
        <f>COUNTIFS('DRAFT 2'!$D:$D,$B77,'DRAFT 2'!$A:$A,"&gt;="&amp;DATE(2026,10,22),'DRAFT 2'!$A:$A,"&lt;"&amp;DATE(2026,IF(10=12,10+1,10+1),1))</f>
        <v/>
      </c>
      <c r="HS77">
        <f>SUM(HO77:HR77)</f>
        <v/>
      </c>
      <c r="IC77">
        <f>IFERROR(LOOKUP(2,1/('DRAFT 2'!$D:$D=$B77)*('DRAFT 2'!$A:$A&gt;=DATE(2026,11,1))*('DRAFT 2'!$A:$A&lt;DATE(2026,IF(11=12,11+1,11+1),1)),'DRAFT 2'!$A:$A),"")</f>
        <v/>
      </c>
      <c r="ID77">
        <f>COUNTIFS('DRAFT 2'!$D:$D,$B77,'DRAFT 2'!$A:$A,"&gt;="&amp;DATE(2026,11,1),'DRAFT 2'!$A:$A,"&lt;="&amp;DATE(2026,11,7))</f>
        <v/>
      </c>
      <c r="IE77">
        <f>COUNTIFS('DRAFT 2'!$D:$D,$B77,'DRAFT 2'!$A:$A,"&gt;="&amp;DATE(2026,11,8),'DRAFT 2'!$A:$A,"&lt;="&amp;DATE(2026,11,14))</f>
        <v/>
      </c>
      <c r="IF77">
        <f>COUNTIFS('DRAFT 2'!$D:$D,$B77,'DRAFT 2'!$A:$A,"&gt;="&amp;DATE(2026,11,15),'DRAFT 2'!$A:$A,"&lt;="&amp;DATE(2026,11,21))</f>
        <v/>
      </c>
      <c r="IG77">
        <f>COUNTIFS('DRAFT 2'!$D:$D,$B77,'DRAFT 2'!$A:$A,"&gt;="&amp;DATE(2026,11,22),'DRAFT 2'!$A:$A,"&lt;"&amp;DATE(2026,IF(11=12,11+1,11+1),1))</f>
        <v/>
      </c>
      <c r="IH77">
        <f>SUM(ID77:IG77)</f>
        <v/>
      </c>
      <c r="IR77">
        <f>IFERROR(LOOKUP(2,1/('DRAFT 2'!$D:$D=$B77)*('DRAFT 2'!$A:$A&gt;=DATE(2026,12,1))*('DRAFT 2'!$A:$A&lt;DATE(2026,IF(12=12,12+1,12+1),1)),'DRAFT 2'!$A:$A),"")</f>
        <v/>
      </c>
      <c r="IS77">
        <f>COUNTIFS('DRAFT 2'!$D:$D,$B77,'DRAFT 2'!$A:$A,"&gt;="&amp;DATE(2026,12,1),'DRAFT 2'!$A:$A,"&lt;="&amp;DATE(2026,12,7))</f>
        <v/>
      </c>
      <c r="IT77">
        <f>COUNTIFS('DRAFT 2'!$D:$D,$B77,'DRAFT 2'!$A:$A,"&gt;="&amp;DATE(2026,12,8),'DRAFT 2'!$A:$A,"&lt;="&amp;DATE(2026,12,14))</f>
        <v/>
      </c>
      <c r="IU77">
        <f>COUNTIFS('DRAFT 2'!$D:$D,$B77,'DRAFT 2'!$A:$A,"&gt;="&amp;DATE(2026,12,15),'DRAFT 2'!$A:$A,"&lt;="&amp;DATE(2026,12,21))</f>
        <v/>
      </c>
      <c r="IV77">
        <f>COUNTIFS('DRAFT 2'!$D:$D,$B77,'DRAFT 2'!$A:$A,"&gt;="&amp;DATE(2026,12,22),'DRAFT 2'!$A:$A,"&lt;"&amp;DATE(2026,IF(12=12,12+1,12+1),1))</f>
        <v/>
      </c>
      <c r="IW77">
        <f>SUM(IS77:IV77)</f>
        <v/>
      </c>
    </row>
    <row r="78">
      <c r="A78">
        <f>IFERROR(INDEX('DRAFT 1'!$A:$A,MATCH($B78,'DRAFT 1'!$B:$B,0)),"")</f>
        <v/>
      </c>
      <c r="C78">
        <f>IFERROR(INDEX('DRAFT 1'!$C:$C,MATCH($B78,'DRAFT 1'!$B:$B,0)),"")</f>
        <v/>
      </c>
      <c r="D78">
        <f>IFERROR(INDEX('DRAFT 1'!$D:$D,MATCH($B78,'DRAFT 1'!$B:$B,0)),"")</f>
        <v/>
      </c>
      <c r="E78">
        <f>IFERROR(INDEX('DRAFT 1'!$E:$E,MATCH($B78,'DRAFT 1'!$B:$B,0)),"")</f>
        <v/>
      </c>
      <c r="F78">
        <f>IFERROR(INDEX('DRAFT 1'!$F:$F,MATCH($B78,'DRAFT 1'!$B:$B,0)),"")</f>
        <v/>
      </c>
      <c r="G78">
        <f>IFERROR(INDEX('DRAFT 1'!$G:$G,MATCH($B78,'DRAFT 1'!$B:$B,0)),"")</f>
        <v/>
      </c>
      <c r="H78">
        <f>IFERROR(INDEX('DRAFT 1'!$H:$H,MATCH($B78,'DRAFT 1'!$B:$B,0)),"")</f>
        <v/>
      </c>
      <c r="I78" t="inlineStr">
        <is>
          <t>DEMAIS CLIENTES</t>
        </is>
      </c>
      <c r="K78">
        <f>IFERROR(INDEX('DRAFT 1'!$AL:$AL,MATCH($B78,'DRAFT 1'!$B:$B,0)),"")</f>
        <v/>
      </c>
      <c r="L78">
        <f>IFERROR(INDEX('DRAFT 1'!$J:$J,MATCH($B78,'DRAFT 1'!$B:$B,0)),"")</f>
        <v/>
      </c>
      <c r="M78">
        <f>IFERROR(INDEX('DRAFT 1'!$K:$K,MATCH($B78,'DRAFT 1'!$B:$B,0)),"")</f>
        <v/>
      </c>
      <c r="N78" t="inlineStr">
        <is>
          <t>ATIVO</t>
        </is>
      </c>
      <c r="P78">
        <f>IFERROR(INDEX('DRAFT 1'!$L:$L,MATCH($B78,'DRAFT 1'!$B:$B,0)),"")</f>
        <v/>
      </c>
      <c r="Q78">
        <f>IFERROR(INDEX('DRAFT 1'!$M:$M,MATCH($B78,'DRAFT 1'!$B:$B,0)),"")</f>
        <v/>
      </c>
      <c r="R78">
        <f>IFERROR(INDEX('DRAFT 1'!$N:$N,MATCH($B78,'DRAFT 1'!$B:$B,0)),"")</f>
        <v/>
      </c>
      <c r="S78">
        <f>IFERROR(INDEX('DRAFT 1'!$O:$O,MATCH($B78,'DRAFT 1'!$B:$B,0)),"")</f>
        <v/>
      </c>
      <c r="T78">
        <f>IFERROR(INDEX('DRAFT 1'!$P:$P,MATCH($B78,'DRAFT 1'!$B:$B,0)),"")</f>
        <v/>
      </c>
      <c r="U78">
        <f>IFERROR(INDEX('DRAFT 1'!$Q:$Q,MATCH($B78,'DRAFT 1'!$B:$B,0)),"")</f>
        <v/>
      </c>
      <c r="V78">
        <f>IFERROR(INDEX('DRAFT 1'!$R:$R,MATCH($B78,'DRAFT 1'!$B:$B,0)),"")</f>
        <v/>
      </c>
      <c r="W78">
        <f>IFERROR(INDEX('DRAFT 1'!$S:$S,MATCH($B78,'DRAFT 1'!$B:$B,0)),"")</f>
        <v/>
      </c>
      <c r="X78">
        <f>IFERROR(INDEX('DRAFT 1'!$T:$T,MATCH($B78,'DRAFT 1'!$B:$B,0)),"")</f>
        <v/>
      </c>
      <c r="Z78">
        <f>IFERROR(INDEX('DRAFT 1'!$U:$U,MATCH($B78,'DRAFT 1'!$B:$B,0)),"")</f>
        <v/>
      </c>
      <c r="AA78">
        <f>IFERROR(INDEX('DRAFT 1'!$V:$V,MATCH($B78,'DRAFT 1'!$B:$B,0)),"")</f>
        <v/>
      </c>
      <c r="AB78">
        <f>IFERROR(INDEX('DRAFT 1'!$W:$W,MATCH($B78,'DRAFT 1'!$B:$B,0)),"")</f>
        <v/>
      </c>
      <c r="AC78">
        <f>IFERROR(INDEX('DRAFT 1'!$X:$X,MATCH($B78,'DRAFT 1'!$B:$B,0)),"")</f>
        <v/>
      </c>
      <c r="AD78">
        <f>IFERROR(INDEX('DRAFT 1'!$Y:$Y,MATCH($B78,'DRAFT 1'!$B:$B,0)),"")</f>
        <v/>
      </c>
      <c r="AE78">
        <f>IFERROR(INDEX('DRAFT 1'!$Z:$Z,MATCH($B78,'DRAFT 1'!$B:$B,0)),"")</f>
        <v/>
      </c>
      <c r="AF78">
        <f>IFERROR(INDEX('DRAFT 1'!$AA:$AA,MATCH($B78,'DRAFT 1'!$B:$B,0)),"")</f>
        <v/>
      </c>
      <c r="AG78">
        <f>IFERROR(INDEX('DRAFT 1'!$AB:$AB,MATCH($B78,'DRAFT 1'!$B:$B,0)),"")</f>
        <v/>
      </c>
      <c r="AH78">
        <f>IFERROR(INDEX('DRAFT 1'!$AC:$AC,MATCH($B78,'DRAFT 1'!$B:$B,0)),"")</f>
        <v/>
      </c>
      <c r="AI78">
        <f>IFERROR(INDEX('DRAFT 1'!$AD:$AD,MATCH($B78,'DRAFT 1'!$B:$B,0)),"")</f>
        <v/>
      </c>
      <c r="AJ78">
        <f>IFERROR(INDEX('DRAFT 1'!$AE:$AE,MATCH($B78,'DRAFT 1'!$B:$B,0)),"")</f>
        <v/>
      </c>
      <c r="AK78">
        <f>IFERROR(INDEX('DRAFT 1'!$AG:$AG,MATCH($B78,'DRAFT 1'!$B:$B,0)),"")</f>
        <v/>
      </c>
      <c r="AL78">
        <f>IFERROR(INDEX('DRAFT 1'!$AH:$AH,MATCH($B78,'DRAFT 1'!$B:$B,0)),"")</f>
        <v/>
      </c>
      <c r="AM78">
        <f>IFERROR(INDEX('DRAFT 1'!$AI:$AI,MATCH($B78,'DRAFT 1'!$B:$B,0)),"")</f>
        <v/>
      </c>
      <c r="AN78">
        <f>IFERROR(INDEX('DRAFT 1'!$AJ:$AJ,MATCH($B78,'DRAFT 1'!$B:$B,0)),"")</f>
        <v/>
      </c>
      <c r="AO78">
        <f>IFERROR(Y78/AN78,0)</f>
        <v/>
      </c>
      <c r="AP78">
        <f>IFERROR(INDEX('DRAFT 1'!$AK:$AK,MATCH($B78,'DRAFT 1'!$B:$B,0)),"")</f>
        <v/>
      </c>
      <c r="AR78" t="inlineStr">
        <is>
          <t>NUTRIÇÃO</t>
        </is>
      </c>
      <c r="AS78">
        <f>IFERROR(LOOKUP(2,1/('DRAFT 2'!$D:$D=$B78),'DRAFT 2'!$T:$T),"")</f>
        <v/>
      </c>
      <c r="AT78">
        <f>IFERROR(LOOKUP(2,1/('DRAFT 2'!$D:$D=$B78),'DRAFT 2'!$A:$A),"")</f>
        <v/>
      </c>
      <c r="AU78">
        <f>IFERROR(LOOKUP(2,1/('DRAFT 2'!$D:$D=$B78),'DRAFT 2'!$R:$R),"")</f>
        <v/>
      </c>
      <c r="AV78">
        <f>IFERROR(LOOKUP(2,1/('DRAFT 2'!$D:$D=$B78),'DRAFT 2'!$S:$S),"")</f>
        <v/>
      </c>
      <c r="AW78" t="inlineStr">
        <is>
          <t>NOVO</t>
        </is>
      </c>
      <c r="AX78">
        <f>IFERROR(LOOKUP(2,1/('DRAFT 2'!$D:$D=$B78),'DRAFT 2'!$M:$M),"")</f>
        <v/>
      </c>
      <c r="AY78">
        <f>IFERROR(LOOKUP(2,1/('DRAFT 2'!$D:$D=$B78),'DRAFT 2'!$K:$K),"")</f>
        <v/>
      </c>
      <c r="BG78">
        <f>IFERROR(LOOKUP(2,1/('DRAFT 2'!$D:$D=$B78),'DRAFT 2'!$U:$U),"")</f>
        <v/>
      </c>
      <c r="BH78">
        <f>IFERROR(LOOKUP(2,1/('DRAFT 2'!$D:$D=$B78),'DRAFT 2'!$V:$V),"")</f>
        <v/>
      </c>
      <c r="CE78">
        <f>IFERROR(AJ78,0)</f>
        <v/>
      </c>
      <c r="CF78">
        <f>IFERROR(LOOKUP(2,1/('DRAFT 2'!$D:$D=$B78)*('DRAFT 2'!$A:$A&gt;=DATE(2026,1,1))*('DRAFT 2'!$A:$A&lt;DATE(2026,IF(1=12,1+1,1+1),1)),'DRAFT 2'!$A:$A),"")</f>
        <v/>
      </c>
      <c r="CG78">
        <f>COUNTIFS('DRAFT 2'!$D:$D,$B78,'DRAFT 2'!$A:$A,"&gt;="&amp;DATE(2026,1,1),'DRAFT 2'!$A:$A,"&lt;="&amp;DATE(2026,1,7))</f>
        <v/>
      </c>
      <c r="CH78">
        <f>COUNTIFS('DRAFT 2'!$D:$D,$B78,'DRAFT 2'!$A:$A,"&gt;="&amp;DATE(2026,1,8),'DRAFT 2'!$A:$A,"&lt;="&amp;DATE(2026,1,14))</f>
        <v/>
      </c>
      <c r="CI78">
        <f>COUNTIFS('DRAFT 2'!$D:$D,$B78,'DRAFT 2'!$A:$A,"&gt;="&amp;DATE(2026,1,15),'DRAFT 2'!$A:$A,"&lt;="&amp;DATE(2026,1,21))</f>
        <v/>
      </c>
      <c r="CJ78">
        <f>COUNTIFS('DRAFT 2'!$D:$D,$B78,'DRAFT 2'!$A:$A,"&gt;="&amp;DATE(2026,1,22),'DRAFT 2'!$A:$A,"&lt;"&amp;DATE(2026,IF(1=12,1+1,1+1),1))</f>
        <v/>
      </c>
      <c r="CK78">
        <f>SUM(CG78:CJ78)</f>
        <v/>
      </c>
      <c r="CT78" t="n">
        <v>0</v>
      </c>
      <c r="CU78">
        <f>IFERROR(LOOKUP(2,1/('DRAFT 2'!$D:$D=$B78)*('DRAFT 2'!$A:$A&gt;=DATE(2026,2,1))*('DRAFT 2'!$A:$A&lt;DATE(2026,IF(2=12,2+1,2+1),1)),'DRAFT 2'!$A:$A),"")</f>
        <v/>
      </c>
      <c r="CV78">
        <f>COUNTIFS('DRAFT 2'!$D:$D,$B78,'DRAFT 2'!$A:$A,"&gt;="&amp;DATE(2026,2,1),'DRAFT 2'!$A:$A,"&lt;="&amp;DATE(2026,2,7))</f>
        <v/>
      </c>
      <c r="CW78">
        <f>COUNTIFS('DRAFT 2'!$D:$D,$B78,'DRAFT 2'!$A:$A,"&gt;="&amp;DATE(2026,2,8),'DRAFT 2'!$A:$A,"&lt;="&amp;DATE(2026,2,14))</f>
        <v/>
      </c>
      <c r="CX78">
        <f>COUNTIFS('DRAFT 2'!$D:$D,$B78,'DRAFT 2'!$A:$A,"&gt;="&amp;DATE(2026,2,15),'DRAFT 2'!$A:$A,"&lt;="&amp;DATE(2026,2,21))</f>
        <v/>
      </c>
      <c r="CY78">
        <f>COUNTIFS('DRAFT 2'!$D:$D,$B78,'DRAFT 2'!$A:$A,"&gt;="&amp;DATE(2026,2,22),'DRAFT 2'!$A:$A,"&lt;"&amp;DATE(2026,IF(2=12,2+1,2+1),1))</f>
        <v/>
      </c>
      <c r="CZ78">
        <f>SUM(CV78:CY78)</f>
        <v/>
      </c>
      <c r="DJ78">
        <f>IFERROR(LOOKUP(2,1/('DRAFT 2'!$D:$D=$B78)*('DRAFT 2'!$A:$A&gt;=DATE(2026,3,1))*('DRAFT 2'!$A:$A&lt;DATE(2026,IF(3=12,3+1,3+1),1)),'DRAFT 2'!$A:$A),"")</f>
        <v/>
      </c>
      <c r="DK78">
        <f>COUNTIFS('DRAFT 2'!$D:$D,$B78,'DRAFT 2'!$A:$A,"&gt;="&amp;DATE(2026,3,1),'DRAFT 2'!$A:$A,"&lt;="&amp;DATE(2026,3,7))</f>
        <v/>
      </c>
      <c r="DL78">
        <f>COUNTIFS('DRAFT 2'!$D:$D,$B78,'DRAFT 2'!$A:$A,"&gt;="&amp;DATE(2026,3,8),'DRAFT 2'!$A:$A,"&lt;="&amp;DATE(2026,3,14))</f>
        <v/>
      </c>
      <c r="DM78">
        <f>COUNTIFS('DRAFT 2'!$D:$D,$B78,'DRAFT 2'!$A:$A,"&gt;="&amp;DATE(2026,3,15),'DRAFT 2'!$A:$A,"&lt;="&amp;DATE(2026,3,21))</f>
        <v/>
      </c>
      <c r="DN78">
        <f>COUNTIFS('DRAFT 2'!$D:$D,$B78,'DRAFT 2'!$A:$A,"&gt;="&amp;DATE(2026,3,22),'DRAFT 2'!$A:$A,"&lt;"&amp;DATE(2026,IF(3=12,3+1,3+1),1))</f>
        <v/>
      </c>
      <c r="DO78">
        <f>SUM(DK78:DN78)</f>
        <v/>
      </c>
      <c r="DZ78">
        <f>IFERROR(LOOKUP(2,1/('DRAFT 2'!$D:$D=$B78)*('DRAFT 2'!$A:$A&gt;=DATE(2026,4,1))*('DRAFT 2'!$A:$A&lt;DATE(2026,IF(4=12,4+1,4+1),1)),'DRAFT 2'!$A:$A),"")</f>
        <v/>
      </c>
      <c r="EA78">
        <f>COUNTIFS('DRAFT 2'!$D:$D,$B78,'DRAFT 2'!$A:$A,"&gt;="&amp;DATE(2026,4,1),'DRAFT 2'!$A:$A,"&lt;="&amp;DATE(2026,4,7))</f>
        <v/>
      </c>
      <c r="EB78">
        <f>COUNTIFS('DRAFT 2'!$D:$D,$B78,'DRAFT 2'!$A:$A,"&gt;="&amp;DATE(2026,4,8),'DRAFT 2'!$A:$A,"&lt;="&amp;DATE(2026,4,14))</f>
        <v/>
      </c>
      <c r="EC78">
        <f>COUNTIFS('DRAFT 2'!$D:$D,$B78,'DRAFT 2'!$A:$A,"&gt;="&amp;DATE(2026,4,15),'DRAFT 2'!$A:$A,"&lt;="&amp;DATE(2026,4,21))</f>
        <v/>
      </c>
      <c r="ED78">
        <f>COUNTIFS('DRAFT 2'!$D:$D,$B78,'DRAFT 2'!$A:$A,"&gt;="&amp;DATE(2026,4,22),'DRAFT 2'!$A:$A,"&lt;"&amp;DATE(2026,IF(4=12,4+1,4+1),1))</f>
        <v/>
      </c>
      <c r="EE78">
        <f>SUM(EA78:ED78)</f>
        <v/>
      </c>
      <c r="EO78">
        <f>IFERROR(LOOKUP(2,1/('DRAFT 2'!$D:$D=$B78)*('DRAFT 2'!$A:$A&gt;=DATE(2026,5,1))*('DRAFT 2'!$A:$A&lt;DATE(2026,IF(5=12,5+1,5+1),1)),'DRAFT 2'!$A:$A),"")</f>
        <v/>
      </c>
      <c r="EP78">
        <f>COUNTIFS('DRAFT 2'!$D:$D,$B78,'DRAFT 2'!$A:$A,"&gt;="&amp;DATE(2026,5,1),'DRAFT 2'!$A:$A,"&lt;="&amp;DATE(2026,5,7))</f>
        <v/>
      </c>
      <c r="EQ78">
        <f>COUNTIFS('DRAFT 2'!$D:$D,$B78,'DRAFT 2'!$A:$A,"&gt;="&amp;DATE(2026,5,8),'DRAFT 2'!$A:$A,"&lt;="&amp;DATE(2026,5,14))</f>
        <v/>
      </c>
      <c r="ER78">
        <f>COUNTIFS('DRAFT 2'!$D:$D,$B78,'DRAFT 2'!$A:$A,"&gt;="&amp;DATE(2026,5,15),'DRAFT 2'!$A:$A,"&lt;="&amp;DATE(2026,5,21))</f>
        <v/>
      </c>
      <c r="ES78">
        <f>COUNTIFS('DRAFT 2'!$D:$D,$B78,'DRAFT 2'!$A:$A,"&gt;="&amp;DATE(2026,5,22),'DRAFT 2'!$A:$A,"&lt;"&amp;DATE(2026,IF(5=12,5+1,5+1),1))</f>
        <v/>
      </c>
      <c r="ET78">
        <f>SUM(EP78:ES78)</f>
        <v/>
      </c>
      <c r="FD78">
        <f>IFERROR(LOOKUP(2,1/('DRAFT 2'!$D:$D=$B78)*('DRAFT 2'!$A:$A&gt;=DATE(2026,6,1))*('DRAFT 2'!$A:$A&lt;DATE(2026,IF(6=12,6+1,6+1),1)),'DRAFT 2'!$A:$A),"")</f>
        <v/>
      </c>
      <c r="FE78">
        <f>COUNTIFS('DRAFT 2'!$D:$D,$B78,'DRAFT 2'!$A:$A,"&gt;="&amp;DATE(2026,6,1),'DRAFT 2'!$A:$A,"&lt;="&amp;DATE(2026,6,7))</f>
        <v/>
      </c>
      <c r="FF78">
        <f>COUNTIFS('DRAFT 2'!$D:$D,$B78,'DRAFT 2'!$A:$A,"&gt;="&amp;DATE(2026,6,8),'DRAFT 2'!$A:$A,"&lt;="&amp;DATE(2026,6,14))</f>
        <v/>
      </c>
      <c r="FG78">
        <f>COUNTIFS('DRAFT 2'!$D:$D,$B78,'DRAFT 2'!$A:$A,"&gt;="&amp;DATE(2026,6,15),'DRAFT 2'!$A:$A,"&lt;="&amp;DATE(2026,6,21))</f>
        <v/>
      </c>
      <c r="FH78">
        <f>COUNTIFS('DRAFT 2'!$D:$D,$B78,'DRAFT 2'!$A:$A,"&gt;="&amp;DATE(2026,6,22),'DRAFT 2'!$A:$A,"&lt;"&amp;DATE(2026,IF(6=12,6+1,6+1),1))</f>
        <v/>
      </c>
      <c r="FI78">
        <f>SUM(FE78:FH78)</f>
        <v/>
      </c>
      <c r="FT78">
        <f>IFERROR(LOOKUP(2,1/('DRAFT 2'!$D:$D=$B78)*('DRAFT 2'!$A:$A&gt;=DATE(2026,7,1))*('DRAFT 2'!$A:$A&lt;DATE(2026,IF(7=12,7+1,7+1),1)),'DRAFT 2'!$A:$A),"")</f>
        <v/>
      </c>
      <c r="FU78">
        <f>COUNTIFS('DRAFT 2'!$D:$D,$B78,'DRAFT 2'!$A:$A,"&gt;="&amp;DATE(2026,7,1),'DRAFT 2'!$A:$A,"&lt;="&amp;DATE(2026,7,7))</f>
        <v/>
      </c>
      <c r="FV78">
        <f>COUNTIFS('DRAFT 2'!$D:$D,$B78,'DRAFT 2'!$A:$A,"&gt;="&amp;DATE(2026,7,8),'DRAFT 2'!$A:$A,"&lt;="&amp;DATE(2026,7,14))</f>
        <v/>
      </c>
      <c r="FW78">
        <f>COUNTIFS('DRAFT 2'!$D:$D,$B78,'DRAFT 2'!$A:$A,"&gt;="&amp;DATE(2026,7,15),'DRAFT 2'!$A:$A,"&lt;="&amp;DATE(2026,7,21))</f>
        <v/>
      </c>
      <c r="FX78">
        <f>COUNTIFS('DRAFT 2'!$D:$D,$B78,'DRAFT 2'!$A:$A,"&gt;="&amp;DATE(2026,7,22),'DRAFT 2'!$A:$A,"&lt;"&amp;DATE(2026,IF(7=12,7+1,7+1),1))</f>
        <v/>
      </c>
      <c r="FY78">
        <f>SUM(FU78:FX78)</f>
        <v/>
      </c>
      <c r="GI78">
        <f>IFERROR(LOOKUP(2,1/('DRAFT 2'!$D:$D=$B78)*('DRAFT 2'!$A:$A&gt;=DATE(2026,8,1))*('DRAFT 2'!$A:$A&lt;DATE(2026,IF(8=12,8+1,8+1),1)),'DRAFT 2'!$A:$A),"")</f>
        <v/>
      </c>
      <c r="GJ78">
        <f>COUNTIFS('DRAFT 2'!$D:$D,$B78,'DRAFT 2'!$A:$A,"&gt;="&amp;DATE(2026,8,1),'DRAFT 2'!$A:$A,"&lt;="&amp;DATE(2026,8,7))</f>
        <v/>
      </c>
      <c r="GK78">
        <f>COUNTIFS('DRAFT 2'!$D:$D,$B78,'DRAFT 2'!$A:$A,"&gt;="&amp;DATE(2026,8,8),'DRAFT 2'!$A:$A,"&lt;="&amp;DATE(2026,8,14))</f>
        <v/>
      </c>
      <c r="GL78">
        <f>COUNTIFS('DRAFT 2'!$D:$D,$B78,'DRAFT 2'!$A:$A,"&gt;="&amp;DATE(2026,8,15),'DRAFT 2'!$A:$A,"&lt;="&amp;DATE(2026,8,21))</f>
        <v/>
      </c>
      <c r="GM78">
        <f>COUNTIFS('DRAFT 2'!$D:$D,$B78,'DRAFT 2'!$A:$A,"&gt;="&amp;DATE(2026,8,22),'DRAFT 2'!$A:$A,"&lt;"&amp;DATE(2026,IF(8=12,8+1,8+1),1))</f>
        <v/>
      </c>
      <c r="GN78">
        <f>SUM(GJ78:GM78)</f>
        <v/>
      </c>
      <c r="GX78">
        <f>IFERROR(LOOKUP(2,1/('DRAFT 2'!$D:$D=$B78)*('DRAFT 2'!$A:$A&gt;=DATE(2026,9,1))*('DRAFT 2'!$A:$A&lt;DATE(2026,IF(9=12,9+1,9+1),1)),'DRAFT 2'!$A:$A),"")</f>
        <v/>
      </c>
      <c r="GY78">
        <f>COUNTIFS('DRAFT 2'!$D:$D,$B78,'DRAFT 2'!$A:$A,"&gt;="&amp;DATE(2026,9,1),'DRAFT 2'!$A:$A,"&lt;="&amp;DATE(2026,9,7))</f>
        <v/>
      </c>
      <c r="GZ78">
        <f>COUNTIFS('DRAFT 2'!$D:$D,$B78,'DRAFT 2'!$A:$A,"&gt;="&amp;DATE(2026,9,8),'DRAFT 2'!$A:$A,"&lt;="&amp;DATE(2026,9,14))</f>
        <v/>
      </c>
      <c r="HA78">
        <f>COUNTIFS('DRAFT 2'!$D:$D,$B78,'DRAFT 2'!$A:$A,"&gt;="&amp;DATE(2026,9,15),'DRAFT 2'!$A:$A,"&lt;="&amp;DATE(2026,9,21))</f>
        <v/>
      </c>
      <c r="HB78">
        <f>COUNTIFS('DRAFT 2'!$D:$D,$B78,'DRAFT 2'!$A:$A,"&gt;="&amp;DATE(2026,9,22),'DRAFT 2'!$A:$A,"&lt;"&amp;DATE(2026,IF(9=12,9+1,9+1),1))</f>
        <v/>
      </c>
      <c r="HC78">
        <f>SUM(GY78:HB78)</f>
        <v/>
      </c>
      <c r="HN78">
        <f>IFERROR(LOOKUP(2,1/('DRAFT 2'!$D:$D=$B78)*('DRAFT 2'!$A:$A&gt;=DATE(2026,10,1))*('DRAFT 2'!$A:$A&lt;DATE(2026,IF(10=12,10+1,10+1),1)),'DRAFT 2'!$A:$A),"")</f>
        <v/>
      </c>
      <c r="HO78">
        <f>COUNTIFS('DRAFT 2'!$D:$D,$B78,'DRAFT 2'!$A:$A,"&gt;="&amp;DATE(2026,10,1),'DRAFT 2'!$A:$A,"&lt;="&amp;DATE(2026,10,7))</f>
        <v/>
      </c>
      <c r="HP78">
        <f>COUNTIFS('DRAFT 2'!$D:$D,$B78,'DRAFT 2'!$A:$A,"&gt;="&amp;DATE(2026,10,8),'DRAFT 2'!$A:$A,"&lt;="&amp;DATE(2026,10,14))</f>
        <v/>
      </c>
      <c r="HQ78">
        <f>COUNTIFS('DRAFT 2'!$D:$D,$B78,'DRAFT 2'!$A:$A,"&gt;="&amp;DATE(2026,10,15),'DRAFT 2'!$A:$A,"&lt;="&amp;DATE(2026,10,21))</f>
        <v/>
      </c>
      <c r="HR78">
        <f>COUNTIFS('DRAFT 2'!$D:$D,$B78,'DRAFT 2'!$A:$A,"&gt;="&amp;DATE(2026,10,22),'DRAFT 2'!$A:$A,"&lt;"&amp;DATE(2026,IF(10=12,10+1,10+1),1))</f>
        <v/>
      </c>
      <c r="HS78">
        <f>SUM(HO78:HR78)</f>
        <v/>
      </c>
      <c r="IC78">
        <f>IFERROR(LOOKUP(2,1/('DRAFT 2'!$D:$D=$B78)*('DRAFT 2'!$A:$A&gt;=DATE(2026,11,1))*('DRAFT 2'!$A:$A&lt;DATE(2026,IF(11=12,11+1,11+1),1)),'DRAFT 2'!$A:$A),"")</f>
        <v/>
      </c>
      <c r="ID78">
        <f>COUNTIFS('DRAFT 2'!$D:$D,$B78,'DRAFT 2'!$A:$A,"&gt;="&amp;DATE(2026,11,1),'DRAFT 2'!$A:$A,"&lt;="&amp;DATE(2026,11,7))</f>
        <v/>
      </c>
      <c r="IE78">
        <f>COUNTIFS('DRAFT 2'!$D:$D,$B78,'DRAFT 2'!$A:$A,"&gt;="&amp;DATE(2026,11,8),'DRAFT 2'!$A:$A,"&lt;="&amp;DATE(2026,11,14))</f>
        <v/>
      </c>
      <c r="IF78">
        <f>COUNTIFS('DRAFT 2'!$D:$D,$B78,'DRAFT 2'!$A:$A,"&gt;="&amp;DATE(2026,11,15),'DRAFT 2'!$A:$A,"&lt;="&amp;DATE(2026,11,21))</f>
        <v/>
      </c>
      <c r="IG78">
        <f>COUNTIFS('DRAFT 2'!$D:$D,$B78,'DRAFT 2'!$A:$A,"&gt;="&amp;DATE(2026,11,22),'DRAFT 2'!$A:$A,"&lt;"&amp;DATE(2026,IF(11=12,11+1,11+1),1))</f>
        <v/>
      </c>
      <c r="IH78">
        <f>SUM(ID78:IG78)</f>
        <v/>
      </c>
      <c r="IR78">
        <f>IFERROR(LOOKUP(2,1/('DRAFT 2'!$D:$D=$B78)*('DRAFT 2'!$A:$A&gt;=DATE(2026,12,1))*('DRAFT 2'!$A:$A&lt;DATE(2026,IF(12=12,12+1,12+1),1)),'DRAFT 2'!$A:$A),"")</f>
        <v/>
      </c>
      <c r="IS78">
        <f>COUNTIFS('DRAFT 2'!$D:$D,$B78,'DRAFT 2'!$A:$A,"&gt;="&amp;DATE(2026,12,1),'DRAFT 2'!$A:$A,"&lt;="&amp;DATE(2026,12,7))</f>
        <v/>
      </c>
      <c r="IT78">
        <f>COUNTIFS('DRAFT 2'!$D:$D,$B78,'DRAFT 2'!$A:$A,"&gt;="&amp;DATE(2026,12,8),'DRAFT 2'!$A:$A,"&lt;="&amp;DATE(2026,12,14))</f>
        <v/>
      </c>
      <c r="IU78">
        <f>COUNTIFS('DRAFT 2'!$D:$D,$B78,'DRAFT 2'!$A:$A,"&gt;="&amp;DATE(2026,12,15),'DRAFT 2'!$A:$A,"&lt;="&amp;DATE(2026,12,21))</f>
        <v/>
      </c>
      <c r="IV78">
        <f>COUNTIFS('DRAFT 2'!$D:$D,$B78,'DRAFT 2'!$A:$A,"&gt;="&amp;DATE(2026,12,22),'DRAFT 2'!$A:$A,"&lt;"&amp;DATE(2026,IF(12=12,12+1,12+1),1))</f>
        <v/>
      </c>
      <c r="IW78">
        <f>SUM(IS78:IV78)</f>
        <v/>
      </c>
    </row>
    <row r="79">
      <c r="A79">
        <f>IFERROR(INDEX('DRAFT 1'!$A:$A,MATCH($B79,'DRAFT 1'!$B:$B,0)),"")</f>
        <v/>
      </c>
      <c r="C79">
        <f>IFERROR(INDEX('DRAFT 1'!$C:$C,MATCH($B79,'DRAFT 1'!$B:$B,0)),"")</f>
        <v/>
      </c>
      <c r="D79">
        <f>IFERROR(INDEX('DRAFT 1'!$D:$D,MATCH($B79,'DRAFT 1'!$B:$B,0)),"")</f>
        <v/>
      </c>
      <c r="E79">
        <f>IFERROR(INDEX('DRAFT 1'!$E:$E,MATCH($B79,'DRAFT 1'!$B:$B,0)),"")</f>
        <v/>
      </c>
      <c r="F79">
        <f>IFERROR(INDEX('DRAFT 1'!$F:$F,MATCH($B79,'DRAFT 1'!$B:$B,0)),"")</f>
        <v/>
      </c>
      <c r="G79">
        <f>IFERROR(INDEX('DRAFT 1'!$G:$G,MATCH($B79,'DRAFT 1'!$B:$B,0)),"")</f>
        <v/>
      </c>
      <c r="H79">
        <f>IFERROR(INDEX('DRAFT 1'!$H:$H,MATCH($B79,'DRAFT 1'!$B:$B,0)),"")</f>
        <v/>
      </c>
      <c r="I79" t="inlineStr">
        <is>
          <t>MUNDO VERDE</t>
        </is>
      </c>
      <c r="K79">
        <f>IFERROR(INDEX('DRAFT 1'!$AL:$AL,MATCH($B79,'DRAFT 1'!$B:$B,0)),"")</f>
        <v/>
      </c>
      <c r="L79">
        <f>IFERROR(INDEX('DRAFT 1'!$J:$J,MATCH($B79,'DRAFT 1'!$B:$B,0)),"")</f>
        <v/>
      </c>
      <c r="M79">
        <f>IFERROR(INDEX('DRAFT 1'!$K:$K,MATCH($B79,'DRAFT 1'!$B:$B,0)),"")</f>
        <v/>
      </c>
      <c r="N79" t="inlineStr">
        <is>
          <t>ATIVO</t>
        </is>
      </c>
      <c r="P79">
        <f>IFERROR(INDEX('DRAFT 1'!$L:$L,MATCH($B79,'DRAFT 1'!$B:$B,0)),"")</f>
        <v/>
      </c>
      <c r="Q79">
        <f>IFERROR(INDEX('DRAFT 1'!$M:$M,MATCH($B79,'DRAFT 1'!$B:$B,0)),"")</f>
        <v/>
      </c>
      <c r="R79">
        <f>IFERROR(INDEX('DRAFT 1'!$N:$N,MATCH($B79,'DRAFT 1'!$B:$B,0)),"")</f>
        <v/>
      </c>
      <c r="S79">
        <f>IFERROR(INDEX('DRAFT 1'!$O:$O,MATCH($B79,'DRAFT 1'!$B:$B,0)),"")</f>
        <v/>
      </c>
      <c r="T79">
        <f>IFERROR(INDEX('DRAFT 1'!$P:$P,MATCH($B79,'DRAFT 1'!$B:$B,0)),"")</f>
        <v/>
      </c>
      <c r="U79">
        <f>IFERROR(INDEX('DRAFT 1'!$Q:$Q,MATCH($B79,'DRAFT 1'!$B:$B,0)),"")</f>
        <v/>
      </c>
      <c r="V79">
        <f>IFERROR(INDEX('DRAFT 1'!$R:$R,MATCH($B79,'DRAFT 1'!$B:$B,0)),"")</f>
        <v/>
      </c>
      <c r="W79">
        <f>IFERROR(INDEX('DRAFT 1'!$S:$S,MATCH($B79,'DRAFT 1'!$B:$B,0)),"")</f>
        <v/>
      </c>
      <c r="X79">
        <f>IFERROR(INDEX('DRAFT 1'!$T:$T,MATCH($B79,'DRAFT 1'!$B:$B,0)),"")</f>
        <v/>
      </c>
      <c r="Z79">
        <f>IFERROR(INDEX('DRAFT 1'!$U:$U,MATCH($B79,'DRAFT 1'!$B:$B,0)),"")</f>
        <v/>
      </c>
      <c r="AA79">
        <f>IFERROR(INDEX('DRAFT 1'!$V:$V,MATCH($B79,'DRAFT 1'!$B:$B,0)),"")</f>
        <v/>
      </c>
      <c r="AB79">
        <f>IFERROR(INDEX('DRAFT 1'!$W:$W,MATCH($B79,'DRAFT 1'!$B:$B,0)),"")</f>
        <v/>
      </c>
      <c r="AC79">
        <f>IFERROR(INDEX('DRAFT 1'!$X:$X,MATCH($B79,'DRAFT 1'!$B:$B,0)),"")</f>
        <v/>
      </c>
      <c r="AD79">
        <f>IFERROR(INDEX('DRAFT 1'!$Y:$Y,MATCH($B79,'DRAFT 1'!$B:$B,0)),"")</f>
        <v/>
      </c>
      <c r="AE79">
        <f>IFERROR(INDEX('DRAFT 1'!$Z:$Z,MATCH($B79,'DRAFT 1'!$B:$B,0)),"")</f>
        <v/>
      </c>
      <c r="AF79">
        <f>IFERROR(INDEX('DRAFT 1'!$AA:$AA,MATCH($B79,'DRAFT 1'!$B:$B,0)),"")</f>
        <v/>
      </c>
      <c r="AG79">
        <f>IFERROR(INDEX('DRAFT 1'!$AB:$AB,MATCH($B79,'DRAFT 1'!$B:$B,0)),"")</f>
        <v/>
      </c>
      <c r="AH79">
        <f>IFERROR(INDEX('DRAFT 1'!$AC:$AC,MATCH($B79,'DRAFT 1'!$B:$B,0)),"")</f>
        <v/>
      </c>
      <c r="AI79">
        <f>IFERROR(INDEX('DRAFT 1'!$AD:$AD,MATCH($B79,'DRAFT 1'!$B:$B,0)),"")</f>
        <v/>
      </c>
      <c r="AJ79">
        <f>IFERROR(INDEX('DRAFT 1'!$AE:$AE,MATCH($B79,'DRAFT 1'!$B:$B,0)),"")</f>
        <v/>
      </c>
      <c r="AK79">
        <f>IFERROR(INDEX('DRAFT 1'!$AG:$AG,MATCH($B79,'DRAFT 1'!$B:$B,0)),"")</f>
        <v/>
      </c>
      <c r="AL79">
        <f>IFERROR(INDEX('DRAFT 1'!$AH:$AH,MATCH($B79,'DRAFT 1'!$B:$B,0)),"")</f>
        <v/>
      </c>
      <c r="AM79">
        <f>IFERROR(INDEX('DRAFT 1'!$AI:$AI,MATCH($B79,'DRAFT 1'!$B:$B,0)),"")</f>
        <v/>
      </c>
      <c r="AN79">
        <f>IFERROR(INDEX('DRAFT 1'!$AJ:$AJ,MATCH($B79,'DRAFT 1'!$B:$B,0)),"")</f>
        <v/>
      </c>
      <c r="AO79">
        <f>IFERROR(Y79/AN79,0)</f>
        <v/>
      </c>
      <c r="AP79">
        <f>IFERROR(INDEX('DRAFT 1'!$AK:$AK,MATCH($B79,'DRAFT 1'!$B:$B,0)),"")</f>
        <v/>
      </c>
      <c r="AR79" t="inlineStr">
        <is>
          <t>CS</t>
        </is>
      </c>
      <c r="AS79">
        <f>IFERROR(LOOKUP(2,1/('DRAFT 2'!$D:$D=$B79),'DRAFT 2'!$T:$T),"")</f>
        <v/>
      </c>
      <c r="AT79">
        <f>IFERROR(LOOKUP(2,1/('DRAFT 2'!$D:$D=$B79),'DRAFT 2'!$A:$A),"")</f>
        <v/>
      </c>
      <c r="AU79">
        <f>IFERROR(LOOKUP(2,1/('DRAFT 2'!$D:$D=$B79),'DRAFT 2'!$R:$R),"")</f>
        <v/>
      </c>
      <c r="AV79">
        <f>IFERROR(LOOKUP(2,1/('DRAFT 2'!$D:$D=$B79),'DRAFT 2'!$S:$S),"")</f>
        <v/>
      </c>
      <c r="AW79" t="inlineStr">
        <is>
          <t>NOVO</t>
        </is>
      </c>
      <c r="AX79">
        <f>IFERROR(LOOKUP(2,1/('DRAFT 2'!$D:$D=$B79),'DRAFT 2'!$M:$M),"")</f>
        <v/>
      </c>
      <c r="AY79">
        <f>IFERROR(LOOKUP(2,1/('DRAFT 2'!$D:$D=$B79),'DRAFT 2'!$K:$K),"")</f>
        <v/>
      </c>
      <c r="BG79">
        <f>IFERROR(LOOKUP(2,1/('DRAFT 2'!$D:$D=$B79),'DRAFT 2'!$U:$U),"")</f>
        <v/>
      </c>
      <c r="BH79">
        <f>IFERROR(LOOKUP(2,1/('DRAFT 2'!$D:$D=$B79),'DRAFT 2'!$V:$V),"")</f>
        <v/>
      </c>
      <c r="CE79">
        <f>IFERROR(AJ79,0)</f>
        <v/>
      </c>
      <c r="CF79">
        <f>IFERROR(LOOKUP(2,1/('DRAFT 2'!$D:$D=$B79)*('DRAFT 2'!$A:$A&gt;=DATE(2026,1,1))*('DRAFT 2'!$A:$A&lt;DATE(2026,IF(1=12,1+1,1+1),1)),'DRAFT 2'!$A:$A),"")</f>
        <v/>
      </c>
      <c r="CG79">
        <f>COUNTIFS('DRAFT 2'!$D:$D,$B79,'DRAFT 2'!$A:$A,"&gt;="&amp;DATE(2026,1,1),'DRAFT 2'!$A:$A,"&lt;="&amp;DATE(2026,1,7))</f>
        <v/>
      </c>
      <c r="CH79">
        <f>COUNTIFS('DRAFT 2'!$D:$D,$B79,'DRAFT 2'!$A:$A,"&gt;="&amp;DATE(2026,1,8),'DRAFT 2'!$A:$A,"&lt;="&amp;DATE(2026,1,14))</f>
        <v/>
      </c>
      <c r="CI79">
        <f>COUNTIFS('DRAFT 2'!$D:$D,$B79,'DRAFT 2'!$A:$A,"&gt;="&amp;DATE(2026,1,15),'DRAFT 2'!$A:$A,"&lt;="&amp;DATE(2026,1,21))</f>
        <v/>
      </c>
      <c r="CJ79">
        <f>COUNTIFS('DRAFT 2'!$D:$D,$B79,'DRAFT 2'!$A:$A,"&gt;="&amp;DATE(2026,1,22),'DRAFT 2'!$A:$A,"&lt;"&amp;DATE(2026,IF(1=12,1+1,1+1),1))</f>
        <v/>
      </c>
      <c r="CK79">
        <f>SUM(CG79:CJ79)</f>
        <v/>
      </c>
      <c r="CT79" t="n">
        <v>0</v>
      </c>
      <c r="CU79">
        <f>IFERROR(LOOKUP(2,1/('DRAFT 2'!$D:$D=$B79)*('DRAFT 2'!$A:$A&gt;=DATE(2026,2,1))*('DRAFT 2'!$A:$A&lt;DATE(2026,IF(2=12,2+1,2+1),1)),'DRAFT 2'!$A:$A),"")</f>
        <v/>
      </c>
      <c r="CV79">
        <f>COUNTIFS('DRAFT 2'!$D:$D,$B79,'DRAFT 2'!$A:$A,"&gt;="&amp;DATE(2026,2,1),'DRAFT 2'!$A:$A,"&lt;="&amp;DATE(2026,2,7))</f>
        <v/>
      </c>
      <c r="CW79">
        <f>COUNTIFS('DRAFT 2'!$D:$D,$B79,'DRAFT 2'!$A:$A,"&gt;="&amp;DATE(2026,2,8),'DRAFT 2'!$A:$A,"&lt;="&amp;DATE(2026,2,14))</f>
        <v/>
      </c>
      <c r="CX79">
        <f>COUNTIFS('DRAFT 2'!$D:$D,$B79,'DRAFT 2'!$A:$A,"&gt;="&amp;DATE(2026,2,15),'DRAFT 2'!$A:$A,"&lt;="&amp;DATE(2026,2,21))</f>
        <v/>
      </c>
      <c r="CY79">
        <f>COUNTIFS('DRAFT 2'!$D:$D,$B79,'DRAFT 2'!$A:$A,"&gt;="&amp;DATE(2026,2,22),'DRAFT 2'!$A:$A,"&lt;"&amp;DATE(2026,IF(2=12,2+1,2+1),1))</f>
        <v/>
      </c>
      <c r="CZ79">
        <f>SUM(CV79:CY79)</f>
        <v/>
      </c>
      <c r="DJ79">
        <f>IFERROR(LOOKUP(2,1/('DRAFT 2'!$D:$D=$B79)*('DRAFT 2'!$A:$A&gt;=DATE(2026,3,1))*('DRAFT 2'!$A:$A&lt;DATE(2026,IF(3=12,3+1,3+1),1)),'DRAFT 2'!$A:$A),"")</f>
        <v/>
      </c>
      <c r="DK79">
        <f>COUNTIFS('DRAFT 2'!$D:$D,$B79,'DRAFT 2'!$A:$A,"&gt;="&amp;DATE(2026,3,1),'DRAFT 2'!$A:$A,"&lt;="&amp;DATE(2026,3,7))</f>
        <v/>
      </c>
      <c r="DL79">
        <f>COUNTIFS('DRAFT 2'!$D:$D,$B79,'DRAFT 2'!$A:$A,"&gt;="&amp;DATE(2026,3,8),'DRAFT 2'!$A:$A,"&lt;="&amp;DATE(2026,3,14))</f>
        <v/>
      </c>
      <c r="DM79">
        <f>COUNTIFS('DRAFT 2'!$D:$D,$B79,'DRAFT 2'!$A:$A,"&gt;="&amp;DATE(2026,3,15),'DRAFT 2'!$A:$A,"&lt;="&amp;DATE(2026,3,21))</f>
        <v/>
      </c>
      <c r="DN79">
        <f>COUNTIFS('DRAFT 2'!$D:$D,$B79,'DRAFT 2'!$A:$A,"&gt;="&amp;DATE(2026,3,22),'DRAFT 2'!$A:$A,"&lt;"&amp;DATE(2026,IF(3=12,3+1,3+1),1))</f>
        <v/>
      </c>
      <c r="DO79">
        <f>SUM(DK79:DN79)</f>
        <v/>
      </c>
      <c r="DZ79">
        <f>IFERROR(LOOKUP(2,1/('DRAFT 2'!$D:$D=$B79)*('DRAFT 2'!$A:$A&gt;=DATE(2026,4,1))*('DRAFT 2'!$A:$A&lt;DATE(2026,IF(4=12,4+1,4+1),1)),'DRAFT 2'!$A:$A),"")</f>
        <v/>
      </c>
      <c r="EA79">
        <f>COUNTIFS('DRAFT 2'!$D:$D,$B79,'DRAFT 2'!$A:$A,"&gt;="&amp;DATE(2026,4,1),'DRAFT 2'!$A:$A,"&lt;="&amp;DATE(2026,4,7))</f>
        <v/>
      </c>
      <c r="EB79">
        <f>COUNTIFS('DRAFT 2'!$D:$D,$B79,'DRAFT 2'!$A:$A,"&gt;="&amp;DATE(2026,4,8),'DRAFT 2'!$A:$A,"&lt;="&amp;DATE(2026,4,14))</f>
        <v/>
      </c>
      <c r="EC79">
        <f>COUNTIFS('DRAFT 2'!$D:$D,$B79,'DRAFT 2'!$A:$A,"&gt;="&amp;DATE(2026,4,15),'DRAFT 2'!$A:$A,"&lt;="&amp;DATE(2026,4,21))</f>
        <v/>
      </c>
      <c r="ED79">
        <f>COUNTIFS('DRAFT 2'!$D:$D,$B79,'DRAFT 2'!$A:$A,"&gt;="&amp;DATE(2026,4,22),'DRAFT 2'!$A:$A,"&lt;"&amp;DATE(2026,IF(4=12,4+1,4+1),1))</f>
        <v/>
      </c>
      <c r="EE79">
        <f>SUM(EA79:ED79)</f>
        <v/>
      </c>
      <c r="EO79">
        <f>IFERROR(LOOKUP(2,1/('DRAFT 2'!$D:$D=$B79)*('DRAFT 2'!$A:$A&gt;=DATE(2026,5,1))*('DRAFT 2'!$A:$A&lt;DATE(2026,IF(5=12,5+1,5+1),1)),'DRAFT 2'!$A:$A),"")</f>
        <v/>
      </c>
      <c r="EP79">
        <f>COUNTIFS('DRAFT 2'!$D:$D,$B79,'DRAFT 2'!$A:$A,"&gt;="&amp;DATE(2026,5,1),'DRAFT 2'!$A:$A,"&lt;="&amp;DATE(2026,5,7))</f>
        <v/>
      </c>
      <c r="EQ79">
        <f>COUNTIFS('DRAFT 2'!$D:$D,$B79,'DRAFT 2'!$A:$A,"&gt;="&amp;DATE(2026,5,8),'DRAFT 2'!$A:$A,"&lt;="&amp;DATE(2026,5,14))</f>
        <v/>
      </c>
      <c r="ER79">
        <f>COUNTIFS('DRAFT 2'!$D:$D,$B79,'DRAFT 2'!$A:$A,"&gt;="&amp;DATE(2026,5,15),'DRAFT 2'!$A:$A,"&lt;="&amp;DATE(2026,5,21))</f>
        <v/>
      </c>
      <c r="ES79">
        <f>COUNTIFS('DRAFT 2'!$D:$D,$B79,'DRAFT 2'!$A:$A,"&gt;="&amp;DATE(2026,5,22),'DRAFT 2'!$A:$A,"&lt;"&amp;DATE(2026,IF(5=12,5+1,5+1),1))</f>
        <v/>
      </c>
      <c r="ET79">
        <f>SUM(EP79:ES79)</f>
        <v/>
      </c>
      <c r="FD79">
        <f>IFERROR(LOOKUP(2,1/('DRAFT 2'!$D:$D=$B79)*('DRAFT 2'!$A:$A&gt;=DATE(2026,6,1))*('DRAFT 2'!$A:$A&lt;DATE(2026,IF(6=12,6+1,6+1),1)),'DRAFT 2'!$A:$A),"")</f>
        <v/>
      </c>
      <c r="FE79">
        <f>COUNTIFS('DRAFT 2'!$D:$D,$B79,'DRAFT 2'!$A:$A,"&gt;="&amp;DATE(2026,6,1),'DRAFT 2'!$A:$A,"&lt;="&amp;DATE(2026,6,7))</f>
        <v/>
      </c>
      <c r="FF79">
        <f>COUNTIFS('DRAFT 2'!$D:$D,$B79,'DRAFT 2'!$A:$A,"&gt;="&amp;DATE(2026,6,8),'DRAFT 2'!$A:$A,"&lt;="&amp;DATE(2026,6,14))</f>
        <v/>
      </c>
      <c r="FG79">
        <f>COUNTIFS('DRAFT 2'!$D:$D,$B79,'DRAFT 2'!$A:$A,"&gt;="&amp;DATE(2026,6,15),'DRAFT 2'!$A:$A,"&lt;="&amp;DATE(2026,6,21))</f>
        <v/>
      </c>
      <c r="FH79">
        <f>COUNTIFS('DRAFT 2'!$D:$D,$B79,'DRAFT 2'!$A:$A,"&gt;="&amp;DATE(2026,6,22),'DRAFT 2'!$A:$A,"&lt;"&amp;DATE(2026,IF(6=12,6+1,6+1),1))</f>
        <v/>
      </c>
      <c r="FI79">
        <f>SUM(FE79:FH79)</f>
        <v/>
      </c>
      <c r="FT79">
        <f>IFERROR(LOOKUP(2,1/('DRAFT 2'!$D:$D=$B79)*('DRAFT 2'!$A:$A&gt;=DATE(2026,7,1))*('DRAFT 2'!$A:$A&lt;DATE(2026,IF(7=12,7+1,7+1),1)),'DRAFT 2'!$A:$A),"")</f>
        <v/>
      </c>
      <c r="FU79">
        <f>COUNTIFS('DRAFT 2'!$D:$D,$B79,'DRAFT 2'!$A:$A,"&gt;="&amp;DATE(2026,7,1),'DRAFT 2'!$A:$A,"&lt;="&amp;DATE(2026,7,7))</f>
        <v/>
      </c>
      <c r="FV79">
        <f>COUNTIFS('DRAFT 2'!$D:$D,$B79,'DRAFT 2'!$A:$A,"&gt;="&amp;DATE(2026,7,8),'DRAFT 2'!$A:$A,"&lt;="&amp;DATE(2026,7,14))</f>
        <v/>
      </c>
      <c r="FW79">
        <f>COUNTIFS('DRAFT 2'!$D:$D,$B79,'DRAFT 2'!$A:$A,"&gt;="&amp;DATE(2026,7,15),'DRAFT 2'!$A:$A,"&lt;="&amp;DATE(2026,7,21))</f>
        <v/>
      </c>
      <c r="FX79">
        <f>COUNTIFS('DRAFT 2'!$D:$D,$B79,'DRAFT 2'!$A:$A,"&gt;="&amp;DATE(2026,7,22),'DRAFT 2'!$A:$A,"&lt;"&amp;DATE(2026,IF(7=12,7+1,7+1),1))</f>
        <v/>
      </c>
      <c r="FY79">
        <f>SUM(FU79:FX79)</f>
        <v/>
      </c>
      <c r="GI79">
        <f>IFERROR(LOOKUP(2,1/('DRAFT 2'!$D:$D=$B79)*('DRAFT 2'!$A:$A&gt;=DATE(2026,8,1))*('DRAFT 2'!$A:$A&lt;DATE(2026,IF(8=12,8+1,8+1),1)),'DRAFT 2'!$A:$A),"")</f>
        <v/>
      </c>
      <c r="GJ79">
        <f>COUNTIFS('DRAFT 2'!$D:$D,$B79,'DRAFT 2'!$A:$A,"&gt;="&amp;DATE(2026,8,1),'DRAFT 2'!$A:$A,"&lt;="&amp;DATE(2026,8,7))</f>
        <v/>
      </c>
      <c r="GK79">
        <f>COUNTIFS('DRAFT 2'!$D:$D,$B79,'DRAFT 2'!$A:$A,"&gt;="&amp;DATE(2026,8,8),'DRAFT 2'!$A:$A,"&lt;="&amp;DATE(2026,8,14))</f>
        <v/>
      </c>
      <c r="GL79">
        <f>COUNTIFS('DRAFT 2'!$D:$D,$B79,'DRAFT 2'!$A:$A,"&gt;="&amp;DATE(2026,8,15),'DRAFT 2'!$A:$A,"&lt;="&amp;DATE(2026,8,21))</f>
        <v/>
      </c>
      <c r="GM79">
        <f>COUNTIFS('DRAFT 2'!$D:$D,$B79,'DRAFT 2'!$A:$A,"&gt;="&amp;DATE(2026,8,22),'DRAFT 2'!$A:$A,"&lt;"&amp;DATE(2026,IF(8=12,8+1,8+1),1))</f>
        <v/>
      </c>
      <c r="GN79">
        <f>SUM(GJ79:GM79)</f>
        <v/>
      </c>
      <c r="GX79">
        <f>IFERROR(LOOKUP(2,1/('DRAFT 2'!$D:$D=$B79)*('DRAFT 2'!$A:$A&gt;=DATE(2026,9,1))*('DRAFT 2'!$A:$A&lt;DATE(2026,IF(9=12,9+1,9+1),1)),'DRAFT 2'!$A:$A),"")</f>
        <v/>
      </c>
      <c r="GY79">
        <f>COUNTIFS('DRAFT 2'!$D:$D,$B79,'DRAFT 2'!$A:$A,"&gt;="&amp;DATE(2026,9,1),'DRAFT 2'!$A:$A,"&lt;="&amp;DATE(2026,9,7))</f>
        <v/>
      </c>
      <c r="GZ79">
        <f>COUNTIFS('DRAFT 2'!$D:$D,$B79,'DRAFT 2'!$A:$A,"&gt;="&amp;DATE(2026,9,8),'DRAFT 2'!$A:$A,"&lt;="&amp;DATE(2026,9,14))</f>
        <v/>
      </c>
      <c r="HA79">
        <f>COUNTIFS('DRAFT 2'!$D:$D,$B79,'DRAFT 2'!$A:$A,"&gt;="&amp;DATE(2026,9,15),'DRAFT 2'!$A:$A,"&lt;="&amp;DATE(2026,9,21))</f>
        <v/>
      </c>
      <c r="HB79">
        <f>COUNTIFS('DRAFT 2'!$D:$D,$B79,'DRAFT 2'!$A:$A,"&gt;="&amp;DATE(2026,9,22),'DRAFT 2'!$A:$A,"&lt;"&amp;DATE(2026,IF(9=12,9+1,9+1),1))</f>
        <v/>
      </c>
      <c r="HC79">
        <f>SUM(GY79:HB79)</f>
        <v/>
      </c>
      <c r="HN79">
        <f>IFERROR(LOOKUP(2,1/('DRAFT 2'!$D:$D=$B79)*('DRAFT 2'!$A:$A&gt;=DATE(2026,10,1))*('DRAFT 2'!$A:$A&lt;DATE(2026,IF(10=12,10+1,10+1),1)),'DRAFT 2'!$A:$A),"")</f>
        <v/>
      </c>
      <c r="HO79">
        <f>COUNTIFS('DRAFT 2'!$D:$D,$B79,'DRAFT 2'!$A:$A,"&gt;="&amp;DATE(2026,10,1),'DRAFT 2'!$A:$A,"&lt;="&amp;DATE(2026,10,7))</f>
        <v/>
      </c>
      <c r="HP79">
        <f>COUNTIFS('DRAFT 2'!$D:$D,$B79,'DRAFT 2'!$A:$A,"&gt;="&amp;DATE(2026,10,8),'DRAFT 2'!$A:$A,"&lt;="&amp;DATE(2026,10,14))</f>
        <v/>
      </c>
      <c r="HQ79">
        <f>COUNTIFS('DRAFT 2'!$D:$D,$B79,'DRAFT 2'!$A:$A,"&gt;="&amp;DATE(2026,10,15),'DRAFT 2'!$A:$A,"&lt;="&amp;DATE(2026,10,21))</f>
        <v/>
      </c>
      <c r="HR79">
        <f>COUNTIFS('DRAFT 2'!$D:$D,$B79,'DRAFT 2'!$A:$A,"&gt;="&amp;DATE(2026,10,22),'DRAFT 2'!$A:$A,"&lt;"&amp;DATE(2026,IF(10=12,10+1,10+1),1))</f>
        <v/>
      </c>
      <c r="HS79">
        <f>SUM(HO79:HR79)</f>
        <v/>
      </c>
      <c r="IC79">
        <f>IFERROR(LOOKUP(2,1/('DRAFT 2'!$D:$D=$B79)*('DRAFT 2'!$A:$A&gt;=DATE(2026,11,1))*('DRAFT 2'!$A:$A&lt;DATE(2026,IF(11=12,11+1,11+1),1)),'DRAFT 2'!$A:$A),"")</f>
        <v/>
      </c>
      <c r="ID79">
        <f>COUNTIFS('DRAFT 2'!$D:$D,$B79,'DRAFT 2'!$A:$A,"&gt;="&amp;DATE(2026,11,1),'DRAFT 2'!$A:$A,"&lt;="&amp;DATE(2026,11,7))</f>
        <v/>
      </c>
      <c r="IE79">
        <f>COUNTIFS('DRAFT 2'!$D:$D,$B79,'DRAFT 2'!$A:$A,"&gt;="&amp;DATE(2026,11,8),'DRAFT 2'!$A:$A,"&lt;="&amp;DATE(2026,11,14))</f>
        <v/>
      </c>
      <c r="IF79">
        <f>COUNTIFS('DRAFT 2'!$D:$D,$B79,'DRAFT 2'!$A:$A,"&gt;="&amp;DATE(2026,11,15),'DRAFT 2'!$A:$A,"&lt;="&amp;DATE(2026,11,21))</f>
        <v/>
      </c>
      <c r="IG79">
        <f>COUNTIFS('DRAFT 2'!$D:$D,$B79,'DRAFT 2'!$A:$A,"&gt;="&amp;DATE(2026,11,22),'DRAFT 2'!$A:$A,"&lt;"&amp;DATE(2026,IF(11=12,11+1,11+1),1))</f>
        <v/>
      </c>
      <c r="IH79">
        <f>SUM(ID79:IG79)</f>
        <v/>
      </c>
      <c r="IR79">
        <f>IFERROR(LOOKUP(2,1/('DRAFT 2'!$D:$D=$B79)*('DRAFT 2'!$A:$A&gt;=DATE(2026,12,1))*('DRAFT 2'!$A:$A&lt;DATE(2026,IF(12=12,12+1,12+1),1)),'DRAFT 2'!$A:$A),"")</f>
        <v/>
      </c>
      <c r="IS79">
        <f>COUNTIFS('DRAFT 2'!$D:$D,$B79,'DRAFT 2'!$A:$A,"&gt;="&amp;DATE(2026,12,1),'DRAFT 2'!$A:$A,"&lt;="&amp;DATE(2026,12,7))</f>
        <v/>
      </c>
      <c r="IT79">
        <f>COUNTIFS('DRAFT 2'!$D:$D,$B79,'DRAFT 2'!$A:$A,"&gt;="&amp;DATE(2026,12,8),'DRAFT 2'!$A:$A,"&lt;="&amp;DATE(2026,12,14))</f>
        <v/>
      </c>
      <c r="IU79">
        <f>COUNTIFS('DRAFT 2'!$D:$D,$B79,'DRAFT 2'!$A:$A,"&gt;="&amp;DATE(2026,12,15),'DRAFT 2'!$A:$A,"&lt;="&amp;DATE(2026,12,21))</f>
        <v/>
      </c>
      <c r="IV79">
        <f>COUNTIFS('DRAFT 2'!$D:$D,$B79,'DRAFT 2'!$A:$A,"&gt;="&amp;DATE(2026,12,22),'DRAFT 2'!$A:$A,"&lt;"&amp;DATE(2026,IF(12=12,12+1,12+1),1))</f>
        <v/>
      </c>
      <c r="IW79">
        <f>SUM(IS79:IV79)</f>
        <v/>
      </c>
    </row>
    <row r="80">
      <c r="A80">
        <f>IFERROR(INDEX('DRAFT 1'!$A:$A,MATCH($B80,'DRAFT 1'!$B:$B,0)),"")</f>
        <v/>
      </c>
      <c r="C80">
        <f>IFERROR(INDEX('DRAFT 1'!$C:$C,MATCH($B80,'DRAFT 1'!$B:$B,0)),"")</f>
        <v/>
      </c>
      <c r="D80">
        <f>IFERROR(INDEX('DRAFT 1'!$D:$D,MATCH($B80,'DRAFT 1'!$B:$B,0)),"")</f>
        <v/>
      </c>
      <c r="E80">
        <f>IFERROR(INDEX('DRAFT 1'!$E:$E,MATCH($B80,'DRAFT 1'!$B:$B,0)),"")</f>
        <v/>
      </c>
      <c r="F80">
        <f>IFERROR(INDEX('DRAFT 1'!$F:$F,MATCH($B80,'DRAFT 1'!$B:$B,0)),"")</f>
        <v/>
      </c>
      <c r="G80">
        <f>IFERROR(INDEX('DRAFT 1'!$G:$G,MATCH($B80,'DRAFT 1'!$B:$B,0)),"")</f>
        <v/>
      </c>
      <c r="H80">
        <f>IFERROR(INDEX('DRAFT 1'!$H:$H,MATCH($B80,'DRAFT 1'!$B:$B,0)),"")</f>
        <v/>
      </c>
      <c r="I80" t="inlineStr">
        <is>
          <t>TUDO EM GRAOS</t>
        </is>
      </c>
      <c r="K80">
        <f>IFERROR(INDEX('DRAFT 1'!$AL:$AL,MATCH($B80,'DRAFT 1'!$B:$B,0)),"")</f>
        <v/>
      </c>
      <c r="L80">
        <f>IFERROR(INDEX('DRAFT 1'!$J:$J,MATCH($B80,'DRAFT 1'!$B:$B,0)),"")</f>
        <v/>
      </c>
      <c r="M80">
        <f>IFERROR(INDEX('DRAFT 1'!$K:$K,MATCH($B80,'DRAFT 1'!$B:$B,0)),"")</f>
        <v/>
      </c>
      <c r="N80" t="inlineStr">
        <is>
          <t>INAT.REC</t>
        </is>
      </c>
      <c r="P80">
        <f>IFERROR(INDEX('DRAFT 1'!$L:$L,MATCH($B80,'DRAFT 1'!$B:$B,0)),"")</f>
        <v/>
      </c>
      <c r="Q80">
        <f>IFERROR(INDEX('DRAFT 1'!$M:$M,MATCH($B80,'DRAFT 1'!$B:$B,0)),"")</f>
        <v/>
      </c>
      <c r="R80">
        <f>IFERROR(INDEX('DRAFT 1'!$N:$N,MATCH($B80,'DRAFT 1'!$B:$B,0)),"")</f>
        <v/>
      </c>
      <c r="S80">
        <f>IFERROR(INDEX('DRAFT 1'!$O:$O,MATCH($B80,'DRAFT 1'!$B:$B,0)),"")</f>
        <v/>
      </c>
      <c r="T80">
        <f>IFERROR(INDEX('DRAFT 1'!$P:$P,MATCH($B80,'DRAFT 1'!$B:$B,0)),"")</f>
        <v/>
      </c>
      <c r="U80">
        <f>IFERROR(INDEX('DRAFT 1'!$Q:$Q,MATCH($B80,'DRAFT 1'!$B:$B,0)),"")</f>
        <v/>
      </c>
      <c r="V80">
        <f>IFERROR(INDEX('DRAFT 1'!$R:$R,MATCH($B80,'DRAFT 1'!$B:$B,0)),"")</f>
        <v/>
      </c>
      <c r="W80">
        <f>IFERROR(INDEX('DRAFT 1'!$S:$S,MATCH($B80,'DRAFT 1'!$B:$B,0)),"")</f>
        <v/>
      </c>
      <c r="X80">
        <f>IFERROR(INDEX('DRAFT 1'!$T:$T,MATCH($B80,'DRAFT 1'!$B:$B,0)),"")</f>
        <v/>
      </c>
      <c r="Z80">
        <f>IFERROR(INDEX('DRAFT 1'!$U:$U,MATCH($B80,'DRAFT 1'!$B:$B,0)),"")</f>
        <v/>
      </c>
      <c r="AA80">
        <f>IFERROR(INDEX('DRAFT 1'!$V:$V,MATCH($B80,'DRAFT 1'!$B:$B,0)),"")</f>
        <v/>
      </c>
      <c r="AB80">
        <f>IFERROR(INDEX('DRAFT 1'!$W:$W,MATCH($B80,'DRAFT 1'!$B:$B,0)),"")</f>
        <v/>
      </c>
      <c r="AC80">
        <f>IFERROR(INDEX('DRAFT 1'!$X:$X,MATCH($B80,'DRAFT 1'!$B:$B,0)),"")</f>
        <v/>
      </c>
      <c r="AD80">
        <f>IFERROR(INDEX('DRAFT 1'!$Y:$Y,MATCH($B80,'DRAFT 1'!$B:$B,0)),"")</f>
        <v/>
      </c>
      <c r="AE80">
        <f>IFERROR(INDEX('DRAFT 1'!$Z:$Z,MATCH($B80,'DRAFT 1'!$B:$B,0)),"")</f>
        <v/>
      </c>
      <c r="AF80">
        <f>IFERROR(INDEX('DRAFT 1'!$AA:$AA,MATCH($B80,'DRAFT 1'!$B:$B,0)),"")</f>
        <v/>
      </c>
      <c r="AG80">
        <f>IFERROR(INDEX('DRAFT 1'!$AB:$AB,MATCH($B80,'DRAFT 1'!$B:$B,0)),"")</f>
        <v/>
      </c>
      <c r="AH80">
        <f>IFERROR(INDEX('DRAFT 1'!$AC:$AC,MATCH($B80,'DRAFT 1'!$B:$B,0)),"")</f>
        <v/>
      </c>
      <c r="AI80">
        <f>IFERROR(INDEX('DRAFT 1'!$AD:$AD,MATCH($B80,'DRAFT 1'!$B:$B,0)),"")</f>
        <v/>
      </c>
      <c r="AJ80">
        <f>IFERROR(INDEX('DRAFT 1'!$AE:$AE,MATCH($B80,'DRAFT 1'!$B:$B,0)),"")</f>
        <v/>
      </c>
      <c r="AK80">
        <f>IFERROR(INDEX('DRAFT 1'!$AG:$AG,MATCH($B80,'DRAFT 1'!$B:$B,0)),"")</f>
        <v/>
      </c>
      <c r="AL80">
        <f>IFERROR(INDEX('DRAFT 1'!$AH:$AH,MATCH($B80,'DRAFT 1'!$B:$B,0)),"")</f>
        <v/>
      </c>
      <c r="AM80">
        <f>IFERROR(INDEX('DRAFT 1'!$AI:$AI,MATCH($B80,'DRAFT 1'!$B:$B,0)),"")</f>
        <v/>
      </c>
      <c r="AN80">
        <f>IFERROR(INDEX('DRAFT 1'!$AJ:$AJ,MATCH($B80,'DRAFT 1'!$B:$B,0)),"")</f>
        <v/>
      </c>
      <c r="AO80">
        <f>IFERROR(Y80/AN80,0)</f>
        <v/>
      </c>
      <c r="AP80">
        <f>IFERROR(INDEX('DRAFT 1'!$AK:$AK,MATCH($B80,'DRAFT 1'!$B:$B,0)),"")</f>
        <v/>
      </c>
      <c r="AR80" t="inlineStr">
        <is>
          <t>RECOMPRA</t>
        </is>
      </c>
      <c r="AS80">
        <f>IFERROR(LOOKUP(2,1/('DRAFT 2'!$D:$D=$B80),'DRAFT 2'!$T:$T),"")</f>
        <v/>
      </c>
      <c r="AT80">
        <f>IFERROR(LOOKUP(2,1/('DRAFT 2'!$D:$D=$B80),'DRAFT 2'!$A:$A),"")</f>
        <v/>
      </c>
      <c r="AU80">
        <f>IFERROR(LOOKUP(2,1/('DRAFT 2'!$D:$D=$B80),'DRAFT 2'!$R:$R),"")</f>
        <v/>
      </c>
      <c r="AV80">
        <f>IFERROR(LOOKUP(2,1/('DRAFT 2'!$D:$D=$B80),'DRAFT 2'!$S:$S),"")</f>
        <v/>
      </c>
      <c r="AW80" t="inlineStr">
        <is>
          <t>FIDELIZADO</t>
        </is>
      </c>
      <c r="AX80">
        <f>IFERROR(LOOKUP(2,1/('DRAFT 2'!$D:$D=$B80),'DRAFT 2'!$M:$M),"")</f>
        <v/>
      </c>
      <c r="AY80">
        <f>IFERROR(LOOKUP(2,1/('DRAFT 2'!$D:$D=$B80),'DRAFT 2'!$K:$K),"")</f>
        <v/>
      </c>
      <c r="BG80">
        <f>IFERROR(LOOKUP(2,1/('DRAFT 2'!$D:$D=$B80),'DRAFT 2'!$U:$U),"")</f>
        <v/>
      </c>
      <c r="BH80">
        <f>IFERROR(LOOKUP(2,1/('DRAFT 2'!$D:$D=$B80),'DRAFT 2'!$V:$V),"")</f>
        <v/>
      </c>
      <c r="CE80">
        <f>IFERROR(AJ80,0)</f>
        <v/>
      </c>
      <c r="CF80">
        <f>IFERROR(LOOKUP(2,1/('DRAFT 2'!$D:$D=$B80)*('DRAFT 2'!$A:$A&gt;=DATE(2026,1,1))*('DRAFT 2'!$A:$A&lt;DATE(2026,IF(1=12,1+1,1+1),1)),'DRAFT 2'!$A:$A),"")</f>
        <v/>
      </c>
      <c r="CG80">
        <f>COUNTIFS('DRAFT 2'!$D:$D,$B80,'DRAFT 2'!$A:$A,"&gt;="&amp;DATE(2026,1,1),'DRAFT 2'!$A:$A,"&lt;="&amp;DATE(2026,1,7))</f>
        <v/>
      </c>
      <c r="CH80">
        <f>COUNTIFS('DRAFT 2'!$D:$D,$B80,'DRAFT 2'!$A:$A,"&gt;="&amp;DATE(2026,1,8),'DRAFT 2'!$A:$A,"&lt;="&amp;DATE(2026,1,14))</f>
        <v/>
      </c>
      <c r="CI80">
        <f>COUNTIFS('DRAFT 2'!$D:$D,$B80,'DRAFT 2'!$A:$A,"&gt;="&amp;DATE(2026,1,15),'DRAFT 2'!$A:$A,"&lt;="&amp;DATE(2026,1,21))</f>
        <v/>
      </c>
      <c r="CJ80">
        <f>COUNTIFS('DRAFT 2'!$D:$D,$B80,'DRAFT 2'!$A:$A,"&gt;="&amp;DATE(2026,1,22),'DRAFT 2'!$A:$A,"&lt;"&amp;DATE(2026,IF(1=12,1+1,1+1),1))</f>
        <v/>
      </c>
      <c r="CK80">
        <f>SUM(CG80:CJ80)</f>
        <v/>
      </c>
      <c r="CT80" t="n">
        <v>0</v>
      </c>
      <c r="CU80">
        <f>IFERROR(LOOKUP(2,1/('DRAFT 2'!$D:$D=$B80)*('DRAFT 2'!$A:$A&gt;=DATE(2026,2,1))*('DRAFT 2'!$A:$A&lt;DATE(2026,IF(2=12,2+1,2+1),1)),'DRAFT 2'!$A:$A),"")</f>
        <v/>
      </c>
      <c r="CV80">
        <f>COUNTIFS('DRAFT 2'!$D:$D,$B80,'DRAFT 2'!$A:$A,"&gt;="&amp;DATE(2026,2,1),'DRAFT 2'!$A:$A,"&lt;="&amp;DATE(2026,2,7))</f>
        <v/>
      </c>
      <c r="CW80">
        <f>COUNTIFS('DRAFT 2'!$D:$D,$B80,'DRAFT 2'!$A:$A,"&gt;="&amp;DATE(2026,2,8),'DRAFT 2'!$A:$A,"&lt;="&amp;DATE(2026,2,14))</f>
        <v/>
      </c>
      <c r="CX80">
        <f>COUNTIFS('DRAFT 2'!$D:$D,$B80,'DRAFT 2'!$A:$A,"&gt;="&amp;DATE(2026,2,15),'DRAFT 2'!$A:$A,"&lt;="&amp;DATE(2026,2,21))</f>
        <v/>
      </c>
      <c r="CY80">
        <f>COUNTIFS('DRAFT 2'!$D:$D,$B80,'DRAFT 2'!$A:$A,"&gt;="&amp;DATE(2026,2,22),'DRAFT 2'!$A:$A,"&lt;"&amp;DATE(2026,IF(2=12,2+1,2+1),1))</f>
        <v/>
      </c>
      <c r="CZ80">
        <f>SUM(CV80:CY80)</f>
        <v/>
      </c>
      <c r="DJ80">
        <f>IFERROR(LOOKUP(2,1/('DRAFT 2'!$D:$D=$B80)*('DRAFT 2'!$A:$A&gt;=DATE(2026,3,1))*('DRAFT 2'!$A:$A&lt;DATE(2026,IF(3=12,3+1,3+1),1)),'DRAFT 2'!$A:$A),"")</f>
        <v/>
      </c>
      <c r="DK80">
        <f>COUNTIFS('DRAFT 2'!$D:$D,$B80,'DRAFT 2'!$A:$A,"&gt;="&amp;DATE(2026,3,1),'DRAFT 2'!$A:$A,"&lt;="&amp;DATE(2026,3,7))</f>
        <v/>
      </c>
      <c r="DL80">
        <f>COUNTIFS('DRAFT 2'!$D:$D,$B80,'DRAFT 2'!$A:$A,"&gt;="&amp;DATE(2026,3,8),'DRAFT 2'!$A:$A,"&lt;="&amp;DATE(2026,3,14))</f>
        <v/>
      </c>
      <c r="DM80">
        <f>COUNTIFS('DRAFT 2'!$D:$D,$B80,'DRAFT 2'!$A:$A,"&gt;="&amp;DATE(2026,3,15),'DRAFT 2'!$A:$A,"&lt;="&amp;DATE(2026,3,21))</f>
        <v/>
      </c>
      <c r="DN80">
        <f>COUNTIFS('DRAFT 2'!$D:$D,$B80,'DRAFT 2'!$A:$A,"&gt;="&amp;DATE(2026,3,22),'DRAFT 2'!$A:$A,"&lt;"&amp;DATE(2026,IF(3=12,3+1,3+1),1))</f>
        <v/>
      </c>
      <c r="DO80">
        <f>SUM(DK80:DN80)</f>
        <v/>
      </c>
      <c r="DZ80">
        <f>IFERROR(LOOKUP(2,1/('DRAFT 2'!$D:$D=$B80)*('DRAFT 2'!$A:$A&gt;=DATE(2026,4,1))*('DRAFT 2'!$A:$A&lt;DATE(2026,IF(4=12,4+1,4+1),1)),'DRAFT 2'!$A:$A),"")</f>
        <v/>
      </c>
      <c r="EA80">
        <f>COUNTIFS('DRAFT 2'!$D:$D,$B80,'DRAFT 2'!$A:$A,"&gt;="&amp;DATE(2026,4,1),'DRAFT 2'!$A:$A,"&lt;="&amp;DATE(2026,4,7))</f>
        <v/>
      </c>
      <c r="EB80">
        <f>COUNTIFS('DRAFT 2'!$D:$D,$B80,'DRAFT 2'!$A:$A,"&gt;="&amp;DATE(2026,4,8),'DRAFT 2'!$A:$A,"&lt;="&amp;DATE(2026,4,14))</f>
        <v/>
      </c>
      <c r="EC80">
        <f>COUNTIFS('DRAFT 2'!$D:$D,$B80,'DRAFT 2'!$A:$A,"&gt;="&amp;DATE(2026,4,15),'DRAFT 2'!$A:$A,"&lt;="&amp;DATE(2026,4,21))</f>
        <v/>
      </c>
      <c r="ED80">
        <f>COUNTIFS('DRAFT 2'!$D:$D,$B80,'DRAFT 2'!$A:$A,"&gt;="&amp;DATE(2026,4,22),'DRAFT 2'!$A:$A,"&lt;"&amp;DATE(2026,IF(4=12,4+1,4+1),1))</f>
        <v/>
      </c>
      <c r="EE80">
        <f>SUM(EA80:ED80)</f>
        <v/>
      </c>
      <c r="EO80">
        <f>IFERROR(LOOKUP(2,1/('DRAFT 2'!$D:$D=$B80)*('DRAFT 2'!$A:$A&gt;=DATE(2026,5,1))*('DRAFT 2'!$A:$A&lt;DATE(2026,IF(5=12,5+1,5+1),1)),'DRAFT 2'!$A:$A),"")</f>
        <v/>
      </c>
      <c r="EP80">
        <f>COUNTIFS('DRAFT 2'!$D:$D,$B80,'DRAFT 2'!$A:$A,"&gt;="&amp;DATE(2026,5,1),'DRAFT 2'!$A:$A,"&lt;="&amp;DATE(2026,5,7))</f>
        <v/>
      </c>
      <c r="EQ80">
        <f>COUNTIFS('DRAFT 2'!$D:$D,$B80,'DRAFT 2'!$A:$A,"&gt;="&amp;DATE(2026,5,8),'DRAFT 2'!$A:$A,"&lt;="&amp;DATE(2026,5,14))</f>
        <v/>
      </c>
      <c r="ER80">
        <f>COUNTIFS('DRAFT 2'!$D:$D,$B80,'DRAFT 2'!$A:$A,"&gt;="&amp;DATE(2026,5,15),'DRAFT 2'!$A:$A,"&lt;="&amp;DATE(2026,5,21))</f>
        <v/>
      </c>
      <c r="ES80">
        <f>COUNTIFS('DRAFT 2'!$D:$D,$B80,'DRAFT 2'!$A:$A,"&gt;="&amp;DATE(2026,5,22),'DRAFT 2'!$A:$A,"&lt;"&amp;DATE(2026,IF(5=12,5+1,5+1),1))</f>
        <v/>
      </c>
      <c r="ET80">
        <f>SUM(EP80:ES80)</f>
        <v/>
      </c>
      <c r="FD80">
        <f>IFERROR(LOOKUP(2,1/('DRAFT 2'!$D:$D=$B80)*('DRAFT 2'!$A:$A&gt;=DATE(2026,6,1))*('DRAFT 2'!$A:$A&lt;DATE(2026,IF(6=12,6+1,6+1),1)),'DRAFT 2'!$A:$A),"")</f>
        <v/>
      </c>
      <c r="FE80">
        <f>COUNTIFS('DRAFT 2'!$D:$D,$B80,'DRAFT 2'!$A:$A,"&gt;="&amp;DATE(2026,6,1),'DRAFT 2'!$A:$A,"&lt;="&amp;DATE(2026,6,7))</f>
        <v/>
      </c>
      <c r="FF80">
        <f>COUNTIFS('DRAFT 2'!$D:$D,$B80,'DRAFT 2'!$A:$A,"&gt;="&amp;DATE(2026,6,8),'DRAFT 2'!$A:$A,"&lt;="&amp;DATE(2026,6,14))</f>
        <v/>
      </c>
      <c r="FG80">
        <f>COUNTIFS('DRAFT 2'!$D:$D,$B80,'DRAFT 2'!$A:$A,"&gt;="&amp;DATE(2026,6,15),'DRAFT 2'!$A:$A,"&lt;="&amp;DATE(2026,6,21))</f>
        <v/>
      </c>
      <c r="FH80">
        <f>COUNTIFS('DRAFT 2'!$D:$D,$B80,'DRAFT 2'!$A:$A,"&gt;="&amp;DATE(2026,6,22),'DRAFT 2'!$A:$A,"&lt;"&amp;DATE(2026,IF(6=12,6+1,6+1),1))</f>
        <v/>
      </c>
      <c r="FI80">
        <f>SUM(FE80:FH80)</f>
        <v/>
      </c>
      <c r="FT80">
        <f>IFERROR(LOOKUP(2,1/('DRAFT 2'!$D:$D=$B80)*('DRAFT 2'!$A:$A&gt;=DATE(2026,7,1))*('DRAFT 2'!$A:$A&lt;DATE(2026,IF(7=12,7+1,7+1),1)),'DRAFT 2'!$A:$A),"")</f>
        <v/>
      </c>
      <c r="FU80">
        <f>COUNTIFS('DRAFT 2'!$D:$D,$B80,'DRAFT 2'!$A:$A,"&gt;="&amp;DATE(2026,7,1),'DRAFT 2'!$A:$A,"&lt;="&amp;DATE(2026,7,7))</f>
        <v/>
      </c>
      <c r="FV80">
        <f>COUNTIFS('DRAFT 2'!$D:$D,$B80,'DRAFT 2'!$A:$A,"&gt;="&amp;DATE(2026,7,8),'DRAFT 2'!$A:$A,"&lt;="&amp;DATE(2026,7,14))</f>
        <v/>
      </c>
      <c r="FW80">
        <f>COUNTIFS('DRAFT 2'!$D:$D,$B80,'DRAFT 2'!$A:$A,"&gt;="&amp;DATE(2026,7,15),'DRAFT 2'!$A:$A,"&lt;="&amp;DATE(2026,7,21))</f>
        <v/>
      </c>
      <c r="FX80">
        <f>COUNTIFS('DRAFT 2'!$D:$D,$B80,'DRAFT 2'!$A:$A,"&gt;="&amp;DATE(2026,7,22),'DRAFT 2'!$A:$A,"&lt;"&amp;DATE(2026,IF(7=12,7+1,7+1),1))</f>
        <v/>
      </c>
      <c r="FY80">
        <f>SUM(FU80:FX80)</f>
        <v/>
      </c>
      <c r="GI80">
        <f>IFERROR(LOOKUP(2,1/('DRAFT 2'!$D:$D=$B80)*('DRAFT 2'!$A:$A&gt;=DATE(2026,8,1))*('DRAFT 2'!$A:$A&lt;DATE(2026,IF(8=12,8+1,8+1),1)),'DRAFT 2'!$A:$A),"")</f>
        <v/>
      </c>
      <c r="GJ80">
        <f>COUNTIFS('DRAFT 2'!$D:$D,$B80,'DRAFT 2'!$A:$A,"&gt;="&amp;DATE(2026,8,1),'DRAFT 2'!$A:$A,"&lt;="&amp;DATE(2026,8,7))</f>
        <v/>
      </c>
      <c r="GK80">
        <f>COUNTIFS('DRAFT 2'!$D:$D,$B80,'DRAFT 2'!$A:$A,"&gt;="&amp;DATE(2026,8,8),'DRAFT 2'!$A:$A,"&lt;="&amp;DATE(2026,8,14))</f>
        <v/>
      </c>
      <c r="GL80">
        <f>COUNTIFS('DRAFT 2'!$D:$D,$B80,'DRAFT 2'!$A:$A,"&gt;="&amp;DATE(2026,8,15),'DRAFT 2'!$A:$A,"&lt;="&amp;DATE(2026,8,21))</f>
        <v/>
      </c>
      <c r="GM80">
        <f>COUNTIFS('DRAFT 2'!$D:$D,$B80,'DRAFT 2'!$A:$A,"&gt;="&amp;DATE(2026,8,22),'DRAFT 2'!$A:$A,"&lt;"&amp;DATE(2026,IF(8=12,8+1,8+1),1))</f>
        <v/>
      </c>
      <c r="GN80">
        <f>SUM(GJ80:GM80)</f>
        <v/>
      </c>
      <c r="GX80">
        <f>IFERROR(LOOKUP(2,1/('DRAFT 2'!$D:$D=$B80)*('DRAFT 2'!$A:$A&gt;=DATE(2026,9,1))*('DRAFT 2'!$A:$A&lt;DATE(2026,IF(9=12,9+1,9+1),1)),'DRAFT 2'!$A:$A),"")</f>
        <v/>
      </c>
      <c r="GY80">
        <f>COUNTIFS('DRAFT 2'!$D:$D,$B80,'DRAFT 2'!$A:$A,"&gt;="&amp;DATE(2026,9,1),'DRAFT 2'!$A:$A,"&lt;="&amp;DATE(2026,9,7))</f>
        <v/>
      </c>
      <c r="GZ80">
        <f>COUNTIFS('DRAFT 2'!$D:$D,$B80,'DRAFT 2'!$A:$A,"&gt;="&amp;DATE(2026,9,8),'DRAFT 2'!$A:$A,"&lt;="&amp;DATE(2026,9,14))</f>
        <v/>
      </c>
      <c r="HA80">
        <f>COUNTIFS('DRAFT 2'!$D:$D,$B80,'DRAFT 2'!$A:$A,"&gt;="&amp;DATE(2026,9,15),'DRAFT 2'!$A:$A,"&lt;="&amp;DATE(2026,9,21))</f>
        <v/>
      </c>
      <c r="HB80">
        <f>COUNTIFS('DRAFT 2'!$D:$D,$B80,'DRAFT 2'!$A:$A,"&gt;="&amp;DATE(2026,9,22),'DRAFT 2'!$A:$A,"&lt;"&amp;DATE(2026,IF(9=12,9+1,9+1),1))</f>
        <v/>
      </c>
      <c r="HC80">
        <f>SUM(GY80:HB80)</f>
        <v/>
      </c>
      <c r="HN80">
        <f>IFERROR(LOOKUP(2,1/('DRAFT 2'!$D:$D=$B80)*('DRAFT 2'!$A:$A&gt;=DATE(2026,10,1))*('DRAFT 2'!$A:$A&lt;DATE(2026,IF(10=12,10+1,10+1),1)),'DRAFT 2'!$A:$A),"")</f>
        <v/>
      </c>
      <c r="HO80">
        <f>COUNTIFS('DRAFT 2'!$D:$D,$B80,'DRAFT 2'!$A:$A,"&gt;="&amp;DATE(2026,10,1),'DRAFT 2'!$A:$A,"&lt;="&amp;DATE(2026,10,7))</f>
        <v/>
      </c>
      <c r="HP80">
        <f>COUNTIFS('DRAFT 2'!$D:$D,$B80,'DRAFT 2'!$A:$A,"&gt;="&amp;DATE(2026,10,8),'DRAFT 2'!$A:$A,"&lt;="&amp;DATE(2026,10,14))</f>
        <v/>
      </c>
      <c r="HQ80">
        <f>COUNTIFS('DRAFT 2'!$D:$D,$B80,'DRAFT 2'!$A:$A,"&gt;="&amp;DATE(2026,10,15),'DRAFT 2'!$A:$A,"&lt;="&amp;DATE(2026,10,21))</f>
        <v/>
      </c>
      <c r="HR80">
        <f>COUNTIFS('DRAFT 2'!$D:$D,$B80,'DRAFT 2'!$A:$A,"&gt;="&amp;DATE(2026,10,22),'DRAFT 2'!$A:$A,"&lt;"&amp;DATE(2026,IF(10=12,10+1,10+1),1))</f>
        <v/>
      </c>
      <c r="HS80">
        <f>SUM(HO80:HR80)</f>
        <v/>
      </c>
      <c r="IC80">
        <f>IFERROR(LOOKUP(2,1/('DRAFT 2'!$D:$D=$B80)*('DRAFT 2'!$A:$A&gt;=DATE(2026,11,1))*('DRAFT 2'!$A:$A&lt;DATE(2026,IF(11=12,11+1,11+1),1)),'DRAFT 2'!$A:$A),"")</f>
        <v/>
      </c>
      <c r="ID80">
        <f>COUNTIFS('DRAFT 2'!$D:$D,$B80,'DRAFT 2'!$A:$A,"&gt;="&amp;DATE(2026,11,1),'DRAFT 2'!$A:$A,"&lt;="&amp;DATE(2026,11,7))</f>
        <v/>
      </c>
      <c r="IE80">
        <f>COUNTIFS('DRAFT 2'!$D:$D,$B80,'DRAFT 2'!$A:$A,"&gt;="&amp;DATE(2026,11,8),'DRAFT 2'!$A:$A,"&lt;="&amp;DATE(2026,11,14))</f>
        <v/>
      </c>
      <c r="IF80">
        <f>COUNTIFS('DRAFT 2'!$D:$D,$B80,'DRAFT 2'!$A:$A,"&gt;="&amp;DATE(2026,11,15),'DRAFT 2'!$A:$A,"&lt;="&amp;DATE(2026,11,21))</f>
        <v/>
      </c>
      <c r="IG80">
        <f>COUNTIFS('DRAFT 2'!$D:$D,$B80,'DRAFT 2'!$A:$A,"&gt;="&amp;DATE(2026,11,22),'DRAFT 2'!$A:$A,"&lt;"&amp;DATE(2026,IF(11=12,11+1,11+1),1))</f>
        <v/>
      </c>
      <c r="IH80">
        <f>SUM(ID80:IG80)</f>
        <v/>
      </c>
      <c r="IR80">
        <f>IFERROR(LOOKUP(2,1/('DRAFT 2'!$D:$D=$B80)*('DRAFT 2'!$A:$A&gt;=DATE(2026,12,1))*('DRAFT 2'!$A:$A&lt;DATE(2026,IF(12=12,12+1,12+1),1)),'DRAFT 2'!$A:$A),"")</f>
        <v/>
      </c>
      <c r="IS80">
        <f>COUNTIFS('DRAFT 2'!$D:$D,$B80,'DRAFT 2'!$A:$A,"&gt;="&amp;DATE(2026,12,1),'DRAFT 2'!$A:$A,"&lt;="&amp;DATE(2026,12,7))</f>
        <v/>
      </c>
      <c r="IT80">
        <f>COUNTIFS('DRAFT 2'!$D:$D,$B80,'DRAFT 2'!$A:$A,"&gt;="&amp;DATE(2026,12,8),'DRAFT 2'!$A:$A,"&lt;="&amp;DATE(2026,12,14))</f>
        <v/>
      </c>
      <c r="IU80">
        <f>COUNTIFS('DRAFT 2'!$D:$D,$B80,'DRAFT 2'!$A:$A,"&gt;="&amp;DATE(2026,12,15),'DRAFT 2'!$A:$A,"&lt;="&amp;DATE(2026,12,21))</f>
        <v/>
      </c>
      <c r="IV80">
        <f>COUNTIFS('DRAFT 2'!$D:$D,$B80,'DRAFT 2'!$A:$A,"&gt;="&amp;DATE(2026,12,22),'DRAFT 2'!$A:$A,"&lt;"&amp;DATE(2026,IF(12=12,12+1,12+1),1))</f>
        <v/>
      </c>
      <c r="IW80">
        <f>SUM(IS80:IV80)</f>
        <v/>
      </c>
    </row>
    <row r="81">
      <c r="A81">
        <f>IFERROR(INDEX('DRAFT 1'!$A:$A,MATCH($B81,'DRAFT 1'!$B:$B,0)),"")</f>
        <v/>
      </c>
      <c r="C81">
        <f>IFERROR(INDEX('DRAFT 1'!$C:$C,MATCH($B81,'DRAFT 1'!$B:$B,0)),"")</f>
        <v/>
      </c>
      <c r="D81">
        <f>IFERROR(INDEX('DRAFT 1'!$D:$D,MATCH($B81,'DRAFT 1'!$B:$B,0)),"")</f>
        <v/>
      </c>
      <c r="E81">
        <f>IFERROR(INDEX('DRAFT 1'!$E:$E,MATCH($B81,'DRAFT 1'!$B:$B,0)),"")</f>
        <v/>
      </c>
      <c r="F81">
        <f>IFERROR(INDEX('DRAFT 1'!$F:$F,MATCH($B81,'DRAFT 1'!$B:$B,0)),"")</f>
        <v/>
      </c>
      <c r="G81">
        <f>IFERROR(INDEX('DRAFT 1'!$G:$G,MATCH($B81,'DRAFT 1'!$B:$B,0)),"")</f>
        <v/>
      </c>
      <c r="H81">
        <f>IFERROR(INDEX('DRAFT 1'!$H:$H,MATCH($B81,'DRAFT 1'!$B:$B,0)),"")</f>
        <v/>
      </c>
      <c r="I81" t="inlineStr">
        <is>
          <t>DEMAIS CLIENTES</t>
        </is>
      </c>
      <c r="K81">
        <f>IFERROR(INDEX('DRAFT 1'!$AL:$AL,MATCH($B81,'DRAFT 1'!$B:$B,0)),"")</f>
        <v/>
      </c>
      <c r="L81">
        <f>IFERROR(INDEX('DRAFT 1'!$J:$J,MATCH($B81,'DRAFT 1'!$B:$B,0)),"")</f>
        <v/>
      </c>
      <c r="M81">
        <f>IFERROR(INDEX('DRAFT 1'!$K:$K,MATCH($B81,'DRAFT 1'!$B:$B,0)),"")</f>
        <v/>
      </c>
      <c r="N81" t="inlineStr">
        <is>
          <t>INAT.ANT</t>
        </is>
      </c>
      <c r="P81">
        <f>IFERROR(INDEX('DRAFT 1'!$L:$L,MATCH($B81,'DRAFT 1'!$B:$B,0)),"")</f>
        <v/>
      </c>
      <c r="Q81">
        <f>IFERROR(INDEX('DRAFT 1'!$M:$M,MATCH($B81,'DRAFT 1'!$B:$B,0)),"")</f>
        <v/>
      </c>
      <c r="R81">
        <f>IFERROR(INDEX('DRAFT 1'!$N:$N,MATCH($B81,'DRAFT 1'!$B:$B,0)),"")</f>
        <v/>
      </c>
      <c r="S81">
        <f>IFERROR(INDEX('DRAFT 1'!$O:$O,MATCH($B81,'DRAFT 1'!$B:$B,0)),"")</f>
        <v/>
      </c>
      <c r="T81">
        <f>IFERROR(INDEX('DRAFT 1'!$P:$P,MATCH($B81,'DRAFT 1'!$B:$B,0)),"")</f>
        <v/>
      </c>
      <c r="U81">
        <f>IFERROR(INDEX('DRAFT 1'!$Q:$Q,MATCH($B81,'DRAFT 1'!$B:$B,0)),"")</f>
        <v/>
      </c>
      <c r="V81">
        <f>IFERROR(INDEX('DRAFT 1'!$R:$R,MATCH($B81,'DRAFT 1'!$B:$B,0)),"")</f>
        <v/>
      </c>
      <c r="W81">
        <f>IFERROR(INDEX('DRAFT 1'!$S:$S,MATCH($B81,'DRAFT 1'!$B:$B,0)),"")</f>
        <v/>
      </c>
      <c r="X81">
        <f>IFERROR(INDEX('DRAFT 1'!$T:$T,MATCH($B81,'DRAFT 1'!$B:$B,0)),"")</f>
        <v/>
      </c>
      <c r="Z81">
        <f>IFERROR(INDEX('DRAFT 1'!$U:$U,MATCH($B81,'DRAFT 1'!$B:$B,0)),"")</f>
        <v/>
      </c>
      <c r="AA81">
        <f>IFERROR(INDEX('DRAFT 1'!$V:$V,MATCH($B81,'DRAFT 1'!$B:$B,0)),"")</f>
        <v/>
      </c>
      <c r="AB81">
        <f>IFERROR(INDEX('DRAFT 1'!$W:$W,MATCH($B81,'DRAFT 1'!$B:$B,0)),"")</f>
        <v/>
      </c>
      <c r="AC81">
        <f>IFERROR(INDEX('DRAFT 1'!$X:$X,MATCH($B81,'DRAFT 1'!$B:$B,0)),"")</f>
        <v/>
      </c>
      <c r="AD81">
        <f>IFERROR(INDEX('DRAFT 1'!$Y:$Y,MATCH($B81,'DRAFT 1'!$B:$B,0)),"")</f>
        <v/>
      </c>
      <c r="AE81">
        <f>IFERROR(INDEX('DRAFT 1'!$Z:$Z,MATCH($B81,'DRAFT 1'!$B:$B,0)),"")</f>
        <v/>
      </c>
      <c r="AF81">
        <f>IFERROR(INDEX('DRAFT 1'!$AA:$AA,MATCH($B81,'DRAFT 1'!$B:$B,0)),"")</f>
        <v/>
      </c>
      <c r="AG81">
        <f>IFERROR(INDEX('DRAFT 1'!$AB:$AB,MATCH($B81,'DRAFT 1'!$B:$B,0)),"")</f>
        <v/>
      </c>
      <c r="AH81">
        <f>IFERROR(INDEX('DRAFT 1'!$AC:$AC,MATCH($B81,'DRAFT 1'!$B:$B,0)),"")</f>
        <v/>
      </c>
      <c r="AI81">
        <f>IFERROR(INDEX('DRAFT 1'!$AD:$AD,MATCH($B81,'DRAFT 1'!$B:$B,0)),"")</f>
        <v/>
      </c>
      <c r="AJ81">
        <f>IFERROR(INDEX('DRAFT 1'!$AE:$AE,MATCH($B81,'DRAFT 1'!$B:$B,0)),"")</f>
        <v/>
      </c>
      <c r="AK81">
        <f>IFERROR(INDEX('DRAFT 1'!$AG:$AG,MATCH($B81,'DRAFT 1'!$B:$B,0)),"")</f>
        <v/>
      </c>
      <c r="AL81">
        <f>IFERROR(INDEX('DRAFT 1'!$AH:$AH,MATCH($B81,'DRAFT 1'!$B:$B,0)),"")</f>
        <v/>
      </c>
      <c r="AM81">
        <f>IFERROR(INDEX('DRAFT 1'!$AI:$AI,MATCH($B81,'DRAFT 1'!$B:$B,0)),"")</f>
        <v/>
      </c>
      <c r="AN81">
        <f>IFERROR(INDEX('DRAFT 1'!$AJ:$AJ,MATCH($B81,'DRAFT 1'!$B:$B,0)),"")</f>
        <v/>
      </c>
      <c r="AO81">
        <f>IFERROR(Y81/AN81,0)</f>
        <v/>
      </c>
      <c r="AP81">
        <f>IFERROR(INDEX('DRAFT 1'!$AK:$AK,MATCH($B81,'DRAFT 1'!$B:$B,0)),"")</f>
        <v/>
      </c>
      <c r="AR81" t="inlineStr">
        <is>
          <t>RECOMPRA</t>
        </is>
      </c>
      <c r="AS81">
        <f>IFERROR(LOOKUP(2,1/('DRAFT 2'!$D:$D=$B81),'DRAFT 2'!$T:$T),"")</f>
        <v/>
      </c>
      <c r="AT81">
        <f>IFERROR(LOOKUP(2,1/('DRAFT 2'!$D:$D=$B81),'DRAFT 2'!$A:$A),"")</f>
        <v/>
      </c>
      <c r="AU81">
        <f>IFERROR(LOOKUP(2,1/('DRAFT 2'!$D:$D=$B81),'DRAFT 2'!$R:$R),"")</f>
        <v/>
      </c>
      <c r="AV81">
        <f>IFERROR(LOOKUP(2,1/('DRAFT 2'!$D:$D=$B81),'DRAFT 2'!$S:$S),"")</f>
        <v/>
      </c>
      <c r="AW81" t="inlineStr">
        <is>
          <t>LEAD</t>
        </is>
      </c>
      <c r="AX81">
        <f>IFERROR(LOOKUP(2,1/('DRAFT 2'!$D:$D=$B81),'DRAFT 2'!$M:$M),"")</f>
        <v/>
      </c>
      <c r="AY81">
        <f>IFERROR(LOOKUP(2,1/('DRAFT 2'!$D:$D=$B81),'DRAFT 2'!$K:$K),"")</f>
        <v/>
      </c>
      <c r="BG81">
        <f>IFERROR(LOOKUP(2,1/('DRAFT 2'!$D:$D=$B81),'DRAFT 2'!$U:$U),"")</f>
        <v/>
      </c>
      <c r="BH81">
        <f>IFERROR(LOOKUP(2,1/('DRAFT 2'!$D:$D=$B81),'DRAFT 2'!$V:$V),"")</f>
        <v/>
      </c>
      <c r="CE81">
        <f>IFERROR(AJ81,0)</f>
        <v/>
      </c>
      <c r="CF81">
        <f>IFERROR(LOOKUP(2,1/('DRAFT 2'!$D:$D=$B81)*('DRAFT 2'!$A:$A&gt;=DATE(2026,1,1))*('DRAFT 2'!$A:$A&lt;DATE(2026,IF(1=12,1+1,1+1),1)),'DRAFT 2'!$A:$A),"")</f>
        <v/>
      </c>
      <c r="CG81">
        <f>COUNTIFS('DRAFT 2'!$D:$D,$B81,'DRAFT 2'!$A:$A,"&gt;="&amp;DATE(2026,1,1),'DRAFT 2'!$A:$A,"&lt;="&amp;DATE(2026,1,7))</f>
        <v/>
      </c>
      <c r="CH81">
        <f>COUNTIFS('DRAFT 2'!$D:$D,$B81,'DRAFT 2'!$A:$A,"&gt;="&amp;DATE(2026,1,8),'DRAFT 2'!$A:$A,"&lt;="&amp;DATE(2026,1,14))</f>
        <v/>
      </c>
      <c r="CI81">
        <f>COUNTIFS('DRAFT 2'!$D:$D,$B81,'DRAFT 2'!$A:$A,"&gt;="&amp;DATE(2026,1,15),'DRAFT 2'!$A:$A,"&lt;="&amp;DATE(2026,1,21))</f>
        <v/>
      </c>
      <c r="CJ81">
        <f>COUNTIFS('DRAFT 2'!$D:$D,$B81,'DRAFT 2'!$A:$A,"&gt;="&amp;DATE(2026,1,22),'DRAFT 2'!$A:$A,"&lt;"&amp;DATE(2026,IF(1=12,1+1,1+1),1))</f>
        <v/>
      </c>
      <c r="CK81">
        <f>SUM(CG81:CJ81)</f>
        <v/>
      </c>
      <c r="CT81" t="n">
        <v>0</v>
      </c>
      <c r="CU81">
        <f>IFERROR(LOOKUP(2,1/('DRAFT 2'!$D:$D=$B81)*('DRAFT 2'!$A:$A&gt;=DATE(2026,2,1))*('DRAFT 2'!$A:$A&lt;DATE(2026,IF(2=12,2+1,2+1),1)),'DRAFT 2'!$A:$A),"")</f>
        <v/>
      </c>
      <c r="CV81">
        <f>COUNTIFS('DRAFT 2'!$D:$D,$B81,'DRAFT 2'!$A:$A,"&gt;="&amp;DATE(2026,2,1),'DRAFT 2'!$A:$A,"&lt;="&amp;DATE(2026,2,7))</f>
        <v/>
      </c>
      <c r="CW81">
        <f>COUNTIFS('DRAFT 2'!$D:$D,$B81,'DRAFT 2'!$A:$A,"&gt;="&amp;DATE(2026,2,8),'DRAFT 2'!$A:$A,"&lt;="&amp;DATE(2026,2,14))</f>
        <v/>
      </c>
      <c r="CX81">
        <f>COUNTIFS('DRAFT 2'!$D:$D,$B81,'DRAFT 2'!$A:$A,"&gt;="&amp;DATE(2026,2,15),'DRAFT 2'!$A:$A,"&lt;="&amp;DATE(2026,2,21))</f>
        <v/>
      </c>
      <c r="CY81">
        <f>COUNTIFS('DRAFT 2'!$D:$D,$B81,'DRAFT 2'!$A:$A,"&gt;="&amp;DATE(2026,2,22),'DRAFT 2'!$A:$A,"&lt;"&amp;DATE(2026,IF(2=12,2+1,2+1),1))</f>
        <v/>
      </c>
      <c r="CZ81">
        <f>SUM(CV81:CY81)</f>
        <v/>
      </c>
      <c r="DJ81">
        <f>IFERROR(LOOKUP(2,1/('DRAFT 2'!$D:$D=$B81)*('DRAFT 2'!$A:$A&gt;=DATE(2026,3,1))*('DRAFT 2'!$A:$A&lt;DATE(2026,IF(3=12,3+1,3+1),1)),'DRAFT 2'!$A:$A),"")</f>
        <v/>
      </c>
      <c r="DK81">
        <f>COUNTIFS('DRAFT 2'!$D:$D,$B81,'DRAFT 2'!$A:$A,"&gt;="&amp;DATE(2026,3,1),'DRAFT 2'!$A:$A,"&lt;="&amp;DATE(2026,3,7))</f>
        <v/>
      </c>
      <c r="DL81">
        <f>COUNTIFS('DRAFT 2'!$D:$D,$B81,'DRAFT 2'!$A:$A,"&gt;="&amp;DATE(2026,3,8),'DRAFT 2'!$A:$A,"&lt;="&amp;DATE(2026,3,14))</f>
        <v/>
      </c>
      <c r="DM81">
        <f>COUNTIFS('DRAFT 2'!$D:$D,$B81,'DRAFT 2'!$A:$A,"&gt;="&amp;DATE(2026,3,15),'DRAFT 2'!$A:$A,"&lt;="&amp;DATE(2026,3,21))</f>
        <v/>
      </c>
      <c r="DN81">
        <f>COUNTIFS('DRAFT 2'!$D:$D,$B81,'DRAFT 2'!$A:$A,"&gt;="&amp;DATE(2026,3,22),'DRAFT 2'!$A:$A,"&lt;"&amp;DATE(2026,IF(3=12,3+1,3+1),1))</f>
        <v/>
      </c>
      <c r="DO81">
        <f>SUM(DK81:DN81)</f>
        <v/>
      </c>
      <c r="DZ81">
        <f>IFERROR(LOOKUP(2,1/('DRAFT 2'!$D:$D=$B81)*('DRAFT 2'!$A:$A&gt;=DATE(2026,4,1))*('DRAFT 2'!$A:$A&lt;DATE(2026,IF(4=12,4+1,4+1),1)),'DRAFT 2'!$A:$A),"")</f>
        <v/>
      </c>
      <c r="EA81">
        <f>COUNTIFS('DRAFT 2'!$D:$D,$B81,'DRAFT 2'!$A:$A,"&gt;="&amp;DATE(2026,4,1),'DRAFT 2'!$A:$A,"&lt;="&amp;DATE(2026,4,7))</f>
        <v/>
      </c>
      <c r="EB81">
        <f>COUNTIFS('DRAFT 2'!$D:$D,$B81,'DRAFT 2'!$A:$A,"&gt;="&amp;DATE(2026,4,8),'DRAFT 2'!$A:$A,"&lt;="&amp;DATE(2026,4,14))</f>
        <v/>
      </c>
      <c r="EC81">
        <f>COUNTIFS('DRAFT 2'!$D:$D,$B81,'DRAFT 2'!$A:$A,"&gt;="&amp;DATE(2026,4,15),'DRAFT 2'!$A:$A,"&lt;="&amp;DATE(2026,4,21))</f>
        <v/>
      </c>
      <c r="ED81">
        <f>COUNTIFS('DRAFT 2'!$D:$D,$B81,'DRAFT 2'!$A:$A,"&gt;="&amp;DATE(2026,4,22),'DRAFT 2'!$A:$A,"&lt;"&amp;DATE(2026,IF(4=12,4+1,4+1),1))</f>
        <v/>
      </c>
      <c r="EE81">
        <f>SUM(EA81:ED81)</f>
        <v/>
      </c>
      <c r="EO81">
        <f>IFERROR(LOOKUP(2,1/('DRAFT 2'!$D:$D=$B81)*('DRAFT 2'!$A:$A&gt;=DATE(2026,5,1))*('DRAFT 2'!$A:$A&lt;DATE(2026,IF(5=12,5+1,5+1),1)),'DRAFT 2'!$A:$A),"")</f>
        <v/>
      </c>
      <c r="EP81">
        <f>COUNTIFS('DRAFT 2'!$D:$D,$B81,'DRAFT 2'!$A:$A,"&gt;="&amp;DATE(2026,5,1),'DRAFT 2'!$A:$A,"&lt;="&amp;DATE(2026,5,7))</f>
        <v/>
      </c>
      <c r="EQ81">
        <f>COUNTIFS('DRAFT 2'!$D:$D,$B81,'DRAFT 2'!$A:$A,"&gt;="&amp;DATE(2026,5,8),'DRAFT 2'!$A:$A,"&lt;="&amp;DATE(2026,5,14))</f>
        <v/>
      </c>
      <c r="ER81">
        <f>COUNTIFS('DRAFT 2'!$D:$D,$B81,'DRAFT 2'!$A:$A,"&gt;="&amp;DATE(2026,5,15),'DRAFT 2'!$A:$A,"&lt;="&amp;DATE(2026,5,21))</f>
        <v/>
      </c>
      <c r="ES81">
        <f>COUNTIFS('DRAFT 2'!$D:$D,$B81,'DRAFT 2'!$A:$A,"&gt;="&amp;DATE(2026,5,22),'DRAFT 2'!$A:$A,"&lt;"&amp;DATE(2026,IF(5=12,5+1,5+1),1))</f>
        <v/>
      </c>
      <c r="ET81">
        <f>SUM(EP81:ES81)</f>
        <v/>
      </c>
      <c r="FD81">
        <f>IFERROR(LOOKUP(2,1/('DRAFT 2'!$D:$D=$B81)*('DRAFT 2'!$A:$A&gt;=DATE(2026,6,1))*('DRAFT 2'!$A:$A&lt;DATE(2026,IF(6=12,6+1,6+1),1)),'DRAFT 2'!$A:$A),"")</f>
        <v/>
      </c>
      <c r="FE81">
        <f>COUNTIFS('DRAFT 2'!$D:$D,$B81,'DRAFT 2'!$A:$A,"&gt;="&amp;DATE(2026,6,1),'DRAFT 2'!$A:$A,"&lt;="&amp;DATE(2026,6,7))</f>
        <v/>
      </c>
      <c r="FF81">
        <f>COUNTIFS('DRAFT 2'!$D:$D,$B81,'DRAFT 2'!$A:$A,"&gt;="&amp;DATE(2026,6,8),'DRAFT 2'!$A:$A,"&lt;="&amp;DATE(2026,6,14))</f>
        <v/>
      </c>
      <c r="FG81">
        <f>COUNTIFS('DRAFT 2'!$D:$D,$B81,'DRAFT 2'!$A:$A,"&gt;="&amp;DATE(2026,6,15),'DRAFT 2'!$A:$A,"&lt;="&amp;DATE(2026,6,21))</f>
        <v/>
      </c>
      <c r="FH81">
        <f>COUNTIFS('DRAFT 2'!$D:$D,$B81,'DRAFT 2'!$A:$A,"&gt;="&amp;DATE(2026,6,22),'DRAFT 2'!$A:$A,"&lt;"&amp;DATE(2026,IF(6=12,6+1,6+1),1))</f>
        <v/>
      </c>
      <c r="FI81">
        <f>SUM(FE81:FH81)</f>
        <v/>
      </c>
      <c r="FT81">
        <f>IFERROR(LOOKUP(2,1/('DRAFT 2'!$D:$D=$B81)*('DRAFT 2'!$A:$A&gt;=DATE(2026,7,1))*('DRAFT 2'!$A:$A&lt;DATE(2026,IF(7=12,7+1,7+1),1)),'DRAFT 2'!$A:$A),"")</f>
        <v/>
      </c>
      <c r="FU81">
        <f>COUNTIFS('DRAFT 2'!$D:$D,$B81,'DRAFT 2'!$A:$A,"&gt;="&amp;DATE(2026,7,1),'DRAFT 2'!$A:$A,"&lt;="&amp;DATE(2026,7,7))</f>
        <v/>
      </c>
      <c r="FV81">
        <f>COUNTIFS('DRAFT 2'!$D:$D,$B81,'DRAFT 2'!$A:$A,"&gt;="&amp;DATE(2026,7,8),'DRAFT 2'!$A:$A,"&lt;="&amp;DATE(2026,7,14))</f>
        <v/>
      </c>
      <c r="FW81">
        <f>COUNTIFS('DRAFT 2'!$D:$D,$B81,'DRAFT 2'!$A:$A,"&gt;="&amp;DATE(2026,7,15),'DRAFT 2'!$A:$A,"&lt;="&amp;DATE(2026,7,21))</f>
        <v/>
      </c>
      <c r="FX81">
        <f>COUNTIFS('DRAFT 2'!$D:$D,$B81,'DRAFT 2'!$A:$A,"&gt;="&amp;DATE(2026,7,22),'DRAFT 2'!$A:$A,"&lt;"&amp;DATE(2026,IF(7=12,7+1,7+1),1))</f>
        <v/>
      </c>
      <c r="FY81">
        <f>SUM(FU81:FX81)</f>
        <v/>
      </c>
      <c r="GI81">
        <f>IFERROR(LOOKUP(2,1/('DRAFT 2'!$D:$D=$B81)*('DRAFT 2'!$A:$A&gt;=DATE(2026,8,1))*('DRAFT 2'!$A:$A&lt;DATE(2026,IF(8=12,8+1,8+1),1)),'DRAFT 2'!$A:$A),"")</f>
        <v/>
      </c>
      <c r="GJ81">
        <f>COUNTIFS('DRAFT 2'!$D:$D,$B81,'DRAFT 2'!$A:$A,"&gt;="&amp;DATE(2026,8,1),'DRAFT 2'!$A:$A,"&lt;="&amp;DATE(2026,8,7))</f>
        <v/>
      </c>
      <c r="GK81">
        <f>COUNTIFS('DRAFT 2'!$D:$D,$B81,'DRAFT 2'!$A:$A,"&gt;="&amp;DATE(2026,8,8),'DRAFT 2'!$A:$A,"&lt;="&amp;DATE(2026,8,14))</f>
        <v/>
      </c>
      <c r="GL81">
        <f>COUNTIFS('DRAFT 2'!$D:$D,$B81,'DRAFT 2'!$A:$A,"&gt;="&amp;DATE(2026,8,15),'DRAFT 2'!$A:$A,"&lt;="&amp;DATE(2026,8,21))</f>
        <v/>
      </c>
      <c r="GM81">
        <f>COUNTIFS('DRAFT 2'!$D:$D,$B81,'DRAFT 2'!$A:$A,"&gt;="&amp;DATE(2026,8,22),'DRAFT 2'!$A:$A,"&lt;"&amp;DATE(2026,IF(8=12,8+1,8+1),1))</f>
        <v/>
      </c>
      <c r="GN81">
        <f>SUM(GJ81:GM81)</f>
        <v/>
      </c>
      <c r="GX81">
        <f>IFERROR(LOOKUP(2,1/('DRAFT 2'!$D:$D=$B81)*('DRAFT 2'!$A:$A&gt;=DATE(2026,9,1))*('DRAFT 2'!$A:$A&lt;DATE(2026,IF(9=12,9+1,9+1),1)),'DRAFT 2'!$A:$A),"")</f>
        <v/>
      </c>
      <c r="GY81">
        <f>COUNTIFS('DRAFT 2'!$D:$D,$B81,'DRAFT 2'!$A:$A,"&gt;="&amp;DATE(2026,9,1),'DRAFT 2'!$A:$A,"&lt;="&amp;DATE(2026,9,7))</f>
        <v/>
      </c>
      <c r="GZ81">
        <f>COUNTIFS('DRAFT 2'!$D:$D,$B81,'DRAFT 2'!$A:$A,"&gt;="&amp;DATE(2026,9,8),'DRAFT 2'!$A:$A,"&lt;="&amp;DATE(2026,9,14))</f>
        <v/>
      </c>
      <c r="HA81">
        <f>COUNTIFS('DRAFT 2'!$D:$D,$B81,'DRAFT 2'!$A:$A,"&gt;="&amp;DATE(2026,9,15),'DRAFT 2'!$A:$A,"&lt;="&amp;DATE(2026,9,21))</f>
        <v/>
      </c>
      <c r="HB81">
        <f>COUNTIFS('DRAFT 2'!$D:$D,$B81,'DRAFT 2'!$A:$A,"&gt;="&amp;DATE(2026,9,22),'DRAFT 2'!$A:$A,"&lt;"&amp;DATE(2026,IF(9=12,9+1,9+1),1))</f>
        <v/>
      </c>
      <c r="HC81">
        <f>SUM(GY81:HB81)</f>
        <v/>
      </c>
      <c r="HN81">
        <f>IFERROR(LOOKUP(2,1/('DRAFT 2'!$D:$D=$B81)*('DRAFT 2'!$A:$A&gt;=DATE(2026,10,1))*('DRAFT 2'!$A:$A&lt;DATE(2026,IF(10=12,10+1,10+1),1)),'DRAFT 2'!$A:$A),"")</f>
        <v/>
      </c>
      <c r="HO81">
        <f>COUNTIFS('DRAFT 2'!$D:$D,$B81,'DRAFT 2'!$A:$A,"&gt;="&amp;DATE(2026,10,1),'DRAFT 2'!$A:$A,"&lt;="&amp;DATE(2026,10,7))</f>
        <v/>
      </c>
      <c r="HP81">
        <f>COUNTIFS('DRAFT 2'!$D:$D,$B81,'DRAFT 2'!$A:$A,"&gt;="&amp;DATE(2026,10,8),'DRAFT 2'!$A:$A,"&lt;="&amp;DATE(2026,10,14))</f>
        <v/>
      </c>
      <c r="HQ81">
        <f>COUNTIFS('DRAFT 2'!$D:$D,$B81,'DRAFT 2'!$A:$A,"&gt;="&amp;DATE(2026,10,15),'DRAFT 2'!$A:$A,"&lt;="&amp;DATE(2026,10,21))</f>
        <v/>
      </c>
      <c r="HR81">
        <f>COUNTIFS('DRAFT 2'!$D:$D,$B81,'DRAFT 2'!$A:$A,"&gt;="&amp;DATE(2026,10,22),'DRAFT 2'!$A:$A,"&lt;"&amp;DATE(2026,IF(10=12,10+1,10+1),1))</f>
        <v/>
      </c>
      <c r="HS81">
        <f>SUM(HO81:HR81)</f>
        <v/>
      </c>
      <c r="IC81">
        <f>IFERROR(LOOKUP(2,1/('DRAFT 2'!$D:$D=$B81)*('DRAFT 2'!$A:$A&gt;=DATE(2026,11,1))*('DRAFT 2'!$A:$A&lt;DATE(2026,IF(11=12,11+1,11+1),1)),'DRAFT 2'!$A:$A),"")</f>
        <v/>
      </c>
      <c r="ID81">
        <f>COUNTIFS('DRAFT 2'!$D:$D,$B81,'DRAFT 2'!$A:$A,"&gt;="&amp;DATE(2026,11,1),'DRAFT 2'!$A:$A,"&lt;="&amp;DATE(2026,11,7))</f>
        <v/>
      </c>
      <c r="IE81">
        <f>COUNTIFS('DRAFT 2'!$D:$D,$B81,'DRAFT 2'!$A:$A,"&gt;="&amp;DATE(2026,11,8),'DRAFT 2'!$A:$A,"&lt;="&amp;DATE(2026,11,14))</f>
        <v/>
      </c>
      <c r="IF81">
        <f>COUNTIFS('DRAFT 2'!$D:$D,$B81,'DRAFT 2'!$A:$A,"&gt;="&amp;DATE(2026,11,15),'DRAFT 2'!$A:$A,"&lt;="&amp;DATE(2026,11,21))</f>
        <v/>
      </c>
      <c r="IG81">
        <f>COUNTIFS('DRAFT 2'!$D:$D,$B81,'DRAFT 2'!$A:$A,"&gt;="&amp;DATE(2026,11,22),'DRAFT 2'!$A:$A,"&lt;"&amp;DATE(2026,IF(11=12,11+1,11+1),1))</f>
        <v/>
      </c>
      <c r="IH81">
        <f>SUM(ID81:IG81)</f>
        <v/>
      </c>
      <c r="IR81">
        <f>IFERROR(LOOKUP(2,1/('DRAFT 2'!$D:$D=$B81)*('DRAFT 2'!$A:$A&gt;=DATE(2026,12,1))*('DRAFT 2'!$A:$A&lt;DATE(2026,IF(12=12,12+1,12+1),1)),'DRAFT 2'!$A:$A),"")</f>
        <v/>
      </c>
      <c r="IS81">
        <f>COUNTIFS('DRAFT 2'!$D:$D,$B81,'DRAFT 2'!$A:$A,"&gt;="&amp;DATE(2026,12,1),'DRAFT 2'!$A:$A,"&lt;="&amp;DATE(2026,12,7))</f>
        <v/>
      </c>
      <c r="IT81">
        <f>COUNTIFS('DRAFT 2'!$D:$D,$B81,'DRAFT 2'!$A:$A,"&gt;="&amp;DATE(2026,12,8),'DRAFT 2'!$A:$A,"&lt;="&amp;DATE(2026,12,14))</f>
        <v/>
      </c>
      <c r="IU81">
        <f>COUNTIFS('DRAFT 2'!$D:$D,$B81,'DRAFT 2'!$A:$A,"&gt;="&amp;DATE(2026,12,15),'DRAFT 2'!$A:$A,"&lt;="&amp;DATE(2026,12,21))</f>
        <v/>
      </c>
      <c r="IV81">
        <f>COUNTIFS('DRAFT 2'!$D:$D,$B81,'DRAFT 2'!$A:$A,"&gt;="&amp;DATE(2026,12,22),'DRAFT 2'!$A:$A,"&lt;"&amp;DATE(2026,IF(12=12,12+1,12+1),1))</f>
        <v/>
      </c>
      <c r="IW81">
        <f>SUM(IS81:IV81)</f>
        <v/>
      </c>
    </row>
    <row r="82">
      <c r="A82">
        <f>IFERROR(INDEX('DRAFT 1'!$A:$A,MATCH($B82,'DRAFT 1'!$B:$B,0)),"")</f>
        <v/>
      </c>
      <c r="C82">
        <f>IFERROR(INDEX('DRAFT 1'!$C:$C,MATCH($B82,'DRAFT 1'!$B:$B,0)),"")</f>
        <v/>
      </c>
      <c r="D82">
        <f>IFERROR(INDEX('DRAFT 1'!$D:$D,MATCH($B82,'DRAFT 1'!$B:$B,0)),"")</f>
        <v/>
      </c>
      <c r="E82">
        <f>IFERROR(INDEX('DRAFT 1'!$E:$E,MATCH($B82,'DRAFT 1'!$B:$B,0)),"")</f>
        <v/>
      </c>
      <c r="F82">
        <f>IFERROR(INDEX('DRAFT 1'!$F:$F,MATCH($B82,'DRAFT 1'!$B:$B,0)),"")</f>
        <v/>
      </c>
      <c r="G82">
        <f>IFERROR(INDEX('DRAFT 1'!$G:$G,MATCH($B82,'DRAFT 1'!$B:$B,0)),"")</f>
        <v/>
      </c>
      <c r="H82">
        <f>IFERROR(INDEX('DRAFT 1'!$H:$H,MATCH($B82,'DRAFT 1'!$B:$B,0)),"")</f>
        <v/>
      </c>
      <c r="I82" t="inlineStr">
        <is>
          <t>DEMAIS CLIENTES</t>
        </is>
      </c>
      <c r="K82">
        <f>IFERROR(INDEX('DRAFT 1'!$AL:$AL,MATCH($B82,'DRAFT 1'!$B:$B,0)),"")</f>
        <v/>
      </c>
      <c r="L82">
        <f>IFERROR(INDEX('DRAFT 1'!$J:$J,MATCH($B82,'DRAFT 1'!$B:$B,0)),"")</f>
        <v/>
      </c>
      <c r="M82">
        <f>IFERROR(INDEX('DRAFT 1'!$K:$K,MATCH($B82,'DRAFT 1'!$B:$B,0)),"")</f>
        <v/>
      </c>
      <c r="N82" t="inlineStr">
        <is>
          <t>EM RISCO</t>
        </is>
      </c>
      <c r="P82">
        <f>IFERROR(INDEX('DRAFT 1'!$L:$L,MATCH($B82,'DRAFT 1'!$B:$B,0)),"")</f>
        <v/>
      </c>
      <c r="Q82">
        <f>IFERROR(INDEX('DRAFT 1'!$M:$M,MATCH($B82,'DRAFT 1'!$B:$B,0)),"")</f>
        <v/>
      </c>
      <c r="R82">
        <f>IFERROR(INDEX('DRAFT 1'!$N:$N,MATCH($B82,'DRAFT 1'!$B:$B,0)),"")</f>
        <v/>
      </c>
      <c r="S82">
        <f>IFERROR(INDEX('DRAFT 1'!$O:$O,MATCH($B82,'DRAFT 1'!$B:$B,0)),"")</f>
        <v/>
      </c>
      <c r="T82">
        <f>IFERROR(INDEX('DRAFT 1'!$P:$P,MATCH($B82,'DRAFT 1'!$B:$B,0)),"")</f>
        <v/>
      </c>
      <c r="U82">
        <f>IFERROR(INDEX('DRAFT 1'!$Q:$Q,MATCH($B82,'DRAFT 1'!$B:$B,0)),"")</f>
        <v/>
      </c>
      <c r="V82">
        <f>IFERROR(INDEX('DRAFT 1'!$R:$R,MATCH($B82,'DRAFT 1'!$B:$B,0)),"")</f>
        <v/>
      </c>
      <c r="W82">
        <f>IFERROR(INDEX('DRAFT 1'!$S:$S,MATCH($B82,'DRAFT 1'!$B:$B,0)),"")</f>
        <v/>
      </c>
      <c r="X82">
        <f>IFERROR(INDEX('DRAFT 1'!$T:$T,MATCH($B82,'DRAFT 1'!$B:$B,0)),"")</f>
        <v/>
      </c>
      <c r="Z82">
        <f>IFERROR(INDEX('DRAFT 1'!$U:$U,MATCH($B82,'DRAFT 1'!$B:$B,0)),"")</f>
        <v/>
      </c>
      <c r="AA82">
        <f>IFERROR(INDEX('DRAFT 1'!$V:$V,MATCH($B82,'DRAFT 1'!$B:$B,0)),"")</f>
        <v/>
      </c>
      <c r="AB82">
        <f>IFERROR(INDEX('DRAFT 1'!$W:$W,MATCH($B82,'DRAFT 1'!$B:$B,0)),"")</f>
        <v/>
      </c>
      <c r="AC82">
        <f>IFERROR(INDEX('DRAFT 1'!$X:$X,MATCH($B82,'DRAFT 1'!$B:$B,0)),"")</f>
        <v/>
      </c>
      <c r="AD82">
        <f>IFERROR(INDEX('DRAFT 1'!$Y:$Y,MATCH($B82,'DRAFT 1'!$B:$B,0)),"")</f>
        <v/>
      </c>
      <c r="AE82">
        <f>IFERROR(INDEX('DRAFT 1'!$Z:$Z,MATCH($B82,'DRAFT 1'!$B:$B,0)),"")</f>
        <v/>
      </c>
      <c r="AF82">
        <f>IFERROR(INDEX('DRAFT 1'!$AA:$AA,MATCH($B82,'DRAFT 1'!$B:$B,0)),"")</f>
        <v/>
      </c>
      <c r="AG82">
        <f>IFERROR(INDEX('DRAFT 1'!$AB:$AB,MATCH($B82,'DRAFT 1'!$B:$B,0)),"")</f>
        <v/>
      </c>
      <c r="AH82">
        <f>IFERROR(INDEX('DRAFT 1'!$AC:$AC,MATCH($B82,'DRAFT 1'!$B:$B,0)),"")</f>
        <v/>
      </c>
      <c r="AI82">
        <f>IFERROR(INDEX('DRAFT 1'!$AD:$AD,MATCH($B82,'DRAFT 1'!$B:$B,0)),"")</f>
        <v/>
      </c>
      <c r="AJ82">
        <f>IFERROR(INDEX('DRAFT 1'!$AE:$AE,MATCH($B82,'DRAFT 1'!$B:$B,0)),"")</f>
        <v/>
      </c>
      <c r="AK82">
        <f>IFERROR(INDEX('DRAFT 1'!$AG:$AG,MATCH($B82,'DRAFT 1'!$B:$B,0)),"")</f>
        <v/>
      </c>
      <c r="AL82">
        <f>IFERROR(INDEX('DRAFT 1'!$AH:$AH,MATCH($B82,'DRAFT 1'!$B:$B,0)),"")</f>
        <v/>
      </c>
      <c r="AM82">
        <f>IFERROR(INDEX('DRAFT 1'!$AI:$AI,MATCH($B82,'DRAFT 1'!$B:$B,0)),"")</f>
        <v/>
      </c>
      <c r="AN82">
        <f>IFERROR(INDEX('DRAFT 1'!$AJ:$AJ,MATCH($B82,'DRAFT 1'!$B:$B,0)),"")</f>
        <v/>
      </c>
      <c r="AO82">
        <f>IFERROR(Y82/AN82,0)</f>
        <v/>
      </c>
      <c r="AP82">
        <f>IFERROR(INDEX('DRAFT 1'!$AK:$AK,MATCH($B82,'DRAFT 1'!$B:$B,0)),"")</f>
        <v/>
      </c>
      <c r="AR82" t="inlineStr">
        <is>
          <t>PÓS-VENDA</t>
        </is>
      </c>
      <c r="AS82">
        <f>IFERROR(LOOKUP(2,1/('DRAFT 2'!$D:$D=$B82),'DRAFT 2'!$T:$T),"")</f>
        <v/>
      </c>
      <c r="AT82">
        <f>IFERROR(LOOKUP(2,1/('DRAFT 2'!$D:$D=$B82),'DRAFT 2'!$A:$A),"")</f>
        <v/>
      </c>
      <c r="AU82">
        <f>IFERROR(LOOKUP(2,1/('DRAFT 2'!$D:$D=$B82),'DRAFT 2'!$R:$R),"")</f>
        <v/>
      </c>
      <c r="AV82">
        <f>IFERROR(LOOKUP(2,1/('DRAFT 2'!$D:$D=$B82),'DRAFT 2'!$S:$S),"")</f>
        <v/>
      </c>
      <c r="AW82" t="inlineStr">
        <is>
          <t>LEAD</t>
        </is>
      </c>
      <c r="AX82">
        <f>IFERROR(LOOKUP(2,1/('DRAFT 2'!$D:$D=$B82),'DRAFT 2'!$M:$M),"")</f>
        <v/>
      </c>
      <c r="AY82">
        <f>IFERROR(LOOKUP(2,1/('DRAFT 2'!$D:$D=$B82),'DRAFT 2'!$K:$K),"")</f>
        <v/>
      </c>
      <c r="BG82">
        <f>IFERROR(LOOKUP(2,1/('DRAFT 2'!$D:$D=$B82),'DRAFT 2'!$U:$U),"")</f>
        <v/>
      </c>
      <c r="BH82">
        <f>IFERROR(LOOKUP(2,1/('DRAFT 2'!$D:$D=$B82),'DRAFT 2'!$V:$V),"")</f>
        <v/>
      </c>
      <c r="CE82">
        <f>IFERROR(AJ82,0)</f>
        <v/>
      </c>
      <c r="CF82">
        <f>IFERROR(LOOKUP(2,1/('DRAFT 2'!$D:$D=$B82)*('DRAFT 2'!$A:$A&gt;=DATE(2026,1,1))*('DRAFT 2'!$A:$A&lt;DATE(2026,IF(1=12,1+1,1+1),1)),'DRAFT 2'!$A:$A),"")</f>
        <v/>
      </c>
      <c r="CG82">
        <f>COUNTIFS('DRAFT 2'!$D:$D,$B82,'DRAFT 2'!$A:$A,"&gt;="&amp;DATE(2026,1,1),'DRAFT 2'!$A:$A,"&lt;="&amp;DATE(2026,1,7))</f>
        <v/>
      </c>
      <c r="CH82">
        <f>COUNTIFS('DRAFT 2'!$D:$D,$B82,'DRAFT 2'!$A:$A,"&gt;="&amp;DATE(2026,1,8),'DRAFT 2'!$A:$A,"&lt;="&amp;DATE(2026,1,14))</f>
        <v/>
      </c>
      <c r="CI82">
        <f>COUNTIFS('DRAFT 2'!$D:$D,$B82,'DRAFT 2'!$A:$A,"&gt;="&amp;DATE(2026,1,15),'DRAFT 2'!$A:$A,"&lt;="&amp;DATE(2026,1,21))</f>
        <v/>
      </c>
      <c r="CJ82">
        <f>COUNTIFS('DRAFT 2'!$D:$D,$B82,'DRAFT 2'!$A:$A,"&gt;="&amp;DATE(2026,1,22),'DRAFT 2'!$A:$A,"&lt;"&amp;DATE(2026,IF(1=12,1+1,1+1),1))</f>
        <v/>
      </c>
      <c r="CK82">
        <f>SUM(CG82:CJ82)</f>
        <v/>
      </c>
      <c r="CT82" t="n">
        <v>0</v>
      </c>
      <c r="CU82">
        <f>IFERROR(LOOKUP(2,1/('DRAFT 2'!$D:$D=$B82)*('DRAFT 2'!$A:$A&gt;=DATE(2026,2,1))*('DRAFT 2'!$A:$A&lt;DATE(2026,IF(2=12,2+1,2+1),1)),'DRAFT 2'!$A:$A),"")</f>
        <v/>
      </c>
      <c r="CV82">
        <f>COUNTIFS('DRAFT 2'!$D:$D,$B82,'DRAFT 2'!$A:$A,"&gt;="&amp;DATE(2026,2,1),'DRAFT 2'!$A:$A,"&lt;="&amp;DATE(2026,2,7))</f>
        <v/>
      </c>
      <c r="CW82">
        <f>COUNTIFS('DRAFT 2'!$D:$D,$B82,'DRAFT 2'!$A:$A,"&gt;="&amp;DATE(2026,2,8),'DRAFT 2'!$A:$A,"&lt;="&amp;DATE(2026,2,14))</f>
        <v/>
      </c>
      <c r="CX82">
        <f>COUNTIFS('DRAFT 2'!$D:$D,$B82,'DRAFT 2'!$A:$A,"&gt;="&amp;DATE(2026,2,15),'DRAFT 2'!$A:$A,"&lt;="&amp;DATE(2026,2,21))</f>
        <v/>
      </c>
      <c r="CY82">
        <f>COUNTIFS('DRAFT 2'!$D:$D,$B82,'DRAFT 2'!$A:$A,"&gt;="&amp;DATE(2026,2,22),'DRAFT 2'!$A:$A,"&lt;"&amp;DATE(2026,IF(2=12,2+1,2+1),1))</f>
        <v/>
      </c>
      <c r="CZ82">
        <f>SUM(CV82:CY82)</f>
        <v/>
      </c>
      <c r="DJ82">
        <f>IFERROR(LOOKUP(2,1/('DRAFT 2'!$D:$D=$B82)*('DRAFT 2'!$A:$A&gt;=DATE(2026,3,1))*('DRAFT 2'!$A:$A&lt;DATE(2026,IF(3=12,3+1,3+1),1)),'DRAFT 2'!$A:$A),"")</f>
        <v/>
      </c>
      <c r="DK82">
        <f>COUNTIFS('DRAFT 2'!$D:$D,$B82,'DRAFT 2'!$A:$A,"&gt;="&amp;DATE(2026,3,1),'DRAFT 2'!$A:$A,"&lt;="&amp;DATE(2026,3,7))</f>
        <v/>
      </c>
      <c r="DL82">
        <f>COUNTIFS('DRAFT 2'!$D:$D,$B82,'DRAFT 2'!$A:$A,"&gt;="&amp;DATE(2026,3,8),'DRAFT 2'!$A:$A,"&lt;="&amp;DATE(2026,3,14))</f>
        <v/>
      </c>
      <c r="DM82">
        <f>COUNTIFS('DRAFT 2'!$D:$D,$B82,'DRAFT 2'!$A:$A,"&gt;="&amp;DATE(2026,3,15),'DRAFT 2'!$A:$A,"&lt;="&amp;DATE(2026,3,21))</f>
        <v/>
      </c>
      <c r="DN82">
        <f>COUNTIFS('DRAFT 2'!$D:$D,$B82,'DRAFT 2'!$A:$A,"&gt;="&amp;DATE(2026,3,22),'DRAFT 2'!$A:$A,"&lt;"&amp;DATE(2026,IF(3=12,3+1,3+1),1))</f>
        <v/>
      </c>
      <c r="DO82">
        <f>SUM(DK82:DN82)</f>
        <v/>
      </c>
      <c r="DZ82">
        <f>IFERROR(LOOKUP(2,1/('DRAFT 2'!$D:$D=$B82)*('DRAFT 2'!$A:$A&gt;=DATE(2026,4,1))*('DRAFT 2'!$A:$A&lt;DATE(2026,IF(4=12,4+1,4+1),1)),'DRAFT 2'!$A:$A),"")</f>
        <v/>
      </c>
      <c r="EA82">
        <f>COUNTIFS('DRAFT 2'!$D:$D,$B82,'DRAFT 2'!$A:$A,"&gt;="&amp;DATE(2026,4,1),'DRAFT 2'!$A:$A,"&lt;="&amp;DATE(2026,4,7))</f>
        <v/>
      </c>
      <c r="EB82">
        <f>COUNTIFS('DRAFT 2'!$D:$D,$B82,'DRAFT 2'!$A:$A,"&gt;="&amp;DATE(2026,4,8),'DRAFT 2'!$A:$A,"&lt;="&amp;DATE(2026,4,14))</f>
        <v/>
      </c>
      <c r="EC82">
        <f>COUNTIFS('DRAFT 2'!$D:$D,$B82,'DRAFT 2'!$A:$A,"&gt;="&amp;DATE(2026,4,15),'DRAFT 2'!$A:$A,"&lt;="&amp;DATE(2026,4,21))</f>
        <v/>
      </c>
      <c r="ED82">
        <f>COUNTIFS('DRAFT 2'!$D:$D,$B82,'DRAFT 2'!$A:$A,"&gt;="&amp;DATE(2026,4,22),'DRAFT 2'!$A:$A,"&lt;"&amp;DATE(2026,IF(4=12,4+1,4+1),1))</f>
        <v/>
      </c>
      <c r="EE82">
        <f>SUM(EA82:ED82)</f>
        <v/>
      </c>
      <c r="EO82">
        <f>IFERROR(LOOKUP(2,1/('DRAFT 2'!$D:$D=$B82)*('DRAFT 2'!$A:$A&gt;=DATE(2026,5,1))*('DRAFT 2'!$A:$A&lt;DATE(2026,IF(5=12,5+1,5+1),1)),'DRAFT 2'!$A:$A),"")</f>
        <v/>
      </c>
      <c r="EP82">
        <f>COUNTIFS('DRAFT 2'!$D:$D,$B82,'DRAFT 2'!$A:$A,"&gt;="&amp;DATE(2026,5,1),'DRAFT 2'!$A:$A,"&lt;="&amp;DATE(2026,5,7))</f>
        <v/>
      </c>
      <c r="EQ82">
        <f>COUNTIFS('DRAFT 2'!$D:$D,$B82,'DRAFT 2'!$A:$A,"&gt;="&amp;DATE(2026,5,8),'DRAFT 2'!$A:$A,"&lt;="&amp;DATE(2026,5,14))</f>
        <v/>
      </c>
      <c r="ER82">
        <f>COUNTIFS('DRAFT 2'!$D:$D,$B82,'DRAFT 2'!$A:$A,"&gt;="&amp;DATE(2026,5,15),'DRAFT 2'!$A:$A,"&lt;="&amp;DATE(2026,5,21))</f>
        <v/>
      </c>
      <c r="ES82">
        <f>COUNTIFS('DRAFT 2'!$D:$D,$B82,'DRAFT 2'!$A:$A,"&gt;="&amp;DATE(2026,5,22),'DRAFT 2'!$A:$A,"&lt;"&amp;DATE(2026,IF(5=12,5+1,5+1),1))</f>
        <v/>
      </c>
      <c r="ET82">
        <f>SUM(EP82:ES82)</f>
        <v/>
      </c>
      <c r="FD82">
        <f>IFERROR(LOOKUP(2,1/('DRAFT 2'!$D:$D=$B82)*('DRAFT 2'!$A:$A&gt;=DATE(2026,6,1))*('DRAFT 2'!$A:$A&lt;DATE(2026,IF(6=12,6+1,6+1),1)),'DRAFT 2'!$A:$A),"")</f>
        <v/>
      </c>
      <c r="FE82">
        <f>COUNTIFS('DRAFT 2'!$D:$D,$B82,'DRAFT 2'!$A:$A,"&gt;="&amp;DATE(2026,6,1),'DRAFT 2'!$A:$A,"&lt;="&amp;DATE(2026,6,7))</f>
        <v/>
      </c>
      <c r="FF82">
        <f>COUNTIFS('DRAFT 2'!$D:$D,$B82,'DRAFT 2'!$A:$A,"&gt;="&amp;DATE(2026,6,8),'DRAFT 2'!$A:$A,"&lt;="&amp;DATE(2026,6,14))</f>
        <v/>
      </c>
      <c r="FG82">
        <f>COUNTIFS('DRAFT 2'!$D:$D,$B82,'DRAFT 2'!$A:$A,"&gt;="&amp;DATE(2026,6,15),'DRAFT 2'!$A:$A,"&lt;="&amp;DATE(2026,6,21))</f>
        <v/>
      </c>
      <c r="FH82">
        <f>COUNTIFS('DRAFT 2'!$D:$D,$B82,'DRAFT 2'!$A:$A,"&gt;="&amp;DATE(2026,6,22),'DRAFT 2'!$A:$A,"&lt;"&amp;DATE(2026,IF(6=12,6+1,6+1),1))</f>
        <v/>
      </c>
      <c r="FI82">
        <f>SUM(FE82:FH82)</f>
        <v/>
      </c>
      <c r="FT82">
        <f>IFERROR(LOOKUP(2,1/('DRAFT 2'!$D:$D=$B82)*('DRAFT 2'!$A:$A&gt;=DATE(2026,7,1))*('DRAFT 2'!$A:$A&lt;DATE(2026,IF(7=12,7+1,7+1),1)),'DRAFT 2'!$A:$A),"")</f>
        <v/>
      </c>
      <c r="FU82">
        <f>COUNTIFS('DRAFT 2'!$D:$D,$B82,'DRAFT 2'!$A:$A,"&gt;="&amp;DATE(2026,7,1),'DRAFT 2'!$A:$A,"&lt;="&amp;DATE(2026,7,7))</f>
        <v/>
      </c>
      <c r="FV82">
        <f>COUNTIFS('DRAFT 2'!$D:$D,$B82,'DRAFT 2'!$A:$A,"&gt;="&amp;DATE(2026,7,8),'DRAFT 2'!$A:$A,"&lt;="&amp;DATE(2026,7,14))</f>
        <v/>
      </c>
      <c r="FW82">
        <f>COUNTIFS('DRAFT 2'!$D:$D,$B82,'DRAFT 2'!$A:$A,"&gt;="&amp;DATE(2026,7,15),'DRAFT 2'!$A:$A,"&lt;="&amp;DATE(2026,7,21))</f>
        <v/>
      </c>
      <c r="FX82">
        <f>COUNTIFS('DRAFT 2'!$D:$D,$B82,'DRAFT 2'!$A:$A,"&gt;="&amp;DATE(2026,7,22),'DRAFT 2'!$A:$A,"&lt;"&amp;DATE(2026,IF(7=12,7+1,7+1),1))</f>
        <v/>
      </c>
      <c r="FY82">
        <f>SUM(FU82:FX82)</f>
        <v/>
      </c>
      <c r="GI82">
        <f>IFERROR(LOOKUP(2,1/('DRAFT 2'!$D:$D=$B82)*('DRAFT 2'!$A:$A&gt;=DATE(2026,8,1))*('DRAFT 2'!$A:$A&lt;DATE(2026,IF(8=12,8+1,8+1),1)),'DRAFT 2'!$A:$A),"")</f>
        <v/>
      </c>
      <c r="GJ82">
        <f>COUNTIFS('DRAFT 2'!$D:$D,$B82,'DRAFT 2'!$A:$A,"&gt;="&amp;DATE(2026,8,1),'DRAFT 2'!$A:$A,"&lt;="&amp;DATE(2026,8,7))</f>
        <v/>
      </c>
      <c r="GK82">
        <f>COUNTIFS('DRAFT 2'!$D:$D,$B82,'DRAFT 2'!$A:$A,"&gt;="&amp;DATE(2026,8,8),'DRAFT 2'!$A:$A,"&lt;="&amp;DATE(2026,8,14))</f>
        <v/>
      </c>
      <c r="GL82">
        <f>COUNTIFS('DRAFT 2'!$D:$D,$B82,'DRAFT 2'!$A:$A,"&gt;="&amp;DATE(2026,8,15),'DRAFT 2'!$A:$A,"&lt;="&amp;DATE(2026,8,21))</f>
        <v/>
      </c>
      <c r="GM82">
        <f>COUNTIFS('DRAFT 2'!$D:$D,$B82,'DRAFT 2'!$A:$A,"&gt;="&amp;DATE(2026,8,22),'DRAFT 2'!$A:$A,"&lt;"&amp;DATE(2026,IF(8=12,8+1,8+1),1))</f>
        <v/>
      </c>
      <c r="GN82">
        <f>SUM(GJ82:GM82)</f>
        <v/>
      </c>
      <c r="GX82">
        <f>IFERROR(LOOKUP(2,1/('DRAFT 2'!$D:$D=$B82)*('DRAFT 2'!$A:$A&gt;=DATE(2026,9,1))*('DRAFT 2'!$A:$A&lt;DATE(2026,IF(9=12,9+1,9+1),1)),'DRAFT 2'!$A:$A),"")</f>
        <v/>
      </c>
      <c r="GY82">
        <f>COUNTIFS('DRAFT 2'!$D:$D,$B82,'DRAFT 2'!$A:$A,"&gt;="&amp;DATE(2026,9,1),'DRAFT 2'!$A:$A,"&lt;="&amp;DATE(2026,9,7))</f>
        <v/>
      </c>
      <c r="GZ82">
        <f>COUNTIFS('DRAFT 2'!$D:$D,$B82,'DRAFT 2'!$A:$A,"&gt;="&amp;DATE(2026,9,8),'DRAFT 2'!$A:$A,"&lt;="&amp;DATE(2026,9,14))</f>
        <v/>
      </c>
      <c r="HA82">
        <f>COUNTIFS('DRAFT 2'!$D:$D,$B82,'DRAFT 2'!$A:$A,"&gt;="&amp;DATE(2026,9,15),'DRAFT 2'!$A:$A,"&lt;="&amp;DATE(2026,9,21))</f>
        <v/>
      </c>
      <c r="HB82">
        <f>COUNTIFS('DRAFT 2'!$D:$D,$B82,'DRAFT 2'!$A:$A,"&gt;="&amp;DATE(2026,9,22),'DRAFT 2'!$A:$A,"&lt;"&amp;DATE(2026,IF(9=12,9+1,9+1),1))</f>
        <v/>
      </c>
      <c r="HC82">
        <f>SUM(GY82:HB82)</f>
        <v/>
      </c>
      <c r="HN82">
        <f>IFERROR(LOOKUP(2,1/('DRAFT 2'!$D:$D=$B82)*('DRAFT 2'!$A:$A&gt;=DATE(2026,10,1))*('DRAFT 2'!$A:$A&lt;DATE(2026,IF(10=12,10+1,10+1),1)),'DRAFT 2'!$A:$A),"")</f>
        <v/>
      </c>
      <c r="HO82">
        <f>COUNTIFS('DRAFT 2'!$D:$D,$B82,'DRAFT 2'!$A:$A,"&gt;="&amp;DATE(2026,10,1),'DRAFT 2'!$A:$A,"&lt;="&amp;DATE(2026,10,7))</f>
        <v/>
      </c>
      <c r="HP82">
        <f>COUNTIFS('DRAFT 2'!$D:$D,$B82,'DRAFT 2'!$A:$A,"&gt;="&amp;DATE(2026,10,8),'DRAFT 2'!$A:$A,"&lt;="&amp;DATE(2026,10,14))</f>
        <v/>
      </c>
      <c r="HQ82">
        <f>COUNTIFS('DRAFT 2'!$D:$D,$B82,'DRAFT 2'!$A:$A,"&gt;="&amp;DATE(2026,10,15),'DRAFT 2'!$A:$A,"&lt;="&amp;DATE(2026,10,21))</f>
        <v/>
      </c>
      <c r="HR82">
        <f>COUNTIFS('DRAFT 2'!$D:$D,$B82,'DRAFT 2'!$A:$A,"&gt;="&amp;DATE(2026,10,22),'DRAFT 2'!$A:$A,"&lt;"&amp;DATE(2026,IF(10=12,10+1,10+1),1))</f>
        <v/>
      </c>
      <c r="HS82">
        <f>SUM(HO82:HR82)</f>
        <v/>
      </c>
      <c r="IC82">
        <f>IFERROR(LOOKUP(2,1/('DRAFT 2'!$D:$D=$B82)*('DRAFT 2'!$A:$A&gt;=DATE(2026,11,1))*('DRAFT 2'!$A:$A&lt;DATE(2026,IF(11=12,11+1,11+1),1)),'DRAFT 2'!$A:$A),"")</f>
        <v/>
      </c>
      <c r="ID82">
        <f>COUNTIFS('DRAFT 2'!$D:$D,$B82,'DRAFT 2'!$A:$A,"&gt;="&amp;DATE(2026,11,1),'DRAFT 2'!$A:$A,"&lt;="&amp;DATE(2026,11,7))</f>
        <v/>
      </c>
      <c r="IE82">
        <f>COUNTIFS('DRAFT 2'!$D:$D,$B82,'DRAFT 2'!$A:$A,"&gt;="&amp;DATE(2026,11,8),'DRAFT 2'!$A:$A,"&lt;="&amp;DATE(2026,11,14))</f>
        <v/>
      </c>
      <c r="IF82">
        <f>COUNTIFS('DRAFT 2'!$D:$D,$B82,'DRAFT 2'!$A:$A,"&gt;="&amp;DATE(2026,11,15),'DRAFT 2'!$A:$A,"&lt;="&amp;DATE(2026,11,21))</f>
        <v/>
      </c>
      <c r="IG82">
        <f>COUNTIFS('DRAFT 2'!$D:$D,$B82,'DRAFT 2'!$A:$A,"&gt;="&amp;DATE(2026,11,22),'DRAFT 2'!$A:$A,"&lt;"&amp;DATE(2026,IF(11=12,11+1,11+1),1))</f>
        <v/>
      </c>
      <c r="IH82">
        <f>SUM(ID82:IG82)</f>
        <v/>
      </c>
      <c r="IR82">
        <f>IFERROR(LOOKUP(2,1/('DRAFT 2'!$D:$D=$B82)*('DRAFT 2'!$A:$A&gt;=DATE(2026,12,1))*('DRAFT 2'!$A:$A&lt;DATE(2026,IF(12=12,12+1,12+1),1)),'DRAFT 2'!$A:$A),"")</f>
        <v/>
      </c>
      <c r="IS82">
        <f>COUNTIFS('DRAFT 2'!$D:$D,$B82,'DRAFT 2'!$A:$A,"&gt;="&amp;DATE(2026,12,1),'DRAFT 2'!$A:$A,"&lt;="&amp;DATE(2026,12,7))</f>
        <v/>
      </c>
      <c r="IT82">
        <f>COUNTIFS('DRAFT 2'!$D:$D,$B82,'DRAFT 2'!$A:$A,"&gt;="&amp;DATE(2026,12,8),'DRAFT 2'!$A:$A,"&lt;="&amp;DATE(2026,12,14))</f>
        <v/>
      </c>
      <c r="IU82">
        <f>COUNTIFS('DRAFT 2'!$D:$D,$B82,'DRAFT 2'!$A:$A,"&gt;="&amp;DATE(2026,12,15),'DRAFT 2'!$A:$A,"&lt;="&amp;DATE(2026,12,21))</f>
        <v/>
      </c>
      <c r="IV82">
        <f>COUNTIFS('DRAFT 2'!$D:$D,$B82,'DRAFT 2'!$A:$A,"&gt;="&amp;DATE(2026,12,22),'DRAFT 2'!$A:$A,"&lt;"&amp;DATE(2026,IF(12=12,12+1,12+1),1))</f>
        <v/>
      </c>
      <c r="IW82">
        <f>SUM(IS82:IV82)</f>
        <v/>
      </c>
    </row>
    <row r="83">
      <c r="A83">
        <f>IFERROR(INDEX('DRAFT 1'!$A:$A,MATCH($B83,'DRAFT 1'!$B:$B,0)),"")</f>
        <v/>
      </c>
      <c r="C83">
        <f>IFERROR(INDEX('DRAFT 1'!$C:$C,MATCH($B83,'DRAFT 1'!$B:$B,0)),"")</f>
        <v/>
      </c>
      <c r="D83">
        <f>IFERROR(INDEX('DRAFT 1'!$D:$D,MATCH($B83,'DRAFT 1'!$B:$B,0)),"")</f>
        <v/>
      </c>
      <c r="E83">
        <f>IFERROR(INDEX('DRAFT 1'!$E:$E,MATCH($B83,'DRAFT 1'!$B:$B,0)),"")</f>
        <v/>
      </c>
      <c r="F83">
        <f>IFERROR(INDEX('DRAFT 1'!$F:$F,MATCH($B83,'DRAFT 1'!$B:$B,0)),"")</f>
        <v/>
      </c>
      <c r="G83">
        <f>IFERROR(INDEX('DRAFT 1'!$G:$G,MATCH($B83,'DRAFT 1'!$B:$B,0)),"")</f>
        <v/>
      </c>
      <c r="H83">
        <f>IFERROR(INDEX('DRAFT 1'!$H:$H,MATCH($B83,'DRAFT 1'!$B:$B,0)),"")</f>
        <v/>
      </c>
      <c r="I83" t="inlineStr">
        <is>
          <t>FIT LAND</t>
        </is>
      </c>
      <c r="K83">
        <f>IFERROR(INDEX('DRAFT 1'!$AL:$AL,MATCH($B83,'DRAFT 1'!$B:$B,0)),"")</f>
        <v/>
      </c>
      <c r="L83">
        <f>IFERROR(INDEX('DRAFT 1'!$J:$J,MATCH($B83,'DRAFT 1'!$B:$B,0)),"")</f>
        <v/>
      </c>
      <c r="M83">
        <f>IFERROR(INDEX('DRAFT 1'!$K:$K,MATCH($B83,'DRAFT 1'!$B:$B,0)),"")</f>
        <v/>
      </c>
      <c r="N83" t="inlineStr">
        <is>
          <t>INAT.ANT</t>
        </is>
      </c>
      <c r="P83">
        <f>IFERROR(INDEX('DRAFT 1'!$L:$L,MATCH($B83,'DRAFT 1'!$B:$B,0)),"")</f>
        <v/>
      </c>
      <c r="Q83">
        <f>IFERROR(INDEX('DRAFT 1'!$M:$M,MATCH($B83,'DRAFT 1'!$B:$B,0)),"")</f>
        <v/>
      </c>
      <c r="R83">
        <f>IFERROR(INDEX('DRAFT 1'!$N:$N,MATCH($B83,'DRAFT 1'!$B:$B,0)),"")</f>
        <v/>
      </c>
      <c r="S83">
        <f>IFERROR(INDEX('DRAFT 1'!$O:$O,MATCH($B83,'DRAFT 1'!$B:$B,0)),"")</f>
        <v/>
      </c>
      <c r="T83">
        <f>IFERROR(INDEX('DRAFT 1'!$P:$P,MATCH($B83,'DRAFT 1'!$B:$B,0)),"")</f>
        <v/>
      </c>
      <c r="U83">
        <f>IFERROR(INDEX('DRAFT 1'!$Q:$Q,MATCH($B83,'DRAFT 1'!$B:$B,0)),"")</f>
        <v/>
      </c>
      <c r="V83">
        <f>IFERROR(INDEX('DRAFT 1'!$R:$R,MATCH($B83,'DRAFT 1'!$B:$B,0)),"")</f>
        <v/>
      </c>
      <c r="W83">
        <f>IFERROR(INDEX('DRAFT 1'!$S:$S,MATCH($B83,'DRAFT 1'!$B:$B,0)),"")</f>
        <v/>
      </c>
      <c r="X83">
        <f>IFERROR(INDEX('DRAFT 1'!$T:$T,MATCH($B83,'DRAFT 1'!$B:$B,0)),"")</f>
        <v/>
      </c>
      <c r="Z83">
        <f>IFERROR(INDEX('DRAFT 1'!$U:$U,MATCH($B83,'DRAFT 1'!$B:$B,0)),"")</f>
        <v/>
      </c>
      <c r="AA83">
        <f>IFERROR(INDEX('DRAFT 1'!$V:$V,MATCH($B83,'DRAFT 1'!$B:$B,0)),"")</f>
        <v/>
      </c>
      <c r="AB83">
        <f>IFERROR(INDEX('DRAFT 1'!$W:$W,MATCH($B83,'DRAFT 1'!$B:$B,0)),"")</f>
        <v/>
      </c>
      <c r="AC83">
        <f>IFERROR(INDEX('DRAFT 1'!$X:$X,MATCH($B83,'DRAFT 1'!$B:$B,0)),"")</f>
        <v/>
      </c>
      <c r="AD83">
        <f>IFERROR(INDEX('DRAFT 1'!$Y:$Y,MATCH($B83,'DRAFT 1'!$B:$B,0)),"")</f>
        <v/>
      </c>
      <c r="AE83">
        <f>IFERROR(INDEX('DRAFT 1'!$Z:$Z,MATCH($B83,'DRAFT 1'!$B:$B,0)),"")</f>
        <v/>
      </c>
      <c r="AF83">
        <f>IFERROR(INDEX('DRAFT 1'!$AA:$AA,MATCH($B83,'DRAFT 1'!$B:$B,0)),"")</f>
        <v/>
      </c>
      <c r="AG83">
        <f>IFERROR(INDEX('DRAFT 1'!$AB:$AB,MATCH($B83,'DRAFT 1'!$B:$B,0)),"")</f>
        <v/>
      </c>
      <c r="AH83">
        <f>IFERROR(INDEX('DRAFT 1'!$AC:$AC,MATCH($B83,'DRAFT 1'!$B:$B,0)),"")</f>
        <v/>
      </c>
      <c r="AI83">
        <f>IFERROR(INDEX('DRAFT 1'!$AD:$AD,MATCH($B83,'DRAFT 1'!$B:$B,0)),"")</f>
        <v/>
      </c>
      <c r="AJ83">
        <f>IFERROR(INDEX('DRAFT 1'!$AE:$AE,MATCH($B83,'DRAFT 1'!$B:$B,0)),"")</f>
        <v/>
      </c>
      <c r="AK83">
        <f>IFERROR(INDEX('DRAFT 1'!$AG:$AG,MATCH($B83,'DRAFT 1'!$B:$B,0)),"")</f>
        <v/>
      </c>
      <c r="AL83">
        <f>IFERROR(INDEX('DRAFT 1'!$AH:$AH,MATCH($B83,'DRAFT 1'!$B:$B,0)),"")</f>
        <v/>
      </c>
      <c r="AM83">
        <f>IFERROR(INDEX('DRAFT 1'!$AI:$AI,MATCH($B83,'DRAFT 1'!$B:$B,0)),"")</f>
        <v/>
      </c>
      <c r="AN83">
        <f>IFERROR(INDEX('DRAFT 1'!$AJ:$AJ,MATCH($B83,'DRAFT 1'!$B:$B,0)),"")</f>
        <v/>
      </c>
      <c r="AO83">
        <f>IFERROR(Y83/AN83,0)</f>
        <v/>
      </c>
      <c r="AP83">
        <f>IFERROR(INDEX('DRAFT 1'!$AK:$AK,MATCH($B83,'DRAFT 1'!$B:$B,0)),"")</f>
        <v/>
      </c>
      <c r="AR83" t="inlineStr">
        <is>
          <t>RECOMPRA</t>
        </is>
      </c>
      <c r="AS83">
        <f>IFERROR(LOOKUP(2,1/('DRAFT 2'!$D:$D=$B83),'DRAFT 2'!$T:$T),"")</f>
        <v/>
      </c>
      <c r="AT83">
        <f>IFERROR(LOOKUP(2,1/('DRAFT 2'!$D:$D=$B83),'DRAFT 2'!$A:$A),"")</f>
        <v/>
      </c>
      <c r="AU83">
        <f>IFERROR(LOOKUP(2,1/('DRAFT 2'!$D:$D=$B83),'DRAFT 2'!$R:$R),"")</f>
        <v/>
      </c>
      <c r="AV83">
        <f>IFERROR(LOOKUP(2,1/('DRAFT 2'!$D:$D=$B83),'DRAFT 2'!$S:$S),"")</f>
        <v/>
      </c>
      <c r="AW83" t="inlineStr">
        <is>
          <t>PROSPECT</t>
        </is>
      </c>
      <c r="AX83">
        <f>IFERROR(LOOKUP(2,1/('DRAFT 2'!$D:$D=$B83),'DRAFT 2'!$M:$M),"")</f>
        <v/>
      </c>
      <c r="AY83">
        <f>IFERROR(LOOKUP(2,1/('DRAFT 2'!$D:$D=$B83),'DRAFT 2'!$K:$K),"")</f>
        <v/>
      </c>
      <c r="BG83">
        <f>IFERROR(LOOKUP(2,1/('DRAFT 2'!$D:$D=$B83),'DRAFT 2'!$U:$U),"")</f>
        <v/>
      </c>
      <c r="BH83">
        <f>IFERROR(LOOKUP(2,1/('DRAFT 2'!$D:$D=$B83),'DRAFT 2'!$V:$V),"")</f>
        <v/>
      </c>
      <c r="CE83">
        <f>IFERROR(AJ83,0)</f>
        <v/>
      </c>
      <c r="CF83">
        <f>IFERROR(LOOKUP(2,1/('DRAFT 2'!$D:$D=$B83)*('DRAFT 2'!$A:$A&gt;=DATE(2026,1,1))*('DRAFT 2'!$A:$A&lt;DATE(2026,IF(1=12,1+1,1+1),1)),'DRAFT 2'!$A:$A),"")</f>
        <v/>
      </c>
      <c r="CG83">
        <f>COUNTIFS('DRAFT 2'!$D:$D,$B83,'DRAFT 2'!$A:$A,"&gt;="&amp;DATE(2026,1,1),'DRAFT 2'!$A:$A,"&lt;="&amp;DATE(2026,1,7))</f>
        <v/>
      </c>
      <c r="CH83">
        <f>COUNTIFS('DRAFT 2'!$D:$D,$B83,'DRAFT 2'!$A:$A,"&gt;="&amp;DATE(2026,1,8),'DRAFT 2'!$A:$A,"&lt;="&amp;DATE(2026,1,14))</f>
        <v/>
      </c>
      <c r="CI83">
        <f>COUNTIFS('DRAFT 2'!$D:$D,$B83,'DRAFT 2'!$A:$A,"&gt;="&amp;DATE(2026,1,15),'DRAFT 2'!$A:$A,"&lt;="&amp;DATE(2026,1,21))</f>
        <v/>
      </c>
      <c r="CJ83">
        <f>COUNTIFS('DRAFT 2'!$D:$D,$B83,'DRAFT 2'!$A:$A,"&gt;="&amp;DATE(2026,1,22),'DRAFT 2'!$A:$A,"&lt;"&amp;DATE(2026,IF(1=12,1+1,1+1),1))</f>
        <v/>
      </c>
      <c r="CK83">
        <f>SUM(CG83:CJ83)</f>
        <v/>
      </c>
      <c r="CT83" t="n">
        <v>0</v>
      </c>
      <c r="CU83">
        <f>IFERROR(LOOKUP(2,1/('DRAFT 2'!$D:$D=$B83)*('DRAFT 2'!$A:$A&gt;=DATE(2026,2,1))*('DRAFT 2'!$A:$A&lt;DATE(2026,IF(2=12,2+1,2+1),1)),'DRAFT 2'!$A:$A),"")</f>
        <v/>
      </c>
      <c r="CV83">
        <f>COUNTIFS('DRAFT 2'!$D:$D,$B83,'DRAFT 2'!$A:$A,"&gt;="&amp;DATE(2026,2,1),'DRAFT 2'!$A:$A,"&lt;="&amp;DATE(2026,2,7))</f>
        <v/>
      </c>
      <c r="CW83">
        <f>COUNTIFS('DRAFT 2'!$D:$D,$B83,'DRAFT 2'!$A:$A,"&gt;="&amp;DATE(2026,2,8),'DRAFT 2'!$A:$A,"&lt;="&amp;DATE(2026,2,14))</f>
        <v/>
      </c>
      <c r="CX83">
        <f>COUNTIFS('DRAFT 2'!$D:$D,$B83,'DRAFT 2'!$A:$A,"&gt;="&amp;DATE(2026,2,15),'DRAFT 2'!$A:$A,"&lt;="&amp;DATE(2026,2,21))</f>
        <v/>
      </c>
      <c r="CY83">
        <f>COUNTIFS('DRAFT 2'!$D:$D,$B83,'DRAFT 2'!$A:$A,"&gt;="&amp;DATE(2026,2,22),'DRAFT 2'!$A:$A,"&lt;"&amp;DATE(2026,IF(2=12,2+1,2+1),1))</f>
        <v/>
      </c>
      <c r="CZ83">
        <f>SUM(CV83:CY83)</f>
        <v/>
      </c>
      <c r="DJ83">
        <f>IFERROR(LOOKUP(2,1/('DRAFT 2'!$D:$D=$B83)*('DRAFT 2'!$A:$A&gt;=DATE(2026,3,1))*('DRAFT 2'!$A:$A&lt;DATE(2026,IF(3=12,3+1,3+1),1)),'DRAFT 2'!$A:$A),"")</f>
        <v/>
      </c>
      <c r="DK83">
        <f>COUNTIFS('DRAFT 2'!$D:$D,$B83,'DRAFT 2'!$A:$A,"&gt;="&amp;DATE(2026,3,1),'DRAFT 2'!$A:$A,"&lt;="&amp;DATE(2026,3,7))</f>
        <v/>
      </c>
      <c r="DL83">
        <f>COUNTIFS('DRAFT 2'!$D:$D,$B83,'DRAFT 2'!$A:$A,"&gt;="&amp;DATE(2026,3,8),'DRAFT 2'!$A:$A,"&lt;="&amp;DATE(2026,3,14))</f>
        <v/>
      </c>
      <c r="DM83">
        <f>COUNTIFS('DRAFT 2'!$D:$D,$B83,'DRAFT 2'!$A:$A,"&gt;="&amp;DATE(2026,3,15),'DRAFT 2'!$A:$A,"&lt;="&amp;DATE(2026,3,21))</f>
        <v/>
      </c>
      <c r="DN83">
        <f>COUNTIFS('DRAFT 2'!$D:$D,$B83,'DRAFT 2'!$A:$A,"&gt;="&amp;DATE(2026,3,22),'DRAFT 2'!$A:$A,"&lt;"&amp;DATE(2026,IF(3=12,3+1,3+1),1))</f>
        <v/>
      </c>
      <c r="DO83">
        <f>SUM(DK83:DN83)</f>
        <v/>
      </c>
      <c r="DZ83">
        <f>IFERROR(LOOKUP(2,1/('DRAFT 2'!$D:$D=$B83)*('DRAFT 2'!$A:$A&gt;=DATE(2026,4,1))*('DRAFT 2'!$A:$A&lt;DATE(2026,IF(4=12,4+1,4+1),1)),'DRAFT 2'!$A:$A),"")</f>
        <v/>
      </c>
      <c r="EA83">
        <f>COUNTIFS('DRAFT 2'!$D:$D,$B83,'DRAFT 2'!$A:$A,"&gt;="&amp;DATE(2026,4,1),'DRAFT 2'!$A:$A,"&lt;="&amp;DATE(2026,4,7))</f>
        <v/>
      </c>
      <c r="EB83">
        <f>COUNTIFS('DRAFT 2'!$D:$D,$B83,'DRAFT 2'!$A:$A,"&gt;="&amp;DATE(2026,4,8),'DRAFT 2'!$A:$A,"&lt;="&amp;DATE(2026,4,14))</f>
        <v/>
      </c>
      <c r="EC83">
        <f>COUNTIFS('DRAFT 2'!$D:$D,$B83,'DRAFT 2'!$A:$A,"&gt;="&amp;DATE(2026,4,15),'DRAFT 2'!$A:$A,"&lt;="&amp;DATE(2026,4,21))</f>
        <v/>
      </c>
      <c r="ED83">
        <f>COUNTIFS('DRAFT 2'!$D:$D,$B83,'DRAFT 2'!$A:$A,"&gt;="&amp;DATE(2026,4,22),'DRAFT 2'!$A:$A,"&lt;"&amp;DATE(2026,IF(4=12,4+1,4+1),1))</f>
        <v/>
      </c>
      <c r="EE83">
        <f>SUM(EA83:ED83)</f>
        <v/>
      </c>
      <c r="EO83">
        <f>IFERROR(LOOKUP(2,1/('DRAFT 2'!$D:$D=$B83)*('DRAFT 2'!$A:$A&gt;=DATE(2026,5,1))*('DRAFT 2'!$A:$A&lt;DATE(2026,IF(5=12,5+1,5+1),1)),'DRAFT 2'!$A:$A),"")</f>
        <v/>
      </c>
      <c r="EP83">
        <f>COUNTIFS('DRAFT 2'!$D:$D,$B83,'DRAFT 2'!$A:$A,"&gt;="&amp;DATE(2026,5,1),'DRAFT 2'!$A:$A,"&lt;="&amp;DATE(2026,5,7))</f>
        <v/>
      </c>
      <c r="EQ83">
        <f>COUNTIFS('DRAFT 2'!$D:$D,$B83,'DRAFT 2'!$A:$A,"&gt;="&amp;DATE(2026,5,8),'DRAFT 2'!$A:$A,"&lt;="&amp;DATE(2026,5,14))</f>
        <v/>
      </c>
      <c r="ER83">
        <f>COUNTIFS('DRAFT 2'!$D:$D,$B83,'DRAFT 2'!$A:$A,"&gt;="&amp;DATE(2026,5,15),'DRAFT 2'!$A:$A,"&lt;="&amp;DATE(2026,5,21))</f>
        <v/>
      </c>
      <c r="ES83">
        <f>COUNTIFS('DRAFT 2'!$D:$D,$B83,'DRAFT 2'!$A:$A,"&gt;="&amp;DATE(2026,5,22),'DRAFT 2'!$A:$A,"&lt;"&amp;DATE(2026,IF(5=12,5+1,5+1),1))</f>
        <v/>
      </c>
      <c r="ET83">
        <f>SUM(EP83:ES83)</f>
        <v/>
      </c>
      <c r="FD83">
        <f>IFERROR(LOOKUP(2,1/('DRAFT 2'!$D:$D=$B83)*('DRAFT 2'!$A:$A&gt;=DATE(2026,6,1))*('DRAFT 2'!$A:$A&lt;DATE(2026,IF(6=12,6+1,6+1),1)),'DRAFT 2'!$A:$A),"")</f>
        <v/>
      </c>
      <c r="FE83">
        <f>COUNTIFS('DRAFT 2'!$D:$D,$B83,'DRAFT 2'!$A:$A,"&gt;="&amp;DATE(2026,6,1),'DRAFT 2'!$A:$A,"&lt;="&amp;DATE(2026,6,7))</f>
        <v/>
      </c>
      <c r="FF83">
        <f>COUNTIFS('DRAFT 2'!$D:$D,$B83,'DRAFT 2'!$A:$A,"&gt;="&amp;DATE(2026,6,8),'DRAFT 2'!$A:$A,"&lt;="&amp;DATE(2026,6,14))</f>
        <v/>
      </c>
      <c r="FG83">
        <f>COUNTIFS('DRAFT 2'!$D:$D,$B83,'DRAFT 2'!$A:$A,"&gt;="&amp;DATE(2026,6,15),'DRAFT 2'!$A:$A,"&lt;="&amp;DATE(2026,6,21))</f>
        <v/>
      </c>
      <c r="FH83">
        <f>COUNTIFS('DRAFT 2'!$D:$D,$B83,'DRAFT 2'!$A:$A,"&gt;="&amp;DATE(2026,6,22),'DRAFT 2'!$A:$A,"&lt;"&amp;DATE(2026,IF(6=12,6+1,6+1),1))</f>
        <v/>
      </c>
      <c r="FI83">
        <f>SUM(FE83:FH83)</f>
        <v/>
      </c>
      <c r="FT83">
        <f>IFERROR(LOOKUP(2,1/('DRAFT 2'!$D:$D=$B83)*('DRAFT 2'!$A:$A&gt;=DATE(2026,7,1))*('DRAFT 2'!$A:$A&lt;DATE(2026,IF(7=12,7+1,7+1),1)),'DRAFT 2'!$A:$A),"")</f>
        <v/>
      </c>
      <c r="FU83">
        <f>COUNTIFS('DRAFT 2'!$D:$D,$B83,'DRAFT 2'!$A:$A,"&gt;="&amp;DATE(2026,7,1),'DRAFT 2'!$A:$A,"&lt;="&amp;DATE(2026,7,7))</f>
        <v/>
      </c>
      <c r="FV83">
        <f>COUNTIFS('DRAFT 2'!$D:$D,$B83,'DRAFT 2'!$A:$A,"&gt;="&amp;DATE(2026,7,8),'DRAFT 2'!$A:$A,"&lt;="&amp;DATE(2026,7,14))</f>
        <v/>
      </c>
      <c r="FW83">
        <f>COUNTIFS('DRAFT 2'!$D:$D,$B83,'DRAFT 2'!$A:$A,"&gt;="&amp;DATE(2026,7,15),'DRAFT 2'!$A:$A,"&lt;="&amp;DATE(2026,7,21))</f>
        <v/>
      </c>
      <c r="FX83">
        <f>COUNTIFS('DRAFT 2'!$D:$D,$B83,'DRAFT 2'!$A:$A,"&gt;="&amp;DATE(2026,7,22),'DRAFT 2'!$A:$A,"&lt;"&amp;DATE(2026,IF(7=12,7+1,7+1),1))</f>
        <v/>
      </c>
      <c r="FY83">
        <f>SUM(FU83:FX83)</f>
        <v/>
      </c>
      <c r="GI83">
        <f>IFERROR(LOOKUP(2,1/('DRAFT 2'!$D:$D=$B83)*('DRAFT 2'!$A:$A&gt;=DATE(2026,8,1))*('DRAFT 2'!$A:$A&lt;DATE(2026,IF(8=12,8+1,8+1),1)),'DRAFT 2'!$A:$A),"")</f>
        <v/>
      </c>
      <c r="GJ83">
        <f>COUNTIFS('DRAFT 2'!$D:$D,$B83,'DRAFT 2'!$A:$A,"&gt;="&amp;DATE(2026,8,1),'DRAFT 2'!$A:$A,"&lt;="&amp;DATE(2026,8,7))</f>
        <v/>
      </c>
      <c r="GK83">
        <f>COUNTIFS('DRAFT 2'!$D:$D,$B83,'DRAFT 2'!$A:$A,"&gt;="&amp;DATE(2026,8,8),'DRAFT 2'!$A:$A,"&lt;="&amp;DATE(2026,8,14))</f>
        <v/>
      </c>
      <c r="GL83">
        <f>COUNTIFS('DRAFT 2'!$D:$D,$B83,'DRAFT 2'!$A:$A,"&gt;="&amp;DATE(2026,8,15),'DRAFT 2'!$A:$A,"&lt;="&amp;DATE(2026,8,21))</f>
        <v/>
      </c>
      <c r="GM83">
        <f>COUNTIFS('DRAFT 2'!$D:$D,$B83,'DRAFT 2'!$A:$A,"&gt;="&amp;DATE(2026,8,22),'DRAFT 2'!$A:$A,"&lt;"&amp;DATE(2026,IF(8=12,8+1,8+1),1))</f>
        <v/>
      </c>
      <c r="GN83">
        <f>SUM(GJ83:GM83)</f>
        <v/>
      </c>
      <c r="GX83">
        <f>IFERROR(LOOKUP(2,1/('DRAFT 2'!$D:$D=$B83)*('DRAFT 2'!$A:$A&gt;=DATE(2026,9,1))*('DRAFT 2'!$A:$A&lt;DATE(2026,IF(9=12,9+1,9+1),1)),'DRAFT 2'!$A:$A),"")</f>
        <v/>
      </c>
      <c r="GY83">
        <f>COUNTIFS('DRAFT 2'!$D:$D,$B83,'DRAFT 2'!$A:$A,"&gt;="&amp;DATE(2026,9,1),'DRAFT 2'!$A:$A,"&lt;="&amp;DATE(2026,9,7))</f>
        <v/>
      </c>
      <c r="GZ83">
        <f>COUNTIFS('DRAFT 2'!$D:$D,$B83,'DRAFT 2'!$A:$A,"&gt;="&amp;DATE(2026,9,8),'DRAFT 2'!$A:$A,"&lt;="&amp;DATE(2026,9,14))</f>
        <v/>
      </c>
      <c r="HA83">
        <f>COUNTIFS('DRAFT 2'!$D:$D,$B83,'DRAFT 2'!$A:$A,"&gt;="&amp;DATE(2026,9,15),'DRAFT 2'!$A:$A,"&lt;="&amp;DATE(2026,9,21))</f>
        <v/>
      </c>
      <c r="HB83">
        <f>COUNTIFS('DRAFT 2'!$D:$D,$B83,'DRAFT 2'!$A:$A,"&gt;="&amp;DATE(2026,9,22),'DRAFT 2'!$A:$A,"&lt;"&amp;DATE(2026,IF(9=12,9+1,9+1),1))</f>
        <v/>
      </c>
      <c r="HC83">
        <f>SUM(GY83:HB83)</f>
        <v/>
      </c>
      <c r="HN83">
        <f>IFERROR(LOOKUP(2,1/('DRAFT 2'!$D:$D=$B83)*('DRAFT 2'!$A:$A&gt;=DATE(2026,10,1))*('DRAFT 2'!$A:$A&lt;DATE(2026,IF(10=12,10+1,10+1),1)),'DRAFT 2'!$A:$A),"")</f>
        <v/>
      </c>
      <c r="HO83">
        <f>COUNTIFS('DRAFT 2'!$D:$D,$B83,'DRAFT 2'!$A:$A,"&gt;="&amp;DATE(2026,10,1),'DRAFT 2'!$A:$A,"&lt;="&amp;DATE(2026,10,7))</f>
        <v/>
      </c>
      <c r="HP83">
        <f>COUNTIFS('DRAFT 2'!$D:$D,$B83,'DRAFT 2'!$A:$A,"&gt;="&amp;DATE(2026,10,8),'DRAFT 2'!$A:$A,"&lt;="&amp;DATE(2026,10,14))</f>
        <v/>
      </c>
      <c r="HQ83">
        <f>COUNTIFS('DRAFT 2'!$D:$D,$B83,'DRAFT 2'!$A:$A,"&gt;="&amp;DATE(2026,10,15),'DRAFT 2'!$A:$A,"&lt;="&amp;DATE(2026,10,21))</f>
        <v/>
      </c>
      <c r="HR83">
        <f>COUNTIFS('DRAFT 2'!$D:$D,$B83,'DRAFT 2'!$A:$A,"&gt;="&amp;DATE(2026,10,22),'DRAFT 2'!$A:$A,"&lt;"&amp;DATE(2026,IF(10=12,10+1,10+1),1))</f>
        <v/>
      </c>
      <c r="HS83">
        <f>SUM(HO83:HR83)</f>
        <v/>
      </c>
      <c r="IC83">
        <f>IFERROR(LOOKUP(2,1/('DRAFT 2'!$D:$D=$B83)*('DRAFT 2'!$A:$A&gt;=DATE(2026,11,1))*('DRAFT 2'!$A:$A&lt;DATE(2026,IF(11=12,11+1,11+1),1)),'DRAFT 2'!$A:$A),"")</f>
        <v/>
      </c>
      <c r="ID83">
        <f>COUNTIFS('DRAFT 2'!$D:$D,$B83,'DRAFT 2'!$A:$A,"&gt;="&amp;DATE(2026,11,1),'DRAFT 2'!$A:$A,"&lt;="&amp;DATE(2026,11,7))</f>
        <v/>
      </c>
      <c r="IE83">
        <f>COUNTIFS('DRAFT 2'!$D:$D,$B83,'DRAFT 2'!$A:$A,"&gt;="&amp;DATE(2026,11,8),'DRAFT 2'!$A:$A,"&lt;="&amp;DATE(2026,11,14))</f>
        <v/>
      </c>
      <c r="IF83">
        <f>COUNTIFS('DRAFT 2'!$D:$D,$B83,'DRAFT 2'!$A:$A,"&gt;="&amp;DATE(2026,11,15),'DRAFT 2'!$A:$A,"&lt;="&amp;DATE(2026,11,21))</f>
        <v/>
      </c>
      <c r="IG83">
        <f>COUNTIFS('DRAFT 2'!$D:$D,$B83,'DRAFT 2'!$A:$A,"&gt;="&amp;DATE(2026,11,22),'DRAFT 2'!$A:$A,"&lt;"&amp;DATE(2026,IF(11=12,11+1,11+1),1))</f>
        <v/>
      </c>
      <c r="IH83">
        <f>SUM(ID83:IG83)</f>
        <v/>
      </c>
      <c r="IR83">
        <f>IFERROR(LOOKUP(2,1/('DRAFT 2'!$D:$D=$B83)*('DRAFT 2'!$A:$A&gt;=DATE(2026,12,1))*('DRAFT 2'!$A:$A&lt;DATE(2026,IF(12=12,12+1,12+1),1)),'DRAFT 2'!$A:$A),"")</f>
        <v/>
      </c>
      <c r="IS83">
        <f>COUNTIFS('DRAFT 2'!$D:$D,$B83,'DRAFT 2'!$A:$A,"&gt;="&amp;DATE(2026,12,1),'DRAFT 2'!$A:$A,"&lt;="&amp;DATE(2026,12,7))</f>
        <v/>
      </c>
      <c r="IT83">
        <f>COUNTIFS('DRAFT 2'!$D:$D,$B83,'DRAFT 2'!$A:$A,"&gt;="&amp;DATE(2026,12,8),'DRAFT 2'!$A:$A,"&lt;="&amp;DATE(2026,12,14))</f>
        <v/>
      </c>
      <c r="IU83">
        <f>COUNTIFS('DRAFT 2'!$D:$D,$B83,'DRAFT 2'!$A:$A,"&gt;="&amp;DATE(2026,12,15),'DRAFT 2'!$A:$A,"&lt;="&amp;DATE(2026,12,21))</f>
        <v/>
      </c>
      <c r="IV83">
        <f>COUNTIFS('DRAFT 2'!$D:$D,$B83,'DRAFT 2'!$A:$A,"&gt;="&amp;DATE(2026,12,22),'DRAFT 2'!$A:$A,"&lt;"&amp;DATE(2026,IF(12=12,12+1,12+1),1))</f>
        <v/>
      </c>
      <c r="IW83">
        <f>SUM(IS83:IV83)</f>
        <v/>
      </c>
    </row>
    <row r="84">
      <c r="A84">
        <f>IFERROR(INDEX('DRAFT 1'!$A:$A,MATCH($B84,'DRAFT 1'!$B:$B,0)),"")</f>
        <v/>
      </c>
      <c r="C84">
        <f>IFERROR(INDEX('DRAFT 1'!$C:$C,MATCH($B84,'DRAFT 1'!$B:$B,0)),"")</f>
        <v/>
      </c>
      <c r="D84">
        <f>IFERROR(INDEX('DRAFT 1'!$D:$D,MATCH($B84,'DRAFT 1'!$B:$B,0)),"")</f>
        <v/>
      </c>
      <c r="E84">
        <f>IFERROR(INDEX('DRAFT 1'!$E:$E,MATCH($B84,'DRAFT 1'!$B:$B,0)),"")</f>
        <v/>
      </c>
      <c r="F84">
        <f>IFERROR(INDEX('DRAFT 1'!$F:$F,MATCH($B84,'DRAFT 1'!$B:$B,0)),"")</f>
        <v/>
      </c>
      <c r="G84">
        <f>IFERROR(INDEX('DRAFT 1'!$G:$G,MATCH($B84,'DRAFT 1'!$B:$B,0)),"")</f>
        <v/>
      </c>
      <c r="H84">
        <f>IFERROR(INDEX('DRAFT 1'!$H:$H,MATCH($B84,'DRAFT 1'!$B:$B,0)),"")</f>
        <v/>
      </c>
      <c r="I84" t="inlineStr">
        <is>
          <t>DEMAIS CLIENTES</t>
        </is>
      </c>
      <c r="K84">
        <f>IFERROR(INDEX('DRAFT 1'!$AL:$AL,MATCH($B84,'DRAFT 1'!$B:$B,0)),"")</f>
        <v/>
      </c>
      <c r="L84">
        <f>IFERROR(INDEX('DRAFT 1'!$J:$J,MATCH($B84,'DRAFT 1'!$B:$B,0)),"")</f>
        <v/>
      </c>
      <c r="M84">
        <f>IFERROR(INDEX('DRAFT 1'!$K:$K,MATCH($B84,'DRAFT 1'!$B:$B,0)),"")</f>
        <v/>
      </c>
      <c r="N84" t="inlineStr">
        <is>
          <t>LEAD</t>
        </is>
      </c>
      <c r="P84">
        <f>IFERROR(INDEX('DRAFT 1'!$L:$L,MATCH($B84,'DRAFT 1'!$B:$B,0)),"")</f>
        <v/>
      </c>
      <c r="Q84">
        <f>IFERROR(INDEX('DRAFT 1'!$M:$M,MATCH($B84,'DRAFT 1'!$B:$B,0)),"")</f>
        <v/>
      </c>
      <c r="R84">
        <f>IFERROR(INDEX('DRAFT 1'!$N:$N,MATCH($B84,'DRAFT 1'!$B:$B,0)),"")</f>
        <v/>
      </c>
      <c r="S84">
        <f>IFERROR(INDEX('DRAFT 1'!$O:$O,MATCH($B84,'DRAFT 1'!$B:$B,0)),"")</f>
        <v/>
      </c>
      <c r="T84">
        <f>IFERROR(INDEX('DRAFT 1'!$P:$P,MATCH($B84,'DRAFT 1'!$B:$B,0)),"")</f>
        <v/>
      </c>
      <c r="U84">
        <f>IFERROR(INDEX('DRAFT 1'!$Q:$Q,MATCH($B84,'DRAFT 1'!$B:$B,0)),"")</f>
        <v/>
      </c>
      <c r="V84">
        <f>IFERROR(INDEX('DRAFT 1'!$R:$R,MATCH($B84,'DRAFT 1'!$B:$B,0)),"")</f>
        <v/>
      </c>
      <c r="W84">
        <f>IFERROR(INDEX('DRAFT 1'!$S:$S,MATCH($B84,'DRAFT 1'!$B:$B,0)),"")</f>
        <v/>
      </c>
      <c r="X84">
        <f>IFERROR(INDEX('DRAFT 1'!$T:$T,MATCH($B84,'DRAFT 1'!$B:$B,0)),"")</f>
        <v/>
      </c>
      <c r="Z84">
        <f>IFERROR(INDEX('DRAFT 1'!$U:$U,MATCH($B84,'DRAFT 1'!$B:$B,0)),"")</f>
        <v/>
      </c>
      <c r="AA84">
        <f>IFERROR(INDEX('DRAFT 1'!$V:$V,MATCH($B84,'DRAFT 1'!$B:$B,0)),"")</f>
        <v/>
      </c>
      <c r="AB84">
        <f>IFERROR(INDEX('DRAFT 1'!$W:$W,MATCH($B84,'DRAFT 1'!$B:$B,0)),"")</f>
        <v/>
      </c>
      <c r="AC84">
        <f>IFERROR(INDEX('DRAFT 1'!$X:$X,MATCH($B84,'DRAFT 1'!$B:$B,0)),"")</f>
        <v/>
      </c>
      <c r="AD84">
        <f>IFERROR(INDEX('DRAFT 1'!$Y:$Y,MATCH($B84,'DRAFT 1'!$B:$B,0)),"")</f>
        <v/>
      </c>
      <c r="AE84">
        <f>IFERROR(INDEX('DRAFT 1'!$Z:$Z,MATCH($B84,'DRAFT 1'!$B:$B,0)),"")</f>
        <v/>
      </c>
      <c r="AF84">
        <f>IFERROR(INDEX('DRAFT 1'!$AA:$AA,MATCH($B84,'DRAFT 1'!$B:$B,0)),"")</f>
        <v/>
      </c>
      <c r="AG84">
        <f>IFERROR(INDEX('DRAFT 1'!$AB:$AB,MATCH($B84,'DRAFT 1'!$B:$B,0)),"")</f>
        <v/>
      </c>
      <c r="AH84">
        <f>IFERROR(INDEX('DRAFT 1'!$AC:$AC,MATCH($B84,'DRAFT 1'!$B:$B,0)),"")</f>
        <v/>
      </c>
      <c r="AI84">
        <f>IFERROR(INDEX('DRAFT 1'!$AD:$AD,MATCH($B84,'DRAFT 1'!$B:$B,0)),"")</f>
        <v/>
      </c>
      <c r="AJ84">
        <f>IFERROR(INDEX('DRAFT 1'!$AE:$AE,MATCH($B84,'DRAFT 1'!$B:$B,0)),"")</f>
        <v/>
      </c>
      <c r="AK84">
        <f>IFERROR(INDEX('DRAFT 1'!$AG:$AG,MATCH($B84,'DRAFT 1'!$B:$B,0)),"")</f>
        <v/>
      </c>
      <c r="AL84">
        <f>IFERROR(INDEX('DRAFT 1'!$AH:$AH,MATCH($B84,'DRAFT 1'!$B:$B,0)),"")</f>
        <v/>
      </c>
      <c r="AM84">
        <f>IFERROR(INDEX('DRAFT 1'!$AI:$AI,MATCH($B84,'DRAFT 1'!$B:$B,0)),"")</f>
        <v/>
      </c>
      <c r="AN84">
        <f>IFERROR(INDEX('DRAFT 1'!$AJ:$AJ,MATCH($B84,'DRAFT 1'!$B:$B,0)),"")</f>
        <v/>
      </c>
      <c r="AO84">
        <f>IFERROR(Y84/AN84,0)</f>
        <v/>
      </c>
      <c r="AP84">
        <f>IFERROR(INDEX('DRAFT 1'!$AK:$AK,MATCH($B84,'DRAFT 1'!$B:$B,0)),"")</f>
        <v/>
      </c>
      <c r="AR84" t="inlineStr">
        <is>
          <t>PÓS-VENDA</t>
        </is>
      </c>
      <c r="AS84">
        <f>IFERROR(LOOKUP(2,1/('DRAFT 2'!$D:$D=$B84),'DRAFT 2'!$T:$T),"")</f>
        <v/>
      </c>
      <c r="AT84">
        <f>IFERROR(LOOKUP(2,1/('DRAFT 2'!$D:$D=$B84),'DRAFT 2'!$A:$A),"")</f>
        <v/>
      </c>
      <c r="AU84">
        <f>IFERROR(LOOKUP(2,1/('DRAFT 2'!$D:$D=$B84),'DRAFT 2'!$R:$R),"")</f>
        <v/>
      </c>
      <c r="AV84">
        <f>IFERROR(LOOKUP(2,1/('DRAFT 2'!$D:$D=$B84),'DRAFT 2'!$S:$S),"")</f>
        <v/>
      </c>
      <c r="AW84" t="inlineStr">
        <is>
          <t>EM DESENVOLVIMENTO</t>
        </is>
      </c>
      <c r="AX84">
        <f>IFERROR(LOOKUP(2,1/('DRAFT 2'!$D:$D=$B84),'DRAFT 2'!$M:$M),"")</f>
        <v/>
      </c>
      <c r="AY84">
        <f>IFERROR(LOOKUP(2,1/('DRAFT 2'!$D:$D=$B84),'DRAFT 2'!$K:$K),"")</f>
        <v/>
      </c>
      <c r="BG84">
        <f>IFERROR(LOOKUP(2,1/('DRAFT 2'!$D:$D=$B84),'DRAFT 2'!$U:$U),"")</f>
        <v/>
      </c>
      <c r="BH84">
        <f>IFERROR(LOOKUP(2,1/('DRAFT 2'!$D:$D=$B84),'DRAFT 2'!$V:$V),"")</f>
        <v/>
      </c>
      <c r="CE84">
        <f>IFERROR(AJ84,0)</f>
        <v/>
      </c>
      <c r="CF84">
        <f>IFERROR(LOOKUP(2,1/('DRAFT 2'!$D:$D=$B84)*('DRAFT 2'!$A:$A&gt;=DATE(2026,1,1))*('DRAFT 2'!$A:$A&lt;DATE(2026,IF(1=12,1+1,1+1),1)),'DRAFT 2'!$A:$A),"")</f>
        <v/>
      </c>
      <c r="CG84">
        <f>COUNTIFS('DRAFT 2'!$D:$D,$B84,'DRAFT 2'!$A:$A,"&gt;="&amp;DATE(2026,1,1),'DRAFT 2'!$A:$A,"&lt;="&amp;DATE(2026,1,7))</f>
        <v/>
      </c>
      <c r="CH84">
        <f>COUNTIFS('DRAFT 2'!$D:$D,$B84,'DRAFT 2'!$A:$A,"&gt;="&amp;DATE(2026,1,8),'DRAFT 2'!$A:$A,"&lt;="&amp;DATE(2026,1,14))</f>
        <v/>
      </c>
      <c r="CI84">
        <f>COUNTIFS('DRAFT 2'!$D:$D,$B84,'DRAFT 2'!$A:$A,"&gt;="&amp;DATE(2026,1,15),'DRAFT 2'!$A:$A,"&lt;="&amp;DATE(2026,1,21))</f>
        <v/>
      </c>
      <c r="CJ84">
        <f>COUNTIFS('DRAFT 2'!$D:$D,$B84,'DRAFT 2'!$A:$A,"&gt;="&amp;DATE(2026,1,22),'DRAFT 2'!$A:$A,"&lt;"&amp;DATE(2026,IF(1=12,1+1,1+1),1))</f>
        <v/>
      </c>
      <c r="CK84">
        <f>SUM(CG84:CJ84)</f>
        <v/>
      </c>
      <c r="CT84" t="n">
        <v>0</v>
      </c>
      <c r="CU84">
        <f>IFERROR(LOOKUP(2,1/('DRAFT 2'!$D:$D=$B84)*('DRAFT 2'!$A:$A&gt;=DATE(2026,2,1))*('DRAFT 2'!$A:$A&lt;DATE(2026,IF(2=12,2+1,2+1),1)),'DRAFT 2'!$A:$A),"")</f>
        <v/>
      </c>
      <c r="CV84">
        <f>COUNTIFS('DRAFT 2'!$D:$D,$B84,'DRAFT 2'!$A:$A,"&gt;="&amp;DATE(2026,2,1),'DRAFT 2'!$A:$A,"&lt;="&amp;DATE(2026,2,7))</f>
        <v/>
      </c>
      <c r="CW84">
        <f>COUNTIFS('DRAFT 2'!$D:$D,$B84,'DRAFT 2'!$A:$A,"&gt;="&amp;DATE(2026,2,8),'DRAFT 2'!$A:$A,"&lt;="&amp;DATE(2026,2,14))</f>
        <v/>
      </c>
      <c r="CX84">
        <f>COUNTIFS('DRAFT 2'!$D:$D,$B84,'DRAFT 2'!$A:$A,"&gt;="&amp;DATE(2026,2,15),'DRAFT 2'!$A:$A,"&lt;="&amp;DATE(2026,2,21))</f>
        <v/>
      </c>
      <c r="CY84">
        <f>COUNTIFS('DRAFT 2'!$D:$D,$B84,'DRAFT 2'!$A:$A,"&gt;="&amp;DATE(2026,2,22),'DRAFT 2'!$A:$A,"&lt;"&amp;DATE(2026,IF(2=12,2+1,2+1),1))</f>
        <v/>
      </c>
      <c r="CZ84">
        <f>SUM(CV84:CY84)</f>
        <v/>
      </c>
      <c r="DJ84">
        <f>IFERROR(LOOKUP(2,1/('DRAFT 2'!$D:$D=$B84)*('DRAFT 2'!$A:$A&gt;=DATE(2026,3,1))*('DRAFT 2'!$A:$A&lt;DATE(2026,IF(3=12,3+1,3+1),1)),'DRAFT 2'!$A:$A),"")</f>
        <v/>
      </c>
      <c r="DK84">
        <f>COUNTIFS('DRAFT 2'!$D:$D,$B84,'DRAFT 2'!$A:$A,"&gt;="&amp;DATE(2026,3,1),'DRAFT 2'!$A:$A,"&lt;="&amp;DATE(2026,3,7))</f>
        <v/>
      </c>
      <c r="DL84">
        <f>COUNTIFS('DRAFT 2'!$D:$D,$B84,'DRAFT 2'!$A:$A,"&gt;="&amp;DATE(2026,3,8),'DRAFT 2'!$A:$A,"&lt;="&amp;DATE(2026,3,14))</f>
        <v/>
      </c>
      <c r="DM84">
        <f>COUNTIFS('DRAFT 2'!$D:$D,$B84,'DRAFT 2'!$A:$A,"&gt;="&amp;DATE(2026,3,15),'DRAFT 2'!$A:$A,"&lt;="&amp;DATE(2026,3,21))</f>
        <v/>
      </c>
      <c r="DN84">
        <f>COUNTIFS('DRAFT 2'!$D:$D,$B84,'DRAFT 2'!$A:$A,"&gt;="&amp;DATE(2026,3,22),'DRAFT 2'!$A:$A,"&lt;"&amp;DATE(2026,IF(3=12,3+1,3+1),1))</f>
        <v/>
      </c>
      <c r="DO84">
        <f>SUM(DK84:DN84)</f>
        <v/>
      </c>
      <c r="DZ84">
        <f>IFERROR(LOOKUP(2,1/('DRAFT 2'!$D:$D=$B84)*('DRAFT 2'!$A:$A&gt;=DATE(2026,4,1))*('DRAFT 2'!$A:$A&lt;DATE(2026,IF(4=12,4+1,4+1),1)),'DRAFT 2'!$A:$A),"")</f>
        <v/>
      </c>
      <c r="EA84">
        <f>COUNTIFS('DRAFT 2'!$D:$D,$B84,'DRAFT 2'!$A:$A,"&gt;="&amp;DATE(2026,4,1),'DRAFT 2'!$A:$A,"&lt;="&amp;DATE(2026,4,7))</f>
        <v/>
      </c>
      <c r="EB84">
        <f>COUNTIFS('DRAFT 2'!$D:$D,$B84,'DRAFT 2'!$A:$A,"&gt;="&amp;DATE(2026,4,8),'DRAFT 2'!$A:$A,"&lt;="&amp;DATE(2026,4,14))</f>
        <v/>
      </c>
      <c r="EC84">
        <f>COUNTIFS('DRAFT 2'!$D:$D,$B84,'DRAFT 2'!$A:$A,"&gt;="&amp;DATE(2026,4,15),'DRAFT 2'!$A:$A,"&lt;="&amp;DATE(2026,4,21))</f>
        <v/>
      </c>
      <c r="ED84">
        <f>COUNTIFS('DRAFT 2'!$D:$D,$B84,'DRAFT 2'!$A:$A,"&gt;="&amp;DATE(2026,4,22),'DRAFT 2'!$A:$A,"&lt;"&amp;DATE(2026,IF(4=12,4+1,4+1),1))</f>
        <v/>
      </c>
      <c r="EE84">
        <f>SUM(EA84:ED84)</f>
        <v/>
      </c>
      <c r="EO84">
        <f>IFERROR(LOOKUP(2,1/('DRAFT 2'!$D:$D=$B84)*('DRAFT 2'!$A:$A&gt;=DATE(2026,5,1))*('DRAFT 2'!$A:$A&lt;DATE(2026,IF(5=12,5+1,5+1),1)),'DRAFT 2'!$A:$A),"")</f>
        <v/>
      </c>
      <c r="EP84">
        <f>COUNTIFS('DRAFT 2'!$D:$D,$B84,'DRAFT 2'!$A:$A,"&gt;="&amp;DATE(2026,5,1),'DRAFT 2'!$A:$A,"&lt;="&amp;DATE(2026,5,7))</f>
        <v/>
      </c>
      <c r="EQ84">
        <f>COUNTIFS('DRAFT 2'!$D:$D,$B84,'DRAFT 2'!$A:$A,"&gt;="&amp;DATE(2026,5,8),'DRAFT 2'!$A:$A,"&lt;="&amp;DATE(2026,5,14))</f>
        <v/>
      </c>
      <c r="ER84">
        <f>COUNTIFS('DRAFT 2'!$D:$D,$B84,'DRAFT 2'!$A:$A,"&gt;="&amp;DATE(2026,5,15),'DRAFT 2'!$A:$A,"&lt;="&amp;DATE(2026,5,21))</f>
        <v/>
      </c>
      <c r="ES84">
        <f>COUNTIFS('DRAFT 2'!$D:$D,$B84,'DRAFT 2'!$A:$A,"&gt;="&amp;DATE(2026,5,22),'DRAFT 2'!$A:$A,"&lt;"&amp;DATE(2026,IF(5=12,5+1,5+1),1))</f>
        <v/>
      </c>
      <c r="ET84">
        <f>SUM(EP84:ES84)</f>
        <v/>
      </c>
      <c r="FD84">
        <f>IFERROR(LOOKUP(2,1/('DRAFT 2'!$D:$D=$B84)*('DRAFT 2'!$A:$A&gt;=DATE(2026,6,1))*('DRAFT 2'!$A:$A&lt;DATE(2026,IF(6=12,6+1,6+1),1)),'DRAFT 2'!$A:$A),"")</f>
        <v/>
      </c>
      <c r="FE84">
        <f>COUNTIFS('DRAFT 2'!$D:$D,$B84,'DRAFT 2'!$A:$A,"&gt;="&amp;DATE(2026,6,1),'DRAFT 2'!$A:$A,"&lt;="&amp;DATE(2026,6,7))</f>
        <v/>
      </c>
      <c r="FF84">
        <f>COUNTIFS('DRAFT 2'!$D:$D,$B84,'DRAFT 2'!$A:$A,"&gt;="&amp;DATE(2026,6,8),'DRAFT 2'!$A:$A,"&lt;="&amp;DATE(2026,6,14))</f>
        <v/>
      </c>
      <c r="FG84">
        <f>COUNTIFS('DRAFT 2'!$D:$D,$B84,'DRAFT 2'!$A:$A,"&gt;="&amp;DATE(2026,6,15),'DRAFT 2'!$A:$A,"&lt;="&amp;DATE(2026,6,21))</f>
        <v/>
      </c>
      <c r="FH84">
        <f>COUNTIFS('DRAFT 2'!$D:$D,$B84,'DRAFT 2'!$A:$A,"&gt;="&amp;DATE(2026,6,22),'DRAFT 2'!$A:$A,"&lt;"&amp;DATE(2026,IF(6=12,6+1,6+1),1))</f>
        <v/>
      </c>
      <c r="FI84">
        <f>SUM(FE84:FH84)</f>
        <v/>
      </c>
      <c r="FT84">
        <f>IFERROR(LOOKUP(2,1/('DRAFT 2'!$D:$D=$B84)*('DRAFT 2'!$A:$A&gt;=DATE(2026,7,1))*('DRAFT 2'!$A:$A&lt;DATE(2026,IF(7=12,7+1,7+1),1)),'DRAFT 2'!$A:$A),"")</f>
        <v/>
      </c>
      <c r="FU84">
        <f>COUNTIFS('DRAFT 2'!$D:$D,$B84,'DRAFT 2'!$A:$A,"&gt;="&amp;DATE(2026,7,1),'DRAFT 2'!$A:$A,"&lt;="&amp;DATE(2026,7,7))</f>
        <v/>
      </c>
      <c r="FV84">
        <f>COUNTIFS('DRAFT 2'!$D:$D,$B84,'DRAFT 2'!$A:$A,"&gt;="&amp;DATE(2026,7,8),'DRAFT 2'!$A:$A,"&lt;="&amp;DATE(2026,7,14))</f>
        <v/>
      </c>
      <c r="FW84">
        <f>COUNTIFS('DRAFT 2'!$D:$D,$B84,'DRAFT 2'!$A:$A,"&gt;="&amp;DATE(2026,7,15),'DRAFT 2'!$A:$A,"&lt;="&amp;DATE(2026,7,21))</f>
        <v/>
      </c>
      <c r="FX84">
        <f>COUNTIFS('DRAFT 2'!$D:$D,$B84,'DRAFT 2'!$A:$A,"&gt;="&amp;DATE(2026,7,22),'DRAFT 2'!$A:$A,"&lt;"&amp;DATE(2026,IF(7=12,7+1,7+1),1))</f>
        <v/>
      </c>
      <c r="FY84">
        <f>SUM(FU84:FX84)</f>
        <v/>
      </c>
      <c r="GI84">
        <f>IFERROR(LOOKUP(2,1/('DRAFT 2'!$D:$D=$B84)*('DRAFT 2'!$A:$A&gt;=DATE(2026,8,1))*('DRAFT 2'!$A:$A&lt;DATE(2026,IF(8=12,8+1,8+1),1)),'DRAFT 2'!$A:$A),"")</f>
        <v/>
      </c>
      <c r="GJ84">
        <f>COUNTIFS('DRAFT 2'!$D:$D,$B84,'DRAFT 2'!$A:$A,"&gt;="&amp;DATE(2026,8,1),'DRAFT 2'!$A:$A,"&lt;="&amp;DATE(2026,8,7))</f>
        <v/>
      </c>
      <c r="GK84">
        <f>COUNTIFS('DRAFT 2'!$D:$D,$B84,'DRAFT 2'!$A:$A,"&gt;="&amp;DATE(2026,8,8),'DRAFT 2'!$A:$A,"&lt;="&amp;DATE(2026,8,14))</f>
        <v/>
      </c>
      <c r="GL84">
        <f>COUNTIFS('DRAFT 2'!$D:$D,$B84,'DRAFT 2'!$A:$A,"&gt;="&amp;DATE(2026,8,15),'DRAFT 2'!$A:$A,"&lt;="&amp;DATE(2026,8,21))</f>
        <v/>
      </c>
      <c r="GM84">
        <f>COUNTIFS('DRAFT 2'!$D:$D,$B84,'DRAFT 2'!$A:$A,"&gt;="&amp;DATE(2026,8,22),'DRAFT 2'!$A:$A,"&lt;"&amp;DATE(2026,IF(8=12,8+1,8+1),1))</f>
        <v/>
      </c>
      <c r="GN84">
        <f>SUM(GJ84:GM84)</f>
        <v/>
      </c>
      <c r="GX84">
        <f>IFERROR(LOOKUP(2,1/('DRAFT 2'!$D:$D=$B84)*('DRAFT 2'!$A:$A&gt;=DATE(2026,9,1))*('DRAFT 2'!$A:$A&lt;DATE(2026,IF(9=12,9+1,9+1),1)),'DRAFT 2'!$A:$A),"")</f>
        <v/>
      </c>
      <c r="GY84">
        <f>COUNTIFS('DRAFT 2'!$D:$D,$B84,'DRAFT 2'!$A:$A,"&gt;="&amp;DATE(2026,9,1),'DRAFT 2'!$A:$A,"&lt;="&amp;DATE(2026,9,7))</f>
        <v/>
      </c>
      <c r="GZ84">
        <f>COUNTIFS('DRAFT 2'!$D:$D,$B84,'DRAFT 2'!$A:$A,"&gt;="&amp;DATE(2026,9,8),'DRAFT 2'!$A:$A,"&lt;="&amp;DATE(2026,9,14))</f>
        <v/>
      </c>
      <c r="HA84">
        <f>COUNTIFS('DRAFT 2'!$D:$D,$B84,'DRAFT 2'!$A:$A,"&gt;="&amp;DATE(2026,9,15),'DRAFT 2'!$A:$A,"&lt;="&amp;DATE(2026,9,21))</f>
        <v/>
      </c>
      <c r="HB84">
        <f>COUNTIFS('DRAFT 2'!$D:$D,$B84,'DRAFT 2'!$A:$A,"&gt;="&amp;DATE(2026,9,22),'DRAFT 2'!$A:$A,"&lt;"&amp;DATE(2026,IF(9=12,9+1,9+1),1))</f>
        <v/>
      </c>
      <c r="HC84">
        <f>SUM(GY84:HB84)</f>
        <v/>
      </c>
      <c r="HN84">
        <f>IFERROR(LOOKUP(2,1/('DRAFT 2'!$D:$D=$B84)*('DRAFT 2'!$A:$A&gt;=DATE(2026,10,1))*('DRAFT 2'!$A:$A&lt;DATE(2026,IF(10=12,10+1,10+1),1)),'DRAFT 2'!$A:$A),"")</f>
        <v/>
      </c>
      <c r="HO84">
        <f>COUNTIFS('DRAFT 2'!$D:$D,$B84,'DRAFT 2'!$A:$A,"&gt;="&amp;DATE(2026,10,1),'DRAFT 2'!$A:$A,"&lt;="&amp;DATE(2026,10,7))</f>
        <v/>
      </c>
      <c r="HP84">
        <f>COUNTIFS('DRAFT 2'!$D:$D,$B84,'DRAFT 2'!$A:$A,"&gt;="&amp;DATE(2026,10,8),'DRAFT 2'!$A:$A,"&lt;="&amp;DATE(2026,10,14))</f>
        <v/>
      </c>
      <c r="HQ84">
        <f>COUNTIFS('DRAFT 2'!$D:$D,$B84,'DRAFT 2'!$A:$A,"&gt;="&amp;DATE(2026,10,15),'DRAFT 2'!$A:$A,"&lt;="&amp;DATE(2026,10,21))</f>
        <v/>
      </c>
      <c r="HR84">
        <f>COUNTIFS('DRAFT 2'!$D:$D,$B84,'DRAFT 2'!$A:$A,"&gt;="&amp;DATE(2026,10,22),'DRAFT 2'!$A:$A,"&lt;"&amp;DATE(2026,IF(10=12,10+1,10+1),1))</f>
        <v/>
      </c>
      <c r="HS84">
        <f>SUM(HO84:HR84)</f>
        <v/>
      </c>
      <c r="IC84">
        <f>IFERROR(LOOKUP(2,1/('DRAFT 2'!$D:$D=$B84)*('DRAFT 2'!$A:$A&gt;=DATE(2026,11,1))*('DRAFT 2'!$A:$A&lt;DATE(2026,IF(11=12,11+1,11+1),1)),'DRAFT 2'!$A:$A),"")</f>
        <v/>
      </c>
      <c r="ID84">
        <f>COUNTIFS('DRAFT 2'!$D:$D,$B84,'DRAFT 2'!$A:$A,"&gt;="&amp;DATE(2026,11,1),'DRAFT 2'!$A:$A,"&lt;="&amp;DATE(2026,11,7))</f>
        <v/>
      </c>
      <c r="IE84">
        <f>COUNTIFS('DRAFT 2'!$D:$D,$B84,'DRAFT 2'!$A:$A,"&gt;="&amp;DATE(2026,11,8),'DRAFT 2'!$A:$A,"&lt;="&amp;DATE(2026,11,14))</f>
        <v/>
      </c>
      <c r="IF84">
        <f>COUNTIFS('DRAFT 2'!$D:$D,$B84,'DRAFT 2'!$A:$A,"&gt;="&amp;DATE(2026,11,15),'DRAFT 2'!$A:$A,"&lt;="&amp;DATE(2026,11,21))</f>
        <v/>
      </c>
      <c r="IG84">
        <f>COUNTIFS('DRAFT 2'!$D:$D,$B84,'DRAFT 2'!$A:$A,"&gt;="&amp;DATE(2026,11,22),'DRAFT 2'!$A:$A,"&lt;"&amp;DATE(2026,IF(11=12,11+1,11+1),1))</f>
        <v/>
      </c>
      <c r="IH84">
        <f>SUM(ID84:IG84)</f>
        <v/>
      </c>
      <c r="IR84">
        <f>IFERROR(LOOKUP(2,1/('DRAFT 2'!$D:$D=$B84)*('DRAFT 2'!$A:$A&gt;=DATE(2026,12,1))*('DRAFT 2'!$A:$A&lt;DATE(2026,IF(12=12,12+1,12+1),1)),'DRAFT 2'!$A:$A),"")</f>
        <v/>
      </c>
      <c r="IS84">
        <f>COUNTIFS('DRAFT 2'!$D:$D,$B84,'DRAFT 2'!$A:$A,"&gt;="&amp;DATE(2026,12,1),'DRAFT 2'!$A:$A,"&lt;="&amp;DATE(2026,12,7))</f>
        <v/>
      </c>
      <c r="IT84">
        <f>COUNTIFS('DRAFT 2'!$D:$D,$B84,'DRAFT 2'!$A:$A,"&gt;="&amp;DATE(2026,12,8),'DRAFT 2'!$A:$A,"&lt;="&amp;DATE(2026,12,14))</f>
        <v/>
      </c>
      <c r="IU84">
        <f>COUNTIFS('DRAFT 2'!$D:$D,$B84,'DRAFT 2'!$A:$A,"&gt;="&amp;DATE(2026,12,15),'DRAFT 2'!$A:$A,"&lt;="&amp;DATE(2026,12,21))</f>
        <v/>
      </c>
      <c r="IV84">
        <f>COUNTIFS('DRAFT 2'!$D:$D,$B84,'DRAFT 2'!$A:$A,"&gt;="&amp;DATE(2026,12,22),'DRAFT 2'!$A:$A,"&lt;"&amp;DATE(2026,IF(12=12,12+1,12+1),1))</f>
        <v/>
      </c>
      <c r="IW84">
        <f>SUM(IS84:IV84)</f>
        <v/>
      </c>
    </row>
    <row r="85">
      <c r="A85">
        <f>IFERROR(INDEX('DRAFT 1'!$A:$A,MATCH($B85,'DRAFT 1'!$B:$B,0)),"")</f>
        <v/>
      </c>
      <c r="C85">
        <f>IFERROR(INDEX('DRAFT 1'!$C:$C,MATCH($B85,'DRAFT 1'!$B:$B,0)),"")</f>
        <v/>
      </c>
      <c r="D85">
        <f>IFERROR(INDEX('DRAFT 1'!$D:$D,MATCH($B85,'DRAFT 1'!$B:$B,0)),"")</f>
        <v/>
      </c>
      <c r="E85">
        <f>IFERROR(INDEX('DRAFT 1'!$E:$E,MATCH($B85,'DRAFT 1'!$B:$B,0)),"")</f>
        <v/>
      </c>
      <c r="F85">
        <f>IFERROR(INDEX('DRAFT 1'!$F:$F,MATCH($B85,'DRAFT 1'!$B:$B,0)),"")</f>
        <v/>
      </c>
      <c r="G85">
        <f>IFERROR(INDEX('DRAFT 1'!$G:$G,MATCH($B85,'DRAFT 1'!$B:$B,0)),"")</f>
        <v/>
      </c>
      <c r="H85">
        <f>IFERROR(INDEX('DRAFT 1'!$H:$H,MATCH($B85,'DRAFT 1'!$B:$B,0)),"")</f>
        <v/>
      </c>
      <c r="I85" t="inlineStr">
        <is>
          <t>BIOMUNDO</t>
        </is>
      </c>
      <c r="K85">
        <f>IFERROR(INDEX('DRAFT 1'!$AL:$AL,MATCH($B85,'DRAFT 1'!$B:$B,0)),"")</f>
        <v/>
      </c>
      <c r="L85">
        <f>IFERROR(INDEX('DRAFT 1'!$J:$J,MATCH($B85,'DRAFT 1'!$B:$B,0)),"")</f>
        <v/>
      </c>
      <c r="M85">
        <f>IFERROR(INDEX('DRAFT 1'!$K:$K,MATCH($B85,'DRAFT 1'!$B:$B,0)),"")</f>
        <v/>
      </c>
      <c r="N85" t="inlineStr">
        <is>
          <t>ATIVO</t>
        </is>
      </c>
      <c r="P85">
        <f>IFERROR(INDEX('DRAFT 1'!$L:$L,MATCH($B85,'DRAFT 1'!$B:$B,0)),"")</f>
        <v/>
      </c>
      <c r="Q85">
        <f>IFERROR(INDEX('DRAFT 1'!$M:$M,MATCH($B85,'DRAFT 1'!$B:$B,0)),"")</f>
        <v/>
      </c>
      <c r="R85">
        <f>IFERROR(INDEX('DRAFT 1'!$N:$N,MATCH($B85,'DRAFT 1'!$B:$B,0)),"")</f>
        <v/>
      </c>
      <c r="S85">
        <f>IFERROR(INDEX('DRAFT 1'!$O:$O,MATCH($B85,'DRAFT 1'!$B:$B,0)),"")</f>
        <v/>
      </c>
      <c r="T85">
        <f>IFERROR(INDEX('DRAFT 1'!$P:$P,MATCH($B85,'DRAFT 1'!$B:$B,0)),"")</f>
        <v/>
      </c>
      <c r="U85">
        <f>IFERROR(INDEX('DRAFT 1'!$Q:$Q,MATCH($B85,'DRAFT 1'!$B:$B,0)),"")</f>
        <v/>
      </c>
      <c r="V85">
        <f>IFERROR(INDEX('DRAFT 1'!$R:$R,MATCH($B85,'DRAFT 1'!$B:$B,0)),"")</f>
        <v/>
      </c>
      <c r="W85">
        <f>IFERROR(INDEX('DRAFT 1'!$S:$S,MATCH($B85,'DRAFT 1'!$B:$B,0)),"")</f>
        <v/>
      </c>
      <c r="X85">
        <f>IFERROR(INDEX('DRAFT 1'!$T:$T,MATCH($B85,'DRAFT 1'!$B:$B,0)),"")</f>
        <v/>
      </c>
      <c r="Z85">
        <f>IFERROR(INDEX('DRAFT 1'!$U:$U,MATCH($B85,'DRAFT 1'!$B:$B,0)),"")</f>
        <v/>
      </c>
      <c r="AA85">
        <f>IFERROR(INDEX('DRAFT 1'!$V:$V,MATCH($B85,'DRAFT 1'!$B:$B,0)),"")</f>
        <v/>
      </c>
      <c r="AB85">
        <f>IFERROR(INDEX('DRAFT 1'!$W:$W,MATCH($B85,'DRAFT 1'!$B:$B,0)),"")</f>
        <v/>
      </c>
      <c r="AC85">
        <f>IFERROR(INDEX('DRAFT 1'!$X:$X,MATCH($B85,'DRAFT 1'!$B:$B,0)),"")</f>
        <v/>
      </c>
      <c r="AD85">
        <f>IFERROR(INDEX('DRAFT 1'!$Y:$Y,MATCH($B85,'DRAFT 1'!$B:$B,0)),"")</f>
        <v/>
      </c>
      <c r="AE85">
        <f>IFERROR(INDEX('DRAFT 1'!$Z:$Z,MATCH($B85,'DRAFT 1'!$B:$B,0)),"")</f>
        <v/>
      </c>
      <c r="AF85">
        <f>IFERROR(INDEX('DRAFT 1'!$AA:$AA,MATCH($B85,'DRAFT 1'!$B:$B,0)),"")</f>
        <v/>
      </c>
      <c r="AG85">
        <f>IFERROR(INDEX('DRAFT 1'!$AB:$AB,MATCH($B85,'DRAFT 1'!$B:$B,0)),"")</f>
        <v/>
      </c>
      <c r="AH85">
        <f>IFERROR(INDEX('DRAFT 1'!$AC:$AC,MATCH($B85,'DRAFT 1'!$B:$B,0)),"")</f>
        <v/>
      </c>
      <c r="AI85">
        <f>IFERROR(INDEX('DRAFT 1'!$AD:$AD,MATCH($B85,'DRAFT 1'!$B:$B,0)),"")</f>
        <v/>
      </c>
      <c r="AJ85">
        <f>IFERROR(INDEX('DRAFT 1'!$AE:$AE,MATCH($B85,'DRAFT 1'!$B:$B,0)),"")</f>
        <v/>
      </c>
      <c r="AK85">
        <f>IFERROR(INDEX('DRAFT 1'!$AG:$AG,MATCH($B85,'DRAFT 1'!$B:$B,0)),"")</f>
        <v/>
      </c>
      <c r="AL85">
        <f>IFERROR(INDEX('DRAFT 1'!$AH:$AH,MATCH($B85,'DRAFT 1'!$B:$B,0)),"")</f>
        <v/>
      </c>
      <c r="AM85">
        <f>IFERROR(INDEX('DRAFT 1'!$AI:$AI,MATCH($B85,'DRAFT 1'!$B:$B,0)),"")</f>
        <v/>
      </c>
      <c r="AN85">
        <f>IFERROR(INDEX('DRAFT 1'!$AJ:$AJ,MATCH($B85,'DRAFT 1'!$B:$B,0)),"")</f>
        <v/>
      </c>
      <c r="AO85">
        <f>IFERROR(Y85/AN85,0)</f>
        <v/>
      </c>
      <c r="AP85">
        <f>IFERROR(INDEX('DRAFT 1'!$AK:$AK,MATCH($B85,'DRAFT 1'!$B:$B,0)),"")</f>
        <v/>
      </c>
      <c r="AR85" t="inlineStr">
        <is>
          <t>RECUPERAÇÃO</t>
        </is>
      </c>
      <c r="AS85">
        <f>IFERROR(LOOKUP(2,1/('DRAFT 2'!$D:$D=$B85),'DRAFT 2'!$T:$T),"")</f>
        <v/>
      </c>
      <c r="AT85">
        <f>IFERROR(LOOKUP(2,1/('DRAFT 2'!$D:$D=$B85),'DRAFT 2'!$A:$A),"")</f>
        <v/>
      </c>
      <c r="AU85">
        <f>IFERROR(LOOKUP(2,1/('DRAFT 2'!$D:$D=$B85),'DRAFT 2'!$R:$R),"")</f>
        <v/>
      </c>
      <c r="AV85">
        <f>IFERROR(LOOKUP(2,1/('DRAFT 2'!$D:$D=$B85),'DRAFT 2'!$S:$S),"")</f>
        <v/>
      </c>
      <c r="AW85" t="inlineStr">
        <is>
          <t>PROSPECT</t>
        </is>
      </c>
      <c r="AX85">
        <f>IFERROR(LOOKUP(2,1/('DRAFT 2'!$D:$D=$B85),'DRAFT 2'!$M:$M),"")</f>
        <v/>
      </c>
      <c r="AY85">
        <f>IFERROR(LOOKUP(2,1/('DRAFT 2'!$D:$D=$B85),'DRAFT 2'!$K:$K),"")</f>
        <v/>
      </c>
      <c r="BG85">
        <f>IFERROR(LOOKUP(2,1/('DRAFT 2'!$D:$D=$B85),'DRAFT 2'!$U:$U),"")</f>
        <v/>
      </c>
      <c r="BH85">
        <f>IFERROR(LOOKUP(2,1/('DRAFT 2'!$D:$D=$B85),'DRAFT 2'!$V:$V),"")</f>
        <v/>
      </c>
      <c r="CE85">
        <f>IFERROR(AJ85,0)</f>
        <v/>
      </c>
      <c r="CF85">
        <f>IFERROR(LOOKUP(2,1/('DRAFT 2'!$D:$D=$B85)*('DRAFT 2'!$A:$A&gt;=DATE(2026,1,1))*('DRAFT 2'!$A:$A&lt;DATE(2026,IF(1=12,1+1,1+1),1)),'DRAFT 2'!$A:$A),"")</f>
        <v/>
      </c>
      <c r="CG85">
        <f>COUNTIFS('DRAFT 2'!$D:$D,$B85,'DRAFT 2'!$A:$A,"&gt;="&amp;DATE(2026,1,1),'DRAFT 2'!$A:$A,"&lt;="&amp;DATE(2026,1,7))</f>
        <v/>
      </c>
      <c r="CH85">
        <f>COUNTIFS('DRAFT 2'!$D:$D,$B85,'DRAFT 2'!$A:$A,"&gt;="&amp;DATE(2026,1,8),'DRAFT 2'!$A:$A,"&lt;="&amp;DATE(2026,1,14))</f>
        <v/>
      </c>
      <c r="CI85">
        <f>COUNTIFS('DRAFT 2'!$D:$D,$B85,'DRAFT 2'!$A:$A,"&gt;="&amp;DATE(2026,1,15),'DRAFT 2'!$A:$A,"&lt;="&amp;DATE(2026,1,21))</f>
        <v/>
      </c>
      <c r="CJ85">
        <f>COUNTIFS('DRAFT 2'!$D:$D,$B85,'DRAFT 2'!$A:$A,"&gt;="&amp;DATE(2026,1,22),'DRAFT 2'!$A:$A,"&lt;"&amp;DATE(2026,IF(1=12,1+1,1+1),1))</f>
        <v/>
      </c>
      <c r="CK85">
        <f>SUM(CG85:CJ85)</f>
        <v/>
      </c>
      <c r="CT85" t="n">
        <v>0</v>
      </c>
      <c r="CU85">
        <f>IFERROR(LOOKUP(2,1/('DRAFT 2'!$D:$D=$B85)*('DRAFT 2'!$A:$A&gt;=DATE(2026,2,1))*('DRAFT 2'!$A:$A&lt;DATE(2026,IF(2=12,2+1,2+1),1)),'DRAFT 2'!$A:$A),"")</f>
        <v/>
      </c>
      <c r="CV85">
        <f>COUNTIFS('DRAFT 2'!$D:$D,$B85,'DRAFT 2'!$A:$A,"&gt;="&amp;DATE(2026,2,1),'DRAFT 2'!$A:$A,"&lt;="&amp;DATE(2026,2,7))</f>
        <v/>
      </c>
      <c r="CW85">
        <f>COUNTIFS('DRAFT 2'!$D:$D,$B85,'DRAFT 2'!$A:$A,"&gt;="&amp;DATE(2026,2,8),'DRAFT 2'!$A:$A,"&lt;="&amp;DATE(2026,2,14))</f>
        <v/>
      </c>
      <c r="CX85">
        <f>COUNTIFS('DRAFT 2'!$D:$D,$B85,'DRAFT 2'!$A:$A,"&gt;="&amp;DATE(2026,2,15),'DRAFT 2'!$A:$A,"&lt;="&amp;DATE(2026,2,21))</f>
        <v/>
      </c>
      <c r="CY85">
        <f>COUNTIFS('DRAFT 2'!$D:$D,$B85,'DRAFT 2'!$A:$A,"&gt;="&amp;DATE(2026,2,22),'DRAFT 2'!$A:$A,"&lt;"&amp;DATE(2026,IF(2=12,2+1,2+1),1))</f>
        <v/>
      </c>
      <c r="CZ85">
        <f>SUM(CV85:CY85)</f>
        <v/>
      </c>
      <c r="DJ85">
        <f>IFERROR(LOOKUP(2,1/('DRAFT 2'!$D:$D=$B85)*('DRAFT 2'!$A:$A&gt;=DATE(2026,3,1))*('DRAFT 2'!$A:$A&lt;DATE(2026,IF(3=12,3+1,3+1),1)),'DRAFT 2'!$A:$A),"")</f>
        <v/>
      </c>
      <c r="DK85">
        <f>COUNTIFS('DRAFT 2'!$D:$D,$B85,'DRAFT 2'!$A:$A,"&gt;="&amp;DATE(2026,3,1),'DRAFT 2'!$A:$A,"&lt;="&amp;DATE(2026,3,7))</f>
        <v/>
      </c>
      <c r="DL85">
        <f>COUNTIFS('DRAFT 2'!$D:$D,$B85,'DRAFT 2'!$A:$A,"&gt;="&amp;DATE(2026,3,8),'DRAFT 2'!$A:$A,"&lt;="&amp;DATE(2026,3,14))</f>
        <v/>
      </c>
      <c r="DM85">
        <f>COUNTIFS('DRAFT 2'!$D:$D,$B85,'DRAFT 2'!$A:$A,"&gt;="&amp;DATE(2026,3,15),'DRAFT 2'!$A:$A,"&lt;="&amp;DATE(2026,3,21))</f>
        <v/>
      </c>
      <c r="DN85">
        <f>COUNTIFS('DRAFT 2'!$D:$D,$B85,'DRAFT 2'!$A:$A,"&gt;="&amp;DATE(2026,3,22),'DRAFT 2'!$A:$A,"&lt;"&amp;DATE(2026,IF(3=12,3+1,3+1),1))</f>
        <v/>
      </c>
      <c r="DO85">
        <f>SUM(DK85:DN85)</f>
        <v/>
      </c>
      <c r="DZ85">
        <f>IFERROR(LOOKUP(2,1/('DRAFT 2'!$D:$D=$B85)*('DRAFT 2'!$A:$A&gt;=DATE(2026,4,1))*('DRAFT 2'!$A:$A&lt;DATE(2026,IF(4=12,4+1,4+1),1)),'DRAFT 2'!$A:$A),"")</f>
        <v/>
      </c>
      <c r="EA85">
        <f>COUNTIFS('DRAFT 2'!$D:$D,$B85,'DRAFT 2'!$A:$A,"&gt;="&amp;DATE(2026,4,1),'DRAFT 2'!$A:$A,"&lt;="&amp;DATE(2026,4,7))</f>
        <v/>
      </c>
      <c r="EB85">
        <f>COUNTIFS('DRAFT 2'!$D:$D,$B85,'DRAFT 2'!$A:$A,"&gt;="&amp;DATE(2026,4,8),'DRAFT 2'!$A:$A,"&lt;="&amp;DATE(2026,4,14))</f>
        <v/>
      </c>
      <c r="EC85">
        <f>COUNTIFS('DRAFT 2'!$D:$D,$B85,'DRAFT 2'!$A:$A,"&gt;="&amp;DATE(2026,4,15),'DRAFT 2'!$A:$A,"&lt;="&amp;DATE(2026,4,21))</f>
        <v/>
      </c>
      <c r="ED85">
        <f>COUNTIFS('DRAFT 2'!$D:$D,$B85,'DRAFT 2'!$A:$A,"&gt;="&amp;DATE(2026,4,22),'DRAFT 2'!$A:$A,"&lt;"&amp;DATE(2026,IF(4=12,4+1,4+1),1))</f>
        <v/>
      </c>
      <c r="EE85">
        <f>SUM(EA85:ED85)</f>
        <v/>
      </c>
      <c r="EO85">
        <f>IFERROR(LOOKUP(2,1/('DRAFT 2'!$D:$D=$B85)*('DRAFT 2'!$A:$A&gt;=DATE(2026,5,1))*('DRAFT 2'!$A:$A&lt;DATE(2026,IF(5=12,5+1,5+1),1)),'DRAFT 2'!$A:$A),"")</f>
        <v/>
      </c>
      <c r="EP85">
        <f>COUNTIFS('DRAFT 2'!$D:$D,$B85,'DRAFT 2'!$A:$A,"&gt;="&amp;DATE(2026,5,1),'DRAFT 2'!$A:$A,"&lt;="&amp;DATE(2026,5,7))</f>
        <v/>
      </c>
      <c r="EQ85">
        <f>COUNTIFS('DRAFT 2'!$D:$D,$B85,'DRAFT 2'!$A:$A,"&gt;="&amp;DATE(2026,5,8),'DRAFT 2'!$A:$A,"&lt;="&amp;DATE(2026,5,14))</f>
        <v/>
      </c>
      <c r="ER85">
        <f>COUNTIFS('DRAFT 2'!$D:$D,$B85,'DRAFT 2'!$A:$A,"&gt;="&amp;DATE(2026,5,15),'DRAFT 2'!$A:$A,"&lt;="&amp;DATE(2026,5,21))</f>
        <v/>
      </c>
      <c r="ES85">
        <f>COUNTIFS('DRAFT 2'!$D:$D,$B85,'DRAFT 2'!$A:$A,"&gt;="&amp;DATE(2026,5,22),'DRAFT 2'!$A:$A,"&lt;"&amp;DATE(2026,IF(5=12,5+1,5+1),1))</f>
        <v/>
      </c>
      <c r="ET85">
        <f>SUM(EP85:ES85)</f>
        <v/>
      </c>
      <c r="FD85">
        <f>IFERROR(LOOKUP(2,1/('DRAFT 2'!$D:$D=$B85)*('DRAFT 2'!$A:$A&gt;=DATE(2026,6,1))*('DRAFT 2'!$A:$A&lt;DATE(2026,IF(6=12,6+1,6+1),1)),'DRAFT 2'!$A:$A),"")</f>
        <v/>
      </c>
      <c r="FE85">
        <f>COUNTIFS('DRAFT 2'!$D:$D,$B85,'DRAFT 2'!$A:$A,"&gt;="&amp;DATE(2026,6,1),'DRAFT 2'!$A:$A,"&lt;="&amp;DATE(2026,6,7))</f>
        <v/>
      </c>
      <c r="FF85">
        <f>COUNTIFS('DRAFT 2'!$D:$D,$B85,'DRAFT 2'!$A:$A,"&gt;="&amp;DATE(2026,6,8),'DRAFT 2'!$A:$A,"&lt;="&amp;DATE(2026,6,14))</f>
        <v/>
      </c>
      <c r="FG85">
        <f>COUNTIFS('DRAFT 2'!$D:$D,$B85,'DRAFT 2'!$A:$A,"&gt;="&amp;DATE(2026,6,15),'DRAFT 2'!$A:$A,"&lt;="&amp;DATE(2026,6,21))</f>
        <v/>
      </c>
      <c r="FH85">
        <f>COUNTIFS('DRAFT 2'!$D:$D,$B85,'DRAFT 2'!$A:$A,"&gt;="&amp;DATE(2026,6,22),'DRAFT 2'!$A:$A,"&lt;"&amp;DATE(2026,IF(6=12,6+1,6+1),1))</f>
        <v/>
      </c>
      <c r="FI85">
        <f>SUM(FE85:FH85)</f>
        <v/>
      </c>
      <c r="FT85">
        <f>IFERROR(LOOKUP(2,1/('DRAFT 2'!$D:$D=$B85)*('DRAFT 2'!$A:$A&gt;=DATE(2026,7,1))*('DRAFT 2'!$A:$A&lt;DATE(2026,IF(7=12,7+1,7+1),1)),'DRAFT 2'!$A:$A),"")</f>
        <v/>
      </c>
      <c r="FU85">
        <f>COUNTIFS('DRAFT 2'!$D:$D,$B85,'DRAFT 2'!$A:$A,"&gt;="&amp;DATE(2026,7,1),'DRAFT 2'!$A:$A,"&lt;="&amp;DATE(2026,7,7))</f>
        <v/>
      </c>
      <c r="FV85">
        <f>COUNTIFS('DRAFT 2'!$D:$D,$B85,'DRAFT 2'!$A:$A,"&gt;="&amp;DATE(2026,7,8),'DRAFT 2'!$A:$A,"&lt;="&amp;DATE(2026,7,14))</f>
        <v/>
      </c>
      <c r="FW85">
        <f>COUNTIFS('DRAFT 2'!$D:$D,$B85,'DRAFT 2'!$A:$A,"&gt;="&amp;DATE(2026,7,15),'DRAFT 2'!$A:$A,"&lt;="&amp;DATE(2026,7,21))</f>
        <v/>
      </c>
      <c r="FX85">
        <f>COUNTIFS('DRAFT 2'!$D:$D,$B85,'DRAFT 2'!$A:$A,"&gt;="&amp;DATE(2026,7,22),'DRAFT 2'!$A:$A,"&lt;"&amp;DATE(2026,IF(7=12,7+1,7+1),1))</f>
        <v/>
      </c>
      <c r="FY85">
        <f>SUM(FU85:FX85)</f>
        <v/>
      </c>
      <c r="GI85">
        <f>IFERROR(LOOKUP(2,1/('DRAFT 2'!$D:$D=$B85)*('DRAFT 2'!$A:$A&gt;=DATE(2026,8,1))*('DRAFT 2'!$A:$A&lt;DATE(2026,IF(8=12,8+1,8+1),1)),'DRAFT 2'!$A:$A),"")</f>
        <v/>
      </c>
      <c r="GJ85">
        <f>COUNTIFS('DRAFT 2'!$D:$D,$B85,'DRAFT 2'!$A:$A,"&gt;="&amp;DATE(2026,8,1),'DRAFT 2'!$A:$A,"&lt;="&amp;DATE(2026,8,7))</f>
        <v/>
      </c>
      <c r="GK85">
        <f>COUNTIFS('DRAFT 2'!$D:$D,$B85,'DRAFT 2'!$A:$A,"&gt;="&amp;DATE(2026,8,8),'DRAFT 2'!$A:$A,"&lt;="&amp;DATE(2026,8,14))</f>
        <v/>
      </c>
      <c r="GL85">
        <f>COUNTIFS('DRAFT 2'!$D:$D,$B85,'DRAFT 2'!$A:$A,"&gt;="&amp;DATE(2026,8,15),'DRAFT 2'!$A:$A,"&lt;="&amp;DATE(2026,8,21))</f>
        <v/>
      </c>
      <c r="GM85">
        <f>COUNTIFS('DRAFT 2'!$D:$D,$B85,'DRAFT 2'!$A:$A,"&gt;="&amp;DATE(2026,8,22),'DRAFT 2'!$A:$A,"&lt;"&amp;DATE(2026,IF(8=12,8+1,8+1),1))</f>
        <v/>
      </c>
      <c r="GN85">
        <f>SUM(GJ85:GM85)</f>
        <v/>
      </c>
      <c r="GX85">
        <f>IFERROR(LOOKUP(2,1/('DRAFT 2'!$D:$D=$B85)*('DRAFT 2'!$A:$A&gt;=DATE(2026,9,1))*('DRAFT 2'!$A:$A&lt;DATE(2026,IF(9=12,9+1,9+1),1)),'DRAFT 2'!$A:$A),"")</f>
        <v/>
      </c>
      <c r="GY85">
        <f>COUNTIFS('DRAFT 2'!$D:$D,$B85,'DRAFT 2'!$A:$A,"&gt;="&amp;DATE(2026,9,1),'DRAFT 2'!$A:$A,"&lt;="&amp;DATE(2026,9,7))</f>
        <v/>
      </c>
      <c r="GZ85">
        <f>COUNTIFS('DRAFT 2'!$D:$D,$B85,'DRAFT 2'!$A:$A,"&gt;="&amp;DATE(2026,9,8),'DRAFT 2'!$A:$A,"&lt;="&amp;DATE(2026,9,14))</f>
        <v/>
      </c>
      <c r="HA85">
        <f>COUNTIFS('DRAFT 2'!$D:$D,$B85,'DRAFT 2'!$A:$A,"&gt;="&amp;DATE(2026,9,15),'DRAFT 2'!$A:$A,"&lt;="&amp;DATE(2026,9,21))</f>
        <v/>
      </c>
      <c r="HB85">
        <f>COUNTIFS('DRAFT 2'!$D:$D,$B85,'DRAFT 2'!$A:$A,"&gt;="&amp;DATE(2026,9,22),'DRAFT 2'!$A:$A,"&lt;"&amp;DATE(2026,IF(9=12,9+1,9+1),1))</f>
        <v/>
      </c>
      <c r="HC85">
        <f>SUM(GY85:HB85)</f>
        <v/>
      </c>
      <c r="HN85">
        <f>IFERROR(LOOKUP(2,1/('DRAFT 2'!$D:$D=$B85)*('DRAFT 2'!$A:$A&gt;=DATE(2026,10,1))*('DRAFT 2'!$A:$A&lt;DATE(2026,IF(10=12,10+1,10+1),1)),'DRAFT 2'!$A:$A),"")</f>
        <v/>
      </c>
      <c r="HO85">
        <f>COUNTIFS('DRAFT 2'!$D:$D,$B85,'DRAFT 2'!$A:$A,"&gt;="&amp;DATE(2026,10,1),'DRAFT 2'!$A:$A,"&lt;="&amp;DATE(2026,10,7))</f>
        <v/>
      </c>
      <c r="HP85">
        <f>COUNTIFS('DRAFT 2'!$D:$D,$B85,'DRAFT 2'!$A:$A,"&gt;="&amp;DATE(2026,10,8),'DRAFT 2'!$A:$A,"&lt;="&amp;DATE(2026,10,14))</f>
        <v/>
      </c>
      <c r="HQ85">
        <f>COUNTIFS('DRAFT 2'!$D:$D,$B85,'DRAFT 2'!$A:$A,"&gt;="&amp;DATE(2026,10,15),'DRAFT 2'!$A:$A,"&lt;="&amp;DATE(2026,10,21))</f>
        <v/>
      </c>
      <c r="HR85">
        <f>COUNTIFS('DRAFT 2'!$D:$D,$B85,'DRAFT 2'!$A:$A,"&gt;="&amp;DATE(2026,10,22),'DRAFT 2'!$A:$A,"&lt;"&amp;DATE(2026,IF(10=12,10+1,10+1),1))</f>
        <v/>
      </c>
      <c r="HS85">
        <f>SUM(HO85:HR85)</f>
        <v/>
      </c>
      <c r="IC85">
        <f>IFERROR(LOOKUP(2,1/('DRAFT 2'!$D:$D=$B85)*('DRAFT 2'!$A:$A&gt;=DATE(2026,11,1))*('DRAFT 2'!$A:$A&lt;DATE(2026,IF(11=12,11+1,11+1),1)),'DRAFT 2'!$A:$A),"")</f>
        <v/>
      </c>
      <c r="ID85">
        <f>COUNTIFS('DRAFT 2'!$D:$D,$B85,'DRAFT 2'!$A:$A,"&gt;="&amp;DATE(2026,11,1),'DRAFT 2'!$A:$A,"&lt;="&amp;DATE(2026,11,7))</f>
        <v/>
      </c>
      <c r="IE85">
        <f>COUNTIFS('DRAFT 2'!$D:$D,$B85,'DRAFT 2'!$A:$A,"&gt;="&amp;DATE(2026,11,8),'DRAFT 2'!$A:$A,"&lt;="&amp;DATE(2026,11,14))</f>
        <v/>
      </c>
      <c r="IF85">
        <f>COUNTIFS('DRAFT 2'!$D:$D,$B85,'DRAFT 2'!$A:$A,"&gt;="&amp;DATE(2026,11,15),'DRAFT 2'!$A:$A,"&lt;="&amp;DATE(2026,11,21))</f>
        <v/>
      </c>
      <c r="IG85">
        <f>COUNTIFS('DRAFT 2'!$D:$D,$B85,'DRAFT 2'!$A:$A,"&gt;="&amp;DATE(2026,11,22),'DRAFT 2'!$A:$A,"&lt;"&amp;DATE(2026,IF(11=12,11+1,11+1),1))</f>
        <v/>
      </c>
      <c r="IH85">
        <f>SUM(ID85:IG85)</f>
        <v/>
      </c>
      <c r="IR85">
        <f>IFERROR(LOOKUP(2,1/('DRAFT 2'!$D:$D=$B85)*('DRAFT 2'!$A:$A&gt;=DATE(2026,12,1))*('DRAFT 2'!$A:$A&lt;DATE(2026,IF(12=12,12+1,12+1),1)),'DRAFT 2'!$A:$A),"")</f>
        <v/>
      </c>
      <c r="IS85">
        <f>COUNTIFS('DRAFT 2'!$D:$D,$B85,'DRAFT 2'!$A:$A,"&gt;="&amp;DATE(2026,12,1),'DRAFT 2'!$A:$A,"&lt;="&amp;DATE(2026,12,7))</f>
        <v/>
      </c>
      <c r="IT85">
        <f>COUNTIFS('DRAFT 2'!$D:$D,$B85,'DRAFT 2'!$A:$A,"&gt;="&amp;DATE(2026,12,8),'DRAFT 2'!$A:$A,"&lt;="&amp;DATE(2026,12,14))</f>
        <v/>
      </c>
      <c r="IU85">
        <f>COUNTIFS('DRAFT 2'!$D:$D,$B85,'DRAFT 2'!$A:$A,"&gt;="&amp;DATE(2026,12,15),'DRAFT 2'!$A:$A,"&lt;="&amp;DATE(2026,12,21))</f>
        <v/>
      </c>
      <c r="IV85">
        <f>COUNTIFS('DRAFT 2'!$D:$D,$B85,'DRAFT 2'!$A:$A,"&gt;="&amp;DATE(2026,12,22),'DRAFT 2'!$A:$A,"&lt;"&amp;DATE(2026,IF(12=12,12+1,12+1),1))</f>
        <v/>
      </c>
      <c r="IW85">
        <f>SUM(IS85:IV85)</f>
        <v/>
      </c>
    </row>
    <row r="86">
      <c r="A86">
        <f>IFERROR(INDEX('DRAFT 1'!$A:$A,MATCH($B86,'DRAFT 1'!$B:$B,0)),"")</f>
        <v/>
      </c>
      <c r="C86">
        <f>IFERROR(INDEX('DRAFT 1'!$C:$C,MATCH($B86,'DRAFT 1'!$B:$B,0)),"")</f>
        <v/>
      </c>
      <c r="D86">
        <f>IFERROR(INDEX('DRAFT 1'!$D:$D,MATCH($B86,'DRAFT 1'!$B:$B,0)),"")</f>
        <v/>
      </c>
      <c r="E86">
        <f>IFERROR(INDEX('DRAFT 1'!$E:$E,MATCH($B86,'DRAFT 1'!$B:$B,0)),"")</f>
        <v/>
      </c>
      <c r="F86">
        <f>IFERROR(INDEX('DRAFT 1'!$F:$F,MATCH($B86,'DRAFT 1'!$B:$B,0)),"")</f>
        <v/>
      </c>
      <c r="G86">
        <f>IFERROR(INDEX('DRAFT 1'!$G:$G,MATCH($B86,'DRAFT 1'!$B:$B,0)),"")</f>
        <v/>
      </c>
      <c r="H86">
        <f>IFERROR(INDEX('DRAFT 1'!$H:$H,MATCH($B86,'DRAFT 1'!$B:$B,0)),"")</f>
        <v/>
      </c>
      <c r="I86" t="inlineStr">
        <is>
          <t>TUDO EM GRAOS</t>
        </is>
      </c>
      <c r="K86">
        <f>IFERROR(INDEX('DRAFT 1'!$AL:$AL,MATCH($B86,'DRAFT 1'!$B:$B,0)),"")</f>
        <v/>
      </c>
      <c r="L86">
        <f>IFERROR(INDEX('DRAFT 1'!$J:$J,MATCH($B86,'DRAFT 1'!$B:$B,0)),"")</f>
        <v/>
      </c>
      <c r="M86">
        <f>IFERROR(INDEX('DRAFT 1'!$K:$K,MATCH($B86,'DRAFT 1'!$B:$B,0)),"")</f>
        <v/>
      </c>
      <c r="N86" t="inlineStr">
        <is>
          <t>INAT.ANT</t>
        </is>
      </c>
      <c r="P86">
        <f>IFERROR(INDEX('DRAFT 1'!$L:$L,MATCH($B86,'DRAFT 1'!$B:$B,0)),"")</f>
        <v/>
      </c>
      <c r="Q86">
        <f>IFERROR(INDEX('DRAFT 1'!$M:$M,MATCH($B86,'DRAFT 1'!$B:$B,0)),"")</f>
        <v/>
      </c>
      <c r="R86">
        <f>IFERROR(INDEX('DRAFT 1'!$N:$N,MATCH($B86,'DRAFT 1'!$B:$B,0)),"")</f>
        <v/>
      </c>
      <c r="S86">
        <f>IFERROR(INDEX('DRAFT 1'!$O:$O,MATCH($B86,'DRAFT 1'!$B:$B,0)),"")</f>
        <v/>
      </c>
      <c r="T86">
        <f>IFERROR(INDEX('DRAFT 1'!$P:$P,MATCH($B86,'DRAFT 1'!$B:$B,0)),"")</f>
        <v/>
      </c>
      <c r="U86">
        <f>IFERROR(INDEX('DRAFT 1'!$Q:$Q,MATCH($B86,'DRAFT 1'!$B:$B,0)),"")</f>
        <v/>
      </c>
      <c r="V86">
        <f>IFERROR(INDEX('DRAFT 1'!$R:$R,MATCH($B86,'DRAFT 1'!$B:$B,0)),"")</f>
        <v/>
      </c>
      <c r="W86">
        <f>IFERROR(INDEX('DRAFT 1'!$S:$S,MATCH($B86,'DRAFT 1'!$B:$B,0)),"")</f>
        <v/>
      </c>
      <c r="X86">
        <f>IFERROR(INDEX('DRAFT 1'!$T:$T,MATCH($B86,'DRAFT 1'!$B:$B,0)),"")</f>
        <v/>
      </c>
      <c r="Z86">
        <f>IFERROR(INDEX('DRAFT 1'!$U:$U,MATCH($B86,'DRAFT 1'!$B:$B,0)),"")</f>
        <v/>
      </c>
      <c r="AA86">
        <f>IFERROR(INDEX('DRAFT 1'!$V:$V,MATCH($B86,'DRAFT 1'!$B:$B,0)),"")</f>
        <v/>
      </c>
      <c r="AB86">
        <f>IFERROR(INDEX('DRAFT 1'!$W:$W,MATCH($B86,'DRAFT 1'!$B:$B,0)),"")</f>
        <v/>
      </c>
      <c r="AC86">
        <f>IFERROR(INDEX('DRAFT 1'!$X:$X,MATCH($B86,'DRAFT 1'!$B:$B,0)),"")</f>
        <v/>
      </c>
      <c r="AD86">
        <f>IFERROR(INDEX('DRAFT 1'!$Y:$Y,MATCH($B86,'DRAFT 1'!$B:$B,0)),"")</f>
        <v/>
      </c>
      <c r="AE86">
        <f>IFERROR(INDEX('DRAFT 1'!$Z:$Z,MATCH($B86,'DRAFT 1'!$B:$B,0)),"")</f>
        <v/>
      </c>
      <c r="AF86">
        <f>IFERROR(INDEX('DRAFT 1'!$AA:$AA,MATCH($B86,'DRAFT 1'!$B:$B,0)),"")</f>
        <v/>
      </c>
      <c r="AG86">
        <f>IFERROR(INDEX('DRAFT 1'!$AB:$AB,MATCH($B86,'DRAFT 1'!$B:$B,0)),"")</f>
        <v/>
      </c>
      <c r="AH86">
        <f>IFERROR(INDEX('DRAFT 1'!$AC:$AC,MATCH($B86,'DRAFT 1'!$B:$B,0)),"")</f>
        <v/>
      </c>
      <c r="AI86">
        <f>IFERROR(INDEX('DRAFT 1'!$AD:$AD,MATCH($B86,'DRAFT 1'!$B:$B,0)),"")</f>
        <v/>
      </c>
      <c r="AJ86">
        <f>IFERROR(INDEX('DRAFT 1'!$AE:$AE,MATCH($B86,'DRAFT 1'!$B:$B,0)),"")</f>
        <v/>
      </c>
      <c r="AK86">
        <f>IFERROR(INDEX('DRAFT 1'!$AG:$AG,MATCH($B86,'DRAFT 1'!$B:$B,0)),"")</f>
        <v/>
      </c>
      <c r="AL86">
        <f>IFERROR(INDEX('DRAFT 1'!$AH:$AH,MATCH($B86,'DRAFT 1'!$B:$B,0)),"")</f>
        <v/>
      </c>
      <c r="AM86">
        <f>IFERROR(INDEX('DRAFT 1'!$AI:$AI,MATCH($B86,'DRAFT 1'!$B:$B,0)),"")</f>
        <v/>
      </c>
      <c r="AN86">
        <f>IFERROR(INDEX('DRAFT 1'!$AJ:$AJ,MATCH($B86,'DRAFT 1'!$B:$B,0)),"")</f>
        <v/>
      </c>
      <c r="AO86">
        <f>IFERROR(Y86/AN86,0)</f>
        <v/>
      </c>
      <c r="AP86">
        <f>IFERROR(INDEX('DRAFT 1'!$AK:$AK,MATCH($B86,'DRAFT 1'!$B:$B,0)),"")</f>
        <v/>
      </c>
      <c r="AR86" t="inlineStr">
        <is>
          <t>CS</t>
        </is>
      </c>
      <c r="AS86">
        <f>IFERROR(LOOKUP(2,1/('DRAFT 2'!$D:$D=$B86),'DRAFT 2'!$T:$T),"")</f>
        <v/>
      </c>
      <c r="AT86">
        <f>IFERROR(LOOKUP(2,1/('DRAFT 2'!$D:$D=$B86),'DRAFT 2'!$A:$A),"")</f>
        <v/>
      </c>
      <c r="AU86">
        <f>IFERROR(LOOKUP(2,1/('DRAFT 2'!$D:$D=$B86),'DRAFT 2'!$R:$R),"")</f>
        <v/>
      </c>
      <c r="AV86">
        <f>IFERROR(LOOKUP(2,1/('DRAFT 2'!$D:$D=$B86),'DRAFT 2'!$S:$S),"")</f>
        <v/>
      </c>
      <c r="AW86" t="inlineStr">
        <is>
          <t>PROSPECT</t>
        </is>
      </c>
      <c r="AX86">
        <f>IFERROR(LOOKUP(2,1/('DRAFT 2'!$D:$D=$B86),'DRAFT 2'!$M:$M),"")</f>
        <v/>
      </c>
      <c r="AY86">
        <f>IFERROR(LOOKUP(2,1/('DRAFT 2'!$D:$D=$B86),'DRAFT 2'!$K:$K),"")</f>
        <v/>
      </c>
      <c r="BG86">
        <f>IFERROR(LOOKUP(2,1/('DRAFT 2'!$D:$D=$B86),'DRAFT 2'!$U:$U),"")</f>
        <v/>
      </c>
      <c r="BH86">
        <f>IFERROR(LOOKUP(2,1/('DRAFT 2'!$D:$D=$B86),'DRAFT 2'!$V:$V),"")</f>
        <v/>
      </c>
      <c r="CE86">
        <f>IFERROR(AJ86,0)</f>
        <v/>
      </c>
      <c r="CF86">
        <f>IFERROR(LOOKUP(2,1/('DRAFT 2'!$D:$D=$B86)*('DRAFT 2'!$A:$A&gt;=DATE(2026,1,1))*('DRAFT 2'!$A:$A&lt;DATE(2026,IF(1=12,1+1,1+1),1)),'DRAFT 2'!$A:$A),"")</f>
        <v/>
      </c>
      <c r="CG86">
        <f>COUNTIFS('DRAFT 2'!$D:$D,$B86,'DRAFT 2'!$A:$A,"&gt;="&amp;DATE(2026,1,1),'DRAFT 2'!$A:$A,"&lt;="&amp;DATE(2026,1,7))</f>
        <v/>
      </c>
      <c r="CH86">
        <f>COUNTIFS('DRAFT 2'!$D:$D,$B86,'DRAFT 2'!$A:$A,"&gt;="&amp;DATE(2026,1,8),'DRAFT 2'!$A:$A,"&lt;="&amp;DATE(2026,1,14))</f>
        <v/>
      </c>
      <c r="CI86">
        <f>COUNTIFS('DRAFT 2'!$D:$D,$B86,'DRAFT 2'!$A:$A,"&gt;="&amp;DATE(2026,1,15),'DRAFT 2'!$A:$A,"&lt;="&amp;DATE(2026,1,21))</f>
        <v/>
      </c>
      <c r="CJ86">
        <f>COUNTIFS('DRAFT 2'!$D:$D,$B86,'DRAFT 2'!$A:$A,"&gt;="&amp;DATE(2026,1,22),'DRAFT 2'!$A:$A,"&lt;"&amp;DATE(2026,IF(1=12,1+1,1+1),1))</f>
        <v/>
      </c>
      <c r="CK86">
        <f>SUM(CG86:CJ86)</f>
        <v/>
      </c>
      <c r="CT86" t="n">
        <v>0</v>
      </c>
      <c r="CU86">
        <f>IFERROR(LOOKUP(2,1/('DRAFT 2'!$D:$D=$B86)*('DRAFT 2'!$A:$A&gt;=DATE(2026,2,1))*('DRAFT 2'!$A:$A&lt;DATE(2026,IF(2=12,2+1,2+1),1)),'DRAFT 2'!$A:$A),"")</f>
        <v/>
      </c>
      <c r="CV86">
        <f>COUNTIFS('DRAFT 2'!$D:$D,$B86,'DRAFT 2'!$A:$A,"&gt;="&amp;DATE(2026,2,1),'DRAFT 2'!$A:$A,"&lt;="&amp;DATE(2026,2,7))</f>
        <v/>
      </c>
      <c r="CW86">
        <f>COUNTIFS('DRAFT 2'!$D:$D,$B86,'DRAFT 2'!$A:$A,"&gt;="&amp;DATE(2026,2,8),'DRAFT 2'!$A:$A,"&lt;="&amp;DATE(2026,2,14))</f>
        <v/>
      </c>
      <c r="CX86">
        <f>COUNTIFS('DRAFT 2'!$D:$D,$B86,'DRAFT 2'!$A:$A,"&gt;="&amp;DATE(2026,2,15),'DRAFT 2'!$A:$A,"&lt;="&amp;DATE(2026,2,21))</f>
        <v/>
      </c>
      <c r="CY86">
        <f>COUNTIFS('DRAFT 2'!$D:$D,$B86,'DRAFT 2'!$A:$A,"&gt;="&amp;DATE(2026,2,22),'DRAFT 2'!$A:$A,"&lt;"&amp;DATE(2026,IF(2=12,2+1,2+1),1))</f>
        <v/>
      </c>
      <c r="CZ86">
        <f>SUM(CV86:CY86)</f>
        <v/>
      </c>
      <c r="DJ86">
        <f>IFERROR(LOOKUP(2,1/('DRAFT 2'!$D:$D=$B86)*('DRAFT 2'!$A:$A&gt;=DATE(2026,3,1))*('DRAFT 2'!$A:$A&lt;DATE(2026,IF(3=12,3+1,3+1),1)),'DRAFT 2'!$A:$A),"")</f>
        <v/>
      </c>
      <c r="DK86">
        <f>COUNTIFS('DRAFT 2'!$D:$D,$B86,'DRAFT 2'!$A:$A,"&gt;="&amp;DATE(2026,3,1),'DRAFT 2'!$A:$A,"&lt;="&amp;DATE(2026,3,7))</f>
        <v/>
      </c>
      <c r="DL86">
        <f>COUNTIFS('DRAFT 2'!$D:$D,$B86,'DRAFT 2'!$A:$A,"&gt;="&amp;DATE(2026,3,8),'DRAFT 2'!$A:$A,"&lt;="&amp;DATE(2026,3,14))</f>
        <v/>
      </c>
      <c r="DM86">
        <f>COUNTIFS('DRAFT 2'!$D:$D,$B86,'DRAFT 2'!$A:$A,"&gt;="&amp;DATE(2026,3,15),'DRAFT 2'!$A:$A,"&lt;="&amp;DATE(2026,3,21))</f>
        <v/>
      </c>
      <c r="DN86">
        <f>COUNTIFS('DRAFT 2'!$D:$D,$B86,'DRAFT 2'!$A:$A,"&gt;="&amp;DATE(2026,3,22),'DRAFT 2'!$A:$A,"&lt;"&amp;DATE(2026,IF(3=12,3+1,3+1),1))</f>
        <v/>
      </c>
      <c r="DO86">
        <f>SUM(DK86:DN86)</f>
        <v/>
      </c>
      <c r="DZ86">
        <f>IFERROR(LOOKUP(2,1/('DRAFT 2'!$D:$D=$B86)*('DRAFT 2'!$A:$A&gt;=DATE(2026,4,1))*('DRAFT 2'!$A:$A&lt;DATE(2026,IF(4=12,4+1,4+1),1)),'DRAFT 2'!$A:$A),"")</f>
        <v/>
      </c>
      <c r="EA86">
        <f>COUNTIFS('DRAFT 2'!$D:$D,$B86,'DRAFT 2'!$A:$A,"&gt;="&amp;DATE(2026,4,1),'DRAFT 2'!$A:$A,"&lt;="&amp;DATE(2026,4,7))</f>
        <v/>
      </c>
      <c r="EB86">
        <f>COUNTIFS('DRAFT 2'!$D:$D,$B86,'DRAFT 2'!$A:$A,"&gt;="&amp;DATE(2026,4,8),'DRAFT 2'!$A:$A,"&lt;="&amp;DATE(2026,4,14))</f>
        <v/>
      </c>
      <c r="EC86">
        <f>COUNTIFS('DRAFT 2'!$D:$D,$B86,'DRAFT 2'!$A:$A,"&gt;="&amp;DATE(2026,4,15),'DRAFT 2'!$A:$A,"&lt;="&amp;DATE(2026,4,21))</f>
        <v/>
      </c>
      <c r="ED86">
        <f>COUNTIFS('DRAFT 2'!$D:$D,$B86,'DRAFT 2'!$A:$A,"&gt;="&amp;DATE(2026,4,22),'DRAFT 2'!$A:$A,"&lt;"&amp;DATE(2026,IF(4=12,4+1,4+1),1))</f>
        <v/>
      </c>
      <c r="EE86">
        <f>SUM(EA86:ED86)</f>
        <v/>
      </c>
      <c r="EO86">
        <f>IFERROR(LOOKUP(2,1/('DRAFT 2'!$D:$D=$B86)*('DRAFT 2'!$A:$A&gt;=DATE(2026,5,1))*('DRAFT 2'!$A:$A&lt;DATE(2026,IF(5=12,5+1,5+1),1)),'DRAFT 2'!$A:$A),"")</f>
        <v/>
      </c>
      <c r="EP86">
        <f>COUNTIFS('DRAFT 2'!$D:$D,$B86,'DRAFT 2'!$A:$A,"&gt;="&amp;DATE(2026,5,1),'DRAFT 2'!$A:$A,"&lt;="&amp;DATE(2026,5,7))</f>
        <v/>
      </c>
      <c r="EQ86">
        <f>COUNTIFS('DRAFT 2'!$D:$D,$B86,'DRAFT 2'!$A:$A,"&gt;="&amp;DATE(2026,5,8),'DRAFT 2'!$A:$A,"&lt;="&amp;DATE(2026,5,14))</f>
        <v/>
      </c>
      <c r="ER86">
        <f>COUNTIFS('DRAFT 2'!$D:$D,$B86,'DRAFT 2'!$A:$A,"&gt;="&amp;DATE(2026,5,15),'DRAFT 2'!$A:$A,"&lt;="&amp;DATE(2026,5,21))</f>
        <v/>
      </c>
      <c r="ES86">
        <f>COUNTIFS('DRAFT 2'!$D:$D,$B86,'DRAFT 2'!$A:$A,"&gt;="&amp;DATE(2026,5,22),'DRAFT 2'!$A:$A,"&lt;"&amp;DATE(2026,IF(5=12,5+1,5+1),1))</f>
        <v/>
      </c>
      <c r="ET86">
        <f>SUM(EP86:ES86)</f>
        <v/>
      </c>
      <c r="FD86">
        <f>IFERROR(LOOKUP(2,1/('DRAFT 2'!$D:$D=$B86)*('DRAFT 2'!$A:$A&gt;=DATE(2026,6,1))*('DRAFT 2'!$A:$A&lt;DATE(2026,IF(6=12,6+1,6+1),1)),'DRAFT 2'!$A:$A),"")</f>
        <v/>
      </c>
      <c r="FE86">
        <f>COUNTIFS('DRAFT 2'!$D:$D,$B86,'DRAFT 2'!$A:$A,"&gt;="&amp;DATE(2026,6,1),'DRAFT 2'!$A:$A,"&lt;="&amp;DATE(2026,6,7))</f>
        <v/>
      </c>
      <c r="FF86">
        <f>COUNTIFS('DRAFT 2'!$D:$D,$B86,'DRAFT 2'!$A:$A,"&gt;="&amp;DATE(2026,6,8),'DRAFT 2'!$A:$A,"&lt;="&amp;DATE(2026,6,14))</f>
        <v/>
      </c>
      <c r="FG86">
        <f>COUNTIFS('DRAFT 2'!$D:$D,$B86,'DRAFT 2'!$A:$A,"&gt;="&amp;DATE(2026,6,15),'DRAFT 2'!$A:$A,"&lt;="&amp;DATE(2026,6,21))</f>
        <v/>
      </c>
      <c r="FH86">
        <f>COUNTIFS('DRAFT 2'!$D:$D,$B86,'DRAFT 2'!$A:$A,"&gt;="&amp;DATE(2026,6,22),'DRAFT 2'!$A:$A,"&lt;"&amp;DATE(2026,IF(6=12,6+1,6+1),1))</f>
        <v/>
      </c>
      <c r="FI86">
        <f>SUM(FE86:FH86)</f>
        <v/>
      </c>
      <c r="FT86">
        <f>IFERROR(LOOKUP(2,1/('DRAFT 2'!$D:$D=$B86)*('DRAFT 2'!$A:$A&gt;=DATE(2026,7,1))*('DRAFT 2'!$A:$A&lt;DATE(2026,IF(7=12,7+1,7+1),1)),'DRAFT 2'!$A:$A),"")</f>
        <v/>
      </c>
      <c r="FU86">
        <f>COUNTIFS('DRAFT 2'!$D:$D,$B86,'DRAFT 2'!$A:$A,"&gt;="&amp;DATE(2026,7,1),'DRAFT 2'!$A:$A,"&lt;="&amp;DATE(2026,7,7))</f>
        <v/>
      </c>
      <c r="FV86">
        <f>COUNTIFS('DRAFT 2'!$D:$D,$B86,'DRAFT 2'!$A:$A,"&gt;="&amp;DATE(2026,7,8),'DRAFT 2'!$A:$A,"&lt;="&amp;DATE(2026,7,14))</f>
        <v/>
      </c>
      <c r="FW86">
        <f>COUNTIFS('DRAFT 2'!$D:$D,$B86,'DRAFT 2'!$A:$A,"&gt;="&amp;DATE(2026,7,15),'DRAFT 2'!$A:$A,"&lt;="&amp;DATE(2026,7,21))</f>
        <v/>
      </c>
      <c r="FX86">
        <f>COUNTIFS('DRAFT 2'!$D:$D,$B86,'DRAFT 2'!$A:$A,"&gt;="&amp;DATE(2026,7,22),'DRAFT 2'!$A:$A,"&lt;"&amp;DATE(2026,IF(7=12,7+1,7+1),1))</f>
        <v/>
      </c>
      <c r="FY86">
        <f>SUM(FU86:FX86)</f>
        <v/>
      </c>
      <c r="GI86">
        <f>IFERROR(LOOKUP(2,1/('DRAFT 2'!$D:$D=$B86)*('DRAFT 2'!$A:$A&gt;=DATE(2026,8,1))*('DRAFT 2'!$A:$A&lt;DATE(2026,IF(8=12,8+1,8+1),1)),'DRAFT 2'!$A:$A),"")</f>
        <v/>
      </c>
      <c r="GJ86">
        <f>COUNTIFS('DRAFT 2'!$D:$D,$B86,'DRAFT 2'!$A:$A,"&gt;="&amp;DATE(2026,8,1),'DRAFT 2'!$A:$A,"&lt;="&amp;DATE(2026,8,7))</f>
        <v/>
      </c>
      <c r="GK86">
        <f>COUNTIFS('DRAFT 2'!$D:$D,$B86,'DRAFT 2'!$A:$A,"&gt;="&amp;DATE(2026,8,8),'DRAFT 2'!$A:$A,"&lt;="&amp;DATE(2026,8,14))</f>
        <v/>
      </c>
      <c r="GL86">
        <f>COUNTIFS('DRAFT 2'!$D:$D,$B86,'DRAFT 2'!$A:$A,"&gt;="&amp;DATE(2026,8,15),'DRAFT 2'!$A:$A,"&lt;="&amp;DATE(2026,8,21))</f>
        <v/>
      </c>
      <c r="GM86">
        <f>COUNTIFS('DRAFT 2'!$D:$D,$B86,'DRAFT 2'!$A:$A,"&gt;="&amp;DATE(2026,8,22),'DRAFT 2'!$A:$A,"&lt;"&amp;DATE(2026,IF(8=12,8+1,8+1),1))</f>
        <v/>
      </c>
      <c r="GN86">
        <f>SUM(GJ86:GM86)</f>
        <v/>
      </c>
      <c r="GX86">
        <f>IFERROR(LOOKUP(2,1/('DRAFT 2'!$D:$D=$B86)*('DRAFT 2'!$A:$A&gt;=DATE(2026,9,1))*('DRAFT 2'!$A:$A&lt;DATE(2026,IF(9=12,9+1,9+1),1)),'DRAFT 2'!$A:$A),"")</f>
        <v/>
      </c>
      <c r="GY86">
        <f>COUNTIFS('DRAFT 2'!$D:$D,$B86,'DRAFT 2'!$A:$A,"&gt;="&amp;DATE(2026,9,1),'DRAFT 2'!$A:$A,"&lt;="&amp;DATE(2026,9,7))</f>
        <v/>
      </c>
      <c r="GZ86">
        <f>COUNTIFS('DRAFT 2'!$D:$D,$B86,'DRAFT 2'!$A:$A,"&gt;="&amp;DATE(2026,9,8),'DRAFT 2'!$A:$A,"&lt;="&amp;DATE(2026,9,14))</f>
        <v/>
      </c>
      <c r="HA86">
        <f>COUNTIFS('DRAFT 2'!$D:$D,$B86,'DRAFT 2'!$A:$A,"&gt;="&amp;DATE(2026,9,15),'DRAFT 2'!$A:$A,"&lt;="&amp;DATE(2026,9,21))</f>
        <v/>
      </c>
      <c r="HB86">
        <f>COUNTIFS('DRAFT 2'!$D:$D,$B86,'DRAFT 2'!$A:$A,"&gt;="&amp;DATE(2026,9,22),'DRAFT 2'!$A:$A,"&lt;"&amp;DATE(2026,IF(9=12,9+1,9+1),1))</f>
        <v/>
      </c>
      <c r="HC86">
        <f>SUM(GY86:HB86)</f>
        <v/>
      </c>
      <c r="HN86">
        <f>IFERROR(LOOKUP(2,1/('DRAFT 2'!$D:$D=$B86)*('DRAFT 2'!$A:$A&gt;=DATE(2026,10,1))*('DRAFT 2'!$A:$A&lt;DATE(2026,IF(10=12,10+1,10+1),1)),'DRAFT 2'!$A:$A),"")</f>
        <v/>
      </c>
      <c r="HO86">
        <f>COUNTIFS('DRAFT 2'!$D:$D,$B86,'DRAFT 2'!$A:$A,"&gt;="&amp;DATE(2026,10,1),'DRAFT 2'!$A:$A,"&lt;="&amp;DATE(2026,10,7))</f>
        <v/>
      </c>
      <c r="HP86">
        <f>COUNTIFS('DRAFT 2'!$D:$D,$B86,'DRAFT 2'!$A:$A,"&gt;="&amp;DATE(2026,10,8),'DRAFT 2'!$A:$A,"&lt;="&amp;DATE(2026,10,14))</f>
        <v/>
      </c>
      <c r="HQ86">
        <f>COUNTIFS('DRAFT 2'!$D:$D,$B86,'DRAFT 2'!$A:$A,"&gt;="&amp;DATE(2026,10,15),'DRAFT 2'!$A:$A,"&lt;="&amp;DATE(2026,10,21))</f>
        <v/>
      </c>
      <c r="HR86">
        <f>COUNTIFS('DRAFT 2'!$D:$D,$B86,'DRAFT 2'!$A:$A,"&gt;="&amp;DATE(2026,10,22),'DRAFT 2'!$A:$A,"&lt;"&amp;DATE(2026,IF(10=12,10+1,10+1),1))</f>
        <v/>
      </c>
      <c r="HS86">
        <f>SUM(HO86:HR86)</f>
        <v/>
      </c>
      <c r="IC86">
        <f>IFERROR(LOOKUP(2,1/('DRAFT 2'!$D:$D=$B86)*('DRAFT 2'!$A:$A&gt;=DATE(2026,11,1))*('DRAFT 2'!$A:$A&lt;DATE(2026,IF(11=12,11+1,11+1),1)),'DRAFT 2'!$A:$A),"")</f>
        <v/>
      </c>
      <c r="ID86">
        <f>COUNTIFS('DRAFT 2'!$D:$D,$B86,'DRAFT 2'!$A:$A,"&gt;="&amp;DATE(2026,11,1),'DRAFT 2'!$A:$A,"&lt;="&amp;DATE(2026,11,7))</f>
        <v/>
      </c>
      <c r="IE86">
        <f>COUNTIFS('DRAFT 2'!$D:$D,$B86,'DRAFT 2'!$A:$A,"&gt;="&amp;DATE(2026,11,8),'DRAFT 2'!$A:$A,"&lt;="&amp;DATE(2026,11,14))</f>
        <v/>
      </c>
      <c r="IF86">
        <f>COUNTIFS('DRAFT 2'!$D:$D,$B86,'DRAFT 2'!$A:$A,"&gt;="&amp;DATE(2026,11,15),'DRAFT 2'!$A:$A,"&lt;="&amp;DATE(2026,11,21))</f>
        <v/>
      </c>
      <c r="IG86">
        <f>COUNTIFS('DRAFT 2'!$D:$D,$B86,'DRAFT 2'!$A:$A,"&gt;="&amp;DATE(2026,11,22),'DRAFT 2'!$A:$A,"&lt;"&amp;DATE(2026,IF(11=12,11+1,11+1),1))</f>
        <v/>
      </c>
      <c r="IH86">
        <f>SUM(ID86:IG86)</f>
        <v/>
      </c>
      <c r="IR86">
        <f>IFERROR(LOOKUP(2,1/('DRAFT 2'!$D:$D=$B86)*('DRAFT 2'!$A:$A&gt;=DATE(2026,12,1))*('DRAFT 2'!$A:$A&lt;DATE(2026,IF(12=12,12+1,12+1),1)),'DRAFT 2'!$A:$A),"")</f>
        <v/>
      </c>
      <c r="IS86">
        <f>COUNTIFS('DRAFT 2'!$D:$D,$B86,'DRAFT 2'!$A:$A,"&gt;="&amp;DATE(2026,12,1),'DRAFT 2'!$A:$A,"&lt;="&amp;DATE(2026,12,7))</f>
        <v/>
      </c>
      <c r="IT86">
        <f>COUNTIFS('DRAFT 2'!$D:$D,$B86,'DRAFT 2'!$A:$A,"&gt;="&amp;DATE(2026,12,8),'DRAFT 2'!$A:$A,"&lt;="&amp;DATE(2026,12,14))</f>
        <v/>
      </c>
      <c r="IU86">
        <f>COUNTIFS('DRAFT 2'!$D:$D,$B86,'DRAFT 2'!$A:$A,"&gt;="&amp;DATE(2026,12,15),'DRAFT 2'!$A:$A,"&lt;="&amp;DATE(2026,12,21))</f>
        <v/>
      </c>
      <c r="IV86">
        <f>COUNTIFS('DRAFT 2'!$D:$D,$B86,'DRAFT 2'!$A:$A,"&gt;="&amp;DATE(2026,12,22),'DRAFT 2'!$A:$A,"&lt;"&amp;DATE(2026,IF(12=12,12+1,12+1),1))</f>
        <v/>
      </c>
      <c r="IW86">
        <f>SUM(IS86:IV86)</f>
        <v/>
      </c>
    </row>
    <row r="87">
      <c r="A87">
        <f>IFERROR(INDEX('DRAFT 1'!$A:$A,MATCH($B87,'DRAFT 1'!$B:$B,0)),"")</f>
        <v/>
      </c>
      <c r="C87">
        <f>IFERROR(INDEX('DRAFT 1'!$C:$C,MATCH($B87,'DRAFT 1'!$B:$B,0)),"")</f>
        <v/>
      </c>
      <c r="D87">
        <f>IFERROR(INDEX('DRAFT 1'!$D:$D,MATCH($B87,'DRAFT 1'!$B:$B,0)),"")</f>
        <v/>
      </c>
      <c r="E87">
        <f>IFERROR(INDEX('DRAFT 1'!$E:$E,MATCH($B87,'DRAFT 1'!$B:$B,0)),"")</f>
        <v/>
      </c>
      <c r="F87">
        <f>IFERROR(INDEX('DRAFT 1'!$F:$F,MATCH($B87,'DRAFT 1'!$B:$B,0)),"")</f>
        <v/>
      </c>
      <c r="G87">
        <f>IFERROR(INDEX('DRAFT 1'!$G:$G,MATCH($B87,'DRAFT 1'!$B:$B,0)),"")</f>
        <v/>
      </c>
      <c r="H87">
        <f>IFERROR(INDEX('DRAFT 1'!$H:$H,MATCH($B87,'DRAFT 1'!$B:$B,0)),"")</f>
        <v/>
      </c>
      <c r="I87" t="inlineStr">
        <is>
          <t>VIDA LEVE</t>
        </is>
      </c>
      <c r="K87">
        <f>IFERROR(INDEX('DRAFT 1'!$AL:$AL,MATCH($B87,'DRAFT 1'!$B:$B,0)),"")</f>
        <v/>
      </c>
      <c r="L87">
        <f>IFERROR(INDEX('DRAFT 1'!$J:$J,MATCH($B87,'DRAFT 1'!$B:$B,0)),"")</f>
        <v/>
      </c>
      <c r="M87">
        <f>IFERROR(INDEX('DRAFT 1'!$K:$K,MATCH($B87,'DRAFT 1'!$B:$B,0)),"")</f>
        <v/>
      </c>
      <c r="N87" t="inlineStr">
        <is>
          <t>NOVO</t>
        </is>
      </c>
      <c r="P87">
        <f>IFERROR(INDEX('DRAFT 1'!$L:$L,MATCH($B87,'DRAFT 1'!$B:$B,0)),"")</f>
        <v/>
      </c>
      <c r="Q87">
        <f>IFERROR(INDEX('DRAFT 1'!$M:$M,MATCH($B87,'DRAFT 1'!$B:$B,0)),"")</f>
        <v/>
      </c>
      <c r="R87">
        <f>IFERROR(INDEX('DRAFT 1'!$N:$N,MATCH($B87,'DRAFT 1'!$B:$B,0)),"")</f>
        <v/>
      </c>
      <c r="S87">
        <f>IFERROR(INDEX('DRAFT 1'!$O:$O,MATCH($B87,'DRAFT 1'!$B:$B,0)),"")</f>
        <v/>
      </c>
      <c r="T87">
        <f>IFERROR(INDEX('DRAFT 1'!$P:$P,MATCH($B87,'DRAFT 1'!$B:$B,0)),"")</f>
        <v/>
      </c>
      <c r="U87">
        <f>IFERROR(INDEX('DRAFT 1'!$Q:$Q,MATCH($B87,'DRAFT 1'!$B:$B,0)),"")</f>
        <v/>
      </c>
      <c r="V87">
        <f>IFERROR(INDEX('DRAFT 1'!$R:$R,MATCH($B87,'DRAFT 1'!$B:$B,0)),"")</f>
        <v/>
      </c>
      <c r="W87">
        <f>IFERROR(INDEX('DRAFT 1'!$S:$S,MATCH($B87,'DRAFT 1'!$B:$B,0)),"")</f>
        <v/>
      </c>
      <c r="X87">
        <f>IFERROR(INDEX('DRAFT 1'!$T:$T,MATCH($B87,'DRAFT 1'!$B:$B,0)),"")</f>
        <v/>
      </c>
      <c r="Z87">
        <f>IFERROR(INDEX('DRAFT 1'!$U:$U,MATCH($B87,'DRAFT 1'!$B:$B,0)),"")</f>
        <v/>
      </c>
      <c r="AA87">
        <f>IFERROR(INDEX('DRAFT 1'!$V:$V,MATCH($B87,'DRAFT 1'!$B:$B,0)),"")</f>
        <v/>
      </c>
      <c r="AB87">
        <f>IFERROR(INDEX('DRAFT 1'!$W:$W,MATCH($B87,'DRAFT 1'!$B:$B,0)),"")</f>
        <v/>
      </c>
      <c r="AC87">
        <f>IFERROR(INDEX('DRAFT 1'!$X:$X,MATCH($B87,'DRAFT 1'!$B:$B,0)),"")</f>
        <v/>
      </c>
      <c r="AD87">
        <f>IFERROR(INDEX('DRAFT 1'!$Y:$Y,MATCH($B87,'DRAFT 1'!$B:$B,0)),"")</f>
        <v/>
      </c>
      <c r="AE87">
        <f>IFERROR(INDEX('DRAFT 1'!$Z:$Z,MATCH($B87,'DRAFT 1'!$B:$B,0)),"")</f>
        <v/>
      </c>
      <c r="AF87">
        <f>IFERROR(INDEX('DRAFT 1'!$AA:$AA,MATCH($B87,'DRAFT 1'!$B:$B,0)),"")</f>
        <v/>
      </c>
      <c r="AG87">
        <f>IFERROR(INDEX('DRAFT 1'!$AB:$AB,MATCH($B87,'DRAFT 1'!$B:$B,0)),"")</f>
        <v/>
      </c>
      <c r="AH87">
        <f>IFERROR(INDEX('DRAFT 1'!$AC:$AC,MATCH($B87,'DRAFT 1'!$B:$B,0)),"")</f>
        <v/>
      </c>
      <c r="AI87">
        <f>IFERROR(INDEX('DRAFT 1'!$AD:$AD,MATCH($B87,'DRAFT 1'!$B:$B,0)),"")</f>
        <v/>
      </c>
      <c r="AJ87">
        <f>IFERROR(INDEX('DRAFT 1'!$AE:$AE,MATCH($B87,'DRAFT 1'!$B:$B,0)),"")</f>
        <v/>
      </c>
      <c r="AK87">
        <f>IFERROR(INDEX('DRAFT 1'!$AG:$AG,MATCH($B87,'DRAFT 1'!$B:$B,0)),"")</f>
        <v/>
      </c>
      <c r="AL87">
        <f>IFERROR(INDEX('DRAFT 1'!$AH:$AH,MATCH($B87,'DRAFT 1'!$B:$B,0)),"")</f>
        <v/>
      </c>
      <c r="AM87">
        <f>IFERROR(INDEX('DRAFT 1'!$AI:$AI,MATCH($B87,'DRAFT 1'!$B:$B,0)),"")</f>
        <v/>
      </c>
      <c r="AN87">
        <f>IFERROR(INDEX('DRAFT 1'!$AJ:$AJ,MATCH($B87,'DRAFT 1'!$B:$B,0)),"")</f>
        <v/>
      </c>
      <c r="AO87">
        <f>IFERROR(Y87/AN87,0)</f>
        <v/>
      </c>
      <c r="AP87">
        <f>IFERROR(INDEX('DRAFT 1'!$AK:$AK,MATCH($B87,'DRAFT 1'!$B:$B,0)),"")</f>
        <v/>
      </c>
      <c r="AR87" t="inlineStr">
        <is>
          <t>CS</t>
        </is>
      </c>
      <c r="AS87">
        <f>IFERROR(LOOKUP(2,1/('DRAFT 2'!$D:$D=$B87),'DRAFT 2'!$T:$T),"")</f>
        <v/>
      </c>
      <c r="AT87">
        <f>IFERROR(LOOKUP(2,1/('DRAFT 2'!$D:$D=$B87),'DRAFT 2'!$A:$A),"")</f>
        <v/>
      </c>
      <c r="AU87">
        <f>IFERROR(LOOKUP(2,1/('DRAFT 2'!$D:$D=$B87),'DRAFT 2'!$R:$R),"")</f>
        <v/>
      </c>
      <c r="AV87">
        <f>IFERROR(LOOKUP(2,1/('DRAFT 2'!$D:$D=$B87),'DRAFT 2'!$S:$S),"")</f>
        <v/>
      </c>
      <c r="AW87" t="inlineStr">
        <is>
          <t>LEAD</t>
        </is>
      </c>
      <c r="AX87">
        <f>IFERROR(LOOKUP(2,1/('DRAFT 2'!$D:$D=$B87),'DRAFT 2'!$M:$M),"")</f>
        <v/>
      </c>
      <c r="AY87">
        <f>IFERROR(LOOKUP(2,1/('DRAFT 2'!$D:$D=$B87),'DRAFT 2'!$K:$K),"")</f>
        <v/>
      </c>
      <c r="BG87">
        <f>IFERROR(LOOKUP(2,1/('DRAFT 2'!$D:$D=$B87),'DRAFT 2'!$U:$U),"")</f>
        <v/>
      </c>
      <c r="BH87">
        <f>IFERROR(LOOKUP(2,1/('DRAFT 2'!$D:$D=$B87),'DRAFT 2'!$V:$V),"")</f>
        <v/>
      </c>
      <c r="CE87">
        <f>IFERROR(AJ87,0)</f>
        <v/>
      </c>
      <c r="CF87">
        <f>IFERROR(LOOKUP(2,1/('DRAFT 2'!$D:$D=$B87)*('DRAFT 2'!$A:$A&gt;=DATE(2026,1,1))*('DRAFT 2'!$A:$A&lt;DATE(2026,IF(1=12,1+1,1+1),1)),'DRAFT 2'!$A:$A),"")</f>
        <v/>
      </c>
      <c r="CG87">
        <f>COUNTIFS('DRAFT 2'!$D:$D,$B87,'DRAFT 2'!$A:$A,"&gt;="&amp;DATE(2026,1,1),'DRAFT 2'!$A:$A,"&lt;="&amp;DATE(2026,1,7))</f>
        <v/>
      </c>
      <c r="CH87">
        <f>COUNTIFS('DRAFT 2'!$D:$D,$B87,'DRAFT 2'!$A:$A,"&gt;="&amp;DATE(2026,1,8),'DRAFT 2'!$A:$A,"&lt;="&amp;DATE(2026,1,14))</f>
        <v/>
      </c>
      <c r="CI87">
        <f>COUNTIFS('DRAFT 2'!$D:$D,$B87,'DRAFT 2'!$A:$A,"&gt;="&amp;DATE(2026,1,15),'DRAFT 2'!$A:$A,"&lt;="&amp;DATE(2026,1,21))</f>
        <v/>
      </c>
      <c r="CJ87">
        <f>COUNTIFS('DRAFT 2'!$D:$D,$B87,'DRAFT 2'!$A:$A,"&gt;="&amp;DATE(2026,1,22),'DRAFT 2'!$A:$A,"&lt;"&amp;DATE(2026,IF(1=12,1+1,1+1),1))</f>
        <v/>
      </c>
      <c r="CK87">
        <f>SUM(CG87:CJ87)</f>
        <v/>
      </c>
      <c r="CT87" t="n">
        <v>0</v>
      </c>
      <c r="CU87">
        <f>IFERROR(LOOKUP(2,1/('DRAFT 2'!$D:$D=$B87)*('DRAFT 2'!$A:$A&gt;=DATE(2026,2,1))*('DRAFT 2'!$A:$A&lt;DATE(2026,IF(2=12,2+1,2+1),1)),'DRAFT 2'!$A:$A),"")</f>
        <v/>
      </c>
      <c r="CV87">
        <f>COUNTIFS('DRAFT 2'!$D:$D,$B87,'DRAFT 2'!$A:$A,"&gt;="&amp;DATE(2026,2,1),'DRAFT 2'!$A:$A,"&lt;="&amp;DATE(2026,2,7))</f>
        <v/>
      </c>
      <c r="CW87">
        <f>COUNTIFS('DRAFT 2'!$D:$D,$B87,'DRAFT 2'!$A:$A,"&gt;="&amp;DATE(2026,2,8),'DRAFT 2'!$A:$A,"&lt;="&amp;DATE(2026,2,14))</f>
        <v/>
      </c>
      <c r="CX87">
        <f>COUNTIFS('DRAFT 2'!$D:$D,$B87,'DRAFT 2'!$A:$A,"&gt;="&amp;DATE(2026,2,15),'DRAFT 2'!$A:$A,"&lt;="&amp;DATE(2026,2,21))</f>
        <v/>
      </c>
      <c r="CY87">
        <f>COUNTIFS('DRAFT 2'!$D:$D,$B87,'DRAFT 2'!$A:$A,"&gt;="&amp;DATE(2026,2,22),'DRAFT 2'!$A:$A,"&lt;"&amp;DATE(2026,IF(2=12,2+1,2+1),1))</f>
        <v/>
      </c>
      <c r="CZ87">
        <f>SUM(CV87:CY87)</f>
        <v/>
      </c>
      <c r="DJ87">
        <f>IFERROR(LOOKUP(2,1/('DRAFT 2'!$D:$D=$B87)*('DRAFT 2'!$A:$A&gt;=DATE(2026,3,1))*('DRAFT 2'!$A:$A&lt;DATE(2026,IF(3=12,3+1,3+1),1)),'DRAFT 2'!$A:$A),"")</f>
        <v/>
      </c>
      <c r="DK87">
        <f>COUNTIFS('DRAFT 2'!$D:$D,$B87,'DRAFT 2'!$A:$A,"&gt;="&amp;DATE(2026,3,1),'DRAFT 2'!$A:$A,"&lt;="&amp;DATE(2026,3,7))</f>
        <v/>
      </c>
      <c r="DL87">
        <f>COUNTIFS('DRAFT 2'!$D:$D,$B87,'DRAFT 2'!$A:$A,"&gt;="&amp;DATE(2026,3,8),'DRAFT 2'!$A:$A,"&lt;="&amp;DATE(2026,3,14))</f>
        <v/>
      </c>
      <c r="DM87">
        <f>COUNTIFS('DRAFT 2'!$D:$D,$B87,'DRAFT 2'!$A:$A,"&gt;="&amp;DATE(2026,3,15),'DRAFT 2'!$A:$A,"&lt;="&amp;DATE(2026,3,21))</f>
        <v/>
      </c>
      <c r="DN87">
        <f>COUNTIFS('DRAFT 2'!$D:$D,$B87,'DRAFT 2'!$A:$A,"&gt;="&amp;DATE(2026,3,22),'DRAFT 2'!$A:$A,"&lt;"&amp;DATE(2026,IF(3=12,3+1,3+1),1))</f>
        <v/>
      </c>
      <c r="DO87">
        <f>SUM(DK87:DN87)</f>
        <v/>
      </c>
      <c r="DZ87">
        <f>IFERROR(LOOKUP(2,1/('DRAFT 2'!$D:$D=$B87)*('DRAFT 2'!$A:$A&gt;=DATE(2026,4,1))*('DRAFT 2'!$A:$A&lt;DATE(2026,IF(4=12,4+1,4+1),1)),'DRAFT 2'!$A:$A),"")</f>
        <v/>
      </c>
      <c r="EA87">
        <f>COUNTIFS('DRAFT 2'!$D:$D,$B87,'DRAFT 2'!$A:$A,"&gt;="&amp;DATE(2026,4,1),'DRAFT 2'!$A:$A,"&lt;="&amp;DATE(2026,4,7))</f>
        <v/>
      </c>
      <c r="EB87">
        <f>COUNTIFS('DRAFT 2'!$D:$D,$B87,'DRAFT 2'!$A:$A,"&gt;="&amp;DATE(2026,4,8),'DRAFT 2'!$A:$A,"&lt;="&amp;DATE(2026,4,14))</f>
        <v/>
      </c>
      <c r="EC87">
        <f>COUNTIFS('DRAFT 2'!$D:$D,$B87,'DRAFT 2'!$A:$A,"&gt;="&amp;DATE(2026,4,15),'DRAFT 2'!$A:$A,"&lt;="&amp;DATE(2026,4,21))</f>
        <v/>
      </c>
      <c r="ED87">
        <f>COUNTIFS('DRAFT 2'!$D:$D,$B87,'DRAFT 2'!$A:$A,"&gt;="&amp;DATE(2026,4,22),'DRAFT 2'!$A:$A,"&lt;"&amp;DATE(2026,IF(4=12,4+1,4+1),1))</f>
        <v/>
      </c>
      <c r="EE87">
        <f>SUM(EA87:ED87)</f>
        <v/>
      </c>
      <c r="EO87">
        <f>IFERROR(LOOKUP(2,1/('DRAFT 2'!$D:$D=$B87)*('DRAFT 2'!$A:$A&gt;=DATE(2026,5,1))*('DRAFT 2'!$A:$A&lt;DATE(2026,IF(5=12,5+1,5+1),1)),'DRAFT 2'!$A:$A),"")</f>
        <v/>
      </c>
      <c r="EP87">
        <f>COUNTIFS('DRAFT 2'!$D:$D,$B87,'DRAFT 2'!$A:$A,"&gt;="&amp;DATE(2026,5,1),'DRAFT 2'!$A:$A,"&lt;="&amp;DATE(2026,5,7))</f>
        <v/>
      </c>
      <c r="EQ87">
        <f>COUNTIFS('DRAFT 2'!$D:$D,$B87,'DRAFT 2'!$A:$A,"&gt;="&amp;DATE(2026,5,8),'DRAFT 2'!$A:$A,"&lt;="&amp;DATE(2026,5,14))</f>
        <v/>
      </c>
      <c r="ER87">
        <f>COUNTIFS('DRAFT 2'!$D:$D,$B87,'DRAFT 2'!$A:$A,"&gt;="&amp;DATE(2026,5,15),'DRAFT 2'!$A:$A,"&lt;="&amp;DATE(2026,5,21))</f>
        <v/>
      </c>
      <c r="ES87">
        <f>COUNTIFS('DRAFT 2'!$D:$D,$B87,'DRAFT 2'!$A:$A,"&gt;="&amp;DATE(2026,5,22),'DRAFT 2'!$A:$A,"&lt;"&amp;DATE(2026,IF(5=12,5+1,5+1),1))</f>
        <v/>
      </c>
      <c r="ET87">
        <f>SUM(EP87:ES87)</f>
        <v/>
      </c>
      <c r="FD87">
        <f>IFERROR(LOOKUP(2,1/('DRAFT 2'!$D:$D=$B87)*('DRAFT 2'!$A:$A&gt;=DATE(2026,6,1))*('DRAFT 2'!$A:$A&lt;DATE(2026,IF(6=12,6+1,6+1),1)),'DRAFT 2'!$A:$A),"")</f>
        <v/>
      </c>
      <c r="FE87">
        <f>COUNTIFS('DRAFT 2'!$D:$D,$B87,'DRAFT 2'!$A:$A,"&gt;="&amp;DATE(2026,6,1),'DRAFT 2'!$A:$A,"&lt;="&amp;DATE(2026,6,7))</f>
        <v/>
      </c>
      <c r="FF87">
        <f>COUNTIFS('DRAFT 2'!$D:$D,$B87,'DRAFT 2'!$A:$A,"&gt;="&amp;DATE(2026,6,8),'DRAFT 2'!$A:$A,"&lt;="&amp;DATE(2026,6,14))</f>
        <v/>
      </c>
      <c r="FG87">
        <f>COUNTIFS('DRAFT 2'!$D:$D,$B87,'DRAFT 2'!$A:$A,"&gt;="&amp;DATE(2026,6,15),'DRAFT 2'!$A:$A,"&lt;="&amp;DATE(2026,6,21))</f>
        <v/>
      </c>
      <c r="FH87">
        <f>COUNTIFS('DRAFT 2'!$D:$D,$B87,'DRAFT 2'!$A:$A,"&gt;="&amp;DATE(2026,6,22),'DRAFT 2'!$A:$A,"&lt;"&amp;DATE(2026,IF(6=12,6+1,6+1),1))</f>
        <v/>
      </c>
      <c r="FI87">
        <f>SUM(FE87:FH87)</f>
        <v/>
      </c>
      <c r="FT87">
        <f>IFERROR(LOOKUP(2,1/('DRAFT 2'!$D:$D=$B87)*('DRAFT 2'!$A:$A&gt;=DATE(2026,7,1))*('DRAFT 2'!$A:$A&lt;DATE(2026,IF(7=12,7+1,7+1),1)),'DRAFT 2'!$A:$A),"")</f>
        <v/>
      </c>
      <c r="FU87">
        <f>COUNTIFS('DRAFT 2'!$D:$D,$B87,'DRAFT 2'!$A:$A,"&gt;="&amp;DATE(2026,7,1),'DRAFT 2'!$A:$A,"&lt;="&amp;DATE(2026,7,7))</f>
        <v/>
      </c>
      <c r="FV87">
        <f>COUNTIFS('DRAFT 2'!$D:$D,$B87,'DRAFT 2'!$A:$A,"&gt;="&amp;DATE(2026,7,8),'DRAFT 2'!$A:$A,"&lt;="&amp;DATE(2026,7,14))</f>
        <v/>
      </c>
      <c r="FW87">
        <f>COUNTIFS('DRAFT 2'!$D:$D,$B87,'DRAFT 2'!$A:$A,"&gt;="&amp;DATE(2026,7,15),'DRAFT 2'!$A:$A,"&lt;="&amp;DATE(2026,7,21))</f>
        <v/>
      </c>
      <c r="FX87">
        <f>COUNTIFS('DRAFT 2'!$D:$D,$B87,'DRAFT 2'!$A:$A,"&gt;="&amp;DATE(2026,7,22),'DRAFT 2'!$A:$A,"&lt;"&amp;DATE(2026,IF(7=12,7+1,7+1),1))</f>
        <v/>
      </c>
      <c r="FY87">
        <f>SUM(FU87:FX87)</f>
        <v/>
      </c>
      <c r="GI87">
        <f>IFERROR(LOOKUP(2,1/('DRAFT 2'!$D:$D=$B87)*('DRAFT 2'!$A:$A&gt;=DATE(2026,8,1))*('DRAFT 2'!$A:$A&lt;DATE(2026,IF(8=12,8+1,8+1),1)),'DRAFT 2'!$A:$A),"")</f>
        <v/>
      </c>
      <c r="GJ87">
        <f>COUNTIFS('DRAFT 2'!$D:$D,$B87,'DRAFT 2'!$A:$A,"&gt;="&amp;DATE(2026,8,1),'DRAFT 2'!$A:$A,"&lt;="&amp;DATE(2026,8,7))</f>
        <v/>
      </c>
      <c r="GK87">
        <f>COUNTIFS('DRAFT 2'!$D:$D,$B87,'DRAFT 2'!$A:$A,"&gt;="&amp;DATE(2026,8,8),'DRAFT 2'!$A:$A,"&lt;="&amp;DATE(2026,8,14))</f>
        <v/>
      </c>
      <c r="GL87">
        <f>COUNTIFS('DRAFT 2'!$D:$D,$B87,'DRAFT 2'!$A:$A,"&gt;="&amp;DATE(2026,8,15),'DRAFT 2'!$A:$A,"&lt;="&amp;DATE(2026,8,21))</f>
        <v/>
      </c>
      <c r="GM87">
        <f>COUNTIFS('DRAFT 2'!$D:$D,$B87,'DRAFT 2'!$A:$A,"&gt;="&amp;DATE(2026,8,22),'DRAFT 2'!$A:$A,"&lt;"&amp;DATE(2026,IF(8=12,8+1,8+1),1))</f>
        <v/>
      </c>
      <c r="GN87">
        <f>SUM(GJ87:GM87)</f>
        <v/>
      </c>
      <c r="GX87">
        <f>IFERROR(LOOKUP(2,1/('DRAFT 2'!$D:$D=$B87)*('DRAFT 2'!$A:$A&gt;=DATE(2026,9,1))*('DRAFT 2'!$A:$A&lt;DATE(2026,IF(9=12,9+1,9+1),1)),'DRAFT 2'!$A:$A),"")</f>
        <v/>
      </c>
      <c r="GY87">
        <f>COUNTIFS('DRAFT 2'!$D:$D,$B87,'DRAFT 2'!$A:$A,"&gt;="&amp;DATE(2026,9,1),'DRAFT 2'!$A:$A,"&lt;="&amp;DATE(2026,9,7))</f>
        <v/>
      </c>
      <c r="GZ87">
        <f>COUNTIFS('DRAFT 2'!$D:$D,$B87,'DRAFT 2'!$A:$A,"&gt;="&amp;DATE(2026,9,8),'DRAFT 2'!$A:$A,"&lt;="&amp;DATE(2026,9,14))</f>
        <v/>
      </c>
      <c r="HA87">
        <f>COUNTIFS('DRAFT 2'!$D:$D,$B87,'DRAFT 2'!$A:$A,"&gt;="&amp;DATE(2026,9,15),'DRAFT 2'!$A:$A,"&lt;="&amp;DATE(2026,9,21))</f>
        <v/>
      </c>
      <c r="HB87">
        <f>COUNTIFS('DRAFT 2'!$D:$D,$B87,'DRAFT 2'!$A:$A,"&gt;="&amp;DATE(2026,9,22),'DRAFT 2'!$A:$A,"&lt;"&amp;DATE(2026,IF(9=12,9+1,9+1),1))</f>
        <v/>
      </c>
      <c r="HC87">
        <f>SUM(GY87:HB87)</f>
        <v/>
      </c>
      <c r="HN87">
        <f>IFERROR(LOOKUP(2,1/('DRAFT 2'!$D:$D=$B87)*('DRAFT 2'!$A:$A&gt;=DATE(2026,10,1))*('DRAFT 2'!$A:$A&lt;DATE(2026,IF(10=12,10+1,10+1),1)),'DRAFT 2'!$A:$A),"")</f>
        <v/>
      </c>
      <c r="HO87">
        <f>COUNTIFS('DRAFT 2'!$D:$D,$B87,'DRAFT 2'!$A:$A,"&gt;="&amp;DATE(2026,10,1),'DRAFT 2'!$A:$A,"&lt;="&amp;DATE(2026,10,7))</f>
        <v/>
      </c>
      <c r="HP87">
        <f>COUNTIFS('DRAFT 2'!$D:$D,$B87,'DRAFT 2'!$A:$A,"&gt;="&amp;DATE(2026,10,8),'DRAFT 2'!$A:$A,"&lt;="&amp;DATE(2026,10,14))</f>
        <v/>
      </c>
      <c r="HQ87">
        <f>COUNTIFS('DRAFT 2'!$D:$D,$B87,'DRAFT 2'!$A:$A,"&gt;="&amp;DATE(2026,10,15),'DRAFT 2'!$A:$A,"&lt;="&amp;DATE(2026,10,21))</f>
        <v/>
      </c>
      <c r="HR87">
        <f>COUNTIFS('DRAFT 2'!$D:$D,$B87,'DRAFT 2'!$A:$A,"&gt;="&amp;DATE(2026,10,22),'DRAFT 2'!$A:$A,"&lt;"&amp;DATE(2026,IF(10=12,10+1,10+1),1))</f>
        <v/>
      </c>
      <c r="HS87">
        <f>SUM(HO87:HR87)</f>
        <v/>
      </c>
      <c r="IC87">
        <f>IFERROR(LOOKUP(2,1/('DRAFT 2'!$D:$D=$B87)*('DRAFT 2'!$A:$A&gt;=DATE(2026,11,1))*('DRAFT 2'!$A:$A&lt;DATE(2026,IF(11=12,11+1,11+1),1)),'DRAFT 2'!$A:$A),"")</f>
        <v/>
      </c>
      <c r="ID87">
        <f>COUNTIFS('DRAFT 2'!$D:$D,$B87,'DRAFT 2'!$A:$A,"&gt;="&amp;DATE(2026,11,1),'DRAFT 2'!$A:$A,"&lt;="&amp;DATE(2026,11,7))</f>
        <v/>
      </c>
      <c r="IE87">
        <f>COUNTIFS('DRAFT 2'!$D:$D,$B87,'DRAFT 2'!$A:$A,"&gt;="&amp;DATE(2026,11,8),'DRAFT 2'!$A:$A,"&lt;="&amp;DATE(2026,11,14))</f>
        <v/>
      </c>
      <c r="IF87">
        <f>COUNTIFS('DRAFT 2'!$D:$D,$B87,'DRAFT 2'!$A:$A,"&gt;="&amp;DATE(2026,11,15),'DRAFT 2'!$A:$A,"&lt;="&amp;DATE(2026,11,21))</f>
        <v/>
      </c>
      <c r="IG87">
        <f>COUNTIFS('DRAFT 2'!$D:$D,$B87,'DRAFT 2'!$A:$A,"&gt;="&amp;DATE(2026,11,22),'DRAFT 2'!$A:$A,"&lt;"&amp;DATE(2026,IF(11=12,11+1,11+1),1))</f>
        <v/>
      </c>
      <c r="IH87">
        <f>SUM(ID87:IG87)</f>
        <v/>
      </c>
      <c r="IR87">
        <f>IFERROR(LOOKUP(2,1/('DRAFT 2'!$D:$D=$B87)*('DRAFT 2'!$A:$A&gt;=DATE(2026,12,1))*('DRAFT 2'!$A:$A&lt;DATE(2026,IF(12=12,12+1,12+1),1)),'DRAFT 2'!$A:$A),"")</f>
        <v/>
      </c>
      <c r="IS87">
        <f>COUNTIFS('DRAFT 2'!$D:$D,$B87,'DRAFT 2'!$A:$A,"&gt;="&amp;DATE(2026,12,1),'DRAFT 2'!$A:$A,"&lt;="&amp;DATE(2026,12,7))</f>
        <v/>
      </c>
      <c r="IT87">
        <f>COUNTIFS('DRAFT 2'!$D:$D,$B87,'DRAFT 2'!$A:$A,"&gt;="&amp;DATE(2026,12,8),'DRAFT 2'!$A:$A,"&lt;="&amp;DATE(2026,12,14))</f>
        <v/>
      </c>
      <c r="IU87">
        <f>COUNTIFS('DRAFT 2'!$D:$D,$B87,'DRAFT 2'!$A:$A,"&gt;="&amp;DATE(2026,12,15),'DRAFT 2'!$A:$A,"&lt;="&amp;DATE(2026,12,21))</f>
        <v/>
      </c>
      <c r="IV87">
        <f>COUNTIFS('DRAFT 2'!$D:$D,$B87,'DRAFT 2'!$A:$A,"&gt;="&amp;DATE(2026,12,22),'DRAFT 2'!$A:$A,"&lt;"&amp;DATE(2026,IF(12=12,12+1,12+1),1))</f>
        <v/>
      </c>
      <c r="IW87">
        <f>SUM(IS87:IV87)</f>
        <v/>
      </c>
    </row>
    <row r="88">
      <c r="A88">
        <f>IFERROR(INDEX('DRAFT 1'!$A:$A,MATCH($B88,'DRAFT 1'!$B:$B,0)),"")</f>
        <v/>
      </c>
      <c r="C88">
        <f>IFERROR(INDEX('DRAFT 1'!$C:$C,MATCH($B88,'DRAFT 1'!$B:$B,0)),"")</f>
        <v/>
      </c>
      <c r="D88">
        <f>IFERROR(INDEX('DRAFT 1'!$D:$D,MATCH($B88,'DRAFT 1'!$B:$B,0)),"")</f>
        <v/>
      </c>
      <c r="E88">
        <f>IFERROR(INDEX('DRAFT 1'!$E:$E,MATCH($B88,'DRAFT 1'!$B:$B,0)),"")</f>
        <v/>
      </c>
      <c r="F88">
        <f>IFERROR(INDEX('DRAFT 1'!$F:$F,MATCH($B88,'DRAFT 1'!$B:$B,0)),"")</f>
        <v/>
      </c>
      <c r="G88">
        <f>IFERROR(INDEX('DRAFT 1'!$G:$G,MATCH($B88,'DRAFT 1'!$B:$B,0)),"")</f>
        <v/>
      </c>
      <c r="H88">
        <f>IFERROR(INDEX('DRAFT 1'!$H:$H,MATCH($B88,'DRAFT 1'!$B:$B,0)),"")</f>
        <v/>
      </c>
      <c r="I88" t="inlineStr">
        <is>
          <t>DEMAIS CLIENTES</t>
        </is>
      </c>
      <c r="K88">
        <f>IFERROR(INDEX('DRAFT 1'!$AL:$AL,MATCH($B88,'DRAFT 1'!$B:$B,0)),"")</f>
        <v/>
      </c>
      <c r="L88">
        <f>IFERROR(INDEX('DRAFT 1'!$J:$J,MATCH($B88,'DRAFT 1'!$B:$B,0)),"")</f>
        <v/>
      </c>
      <c r="M88">
        <f>IFERROR(INDEX('DRAFT 1'!$K:$K,MATCH($B88,'DRAFT 1'!$B:$B,0)),"")</f>
        <v/>
      </c>
      <c r="N88" t="inlineStr">
        <is>
          <t>ATIVO</t>
        </is>
      </c>
      <c r="P88">
        <f>IFERROR(INDEX('DRAFT 1'!$L:$L,MATCH($B88,'DRAFT 1'!$B:$B,0)),"")</f>
        <v/>
      </c>
      <c r="Q88">
        <f>IFERROR(INDEX('DRAFT 1'!$M:$M,MATCH($B88,'DRAFT 1'!$B:$B,0)),"")</f>
        <v/>
      </c>
      <c r="R88">
        <f>IFERROR(INDEX('DRAFT 1'!$N:$N,MATCH($B88,'DRAFT 1'!$B:$B,0)),"")</f>
        <v/>
      </c>
      <c r="S88">
        <f>IFERROR(INDEX('DRAFT 1'!$O:$O,MATCH($B88,'DRAFT 1'!$B:$B,0)),"")</f>
        <v/>
      </c>
      <c r="T88">
        <f>IFERROR(INDEX('DRAFT 1'!$P:$P,MATCH($B88,'DRAFT 1'!$B:$B,0)),"")</f>
        <v/>
      </c>
      <c r="U88">
        <f>IFERROR(INDEX('DRAFT 1'!$Q:$Q,MATCH($B88,'DRAFT 1'!$B:$B,0)),"")</f>
        <v/>
      </c>
      <c r="V88">
        <f>IFERROR(INDEX('DRAFT 1'!$R:$R,MATCH($B88,'DRAFT 1'!$B:$B,0)),"")</f>
        <v/>
      </c>
      <c r="W88">
        <f>IFERROR(INDEX('DRAFT 1'!$S:$S,MATCH($B88,'DRAFT 1'!$B:$B,0)),"")</f>
        <v/>
      </c>
      <c r="X88">
        <f>IFERROR(INDEX('DRAFT 1'!$T:$T,MATCH($B88,'DRAFT 1'!$B:$B,0)),"")</f>
        <v/>
      </c>
      <c r="Z88">
        <f>IFERROR(INDEX('DRAFT 1'!$U:$U,MATCH($B88,'DRAFT 1'!$B:$B,0)),"")</f>
        <v/>
      </c>
      <c r="AA88">
        <f>IFERROR(INDEX('DRAFT 1'!$V:$V,MATCH($B88,'DRAFT 1'!$B:$B,0)),"")</f>
        <v/>
      </c>
      <c r="AB88">
        <f>IFERROR(INDEX('DRAFT 1'!$W:$W,MATCH($B88,'DRAFT 1'!$B:$B,0)),"")</f>
        <v/>
      </c>
      <c r="AC88">
        <f>IFERROR(INDEX('DRAFT 1'!$X:$X,MATCH($B88,'DRAFT 1'!$B:$B,0)),"")</f>
        <v/>
      </c>
      <c r="AD88">
        <f>IFERROR(INDEX('DRAFT 1'!$Y:$Y,MATCH($B88,'DRAFT 1'!$B:$B,0)),"")</f>
        <v/>
      </c>
      <c r="AE88">
        <f>IFERROR(INDEX('DRAFT 1'!$Z:$Z,MATCH($B88,'DRAFT 1'!$B:$B,0)),"")</f>
        <v/>
      </c>
      <c r="AF88">
        <f>IFERROR(INDEX('DRAFT 1'!$AA:$AA,MATCH($B88,'DRAFT 1'!$B:$B,0)),"")</f>
        <v/>
      </c>
      <c r="AG88">
        <f>IFERROR(INDEX('DRAFT 1'!$AB:$AB,MATCH($B88,'DRAFT 1'!$B:$B,0)),"")</f>
        <v/>
      </c>
      <c r="AH88">
        <f>IFERROR(INDEX('DRAFT 1'!$AC:$AC,MATCH($B88,'DRAFT 1'!$B:$B,0)),"")</f>
        <v/>
      </c>
      <c r="AI88">
        <f>IFERROR(INDEX('DRAFT 1'!$AD:$AD,MATCH($B88,'DRAFT 1'!$B:$B,0)),"")</f>
        <v/>
      </c>
      <c r="AJ88">
        <f>IFERROR(INDEX('DRAFT 1'!$AE:$AE,MATCH($B88,'DRAFT 1'!$B:$B,0)),"")</f>
        <v/>
      </c>
      <c r="AK88">
        <f>IFERROR(INDEX('DRAFT 1'!$AG:$AG,MATCH($B88,'DRAFT 1'!$B:$B,0)),"")</f>
        <v/>
      </c>
      <c r="AL88">
        <f>IFERROR(INDEX('DRAFT 1'!$AH:$AH,MATCH($B88,'DRAFT 1'!$B:$B,0)),"")</f>
        <v/>
      </c>
      <c r="AM88">
        <f>IFERROR(INDEX('DRAFT 1'!$AI:$AI,MATCH($B88,'DRAFT 1'!$B:$B,0)),"")</f>
        <v/>
      </c>
      <c r="AN88">
        <f>IFERROR(INDEX('DRAFT 1'!$AJ:$AJ,MATCH($B88,'DRAFT 1'!$B:$B,0)),"")</f>
        <v/>
      </c>
      <c r="AO88">
        <f>IFERROR(Y88/AN88,0)</f>
        <v/>
      </c>
      <c r="AP88">
        <f>IFERROR(INDEX('DRAFT 1'!$AK:$AK,MATCH($B88,'DRAFT 1'!$B:$B,0)),"")</f>
        <v/>
      </c>
      <c r="AR88" t="inlineStr">
        <is>
          <t>RECOMPRA</t>
        </is>
      </c>
      <c r="AS88">
        <f>IFERROR(LOOKUP(2,1/('DRAFT 2'!$D:$D=$B88),'DRAFT 2'!$T:$T),"")</f>
        <v/>
      </c>
      <c r="AT88">
        <f>IFERROR(LOOKUP(2,1/('DRAFT 2'!$D:$D=$B88),'DRAFT 2'!$A:$A),"")</f>
        <v/>
      </c>
      <c r="AU88">
        <f>IFERROR(LOOKUP(2,1/('DRAFT 2'!$D:$D=$B88),'DRAFT 2'!$R:$R),"")</f>
        <v/>
      </c>
      <c r="AV88">
        <f>IFERROR(LOOKUP(2,1/('DRAFT 2'!$D:$D=$B88),'DRAFT 2'!$S:$S),"")</f>
        <v/>
      </c>
      <c r="AW88" t="inlineStr">
        <is>
          <t>PROSPECT</t>
        </is>
      </c>
      <c r="AX88">
        <f>IFERROR(LOOKUP(2,1/('DRAFT 2'!$D:$D=$B88),'DRAFT 2'!$M:$M),"")</f>
        <v/>
      </c>
      <c r="AY88">
        <f>IFERROR(LOOKUP(2,1/('DRAFT 2'!$D:$D=$B88),'DRAFT 2'!$K:$K),"")</f>
        <v/>
      </c>
      <c r="BG88">
        <f>IFERROR(LOOKUP(2,1/('DRAFT 2'!$D:$D=$B88),'DRAFT 2'!$U:$U),"")</f>
        <v/>
      </c>
      <c r="BH88">
        <f>IFERROR(LOOKUP(2,1/('DRAFT 2'!$D:$D=$B88),'DRAFT 2'!$V:$V),"")</f>
        <v/>
      </c>
      <c r="CE88">
        <f>IFERROR(AJ88,0)</f>
        <v/>
      </c>
      <c r="CF88">
        <f>IFERROR(LOOKUP(2,1/('DRAFT 2'!$D:$D=$B88)*('DRAFT 2'!$A:$A&gt;=DATE(2026,1,1))*('DRAFT 2'!$A:$A&lt;DATE(2026,IF(1=12,1+1,1+1),1)),'DRAFT 2'!$A:$A),"")</f>
        <v/>
      </c>
      <c r="CG88">
        <f>COUNTIFS('DRAFT 2'!$D:$D,$B88,'DRAFT 2'!$A:$A,"&gt;="&amp;DATE(2026,1,1),'DRAFT 2'!$A:$A,"&lt;="&amp;DATE(2026,1,7))</f>
        <v/>
      </c>
      <c r="CH88">
        <f>COUNTIFS('DRAFT 2'!$D:$D,$B88,'DRAFT 2'!$A:$A,"&gt;="&amp;DATE(2026,1,8),'DRAFT 2'!$A:$A,"&lt;="&amp;DATE(2026,1,14))</f>
        <v/>
      </c>
      <c r="CI88">
        <f>COUNTIFS('DRAFT 2'!$D:$D,$B88,'DRAFT 2'!$A:$A,"&gt;="&amp;DATE(2026,1,15),'DRAFT 2'!$A:$A,"&lt;="&amp;DATE(2026,1,21))</f>
        <v/>
      </c>
      <c r="CJ88">
        <f>COUNTIFS('DRAFT 2'!$D:$D,$B88,'DRAFT 2'!$A:$A,"&gt;="&amp;DATE(2026,1,22),'DRAFT 2'!$A:$A,"&lt;"&amp;DATE(2026,IF(1=12,1+1,1+1),1))</f>
        <v/>
      </c>
      <c r="CK88">
        <f>SUM(CG88:CJ88)</f>
        <v/>
      </c>
      <c r="CT88" t="n">
        <v>0</v>
      </c>
      <c r="CU88">
        <f>IFERROR(LOOKUP(2,1/('DRAFT 2'!$D:$D=$B88)*('DRAFT 2'!$A:$A&gt;=DATE(2026,2,1))*('DRAFT 2'!$A:$A&lt;DATE(2026,IF(2=12,2+1,2+1),1)),'DRAFT 2'!$A:$A),"")</f>
        <v/>
      </c>
      <c r="CV88">
        <f>COUNTIFS('DRAFT 2'!$D:$D,$B88,'DRAFT 2'!$A:$A,"&gt;="&amp;DATE(2026,2,1),'DRAFT 2'!$A:$A,"&lt;="&amp;DATE(2026,2,7))</f>
        <v/>
      </c>
      <c r="CW88">
        <f>COUNTIFS('DRAFT 2'!$D:$D,$B88,'DRAFT 2'!$A:$A,"&gt;="&amp;DATE(2026,2,8),'DRAFT 2'!$A:$A,"&lt;="&amp;DATE(2026,2,14))</f>
        <v/>
      </c>
      <c r="CX88">
        <f>COUNTIFS('DRAFT 2'!$D:$D,$B88,'DRAFT 2'!$A:$A,"&gt;="&amp;DATE(2026,2,15),'DRAFT 2'!$A:$A,"&lt;="&amp;DATE(2026,2,21))</f>
        <v/>
      </c>
      <c r="CY88">
        <f>COUNTIFS('DRAFT 2'!$D:$D,$B88,'DRAFT 2'!$A:$A,"&gt;="&amp;DATE(2026,2,22),'DRAFT 2'!$A:$A,"&lt;"&amp;DATE(2026,IF(2=12,2+1,2+1),1))</f>
        <v/>
      </c>
      <c r="CZ88">
        <f>SUM(CV88:CY88)</f>
        <v/>
      </c>
      <c r="DJ88">
        <f>IFERROR(LOOKUP(2,1/('DRAFT 2'!$D:$D=$B88)*('DRAFT 2'!$A:$A&gt;=DATE(2026,3,1))*('DRAFT 2'!$A:$A&lt;DATE(2026,IF(3=12,3+1,3+1),1)),'DRAFT 2'!$A:$A),"")</f>
        <v/>
      </c>
      <c r="DK88">
        <f>COUNTIFS('DRAFT 2'!$D:$D,$B88,'DRAFT 2'!$A:$A,"&gt;="&amp;DATE(2026,3,1),'DRAFT 2'!$A:$A,"&lt;="&amp;DATE(2026,3,7))</f>
        <v/>
      </c>
      <c r="DL88">
        <f>COUNTIFS('DRAFT 2'!$D:$D,$B88,'DRAFT 2'!$A:$A,"&gt;="&amp;DATE(2026,3,8),'DRAFT 2'!$A:$A,"&lt;="&amp;DATE(2026,3,14))</f>
        <v/>
      </c>
      <c r="DM88">
        <f>COUNTIFS('DRAFT 2'!$D:$D,$B88,'DRAFT 2'!$A:$A,"&gt;="&amp;DATE(2026,3,15),'DRAFT 2'!$A:$A,"&lt;="&amp;DATE(2026,3,21))</f>
        <v/>
      </c>
      <c r="DN88">
        <f>COUNTIFS('DRAFT 2'!$D:$D,$B88,'DRAFT 2'!$A:$A,"&gt;="&amp;DATE(2026,3,22),'DRAFT 2'!$A:$A,"&lt;"&amp;DATE(2026,IF(3=12,3+1,3+1),1))</f>
        <v/>
      </c>
      <c r="DO88">
        <f>SUM(DK88:DN88)</f>
        <v/>
      </c>
      <c r="DZ88">
        <f>IFERROR(LOOKUP(2,1/('DRAFT 2'!$D:$D=$B88)*('DRAFT 2'!$A:$A&gt;=DATE(2026,4,1))*('DRAFT 2'!$A:$A&lt;DATE(2026,IF(4=12,4+1,4+1),1)),'DRAFT 2'!$A:$A),"")</f>
        <v/>
      </c>
      <c r="EA88">
        <f>COUNTIFS('DRAFT 2'!$D:$D,$B88,'DRAFT 2'!$A:$A,"&gt;="&amp;DATE(2026,4,1),'DRAFT 2'!$A:$A,"&lt;="&amp;DATE(2026,4,7))</f>
        <v/>
      </c>
      <c r="EB88">
        <f>COUNTIFS('DRAFT 2'!$D:$D,$B88,'DRAFT 2'!$A:$A,"&gt;="&amp;DATE(2026,4,8),'DRAFT 2'!$A:$A,"&lt;="&amp;DATE(2026,4,14))</f>
        <v/>
      </c>
      <c r="EC88">
        <f>COUNTIFS('DRAFT 2'!$D:$D,$B88,'DRAFT 2'!$A:$A,"&gt;="&amp;DATE(2026,4,15),'DRAFT 2'!$A:$A,"&lt;="&amp;DATE(2026,4,21))</f>
        <v/>
      </c>
      <c r="ED88">
        <f>COUNTIFS('DRAFT 2'!$D:$D,$B88,'DRAFT 2'!$A:$A,"&gt;="&amp;DATE(2026,4,22),'DRAFT 2'!$A:$A,"&lt;"&amp;DATE(2026,IF(4=12,4+1,4+1),1))</f>
        <v/>
      </c>
      <c r="EE88">
        <f>SUM(EA88:ED88)</f>
        <v/>
      </c>
      <c r="EO88">
        <f>IFERROR(LOOKUP(2,1/('DRAFT 2'!$D:$D=$B88)*('DRAFT 2'!$A:$A&gt;=DATE(2026,5,1))*('DRAFT 2'!$A:$A&lt;DATE(2026,IF(5=12,5+1,5+1),1)),'DRAFT 2'!$A:$A),"")</f>
        <v/>
      </c>
      <c r="EP88">
        <f>COUNTIFS('DRAFT 2'!$D:$D,$B88,'DRAFT 2'!$A:$A,"&gt;="&amp;DATE(2026,5,1),'DRAFT 2'!$A:$A,"&lt;="&amp;DATE(2026,5,7))</f>
        <v/>
      </c>
      <c r="EQ88">
        <f>COUNTIFS('DRAFT 2'!$D:$D,$B88,'DRAFT 2'!$A:$A,"&gt;="&amp;DATE(2026,5,8),'DRAFT 2'!$A:$A,"&lt;="&amp;DATE(2026,5,14))</f>
        <v/>
      </c>
      <c r="ER88">
        <f>COUNTIFS('DRAFT 2'!$D:$D,$B88,'DRAFT 2'!$A:$A,"&gt;="&amp;DATE(2026,5,15),'DRAFT 2'!$A:$A,"&lt;="&amp;DATE(2026,5,21))</f>
        <v/>
      </c>
      <c r="ES88">
        <f>COUNTIFS('DRAFT 2'!$D:$D,$B88,'DRAFT 2'!$A:$A,"&gt;="&amp;DATE(2026,5,22),'DRAFT 2'!$A:$A,"&lt;"&amp;DATE(2026,IF(5=12,5+1,5+1),1))</f>
        <v/>
      </c>
      <c r="ET88">
        <f>SUM(EP88:ES88)</f>
        <v/>
      </c>
      <c r="FD88">
        <f>IFERROR(LOOKUP(2,1/('DRAFT 2'!$D:$D=$B88)*('DRAFT 2'!$A:$A&gt;=DATE(2026,6,1))*('DRAFT 2'!$A:$A&lt;DATE(2026,IF(6=12,6+1,6+1),1)),'DRAFT 2'!$A:$A),"")</f>
        <v/>
      </c>
      <c r="FE88">
        <f>COUNTIFS('DRAFT 2'!$D:$D,$B88,'DRAFT 2'!$A:$A,"&gt;="&amp;DATE(2026,6,1),'DRAFT 2'!$A:$A,"&lt;="&amp;DATE(2026,6,7))</f>
        <v/>
      </c>
      <c r="FF88">
        <f>COUNTIFS('DRAFT 2'!$D:$D,$B88,'DRAFT 2'!$A:$A,"&gt;="&amp;DATE(2026,6,8),'DRAFT 2'!$A:$A,"&lt;="&amp;DATE(2026,6,14))</f>
        <v/>
      </c>
      <c r="FG88">
        <f>COUNTIFS('DRAFT 2'!$D:$D,$B88,'DRAFT 2'!$A:$A,"&gt;="&amp;DATE(2026,6,15),'DRAFT 2'!$A:$A,"&lt;="&amp;DATE(2026,6,21))</f>
        <v/>
      </c>
      <c r="FH88">
        <f>COUNTIFS('DRAFT 2'!$D:$D,$B88,'DRAFT 2'!$A:$A,"&gt;="&amp;DATE(2026,6,22),'DRAFT 2'!$A:$A,"&lt;"&amp;DATE(2026,IF(6=12,6+1,6+1),1))</f>
        <v/>
      </c>
      <c r="FI88">
        <f>SUM(FE88:FH88)</f>
        <v/>
      </c>
      <c r="FT88">
        <f>IFERROR(LOOKUP(2,1/('DRAFT 2'!$D:$D=$B88)*('DRAFT 2'!$A:$A&gt;=DATE(2026,7,1))*('DRAFT 2'!$A:$A&lt;DATE(2026,IF(7=12,7+1,7+1),1)),'DRAFT 2'!$A:$A),"")</f>
        <v/>
      </c>
      <c r="FU88">
        <f>COUNTIFS('DRAFT 2'!$D:$D,$B88,'DRAFT 2'!$A:$A,"&gt;="&amp;DATE(2026,7,1),'DRAFT 2'!$A:$A,"&lt;="&amp;DATE(2026,7,7))</f>
        <v/>
      </c>
      <c r="FV88">
        <f>COUNTIFS('DRAFT 2'!$D:$D,$B88,'DRAFT 2'!$A:$A,"&gt;="&amp;DATE(2026,7,8),'DRAFT 2'!$A:$A,"&lt;="&amp;DATE(2026,7,14))</f>
        <v/>
      </c>
      <c r="FW88">
        <f>COUNTIFS('DRAFT 2'!$D:$D,$B88,'DRAFT 2'!$A:$A,"&gt;="&amp;DATE(2026,7,15),'DRAFT 2'!$A:$A,"&lt;="&amp;DATE(2026,7,21))</f>
        <v/>
      </c>
      <c r="FX88">
        <f>COUNTIFS('DRAFT 2'!$D:$D,$B88,'DRAFT 2'!$A:$A,"&gt;="&amp;DATE(2026,7,22),'DRAFT 2'!$A:$A,"&lt;"&amp;DATE(2026,IF(7=12,7+1,7+1),1))</f>
        <v/>
      </c>
      <c r="FY88">
        <f>SUM(FU88:FX88)</f>
        <v/>
      </c>
      <c r="GI88">
        <f>IFERROR(LOOKUP(2,1/('DRAFT 2'!$D:$D=$B88)*('DRAFT 2'!$A:$A&gt;=DATE(2026,8,1))*('DRAFT 2'!$A:$A&lt;DATE(2026,IF(8=12,8+1,8+1),1)),'DRAFT 2'!$A:$A),"")</f>
        <v/>
      </c>
      <c r="GJ88">
        <f>COUNTIFS('DRAFT 2'!$D:$D,$B88,'DRAFT 2'!$A:$A,"&gt;="&amp;DATE(2026,8,1),'DRAFT 2'!$A:$A,"&lt;="&amp;DATE(2026,8,7))</f>
        <v/>
      </c>
      <c r="GK88">
        <f>COUNTIFS('DRAFT 2'!$D:$D,$B88,'DRAFT 2'!$A:$A,"&gt;="&amp;DATE(2026,8,8),'DRAFT 2'!$A:$A,"&lt;="&amp;DATE(2026,8,14))</f>
        <v/>
      </c>
      <c r="GL88">
        <f>COUNTIFS('DRAFT 2'!$D:$D,$B88,'DRAFT 2'!$A:$A,"&gt;="&amp;DATE(2026,8,15),'DRAFT 2'!$A:$A,"&lt;="&amp;DATE(2026,8,21))</f>
        <v/>
      </c>
      <c r="GM88">
        <f>COUNTIFS('DRAFT 2'!$D:$D,$B88,'DRAFT 2'!$A:$A,"&gt;="&amp;DATE(2026,8,22),'DRAFT 2'!$A:$A,"&lt;"&amp;DATE(2026,IF(8=12,8+1,8+1),1))</f>
        <v/>
      </c>
      <c r="GN88">
        <f>SUM(GJ88:GM88)</f>
        <v/>
      </c>
      <c r="GX88">
        <f>IFERROR(LOOKUP(2,1/('DRAFT 2'!$D:$D=$B88)*('DRAFT 2'!$A:$A&gt;=DATE(2026,9,1))*('DRAFT 2'!$A:$A&lt;DATE(2026,IF(9=12,9+1,9+1),1)),'DRAFT 2'!$A:$A),"")</f>
        <v/>
      </c>
      <c r="GY88">
        <f>COUNTIFS('DRAFT 2'!$D:$D,$B88,'DRAFT 2'!$A:$A,"&gt;="&amp;DATE(2026,9,1),'DRAFT 2'!$A:$A,"&lt;="&amp;DATE(2026,9,7))</f>
        <v/>
      </c>
      <c r="GZ88">
        <f>COUNTIFS('DRAFT 2'!$D:$D,$B88,'DRAFT 2'!$A:$A,"&gt;="&amp;DATE(2026,9,8),'DRAFT 2'!$A:$A,"&lt;="&amp;DATE(2026,9,14))</f>
        <v/>
      </c>
      <c r="HA88">
        <f>COUNTIFS('DRAFT 2'!$D:$D,$B88,'DRAFT 2'!$A:$A,"&gt;="&amp;DATE(2026,9,15),'DRAFT 2'!$A:$A,"&lt;="&amp;DATE(2026,9,21))</f>
        <v/>
      </c>
      <c r="HB88">
        <f>COUNTIFS('DRAFT 2'!$D:$D,$B88,'DRAFT 2'!$A:$A,"&gt;="&amp;DATE(2026,9,22),'DRAFT 2'!$A:$A,"&lt;"&amp;DATE(2026,IF(9=12,9+1,9+1),1))</f>
        <v/>
      </c>
      <c r="HC88">
        <f>SUM(GY88:HB88)</f>
        <v/>
      </c>
      <c r="HN88">
        <f>IFERROR(LOOKUP(2,1/('DRAFT 2'!$D:$D=$B88)*('DRAFT 2'!$A:$A&gt;=DATE(2026,10,1))*('DRAFT 2'!$A:$A&lt;DATE(2026,IF(10=12,10+1,10+1),1)),'DRAFT 2'!$A:$A),"")</f>
        <v/>
      </c>
      <c r="HO88">
        <f>COUNTIFS('DRAFT 2'!$D:$D,$B88,'DRAFT 2'!$A:$A,"&gt;="&amp;DATE(2026,10,1),'DRAFT 2'!$A:$A,"&lt;="&amp;DATE(2026,10,7))</f>
        <v/>
      </c>
      <c r="HP88">
        <f>COUNTIFS('DRAFT 2'!$D:$D,$B88,'DRAFT 2'!$A:$A,"&gt;="&amp;DATE(2026,10,8),'DRAFT 2'!$A:$A,"&lt;="&amp;DATE(2026,10,14))</f>
        <v/>
      </c>
      <c r="HQ88">
        <f>COUNTIFS('DRAFT 2'!$D:$D,$B88,'DRAFT 2'!$A:$A,"&gt;="&amp;DATE(2026,10,15),'DRAFT 2'!$A:$A,"&lt;="&amp;DATE(2026,10,21))</f>
        <v/>
      </c>
      <c r="HR88">
        <f>COUNTIFS('DRAFT 2'!$D:$D,$B88,'DRAFT 2'!$A:$A,"&gt;="&amp;DATE(2026,10,22),'DRAFT 2'!$A:$A,"&lt;"&amp;DATE(2026,IF(10=12,10+1,10+1),1))</f>
        <v/>
      </c>
      <c r="HS88">
        <f>SUM(HO88:HR88)</f>
        <v/>
      </c>
      <c r="IC88">
        <f>IFERROR(LOOKUP(2,1/('DRAFT 2'!$D:$D=$B88)*('DRAFT 2'!$A:$A&gt;=DATE(2026,11,1))*('DRAFT 2'!$A:$A&lt;DATE(2026,IF(11=12,11+1,11+1),1)),'DRAFT 2'!$A:$A),"")</f>
        <v/>
      </c>
      <c r="ID88">
        <f>COUNTIFS('DRAFT 2'!$D:$D,$B88,'DRAFT 2'!$A:$A,"&gt;="&amp;DATE(2026,11,1),'DRAFT 2'!$A:$A,"&lt;="&amp;DATE(2026,11,7))</f>
        <v/>
      </c>
      <c r="IE88">
        <f>COUNTIFS('DRAFT 2'!$D:$D,$B88,'DRAFT 2'!$A:$A,"&gt;="&amp;DATE(2026,11,8),'DRAFT 2'!$A:$A,"&lt;="&amp;DATE(2026,11,14))</f>
        <v/>
      </c>
      <c r="IF88">
        <f>COUNTIFS('DRAFT 2'!$D:$D,$B88,'DRAFT 2'!$A:$A,"&gt;="&amp;DATE(2026,11,15),'DRAFT 2'!$A:$A,"&lt;="&amp;DATE(2026,11,21))</f>
        <v/>
      </c>
      <c r="IG88">
        <f>COUNTIFS('DRAFT 2'!$D:$D,$B88,'DRAFT 2'!$A:$A,"&gt;="&amp;DATE(2026,11,22),'DRAFT 2'!$A:$A,"&lt;"&amp;DATE(2026,IF(11=12,11+1,11+1),1))</f>
        <v/>
      </c>
      <c r="IH88">
        <f>SUM(ID88:IG88)</f>
        <v/>
      </c>
      <c r="IR88">
        <f>IFERROR(LOOKUP(2,1/('DRAFT 2'!$D:$D=$B88)*('DRAFT 2'!$A:$A&gt;=DATE(2026,12,1))*('DRAFT 2'!$A:$A&lt;DATE(2026,IF(12=12,12+1,12+1),1)),'DRAFT 2'!$A:$A),"")</f>
        <v/>
      </c>
      <c r="IS88">
        <f>COUNTIFS('DRAFT 2'!$D:$D,$B88,'DRAFT 2'!$A:$A,"&gt;="&amp;DATE(2026,12,1),'DRAFT 2'!$A:$A,"&lt;="&amp;DATE(2026,12,7))</f>
        <v/>
      </c>
      <c r="IT88">
        <f>COUNTIFS('DRAFT 2'!$D:$D,$B88,'DRAFT 2'!$A:$A,"&gt;="&amp;DATE(2026,12,8),'DRAFT 2'!$A:$A,"&lt;="&amp;DATE(2026,12,14))</f>
        <v/>
      </c>
      <c r="IU88">
        <f>COUNTIFS('DRAFT 2'!$D:$D,$B88,'DRAFT 2'!$A:$A,"&gt;="&amp;DATE(2026,12,15),'DRAFT 2'!$A:$A,"&lt;="&amp;DATE(2026,12,21))</f>
        <v/>
      </c>
      <c r="IV88">
        <f>COUNTIFS('DRAFT 2'!$D:$D,$B88,'DRAFT 2'!$A:$A,"&gt;="&amp;DATE(2026,12,22),'DRAFT 2'!$A:$A,"&lt;"&amp;DATE(2026,IF(12=12,12+1,12+1),1))</f>
        <v/>
      </c>
      <c r="IW88">
        <f>SUM(IS88:IV88)</f>
        <v/>
      </c>
    </row>
    <row r="89">
      <c r="A89">
        <f>IFERROR(INDEX('DRAFT 1'!$A:$A,MATCH($B89,'DRAFT 1'!$B:$B,0)),"")</f>
        <v/>
      </c>
      <c r="C89">
        <f>IFERROR(INDEX('DRAFT 1'!$C:$C,MATCH($B89,'DRAFT 1'!$B:$B,0)),"")</f>
        <v/>
      </c>
      <c r="D89">
        <f>IFERROR(INDEX('DRAFT 1'!$D:$D,MATCH($B89,'DRAFT 1'!$B:$B,0)),"")</f>
        <v/>
      </c>
      <c r="E89">
        <f>IFERROR(INDEX('DRAFT 1'!$E:$E,MATCH($B89,'DRAFT 1'!$B:$B,0)),"")</f>
        <v/>
      </c>
      <c r="F89">
        <f>IFERROR(INDEX('DRAFT 1'!$F:$F,MATCH($B89,'DRAFT 1'!$B:$B,0)),"")</f>
        <v/>
      </c>
      <c r="G89">
        <f>IFERROR(INDEX('DRAFT 1'!$G:$G,MATCH($B89,'DRAFT 1'!$B:$B,0)),"")</f>
        <v/>
      </c>
      <c r="H89">
        <f>IFERROR(INDEX('DRAFT 1'!$H:$H,MATCH($B89,'DRAFT 1'!$B:$B,0)),"")</f>
        <v/>
      </c>
      <c r="I89" t="inlineStr">
        <is>
          <t>VIDA LEVE</t>
        </is>
      </c>
      <c r="K89">
        <f>IFERROR(INDEX('DRAFT 1'!$AL:$AL,MATCH($B89,'DRAFT 1'!$B:$B,0)),"")</f>
        <v/>
      </c>
      <c r="L89">
        <f>IFERROR(INDEX('DRAFT 1'!$J:$J,MATCH($B89,'DRAFT 1'!$B:$B,0)),"")</f>
        <v/>
      </c>
      <c r="M89">
        <f>IFERROR(INDEX('DRAFT 1'!$K:$K,MATCH($B89,'DRAFT 1'!$B:$B,0)),"")</f>
        <v/>
      </c>
      <c r="N89" t="inlineStr">
        <is>
          <t>ATIVO</t>
        </is>
      </c>
      <c r="P89">
        <f>IFERROR(INDEX('DRAFT 1'!$L:$L,MATCH($B89,'DRAFT 1'!$B:$B,0)),"")</f>
        <v/>
      </c>
      <c r="Q89">
        <f>IFERROR(INDEX('DRAFT 1'!$M:$M,MATCH($B89,'DRAFT 1'!$B:$B,0)),"")</f>
        <v/>
      </c>
      <c r="R89">
        <f>IFERROR(INDEX('DRAFT 1'!$N:$N,MATCH($B89,'DRAFT 1'!$B:$B,0)),"")</f>
        <v/>
      </c>
      <c r="S89">
        <f>IFERROR(INDEX('DRAFT 1'!$O:$O,MATCH($B89,'DRAFT 1'!$B:$B,0)),"")</f>
        <v/>
      </c>
      <c r="T89">
        <f>IFERROR(INDEX('DRAFT 1'!$P:$P,MATCH($B89,'DRAFT 1'!$B:$B,0)),"")</f>
        <v/>
      </c>
      <c r="U89">
        <f>IFERROR(INDEX('DRAFT 1'!$Q:$Q,MATCH($B89,'DRAFT 1'!$B:$B,0)),"")</f>
        <v/>
      </c>
      <c r="V89">
        <f>IFERROR(INDEX('DRAFT 1'!$R:$R,MATCH($B89,'DRAFT 1'!$B:$B,0)),"")</f>
        <v/>
      </c>
      <c r="W89">
        <f>IFERROR(INDEX('DRAFT 1'!$S:$S,MATCH($B89,'DRAFT 1'!$B:$B,0)),"")</f>
        <v/>
      </c>
      <c r="X89">
        <f>IFERROR(INDEX('DRAFT 1'!$T:$T,MATCH($B89,'DRAFT 1'!$B:$B,0)),"")</f>
        <v/>
      </c>
      <c r="Z89">
        <f>IFERROR(INDEX('DRAFT 1'!$U:$U,MATCH($B89,'DRAFT 1'!$B:$B,0)),"")</f>
        <v/>
      </c>
      <c r="AA89">
        <f>IFERROR(INDEX('DRAFT 1'!$V:$V,MATCH($B89,'DRAFT 1'!$B:$B,0)),"")</f>
        <v/>
      </c>
      <c r="AB89">
        <f>IFERROR(INDEX('DRAFT 1'!$W:$W,MATCH($B89,'DRAFT 1'!$B:$B,0)),"")</f>
        <v/>
      </c>
      <c r="AC89">
        <f>IFERROR(INDEX('DRAFT 1'!$X:$X,MATCH($B89,'DRAFT 1'!$B:$B,0)),"")</f>
        <v/>
      </c>
      <c r="AD89">
        <f>IFERROR(INDEX('DRAFT 1'!$Y:$Y,MATCH($B89,'DRAFT 1'!$B:$B,0)),"")</f>
        <v/>
      </c>
      <c r="AE89">
        <f>IFERROR(INDEX('DRAFT 1'!$Z:$Z,MATCH($B89,'DRAFT 1'!$B:$B,0)),"")</f>
        <v/>
      </c>
      <c r="AF89">
        <f>IFERROR(INDEX('DRAFT 1'!$AA:$AA,MATCH($B89,'DRAFT 1'!$B:$B,0)),"")</f>
        <v/>
      </c>
      <c r="AG89">
        <f>IFERROR(INDEX('DRAFT 1'!$AB:$AB,MATCH($B89,'DRAFT 1'!$B:$B,0)),"")</f>
        <v/>
      </c>
      <c r="AH89">
        <f>IFERROR(INDEX('DRAFT 1'!$AC:$AC,MATCH($B89,'DRAFT 1'!$B:$B,0)),"")</f>
        <v/>
      </c>
      <c r="AI89">
        <f>IFERROR(INDEX('DRAFT 1'!$AD:$AD,MATCH($B89,'DRAFT 1'!$B:$B,0)),"")</f>
        <v/>
      </c>
      <c r="AJ89">
        <f>IFERROR(INDEX('DRAFT 1'!$AE:$AE,MATCH($B89,'DRAFT 1'!$B:$B,0)),"")</f>
        <v/>
      </c>
      <c r="AK89">
        <f>IFERROR(INDEX('DRAFT 1'!$AG:$AG,MATCH($B89,'DRAFT 1'!$B:$B,0)),"")</f>
        <v/>
      </c>
      <c r="AL89">
        <f>IFERROR(INDEX('DRAFT 1'!$AH:$AH,MATCH($B89,'DRAFT 1'!$B:$B,0)),"")</f>
        <v/>
      </c>
      <c r="AM89">
        <f>IFERROR(INDEX('DRAFT 1'!$AI:$AI,MATCH($B89,'DRAFT 1'!$B:$B,0)),"")</f>
        <v/>
      </c>
      <c r="AN89">
        <f>IFERROR(INDEX('DRAFT 1'!$AJ:$AJ,MATCH($B89,'DRAFT 1'!$B:$B,0)),"")</f>
        <v/>
      </c>
      <c r="AO89">
        <f>IFERROR(Y89/AN89,0)</f>
        <v/>
      </c>
      <c r="AP89">
        <f>IFERROR(INDEX('DRAFT 1'!$AK:$AK,MATCH($B89,'DRAFT 1'!$B:$B,0)),"")</f>
        <v/>
      </c>
      <c r="AR89" t="inlineStr">
        <is>
          <t>ORÇAMENTO</t>
        </is>
      </c>
      <c r="AS89">
        <f>IFERROR(LOOKUP(2,1/('DRAFT 2'!$D:$D=$B89),'DRAFT 2'!$T:$T),"")</f>
        <v/>
      </c>
      <c r="AT89">
        <f>IFERROR(LOOKUP(2,1/('DRAFT 2'!$D:$D=$B89),'DRAFT 2'!$A:$A),"")</f>
        <v/>
      </c>
      <c r="AU89">
        <f>IFERROR(LOOKUP(2,1/('DRAFT 2'!$D:$D=$B89),'DRAFT 2'!$R:$R),"")</f>
        <v/>
      </c>
      <c r="AV89">
        <f>IFERROR(LOOKUP(2,1/('DRAFT 2'!$D:$D=$B89),'DRAFT 2'!$S:$S),"")</f>
        <v/>
      </c>
      <c r="AW89" t="inlineStr">
        <is>
          <t>NOVO</t>
        </is>
      </c>
      <c r="AX89">
        <f>IFERROR(LOOKUP(2,1/('DRAFT 2'!$D:$D=$B89),'DRAFT 2'!$M:$M),"")</f>
        <v/>
      </c>
      <c r="AY89">
        <f>IFERROR(LOOKUP(2,1/('DRAFT 2'!$D:$D=$B89),'DRAFT 2'!$K:$K),"")</f>
        <v/>
      </c>
      <c r="BG89">
        <f>IFERROR(LOOKUP(2,1/('DRAFT 2'!$D:$D=$B89),'DRAFT 2'!$U:$U),"")</f>
        <v/>
      </c>
      <c r="BH89">
        <f>IFERROR(LOOKUP(2,1/('DRAFT 2'!$D:$D=$B89),'DRAFT 2'!$V:$V),"")</f>
        <v/>
      </c>
      <c r="CE89">
        <f>IFERROR(AJ89,0)</f>
        <v/>
      </c>
      <c r="CF89">
        <f>IFERROR(LOOKUP(2,1/('DRAFT 2'!$D:$D=$B89)*('DRAFT 2'!$A:$A&gt;=DATE(2026,1,1))*('DRAFT 2'!$A:$A&lt;DATE(2026,IF(1=12,1+1,1+1),1)),'DRAFT 2'!$A:$A),"")</f>
        <v/>
      </c>
      <c r="CG89">
        <f>COUNTIFS('DRAFT 2'!$D:$D,$B89,'DRAFT 2'!$A:$A,"&gt;="&amp;DATE(2026,1,1),'DRAFT 2'!$A:$A,"&lt;="&amp;DATE(2026,1,7))</f>
        <v/>
      </c>
      <c r="CH89">
        <f>COUNTIFS('DRAFT 2'!$D:$D,$B89,'DRAFT 2'!$A:$A,"&gt;="&amp;DATE(2026,1,8),'DRAFT 2'!$A:$A,"&lt;="&amp;DATE(2026,1,14))</f>
        <v/>
      </c>
      <c r="CI89">
        <f>COUNTIFS('DRAFT 2'!$D:$D,$B89,'DRAFT 2'!$A:$A,"&gt;="&amp;DATE(2026,1,15),'DRAFT 2'!$A:$A,"&lt;="&amp;DATE(2026,1,21))</f>
        <v/>
      </c>
      <c r="CJ89">
        <f>COUNTIFS('DRAFT 2'!$D:$D,$B89,'DRAFT 2'!$A:$A,"&gt;="&amp;DATE(2026,1,22),'DRAFT 2'!$A:$A,"&lt;"&amp;DATE(2026,IF(1=12,1+1,1+1),1))</f>
        <v/>
      </c>
      <c r="CK89">
        <f>SUM(CG89:CJ89)</f>
        <v/>
      </c>
      <c r="CT89" t="n">
        <v>0</v>
      </c>
      <c r="CU89">
        <f>IFERROR(LOOKUP(2,1/('DRAFT 2'!$D:$D=$B89)*('DRAFT 2'!$A:$A&gt;=DATE(2026,2,1))*('DRAFT 2'!$A:$A&lt;DATE(2026,IF(2=12,2+1,2+1),1)),'DRAFT 2'!$A:$A),"")</f>
        <v/>
      </c>
      <c r="CV89">
        <f>COUNTIFS('DRAFT 2'!$D:$D,$B89,'DRAFT 2'!$A:$A,"&gt;="&amp;DATE(2026,2,1),'DRAFT 2'!$A:$A,"&lt;="&amp;DATE(2026,2,7))</f>
        <v/>
      </c>
      <c r="CW89">
        <f>COUNTIFS('DRAFT 2'!$D:$D,$B89,'DRAFT 2'!$A:$A,"&gt;="&amp;DATE(2026,2,8),'DRAFT 2'!$A:$A,"&lt;="&amp;DATE(2026,2,14))</f>
        <v/>
      </c>
      <c r="CX89">
        <f>COUNTIFS('DRAFT 2'!$D:$D,$B89,'DRAFT 2'!$A:$A,"&gt;="&amp;DATE(2026,2,15),'DRAFT 2'!$A:$A,"&lt;="&amp;DATE(2026,2,21))</f>
        <v/>
      </c>
      <c r="CY89">
        <f>COUNTIFS('DRAFT 2'!$D:$D,$B89,'DRAFT 2'!$A:$A,"&gt;="&amp;DATE(2026,2,22),'DRAFT 2'!$A:$A,"&lt;"&amp;DATE(2026,IF(2=12,2+1,2+1),1))</f>
        <v/>
      </c>
      <c r="CZ89">
        <f>SUM(CV89:CY89)</f>
        <v/>
      </c>
      <c r="DJ89">
        <f>IFERROR(LOOKUP(2,1/('DRAFT 2'!$D:$D=$B89)*('DRAFT 2'!$A:$A&gt;=DATE(2026,3,1))*('DRAFT 2'!$A:$A&lt;DATE(2026,IF(3=12,3+1,3+1),1)),'DRAFT 2'!$A:$A),"")</f>
        <v/>
      </c>
      <c r="DK89">
        <f>COUNTIFS('DRAFT 2'!$D:$D,$B89,'DRAFT 2'!$A:$A,"&gt;="&amp;DATE(2026,3,1),'DRAFT 2'!$A:$A,"&lt;="&amp;DATE(2026,3,7))</f>
        <v/>
      </c>
      <c r="DL89">
        <f>COUNTIFS('DRAFT 2'!$D:$D,$B89,'DRAFT 2'!$A:$A,"&gt;="&amp;DATE(2026,3,8),'DRAFT 2'!$A:$A,"&lt;="&amp;DATE(2026,3,14))</f>
        <v/>
      </c>
      <c r="DM89">
        <f>COUNTIFS('DRAFT 2'!$D:$D,$B89,'DRAFT 2'!$A:$A,"&gt;="&amp;DATE(2026,3,15),'DRAFT 2'!$A:$A,"&lt;="&amp;DATE(2026,3,21))</f>
        <v/>
      </c>
      <c r="DN89">
        <f>COUNTIFS('DRAFT 2'!$D:$D,$B89,'DRAFT 2'!$A:$A,"&gt;="&amp;DATE(2026,3,22),'DRAFT 2'!$A:$A,"&lt;"&amp;DATE(2026,IF(3=12,3+1,3+1),1))</f>
        <v/>
      </c>
      <c r="DO89">
        <f>SUM(DK89:DN89)</f>
        <v/>
      </c>
      <c r="DZ89">
        <f>IFERROR(LOOKUP(2,1/('DRAFT 2'!$D:$D=$B89)*('DRAFT 2'!$A:$A&gt;=DATE(2026,4,1))*('DRAFT 2'!$A:$A&lt;DATE(2026,IF(4=12,4+1,4+1),1)),'DRAFT 2'!$A:$A),"")</f>
        <v/>
      </c>
      <c r="EA89">
        <f>COUNTIFS('DRAFT 2'!$D:$D,$B89,'DRAFT 2'!$A:$A,"&gt;="&amp;DATE(2026,4,1),'DRAFT 2'!$A:$A,"&lt;="&amp;DATE(2026,4,7))</f>
        <v/>
      </c>
      <c r="EB89">
        <f>COUNTIFS('DRAFT 2'!$D:$D,$B89,'DRAFT 2'!$A:$A,"&gt;="&amp;DATE(2026,4,8),'DRAFT 2'!$A:$A,"&lt;="&amp;DATE(2026,4,14))</f>
        <v/>
      </c>
      <c r="EC89">
        <f>COUNTIFS('DRAFT 2'!$D:$D,$B89,'DRAFT 2'!$A:$A,"&gt;="&amp;DATE(2026,4,15),'DRAFT 2'!$A:$A,"&lt;="&amp;DATE(2026,4,21))</f>
        <v/>
      </c>
      <c r="ED89">
        <f>COUNTIFS('DRAFT 2'!$D:$D,$B89,'DRAFT 2'!$A:$A,"&gt;="&amp;DATE(2026,4,22),'DRAFT 2'!$A:$A,"&lt;"&amp;DATE(2026,IF(4=12,4+1,4+1),1))</f>
        <v/>
      </c>
      <c r="EE89">
        <f>SUM(EA89:ED89)</f>
        <v/>
      </c>
      <c r="EO89">
        <f>IFERROR(LOOKUP(2,1/('DRAFT 2'!$D:$D=$B89)*('DRAFT 2'!$A:$A&gt;=DATE(2026,5,1))*('DRAFT 2'!$A:$A&lt;DATE(2026,IF(5=12,5+1,5+1),1)),'DRAFT 2'!$A:$A),"")</f>
        <v/>
      </c>
      <c r="EP89">
        <f>COUNTIFS('DRAFT 2'!$D:$D,$B89,'DRAFT 2'!$A:$A,"&gt;="&amp;DATE(2026,5,1),'DRAFT 2'!$A:$A,"&lt;="&amp;DATE(2026,5,7))</f>
        <v/>
      </c>
      <c r="EQ89">
        <f>COUNTIFS('DRAFT 2'!$D:$D,$B89,'DRAFT 2'!$A:$A,"&gt;="&amp;DATE(2026,5,8),'DRAFT 2'!$A:$A,"&lt;="&amp;DATE(2026,5,14))</f>
        <v/>
      </c>
      <c r="ER89">
        <f>COUNTIFS('DRAFT 2'!$D:$D,$B89,'DRAFT 2'!$A:$A,"&gt;="&amp;DATE(2026,5,15),'DRAFT 2'!$A:$A,"&lt;="&amp;DATE(2026,5,21))</f>
        <v/>
      </c>
      <c r="ES89">
        <f>COUNTIFS('DRAFT 2'!$D:$D,$B89,'DRAFT 2'!$A:$A,"&gt;="&amp;DATE(2026,5,22),'DRAFT 2'!$A:$A,"&lt;"&amp;DATE(2026,IF(5=12,5+1,5+1),1))</f>
        <v/>
      </c>
      <c r="ET89">
        <f>SUM(EP89:ES89)</f>
        <v/>
      </c>
      <c r="FD89">
        <f>IFERROR(LOOKUP(2,1/('DRAFT 2'!$D:$D=$B89)*('DRAFT 2'!$A:$A&gt;=DATE(2026,6,1))*('DRAFT 2'!$A:$A&lt;DATE(2026,IF(6=12,6+1,6+1),1)),'DRAFT 2'!$A:$A),"")</f>
        <v/>
      </c>
      <c r="FE89">
        <f>COUNTIFS('DRAFT 2'!$D:$D,$B89,'DRAFT 2'!$A:$A,"&gt;="&amp;DATE(2026,6,1),'DRAFT 2'!$A:$A,"&lt;="&amp;DATE(2026,6,7))</f>
        <v/>
      </c>
      <c r="FF89">
        <f>COUNTIFS('DRAFT 2'!$D:$D,$B89,'DRAFT 2'!$A:$A,"&gt;="&amp;DATE(2026,6,8),'DRAFT 2'!$A:$A,"&lt;="&amp;DATE(2026,6,14))</f>
        <v/>
      </c>
      <c r="FG89">
        <f>COUNTIFS('DRAFT 2'!$D:$D,$B89,'DRAFT 2'!$A:$A,"&gt;="&amp;DATE(2026,6,15),'DRAFT 2'!$A:$A,"&lt;="&amp;DATE(2026,6,21))</f>
        <v/>
      </c>
      <c r="FH89">
        <f>COUNTIFS('DRAFT 2'!$D:$D,$B89,'DRAFT 2'!$A:$A,"&gt;="&amp;DATE(2026,6,22),'DRAFT 2'!$A:$A,"&lt;"&amp;DATE(2026,IF(6=12,6+1,6+1),1))</f>
        <v/>
      </c>
      <c r="FI89">
        <f>SUM(FE89:FH89)</f>
        <v/>
      </c>
      <c r="FT89">
        <f>IFERROR(LOOKUP(2,1/('DRAFT 2'!$D:$D=$B89)*('DRAFT 2'!$A:$A&gt;=DATE(2026,7,1))*('DRAFT 2'!$A:$A&lt;DATE(2026,IF(7=12,7+1,7+1),1)),'DRAFT 2'!$A:$A),"")</f>
        <v/>
      </c>
      <c r="FU89">
        <f>COUNTIFS('DRAFT 2'!$D:$D,$B89,'DRAFT 2'!$A:$A,"&gt;="&amp;DATE(2026,7,1),'DRAFT 2'!$A:$A,"&lt;="&amp;DATE(2026,7,7))</f>
        <v/>
      </c>
      <c r="FV89">
        <f>COUNTIFS('DRAFT 2'!$D:$D,$B89,'DRAFT 2'!$A:$A,"&gt;="&amp;DATE(2026,7,8),'DRAFT 2'!$A:$A,"&lt;="&amp;DATE(2026,7,14))</f>
        <v/>
      </c>
      <c r="FW89">
        <f>COUNTIFS('DRAFT 2'!$D:$D,$B89,'DRAFT 2'!$A:$A,"&gt;="&amp;DATE(2026,7,15),'DRAFT 2'!$A:$A,"&lt;="&amp;DATE(2026,7,21))</f>
        <v/>
      </c>
      <c r="FX89">
        <f>COUNTIFS('DRAFT 2'!$D:$D,$B89,'DRAFT 2'!$A:$A,"&gt;="&amp;DATE(2026,7,22),'DRAFT 2'!$A:$A,"&lt;"&amp;DATE(2026,IF(7=12,7+1,7+1),1))</f>
        <v/>
      </c>
      <c r="FY89">
        <f>SUM(FU89:FX89)</f>
        <v/>
      </c>
      <c r="GI89">
        <f>IFERROR(LOOKUP(2,1/('DRAFT 2'!$D:$D=$B89)*('DRAFT 2'!$A:$A&gt;=DATE(2026,8,1))*('DRAFT 2'!$A:$A&lt;DATE(2026,IF(8=12,8+1,8+1),1)),'DRAFT 2'!$A:$A),"")</f>
        <v/>
      </c>
      <c r="GJ89">
        <f>COUNTIFS('DRAFT 2'!$D:$D,$B89,'DRAFT 2'!$A:$A,"&gt;="&amp;DATE(2026,8,1),'DRAFT 2'!$A:$A,"&lt;="&amp;DATE(2026,8,7))</f>
        <v/>
      </c>
      <c r="GK89">
        <f>COUNTIFS('DRAFT 2'!$D:$D,$B89,'DRAFT 2'!$A:$A,"&gt;="&amp;DATE(2026,8,8),'DRAFT 2'!$A:$A,"&lt;="&amp;DATE(2026,8,14))</f>
        <v/>
      </c>
      <c r="GL89">
        <f>COUNTIFS('DRAFT 2'!$D:$D,$B89,'DRAFT 2'!$A:$A,"&gt;="&amp;DATE(2026,8,15),'DRAFT 2'!$A:$A,"&lt;="&amp;DATE(2026,8,21))</f>
        <v/>
      </c>
      <c r="GM89">
        <f>COUNTIFS('DRAFT 2'!$D:$D,$B89,'DRAFT 2'!$A:$A,"&gt;="&amp;DATE(2026,8,22),'DRAFT 2'!$A:$A,"&lt;"&amp;DATE(2026,IF(8=12,8+1,8+1),1))</f>
        <v/>
      </c>
      <c r="GN89">
        <f>SUM(GJ89:GM89)</f>
        <v/>
      </c>
      <c r="GX89">
        <f>IFERROR(LOOKUP(2,1/('DRAFT 2'!$D:$D=$B89)*('DRAFT 2'!$A:$A&gt;=DATE(2026,9,1))*('DRAFT 2'!$A:$A&lt;DATE(2026,IF(9=12,9+1,9+1),1)),'DRAFT 2'!$A:$A),"")</f>
        <v/>
      </c>
      <c r="GY89">
        <f>COUNTIFS('DRAFT 2'!$D:$D,$B89,'DRAFT 2'!$A:$A,"&gt;="&amp;DATE(2026,9,1),'DRAFT 2'!$A:$A,"&lt;="&amp;DATE(2026,9,7))</f>
        <v/>
      </c>
      <c r="GZ89">
        <f>COUNTIFS('DRAFT 2'!$D:$D,$B89,'DRAFT 2'!$A:$A,"&gt;="&amp;DATE(2026,9,8),'DRAFT 2'!$A:$A,"&lt;="&amp;DATE(2026,9,14))</f>
        <v/>
      </c>
      <c r="HA89">
        <f>COUNTIFS('DRAFT 2'!$D:$D,$B89,'DRAFT 2'!$A:$A,"&gt;="&amp;DATE(2026,9,15),'DRAFT 2'!$A:$A,"&lt;="&amp;DATE(2026,9,21))</f>
        <v/>
      </c>
      <c r="HB89">
        <f>COUNTIFS('DRAFT 2'!$D:$D,$B89,'DRAFT 2'!$A:$A,"&gt;="&amp;DATE(2026,9,22),'DRAFT 2'!$A:$A,"&lt;"&amp;DATE(2026,IF(9=12,9+1,9+1),1))</f>
        <v/>
      </c>
      <c r="HC89">
        <f>SUM(GY89:HB89)</f>
        <v/>
      </c>
      <c r="HN89">
        <f>IFERROR(LOOKUP(2,1/('DRAFT 2'!$D:$D=$B89)*('DRAFT 2'!$A:$A&gt;=DATE(2026,10,1))*('DRAFT 2'!$A:$A&lt;DATE(2026,IF(10=12,10+1,10+1),1)),'DRAFT 2'!$A:$A),"")</f>
        <v/>
      </c>
      <c r="HO89">
        <f>COUNTIFS('DRAFT 2'!$D:$D,$B89,'DRAFT 2'!$A:$A,"&gt;="&amp;DATE(2026,10,1),'DRAFT 2'!$A:$A,"&lt;="&amp;DATE(2026,10,7))</f>
        <v/>
      </c>
      <c r="HP89">
        <f>COUNTIFS('DRAFT 2'!$D:$D,$B89,'DRAFT 2'!$A:$A,"&gt;="&amp;DATE(2026,10,8),'DRAFT 2'!$A:$A,"&lt;="&amp;DATE(2026,10,14))</f>
        <v/>
      </c>
      <c r="HQ89">
        <f>COUNTIFS('DRAFT 2'!$D:$D,$B89,'DRAFT 2'!$A:$A,"&gt;="&amp;DATE(2026,10,15),'DRAFT 2'!$A:$A,"&lt;="&amp;DATE(2026,10,21))</f>
        <v/>
      </c>
      <c r="HR89">
        <f>COUNTIFS('DRAFT 2'!$D:$D,$B89,'DRAFT 2'!$A:$A,"&gt;="&amp;DATE(2026,10,22),'DRAFT 2'!$A:$A,"&lt;"&amp;DATE(2026,IF(10=12,10+1,10+1),1))</f>
        <v/>
      </c>
      <c r="HS89">
        <f>SUM(HO89:HR89)</f>
        <v/>
      </c>
      <c r="IC89">
        <f>IFERROR(LOOKUP(2,1/('DRAFT 2'!$D:$D=$B89)*('DRAFT 2'!$A:$A&gt;=DATE(2026,11,1))*('DRAFT 2'!$A:$A&lt;DATE(2026,IF(11=12,11+1,11+1),1)),'DRAFT 2'!$A:$A),"")</f>
        <v/>
      </c>
      <c r="ID89">
        <f>COUNTIFS('DRAFT 2'!$D:$D,$B89,'DRAFT 2'!$A:$A,"&gt;="&amp;DATE(2026,11,1),'DRAFT 2'!$A:$A,"&lt;="&amp;DATE(2026,11,7))</f>
        <v/>
      </c>
      <c r="IE89">
        <f>COUNTIFS('DRAFT 2'!$D:$D,$B89,'DRAFT 2'!$A:$A,"&gt;="&amp;DATE(2026,11,8),'DRAFT 2'!$A:$A,"&lt;="&amp;DATE(2026,11,14))</f>
        <v/>
      </c>
      <c r="IF89">
        <f>COUNTIFS('DRAFT 2'!$D:$D,$B89,'DRAFT 2'!$A:$A,"&gt;="&amp;DATE(2026,11,15),'DRAFT 2'!$A:$A,"&lt;="&amp;DATE(2026,11,21))</f>
        <v/>
      </c>
      <c r="IG89">
        <f>COUNTIFS('DRAFT 2'!$D:$D,$B89,'DRAFT 2'!$A:$A,"&gt;="&amp;DATE(2026,11,22),'DRAFT 2'!$A:$A,"&lt;"&amp;DATE(2026,IF(11=12,11+1,11+1),1))</f>
        <v/>
      </c>
      <c r="IH89">
        <f>SUM(ID89:IG89)</f>
        <v/>
      </c>
      <c r="IR89">
        <f>IFERROR(LOOKUP(2,1/('DRAFT 2'!$D:$D=$B89)*('DRAFT 2'!$A:$A&gt;=DATE(2026,12,1))*('DRAFT 2'!$A:$A&lt;DATE(2026,IF(12=12,12+1,12+1),1)),'DRAFT 2'!$A:$A),"")</f>
        <v/>
      </c>
      <c r="IS89">
        <f>COUNTIFS('DRAFT 2'!$D:$D,$B89,'DRAFT 2'!$A:$A,"&gt;="&amp;DATE(2026,12,1),'DRAFT 2'!$A:$A,"&lt;="&amp;DATE(2026,12,7))</f>
        <v/>
      </c>
      <c r="IT89">
        <f>COUNTIFS('DRAFT 2'!$D:$D,$B89,'DRAFT 2'!$A:$A,"&gt;="&amp;DATE(2026,12,8),'DRAFT 2'!$A:$A,"&lt;="&amp;DATE(2026,12,14))</f>
        <v/>
      </c>
      <c r="IU89">
        <f>COUNTIFS('DRAFT 2'!$D:$D,$B89,'DRAFT 2'!$A:$A,"&gt;="&amp;DATE(2026,12,15),'DRAFT 2'!$A:$A,"&lt;="&amp;DATE(2026,12,21))</f>
        <v/>
      </c>
      <c r="IV89">
        <f>COUNTIFS('DRAFT 2'!$D:$D,$B89,'DRAFT 2'!$A:$A,"&gt;="&amp;DATE(2026,12,22),'DRAFT 2'!$A:$A,"&lt;"&amp;DATE(2026,IF(12=12,12+1,12+1),1))</f>
        <v/>
      </c>
      <c r="IW89">
        <f>SUM(IS89:IV89)</f>
        <v/>
      </c>
    </row>
    <row r="90">
      <c r="A90">
        <f>IFERROR(INDEX('DRAFT 1'!$A:$A,MATCH($B90,'DRAFT 1'!$B:$B,0)),"")</f>
        <v/>
      </c>
      <c r="C90">
        <f>IFERROR(INDEX('DRAFT 1'!$C:$C,MATCH($B90,'DRAFT 1'!$B:$B,0)),"")</f>
        <v/>
      </c>
      <c r="D90">
        <f>IFERROR(INDEX('DRAFT 1'!$D:$D,MATCH($B90,'DRAFT 1'!$B:$B,0)),"")</f>
        <v/>
      </c>
      <c r="E90">
        <f>IFERROR(INDEX('DRAFT 1'!$E:$E,MATCH($B90,'DRAFT 1'!$B:$B,0)),"")</f>
        <v/>
      </c>
      <c r="F90">
        <f>IFERROR(INDEX('DRAFT 1'!$F:$F,MATCH($B90,'DRAFT 1'!$B:$B,0)),"")</f>
        <v/>
      </c>
      <c r="G90">
        <f>IFERROR(INDEX('DRAFT 1'!$G:$G,MATCH($B90,'DRAFT 1'!$B:$B,0)),"")</f>
        <v/>
      </c>
      <c r="H90">
        <f>IFERROR(INDEX('DRAFT 1'!$H:$H,MATCH($B90,'DRAFT 1'!$B:$B,0)),"")</f>
        <v/>
      </c>
      <c r="I90" t="inlineStr">
        <is>
          <t>MUNDO VERDE</t>
        </is>
      </c>
      <c r="K90">
        <f>IFERROR(INDEX('DRAFT 1'!$AL:$AL,MATCH($B90,'DRAFT 1'!$B:$B,0)),"")</f>
        <v/>
      </c>
      <c r="L90">
        <f>IFERROR(INDEX('DRAFT 1'!$J:$J,MATCH($B90,'DRAFT 1'!$B:$B,0)),"")</f>
        <v/>
      </c>
      <c r="M90">
        <f>IFERROR(INDEX('DRAFT 1'!$K:$K,MATCH($B90,'DRAFT 1'!$B:$B,0)),"")</f>
        <v/>
      </c>
      <c r="N90" t="inlineStr">
        <is>
          <t>ATIVO</t>
        </is>
      </c>
      <c r="P90">
        <f>IFERROR(INDEX('DRAFT 1'!$L:$L,MATCH($B90,'DRAFT 1'!$B:$B,0)),"")</f>
        <v/>
      </c>
      <c r="Q90">
        <f>IFERROR(INDEX('DRAFT 1'!$M:$M,MATCH($B90,'DRAFT 1'!$B:$B,0)),"")</f>
        <v/>
      </c>
      <c r="R90">
        <f>IFERROR(INDEX('DRAFT 1'!$N:$N,MATCH($B90,'DRAFT 1'!$B:$B,0)),"")</f>
        <v/>
      </c>
      <c r="S90">
        <f>IFERROR(INDEX('DRAFT 1'!$O:$O,MATCH($B90,'DRAFT 1'!$B:$B,0)),"")</f>
        <v/>
      </c>
      <c r="T90">
        <f>IFERROR(INDEX('DRAFT 1'!$P:$P,MATCH($B90,'DRAFT 1'!$B:$B,0)),"")</f>
        <v/>
      </c>
      <c r="U90">
        <f>IFERROR(INDEX('DRAFT 1'!$Q:$Q,MATCH($B90,'DRAFT 1'!$B:$B,0)),"")</f>
        <v/>
      </c>
      <c r="V90">
        <f>IFERROR(INDEX('DRAFT 1'!$R:$R,MATCH($B90,'DRAFT 1'!$B:$B,0)),"")</f>
        <v/>
      </c>
      <c r="W90">
        <f>IFERROR(INDEX('DRAFT 1'!$S:$S,MATCH($B90,'DRAFT 1'!$B:$B,0)),"")</f>
        <v/>
      </c>
      <c r="X90">
        <f>IFERROR(INDEX('DRAFT 1'!$T:$T,MATCH($B90,'DRAFT 1'!$B:$B,0)),"")</f>
        <v/>
      </c>
      <c r="Z90">
        <f>IFERROR(INDEX('DRAFT 1'!$U:$U,MATCH($B90,'DRAFT 1'!$B:$B,0)),"")</f>
        <v/>
      </c>
      <c r="AA90">
        <f>IFERROR(INDEX('DRAFT 1'!$V:$V,MATCH($B90,'DRAFT 1'!$B:$B,0)),"")</f>
        <v/>
      </c>
      <c r="AB90">
        <f>IFERROR(INDEX('DRAFT 1'!$W:$W,MATCH($B90,'DRAFT 1'!$B:$B,0)),"")</f>
        <v/>
      </c>
      <c r="AC90">
        <f>IFERROR(INDEX('DRAFT 1'!$X:$X,MATCH($B90,'DRAFT 1'!$B:$B,0)),"")</f>
        <v/>
      </c>
      <c r="AD90">
        <f>IFERROR(INDEX('DRAFT 1'!$Y:$Y,MATCH($B90,'DRAFT 1'!$B:$B,0)),"")</f>
        <v/>
      </c>
      <c r="AE90">
        <f>IFERROR(INDEX('DRAFT 1'!$Z:$Z,MATCH($B90,'DRAFT 1'!$B:$B,0)),"")</f>
        <v/>
      </c>
      <c r="AF90">
        <f>IFERROR(INDEX('DRAFT 1'!$AA:$AA,MATCH($B90,'DRAFT 1'!$B:$B,0)),"")</f>
        <v/>
      </c>
      <c r="AG90">
        <f>IFERROR(INDEX('DRAFT 1'!$AB:$AB,MATCH($B90,'DRAFT 1'!$B:$B,0)),"")</f>
        <v/>
      </c>
      <c r="AH90">
        <f>IFERROR(INDEX('DRAFT 1'!$AC:$AC,MATCH($B90,'DRAFT 1'!$B:$B,0)),"")</f>
        <v/>
      </c>
      <c r="AI90">
        <f>IFERROR(INDEX('DRAFT 1'!$AD:$AD,MATCH($B90,'DRAFT 1'!$B:$B,0)),"")</f>
        <v/>
      </c>
      <c r="AJ90">
        <f>IFERROR(INDEX('DRAFT 1'!$AE:$AE,MATCH($B90,'DRAFT 1'!$B:$B,0)),"")</f>
        <v/>
      </c>
      <c r="AK90">
        <f>IFERROR(INDEX('DRAFT 1'!$AG:$AG,MATCH($B90,'DRAFT 1'!$B:$B,0)),"")</f>
        <v/>
      </c>
      <c r="AL90">
        <f>IFERROR(INDEX('DRAFT 1'!$AH:$AH,MATCH($B90,'DRAFT 1'!$B:$B,0)),"")</f>
        <v/>
      </c>
      <c r="AM90">
        <f>IFERROR(INDEX('DRAFT 1'!$AI:$AI,MATCH($B90,'DRAFT 1'!$B:$B,0)),"")</f>
        <v/>
      </c>
      <c r="AN90">
        <f>IFERROR(INDEX('DRAFT 1'!$AJ:$AJ,MATCH($B90,'DRAFT 1'!$B:$B,0)),"")</f>
        <v/>
      </c>
      <c r="AO90">
        <f>IFERROR(Y90/AN90,0)</f>
        <v/>
      </c>
      <c r="AP90">
        <f>IFERROR(INDEX('DRAFT 1'!$AK:$AK,MATCH($B90,'DRAFT 1'!$B:$B,0)),"")</f>
        <v/>
      </c>
      <c r="AR90" t="inlineStr">
        <is>
          <t>RECOMPRA</t>
        </is>
      </c>
      <c r="AS90">
        <f>IFERROR(LOOKUP(2,1/('DRAFT 2'!$D:$D=$B90),'DRAFT 2'!$T:$T),"")</f>
        <v/>
      </c>
      <c r="AT90">
        <f>IFERROR(LOOKUP(2,1/('DRAFT 2'!$D:$D=$B90),'DRAFT 2'!$A:$A),"")</f>
        <v/>
      </c>
      <c r="AU90">
        <f>IFERROR(LOOKUP(2,1/('DRAFT 2'!$D:$D=$B90),'DRAFT 2'!$R:$R),"")</f>
        <v/>
      </c>
      <c r="AV90">
        <f>IFERROR(LOOKUP(2,1/('DRAFT 2'!$D:$D=$B90),'DRAFT 2'!$S:$S),"")</f>
        <v/>
      </c>
      <c r="AW90" t="inlineStr">
        <is>
          <t>RECORRENTE</t>
        </is>
      </c>
      <c r="AX90">
        <f>IFERROR(LOOKUP(2,1/('DRAFT 2'!$D:$D=$B90),'DRAFT 2'!$M:$M),"")</f>
        <v/>
      </c>
      <c r="AY90">
        <f>IFERROR(LOOKUP(2,1/('DRAFT 2'!$D:$D=$B90),'DRAFT 2'!$K:$K),"")</f>
        <v/>
      </c>
      <c r="BG90">
        <f>IFERROR(LOOKUP(2,1/('DRAFT 2'!$D:$D=$B90),'DRAFT 2'!$U:$U),"")</f>
        <v/>
      </c>
      <c r="BH90">
        <f>IFERROR(LOOKUP(2,1/('DRAFT 2'!$D:$D=$B90),'DRAFT 2'!$V:$V),"")</f>
        <v/>
      </c>
      <c r="CE90">
        <f>IFERROR(AJ90,0)</f>
        <v/>
      </c>
      <c r="CF90">
        <f>IFERROR(LOOKUP(2,1/('DRAFT 2'!$D:$D=$B90)*('DRAFT 2'!$A:$A&gt;=DATE(2026,1,1))*('DRAFT 2'!$A:$A&lt;DATE(2026,IF(1=12,1+1,1+1),1)),'DRAFT 2'!$A:$A),"")</f>
        <v/>
      </c>
      <c r="CG90">
        <f>COUNTIFS('DRAFT 2'!$D:$D,$B90,'DRAFT 2'!$A:$A,"&gt;="&amp;DATE(2026,1,1),'DRAFT 2'!$A:$A,"&lt;="&amp;DATE(2026,1,7))</f>
        <v/>
      </c>
      <c r="CH90">
        <f>COUNTIFS('DRAFT 2'!$D:$D,$B90,'DRAFT 2'!$A:$A,"&gt;="&amp;DATE(2026,1,8),'DRAFT 2'!$A:$A,"&lt;="&amp;DATE(2026,1,14))</f>
        <v/>
      </c>
      <c r="CI90">
        <f>COUNTIFS('DRAFT 2'!$D:$D,$B90,'DRAFT 2'!$A:$A,"&gt;="&amp;DATE(2026,1,15),'DRAFT 2'!$A:$A,"&lt;="&amp;DATE(2026,1,21))</f>
        <v/>
      </c>
      <c r="CJ90">
        <f>COUNTIFS('DRAFT 2'!$D:$D,$B90,'DRAFT 2'!$A:$A,"&gt;="&amp;DATE(2026,1,22),'DRAFT 2'!$A:$A,"&lt;"&amp;DATE(2026,IF(1=12,1+1,1+1),1))</f>
        <v/>
      </c>
      <c r="CK90">
        <f>SUM(CG90:CJ90)</f>
        <v/>
      </c>
      <c r="CT90" t="n">
        <v>0</v>
      </c>
      <c r="CU90">
        <f>IFERROR(LOOKUP(2,1/('DRAFT 2'!$D:$D=$B90)*('DRAFT 2'!$A:$A&gt;=DATE(2026,2,1))*('DRAFT 2'!$A:$A&lt;DATE(2026,IF(2=12,2+1,2+1),1)),'DRAFT 2'!$A:$A),"")</f>
        <v/>
      </c>
      <c r="CV90">
        <f>COUNTIFS('DRAFT 2'!$D:$D,$B90,'DRAFT 2'!$A:$A,"&gt;="&amp;DATE(2026,2,1),'DRAFT 2'!$A:$A,"&lt;="&amp;DATE(2026,2,7))</f>
        <v/>
      </c>
      <c r="CW90">
        <f>COUNTIFS('DRAFT 2'!$D:$D,$B90,'DRAFT 2'!$A:$A,"&gt;="&amp;DATE(2026,2,8),'DRAFT 2'!$A:$A,"&lt;="&amp;DATE(2026,2,14))</f>
        <v/>
      </c>
      <c r="CX90">
        <f>COUNTIFS('DRAFT 2'!$D:$D,$B90,'DRAFT 2'!$A:$A,"&gt;="&amp;DATE(2026,2,15),'DRAFT 2'!$A:$A,"&lt;="&amp;DATE(2026,2,21))</f>
        <v/>
      </c>
      <c r="CY90">
        <f>COUNTIFS('DRAFT 2'!$D:$D,$B90,'DRAFT 2'!$A:$A,"&gt;="&amp;DATE(2026,2,22),'DRAFT 2'!$A:$A,"&lt;"&amp;DATE(2026,IF(2=12,2+1,2+1),1))</f>
        <v/>
      </c>
      <c r="CZ90">
        <f>SUM(CV90:CY90)</f>
        <v/>
      </c>
      <c r="DJ90">
        <f>IFERROR(LOOKUP(2,1/('DRAFT 2'!$D:$D=$B90)*('DRAFT 2'!$A:$A&gt;=DATE(2026,3,1))*('DRAFT 2'!$A:$A&lt;DATE(2026,IF(3=12,3+1,3+1),1)),'DRAFT 2'!$A:$A),"")</f>
        <v/>
      </c>
      <c r="DK90">
        <f>COUNTIFS('DRAFT 2'!$D:$D,$B90,'DRAFT 2'!$A:$A,"&gt;="&amp;DATE(2026,3,1),'DRAFT 2'!$A:$A,"&lt;="&amp;DATE(2026,3,7))</f>
        <v/>
      </c>
      <c r="DL90">
        <f>COUNTIFS('DRAFT 2'!$D:$D,$B90,'DRAFT 2'!$A:$A,"&gt;="&amp;DATE(2026,3,8),'DRAFT 2'!$A:$A,"&lt;="&amp;DATE(2026,3,14))</f>
        <v/>
      </c>
      <c r="DM90">
        <f>COUNTIFS('DRAFT 2'!$D:$D,$B90,'DRAFT 2'!$A:$A,"&gt;="&amp;DATE(2026,3,15),'DRAFT 2'!$A:$A,"&lt;="&amp;DATE(2026,3,21))</f>
        <v/>
      </c>
      <c r="DN90">
        <f>COUNTIFS('DRAFT 2'!$D:$D,$B90,'DRAFT 2'!$A:$A,"&gt;="&amp;DATE(2026,3,22),'DRAFT 2'!$A:$A,"&lt;"&amp;DATE(2026,IF(3=12,3+1,3+1),1))</f>
        <v/>
      </c>
      <c r="DO90">
        <f>SUM(DK90:DN90)</f>
        <v/>
      </c>
      <c r="DZ90">
        <f>IFERROR(LOOKUP(2,1/('DRAFT 2'!$D:$D=$B90)*('DRAFT 2'!$A:$A&gt;=DATE(2026,4,1))*('DRAFT 2'!$A:$A&lt;DATE(2026,IF(4=12,4+1,4+1),1)),'DRAFT 2'!$A:$A),"")</f>
        <v/>
      </c>
      <c r="EA90">
        <f>COUNTIFS('DRAFT 2'!$D:$D,$B90,'DRAFT 2'!$A:$A,"&gt;="&amp;DATE(2026,4,1),'DRAFT 2'!$A:$A,"&lt;="&amp;DATE(2026,4,7))</f>
        <v/>
      </c>
      <c r="EB90">
        <f>COUNTIFS('DRAFT 2'!$D:$D,$B90,'DRAFT 2'!$A:$A,"&gt;="&amp;DATE(2026,4,8),'DRAFT 2'!$A:$A,"&lt;="&amp;DATE(2026,4,14))</f>
        <v/>
      </c>
      <c r="EC90">
        <f>COUNTIFS('DRAFT 2'!$D:$D,$B90,'DRAFT 2'!$A:$A,"&gt;="&amp;DATE(2026,4,15),'DRAFT 2'!$A:$A,"&lt;="&amp;DATE(2026,4,21))</f>
        <v/>
      </c>
      <c r="ED90">
        <f>COUNTIFS('DRAFT 2'!$D:$D,$B90,'DRAFT 2'!$A:$A,"&gt;="&amp;DATE(2026,4,22),'DRAFT 2'!$A:$A,"&lt;"&amp;DATE(2026,IF(4=12,4+1,4+1),1))</f>
        <v/>
      </c>
      <c r="EE90">
        <f>SUM(EA90:ED90)</f>
        <v/>
      </c>
      <c r="EO90">
        <f>IFERROR(LOOKUP(2,1/('DRAFT 2'!$D:$D=$B90)*('DRAFT 2'!$A:$A&gt;=DATE(2026,5,1))*('DRAFT 2'!$A:$A&lt;DATE(2026,IF(5=12,5+1,5+1),1)),'DRAFT 2'!$A:$A),"")</f>
        <v/>
      </c>
      <c r="EP90">
        <f>COUNTIFS('DRAFT 2'!$D:$D,$B90,'DRAFT 2'!$A:$A,"&gt;="&amp;DATE(2026,5,1),'DRAFT 2'!$A:$A,"&lt;="&amp;DATE(2026,5,7))</f>
        <v/>
      </c>
      <c r="EQ90">
        <f>COUNTIFS('DRAFT 2'!$D:$D,$B90,'DRAFT 2'!$A:$A,"&gt;="&amp;DATE(2026,5,8),'DRAFT 2'!$A:$A,"&lt;="&amp;DATE(2026,5,14))</f>
        <v/>
      </c>
      <c r="ER90">
        <f>COUNTIFS('DRAFT 2'!$D:$D,$B90,'DRAFT 2'!$A:$A,"&gt;="&amp;DATE(2026,5,15),'DRAFT 2'!$A:$A,"&lt;="&amp;DATE(2026,5,21))</f>
        <v/>
      </c>
      <c r="ES90">
        <f>COUNTIFS('DRAFT 2'!$D:$D,$B90,'DRAFT 2'!$A:$A,"&gt;="&amp;DATE(2026,5,22),'DRAFT 2'!$A:$A,"&lt;"&amp;DATE(2026,IF(5=12,5+1,5+1),1))</f>
        <v/>
      </c>
      <c r="ET90">
        <f>SUM(EP90:ES90)</f>
        <v/>
      </c>
      <c r="FD90">
        <f>IFERROR(LOOKUP(2,1/('DRAFT 2'!$D:$D=$B90)*('DRAFT 2'!$A:$A&gt;=DATE(2026,6,1))*('DRAFT 2'!$A:$A&lt;DATE(2026,IF(6=12,6+1,6+1),1)),'DRAFT 2'!$A:$A),"")</f>
        <v/>
      </c>
      <c r="FE90">
        <f>COUNTIFS('DRAFT 2'!$D:$D,$B90,'DRAFT 2'!$A:$A,"&gt;="&amp;DATE(2026,6,1),'DRAFT 2'!$A:$A,"&lt;="&amp;DATE(2026,6,7))</f>
        <v/>
      </c>
      <c r="FF90">
        <f>COUNTIFS('DRAFT 2'!$D:$D,$B90,'DRAFT 2'!$A:$A,"&gt;="&amp;DATE(2026,6,8),'DRAFT 2'!$A:$A,"&lt;="&amp;DATE(2026,6,14))</f>
        <v/>
      </c>
      <c r="FG90">
        <f>COUNTIFS('DRAFT 2'!$D:$D,$B90,'DRAFT 2'!$A:$A,"&gt;="&amp;DATE(2026,6,15),'DRAFT 2'!$A:$A,"&lt;="&amp;DATE(2026,6,21))</f>
        <v/>
      </c>
      <c r="FH90">
        <f>COUNTIFS('DRAFT 2'!$D:$D,$B90,'DRAFT 2'!$A:$A,"&gt;="&amp;DATE(2026,6,22),'DRAFT 2'!$A:$A,"&lt;"&amp;DATE(2026,IF(6=12,6+1,6+1),1))</f>
        <v/>
      </c>
      <c r="FI90">
        <f>SUM(FE90:FH90)</f>
        <v/>
      </c>
      <c r="FT90">
        <f>IFERROR(LOOKUP(2,1/('DRAFT 2'!$D:$D=$B90)*('DRAFT 2'!$A:$A&gt;=DATE(2026,7,1))*('DRAFT 2'!$A:$A&lt;DATE(2026,IF(7=12,7+1,7+1),1)),'DRAFT 2'!$A:$A),"")</f>
        <v/>
      </c>
      <c r="FU90">
        <f>COUNTIFS('DRAFT 2'!$D:$D,$B90,'DRAFT 2'!$A:$A,"&gt;="&amp;DATE(2026,7,1),'DRAFT 2'!$A:$A,"&lt;="&amp;DATE(2026,7,7))</f>
        <v/>
      </c>
      <c r="FV90">
        <f>COUNTIFS('DRAFT 2'!$D:$D,$B90,'DRAFT 2'!$A:$A,"&gt;="&amp;DATE(2026,7,8),'DRAFT 2'!$A:$A,"&lt;="&amp;DATE(2026,7,14))</f>
        <v/>
      </c>
      <c r="FW90">
        <f>COUNTIFS('DRAFT 2'!$D:$D,$B90,'DRAFT 2'!$A:$A,"&gt;="&amp;DATE(2026,7,15),'DRAFT 2'!$A:$A,"&lt;="&amp;DATE(2026,7,21))</f>
        <v/>
      </c>
      <c r="FX90">
        <f>COUNTIFS('DRAFT 2'!$D:$D,$B90,'DRAFT 2'!$A:$A,"&gt;="&amp;DATE(2026,7,22),'DRAFT 2'!$A:$A,"&lt;"&amp;DATE(2026,IF(7=12,7+1,7+1),1))</f>
        <v/>
      </c>
      <c r="FY90">
        <f>SUM(FU90:FX90)</f>
        <v/>
      </c>
      <c r="GI90">
        <f>IFERROR(LOOKUP(2,1/('DRAFT 2'!$D:$D=$B90)*('DRAFT 2'!$A:$A&gt;=DATE(2026,8,1))*('DRAFT 2'!$A:$A&lt;DATE(2026,IF(8=12,8+1,8+1),1)),'DRAFT 2'!$A:$A),"")</f>
        <v/>
      </c>
      <c r="GJ90">
        <f>COUNTIFS('DRAFT 2'!$D:$D,$B90,'DRAFT 2'!$A:$A,"&gt;="&amp;DATE(2026,8,1),'DRAFT 2'!$A:$A,"&lt;="&amp;DATE(2026,8,7))</f>
        <v/>
      </c>
      <c r="GK90">
        <f>COUNTIFS('DRAFT 2'!$D:$D,$B90,'DRAFT 2'!$A:$A,"&gt;="&amp;DATE(2026,8,8),'DRAFT 2'!$A:$A,"&lt;="&amp;DATE(2026,8,14))</f>
        <v/>
      </c>
      <c r="GL90">
        <f>COUNTIFS('DRAFT 2'!$D:$D,$B90,'DRAFT 2'!$A:$A,"&gt;="&amp;DATE(2026,8,15),'DRAFT 2'!$A:$A,"&lt;="&amp;DATE(2026,8,21))</f>
        <v/>
      </c>
      <c r="GM90">
        <f>COUNTIFS('DRAFT 2'!$D:$D,$B90,'DRAFT 2'!$A:$A,"&gt;="&amp;DATE(2026,8,22),'DRAFT 2'!$A:$A,"&lt;"&amp;DATE(2026,IF(8=12,8+1,8+1),1))</f>
        <v/>
      </c>
      <c r="GN90">
        <f>SUM(GJ90:GM90)</f>
        <v/>
      </c>
      <c r="GX90">
        <f>IFERROR(LOOKUP(2,1/('DRAFT 2'!$D:$D=$B90)*('DRAFT 2'!$A:$A&gt;=DATE(2026,9,1))*('DRAFT 2'!$A:$A&lt;DATE(2026,IF(9=12,9+1,9+1),1)),'DRAFT 2'!$A:$A),"")</f>
        <v/>
      </c>
      <c r="GY90">
        <f>COUNTIFS('DRAFT 2'!$D:$D,$B90,'DRAFT 2'!$A:$A,"&gt;="&amp;DATE(2026,9,1),'DRAFT 2'!$A:$A,"&lt;="&amp;DATE(2026,9,7))</f>
        <v/>
      </c>
      <c r="GZ90">
        <f>COUNTIFS('DRAFT 2'!$D:$D,$B90,'DRAFT 2'!$A:$A,"&gt;="&amp;DATE(2026,9,8),'DRAFT 2'!$A:$A,"&lt;="&amp;DATE(2026,9,14))</f>
        <v/>
      </c>
      <c r="HA90">
        <f>COUNTIFS('DRAFT 2'!$D:$D,$B90,'DRAFT 2'!$A:$A,"&gt;="&amp;DATE(2026,9,15),'DRAFT 2'!$A:$A,"&lt;="&amp;DATE(2026,9,21))</f>
        <v/>
      </c>
      <c r="HB90">
        <f>COUNTIFS('DRAFT 2'!$D:$D,$B90,'DRAFT 2'!$A:$A,"&gt;="&amp;DATE(2026,9,22),'DRAFT 2'!$A:$A,"&lt;"&amp;DATE(2026,IF(9=12,9+1,9+1),1))</f>
        <v/>
      </c>
      <c r="HC90">
        <f>SUM(GY90:HB90)</f>
        <v/>
      </c>
      <c r="HN90">
        <f>IFERROR(LOOKUP(2,1/('DRAFT 2'!$D:$D=$B90)*('DRAFT 2'!$A:$A&gt;=DATE(2026,10,1))*('DRAFT 2'!$A:$A&lt;DATE(2026,IF(10=12,10+1,10+1),1)),'DRAFT 2'!$A:$A),"")</f>
        <v/>
      </c>
      <c r="HO90">
        <f>COUNTIFS('DRAFT 2'!$D:$D,$B90,'DRAFT 2'!$A:$A,"&gt;="&amp;DATE(2026,10,1),'DRAFT 2'!$A:$A,"&lt;="&amp;DATE(2026,10,7))</f>
        <v/>
      </c>
      <c r="HP90">
        <f>COUNTIFS('DRAFT 2'!$D:$D,$B90,'DRAFT 2'!$A:$A,"&gt;="&amp;DATE(2026,10,8),'DRAFT 2'!$A:$A,"&lt;="&amp;DATE(2026,10,14))</f>
        <v/>
      </c>
      <c r="HQ90">
        <f>COUNTIFS('DRAFT 2'!$D:$D,$B90,'DRAFT 2'!$A:$A,"&gt;="&amp;DATE(2026,10,15),'DRAFT 2'!$A:$A,"&lt;="&amp;DATE(2026,10,21))</f>
        <v/>
      </c>
      <c r="HR90">
        <f>COUNTIFS('DRAFT 2'!$D:$D,$B90,'DRAFT 2'!$A:$A,"&gt;="&amp;DATE(2026,10,22),'DRAFT 2'!$A:$A,"&lt;"&amp;DATE(2026,IF(10=12,10+1,10+1),1))</f>
        <v/>
      </c>
      <c r="HS90">
        <f>SUM(HO90:HR90)</f>
        <v/>
      </c>
      <c r="IC90">
        <f>IFERROR(LOOKUP(2,1/('DRAFT 2'!$D:$D=$B90)*('DRAFT 2'!$A:$A&gt;=DATE(2026,11,1))*('DRAFT 2'!$A:$A&lt;DATE(2026,IF(11=12,11+1,11+1),1)),'DRAFT 2'!$A:$A),"")</f>
        <v/>
      </c>
      <c r="ID90">
        <f>COUNTIFS('DRAFT 2'!$D:$D,$B90,'DRAFT 2'!$A:$A,"&gt;="&amp;DATE(2026,11,1),'DRAFT 2'!$A:$A,"&lt;="&amp;DATE(2026,11,7))</f>
        <v/>
      </c>
      <c r="IE90">
        <f>COUNTIFS('DRAFT 2'!$D:$D,$B90,'DRAFT 2'!$A:$A,"&gt;="&amp;DATE(2026,11,8),'DRAFT 2'!$A:$A,"&lt;="&amp;DATE(2026,11,14))</f>
        <v/>
      </c>
      <c r="IF90">
        <f>COUNTIFS('DRAFT 2'!$D:$D,$B90,'DRAFT 2'!$A:$A,"&gt;="&amp;DATE(2026,11,15),'DRAFT 2'!$A:$A,"&lt;="&amp;DATE(2026,11,21))</f>
        <v/>
      </c>
      <c r="IG90">
        <f>COUNTIFS('DRAFT 2'!$D:$D,$B90,'DRAFT 2'!$A:$A,"&gt;="&amp;DATE(2026,11,22),'DRAFT 2'!$A:$A,"&lt;"&amp;DATE(2026,IF(11=12,11+1,11+1),1))</f>
        <v/>
      </c>
      <c r="IH90">
        <f>SUM(ID90:IG90)</f>
        <v/>
      </c>
      <c r="IR90">
        <f>IFERROR(LOOKUP(2,1/('DRAFT 2'!$D:$D=$B90)*('DRAFT 2'!$A:$A&gt;=DATE(2026,12,1))*('DRAFT 2'!$A:$A&lt;DATE(2026,IF(12=12,12+1,12+1),1)),'DRAFT 2'!$A:$A),"")</f>
        <v/>
      </c>
      <c r="IS90">
        <f>COUNTIFS('DRAFT 2'!$D:$D,$B90,'DRAFT 2'!$A:$A,"&gt;="&amp;DATE(2026,12,1),'DRAFT 2'!$A:$A,"&lt;="&amp;DATE(2026,12,7))</f>
        <v/>
      </c>
      <c r="IT90">
        <f>COUNTIFS('DRAFT 2'!$D:$D,$B90,'DRAFT 2'!$A:$A,"&gt;="&amp;DATE(2026,12,8),'DRAFT 2'!$A:$A,"&lt;="&amp;DATE(2026,12,14))</f>
        <v/>
      </c>
      <c r="IU90">
        <f>COUNTIFS('DRAFT 2'!$D:$D,$B90,'DRAFT 2'!$A:$A,"&gt;="&amp;DATE(2026,12,15),'DRAFT 2'!$A:$A,"&lt;="&amp;DATE(2026,12,21))</f>
        <v/>
      </c>
      <c r="IV90">
        <f>COUNTIFS('DRAFT 2'!$D:$D,$B90,'DRAFT 2'!$A:$A,"&gt;="&amp;DATE(2026,12,22),'DRAFT 2'!$A:$A,"&lt;"&amp;DATE(2026,IF(12=12,12+1,12+1),1))</f>
        <v/>
      </c>
      <c r="IW90">
        <f>SUM(IS90:IV90)</f>
        <v/>
      </c>
    </row>
    <row r="91">
      <c r="A91">
        <f>IFERROR(INDEX('DRAFT 1'!$A:$A,MATCH($B91,'DRAFT 1'!$B:$B,0)),"")</f>
        <v/>
      </c>
      <c r="C91">
        <f>IFERROR(INDEX('DRAFT 1'!$C:$C,MATCH($B91,'DRAFT 1'!$B:$B,0)),"")</f>
        <v/>
      </c>
      <c r="D91">
        <f>IFERROR(INDEX('DRAFT 1'!$D:$D,MATCH($B91,'DRAFT 1'!$B:$B,0)),"")</f>
        <v/>
      </c>
      <c r="E91">
        <f>IFERROR(INDEX('DRAFT 1'!$E:$E,MATCH($B91,'DRAFT 1'!$B:$B,0)),"")</f>
        <v/>
      </c>
      <c r="F91">
        <f>IFERROR(INDEX('DRAFT 1'!$F:$F,MATCH($B91,'DRAFT 1'!$B:$B,0)),"")</f>
        <v/>
      </c>
      <c r="G91">
        <f>IFERROR(INDEX('DRAFT 1'!$G:$G,MATCH($B91,'DRAFT 1'!$B:$B,0)),"")</f>
        <v/>
      </c>
      <c r="H91">
        <f>IFERROR(INDEX('DRAFT 1'!$H:$H,MATCH($B91,'DRAFT 1'!$B:$B,0)),"")</f>
        <v/>
      </c>
      <c r="I91" t="inlineStr">
        <is>
          <t>BIOMUNDO</t>
        </is>
      </c>
      <c r="K91">
        <f>IFERROR(INDEX('DRAFT 1'!$AL:$AL,MATCH($B91,'DRAFT 1'!$B:$B,0)),"")</f>
        <v/>
      </c>
      <c r="L91">
        <f>IFERROR(INDEX('DRAFT 1'!$J:$J,MATCH($B91,'DRAFT 1'!$B:$B,0)),"")</f>
        <v/>
      </c>
      <c r="M91">
        <f>IFERROR(INDEX('DRAFT 1'!$K:$K,MATCH($B91,'DRAFT 1'!$B:$B,0)),"")</f>
        <v/>
      </c>
      <c r="N91" t="inlineStr">
        <is>
          <t>INAT.ANT</t>
        </is>
      </c>
      <c r="P91">
        <f>IFERROR(INDEX('DRAFT 1'!$L:$L,MATCH($B91,'DRAFT 1'!$B:$B,0)),"")</f>
        <v/>
      </c>
      <c r="Q91">
        <f>IFERROR(INDEX('DRAFT 1'!$M:$M,MATCH($B91,'DRAFT 1'!$B:$B,0)),"")</f>
        <v/>
      </c>
      <c r="R91">
        <f>IFERROR(INDEX('DRAFT 1'!$N:$N,MATCH($B91,'DRAFT 1'!$B:$B,0)),"")</f>
        <v/>
      </c>
      <c r="S91">
        <f>IFERROR(INDEX('DRAFT 1'!$O:$O,MATCH($B91,'DRAFT 1'!$B:$B,0)),"")</f>
        <v/>
      </c>
      <c r="T91">
        <f>IFERROR(INDEX('DRAFT 1'!$P:$P,MATCH($B91,'DRAFT 1'!$B:$B,0)),"")</f>
        <v/>
      </c>
      <c r="U91">
        <f>IFERROR(INDEX('DRAFT 1'!$Q:$Q,MATCH($B91,'DRAFT 1'!$B:$B,0)),"")</f>
        <v/>
      </c>
      <c r="V91">
        <f>IFERROR(INDEX('DRAFT 1'!$R:$R,MATCH($B91,'DRAFT 1'!$B:$B,0)),"")</f>
        <v/>
      </c>
      <c r="W91">
        <f>IFERROR(INDEX('DRAFT 1'!$S:$S,MATCH($B91,'DRAFT 1'!$B:$B,0)),"")</f>
        <v/>
      </c>
      <c r="X91">
        <f>IFERROR(INDEX('DRAFT 1'!$T:$T,MATCH($B91,'DRAFT 1'!$B:$B,0)),"")</f>
        <v/>
      </c>
      <c r="Z91">
        <f>IFERROR(INDEX('DRAFT 1'!$U:$U,MATCH($B91,'DRAFT 1'!$B:$B,0)),"")</f>
        <v/>
      </c>
      <c r="AA91">
        <f>IFERROR(INDEX('DRAFT 1'!$V:$V,MATCH($B91,'DRAFT 1'!$B:$B,0)),"")</f>
        <v/>
      </c>
      <c r="AB91">
        <f>IFERROR(INDEX('DRAFT 1'!$W:$W,MATCH($B91,'DRAFT 1'!$B:$B,0)),"")</f>
        <v/>
      </c>
      <c r="AC91">
        <f>IFERROR(INDEX('DRAFT 1'!$X:$X,MATCH($B91,'DRAFT 1'!$B:$B,0)),"")</f>
        <v/>
      </c>
      <c r="AD91">
        <f>IFERROR(INDEX('DRAFT 1'!$Y:$Y,MATCH($B91,'DRAFT 1'!$B:$B,0)),"")</f>
        <v/>
      </c>
      <c r="AE91">
        <f>IFERROR(INDEX('DRAFT 1'!$Z:$Z,MATCH($B91,'DRAFT 1'!$B:$B,0)),"")</f>
        <v/>
      </c>
      <c r="AF91">
        <f>IFERROR(INDEX('DRAFT 1'!$AA:$AA,MATCH($B91,'DRAFT 1'!$B:$B,0)),"")</f>
        <v/>
      </c>
      <c r="AG91">
        <f>IFERROR(INDEX('DRAFT 1'!$AB:$AB,MATCH($B91,'DRAFT 1'!$B:$B,0)),"")</f>
        <v/>
      </c>
      <c r="AH91">
        <f>IFERROR(INDEX('DRAFT 1'!$AC:$AC,MATCH($B91,'DRAFT 1'!$B:$B,0)),"")</f>
        <v/>
      </c>
      <c r="AI91">
        <f>IFERROR(INDEX('DRAFT 1'!$AD:$AD,MATCH($B91,'DRAFT 1'!$B:$B,0)),"")</f>
        <v/>
      </c>
      <c r="AJ91">
        <f>IFERROR(INDEX('DRAFT 1'!$AE:$AE,MATCH($B91,'DRAFT 1'!$B:$B,0)),"")</f>
        <v/>
      </c>
      <c r="AK91">
        <f>IFERROR(INDEX('DRAFT 1'!$AG:$AG,MATCH($B91,'DRAFT 1'!$B:$B,0)),"")</f>
        <v/>
      </c>
      <c r="AL91">
        <f>IFERROR(INDEX('DRAFT 1'!$AH:$AH,MATCH($B91,'DRAFT 1'!$B:$B,0)),"")</f>
        <v/>
      </c>
      <c r="AM91">
        <f>IFERROR(INDEX('DRAFT 1'!$AI:$AI,MATCH($B91,'DRAFT 1'!$B:$B,0)),"")</f>
        <v/>
      </c>
      <c r="AN91">
        <f>IFERROR(INDEX('DRAFT 1'!$AJ:$AJ,MATCH($B91,'DRAFT 1'!$B:$B,0)),"")</f>
        <v/>
      </c>
      <c r="AO91">
        <f>IFERROR(Y91/AN91,0)</f>
        <v/>
      </c>
      <c r="AP91">
        <f>IFERROR(INDEX('DRAFT 1'!$AK:$AK,MATCH($B91,'DRAFT 1'!$B:$B,0)),"")</f>
        <v/>
      </c>
      <c r="AR91" t="inlineStr">
        <is>
          <t>SALVAMENTO</t>
        </is>
      </c>
      <c r="AS91">
        <f>IFERROR(LOOKUP(2,1/('DRAFT 2'!$D:$D=$B91),'DRAFT 2'!$T:$T),"")</f>
        <v/>
      </c>
      <c r="AT91">
        <f>IFERROR(LOOKUP(2,1/('DRAFT 2'!$D:$D=$B91),'DRAFT 2'!$A:$A),"")</f>
        <v/>
      </c>
      <c r="AU91">
        <f>IFERROR(LOOKUP(2,1/('DRAFT 2'!$D:$D=$B91),'DRAFT 2'!$R:$R),"")</f>
        <v/>
      </c>
      <c r="AV91">
        <f>IFERROR(LOOKUP(2,1/('DRAFT 2'!$D:$D=$B91),'DRAFT 2'!$S:$S),"")</f>
        <v/>
      </c>
      <c r="AW91" t="inlineStr">
        <is>
          <t>NOVO</t>
        </is>
      </c>
      <c r="AX91">
        <f>IFERROR(LOOKUP(2,1/('DRAFT 2'!$D:$D=$B91),'DRAFT 2'!$M:$M),"")</f>
        <v/>
      </c>
      <c r="AY91">
        <f>IFERROR(LOOKUP(2,1/('DRAFT 2'!$D:$D=$B91),'DRAFT 2'!$K:$K),"")</f>
        <v/>
      </c>
      <c r="BG91">
        <f>IFERROR(LOOKUP(2,1/('DRAFT 2'!$D:$D=$B91),'DRAFT 2'!$U:$U),"")</f>
        <v/>
      </c>
      <c r="BH91">
        <f>IFERROR(LOOKUP(2,1/('DRAFT 2'!$D:$D=$B91),'DRAFT 2'!$V:$V),"")</f>
        <v/>
      </c>
      <c r="CE91">
        <f>IFERROR(AJ91,0)</f>
        <v/>
      </c>
      <c r="CF91">
        <f>IFERROR(LOOKUP(2,1/('DRAFT 2'!$D:$D=$B91)*('DRAFT 2'!$A:$A&gt;=DATE(2026,1,1))*('DRAFT 2'!$A:$A&lt;DATE(2026,IF(1=12,1+1,1+1),1)),'DRAFT 2'!$A:$A),"")</f>
        <v/>
      </c>
      <c r="CG91">
        <f>COUNTIFS('DRAFT 2'!$D:$D,$B91,'DRAFT 2'!$A:$A,"&gt;="&amp;DATE(2026,1,1),'DRAFT 2'!$A:$A,"&lt;="&amp;DATE(2026,1,7))</f>
        <v/>
      </c>
      <c r="CH91">
        <f>COUNTIFS('DRAFT 2'!$D:$D,$B91,'DRAFT 2'!$A:$A,"&gt;="&amp;DATE(2026,1,8),'DRAFT 2'!$A:$A,"&lt;="&amp;DATE(2026,1,14))</f>
        <v/>
      </c>
      <c r="CI91">
        <f>COUNTIFS('DRAFT 2'!$D:$D,$B91,'DRAFT 2'!$A:$A,"&gt;="&amp;DATE(2026,1,15),'DRAFT 2'!$A:$A,"&lt;="&amp;DATE(2026,1,21))</f>
        <v/>
      </c>
      <c r="CJ91">
        <f>COUNTIFS('DRAFT 2'!$D:$D,$B91,'DRAFT 2'!$A:$A,"&gt;="&amp;DATE(2026,1,22),'DRAFT 2'!$A:$A,"&lt;"&amp;DATE(2026,IF(1=12,1+1,1+1),1))</f>
        <v/>
      </c>
      <c r="CK91">
        <f>SUM(CG91:CJ91)</f>
        <v/>
      </c>
      <c r="CT91" t="n">
        <v>0</v>
      </c>
      <c r="CU91">
        <f>IFERROR(LOOKUP(2,1/('DRAFT 2'!$D:$D=$B91)*('DRAFT 2'!$A:$A&gt;=DATE(2026,2,1))*('DRAFT 2'!$A:$A&lt;DATE(2026,IF(2=12,2+1,2+1),1)),'DRAFT 2'!$A:$A),"")</f>
        <v/>
      </c>
      <c r="CV91">
        <f>COUNTIFS('DRAFT 2'!$D:$D,$B91,'DRAFT 2'!$A:$A,"&gt;="&amp;DATE(2026,2,1),'DRAFT 2'!$A:$A,"&lt;="&amp;DATE(2026,2,7))</f>
        <v/>
      </c>
      <c r="CW91">
        <f>COUNTIFS('DRAFT 2'!$D:$D,$B91,'DRAFT 2'!$A:$A,"&gt;="&amp;DATE(2026,2,8),'DRAFT 2'!$A:$A,"&lt;="&amp;DATE(2026,2,14))</f>
        <v/>
      </c>
      <c r="CX91">
        <f>COUNTIFS('DRAFT 2'!$D:$D,$B91,'DRAFT 2'!$A:$A,"&gt;="&amp;DATE(2026,2,15),'DRAFT 2'!$A:$A,"&lt;="&amp;DATE(2026,2,21))</f>
        <v/>
      </c>
      <c r="CY91">
        <f>COUNTIFS('DRAFT 2'!$D:$D,$B91,'DRAFT 2'!$A:$A,"&gt;="&amp;DATE(2026,2,22),'DRAFT 2'!$A:$A,"&lt;"&amp;DATE(2026,IF(2=12,2+1,2+1),1))</f>
        <v/>
      </c>
      <c r="CZ91">
        <f>SUM(CV91:CY91)</f>
        <v/>
      </c>
      <c r="DJ91">
        <f>IFERROR(LOOKUP(2,1/('DRAFT 2'!$D:$D=$B91)*('DRAFT 2'!$A:$A&gt;=DATE(2026,3,1))*('DRAFT 2'!$A:$A&lt;DATE(2026,IF(3=12,3+1,3+1),1)),'DRAFT 2'!$A:$A),"")</f>
        <v/>
      </c>
      <c r="DK91">
        <f>COUNTIFS('DRAFT 2'!$D:$D,$B91,'DRAFT 2'!$A:$A,"&gt;="&amp;DATE(2026,3,1),'DRAFT 2'!$A:$A,"&lt;="&amp;DATE(2026,3,7))</f>
        <v/>
      </c>
      <c r="DL91">
        <f>COUNTIFS('DRAFT 2'!$D:$D,$B91,'DRAFT 2'!$A:$A,"&gt;="&amp;DATE(2026,3,8),'DRAFT 2'!$A:$A,"&lt;="&amp;DATE(2026,3,14))</f>
        <v/>
      </c>
      <c r="DM91">
        <f>COUNTIFS('DRAFT 2'!$D:$D,$B91,'DRAFT 2'!$A:$A,"&gt;="&amp;DATE(2026,3,15),'DRAFT 2'!$A:$A,"&lt;="&amp;DATE(2026,3,21))</f>
        <v/>
      </c>
      <c r="DN91">
        <f>COUNTIFS('DRAFT 2'!$D:$D,$B91,'DRAFT 2'!$A:$A,"&gt;="&amp;DATE(2026,3,22),'DRAFT 2'!$A:$A,"&lt;"&amp;DATE(2026,IF(3=12,3+1,3+1),1))</f>
        <v/>
      </c>
      <c r="DO91">
        <f>SUM(DK91:DN91)</f>
        <v/>
      </c>
      <c r="DZ91">
        <f>IFERROR(LOOKUP(2,1/('DRAFT 2'!$D:$D=$B91)*('DRAFT 2'!$A:$A&gt;=DATE(2026,4,1))*('DRAFT 2'!$A:$A&lt;DATE(2026,IF(4=12,4+1,4+1),1)),'DRAFT 2'!$A:$A),"")</f>
        <v/>
      </c>
      <c r="EA91">
        <f>COUNTIFS('DRAFT 2'!$D:$D,$B91,'DRAFT 2'!$A:$A,"&gt;="&amp;DATE(2026,4,1),'DRAFT 2'!$A:$A,"&lt;="&amp;DATE(2026,4,7))</f>
        <v/>
      </c>
      <c r="EB91">
        <f>COUNTIFS('DRAFT 2'!$D:$D,$B91,'DRAFT 2'!$A:$A,"&gt;="&amp;DATE(2026,4,8),'DRAFT 2'!$A:$A,"&lt;="&amp;DATE(2026,4,14))</f>
        <v/>
      </c>
      <c r="EC91">
        <f>COUNTIFS('DRAFT 2'!$D:$D,$B91,'DRAFT 2'!$A:$A,"&gt;="&amp;DATE(2026,4,15),'DRAFT 2'!$A:$A,"&lt;="&amp;DATE(2026,4,21))</f>
        <v/>
      </c>
      <c r="ED91">
        <f>COUNTIFS('DRAFT 2'!$D:$D,$B91,'DRAFT 2'!$A:$A,"&gt;="&amp;DATE(2026,4,22),'DRAFT 2'!$A:$A,"&lt;"&amp;DATE(2026,IF(4=12,4+1,4+1),1))</f>
        <v/>
      </c>
      <c r="EE91">
        <f>SUM(EA91:ED91)</f>
        <v/>
      </c>
      <c r="EO91">
        <f>IFERROR(LOOKUP(2,1/('DRAFT 2'!$D:$D=$B91)*('DRAFT 2'!$A:$A&gt;=DATE(2026,5,1))*('DRAFT 2'!$A:$A&lt;DATE(2026,IF(5=12,5+1,5+1),1)),'DRAFT 2'!$A:$A),"")</f>
        <v/>
      </c>
      <c r="EP91">
        <f>COUNTIFS('DRAFT 2'!$D:$D,$B91,'DRAFT 2'!$A:$A,"&gt;="&amp;DATE(2026,5,1),'DRAFT 2'!$A:$A,"&lt;="&amp;DATE(2026,5,7))</f>
        <v/>
      </c>
      <c r="EQ91">
        <f>COUNTIFS('DRAFT 2'!$D:$D,$B91,'DRAFT 2'!$A:$A,"&gt;="&amp;DATE(2026,5,8),'DRAFT 2'!$A:$A,"&lt;="&amp;DATE(2026,5,14))</f>
        <v/>
      </c>
      <c r="ER91">
        <f>COUNTIFS('DRAFT 2'!$D:$D,$B91,'DRAFT 2'!$A:$A,"&gt;="&amp;DATE(2026,5,15),'DRAFT 2'!$A:$A,"&lt;="&amp;DATE(2026,5,21))</f>
        <v/>
      </c>
      <c r="ES91">
        <f>COUNTIFS('DRAFT 2'!$D:$D,$B91,'DRAFT 2'!$A:$A,"&gt;="&amp;DATE(2026,5,22),'DRAFT 2'!$A:$A,"&lt;"&amp;DATE(2026,IF(5=12,5+1,5+1),1))</f>
        <v/>
      </c>
      <c r="ET91">
        <f>SUM(EP91:ES91)</f>
        <v/>
      </c>
      <c r="FD91">
        <f>IFERROR(LOOKUP(2,1/('DRAFT 2'!$D:$D=$B91)*('DRAFT 2'!$A:$A&gt;=DATE(2026,6,1))*('DRAFT 2'!$A:$A&lt;DATE(2026,IF(6=12,6+1,6+1),1)),'DRAFT 2'!$A:$A),"")</f>
        <v/>
      </c>
      <c r="FE91">
        <f>COUNTIFS('DRAFT 2'!$D:$D,$B91,'DRAFT 2'!$A:$A,"&gt;="&amp;DATE(2026,6,1),'DRAFT 2'!$A:$A,"&lt;="&amp;DATE(2026,6,7))</f>
        <v/>
      </c>
      <c r="FF91">
        <f>COUNTIFS('DRAFT 2'!$D:$D,$B91,'DRAFT 2'!$A:$A,"&gt;="&amp;DATE(2026,6,8),'DRAFT 2'!$A:$A,"&lt;="&amp;DATE(2026,6,14))</f>
        <v/>
      </c>
      <c r="FG91">
        <f>COUNTIFS('DRAFT 2'!$D:$D,$B91,'DRAFT 2'!$A:$A,"&gt;="&amp;DATE(2026,6,15),'DRAFT 2'!$A:$A,"&lt;="&amp;DATE(2026,6,21))</f>
        <v/>
      </c>
      <c r="FH91">
        <f>COUNTIFS('DRAFT 2'!$D:$D,$B91,'DRAFT 2'!$A:$A,"&gt;="&amp;DATE(2026,6,22),'DRAFT 2'!$A:$A,"&lt;"&amp;DATE(2026,IF(6=12,6+1,6+1),1))</f>
        <v/>
      </c>
      <c r="FI91">
        <f>SUM(FE91:FH91)</f>
        <v/>
      </c>
      <c r="FT91">
        <f>IFERROR(LOOKUP(2,1/('DRAFT 2'!$D:$D=$B91)*('DRAFT 2'!$A:$A&gt;=DATE(2026,7,1))*('DRAFT 2'!$A:$A&lt;DATE(2026,IF(7=12,7+1,7+1),1)),'DRAFT 2'!$A:$A),"")</f>
        <v/>
      </c>
      <c r="FU91">
        <f>COUNTIFS('DRAFT 2'!$D:$D,$B91,'DRAFT 2'!$A:$A,"&gt;="&amp;DATE(2026,7,1),'DRAFT 2'!$A:$A,"&lt;="&amp;DATE(2026,7,7))</f>
        <v/>
      </c>
      <c r="FV91">
        <f>COUNTIFS('DRAFT 2'!$D:$D,$B91,'DRAFT 2'!$A:$A,"&gt;="&amp;DATE(2026,7,8),'DRAFT 2'!$A:$A,"&lt;="&amp;DATE(2026,7,14))</f>
        <v/>
      </c>
      <c r="FW91">
        <f>COUNTIFS('DRAFT 2'!$D:$D,$B91,'DRAFT 2'!$A:$A,"&gt;="&amp;DATE(2026,7,15),'DRAFT 2'!$A:$A,"&lt;="&amp;DATE(2026,7,21))</f>
        <v/>
      </c>
      <c r="FX91">
        <f>COUNTIFS('DRAFT 2'!$D:$D,$B91,'DRAFT 2'!$A:$A,"&gt;="&amp;DATE(2026,7,22),'DRAFT 2'!$A:$A,"&lt;"&amp;DATE(2026,IF(7=12,7+1,7+1),1))</f>
        <v/>
      </c>
      <c r="FY91">
        <f>SUM(FU91:FX91)</f>
        <v/>
      </c>
      <c r="GI91">
        <f>IFERROR(LOOKUP(2,1/('DRAFT 2'!$D:$D=$B91)*('DRAFT 2'!$A:$A&gt;=DATE(2026,8,1))*('DRAFT 2'!$A:$A&lt;DATE(2026,IF(8=12,8+1,8+1),1)),'DRAFT 2'!$A:$A),"")</f>
        <v/>
      </c>
      <c r="GJ91">
        <f>COUNTIFS('DRAFT 2'!$D:$D,$B91,'DRAFT 2'!$A:$A,"&gt;="&amp;DATE(2026,8,1),'DRAFT 2'!$A:$A,"&lt;="&amp;DATE(2026,8,7))</f>
        <v/>
      </c>
      <c r="GK91">
        <f>COUNTIFS('DRAFT 2'!$D:$D,$B91,'DRAFT 2'!$A:$A,"&gt;="&amp;DATE(2026,8,8),'DRAFT 2'!$A:$A,"&lt;="&amp;DATE(2026,8,14))</f>
        <v/>
      </c>
      <c r="GL91">
        <f>COUNTIFS('DRAFT 2'!$D:$D,$B91,'DRAFT 2'!$A:$A,"&gt;="&amp;DATE(2026,8,15),'DRAFT 2'!$A:$A,"&lt;="&amp;DATE(2026,8,21))</f>
        <v/>
      </c>
      <c r="GM91">
        <f>COUNTIFS('DRAFT 2'!$D:$D,$B91,'DRAFT 2'!$A:$A,"&gt;="&amp;DATE(2026,8,22),'DRAFT 2'!$A:$A,"&lt;"&amp;DATE(2026,IF(8=12,8+1,8+1),1))</f>
        <v/>
      </c>
      <c r="GN91">
        <f>SUM(GJ91:GM91)</f>
        <v/>
      </c>
      <c r="GX91">
        <f>IFERROR(LOOKUP(2,1/('DRAFT 2'!$D:$D=$B91)*('DRAFT 2'!$A:$A&gt;=DATE(2026,9,1))*('DRAFT 2'!$A:$A&lt;DATE(2026,IF(9=12,9+1,9+1),1)),'DRAFT 2'!$A:$A),"")</f>
        <v/>
      </c>
      <c r="GY91">
        <f>COUNTIFS('DRAFT 2'!$D:$D,$B91,'DRAFT 2'!$A:$A,"&gt;="&amp;DATE(2026,9,1),'DRAFT 2'!$A:$A,"&lt;="&amp;DATE(2026,9,7))</f>
        <v/>
      </c>
      <c r="GZ91">
        <f>COUNTIFS('DRAFT 2'!$D:$D,$B91,'DRAFT 2'!$A:$A,"&gt;="&amp;DATE(2026,9,8),'DRAFT 2'!$A:$A,"&lt;="&amp;DATE(2026,9,14))</f>
        <v/>
      </c>
      <c r="HA91">
        <f>COUNTIFS('DRAFT 2'!$D:$D,$B91,'DRAFT 2'!$A:$A,"&gt;="&amp;DATE(2026,9,15),'DRAFT 2'!$A:$A,"&lt;="&amp;DATE(2026,9,21))</f>
        <v/>
      </c>
      <c r="HB91">
        <f>COUNTIFS('DRAFT 2'!$D:$D,$B91,'DRAFT 2'!$A:$A,"&gt;="&amp;DATE(2026,9,22),'DRAFT 2'!$A:$A,"&lt;"&amp;DATE(2026,IF(9=12,9+1,9+1),1))</f>
        <v/>
      </c>
      <c r="HC91">
        <f>SUM(GY91:HB91)</f>
        <v/>
      </c>
      <c r="HN91">
        <f>IFERROR(LOOKUP(2,1/('DRAFT 2'!$D:$D=$B91)*('DRAFT 2'!$A:$A&gt;=DATE(2026,10,1))*('DRAFT 2'!$A:$A&lt;DATE(2026,IF(10=12,10+1,10+1),1)),'DRAFT 2'!$A:$A),"")</f>
        <v/>
      </c>
      <c r="HO91">
        <f>COUNTIFS('DRAFT 2'!$D:$D,$B91,'DRAFT 2'!$A:$A,"&gt;="&amp;DATE(2026,10,1),'DRAFT 2'!$A:$A,"&lt;="&amp;DATE(2026,10,7))</f>
        <v/>
      </c>
      <c r="HP91">
        <f>COUNTIFS('DRAFT 2'!$D:$D,$B91,'DRAFT 2'!$A:$A,"&gt;="&amp;DATE(2026,10,8),'DRAFT 2'!$A:$A,"&lt;="&amp;DATE(2026,10,14))</f>
        <v/>
      </c>
      <c r="HQ91">
        <f>COUNTIFS('DRAFT 2'!$D:$D,$B91,'DRAFT 2'!$A:$A,"&gt;="&amp;DATE(2026,10,15),'DRAFT 2'!$A:$A,"&lt;="&amp;DATE(2026,10,21))</f>
        <v/>
      </c>
      <c r="HR91">
        <f>COUNTIFS('DRAFT 2'!$D:$D,$B91,'DRAFT 2'!$A:$A,"&gt;="&amp;DATE(2026,10,22),'DRAFT 2'!$A:$A,"&lt;"&amp;DATE(2026,IF(10=12,10+1,10+1),1))</f>
        <v/>
      </c>
      <c r="HS91">
        <f>SUM(HO91:HR91)</f>
        <v/>
      </c>
      <c r="IC91">
        <f>IFERROR(LOOKUP(2,1/('DRAFT 2'!$D:$D=$B91)*('DRAFT 2'!$A:$A&gt;=DATE(2026,11,1))*('DRAFT 2'!$A:$A&lt;DATE(2026,IF(11=12,11+1,11+1),1)),'DRAFT 2'!$A:$A),"")</f>
        <v/>
      </c>
      <c r="ID91">
        <f>COUNTIFS('DRAFT 2'!$D:$D,$B91,'DRAFT 2'!$A:$A,"&gt;="&amp;DATE(2026,11,1),'DRAFT 2'!$A:$A,"&lt;="&amp;DATE(2026,11,7))</f>
        <v/>
      </c>
      <c r="IE91">
        <f>COUNTIFS('DRAFT 2'!$D:$D,$B91,'DRAFT 2'!$A:$A,"&gt;="&amp;DATE(2026,11,8),'DRAFT 2'!$A:$A,"&lt;="&amp;DATE(2026,11,14))</f>
        <v/>
      </c>
      <c r="IF91">
        <f>COUNTIFS('DRAFT 2'!$D:$D,$B91,'DRAFT 2'!$A:$A,"&gt;="&amp;DATE(2026,11,15),'DRAFT 2'!$A:$A,"&lt;="&amp;DATE(2026,11,21))</f>
        <v/>
      </c>
      <c r="IG91">
        <f>COUNTIFS('DRAFT 2'!$D:$D,$B91,'DRAFT 2'!$A:$A,"&gt;="&amp;DATE(2026,11,22),'DRAFT 2'!$A:$A,"&lt;"&amp;DATE(2026,IF(11=12,11+1,11+1),1))</f>
        <v/>
      </c>
      <c r="IH91">
        <f>SUM(ID91:IG91)</f>
        <v/>
      </c>
      <c r="IR91">
        <f>IFERROR(LOOKUP(2,1/('DRAFT 2'!$D:$D=$B91)*('DRAFT 2'!$A:$A&gt;=DATE(2026,12,1))*('DRAFT 2'!$A:$A&lt;DATE(2026,IF(12=12,12+1,12+1),1)),'DRAFT 2'!$A:$A),"")</f>
        <v/>
      </c>
      <c r="IS91">
        <f>COUNTIFS('DRAFT 2'!$D:$D,$B91,'DRAFT 2'!$A:$A,"&gt;="&amp;DATE(2026,12,1),'DRAFT 2'!$A:$A,"&lt;="&amp;DATE(2026,12,7))</f>
        <v/>
      </c>
      <c r="IT91">
        <f>COUNTIFS('DRAFT 2'!$D:$D,$B91,'DRAFT 2'!$A:$A,"&gt;="&amp;DATE(2026,12,8),'DRAFT 2'!$A:$A,"&lt;="&amp;DATE(2026,12,14))</f>
        <v/>
      </c>
      <c r="IU91">
        <f>COUNTIFS('DRAFT 2'!$D:$D,$B91,'DRAFT 2'!$A:$A,"&gt;="&amp;DATE(2026,12,15),'DRAFT 2'!$A:$A,"&lt;="&amp;DATE(2026,12,21))</f>
        <v/>
      </c>
      <c r="IV91">
        <f>COUNTIFS('DRAFT 2'!$D:$D,$B91,'DRAFT 2'!$A:$A,"&gt;="&amp;DATE(2026,12,22),'DRAFT 2'!$A:$A,"&lt;"&amp;DATE(2026,IF(12=12,12+1,12+1),1))</f>
        <v/>
      </c>
      <c r="IW91">
        <f>SUM(IS91:IV91)</f>
        <v/>
      </c>
    </row>
    <row r="92">
      <c r="A92">
        <f>IFERROR(INDEX('DRAFT 1'!$A:$A,MATCH($B92,'DRAFT 1'!$B:$B,0)),"")</f>
        <v/>
      </c>
      <c r="C92">
        <f>IFERROR(INDEX('DRAFT 1'!$C:$C,MATCH($B92,'DRAFT 1'!$B:$B,0)),"")</f>
        <v/>
      </c>
      <c r="D92">
        <f>IFERROR(INDEX('DRAFT 1'!$D:$D,MATCH($B92,'DRAFT 1'!$B:$B,0)),"")</f>
        <v/>
      </c>
      <c r="E92">
        <f>IFERROR(INDEX('DRAFT 1'!$E:$E,MATCH($B92,'DRAFT 1'!$B:$B,0)),"")</f>
        <v/>
      </c>
      <c r="F92">
        <f>IFERROR(INDEX('DRAFT 1'!$F:$F,MATCH($B92,'DRAFT 1'!$B:$B,0)),"")</f>
        <v/>
      </c>
      <c r="G92">
        <f>IFERROR(INDEX('DRAFT 1'!$G:$G,MATCH($B92,'DRAFT 1'!$B:$B,0)),"")</f>
        <v/>
      </c>
      <c r="H92">
        <f>IFERROR(INDEX('DRAFT 1'!$H:$H,MATCH($B92,'DRAFT 1'!$B:$B,0)),"")</f>
        <v/>
      </c>
      <c r="I92" t="inlineStr">
        <is>
          <t>BIOMUNDO</t>
        </is>
      </c>
      <c r="K92">
        <f>IFERROR(INDEX('DRAFT 1'!$AL:$AL,MATCH($B92,'DRAFT 1'!$B:$B,0)),"")</f>
        <v/>
      </c>
      <c r="L92">
        <f>IFERROR(INDEX('DRAFT 1'!$J:$J,MATCH($B92,'DRAFT 1'!$B:$B,0)),"")</f>
        <v/>
      </c>
      <c r="M92">
        <f>IFERROR(INDEX('DRAFT 1'!$K:$K,MATCH($B92,'DRAFT 1'!$B:$B,0)),"")</f>
        <v/>
      </c>
      <c r="N92" t="inlineStr">
        <is>
          <t>INAT.ANT</t>
        </is>
      </c>
      <c r="P92">
        <f>IFERROR(INDEX('DRAFT 1'!$L:$L,MATCH($B92,'DRAFT 1'!$B:$B,0)),"")</f>
        <v/>
      </c>
      <c r="Q92">
        <f>IFERROR(INDEX('DRAFT 1'!$M:$M,MATCH($B92,'DRAFT 1'!$B:$B,0)),"")</f>
        <v/>
      </c>
      <c r="R92">
        <f>IFERROR(INDEX('DRAFT 1'!$N:$N,MATCH($B92,'DRAFT 1'!$B:$B,0)),"")</f>
        <v/>
      </c>
      <c r="S92">
        <f>IFERROR(INDEX('DRAFT 1'!$O:$O,MATCH($B92,'DRAFT 1'!$B:$B,0)),"")</f>
        <v/>
      </c>
      <c r="T92">
        <f>IFERROR(INDEX('DRAFT 1'!$P:$P,MATCH($B92,'DRAFT 1'!$B:$B,0)),"")</f>
        <v/>
      </c>
      <c r="U92">
        <f>IFERROR(INDEX('DRAFT 1'!$Q:$Q,MATCH($B92,'DRAFT 1'!$B:$B,0)),"")</f>
        <v/>
      </c>
      <c r="V92">
        <f>IFERROR(INDEX('DRAFT 1'!$R:$R,MATCH($B92,'DRAFT 1'!$B:$B,0)),"")</f>
        <v/>
      </c>
      <c r="W92">
        <f>IFERROR(INDEX('DRAFT 1'!$S:$S,MATCH($B92,'DRAFT 1'!$B:$B,0)),"")</f>
        <v/>
      </c>
      <c r="X92">
        <f>IFERROR(INDEX('DRAFT 1'!$T:$T,MATCH($B92,'DRAFT 1'!$B:$B,0)),"")</f>
        <v/>
      </c>
      <c r="Z92">
        <f>IFERROR(INDEX('DRAFT 1'!$U:$U,MATCH($B92,'DRAFT 1'!$B:$B,0)),"")</f>
        <v/>
      </c>
      <c r="AA92">
        <f>IFERROR(INDEX('DRAFT 1'!$V:$V,MATCH($B92,'DRAFT 1'!$B:$B,0)),"")</f>
        <v/>
      </c>
      <c r="AB92">
        <f>IFERROR(INDEX('DRAFT 1'!$W:$W,MATCH($B92,'DRAFT 1'!$B:$B,0)),"")</f>
        <v/>
      </c>
      <c r="AC92">
        <f>IFERROR(INDEX('DRAFT 1'!$X:$X,MATCH($B92,'DRAFT 1'!$B:$B,0)),"")</f>
        <v/>
      </c>
      <c r="AD92">
        <f>IFERROR(INDEX('DRAFT 1'!$Y:$Y,MATCH($B92,'DRAFT 1'!$B:$B,0)),"")</f>
        <v/>
      </c>
      <c r="AE92">
        <f>IFERROR(INDEX('DRAFT 1'!$Z:$Z,MATCH($B92,'DRAFT 1'!$B:$B,0)),"")</f>
        <v/>
      </c>
      <c r="AF92">
        <f>IFERROR(INDEX('DRAFT 1'!$AA:$AA,MATCH($B92,'DRAFT 1'!$B:$B,0)),"")</f>
        <v/>
      </c>
      <c r="AG92">
        <f>IFERROR(INDEX('DRAFT 1'!$AB:$AB,MATCH($B92,'DRAFT 1'!$B:$B,0)),"")</f>
        <v/>
      </c>
      <c r="AH92">
        <f>IFERROR(INDEX('DRAFT 1'!$AC:$AC,MATCH($B92,'DRAFT 1'!$B:$B,0)),"")</f>
        <v/>
      </c>
      <c r="AI92">
        <f>IFERROR(INDEX('DRAFT 1'!$AD:$AD,MATCH($B92,'DRAFT 1'!$B:$B,0)),"")</f>
        <v/>
      </c>
      <c r="AJ92">
        <f>IFERROR(INDEX('DRAFT 1'!$AE:$AE,MATCH($B92,'DRAFT 1'!$B:$B,0)),"")</f>
        <v/>
      </c>
      <c r="AK92">
        <f>IFERROR(INDEX('DRAFT 1'!$AG:$AG,MATCH($B92,'DRAFT 1'!$B:$B,0)),"")</f>
        <v/>
      </c>
      <c r="AL92">
        <f>IFERROR(INDEX('DRAFT 1'!$AH:$AH,MATCH($B92,'DRAFT 1'!$B:$B,0)),"")</f>
        <v/>
      </c>
      <c r="AM92">
        <f>IFERROR(INDEX('DRAFT 1'!$AI:$AI,MATCH($B92,'DRAFT 1'!$B:$B,0)),"")</f>
        <v/>
      </c>
      <c r="AN92">
        <f>IFERROR(INDEX('DRAFT 1'!$AJ:$AJ,MATCH($B92,'DRAFT 1'!$B:$B,0)),"")</f>
        <v/>
      </c>
      <c r="AO92">
        <f>IFERROR(Y92/AN92,0)</f>
        <v/>
      </c>
      <c r="AP92">
        <f>IFERROR(INDEX('DRAFT 1'!$AK:$AK,MATCH($B92,'DRAFT 1'!$B:$B,0)),"")</f>
        <v/>
      </c>
      <c r="AR92" t="inlineStr">
        <is>
          <t>RECUPERAÇÃO</t>
        </is>
      </c>
      <c r="AS92">
        <f>IFERROR(LOOKUP(2,1/('DRAFT 2'!$D:$D=$B92),'DRAFT 2'!$T:$T),"")</f>
        <v/>
      </c>
      <c r="AT92">
        <f>IFERROR(LOOKUP(2,1/('DRAFT 2'!$D:$D=$B92),'DRAFT 2'!$A:$A),"")</f>
        <v/>
      </c>
      <c r="AU92">
        <f>IFERROR(LOOKUP(2,1/('DRAFT 2'!$D:$D=$B92),'DRAFT 2'!$R:$R),"")</f>
        <v/>
      </c>
      <c r="AV92">
        <f>IFERROR(LOOKUP(2,1/('DRAFT 2'!$D:$D=$B92),'DRAFT 2'!$S:$S),"")</f>
        <v/>
      </c>
      <c r="AW92" t="inlineStr">
        <is>
          <t>FIDELIZADO</t>
        </is>
      </c>
      <c r="AX92">
        <f>IFERROR(LOOKUP(2,1/('DRAFT 2'!$D:$D=$B92),'DRAFT 2'!$M:$M),"")</f>
        <v/>
      </c>
      <c r="AY92">
        <f>IFERROR(LOOKUP(2,1/('DRAFT 2'!$D:$D=$B92),'DRAFT 2'!$K:$K),"")</f>
        <v/>
      </c>
      <c r="BG92">
        <f>IFERROR(LOOKUP(2,1/('DRAFT 2'!$D:$D=$B92),'DRAFT 2'!$U:$U),"")</f>
        <v/>
      </c>
      <c r="BH92">
        <f>IFERROR(LOOKUP(2,1/('DRAFT 2'!$D:$D=$B92),'DRAFT 2'!$V:$V),"")</f>
        <v/>
      </c>
      <c r="CE92">
        <f>IFERROR(AJ92,0)</f>
        <v/>
      </c>
      <c r="CF92">
        <f>IFERROR(LOOKUP(2,1/('DRAFT 2'!$D:$D=$B92)*('DRAFT 2'!$A:$A&gt;=DATE(2026,1,1))*('DRAFT 2'!$A:$A&lt;DATE(2026,IF(1=12,1+1,1+1),1)),'DRAFT 2'!$A:$A),"")</f>
        <v/>
      </c>
      <c r="CG92">
        <f>COUNTIFS('DRAFT 2'!$D:$D,$B92,'DRAFT 2'!$A:$A,"&gt;="&amp;DATE(2026,1,1),'DRAFT 2'!$A:$A,"&lt;="&amp;DATE(2026,1,7))</f>
        <v/>
      </c>
      <c r="CH92">
        <f>COUNTIFS('DRAFT 2'!$D:$D,$B92,'DRAFT 2'!$A:$A,"&gt;="&amp;DATE(2026,1,8),'DRAFT 2'!$A:$A,"&lt;="&amp;DATE(2026,1,14))</f>
        <v/>
      </c>
      <c r="CI92">
        <f>COUNTIFS('DRAFT 2'!$D:$D,$B92,'DRAFT 2'!$A:$A,"&gt;="&amp;DATE(2026,1,15),'DRAFT 2'!$A:$A,"&lt;="&amp;DATE(2026,1,21))</f>
        <v/>
      </c>
      <c r="CJ92">
        <f>COUNTIFS('DRAFT 2'!$D:$D,$B92,'DRAFT 2'!$A:$A,"&gt;="&amp;DATE(2026,1,22),'DRAFT 2'!$A:$A,"&lt;"&amp;DATE(2026,IF(1=12,1+1,1+1),1))</f>
        <v/>
      </c>
      <c r="CK92">
        <f>SUM(CG92:CJ92)</f>
        <v/>
      </c>
      <c r="CT92" t="n">
        <v>0</v>
      </c>
      <c r="CU92">
        <f>IFERROR(LOOKUP(2,1/('DRAFT 2'!$D:$D=$B92)*('DRAFT 2'!$A:$A&gt;=DATE(2026,2,1))*('DRAFT 2'!$A:$A&lt;DATE(2026,IF(2=12,2+1,2+1),1)),'DRAFT 2'!$A:$A),"")</f>
        <v/>
      </c>
      <c r="CV92">
        <f>COUNTIFS('DRAFT 2'!$D:$D,$B92,'DRAFT 2'!$A:$A,"&gt;="&amp;DATE(2026,2,1),'DRAFT 2'!$A:$A,"&lt;="&amp;DATE(2026,2,7))</f>
        <v/>
      </c>
      <c r="CW92">
        <f>COUNTIFS('DRAFT 2'!$D:$D,$B92,'DRAFT 2'!$A:$A,"&gt;="&amp;DATE(2026,2,8),'DRAFT 2'!$A:$A,"&lt;="&amp;DATE(2026,2,14))</f>
        <v/>
      </c>
      <c r="CX92">
        <f>COUNTIFS('DRAFT 2'!$D:$D,$B92,'DRAFT 2'!$A:$A,"&gt;="&amp;DATE(2026,2,15),'DRAFT 2'!$A:$A,"&lt;="&amp;DATE(2026,2,21))</f>
        <v/>
      </c>
      <c r="CY92">
        <f>COUNTIFS('DRAFT 2'!$D:$D,$B92,'DRAFT 2'!$A:$A,"&gt;="&amp;DATE(2026,2,22),'DRAFT 2'!$A:$A,"&lt;"&amp;DATE(2026,IF(2=12,2+1,2+1),1))</f>
        <v/>
      </c>
      <c r="CZ92">
        <f>SUM(CV92:CY92)</f>
        <v/>
      </c>
      <c r="DJ92">
        <f>IFERROR(LOOKUP(2,1/('DRAFT 2'!$D:$D=$B92)*('DRAFT 2'!$A:$A&gt;=DATE(2026,3,1))*('DRAFT 2'!$A:$A&lt;DATE(2026,IF(3=12,3+1,3+1),1)),'DRAFT 2'!$A:$A),"")</f>
        <v/>
      </c>
      <c r="DK92">
        <f>COUNTIFS('DRAFT 2'!$D:$D,$B92,'DRAFT 2'!$A:$A,"&gt;="&amp;DATE(2026,3,1),'DRAFT 2'!$A:$A,"&lt;="&amp;DATE(2026,3,7))</f>
        <v/>
      </c>
      <c r="DL92">
        <f>COUNTIFS('DRAFT 2'!$D:$D,$B92,'DRAFT 2'!$A:$A,"&gt;="&amp;DATE(2026,3,8),'DRAFT 2'!$A:$A,"&lt;="&amp;DATE(2026,3,14))</f>
        <v/>
      </c>
      <c r="DM92">
        <f>COUNTIFS('DRAFT 2'!$D:$D,$B92,'DRAFT 2'!$A:$A,"&gt;="&amp;DATE(2026,3,15),'DRAFT 2'!$A:$A,"&lt;="&amp;DATE(2026,3,21))</f>
        <v/>
      </c>
      <c r="DN92">
        <f>COUNTIFS('DRAFT 2'!$D:$D,$B92,'DRAFT 2'!$A:$A,"&gt;="&amp;DATE(2026,3,22),'DRAFT 2'!$A:$A,"&lt;"&amp;DATE(2026,IF(3=12,3+1,3+1),1))</f>
        <v/>
      </c>
      <c r="DO92">
        <f>SUM(DK92:DN92)</f>
        <v/>
      </c>
      <c r="DZ92">
        <f>IFERROR(LOOKUP(2,1/('DRAFT 2'!$D:$D=$B92)*('DRAFT 2'!$A:$A&gt;=DATE(2026,4,1))*('DRAFT 2'!$A:$A&lt;DATE(2026,IF(4=12,4+1,4+1),1)),'DRAFT 2'!$A:$A),"")</f>
        <v/>
      </c>
      <c r="EA92">
        <f>COUNTIFS('DRAFT 2'!$D:$D,$B92,'DRAFT 2'!$A:$A,"&gt;="&amp;DATE(2026,4,1),'DRAFT 2'!$A:$A,"&lt;="&amp;DATE(2026,4,7))</f>
        <v/>
      </c>
      <c r="EB92">
        <f>COUNTIFS('DRAFT 2'!$D:$D,$B92,'DRAFT 2'!$A:$A,"&gt;="&amp;DATE(2026,4,8),'DRAFT 2'!$A:$A,"&lt;="&amp;DATE(2026,4,14))</f>
        <v/>
      </c>
      <c r="EC92">
        <f>COUNTIFS('DRAFT 2'!$D:$D,$B92,'DRAFT 2'!$A:$A,"&gt;="&amp;DATE(2026,4,15),'DRAFT 2'!$A:$A,"&lt;="&amp;DATE(2026,4,21))</f>
        <v/>
      </c>
      <c r="ED92">
        <f>COUNTIFS('DRAFT 2'!$D:$D,$B92,'DRAFT 2'!$A:$A,"&gt;="&amp;DATE(2026,4,22),'DRAFT 2'!$A:$A,"&lt;"&amp;DATE(2026,IF(4=12,4+1,4+1),1))</f>
        <v/>
      </c>
      <c r="EE92">
        <f>SUM(EA92:ED92)</f>
        <v/>
      </c>
      <c r="EO92">
        <f>IFERROR(LOOKUP(2,1/('DRAFT 2'!$D:$D=$B92)*('DRAFT 2'!$A:$A&gt;=DATE(2026,5,1))*('DRAFT 2'!$A:$A&lt;DATE(2026,IF(5=12,5+1,5+1),1)),'DRAFT 2'!$A:$A),"")</f>
        <v/>
      </c>
      <c r="EP92">
        <f>COUNTIFS('DRAFT 2'!$D:$D,$B92,'DRAFT 2'!$A:$A,"&gt;="&amp;DATE(2026,5,1),'DRAFT 2'!$A:$A,"&lt;="&amp;DATE(2026,5,7))</f>
        <v/>
      </c>
      <c r="EQ92">
        <f>COUNTIFS('DRAFT 2'!$D:$D,$B92,'DRAFT 2'!$A:$A,"&gt;="&amp;DATE(2026,5,8),'DRAFT 2'!$A:$A,"&lt;="&amp;DATE(2026,5,14))</f>
        <v/>
      </c>
      <c r="ER92">
        <f>COUNTIFS('DRAFT 2'!$D:$D,$B92,'DRAFT 2'!$A:$A,"&gt;="&amp;DATE(2026,5,15),'DRAFT 2'!$A:$A,"&lt;="&amp;DATE(2026,5,21))</f>
        <v/>
      </c>
      <c r="ES92">
        <f>COUNTIFS('DRAFT 2'!$D:$D,$B92,'DRAFT 2'!$A:$A,"&gt;="&amp;DATE(2026,5,22),'DRAFT 2'!$A:$A,"&lt;"&amp;DATE(2026,IF(5=12,5+1,5+1),1))</f>
        <v/>
      </c>
      <c r="ET92">
        <f>SUM(EP92:ES92)</f>
        <v/>
      </c>
      <c r="FD92">
        <f>IFERROR(LOOKUP(2,1/('DRAFT 2'!$D:$D=$B92)*('DRAFT 2'!$A:$A&gt;=DATE(2026,6,1))*('DRAFT 2'!$A:$A&lt;DATE(2026,IF(6=12,6+1,6+1),1)),'DRAFT 2'!$A:$A),"")</f>
        <v/>
      </c>
      <c r="FE92">
        <f>COUNTIFS('DRAFT 2'!$D:$D,$B92,'DRAFT 2'!$A:$A,"&gt;="&amp;DATE(2026,6,1),'DRAFT 2'!$A:$A,"&lt;="&amp;DATE(2026,6,7))</f>
        <v/>
      </c>
      <c r="FF92">
        <f>COUNTIFS('DRAFT 2'!$D:$D,$B92,'DRAFT 2'!$A:$A,"&gt;="&amp;DATE(2026,6,8),'DRAFT 2'!$A:$A,"&lt;="&amp;DATE(2026,6,14))</f>
        <v/>
      </c>
      <c r="FG92">
        <f>COUNTIFS('DRAFT 2'!$D:$D,$B92,'DRAFT 2'!$A:$A,"&gt;="&amp;DATE(2026,6,15),'DRAFT 2'!$A:$A,"&lt;="&amp;DATE(2026,6,21))</f>
        <v/>
      </c>
      <c r="FH92">
        <f>COUNTIFS('DRAFT 2'!$D:$D,$B92,'DRAFT 2'!$A:$A,"&gt;="&amp;DATE(2026,6,22),'DRAFT 2'!$A:$A,"&lt;"&amp;DATE(2026,IF(6=12,6+1,6+1),1))</f>
        <v/>
      </c>
      <c r="FI92">
        <f>SUM(FE92:FH92)</f>
        <v/>
      </c>
      <c r="FT92">
        <f>IFERROR(LOOKUP(2,1/('DRAFT 2'!$D:$D=$B92)*('DRAFT 2'!$A:$A&gt;=DATE(2026,7,1))*('DRAFT 2'!$A:$A&lt;DATE(2026,IF(7=12,7+1,7+1),1)),'DRAFT 2'!$A:$A),"")</f>
        <v/>
      </c>
      <c r="FU92">
        <f>COUNTIFS('DRAFT 2'!$D:$D,$B92,'DRAFT 2'!$A:$A,"&gt;="&amp;DATE(2026,7,1),'DRAFT 2'!$A:$A,"&lt;="&amp;DATE(2026,7,7))</f>
        <v/>
      </c>
      <c r="FV92">
        <f>COUNTIFS('DRAFT 2'!$D:$D,$B92,'DRAFT 2'!$A:$A,"&gt;="&amp;DATE(2026,7,8),'DRAFT 2'!$A:$A,"&lt;="&amp;DATE(2026,7,14))</f>
        <v/>
      </c>
      <c r="FW92">
        <f>COUNTIFS('DRAFT 2'!$D:$D,$B92,'DRAFT 2'!$A:$A,"&gt;="&amp;DATE(2026,7,15),'DRAFT 2'!$A:$A,"&lt;="&amp;DATE(2026,7,21))</f>
        <v/>
      </c>
      <c r="FX92">
        <f>COUNTIFS('DRAFT 2'!$D:$D,$B92,'DRAFT 2'!$A:$A,"&gt;="&amp;DATE(2026,7,22),'DRAFT 2'!$A:$A,"&lt;"&amp;DATE(2026,IF(7=12,7+1,7+1),1))</f>
        <v/>
      </c>
      <c r="FY92">
        <f>SUM(FU92:FX92)</f>
        <v/>
      </c>
      <c r="GI92">
        <f>IFERROR(LOOKUP(2,1/('DRAFT 2'!$D:$D=$B92)*('DRAFT 2'!$A:$A&gt;=DATE(2026,8,1))*('DRAFT 2'!$A:$A&lt;DATE(2026,IF(8=12,8+1,8+1),1)),'DRAFT 2'!$A:$A),"")</f>
        <v/>
      </c>
      <c r="GJ92">
        <f>COUNTIFS('DRAFT 2'!$D:$D,$B92,'DRAFT 2'!$A:$A,"&gt;="&amp;DATE(2026,8,1),'DRAFT 2'!$A:$A,"&lt;="&amp;DATE(2026,8,7))</f>
        <v/>
      </c>
      <c r="GK92">
        <f>COUNTIFS('DRAFT 2'!$D:$D,$B92,'DRAFT 2'!$A:$A,"&gt;="&amp;DATE(2026,8,8),'DRAFT 2'!$A:$A,"&lt;="&amp;DATE(2026,8,14))</f>
        <v/>
      </c>
      <c r="GL92">
        <f>COUNTIFS('DRAFT 2'!$D:$D,$B92,'DRAFT 2'!$A:$A,"&gt;="&amp;DATE(2026,8,15),'DRAFT 2'!$A:$A,"&lt;="&amp;DATE(2026,8,21))</f>
        <v/>
      </c>
      <c r="GM92">
        <f>COUNTIFS('DRAFT 2'!$D:$D,$B92,'DRAFT 2'!$A:$A,"&gt;="&amp;DATE(2026,8,22),'DRAFT 2'!$A:$A,"&lt;"&amp;DATE(2026,IF(8=12,8+1,8+1),1))</f>
        <v/>
      </c>
      <c r="GN92">
        <f>SUM(GJ92:GM92)</f>
        <v/>
      </c>
      <c r="GX92">
        <f>IFERROR(LOOKUP(2,1/('DRAFT 2'!$D:$D=$B92)*('DRAFT 2'!$A:$A&gt;=DATE(2026,9,1))*('DRAFT 2'!$A:$A&lt;DATE(2026,IF(9=12,9+1,9+1),1)),'DRAFT 2'!$A:$A),"")</f>
        <v/>
      </c>
      <c r="GY92">
        <f>COUNTIFS('DRAFT 2'!$D:$D,$B92,'DRAFT 2'!$A:$A,"&gt;="&amp;DATE(2026,9,1),'DRAFT 2'!$A:$A,"&lt;="&amp;DATE(2026,9,7))</f>
        <v/>
      </c>
      <c r="GZ92">
        <f>COUNTIFS('DRAFT 2'!$D:$D,$B92,'DRAFT 2'!$A:$A,"&gt;="&amp;DATE(2026,9,8),'DRAFT 2'!$A:$A,"&lt;="&amp;DATE(2026,9,14))</f>
        <v/>
      </c>
      <c r="HA92">
        <f>COUNTIFS('DRAFT 2'!$D:$D,$B92,'DRAFT 2'!$A:$A,"&gt;="&amp;DATE(2026,9,15),'DRAFT 2'!$A:$A,"&lt;="&amp;DATE(2026,9,21))</f>
        <v/>
      </c>
      <c r="HB92">
        <f>COUNTIFS('DRAFT 2'!$D:$D,$B92,'DRAFT 2'!$A:$A,"&gt;="&amp;DATE(2026,9,22),'DRAFT 2'!$A:$A,"&lt;"&amp;DATE(2026,IF(9=12,9+1,9+1),1))</f>
        <v/>
      </c>
      <c r="HC92">
        <f>SUM(GY92:HB92)</f>
        <v/>
      </c>
      <c r="HN92">
        <f>IFERROR(LOOKUP(2,1/('DRAFT 2'!$D:$D=$B92)*('DRAFT 2'!$A:$A&gt;=DATE(2026,10,1))*('DRAFT 2'!$A:$A&lt;DATE(2026,IF(10=12,10+1,10+1),1)),'DRAFT 2'!$A:$A),"")</f>
        <v/>
      </c>
      <c r="HO92">
        <f>COUNTIFS('DRAFT 2'!$D:$D,$B92,'DRAFT 2'!$A:$A,"&gt;="&amp;DATE(2026,10,1),'DRAFT 2'!$A:$A,"&lt;="&amp;DATE(2026,10,7))</f>
        <v/>
      </c>
      <c r="HP92">
        <f>COUNTIFS('DRAFT 2'!$D:$D,$B92,'DRAFT 2'!$A:$A,"&gt;="&amp;DATE(2026,10,8),'DRAFT 2'!$A:$A,"&lt;="&amp;DATE(2026,10,14))</f>
        <v/>
      </c>
      <c r="HQ92">
        <f>COUNTIFS('DRAFT 2'!$D:$D,$B92,'DRAFT 2'!$A:$A,"&gt;="&amp;DATE(2026,10,15),'DRAFT 2'!$A:$A,"&lt;="&amp;DATE(2026,10,21))</f>
        <v/>
      </c>
      <c r="HR92">
        <f>COUNTIFS('DRAFT 2'!$D:$D,$B92,'DRAFT 2'!$A:$A,"&gt;="&amp;DATE(2026,10,22),'DRAFT 2'!$A:$A,"&lt;"&amp;DATE(2026,IF(10=12,10+1,10+1),1))</f>
        <v/>
      </c>
      <c r="HS92">
        <f>SUM(HO92:HR92)</f>
        <v/>
      </c>
      <c r="IC92">
        <f>IFERROR(LOOKUP(2,1/('DRAFT 2'!$D:$D=$B92)*('DRAFT 2'!$A:$A&gt;=DATE(2026,11,1))*('DRAFT 2'!$A:$A&lt;DATE(2026,IF(11=12,11+1,11+1),1)),'DRAFT 2'!$A:$A),"")</f>
        <v/>
      </c>
      <c r="ID92">
        <f>COUNTIFS('DRAFT 2'!$D:$D,$B92,'DRAFT 2'!$A:$A,"&gt;="&amp;DATE(2026,11,1),'DRAFT 2'!$A:$A,"&lt;="&amp;DATE(2026,11,7))</f>
        <v/>
      </c>
      <c r="IE92">
        <f>COUNTIFS('DRAFT 2'!$D:$D,$B92,'DRAFT 2'!$A:$A,"&gt;="&amp;DATE(2026,11,8),'DRAFT 2'!$A:$A,"&lt;="&amp;DATE(2026,11,14))</f>
        <v/>
      </c>
      <c r="IF92">
        <f>COUNTIFS('DRAFT 2'!$D:$D,$B92,'DRAFT 2'!$A:$A,"&gt;="&amp;DATE(2026,11,15),'DRAFT 2'!$A:$A,"&lt;="&amp;DATE(2026,11,21))</f>
        <v/>
      </c>
      <c r="IG92">
        <f>COUNTIFS('DRAFT 2'!$D:$D,$B92,'DRAFT 2'!$A:$A,"&gt;="&amp;DATE(2026,11,22),'DRAFT 2'!$A:$A,"&lt;"&amp;DATE(2026,IF(11=12,11+1,11+1),1))</f>
        <v/>
      </c>
      <c r="IH92">
        <f>SUM(ID92:IG92)</f>
        <v/>
      </c>
      <c r="IR92">
        <f>IFERROR(LOOKUP(2,1/('DRAFT 2'!$D:$D=$B92)*('DRAFT 2'!$A:$A&gt;=DATE(2026,12,1))*('DRAFT 2'!$A:$A&lt;DATE(2026,IF(12=12,12+1,12+1),1)),'DRAFT 2'!$A:$A),"")</f>
        <v/>
      </c>
      <c r="IS92">
        <f>COUNTIFS('DRAFT 2'!$D:$D,$B92,'DRAFT 2'!$A:$A,"&gt;="&amp;DATE(2026,12,1),'DRAFT 2'!$A:$A,"&lt;="&amp;DATE(2026,12,7))</f>
        <v/>
      </c>
      <c r="IT92">
        <f>COUNTIFS('DRAFT 2'!$D:$D,$B92,'DRAFT 2'!$A:$A,"&gt;="&amp;DATE(2026,12,8),'DRAFT 2'!$A:$A,"&lt;="&amp;DATE(2026,12,14))</f>
        <v/>
      </c>
      <c r="IU92">
        <f>COUNTIFS('DRAFT 2'!$D:$D,$B92,'DRAFT 2'!$A:$A,"&gt;="&amp;DATE(2026,12,15),'DRAFT 2'!$A:$A,"&lt;="&amp;DATE(2026,12,21))</f>
        <v/>
      </c>
      <c r="IV92">
        <f>COUNTIFS('DRAFT 2'!$D:$D,$B92,'DRAFT 2'!$A:$A,"&gt;="&amp;DATE(2026,12,22),'DRAFT 2'!$A:$A,"&lt;"&amp;DATE(2026,IF(12=12,12+1,12+1),1))</f>
        <v/>
      </c>
      <c r="IW92">
        <f>SUM(IS92:IV92)</f>
        <v/>
      </c>
    </row>
    <row r="93">
      <c r="A93">
        <f>IFERROR(INDEX('DRAFT 1'!$A:$A,MATCH($B93,'DRAFT 1'!$B:$B,0)),"")</f>
        <v/>
      </c>
      <c r="C93">
        <f>IFERROR(INDEX('DRAFT 1'!$C:$C,MATCH($B93,'DRAFT 1'!$B:$B,0)),"")</f>
        <v/>
      </c>
      <c r="D93">
        <f>IFERROR(INDEX('DRAFT 1'!$D:$D,MATCH($B93,'DRAFT 1'!$B:$B,0)),"")</f>
        <v/>
      </c>
      <c r="E93">
        <f>IFERROR(INDEX('DRAFT 1'!$E:$E,MATCH($B93,'DRAFT 1'!$B:$B,0)),"")</f>
        <v/>
      </c>
      <c r="F93">
        <f>IFERROR(INDEX('DRAFT 1'!$F:$F,MATCH($B93,'DRAFT 1'!$B:$B,0)),"")</f>
        <v/>
      </c>
      <c r="G93">
        <f>IFERROR(INDEX('DRAFT 1'!$G:$G,MATCH($B93,'DRAFT 1'!$B:$B,0)),"")</f>
        <v/>
      </c>
      <c r="H93">
        <f>IFERROR(INDEX('DRAFT 1'!$H:$H,MATCH($B93,'DRAFT 1'!$B:$B,0)),"")</f>
        <v/>
      </c>
      <c r="I93" t="inlineStr">
        <is>
          <t>DEMAIS CLIENTES</t>
        </is>
      </c>
      <c r="K93">
        <f>IFERROR(INDEX('DRAFT 1'!$AL:$AL,MATCH($B93,'DRAFT 1'!$B:$B,0)),"")</f>
        <v/>
      </c>
      <c r="L93">
        <f>IFERROR(INDEX('DRAFT 1'!$J:$J,MATCH($B93,'DRAFT 1'!$B:$B,0)),"")</f>
        <v/>
      </c>
      <c r="M93">
        <f>IFERROR(INDEX('DRAFT 1'!$K:$K,MATCH($B93,'DRAFT 1'!$B:$B,0)),"")</f>
        <v/>
      </c>
      <c r="N93" t="inlineStr">
        <is>
          <t>PROSPECT</t>
        </is>
      </c>
      <c r="P93">
        <f>IFERROR(INDEX('DRAFT 1'!$L:$L,MATCH($B93,'DRAFT 1'!$B:$B,0)),"")</f>
        <v/>
      </c>
      <c r="Q93">
        <f>IFERROR(INDEX('DRAFT 1'!$M:$M,MATCH($B93,'DRAFT 1'!$B:$B,0)),"")</f>
        <v/>
      </c>
      <c r="R93">
        <f>IFERROR(INDEX('DRAFT 1'!$N:$N,MATCH($B93,'DRAFT 1'!$B:$B,0)),"")</f>
        <v/>
      </c>
      <c r="S93">
        <f>IFERROR(INDEX('DRAFT 1'!$O:$O,MATCH($B93,'DRAFT 1'!$B:$B,0)),"")</f>
        <v/>
      </c>
      <c r="T93">
        <f>IFERROR(INDEX('DRAFT 1'!$P:$P,MATCH($B93,'DRAFT 1'!$B:$B,0)),"")</f>
        <v/>
      </c>
      <c r="U93">
        <f>IFERROR(INDEX('DRAFT 1'!$Q:$Q,MATCH($B93,'DRAFT 1'!$B:$B,0)),"")</f>
        <v/>
      </c>
      <c r="V93">
        <f>IFERROR(INDEX('DRAFT 1'!$R:$R,MATCH($B93,'DRAFT 1'!$B:$B,0)),"")</f>
        <v/>
      </c>
      <c r="W93">
        <f>IFERROR(INDEX('DRAFT 1'!$S:$S,MATCH($B93,'DRAFT 1'!$B:$B,0)),"")</f>
        <v/>
      </c>
      <c r="X93">
        <f>IFERROR(INDEX('DRAFT 1'!$T:$T,MATCH($B93,'DRAFT 1'!$B:$B,0)),"")</f>
        <v/>
      </c>
      <c r="Z93">
        <f>IFERROR(INDEX('DRAFT 1'!$U:$U,MATCH($B93,'DRAFT 1'!$B:$B,0)),"")</f>
        <v/>
      </c>
      <c r="AA93">
        <f>IFERROR(INDEX('DRAFT 1'!$V:$V,MATCH($B93,'DRAFT 1'!$B:$B,0)),"")</f>
        <v/>
      </c>
      <c r="AB93">
        <f>IFERROR(INDEX('DRAFT 1'!$W:$W,MATCH($B93,'DRAFT 1'!$B:$B,0)),"")</f>
        <v/>
      </c>
      <c r="AC93">
        <f>IFERROR(INDEX('DRAFT 1'!$X:$X,MATCH($B93,'DRAFT 1'!$B:$B,0)),"")</f>
        <v/>
      </c>
      <c r="AD93">
        <f>IFERROR(INDEX('DRAFT 1'!$Y:$Y,MATCH($B93,'DRAFT 1'!$B:$B,0)),"")</f>
        <v/>
      </c>
      <c r="AE93">
        <f>IFERROR(INDEX('DRAFT 1'!$Z:$Z,MATCH($B93,'DRAFT 1'!$B:$B,0)),"")</f>
        <v/>
      </c>
      <c r="AF93">
        <f>IFERROR(INDEX('DRAFT 1'!$AA:$AA,MATCH($B93,'DRAFT 1'!$B:$B,0)),"")</f>
        <v/>
      </c>
      <c r="AG93">
        <f>IFERROR(INDEX('DRAFT 1'!$AB:$AB,MATCH($B93,'DRAFT 1'!$B:$B,0)),"")</f>
        <v/>
      </c>
      <c r="AH93">
        <f>IFERROR(INDEX('DRAFT 1'!$AC:$AC,MATCH($B93,'DRAFT 1'!$B:$B,0)),"")</f>
        <v/>
      </c>
      <c r="AI93">
        <f>IFERROR(INDEX('DRAFT 1'!$AD:$AD,MATCH($B93,'DRAFT 1'!$B:$B,0)),"")</f>
        <v/>
      </c>
      <c r="AJ93">
        <f>IFERROR(INDEX('DRAFT 1'!$AE:$AE,MATCH($B93,'DRAFT 1'!$B:$B,0)),"")</f>
        <v/>
      </c>
      <c r="AK93">
        <f>IFERROR(INDEX('DRAFT 1'!$AG:$AG,MATCH($B93,'DRAFT 1'!$B:$B,0)),"")</f>
        <v/>
      </c>
      <c r="AL93">
        <f>IFERROR(INDEX('DRAFT 1'!$AH:$AH,MATCH($B93,'DRAFT 1'!$B:$B,0)),"")</f>
        <v/>
      </c>
      <c r="AM93">
        <f>IFERROR(INDEX('DRAFT 1'!$AI:$AI,MATCH($B93,'DRAFT 1'!$B:$B,0)),"")</f>
        <v/>
      </c>
      <c r="AN93">
        <f>IFERROR(INDEX('DRAFT 1'!$AJ:$AJ,MATCH($B93,'DRAFT 1'!$B:$B,0)),"")</f>
        <v/>
      </c>
      <c r="AO93">
        <f>IFERROR(Y93/AN93,0)</f>
        <v/>
      </c>
      <c r="AP93">
        <f>IFERROR(INDEX('DRAFT 1'!$AK:$AK,MATCH($B93,'DRAFT 1'!$B:$B,0)),"")</f>
        <v/>
      </c>
      <c r="AR93" t="inlineStr">
        <is>
          <t>PROSPECÇÃO</t>
        </is>
      </c>
      <c r="AS93">
        <f>IFERROR(LOOKUP(2,1/('DRAFT 2'!$D:$D=$B93),'DRAFT 2'!$T:$T),"")</f>
        <v/>
      </c>
      <c r="AT93">
        <f>IFERROR(LOOKUP(2,1/('DRAFT 2'!$D:$D=$B93),'DRAFT 2'!$A:$A),"")</f>
        <v/>
      </c>
      <c r="AU93">
        <f>IFERROR(LOOKUP(2,1/('DRAFT 2'!$D:$D=$B93),'DRAFT 2'!$R:$R),"")</f>
        <v/>
      </c>
      <c r="AV93">
        <f>IFERROR(LOOKUP(2,1/('DRAFT 2'!$D:$D=$B93),'DRAFT 2'!$S:$S),"")</f>
        <v/>
      </c>
      <c r="AW93" t="inlineStr">
        <is>
          <t>PROSPECT</t>
        </is>
      </c>
      <c r="AX93">
        <f>IFERROR(LOOKUP(2,1/('DRAFT 2'!$D:$D=$B93),'DRAFT 2'!$M:$M),"")</f>
        <v/>
      </c>
      <c r="AY93">
        <f>IFERROR(LOOKUP(2,1/('DRAFT 2'!$D:$D=$B93),'DRAFT 2'!$K:$K),"")</f>
        <v/>
      </c>
      <c r="BG93">
        <f>IFERROR(LOOKUP(2,1/('DRAFT 2'!$D:$D=$B93),'DRAFT 2'!$U:$U),"")</f>
        <v/>
      </c>
      <c r="BH93">
        <f>IFERROR(LOOKUP(2,1/('DRAFT 2'!$D:$D=$B93),'DRAFT 2'!$V:$V),"")</f>
        <v/>
      </c>
      <c r="CE93">
        <f>IFERROR(AJ93,0)</f>
        <v/>
      </c>
      <c r="CF93">
        <f>IFERROR(LOOKUP(2,1/('DRAFT 2'!$D:$D=$B93)*('DRAFT 2'!$A:$A&gt;=DATE(2026,1,1))*('DRAFT 2'!$A:$A&lt;DATE(2026,IF(1=12,1+1,1+1),1)),'DRAFT 2'!$A:$A),"")</f>
        <v/>
      </c>
      <c r="CG93">
        <f>COUNTIFS('DRAFT 2'!$D:$D,$B93,'DRAFT 2'!$A:$A,"&gt;="&amp;DATE(2026,1,1),'DRAFT 2'!$A:$A,"&lt;="&amp;DATE(2026,1,7))</f>
        <v/>
      </c>
      <c r="CH93">
        <f>COUNTIFS('DRAFT 2'!$D:$D,$B93,'DRAFT 2'!$A:$A,"&gt;="&amp;DATE(2026,1,8),'DRAFT 2'!$A:$A,"&lt;="&amp;DATE(2026,1,14))</f>
        <v/>
      </c>
      <c r="CI93">
        <f>COUNTIFS('DRAFT 2'!$D:$D,$B93,'DRAFT 2'!$A:$A,"&gt;="&amp;DATE(2026,1,15),'DRAFT 2'!$A:$A,"&lt;="&amp;DATE(2026,1,21))</f>
        <v/>
      </c>
      <c r="CJ93">
        <f>COUNTIFS('DRAFT 2'!$D:$D,$B93,'DRAFT 2'!$A:$A,"&gt;="&amp;DATE(2026,1,22),'DRAFT 2'!$A:$A,"&lt;"&amp;DATE(2026,IF(1=12,1+1,1+1),1))</f>
        <v/>
      </c>
      <c r="CK93">
        <f>SUM(CG93:CJ93)</f>
        <v/>
      </c>
      <c r="CT93" t="n">
        <v>0</v>
      </c>
      <c r="CU93">
        <f>IFERROR(LOOKUP(2,1/('DRAFT 2'!$D:$D=$B93)*('DRAFT 2'!$A:$A&gt;=DATE(2026,2,1))*('DRAFT 2'!$A:$A&lt;DATE(2026,IF(2=12,2+1,2+1),1)),'DRAFT 2'!$A:$A),"")</f>
        <v/>
      </c>
      <c r="CV93">
        <f>COUNTIFS('DRAFT 2'!$D:$D,$B93,'DRAFT 2'!$A:$A,"&gt;="&amp;DATE(2026,2,1),'DRAFT 2'!$A:$A,"&lt;="&amp;DATE(2026,2,7))</f>
        <v/>
      </c>
      <c r="CW93">
        <f>COUNTIFS('DRAFT 2'!$D:$D,$B93,'DRAFT 2'!$A:$A,"&gt;="&amp;DATE(2026,2,8),'DRAFT 2'!$A:$A,"&lt;="&amp;DATE(2026,2,14))</f>
        <v/>
      </c>
      <c r="CX93">
        <f>COUNTIFS('DRAFT 2'!$D:$D,$B93,'DRAFT 2'!$A:$A,"&gt;="&amp;DATE(2026,2,15),'DRAFT 2'!$A:$A,"&lt;="&amp;DATE(2026,2,21))</f>
        <v/>
      </c>
      <c r="CY93">
        <f>COUNTIFS('DRAFT 2'!$D:$D,$B93,'DRAFT 2'!$A:$A,"&gt;="&amp;DATE(2026,2,22),'DRAFT 2'!$A:$A,"&lt;"&amp;DATE(2026,IF(2=12,2+1,2+1),1))</f>
        <v/>
      </c>
      <c r="CZ93">
        <f>SUM(CV93:CY93)</f>
        <v/>
      </c>
      <c r="DJ93">
        <f>IFERROR(LOOKUP(2,1/('DRAFT 2'!$D:$D=$B93)*('DRAFT 2'!$A:$A&gt;=DATE(2026,3,1))*('DRAFT 2'!$A:$A&lt;DATE(2026,IF(3=12,3+1,3+1),1)),'DRAFT 2'!$A:$A),"")</f>
        <v/>
      </c>
      <c r="DK93">
        <f>COUNTIFS('DRAFT 2'!$D:$D,$B93,'DRAFT 2'!$A:$A,"&gt;="&amp;DATE(2026,3,1),'DRAFT 2'!$A:$A,"&lt;="&amp;DATE(2026,3,7))</f>
        <v/>
      </c>
      <c r="DL93">
        <f>COUNTIFS('DRAFT 2'!$D:$D,$B93,'DRAFT 2'!$A:$A,"&gt;="&amp;DATE(2026,3,8),'DRAFT 2'!$A:$A,"&lt;="&amp;DATE(2026,3,14))</f>
        <v/>
      </c>
      <c r="DM93">
        <f>COUNTIFS('DRAFT 2'!$D:$D,$B93,'DRAFT 2'!$A:$A,"&gt;="&amp;DATE(2026,3,15),'DRAFT 2'!$A:$A,"&lt;="&amp;DATE(2026,3,21))</f>
        <v/>
      </c>
      <c r="DN93">
        <f>COUNTIFS('DRAFT 2'!$D:$D,$B93,'DRAFT 2'!$A:$A,"&gt;="&amp;DATE(2026,3,22),'DRAFT 2'!$A:$A,"&lt;"&amp;DATE(2026,IF(3=12,3+1,3+1),1))</f>
        <v/>
      </c>
      <c r="DO93">
        <f>SUM(DK93:DN93)</f>
        <v/>
      </c>
      <c r="DZ93">
        <f>IFERROR(LOOKUP(2,1/('DRAFT 2'!$D:$D=$B93)*('DRAFT 2'!$A:$A&gt;=DATE(2026,4,1))*('DRAFT 2'!$A:$A&lt;DATE(2026,IF(4=12,4+1,4+1),1)),'DRAFT 2'!$A:$A),"")</f>
        <v/>
      </c>
      <c r="EA93">
        <f>COUNTIFS('DRAFT 2'!$D:$D,$B93,'DRAFT 2'!$A:$A,"&gt;="&amp;DATE(2026,4,1),'DRAFT 2'!$A:$A,"&lt;="&amp;DATE(2026,4,7))</f>
        <v/>
      </c>
      <c r="EB93">
        <f>COUNTIFS('DRAFT 2'!$D:$D,$B93,'DRAFT 2'!$A:$A,"&gt;="&amp;DATE(2026,4,8),'DRAFT 2'!$A:$A,"&lt;="&amp;DATE(2026,4,14))</f>
        <v/>
      </c>
      <c r="EC93">
        <f>COUNTIFS('DRAFT 2'!$D:$D,$B93,'DRAFT 2'!$A:$A,"&gt;="&amp;DATE(2026,4,15),'DRAFT 2'!$A:$A,"&lt;="&amp;DATE(2026,4,21))</f>
        <v/>
      </c>
      <c r="ED93">
        <f>COUNTIFS('DRAFT 2'!$D:$D,$B93,'DRAFT 2'!$A:$A,"&gt;="&amp;DATE(2026,4,22),'DRAFT 2'!$A:$A,"&lt;"&amp;DATE(2026,IF(4=12,4+1,4+1),1))</f>
        <v/>
      </c>
      <c r="EE93">
        <f>SUM(EA93:ED93)</f>
        <v/>
      </c>
      <c r="EO93">
        <f>IFERROR(LOOKUP(2,1/('DRAFT 2'!$D:$D=$B93)*('DRAFT 2'!$A:$A&gt;=DATE(2026,5,1))*('DRAFT 2'!$A:$A&lt;DATE(2026,IF(5=12,5+1,5+1),1)),'DRAFT 2'!$A:$A),"")</f>
        <v/>
      </c>
      <c r="EP93">
        <f>COUNTIFS('DRAFT 2'!$D:$D,$B93,'DRAFT 2'!$A:$A,"&gt;="&amp;DATE(2026,5,1),'DRAFT 2'!$A:$A,"&lt;="&amp;DATE(2026,5,7))</f>
        <v/>
      </c>
      <c r="EQ93">
        <f>COUNTIFS('DRAFT 2'!$D:$D,$B93,'DRAFT 2'!$A:$A,"&gt;="&amp;DATE(2026,5,8),'DRAFT 2'!$A:$A,"&lt;="&amp;DATE(2026,5,14))</f>
        <v/>
      </c>
      <c r="ER93">
        <f>COUNTIFS('DRAFT 2'!$D:$D,$B93,'DRAFT 2'!$A:$A,"&gt;="&amp;DATE(2026,5,15),'DRAFT 2'!$A:$A,"&lt;="&amp;DATE(2026,5,21))</f>
        <v/>
      </c>
      <c r="ES93">
        <f>COUNTIFS('DRAFT 2'!$D:$D,$B93,'DRAFT 2'!$A:$A,"&gt;="&amp;DATE(2026,5,22),'DRAFT 2'!$A:$A,"&lt;"&amp;DATE(2026,IF(5=12,5+1,5+1),1))</f>
        <v/>
      </c>
      <c r="ET93">
        <f>SUM(EP93:ES93)</f>
        <v/>
      </c>
      <c r="FD93">
        <f>IFERROR(LOOKUP(2,1/('DRAFT 2'!$D:$D=$B93)*('DRAFT 2'!$A:$A&gt;=DATE(2026,6,1))*('DRAFT 2'!$A:$A&lt;DATE(2026,IF(6=12,6+1,6+1),1)),'DRAFT 2'!$A:$A),"")</f>
        <v/>
      </c>
      <c r="FE93">
        <f>COUNTIFS('DRAFT 2'!$D:$D,$B93,'DRAFT 2'!$A:$A,"&gt;="&amp;DATE(2026,6,1),'DRAFT 2'!$A:$A,"&lt;="&amp;DATE(2026,6,7))</f>
        <v/>
      </c>
      <c r="FF93">
        <f>COUNTIFS('DRAFT 2'!$D:$D,$B93,'DRAFT 2'!$A:$A,"&gt;="&amp;DATE(2026,6,8),'DRAFT 2'!$A:$A,"&lt;="&amp;DATE(2026,6,14))</f>
        <v/>
      </c>
      <c r="FG93">
        <f>COUNTIFS('DRAFT 2'!$D:$D,$B93,'DRAFT 2'!$A:$A,"&gt;="&amp;DATE(2026,6,15),'DRAFT 2'!$A:$A,"&lt;="&amp;DATE(2026,6,21))</f>
        <v/>
      </c>
      <c r="FH93">
        <f>COUNTIFS('DRAFT 2'!$D:$D,$B93,'DRAFT 2'!$A:$A,"&gt;="&amp;DATE(2026,6,22),'DRAFT 2'!$A:$A,"&lt;"&amp;DATE(2026,IF(6=12,6+1,6+1),1))</f>
        <v/>
      </c>
      <c r="FI93">
        <f>SUM(FE93:FH93)</f>
        <v/>
      </c>
      <c r="FT93">
        <f>IFERROR(LOOKUP(2,1/('DRAFT 2'!$D:$D=$B93)*('DRAFT 2'!$A:$A&gt;=DATE(2026,7,1))*('DRAFT 2'!$A:$A&lt;DATE(2026,IF(7=12,7+1,7+1),1)),'DRAFT 2'!$A:$A),"")</f>
        <v/>
      </c>
      <c r="FU93">
        <f>COUNTIFS('DRAFT 2'!$D:$D,$B93,'DRAFT 2'!$A:$A,"&gt;="&amp;DATE(2026,7,1),'DRAFT 2'!$A:$A,"&lt;="&amp;DATE(2026,7,7))</f>
        <v/>
      </c>
      <c r="FV93">
        <f>COUNTIFS('DRAFT 2'!$D:$D,$B93,'DRAFT 2'!$A:$A,"&gt;="&amp;DATE(2026,7,8),'DRAFT 2'!$A:$A,"&lt;="&amp;DATE(2026,7,14))</f>
        <v/>
      </c>
      <c r="FW93">
        <f>COUNTIFS('DRAFT 2'!$D:$D,$B93,'DRAFT 2'!$A:$A,"&gt;="&amp;DATE(2026,7,15),'DRAFT 2'!$A:$A,"&lt;="&amp;DATE(2026,7,21))</f>
        <v/>
      </c>
      <c r="FX93">
        <f>COUNTIFS('DRAFT 2'!$D:$D,$B93,'DRAFT 2'!$A:$A,"&gt;="&amp;DATE(2026,7,22),'DRAFT 2'!$A:$A,"&lt;"&amp;DATE(2026,IF(7=12,7+1,7+1),1))</f>
        <v/>
      </c>
      <c r="FY93">
        <f>SUM(FU93:FX93)</f>
        <v/>
      </c>
      <c r="GI93">
        <f>IFERROR(LOOKUP(2,1/('DRAFT 2'!$D:$D=$B93)*('DRAFT 2'!$A:$A&gt;=DATE(2026,8,1))*('DRAFT 2'!$A:$A&lt;DATE(2026,IF(8=12,8+1,8+1),1)),'DRAFT 2'!$A:$A),"")</f>
        <v/>
      </c>
      <c r="GJ93">
        <f>COUNTIFS('DRAFT 2'!$D:$D,$B93,'DRAFT 2'!$A:$A,"&gt;="&amp;DATE(2026,8,1),'DRAFT 2'!$A:$A,"&lt;="&amp;DATE(2026,8,7))</f>
        <v/>
      </c>
      <c r="GK93">
        <f>COUNTIFS('DRAFT 2'!$D:$D,$B93,'DRAFT 2'!$A:$A,"&gt;="&amp;DATE(2026,8,8),'DRAFT 2'!$A:$A,"&lt;="&amp;DATE(2026,8,14))</f>
        <v/>
      </c>
      <c r="GL93">
        <f>COUNTIFS('DRAFT 2'!$D:$D,$B93,'DRAFT 2'!$A:$A,"&gt;="&amp;DATE(2026,8,15),'DRAFT 2'!$A:$A,"&lt;="&amp;DATE(2026,8,21))</f>
        <v/>
      </c>
      <c r="GM93">
        <f>COUNTIFS('DRAFT 2'!$D:$D,$B93,'DRAFT 2'!$A:$A,"&gt;="&amp;DATE(2026,8,22),'DRAFT 2'!$A:$A,"&lt;"&amp;DATE(2026,IF(8=12,8+1,8+1),1))</f>
        <v/>
      </c>
      <c r="GN93">
        <f>SUM(GJ93:GM93)</f>
        <v/>
      </c>
      <c r="GX93">
        <f>IFERROR(LOOKUP(2,1/('DRAFT 2'!$D:$D=$B93)*('DRAFT 2'!$A:$A&gt;=DATE(2026,9,1))*('DRAFT 2'!$A:$A&lt;DATE(2026,IF(9=12,9+1,9+1),1)),'DRAFT 2'!$A:$A),"")</f>
        <v/>
      </c>
      <c r="GY93">
        <f>COUNTIFS('DRAFT 2'!$D:$D,$B93,'DRAFT 2'!$A:$A,"&gt;="&amp;DATE(2026,9,1),'DRAFT 2'!$A:$A,"&lt;="&amp;DATE(2026,9,7))</f>
        <v/>
      </c>
      <c r="GZ93">
        <f>COUNTIFS('DRAFT 2'!$D:$D,$B93,'DRAFT 2'!$A:$A,"&gt;="&amp;DATE(2026,9,8),'DRAFT 2'!$A:$A,"&lt;="&amp;DATE(2026,9,14))</f>
        <v/>
      </c>
      <c r="HA93">
        <f>COUNTIFS('DRAFT 2'!$D:$D,$B93,'DRAFT 2'!$A:$A,"&gt;="&amp;DATE(2026,9,15),'DRAFT 2'!$A:$A,"&lt;="&amp;DATE(2026,9,21))</f>
        <v/>
      </c>
      <c r="HB93">
        <f>COUNTIFS('DRAFT 2'!$D:$D,$B93,'DRAFT 2'!$A:$A,"&gt;="&amp;DATE(2026,9,22),'DRAFT 2'!$A:$A,"&lt;"&amp;DATE(2026,IF(9=12,9+1,9+1),1))</f>
        <v/>
      </c>
      <c r="HC93">
        <f>SUM(GY93:HB93)</f>
        <v/>
      </c>
      <c r="HN93">
        <f>IFERROR(LOOKUP(2,1/('DRAFT 2'!$D:$D=$B93)*('DRAFT 2'!$A:$A&gt;=DATE(2026,10,1))*('DRAFT 2'!$A:$A&lt;DATE(2026,IF(10=12,10+1,10+1),1)),'DRAFT 2'!$A:$A),"")</f>
        <v/>
      </c>
      <c r="HO93">
        <f>COUNTIFS('DRAFT 2'!$D:$D,$B93,'DRAFT 2'!$A:$A,"&gt;="&amp;DATE(2026,10,1),'DRAFT 2'!$A:$A,"&lt;="&amp;DATE(2026,10,7))</f>
        <v/>
      </c>
      <c r="HP93">
        <f>COUNTIFS('DRAFT 2'!$D:$D,$B93,'DRAFT 2'!$A:$A,"&gt;="&amp;DATE(2026,10,8),'DRAFT 2'!$A:$A,"&lt;="&amp;DATE(2026,10,14))</f>
        <v/>
      </c>
      <c r="HQ93">
        <f>COUNTIFS('DRAFT 2'!$D:$D,$B93,'DRAFT 2'!$A:$A,"&gt;="&amp;DATE(2026,10,15),'DRAFT 2'!$A:$A,"&lt;="&amp;DATE(2026,10,21))</f>
        <v/>
      </c>
      <c r="HR93">
        <f>COUNTIFS('DRAFT 2'!$D:$D,$B93,'DRAFT 2'!$A:$A,"&gt;="&amp;DATE(2026,10,22),'DRAFT 2'!$A:$A,"&lt;"&amp;DATE(2026,IF(10=12,10+1,10+1),1))</f>
        <v/>
      </c>
      <c r="HS93">
        <f>SUM(HO93:HR93)</f>
        <v/>
      </c>
      <c r="IC93">
        <f>IFERROR(LOOKUP(2,1/('DRAFT 2'!$D:$D=$B93)*('DRAFT 2'!$A:$A&gt;=DATE(2026,11,1))*('DRAFT 2'!$A:$A&lt;DATE(2026,IF(11=12,11+1,11+1),1)),'DRAFT 2'!$A:$A),"")</f>
        <v/>
      </c>
      <c r="ID93">
        <f>COUNTIFS('DRAFT 2'!$D:$D,$B93,'DRAFT 2'!$A:$A,"&gt;="&amp;DATE(2026,11,1),'DRAFT 2'!$A:$A,"&lt;="&amp;DATE(2026,11,7))</f>
        <v/>
      </c>
      <c r="IE93">
        <f>COUNTIFS('DRAFT 2'!$D:$D,$B93,'DRAFT 2'!$A:$A,"&gt;="&amp;DATE(2026,11,8),'DRAFT 2'!$A:$A,"&lt;="&amp;DATE(2026,11,14))</f>
        <v/>
      </c>
      <c r="IF93">
        <f>COUNTIFS('DRAFT 2'!$D:$D,$B93,'DRAFT 2'!$A:$A,"&gt;="&amp;DATE(2026,11,15),'DRAFT 2'!$A:$A,"&lt;="&amp;DATE(2026,11,21))</f>
        <v/>
      </c>
      <c r="IG93">
        <f>COUNTIFS('DRAFT 2'!$D:$D,$B93,'DRAFT 2'!$A:$A,"&gt;="&amp;DATE(2026,11,22),'DRAFT 2'!$A:$A,"&lt;"&amp;DATE(2026,IF(11=12,11+1,11+1),1))</f>
        <v/>
      </c>
      <c r="IH93">
        <f>SUM(ID93:IG93)</f>
        <v/>
      </c>
      <c r="IR93">
        <f>IFERROR(LOOKUP(2,1/('DRAFT 2'!$D:$D=$B93)*('DRAFT 2'!$A:$A&gt;=DATE(2026,12,1))*('DRAFT 2'!$A:$A&lt;DATE(2026,IF(12=12,12+1,12+1),1)),'DRAFT 2'!$A:$A),"")</f>
        <v/>
      </c>
      <c r="IS93">
        <f>COUNTIFS('DRAFT 2'!$D:$D,$B93,'DRAFT 2'!$A:$A,"&gt;="&amp;DATE(2026,12,1),'DRAFT 2'!$A:$A,"&lt;="&amp;DATE(2026,12,7))</f>
        <v/>
      </c>
      <c r="IT93">
        <f>COUNTIFS('DRAFT 2'!$D:$D,$B93,'DRAFT 2'!$A:$A,"&gt;="&amp;DATE(2026,12,8),'DRAFT 2'!$A:$A,"&lt;="&amp;DATE(2026,12,14))</f>
        <v/>
      </c>
      <c r="IU93">
        <f>COUNTIFS('DRAFT 2'!$D:$D,$B93,'DRAFT 2'!$A:$A,"&gt;="&amp;DATE(2026,12,15),'DRAFT 2'!$A:$A,"&lt;="&amp;DATE(2026,12,21))</f>
        <v/>
      </c>
      <c r="IV93">
        <f>COUNTIFS('DRAFT 2'!$D:$D,$B93,'DRAFT 2'!$A:$A,"&gt;="&amp;DATE(2026,12,22),'DRAFT 2'!$A:$A,"&lt;"&amp;DATE(2026,IF(12=12,12+1,12+1),1))</f>
        <v/>
      </c>
      <c r="IW93">
        <f>SUM(IS93:IV93)</f>
        <v/>
      </c>
    </row>
    <row r="94">
      <c r="A94">
        <f>IFERROR(INDEX('DRAFT 1'!$A:$A,MATCH($B94,'DRAFT 1'!$B:$B,0)),"")</f>
        <v/>
      </c>
      <c r="C94">
        <f>IFERROR(INDEX('DRAFT 1'!$C:$C,MATCH($B94,'DRAFT 1'!$B:$B,0)),"")</f>
        <v/>
      </c>
      <c r="D94">
        <f>IFERROR(INDEX('DRAFT 1'!$D:$D,MATCH($B94,'DRAFT 1'!$B:$B,0)),"")</f>
        <v/>
      </c>
      <c r="E94">
        <f>IFERROR(INDEX('DRAFT 1'!$E:$E,MATCH($B94,'DRAFT 1'!$B:$B,0)),"")</f>
        <v/>
      </c>
      <c r="F94">
        <f>IFERROR(INDEX('DRAFT 1'!$F:$F,MATCH($B94,'DRAFT 1'!$B:$B,0)),"")</f>
        <v/>
      </c>
      <c r="G94">
        <f>IFERROR(INDEX('DRAFT 1'!$G:$G,MATCH($B94,'DRAFT 1'!$B:$B,0)),"")</f>
        <v/>
      </c>
      <c r="H94">
        <f>IFERROR(INDEX('DRAFT 1'!$H:$H,MATCH($B94,'DRAFT 1'!$B:$B,0)),"")</f>
        <v/>
      </c>
      <c r="I94" t="inlineStr">
        <is>
          <t>CIA DA SAUDE</t>
        </is>
      </c>
      <c r="K94">
        <f>IFERROR(INDEX('DRAFT 1'!$AL:$AL,MATCH($B94,'DRAFT 1'!$B:$B,0)),"")</f>
        <v/>
      </c>
      <c r="L94">
        <f>IFERROR(INDEX('DRAFT 1'!$J:$J,MATCH($B94,'DRAFT 1'!$B:$B,0)),"")</f>
        <v/>
      </c>
      <c r="M94">
        <f>IFERROR(INDEX('DRAFT 1'!$K:$K,MATCH($B94,'DRAFT 1'!$B:$B,0)),"")</f>
        <v/>
      </c>
      <c r="N94" t="inlineStr">
        <is>
          <t>PROSPECT</t>
        </is>
      </c>
      <c r="P94">
        <f>IFERROR(INDEX('DRAFT 1'!$L:$L,MATCH($B94,'DRAFT 1'!$B:$B,0)),"")</f>
        <v/>
      </c>
      <c r="Q94">
        <f>IFERROR(INDEX('DRAFT 1'!$M:$M,MATCH($B94,'DRAFT 1'!$B:$B,0)),"")</f>
        <v/>
      </c>
      <c r="R94">
        <f>IFERROR(INDEX('DRAFT 1'!$N:$N,MATCH($B94,'DRAFT 1'!$B:$B,0)),"")</f>
        <v/>
      </c>
      <c r="S94">
        <f>IFERROR(INDEX('DRAFT 1'!$O:$O,MATCH($B94,'DRAFT 1'!$B:$B,0)),"")</f>
        <v/>
      </c>
      <c r="T94">
        <f>IFERROR(INDEX('DRAFT 1'!$P:$P,MATCH($B94,'DRAFT 1'!$B:$B,0)),"")</f>
        <v/>
      </c>
      <c r="U94">
        <f>IFERROR(INDEX('DRAFT 1'!$Q:$Q,MATCH($B94,'DRAFT 1'!$B:$B,0)),"")</f>
        <v/>
      </c>
      <c r="V94">
        <f>IFERROR(INDEX('DRAFT 1'!$R:$R,MATCH($B94,'DRAFT 1'!$B:$B,0)),"")</f>
        <v/>
      </c>
      <c r="W94">
        <f>IFERROR(INDEX('DRAFT 1'!$S:$S,MATCH($B94,'DRAFT 1'!$B:$B,0)),"")</f>
        <v/>
      </c>
      <c r="X94">
        <f>IFERROR(INDEX('DRAFT 1'!$T:$T,MATCH($B94,'DRAFT 1'!$B:$B,0)),"")</f>
        <v/>
      </c>
      <c r="Z94">
        <f>IFERROR(INDEX('DRAFT 1'!$U:$U,MATCH($B94,'DRAFT 1'!$B:$B,0)),"")</f>
        <v/>
      </c>
      <c r="AA94">
        <f>IFERROR(INDEX('DRAFT 1'!$V:$V,MATCH($B94,'DRAFT 1'!$B:$B,0)),"")</f>
        <v/>
      </c>
      <c r="AB94">
        <f>IFERROR(INDEX('DRAFT 1'!$W:$W,MATCH($B94,'DRAFT 1'!$B:$B,0)),"")</f>
        <v/>
      </c>
      <c r="AC94">
        <f>IFERROR(INDEX('DRAFT 1'!$X:$X,MATCH($B94,'DRAFT 1'!$B:$B,0)),"")</f>
        <v/>
      </c>
      <c r="AD94">
        <f>IFERROR(INDEX('DRAFT 1'!$Y:$Y,MATCH($B94,'DRAFT 1'!$B:$B,0)),"")</f>
        <v/>
      </c>
      <c r="AE94">
        <f>IFERROR(INDEX('DRAFT 1'!$Z:$Z,MATCH($B94,'DRAFT 1'!$B:$B,0)),"")</f>
        <v/>
      </c>
      <c r="AF94">
        <f>IFERROR(INDEX('DRAFT 1'!$AA:$AA,MATCH($B94,'DRAFT 1'!$B:$B,0)),"")</f>
        <v/>
      </c>
      <c r="AG94">
        <f>IFERROR(INDEX('DRAFT 1'!$AB:$AB,MATCH($B94,'DRAFT 1'!$B:$B,0)),"")</f>
        <v/>
      </c>
      <c r="AH94">
        <f>IFERROR(INDEX('DRAFT 1'!$AC:$AC,MATCH($B94,'DRAFT 1'!$B:$B,0)),"")</f>
        <v/>
      </c>
      <c r="AI94">
        <f>IFERROR(INDEX('DRAFT 1'!$AD:$AD,MATCH($B94,'DRAFT 1'!$B:$B,0)),"")</f>
        <v/>
      </c>
      <c r="AJ94">
        <f>IFERROR(INDEX('DRAFT 1'!$AE:$AE,MATCH($B94,'DRAFT 1'!$B:$B,0)),"")</f>
        <v/>
      </c>
      <c r="AK94">
        <f>IFERROR(INDEX('DRAFT 1'!$AG:$AG,MATCH($B94,'DRAFT 1'!$B:$B,0)),"")</f>
        <v/>
      </c>
      <c r="AL94">
        <f>IFERROR(INDEX('DRAFT 1'!$AH:$AH,MATCH($B94,'DRAFT 1'!$B:$B,0)),"")</f>
        <v/>
      </c>
      <c r="AM94">
        <f>IFERROR(INDEX('DRAFT 1'!$AI:$AI,MATCH($B94,'DRAFT 1'!$B:$B,0)),"")</f>
        <v/>
      </c>
      <c r="AN94">
        <f>IFERROR(INDEX('DRAFT 1'!$AJ:$AJ,MATCH($B94,'DRAFT 1'!$B:$B,0)),"")</f>
        <v/>
      </c>
      <c r="AO94">
        <f>IFERROR(Y94/AN94,0)</f>
        <v/>
      </c>
      <c r="AP94">
        <f>IFERROR(INDEX('DRAFT 1'!$AK:$AK,MATCH($B94,'DRAFT 1'!$B:$B,0)),"")</f>
        <v/>
      </c>
      <c r="AR94" t="inlineStr">
        <is>
          <t>PÓS-VENDA</t>
        </is>
      </c>
      <c r="AS94">
        <f>IFERROR(LOOKUP(2,1/('DRAFT 2'!$D:$D=$B94),'DRAFT 2'!$T:$T),"")</f>
        <v/>
      </c>
      <c r="AT94">
        <f>IFERROR(LOOKUP(2,1/('DRAFT 2'!$D:$D=$B94),'DRAFT 2'!$A:$A),"")</f>
        <v/>
      </c>
      <c r="AU94">
        <f>IFERROR(LOOKUP(2,1/('DRAFT 2'!$D:$D=$B94),'DRAFT 2'!$R:$R),"")</f>
        <v/>
      </c>
      <c r="AV94">
        <f>IFERROR(LOOKUP(2,1/('DRAFT 2'!$D:$D=$B94),'DRAFT 2'!$S:$S),"")</f>
        <v/>
      </c>
      <c r="AW94" t="inlineStr">
        <is>
          <t>LEAD</t>
        </is>
      </c>
      <c r="AX94">
        <f>IFERROR(LOOKUP(2,1/('DRAFT 2'!$D:$D=$B94),'DRAFT 2'!$M:$M),"")</f>
        <v/>
      </c>
      <c r="AY94">
        <f>IFERROR(LOOKUP(2,1/('DRAFT 2'!$D:$D=$B94),'DRAFT 2'!$K:$K),"")</f>
        <v/>
      </c>
      <c r="BG94">
        <f>IFERROR(LOOKUP(2,1/('DRAFT 2'!$D:$D=$B94),'DRAFT 2'!$U:$U),"")</f>
        <v/>
      </c>
      <c r="BH94">
        <f>IFERROR(LOOKUP(2,1/('DRAFT 2'!$D:$D=$B94),'DRAFT 2'!$V:$V),"")</f>
        <v/>
      </c>
      <c r="CE94">
        <f>IFERROR(AJ94,0)</f>
        <v/>
      </c>
      <c r="CF94">
        <f>IFERROR(LOOKUP(2,1/('DRAFT 2'!$D:$D=$B94)*('DRAFT 2'!$A:$A&gt;=DATE(2026,1,1))*('DRAFT 2'!$A:$A&lt;DATE(2026,IF(1=12,1+1,1+1),1)),'DRAFT 2'!$A:$A),"")</f>
        <v/>
      </c>
      <c r="CG94">
        <f>COUNTIFS('DRAFT 2'!$D:$D,$B94,'DRAFT 2'!$A:$A,"&gt;="&amp;DATE(2026,1,1),'DRAFT 2'!$A:$A,"&lt;="&amp;DATE(2026,1,7))</f>
        <v/>
      </c>
      <c r="CH94">
        <f>COUNTIFS('DRAFT 2'!$D:$D,$B94,'DRAFT 2'!$A:$A,"&gt;="&amp;DATE(2026,1,8),'DRAFT 2'!$A:$A,"&lt;="&amp;DATE(2026,1,14))</f>
        <v/>
      </c>
      <c r="CI94">
        <f>COUNTIFS('DRAFT 2'!$D:$D,$B94,'DRAFT 2'!$A:$A,"&gt;="&amp;DATE(2026,1,15),'DRAFT 2'!$A:$A,"&lt;="&amp;DATE(2026,1,21))</f>
        <v/>
      </c>
      <c r="CJ94">
        <f>COUNTIFS('DRAFT 2'!$D:$D,$B94,'DRAFT 2'!$A:$A,"&gt;="&amp;DATE(2026,1,22),'DRAFT 2'!$A:$A,"&lt;"&amp;DATE(2026,IF(1=12,1+1,1+1),1))</f>
        <v/>
      </c>
      <c r="CK94">
        <f>SUM(CG94:CJ94)</f>
        <v/>
      </c>
      <c r="CT94" t="n">
        <v>0</v>
      </c>
      <c r="CU94">
        <f>IFERROR(LOOKUP(2,1/('DRAFT 2'!$D:$D=$B94)*('DRAFT 2'!$A:$A&gt;=DATE(2026,2,1))*('DRAFT 2'!$A:$A&lt;DATE(2026,IF(2=12,2+1,2+1),1)),'DRAFT 2'!$A:$A),"")</f>
        <v/>
      </c>
      <c r="CV94">
        <f>COUNTIFS('DRAFT 2'!$D:$D,$B94,'DRAFT 2'!$A:$A,"&gt;="&amp;DATE(2026,2,1),'DRAFT 2'!$A:$A,"&lt;="&amp;DATE(2026,2,7))</f>
        <v/>
      </c>
      <c r="CW94">
        <f>COUNTIFS('DRAFT 2'!$D:$D,$B94,'DRAFT 2'!$A:$A,"&gt;="&amp;DATE(2026,2,8),'DRAFT 2'!$A:$A,"&lt;="&amp;DATE(2026,2,14))</f>
        <v/>
      </c>
      <c r="CX94">
        <f>COUNTIFS('DRAFT 2'!$D:$D,$B94,'DRAFT 2'!$A:$A,"&gt;="&amp;DATE(2026,2,15),'DRAFT 2'!$A:$A,"&lt;="&amp;DATE(2026,2,21))</f>
        <v/>
      </c>
      <c r="CY94">
        <f>COUNTIFS('DRAFT 2'!$D:$D,$B94,'DRAFT 2'!$A:$A,"&gt;="&amp;DATE(2026,2,22),'DRAFT 2'!$A:$A,"&lt;"&amp;DATE(2026,IF(2=12,2+1,2+1),1))</f>
        <v/>
      </c>
      <c r="CZ94">
        <f>SUM(CV94:CY94)</f>
        <v/>
      </c>
      <c r="DJ94">
        <f>IFERROR(LOOKUP(2,1/('DRAFT 2'!$D:$D=$B94)*('DRAFT 2'!$A:$A&gt;=DATE(2026,3,1))*('DRAFT 2'!$A:$A&lt;DATE(2026,IF(3=12,3+1,3+1),1)),'DRAFT 2'!$A:$A),"")</f>
        <v/>
      </c>
      <c r="DK94">
        <f>COUNTIFS('DRAFT 2'!$D:$D,$B94,'DRAFT 2'!$A:$A,"&gt;="&amp;DATE(2026,3,1),'DRAFT 2'!$A:$A,"&lt;="&amp;DATE(2026,3,7))</f>
        <v/>
      </c>
      <c r="DL94">
        <f>COUNTIFS('DRAFT 2'!$D:$D,$B94,'DRAFT 2'!$A:$A,"&gt;="&amp;DATE(2026,3,8),'DRAFT 2'!$A:$A,"&lt;="&amp;DATE(2026,3,14))</f>
        <v/>
      </c>
      <c r="DM94">
        <f>COUNTIFS('DRAFT 2'!$D:$D,$B94,'DRAFT 2'!$A:$A,"&gt;="&amp;DATE(2026,3,15),'DRAFT 2'!$A:$A,"&lt;="&amp;DATE(2026,3,21))</f>
        <v/>
      </c>
      <c r="DN94">
        <f>COUNTIFS('DRAFT 2'!$D:$D,$B94,'DRAFT 2'!$A:$A,"&gt;="&amp;DATE(2026,3,22),'DRAFT 2'!$A:$A,"&lt;"&amp;DATE(2026,IF(3=12,3+1,3+1),1))</f>
        <v/>
      </c>
      <c r="DO94">
        <f>SUM(DK94:DN94)</f>
        <v/>
      </c>
      <c r="DZ94">
        <f>IFERROR(LOOKUP(2,1/('DRAFT 2'!$D:$D=$B94)*('DRAFT 2'!$A:$A&gt;=DATE(2026,4,1))*('DRAFT 2'!$A:$A&lt;DATE(2026,IF(4=12,4+1,4+1),1)),'DRAFT 2'!$A:$A),"")</f>
        <v/>
      </c>
      <c r="EA94">
        <f>COUNTIFS('DRAFT 2'!$D:$D,$B94,'DRAFT 2'!$A:$A,"&gt;="&amp;DATE(2026,4,1),'DRAFT 2'!$A:$A,"&lt;="&amp;DATE(2026,4,7))</f>
        <v/>
      </c>
      <c r="EB94">
        <f>COUNTIFS('DRAFT 2'!$D:$D,$B94,'DRAFT 2'!$A:$A,"&gt;="&amp;DATE(2026,4,8),'DRAFT 2'!$A:$A,"&lt;="&amp;DATE(2026,4,14))</f>
        <v/>
      </c>
      <c r="EC94">
        <f>COUNTIFS('DRAFT 2'!$D:$D,$B94,'DRAFT 2'!$A:$A,"&gt;="&amp;DATE(2026,4,15),'DRAFT 2'!$A:$A,"&lt;="&amp;DATE(2026,4,21))</f>
        <v/>
      </c>
      <c r="ED94">
        <f>COUNTIFS('DRAFT 2'!$D:$D,$B94,'DRAFT 2'!$A:$A,"&gt;="&amp;DATE(2026,4,22),'DRAFT 2'!$A:$A,"&lt;"&amp;DATE(2026,IF(4=12,4+1,4+1),1))</f>
        <v/>
      </c>
      <c r="EE94">
        <f>SUM(EA94:ED94)</f>
        <v/>
      </c>
      <c r="EO94">
        <f>IFERROR(LOOKUP(2,1/('DRAFT 2'!$D:$D=$B94)*('DRAFT 2'!$A:$A&gt;=DATE(2026,5,1))*('DRAFT 2'!$A:$A&lt;DATE(2026,IF(5=12,5+1,5+1),1)),'DRAFT 2'!$A:$A),"")</f>
        <v/>
      </c>
      <c r="EP94">
        <f>COUNTIFS('DRAFT 2'!$D:$D,$B94,'DRAFT 2'!$A:$A,"&gt;="&amp;DATE(2026,5,1),'DRAFT 2'!$A:$A,"&lt;="&amp;DATE(2026,5,7))</f>
        <v/>
      </c>
      <c r="EQ94">
        <f>COUNTIFS('DRAFT 2'!$D:$D,$B94,'DRAFT 2'!$A:$A,"&gt;="&amp;DATE(2026,5,8),'DRAFT 2'!$A:$A,"&lt;="&amp;DATE(2026,5,14))</f>
        <v/>
      </c>
      <c r="ER94">
        <f>COUNTIFS('DRAFT 2'!$D:$D,$B94,'DRAFT 2'!$A:$A,"&gt;="&amp;DATE(2026,5,15),'DRAFT 2'!$A:$A,"&lt;="&amp;DATE(2026,5,21))</f>
        <v/>
      </c>
      <c r="ES94">
        <f>COUNTIFS('DRAFT 2'!$D:$D,$B94,'DRAFT 2'!$A:$A,"&gt;="&amp;DATE(2026,5,22),'DRAFT 2'!$A:$A,"&lt;"&amp;DATE(2026,IF(5=12,5+1,5+1),1))</f>
        <v/>
      </c>
      <c r="ET94">
        <f>SUM(EP94:ES94)</f>
        <v/>
      </c>
      <c r="FD94">
        <f>IFERROR(LOOKUP(2,1/('DRAFT 2'!$D:$D=$B94)*('DRAFT 2'!$A:$A&gt;=DATE(2026,6,1))*('DRAFT 2'!$A:$A&lt;DATE(2026,IF(6=12,6+1,6+1),1)),'DRAFT 2'!$A:$A),"")</f>
        <v/>
      </c>
      <c r="FE94">
        <f>COUNTIFS('DRAFT 2'!$D:$D,$B94,'DRAFT 2'!$A:$A,"&gt;="&amp;DATE(2026,6,1),'DRAFT 2'!$A:$A,"&lt;="&amp;DATE(2026,6,7))</f>
        <v/>
      </c>
      <c r="FF94">
        <f>COUNTIFS('DRAFT 2'!$D:$D,$B94,'DRAFT 2'!$A:$A,"&gt;="&amp;DATE(2026,6,8),'DRAFT 2'!$A:$A,"&lt;="&amp;DATE(2026,6,14))</f>
        <v/>
      </c>
      <c r="FG94">
        <f>COUNTIFS('DRAFT 2'!$D:$D,$B94,'DRAFT 2'!$A:$A,"&gt;="&amp;DATE(2026,6,15),'DRAFT 2'!$A:$A,"&lt;="&amp;DATE(2026,6,21))</f>
        <v/>
      </c>
      <c r="FH94">
        <f>COUNTIFS('DRAFT 2'!$D:$D,$B94,'DRAFT 2'!$A:$A,"&gt;="&amp;DATE(2026,6,22),'DRAFT 2'!$A:$A,"&lt;"&amp;DATE(2026,IF(6=12,6+1,6+1),1))</f>
        <v/>
      </c>
      <c r="FI94">
        <f>SUM(FE94:FH94)</f>
        <v/>
      </c>
      <c r="FT94">
        <f>IFERROR(LOOKUP(2,1/('DRAFT 2'!$D:$D=$B94)*('DRAFT 2'!$A:$A&gt;=DATE(2026,7,1))*('DRAFT 2'!$A:$A&lt;DATE(2026,IF(7=12,7+1,7+1),1)),'DRAFT 2'!$A:$A),"")</f>
        <v/>
      </c>
      <c r="FU94">
        <f>COUNTIFS('DRAFT 2'!$D:$D,$B94,'DRAFT 2'!$A:$A,"&gt;="&amp;DATE(2026,7,1),'DRAFT 2'!$A:$A,"&lt;="&amp;DATE(2026,7,7))</f>
        <v/>
      </c>
      <c r="FV94">
        <f>COUNTIFS('DRAFT 2'!$D:$D,$B94,'DRAFT 2'!$A:$A,"&gt;="&amp;DATE(2026,7,8),'DRAFT 2'!$A:$A,"&lt;="&amp;DATE(2026,7,14))</f>
        <v/>
      </c>
      <c r="FW94">
        <f>COUNTIFS('DRAFT 2'!$D:$D,$B94,'DRAFT 2'!$A:$A,"&gt;="&amp;DATE(2026,7,15),'DRAFT 2'!$A:$A,"&lt;="&amp;DATE(2026,7,21))</f>
        <v/>
      </c>
      <c r="FX94">
        <f>COUNTIFS('DRAFT 2'!$D:$D,$B94,'DRAFT 2'!$A:$A,"&gt;="&amp;DATE(2026,7,22),'DRAFT 2'!$A:$A,"&lt;"&amp;DATE(2026,IF(7=12,7+1,7+1),1))</f>
        <v/>
      </c>
      <c r="FY94">
        <f>SUM(FU94:FX94)</f>
        <v/>
      </c>
      <c r="GI94">
        <f>IFERROR(LOOKUP(2,1/('DRAFT 2'!$D:$D=$B94)*('DRAFT 2'!$A:$A&gt;=DATE(2026,8,1))*('DRAFT 2'!$A:$A&lt;DATE(2026,IF(8=12,8+1,8+1),1)),'DRAFT 2'!$A:$A),"")</f>
        <v/>
      </c>
      <c r="GJ94">
        <f>COUNTIFS('DRAFT 2'!$D:$D,$B94,'DRAFT 2'!$A:$A,"&gt;="&amp;DATE(2026,8,1),'DRAFT 2'!$A:$A,"&lt;="&amp;DATE(2026,8,7))</f>
        <v/>
      </c>
      <c r="GK94">
        <f>COUNTIFS('DRAFT 2'!$D:$D,$B94,'DRAFT 2'!$A:$A,"&gt;="&amp;DATE(2026,8,8),'DRAFT 2'!$A:$A,"&lt;="&amp;DATE(2026,8,14))</f>
        <v/>
      </c>
      <c r="GL94">
        <f>COUNTIFS('DRAFT 2'!$D:$D,$B94,'DRAFT 2'!$A:$A,"&gt;="&amp;DATE(2026,8,15),'DRAFT 2'!$A:$A,"&lt;="&amp;DATE(2026,8,21))</f>
        <v/>
      </c>
      <c r="GM94">
        <f>COUNTIFS('DRAFT 2'!$D:$D,$B94,'DRAFT 2'!$A:$A,"&gt;="&amp;DATE(2026,8,22),'DRAFT 2'!$A:$A,"&lt;"&amp;DATE(2026,IF(8=12,8+1,8+1),1))</f>
        <v/>
      </c>
      <c r="GN94">
        <f>SUM(GJ94:GM94)</f>
        <v/>
      </c>
      <c r="GX94">
        <f>IFERROR(LOOKUP(2,1/('DRAFT 2'!$D:$D=$B94)*('DRAFT 2'!$A:$A&gt;=DATE(2026,9,1))*('DRAFT 2'!$A:$A&lt;DATE(2026,IF(9=12,9+1,9+1),1)),'DRAFT 2'!$A:$A),"")</f>
        <v/>
      </c>
      <c r="GY94">
        <f>COUNTIFS('DRAFT 2'!$D:$D,$B94,'DRAFT 2'!$A:$A,"&gt;="&amp;DATE(2026,9,1),'DRAFT 2'!$A:$A,"&lt;="&amp;DATE(2026,9,7))</f>
        <v/>
      </c>
      <c r="GZ94">
        <f>COUNTIFS('DRAFT 2'!$D:$D,$B94,'DRAFT 2'!$A:$A,"&gt;="&amp;DATE(2026,9,8),'DRAFT 2'!$A:$A,"&lt;="&amp;DATE(2026,9,14))</f>
        <v/>
      </c>
      <c r="HA94">
        <f>COUNTIFS('DRAFT 2'!$D:$D,$B94,'DRAFT 2'!$A:$A,"&gt;="&amp;DATE(2026,9,15),'DRAFT 2'!$A:$A,"&lt;="&amp;DATE(2026,9,21))</f>
        <v/>
      </c>
      <c r="HB94">
        <f>COUNTIFS('DRAFT 2'!$D:$D,$B94,'DRAFT 2'!$A:$A,"&gt;="&amp;DATE(2026,9,22),'DRAFT 2'!$A:$A,"&lt;"&amp;DATE(2026,IF(9=12,9+1,9+1),1))</f>
        <v/>
      </c>
      <c r="HC94">
        <f>SUM(GY94:HB94)</f>
        <v/>
      </c>
      <c r="HN94">
        <f>IFERROR(LOOKUP(2,1/('DRAFT 2'!$D:$D=$B94)*('DRAFT 2'!$A:$A&gt;=DATE(2026,10,1))*('DRAFT 2'!$A:$A&lt;DATE(2026,IF(10=12,10+1,10+1),1)),'DRAFT 2'!$A:$A),"")</f>
        <v/>
      </c>
      <c r="HO94">
        <f>COUNTIFS('DRAFT 2'!$D:$D,$B94,'DRAFT 2'!$A:$A,"&gt;="&amp;DATE(2026,10,1),'DRAFT 2'!$A:$A,"&lt;="&amp;DATE(2026,10,7))</f>
        <v/>
      </c>
      <c r="HP94">
        <f>COUNTIFS('DRAFT 2'!$D:$D,$B94,'DRAFT 2'!$A:$A,"&gt;="&amp;DATE(2026,10,8),'DRAFT 2'!$A:$A,"&lt;="&amp;DATE(2026,10,14))</f>
        <v/>
      </c>
      <c r="HQ94">
        <f>COUNTIFS('DRAFT 2'!$D:$D,$B94,'DRAFT 2'!$A:$A,"&gt;="&amp;DATE(2026,10,15),'DRAFT 2'!$A:$A,"&lt;="&amp;DATE(2026,10,21))</f>
        <v/>
      </c>
      <c r="HR94">
        <f>COUNTIFS('DRAFT 2'!$D:$D,$B94,'DRAFT 2'!$A:$A,"&gt;="&amp;DATE(2026,10,22),'DRAFT 2'!$A:$A,"&lt;"&amp;DATE(2026,IF(10=12,10+1,10+1),1))</f>
        <v/>
      </c>
      <c r="HS94">
        <f>SUM(HO94:HR94)</f>
        <v/>
      </c>
      <c r="IC94">
        <f>IFERROR(LOOKUP(2,1/('DRAFT 2'!$D:$D=$B94)*('DRAFT 2'!$A:$A&gt;=DATE(2026,11,1))*('DRAFT 2'!$A:$A&lt;DATE(2026,IF(11=12,11+1,11+1),1)),'DRAFT 2'!$A:$A),"")</f>
        <v/>
      </c>
      <c r="ID94">
        <f>COUNTIFS('DRAFT 2'!$D:$D,$B94,'DRAFT 2'!$A:$A,"&gt;="&amp;DATE(2026,11,1),'DRAFT 2'!$A:$A,"&lt;="&amp;DATE(2026,11,7))</f>
        <v/>
      </c>
      <c r="IE94">
        <f>COUNTIFS('DRAFT 2'!$D:$D,$B94,'DRAFT 2'!$A:$A,"&gt;="&amp;DATE(2026,11,8),'DRAFT 2'!$A:$A,"&lt;="&amp;DATE(2026,11,14))</f>
        <v/>
      </c>
      <c r="IF94">
        <f>COUNTIFS('DRAFT 2'!$D:$D,$B94,'DRAFT 2'!$A:$A,"&gt;="&amp;DATE(2026,11,15),'DRAFT 2'!$A:$A,"&lt;="&amp;DATE(2026,11,21))</f>
        <v/>
      </c>
      <c r="IG94">
        <f>COUNTIFS('DRAFT 2'!$D:$D,$B94,'DRAFT 2'!$A:$A,"&gt;="&amp;DATE(2026,11,22),'DRAFT 2'!$A:$A,"&lt;"&amp;DATE(2026,IF(11=12,11+1,11+1),1))</f>
        <v/>
      </c>
      <c r="IH94">
        <f>SUM(ID94:IG94)</f>
        <v/>
      </c>
      <c r="IR94">
        <f>IFERROR(LOOKUP(2,1/('DRAFT 2'!$D:$D=$B94)*('DRAFT 2'!$A:$A&gt;=DATE(2026,12,1))*('DRAFT 2'!$A:$A&lt;DATE(2026,IF(12=12,12+1,12+1),1)),'DRAFT 2'!$A:$A),"")</f>
        <v/>
      </c>
      <c r="IS94">
        <f>COUNTIFS('DRAFT 2'!$D:$D,$B94,'DRAFT 2'!$A:$A,"&gt;="&amp;DATE(2026,12,1),'DRAFT 2'!$A:$A,"&lt;="&amp;DATE(2026,12,7))</f>
        <v/>
      </c>
      <c r="IT94">
        <f>COUNTIFS('DRAFT 2'!$D:$D,$B94,'DRAFT 2'!$A:$A,"&gt;="&amp;DATE(2026,12,8),'DRAFT 2'!$A:$A,"&lt;="&amp;DATE(2026,12,14))</f>
        <v/>
      </c>
      <c r="IU94">
        <f>COUNTIFS('DRAFT 2'!$D:$D,$B94,'DRAFT 2'!$A:$A,"&gt;="&amp;DATE(2026,12,15),'DRAFT 2'!$A:$A,"&lt;="&amp;DATE(2026,12,21))</f>
        <v/>
      </c>
      <c r="IV94">
        <f>COUNTIFS('DRAFT 2'!$D:$D,$B94,'DRAFT 2'!$A:$A,"&gt;="&amp;DATE(2026,12,22),'DRAFT 2'!$A:$A,"&lt;"&amp;DATE(2026,IF(12=12,12+1,12+1),1))</f>
        <v/>
      </c>
      <c r="IW94">
        <f>SUM(IS94:IV94)</f>
        <v/>
      </c>
    </row>
    <row r="95">
      <c r="A95">
        <f>IFERROR(INDEX('DRAFT 1'!$A:$A,MATCH($B95,'DRAFT 1'!$B:$B,0)),"")</f>
        <v/>
      </c>
      <c r="C95">
        <f>IFERROR(INDEX('DRAFT 1'!$C:$C,MATCH($B95,'DRAFT 1'!$B:$B,0)),"")</f>
        <v/>
      </c>
      <c r="D95">
        <f>IFERROR(INDEX('DRAFT 1'!$D:$D,MATCH($B95,'DRAFT 1'!$B:$B,0)),"")</f>
        <v/>
      </c>
      <c r="E95">
        <f>IFERROR(INDEX('DRAFT 1'!$E:$E,MATCH($B95,'DRAFT 1'!$B:$B,0)),"")</f>
        <v/>
      </c>
      <c r="F95">
        <f>IFERROR(INDEX('DRAFT 1'!$F:$F,MATCH($B95,'DRAFT 1'!$B:$B,0)),"")</f>
        <v/>
      </c>
      <c r="G95">
        <f>IFERROR(INDEX('DRAFT 1'!$G:$G,MATCH($B95,'DRAFT 1'!$B:$B,0)),"")</f>
        <v/>
      </c>
      <c r="H95">
        <f>IFERROR(INDEX('DRAFT 1'!$H:$H,MATCH($B95,'DRAFT 1'!$B:$B,0)),"")</f>
        <v/>
      </c>
      <c r="I95" t="inlineStr">
        <is>
          <t>TUDO EM GRAOS</t>
        </is>
      </c>
      <c r="K95">
        <f>IFERROR(INDEX('DRAFT 1'!$AL:$AL,MATCH($B95,'DRAFT 1'!$B:$B,0)),"")</f>
        <v/>
      </c>
      <c r="L95">
        <f>IFERROR(INDEX('DRAFT 1'!$J:$J,MATCH($B95,'DRAFT 1'!$B:$B,0)),"")</f>
        <v/>
      </c>
      <c r="M95">
        <f>IFERROR(INDEX('DRAFT 1'!$K:$K,MATCH($B95,'DRAFT 1'!$B:$B,0)),"")</f>
        <v/>
      </c>
      <c r="N95" t="inlineStr">
        <is>
          <t>INAT.ANT</t>
        </is>
      </c>
      <c r="P95">
        <f>IFERROR(INDEX('DRAFT 1'!$L:$L,MATCH($B95,'DRAFT 1'!$B:$B,0)),"")</f>
        <v/>
      </c>
      <c r="Q95">
        <f>IFERROR(INDEX('DRAFT 1'!$M:$M,MATCH($B95,'DRAFT 1'!$B:$B,0)),"")</f>
        <v/>
      </c>
      <c r="R95">
        <f>IFERROR(INDEX('DRAFT 1'!$N:$N,MATCH($B95,'DRAFT 1'!$B:$B,0)),"")</f>
        <v/>
      </c>
      <c r="S95">
        <f>IFERROR(INDEX('DRAFT 1'!$O:$O,MATCH($B95,'DRAFT 1'!$B:$B,0)),"")</f>
        <v/>
      </c>
      <c r="T95">
        <f>IFERROR(INDEX('DRAFT 1'!$P:$P,MATCH($B95,'DRAFT 1'!$B:$B,0)),"")</f>
        <v/>
      </c>
      <c r="U95">
        <f>IFERROR(INDEX('DRAFT 1'!$Q:$Q,MATCH($B95,'DRAFT 1'!$B:$B,0)),"")</f>
        <v/>
      </c>
      <c r="V95">
        <f>IFERROR(INDEX('DRAFT 1'!$R:$R,MATCH($B95,'DRAFT 1'!$B:$B,0)),"")</f>
        <v/>
      </c>
      <c r="W95">
        <f>IFERROR(INDEX('DRAFT 1'!$S:$S,MATCH($B95,'DRAFT 1'!$B:$B,0)),"")</f>
        <v/>
      </c>
      <c r="X95">
        <f>IFERROR(INDEX('DRAFT 1'!$T:$T,MATCH($B95,'DRAFT 1'!$B:$B,0)),"")</f>
        <v/>
      </c>
      <c r="Z95">
        <f>IFERROR(INDEX('DRAFT 1'!$U:$U,MATCH($B95,'DRAFT 1'!$B:$B,0)),"")</f>
        <v/>
      </c>
      <c r="AA95">
        <f>IFERROR(INDEX('DRAFT 1'!$V:$V,MATCH($B95,'DRAFT 1'!$B:$B,0)),"")</f>
        <v/>
      </c>
      <c r="AB95">
        <f>IFERROR(INDEX('DRAFT 1'!$W:$W,MATCH($B95,'DRAFT 1'!$B:$B,0)),"")</f>
        <v/>
      </c>
      <c r="AC95">
        <f>IFERROR(INDEX('DRAFT 1'!$X:$X,MATCH($B95,'DRAFT 1'!$B:$B,0)),"")</f>
        <v/>
      </c>
      <c r="AD95">
        <f>IFERROR(INDEX('DRAFT 1'!$Y:$Y,MATCH($B95,'DRAFT 1'!$B:$B,0)),"")</f>
        <v/>
      </c>
      <c r="AE95">
        <f>IFERROR(INDEX('DRAFT 1'!$Z:$Z,MATCH($B95,'DRAFT 1'!$B:$B,0)),"")</f>
        <v/>
      </c>
      <c r="AF95">
        <f>IFERROR(INDEX('DRAFT 1'!$AA:$AA,MATCH($B95,'DRAFT 1'!$B:$B,0)),"")</f>
        <v/>
      </c>
      <c r="AG95">
        <f>IFERROR(INDEX('DRAFT 1'!$AB:$AB,MATCH($B95,'DRAFT 1'!$B:$B,0)),"")</f>
        <v/>
      </c>
      <c r="AH95">
        <f>IFERROR(INDEX('DRAFT 1'!$AC:$AC,MATCH($B95,'DRAFT 1'!$B:$B,0)),"")</f>
        <v/>
      </c>
      <c r="AI95">
        <f>IFERROR(INDEX('DRAFT 1'!$AD:$AD,MATCH($B95,'DRAFT 1'!$B:$B,0)),"")</f>
        <v/>
      </c>
      <c r="AJ95">
        <f>IFERROR(INDEX('DRAFT 1'!$AE:$AE,MATCH($B95,'DRAFT 1'!$B:$B,0)),"")</f>
        <v/>
      </c>
      <c r="AK95">
        <f>IFERROR(INDEX('DRAFT 1'!$AG:$AG,MATCH($B95,'DRAFT 1'!$B:$B,0)),"")</f>
        <v/>
      </c>
      <c r="AL95">
        <f>IFERROR(INDEX('DRAFT 1'!$AH:$AH,MATCH($B95,'DRAFT 1'!$B:$B,0)),"")</f>
        <v/>
      </c>
      <c r="AM95">
        <f>IFERROR(INDEX('DRAFT 1'!$AI:$AI,MATCH($B95,'DRAFT 1'!$B:$B,0)),"")</f>
        <v/>
      </c>
      <c r="AN95">
        <f>IFERROR(INDEX('DRAFT 1'!$AJ:$AJ,MATCH($B95,'DRAFT 1'!$B:$B,0)),"")</f>
        <v/>
      </c>
      <c r="AO95">
        <f>IFERROR(Y95/AN95,0)</f>
        <v/>
      </c>
      <c r="AP95">
        <f>IFERROR(INDEX('DRAFT 1'!$AK:$AK,MATCH($B95,'DRAFT 1'!$B:$B,0)),"")</f>
        <v/>
      </c>
      <c r="AR95" t="inlineStr">
        <is>
          <t>SALVAMENTO</t>
        </is>
      </c>
      <c r="AS95">
        <f>IFERROR(LOOKUP(2,1/('DRAFT 2'!$D:$D=$B95),'DRAFT 2'!$T:$T),"")</f>
        <v/>
      </c>
      <c r="AT95">
        <f>IFERROR(LOOKUP(2,1/('DRAFT 2'!$D:$D=$B95),'DRAFT 2'!$A:$A),"")</f>
        <v/>
      </c>
      <c r="AU95">
        <f>IFERROR(LOOKUP(2,1/('DRAFT 2'!$D:$D=$B95),'DRAFT 2'!$R:$R),"")</f>
        <v/>
      </c>
      <c r="AV95">
        <f>IFERROR(LOOKUP(2,1/('DRAFT 2'!$D:$D=$B95),'DRAFT 2'!$S:$S),"")</f>
        <v/>
      </c>
      <c r="AW95" t="inlineStr">
        <is>
          <t>LEAD</t>
        </is>
      </c>
      <c r="AX95">
        <f>IFERROR(LOOKUP(2,1/('DRAFT 2'!$D:$D=$B95),'DRAFT 2'!$M:$M),"")</f>
        <v/>
      </c>
      <c r="AY95">
        <f>IFERROR(LOOKUP(2,1/('DRAFT 2'!$D:$D=$B95),'DRAFT 2'!$K:$K),"")</f>
        <v/>
      </c>
      <c r="BG95">
        <f>IFERROR(LOOKUP(2,1/('DRAFT 2'!$D:$D=$B95),'DRAFT 2'!$U:$U),"")</f>
        <v/>
      </c>
      <c r="BH95">
        <f>IFERROR(LOOKUP(2,1/('DRAFT 2'!$D:$D=$B95),'DRAFT 2'!$V:$V),"")</f>
        <v/>
      </c>
      <c r="CE95">
        <f>IFERROR(AJ95,0)</f>
        <v/>
      </c>
      <c r="CF95">
        <f>IFERROR(LOOKUP(2,1/('DRAFT 2'!$D:$D=$B95)*('DRAFT 2'!$A:$A&gt;=DATE(2026,1,1))*('DRAFT 2'!$A:$A&lt;DATE(2026,IF(1=12,1+1,1+1),1)),'DRAFT 2'!$A:$A),"")</f>
        <v/>
      </c>
      <c r="CG95">
        <f>COUNTIFS('DRAFT 2'!$D:$D,$B95,'DRAFT 2'!$A:$A,"&gt;="&amp;DATE(2026,1,1),'DRAFT 2'!$A:$A,"&lt;="&amp;DATE(2026,1,7))</f>
        <v/>
      </c>
      <c r="CH95">
        <f>COUNTIFS('DRAFT 2'!$D:$D,$B95,'DRAFT 2'!$A:$A,"&gt;="&amp;DATE(2026,1,8),'DRAFT 2'!$A:$A,"&lt;="&amp;DATE(2026,1,14))</f>
        <v/>
      </c>
      <c r="CI95">
        <f>COUNTIFS('DRAFT 2'!$D:$D,$B95,'DRAFT 2'!$A:$A,"&gt;="&amp;DATE(2026,1,15),'DRAFT 2'!$A:$A,"&lt;="&amp;DATE(2026,1,21))</f>
        <v/>
      </c>
      <c r="CJ95">
        <f>COUNTIFS('DRAFT 2'!$D:$D,$B95,'DRAFT 2'!$A:$A,"&gt;="&amp;DATE(2026,1,22),'DRAFT 2'!$A:$A,"&lt;"&amp;DATE(2026,IF(1=12,1+1,1+1),1))</f>
        <v/>
      </c>
      <c r="CK95">
        <f>SUM(CG95:CJ95)</f>
        <v/>
      </c>
      <c r="CT95" t="n">
        <v>0</v>
      </c>
      <c r="CU95">
        <f>IFERROR(LOOKUP(2,1/('DRAFT 2'!$D:$D=$B95)*('DRAFT 2'!$A:$A&gt;=DATE(2026,2,1))*('DRAFT 2'!$A:$A&lt;DATE(2026,IF(2=12,2+1,2+1),1)),'DRAFT 2'!$A:$A),"")</f>
        <v/>
      </c>
      <c r="CV95">
        <f>COUNTIFS('DRAFT 2'!$D:$D,$B95,'DRAFT 2'!$A:$A,"&gt;="&amp;DATE(2026,2,1),'DRAFT 2'!$A:$A,"&lt;="&amp;DATE(2026,2,7))</f>
        <v/>
      </c>
      <c r="CW95">
        <f>COUNTIFS('DRAFT 2'!$D:$D,$B95,'DRAFT 2'!$A:$A,"&gt;="&amp;DATE(2026,2,8),'DRAFT 2'!$A:$A,"&lt;="&amp;DATE(2026,2,14))</f>
        <v/>
      </c>
      <c r="CX95">
        <f>COUNTIFS('DRAFT 2'!$D:$D,$B95,'DRAFT 2'!$A:$A,"&gt;="&amp;DATE(2026,2,15),'DRAFT 2'!$A:$A,"&lt;="&amp;DATE(2026,2,21))</f>
        <v/>
      </c>
      <c r="CY95">
        <f>COUNTIFS('DRAFT 2'!$D:$D,$B95,'DRAFT 2'!$A:$A,"&gt;="&amp;DATE(2026,2,22),'DRAFT 2'!$A:$A,"&lt;"&amp;DATE(2026,IF(2=12,2+1,2+1),1))</f>
        <v/>
      </c>
      <c r="CZ95">
        <f>SUM(CV95:CY95)</f>
        <v/>
      </c>
      <c r="DJ95">
        <f>IFERROR(LOOKUP(2,1/('DRAFT 2'!$D:$D=$B95)*('DRAFT 2'!$A:$A&gt;=DATE(2026,3,1))*('DRAFT 2'!$A:$A&lt;DATE(2026,IF(3=12,3+1,3+1),1)),'DRAFT 2'!$A:$A),"")</f>
        <v/>
      </c>
      <c r="DK95">
        <f>COUNTIFS('DRAFT 2'!$D:$D,$B95,'DRAFT 2'!$A:$A,"&gt;="&amp;DATE(2026,3,1),'DRAFT 2'!$A:$A,"&lt;="&amp;DATE(2026,3,7))</f>
        <v/>
      </c>
      <c r="DL95">
        <f>COUNTIFS('DRAFT 2'!$D:$D,$B95,'DRAFT 2'!$A:$A,"&gt;="&amp;DATE(2026,3,8),'DRAFT 2'!$A:$A,"&lt;="&amp;DATE(2026,3,14))</f>
        <v/>
      </c>
      <c r="DM95">
        <f>COUNTIFS('DRAFT 2'!$D:$D,$B95,'DRAFT 2'!$A:$A,"&gt;="&amp;DATE(2026,3,15),'DRAFT 2'!$A:$A,"&lt;="&amp;DATE(2026,3,21))</f>
        <v/>
      </c>
      <c r="DN95">
        <f>COUNTIFS('DRAFT 2'!$D:$D,$B95,'DRAFT 2'!$A:$A,"&gt;="&amp;DATE(2026,3,22),'DRAFT 2'!$A:$A,"&lt;"&amp;DATE(2026,IF(3=12,3+1,3+1),1))</f>
        <v/>
      </c>
      <c r="DO95">
        <f>SUM(DK95:DN95)</f>
        <v/>
      </c>
      <c r="DZ95">
        <f>IFERROR(LOOKUP(2,1/('DRAFT 2'!$D:$D=$B95)*('DRAFT 2'!$A:$A&gt;=DATE(2026,4,1))*('DRAFT 2'!$A:$A&lt;DATE(2026,IF(4=12,4+1,4+1),1)),'DRAFT 2'!$A:$A),"")</f>
        <v/>
      </c>
      <c r="EA95">
        <f>COUNTIFS('DRAFT 2'!$D:$D,$B95,'DRAFT 2'!$A:$A,"&gt;="&amp;DATE(2026,4,1),'DRAFT 2'!$A:$A,"&lt;="&amp;DATE(2026,4,7))</f>
        <v/>
      </c>
      <c r="EB95">
        <f>COUNTIFS('DRAFT 2'!$D:$D,$B95,'DRAFT 2'!$A:$A,"&gt;="&amp;DATE(2026,4,8),'DRAFT 2'!$A:$A,"&lt;="&amp;DATE(2026,4,14))</f>
        <v/>
      </c>
      <c r="EC95">
        <f>COUNTIFS('DRAFT 2'!$D:$D,$B95,'DRAFT 2'!$A:$A,"&gt;="&amp;DATE(2026,4,15),'DRAFT 2'!$A:$A,"&lt;="&amp;DATE(2026,4,21))</f>
        <v/>
      </c>
      <c r="ED95">
        <f>COUNTIFS('DRAFT 2'!$D:$D,$B95,'DRAFT 2'!$A:$A,"&gt;="&amp;DATE(2026,4,22),'DRAFT 2'!$A:$A,"&lt;"&amp;DATE(2026,IF(4=12,4+1,4+1),1))</f>
        <v/>
      </c>
      <c r="EE95">
        <f>SUM(EA95:ED95)</f>
        <v/>
      </c>
      <c r="EO95">
        <f>IFERROR(LOOKUP(2,1/('DRAFT 2'!$D:$D=$B95)*('DRAFT 2'!$A:$A&gt;=DATE(2026,5,1))*('DRAFT 2'!$A:$A&lt;DATE(2026,IF(5=12,5+1,5+1),1)),'DRAFT 2'!$A:$A),"")</f>
        <v/>
      </c>
      <c r="EP95">
        <f>COUNTIFS('DRAFT 2'!$D:$D,$B95,'DRAFT 2'!$A:$A,"&gt;="&amp;DATE(2026,5,1),'DRAFT 2'!$A:$A,"&lt;="&amp;DATE(2026,5,7))</f>
        <v/>
      </c>
      <c r="EQ95">
        <f>COUNTIFS('DRAFT 2'!$D:$D,$B95,'DRAFT 2'!$A:$A,"&gt;="&amp;DATE(2026,5,8),'DRAFT 2'!$A:$A,"&lt;="&amp;DATE(2026,5,14))</f>
        <v/>
      </c>
      <c r="ER95">
        <f>COUNTIFS('DRAFT 2'!$D:$D,$B95,'DRAFT 2'!$A:$A,"&gt;="&amp;DATE(2026,5,15),'DRAFT 2'!$A:$A,"&lt;="&amp;DATE(2026,5,21))</f>
        <v/>
      </c>
      <c r="ES95">
        <f>COUNTIFS('DRAFT 2'!$D:$D,$B95,'DRAFT 2'!$A:$A,"&gt;="&amp;DATE(2026,5,22),'DRAFT 2'!$A:$A,"&lt;"&amp;DATE(2026,IF(5=12,5+1,5+1),1))</f>
        <v/>
      </c>
      <c r="ET95">
        <f>SUM(EP95:ES95)</f>
        <v/>
      </c>
      <c r="FD95">
        <f>IFERROR(LOOKUP(2,1/('DRAFT 2'!$D:$D=$B95)*('DRAFT 2'!$A:$A&gt;=DATE(2026,6,1))*('DRAFT 2'!$A:$A&lt;DATE(2026,IF(6=12,6+1,6+1),1)),'DRAFT 2'!$A:$A),"")</f>
        <v/>
      </c>
      <c r="FE95">
        <f>COUNTIFS('DRAFT 2'!$D:$D,$B95,'DRAFT 2'!$A:$A,"&gt;="&amp;DATE(2026,6,1),'DRAFT 2'!$A:$A,"&lt;="&amp;DATE(2026,6,7))</f>
        <v/>
      </c>
      <c r="FF95">
        <f>COUNTIFS('DRAFT 2'!$D:$D,$B95,'DRAFT 2'!$A:$A,"&gt;="&amp;DATE(2026,6,8),'DRAFT 2'!$A:$A,"&lt;="&amp;DATE(2026,6,14))</f>
        <v/>
      </c>
      <c r="FG95">
        <f>COUNTIFS('DRAFT 2'!$D:$D,$B95,'DRAFT 2'!$A:$A,"&gt;="&amp;DATE(2026,6,15),'DRAFT 2'!$A:$A,"&lt;="&amp;DATE(2026,6,21))</f>
        <v/>
      </c>
      <c r="FH95">
        <f>COUNTIFS('DRAFT 2'!$D:$D,$B95,'DRAFT 2'!$A:$A,"&gt;="&amp;DATE(2026,6,22),'DRAFT 2'!$A:$A,"&lt;"&amp;DATE(2026,IF(6=12,6+1,6+1),1))</f>
        <v/>
      </c>
      <c r="FI95">
        <f>SUM(FE95:FH95)</f>
        <v/>
      </c>
      <c r="FT95">
        <f>IFERROR(LOOKUP(2,1/('DRAFT 2'!$D:$D=$B95)*('DRAFT 2'!$A:$A&gt;=DATE(2026,7,1))*('DRAFT 2'!$A:$A&lt;DATE(2026,IF(7=12,7+1,7+1),1)),'DRAFT 2'!$A:$A),"")</f>
        <v/>
      </c>
      <c r="FU95">
        <f>COUNTIFS('DRAFT 2'!$D:$D,$B95,'DRAFT 2'!$A:$A,"&gt;="&amp;DATE(2026,7,1),'DRAFT 2'!$A:$A,"&lt;="&amp;DATE(2026,7,7))</f>
        <v/>
      </c>
      <c r="FV95">
        <f>COUNTIFS('DRAFT 2'!$D:$D,$B95,'DRAFT 2'!$A:$A,"&gt;="&amp;DATE(2026,7,8),'DRAFT 2'!$A:$A,"&lt;="&amp;DATE(2026,7,14))</f>
        <v/>
      </c>
      <c r="FW95">
        <f>COUNTIFS('DRAFT 2'!$D:$D,$B95,'DRAFT 2'!$A:$A,"&gt;="&amp;DATE(2026,7,15),'DRAFT 2'!$A:$A,"&lt;="&amp;DATE(2026,7,21))</f>
        <v/>
      </c>
      <c r="FX95">
        <f>COUNTIFS('DRAFT 2'!$D:$D,$B95,'DRAFT 2'!$A:$A,"&gt;="&amp;DATE(2026,7,22),'DRAFT 2'!$A:$A,"&lt;"&amp;DATE(2026,IF(7=12,7+1,7+1),1))</f>
        <v/>
      </c>
      <c r="FY95">
        <f>SUM(FU95:FX95)</f>
        <v/>
      </c>
      <c r="GI95">
        <f>IFERROR(LOOKUP(2,1/('DRAFT 2'!$D:$D=$B95)*('DRAFT 2'!$A:$A&gt;=DATE(2026,8,1))*('DRAFT 2'!$A:$A&lt;DATE(2026,IF(8=12,8+1,8+1),1)),'DRAFT 2'!$A:$A),"")</f>
        <v/>
      </c>
      <c r="GJ95">
        <f>COUNTIFS('DRAFT 2'!$D:$D,$B95,'DRAFT 2'!$A:$A,"&gt;="&amp;DATE(2026,8,1),'DRAFT 2'!$A:$A,"&lt;="&amp;DATE(2026,8,7))</f>
        <v/>
      </c>
      <c r="GK95">
        <f>COUNTIFS('DRAFT 2'!$D:$D,$B95,'DRAFT 2'!$A:$A,"&gt;="&amp;DATE(2026,8,8),'DRAFT 2'!$A:$A,"&lt;="&amp;DATE(2026,8,14))</f>
        <v/>
      </c>
      <c r="GL95">
        <f>COUNTIFS('DRAFT 2'!$D:$D,$B95,'DRAFT 2'!$A:$A,"&gt;="&amp;DATE(2026,8,15),'DRAFT 2'!$A:$A,"&lt;="&amp;DATE(2026,8,21))</f>
        <v/>
      </c>
      <c r="GM95">
        <f>COUNTIFS('DRAFT 2'!$D:$D,$B95,'DRAFT 2'!$A:$A,"&gt;="&amp;DATE(2026,8,22),'DRAFT 2'!$A:$A,"&lt;"&amp;DATE(2026,IF(8=12,8+1,8+1),1))</f>
        <v/>
      </c>
      <c r="GN95">
        <f>SUM(GJ95:GM95)</f>
        <v/>
      </c>
      <c r="GX95">
        <f>IFERROR(LOOKUP(2,1/('DRAFT 2'!$D:$D=$B95)*('DRAFT 2'!$A:$A&gt;=DATE(2026,9,1))*('DRAFT 2'!$A:$A&lt;DATE(2026,IF(9=12,9+1,9+1),1)),'DRAFT 2'!$A:$A),"")</f>
        <v/>
      </c>
      <c r="GY95">
        <f>COUNTIFS('DRAFT 2'!$D:$D,$B95,'DRAFT 2'!$A:$A,"&gt;="&amp;DATE(2026,9,1),'DRAFT 2'!$A:$A,"&lt;="&amp;DATE(2026,9,7))</f>
        <v/>
      </c>
      <c r="GZ95">
        <f>COUNTIFS('DRAFT 2'!$D:$D,$B95,'DRAFT 2'!$A:$A,"&gt;="&amp;DATE(2026,9,8),'DRAFT 2'!$A:$A,"&lt;="&amp;DATE(2026,9,14))</f>
        <v/>
      </c>
      <c r="HA95">
        <f>COUNTIFS('DRAFT 2'!$D:$D,$B95,'DRAFT 2'!$A:$A,"&gt;="&amp;DATE(2026,9,15),'DRAFT 2'!$A:$A,"&lt;="&amp;DATE(2026,9,21))</f>
        <v/>
      </c>
      <c r="HB95">
        <f>COUNTIFS('DRAFT 2'!$D:$D,$B95,'DRAFT 2'!$A:$A,"&gt;="&amp;DATE(2026,9,22),'DRAFT 2'!$A:$A,"&lt;"&amp;DATE(2026,IF(9=12,9+1,9+1),1))</f>
        <v/>
      </c>
      <c r="HC95">
        <f>SUM(GY95:HB95)</f>
        <v/>
      </c>
      <c r="HN95">
        <f>IFERROR(LOOKUP(2,1/('DRAFT 2'!$D:$D=$B95)*('DRAFT 2'!$A:$A&gt;=DATE(2026,10,1))*('DRAFT 2'!$A:$A&lt;DATE(2026,IF(10=12,10+1,10+1),1)),'DRAFT 2'!$A:$A),"")</f>
        <v/>
      </c>
      <c r="HO95">
        <f>COUNTIFS('DRAFT 2'!$D:$D,$B95,'DRAFT 2'!$A:$A,"&gt;="&amp;DATE(2026,10,1),'DRAFT 2'!$A:$A,"&lt;="&amp;DATE(2026,10,7))</f>
        <v/>
      </c>
      <c r="HP95">
        <f>COUNTIFS('DRAFT 2'!$D:$D,$B95,'DRAFT 2'!$A:$A,"&gt;="&amp;DATE(2026,10,8),'DRAFT 2'!$A:$A,"&lt;="&amp;DATE(2026,10,14))</f>
        <v/>
      </c>
      <c r="HQ95">
        <f>COUNTIFS('DRAFT 2'!$D:$D,$B95,'DRAFT 2'!$A:$A,"&gt;="&amp;DATE(2026,10,15),'DRAFT 2'!$A:$A,"&lt;="&amp;DATE(2026,10,21))</f>
        <v/>
      </c>
      <c r="HR95">
        <f>COUNTIFS('DRAFT 2'!$D:$D,$B95,'DRAFT 2'!$A:$A,"&gt;="&amp;DATE(2026,10,22),'DRAFT 2'!$A:$A,"&lt;"&amp;DATE(2026,IF(10=12,10+1,10+1),1))</f>
        <v/>
      </c>
      <c r="HS95">
        <f>SUM(HO95:HR95)</f>
        <v/>
      </c>
      <c r="IC95">
        <f>IFERROR(LOOKUP(2,1/('DRAFT 2'!$D:$D=$B95)*('DRAFT 2'!$A:$A&gt;=DATE(2026,11,1))*('DRAFT 2'!$A:$A&lt;DATE(2026,IF(11=12,11+1,11+1),1)),'DRAFT 2'!$A:$A),"")</f>
        <v/>
      </c>
      <c r="ID95">
        <f>COUNTIFS('DRAFT 2'!$D:$D,$B95,'DRAFT 2'!$A:$A,"&gt;="&amp;DATE(2026,11,1),'DRAFT 2'!$A:$A,"&lt;="&amp;DATE(2026,11,7))</f>
        <v/>
      </c>
      <c r="IE95">
        <f>COUNTIFS('DRAFT 2'!$D:$D,$B95,'DRAFT 2'!$A:$A,"&gt;="&amp;DATE(2026,11,8),'DRAFT 2'!$A:$A,"&lt;="&amp;DATE(2026,11,14))</f>
        <v/>
      </c>
      <c r="IF95">
        <f>COUNTIFS('DRAFT 2'!$D:$D,$B95,'DRAFT 2'!$A:$A,"&gt;="&amp;DATE(2026,11,15),'DRAFT 2'!$A:$A,"&lt;="&amp;DATE(2026,11,21))</f>
        <v/>
      </c>
      <c r="IG95">
        <f>COUNTIFS('DRAFT 2'!$D:$D,$B95,'DRAFT 2'!$A:$A,"&gt;="&amp;DATE(2026,11,22),'DRAFT 2'!$A:$A,"&lt;"&amp;DATE(2026,IF(11=12,11+1,11+1),1))</f>
        <v/>
      </c>
      <c r="IH95">
        <f>SUM(ID95:IG95)</f>
        <v/>
      </c>
      <c r="IR95">
        <f>IFERROR(LOOKUP(2,1/('DRAFT 2'!$D:$D=$B95)*('DRAFT 2'!$A:$A&gt;=DATE(2026,12,1))*('DRAFT 2'!$A:$A&lt;DATE(2026,IF(12=12,12+1,12+1),1)),'DRAFT 2'!$A:$A),"")</f>
        <v/>
      </c>
      <c r="IS95">
        <f>COUNTIFS('DRAFT 2'!$D:$D,$B95,'DRAFT 2'!$A:$A,"&gt;="&amp;DATE(2026,12,1),'DRAFT 2'!$A:$A,"&lt;="&amp;DATE(2026,12,7))</f>
        <v/>
      </c>
      <c r="IT95">
        <f>COUNTIFS('DRAFT 2'!$D:$D,$B95,'DRAFT 2'!$A:$A,"&gt;="&amp;DATE(2026,12,8),'DRAFT 2'!$A:$A,"&lt;="&amp;DATE(2026,12,14))</f>
        <v/>
      </c>
      <c r="IU95">
        <f>COUNTIFS('DRAFT 2'!$D:$D,$B95,'DRAFT 2'!$A:$A,"&gt;="&amp;DATE(2026,12,15),'DRAFT 2'!$A:$A,"&lt;="&amp;DATE(2026,12,21))</f>
        <v/>
      </c>
      <c r="IV95">
        <f>COUNTIFS('DRAFT 2'!$D:$D,$B95,'DRAFT 2'!$A:$A,"&gt;="&amp;DATE(2026,12,22),'DRAFT 2'!$A:$A,"&lt;"&amp;DATE(2026,IF(12=12,12+1,12+1),1))</f>
        <v/>
      </c>
      <c r="IW95">
        <f>SUM(IS95:IV95)</f>
        <v/>
      </c>
    </row>
    <row r="96">
      <c r="A96">
        <f>IFERROR(INDEX('DRAFT 1'!$A:$A,MATCH($B96,'DRAFT 1'!$B:$B,0)),"")</f>
        <v/>
      </c>
      <c r="C96">
        <f>IFERROR(INDEX('DRAFT 1'!$C:$C,MATCH($B96,'DRAFT 1'!$B:$B,0)),"")</f>
        <v/>
      </c>
      <c r="D96">
        <f>IFERROR(INDEX('DRAFT 1'!$D:$D,MATCH($B96,'DRAFT 1'!$B:$B,0)),"")</f>
        <v/>
      </c>
      <c r="E96">
        <f>IFERROR(INDEX('DRAFT 1'!$E:$E,MATCH($B96,'DRAFT 1'!$B:$B,0)),"")</f>
        <v/>
      </c>
      <c r="F96">
        <f>IFERROR(INDEX('DRAFT 1'!$F:$F,MATCH($B96,'DRAFT 1'!$B:$B,0)),"")</f>
        <v/>
      </c>
      <c r="G96">
        <f>IFERROR(INDEX('DRAFT 1'!$G:$G,MATCH($B96,'DRAFT 1'!$B:$B,0)),"")</f>
        <v/>
      </c>
      <c r="H96">
        <f>IFERROR(INDEX('DRAFT 1'!$H:$H,MATCH($B96,'DRAFT 1'!$B:$B,0)),"")</f>
        <v/>
      </c>
      <c r="I96" t="inlineStr">
        <is>
          <t>MUNDO VERDE</t>
        </is>
      </c>
      <c r="K96">
        <f>IFERROR(INDEX('DRAFT 1'!$AL:$AL,MATCH($B96,'DRAFT 1'!$B:$B,0)),"")</f>
        <v/>
      </c>
      <c r="L96">
        <f>IFERROR(INDEX('DRAFT 1'!$J:$J,MATCH($B96,'DRAFT 1'!$B:$B,0)),"")</f>
        <v/>
      </c>
      <c r="M96">
        <f>IFERROR(INDEX('DRAFT 1'!$K:$K,MATCH($B96,'DRAFT 1'!$B:$B,0)),"")</f>
        <v/>
      </c>
      <c r="N96" t="inlineStr">
        <is>
          <t>EM RISCO</t>
        </is>
      </c>
      <c r="P96">
        <f>IFERROR(INDEX('DRAFT 1'!$L:$L,MATCH($B96,'DRAFT 1'!$B:$B,0)),"")</f>
        <v/>
      </c>
      <c r="Q96">
        <f>IFERROR(INDEX('DRAFT 1'!$M:$M,MATCH($B96,'DRAFT 1'!$B:$B,0)),"")</f>
        <v/>
      </c>
      <c r="R96">
        <f>IFERROR(INDEX('DRAFT 1'!$N:$N,MATCH($B96,'DRAFT 1'!$B:$B,0)),"")</f>
        <v/>
      </c>
      <c r="S96">
        <f>IFERROR(INDEX('DRAFT 1'!$O:$O,MATCH($B96,'DRAFT 1'!$B:$B,0)),"")</f>
        <v/>
      </c>
      <c r="T96">
        <f>IFERROR(INDEX('DRAFT 1'!$P:$P,MATCH($B96,'DRAFT 1'!$B:$B,0)),"")</f>
        <v/>
      </c>
      <c r="U96">
        <f>IFERROR(INDEX('DRAFT 1'!$Q:$Q,MATCH($B96,'DRAFT 1'!$B:$B,0)),"")</f>
        <v/>
      </c>
      <c r="V96">
        <f>IFERROR(INDEX('DRAFT 1'!$R:$R,MATCH($B96,'DRAFT 1'!$B:$B,0)),"")</f>
        <v/>
      </c>
      <c r="W96">
        <f>IFERROR(INDEX('DRAFT 1'!$S:$S,MATCH($B96,'DRAFT 1'!$B:$B,0)),"")</f>
        <v/>
      </c>
      <c r="X96">
        <f>IFERROR(INDEX('DRAFT 1'!$T:$T,MATCH($B96,'DRAFT 1'!$B:$B,0)),"")</f>
        <v/>
      </c>
      <c r="Z96">
        <f>IFERROR(INDEX('DRAFT 1'!$U:$U,MATCH($B96,'DRAFT 1'!$B:$B,0)),"")</f>
        <v/>
      </c>
      <c r="AA96">
        <f>IFERROR(INDEX('DRAFT 1'!$V:$V,MATCH($B96,'DRAFT 1'!$B:$B,0)),"")</f>
        <v/>
      </c>
      <c r="AB96">
        <f>IFERROR(INDEX('DRAFT 1'!$W:$W,MATCH($B96,'DRAFT 1'!$B:$B,0)),"")</f>
        <v/>
      </c>
      <c r="AC96">
        <f>IFERROR(INDEX('DRAFT 1'!$X:$X,MATCH($B96,'DRAFT 1'!$B:$B,0)),"")</f>
        <v/>
      </c>
      <c r="AD96">
        <f>IFERROR(INDEX('DRAFT 1'!$Y:$Y,MATCH($B96,'DRAFT 1'!$B:$B,0)),"")</f>
        <v/>
      </c>
      <c r="AE96">
        <f>IFERROR(INDEX('DRAFT 1'!$Z:$Z,MATCH($B96,'DRAFT 1'!$B:$B,0)),"")</f>
        <v/>
      </c>
      <c r="AF96">
        <f>IFERROR(INDEX('DRAFT 1'!$AA:$AA,MATCH($B96,'DRAFT 1'!$B:$B,0)),"")</f>
        <v/>
      </c>
      <c r="AG96">
        <f>IFERROR(INDEX('DRAFT 1'!$AB:$AB,MATCH($B96,'DRAFT 1'!$B:$B,0)),"")</f>
        <v/>
      </c>
      <c r="AH96">
        <f>IFERROR(INDEX('DRAFT 1'!$AC:$AC,MATCH($B96,'DRAFT 1'!$B:$B,0)),"")</f>
        <v/>
      </c>
      <c r="AI96">
        <f>IFERROR(INDEX('DRAFT 1'!$AD:$AD,MATCH($B96,'DRAFT 1'!$B:$B,0)),"")</f>
        <v/>
      </c>
      <c r="AJ96">
        <f>IFERROR(INDEX('DRAFT 1'!$AE:$AE,MATCH($B96,'DRAFT 1'!$B:$B,0)),"")</f>
        <v/>
      </c>
      <c r="AK96">
        <f>IFERROR(INDEX('DRAFT 1'!$AG:$AG,MATCH($B96,'DRAFT 1'!$B:$B,0)),"")</f>
        <v/>
      </c>
      <c r="AL96">
        <f>IFERROR(INDEX('DRAFT 1'!$AH:$AH,MATCH($B96,'DRAFT 1'!$B:$B,0)),"")</f>
        <v/>
      </c>
      <c r="AM96">
        <f>IFERROR(INDEX('DRAFT 1'!$AI:$AI,MATCH($B96,'DRAFT 1'!$B:$B,0)),"")</f>
        <v/>
      </c>
      <c r="AN96">
        <f>IFERROR(INDEX('DRAFT 1'!$AJ:$AJ,MATCH($B96,'DRAFT 1'!$B:$B,0)),"")</f>
        <v/>
      </c>
      <c r="AO96">
        <f>IFERROR(Y96/AN96,0)</f>
        <v/>
      </c>
      <c r="AP96">
        <f>IFERROR(INDEX('DRAFT 1'!$AK:$AK,MATCH($B96,'DRAFT 1'!$B:$B,0)),"")</f>
        <v/>
      </c>
      <c r="AR96" t="inlineStr">
        <is>
          <t>SALVAMENTO</t>
        </is>
      </c>
      <c r="AS96">
        <f>IFERROR(LOOKUP(2,1/('DRAFT 2'!$D:$D=$B96),'DRAFT 2'!$T:$T),"")</f>
        <v/>
      </c>
      <c r="AT96">
        <f>IFERROR(LOOKUP(2,1/('DRAFT 2'!$D:$D=$B96),'DRAFT 2'!$A:$A),"")</f>
        <v/>
      </c>
      <c r="AU96">
        <f>IFERROR(LOOKUP(2,1/('DRAFT 2'!$D:$D=$B96),'DRAFT 2'!$R:$R),"")</f>
        <v/>
      </c>
      <c r="AV96">
        <f>IFERROR(LOOKUP(2,1/('DRAFT 2'!$D:$D=$B96),'DRAFT 2'!$S:$S),"")</f>
        <v/>
      </c>
      <c r="AW96" t="inlineStr">
        <is>
          <t>PROSPECT</t>
        </is>
      </c>
      <c r="AX96">
        <f>IFERROR(LOOKUP(2,1/('DRAFT 2'!$D:$D=$B96),'DRAFT 2'!$M:$M),"")</f>
        <v/>
      </c>
      <c r="AY96">
        <f>IFERROR(LOOKUP(2,1/('DRAFT 2'!$D:$D=$B96),'DRAFT 2'!$K:$K),"")</f>
        <v/>
      </c>
      <c r="BG96">
        <f>IFERROR(LOOKUP(2,1/('DRAFT 2'!$D:$D=$B96),'DRAFT 2'!$U:$U),"")</f>
        <v/>
      </c>
      <c r="BH96">
        <f>IFERROR(LOOKUP(2,1/('DRAFT 2'!$D:$D=$B96),'DRAFT 2'!$V:$V),"")</f>
        <v/>
      </c>
      <c r="CE96">
        <f>IFERROR(AJ96,0)</f>
        <v/>
      </c>
      <c r="CF96">
        <f>IFERROR(LOOKUP(2,1/('DRAFT 2'!$D:$D=$B96)*('DRAFT 2'!$A:$A&gt;=DATE(2026,1,1))*('DRAFT 2'!$A:$A&lt;DATE(2026,IF(1=12,1+1,1+1),1)),'DRAFT 2'!$A:$A),"")</f>
        <v/>
      </c>
      <c r="CG96">
        <f>COUNTIFS('DRAFT 2'!$D:$D,$B96,'DRAFT 2'!$A:$A,"&gt;="&amp;DATE(2026,1,1),'DRAFT 2'!$A:$A,"&lt;="&amp;DATE(2026,1,7))</f>
        <v/>
      </c>
      <c r="CH96">
        <f>COUNTIFS('DRAFT 2'!$D:$D,$B96,'DRAFT 2'!$A:$A,"&gt;="&amp;DATE(2026,1,8),'DRAFT 2'!$A:$A,"&lt;="&amp;DATE(2026,1,14))</f>
        <v/>
      </c>
      <c r="CI96">
        <f>COUNTIFS('DRAFT 2'!$D:$D,$B96,'DRAFT 2'!$A:$A,"&gt;="&amp;DATE(2026,1,15),'DRAFT 2'!$A:$A,"&lt;="&amp;DATE(2026,1,21))</f>
        <v/>
      </c>
      <c r="CJ96">
        <f>COUNTIFS('DRAFT 2'!$D:$D,$B96,'DRAFT 2'!$A:$A,"&gt;="&amp;DATE(2026,1,22),'DRAFT 2'!$A:$A,"&lt;"&amp;DATE(2026,IF(1=12,1+1,1+1),1))</f>
        <v/>
      </c>
      <c r="CK96">
        <f>SUM(CG96:CJ96)</f>
        <v/>
      </c>
      <c r="CT96" t="n">
        <v>0</v>
      </c>
      <c r="CU96">
        <f>IFERROR(LOOKUP(2,1/('DRAFT 2'!$D:$D=$B96)*('DRAFT 2'!$A:$A&gt;=DATE(2026,2,1))*('DRAFT 2'!$A:$A&lt;DATE(2026,IF(2=12,2+1,2+1),1)),'DRAFT 2'!$A:$A),"")</f>
        <v/>
      </c>
      <c r="CV96">
        <f>COUNTIFS('DRAFT 2'!$D:$D,$B96,'DRAFT 2'!$A:$A,"&gt;="&amp;DATE(2026,2,1),'DRAFT 2'!$A:$A,"&lt;="&amp;DATE(2026,2,7))</f>
        <v/>
      </c>
      <c r="CW96">
        <f>COUNTIFS('DRAFT 2'!$D:$D,$B96,'DRAFT 2'!$A:$A,"&gt;="&amp;DATE(2026,2,8),'DRAFT 2'!$A:$A,"&lt;="&amp;DATE(2026,2,14))</f>
        <v/>
      </c>
      <c r="CX96">
        <f>COUNTIFS('DRAFT 2'!$D:$D,$B96,'DRAFT 2'!$A:$A,"&gt;="&amp;DATE(2026,2,15),'DRAFT 2'!$A:$A,"&lt;="&amp;DATE(2026,2,21))</f>
        <v/>
      </c>
      <c r="CY96">
        <f>COUNTIFS('DRAFT 2'!$D:$D,$B96,'DRAFT 2'!$A:$A,"&gt;="&amp;DATE(2026,2,22),'DRAFT 2'!$A:$A,"&lt;"&amp;DATE(2026,IF(2=12,2+1,2+1),1))</f>
        <v/>
      </c>
      <c r="CZ96">
        <f>SUM(CV96:CY96)</f>
        <v/>
      </c>
      <c r="DJ96">
        <f>IFERROR(LOOKUP(2,1/('DRAFT 2'!$D:$D=$B96)*('DRAFT 2'!$A:$A&gt;=DATE(2026,3,1))*('DRAFT 2'!$A:$A&lt;DATE(2026,IF(3=12,3+1,3+1),1)),'DRAFT 2'!$A:$A),"")</f>
        <v/>
      </c>
      <c r="DK96">
        <f>COUNTIFS('DRAFT 2'!$D:$D,$B96,'DRAFT 2'!$A:$A,"&gt;="&amp;DATE(2026,3,1),'DRAFT 2'!$A:$A,"&lt;="&amp;DATE(2026,3,7))</f>
        <v/>
      </c>
      <c r="DL96">
        <f>COUNTIFS('DRAFT 2'!$D:$D,$B96,'DRAFT 2'!$A:$A,"&gt;="&amp;DATE(2026,3,8),'DRAFT 2'!$A:$A,"&lt;="&amp;DATE(2026,3,14))</f>
        <v/>
      </c>
      <c r="DM96">
        <f>COUNTIFS('DRAFT 2'!$D:$D,$B96,'DRAFT 2'!$A:$A,"&gt;="&amp;DATE(2026,3,15),'DRAFT 2'!$A:$A,"&lt;="&amp;DATE(2026,3,21))</f>
        <v/>
      </c>
      <c r="DN96">
        <f>COUNTIFS('DRAFT 2'!$D:$D,$B96,'DRAFT 2'!$A:$A,"&gt;="&amp;DATE(2026,3,22),'DRAFT 2'!$A:$A,"&lt;"&amp;DATE(2026,IF(3=12,3+1,3+1),1))</f>
        <v/>
      </c>
      <c r="DO96">
        <f>SUM(DK96:DN96)</f>
        <v/>
      </c>
      <c r="DZ96">
        <f>IFERROR(LOOKUP(2,1/('DRAFT 2'!$D:$D=$B96)*('DRAFT 2'!$A:$A&gt;=DATE(2026,4,1))*('DRAFT 2'!$A:$A&lt;DATE(2026,IF(4=12,4+1,4+1),1)),'DRAFT 2'!$A:$A),"")</f>
        <v/>
      </c>
      <c r="EA96">
        <f>COUNTIFS('DRAFT 2'!$D:$D,$B96,'DRAFT 2'!$A:$A,"&gt;="&amp;DATE(2026,4,1),'DRAFT 2'!$A:$A,"&lt;="&amp;DATE(2026,4,7))</f>
        <v/>
      </c>
      <c r="EB96">
        <f>COUNTIFS('DRAFT 2'!$D:$D,$B96,'DRAFT 2'!$A:$A,"&gt;="&amp;DATE(2026,4,8),'DRAFT 2'!$A:$A,"&lt;="&amp;DATE(2026,4,14))</f>
        <v/>
      </c>
      <c r="EC96">
        <f>COUNTIFS('DRAFT 2'!$D:$D,$B96,'DRAFT 2'!$A:$A,"&gt;="&amp;DATE(2026,4,15),'DRAFT 2'!$A:$A,"&lt;="&amp;DATE(2026,4,21))</f>
        <v/>
      </c>
      <c r="ED96">
        <f>COUNTIFS('DRAFT 2'!$D:$D,$B96,'DRAFT 2'!$A:$A,"&gt;="&amp;DATE(2026,4,22),'DRAFT 2'!$A:$A,"&lt;"&amp;DATE(2026,IF(4=12,4+1,4+1),1))</f>
        <v/>
      </c>
      <c r="EE96">
        <f>SUM(EA96:ED96)</f>
        <v/>
      </c>
      <c r="EO96">
        <f>IFERROR(LOOKUP(2,1/('DRAFT 2'!$D:$D=$B96)*('DRAFT 2'!$A:$A&gt;=DATE(2026,5,1))*('DRAFT 2'!$A:$A&lt;DATE(2026,IF(5=12,5+1,5+1),1)),'DRAFT 2'!$A:$A),"")</f>
        <v/>
      </c>
      <c r="EP96">
        <f>COUNTIFS('DRAFT 2'!$D:$D,$B96,'DRAFT 2'!$A:$A,"&gt;="&amp;DATE(2026,5,1),'DRAFT 2'!$A:$A,"&lt;="&amp;DATE(2026,5,7))</f>
        <v/>
      </c>
      <c r="EQ96">
        <f>COUNTIFS('DRAFT 2'!$D:$D,$B96,'DRAFT 2'!$A:$A,"&gt;="&amp;DATE(2026,5,8),'DRAFT 2'!$A:$A,"&lt;="&amp;DATE(2026,5,14))</f>
        <v/>
      </c>
      <c r="ER96">
        <f>COUNTIFS('DRAFT 2'!$D:$D,$B96,'DRAFT 2'!$A:$A,"&gt;="&amp;DATE(2026,5,15),'DRAFT 2'!$A:$A,"&lt;="&amp;DATE(2026,5,21))</f>
        <v/>
      </c>
      <c r="ES96">
        <f>COUNTIFS('DRAFT 2'!$D:$D,$B96,'DRAFT 2'!$A:$A,"&gt;="&amp;DATE(2026,5,22),'DRAFT 2'!$A:$A,"&lt;"&amp;DATE(2026,IF(5=12,5+1,5+1),1))</f>
        <v/>
      </c>
      <c r="ET96">
        <f>SUM(EP96:ES96)</f>
        <v/>
      </c>
      <c r="FD96">
        <f>IFERROR(LOOKUP(2,1/('DRAFT 2'!$D:$D=$B96)*('DRAFT 2'!$A:$A&gt;=DATE(2026,6,1))*('DRAFT 2'!$A:$A&lt;DATE(2026,IF(6=12,6+1,6+1),1)),'DRAFT 2'!$A:$A),"")</f>
        <v/>
      </c>
      <c r="FE96">
        <f>COUNTIFS('DRAFT 2'!$D:$D,$B96,'DRAFT 2'!$A:$A,"&gt;="&amp;DATE(2026,6,1),'DRAFT 2'!$A:$A,"&lt;="&amp;DATE(2026,6,7))</f>
        <v/>
      </c>
      <c r="FF96">
        <f>COUNTIFS('DRAFT 2'!$D:$D,$B96,'DRAFT 2'!$A:$A,"&gt;="&amp;DATE(2026,6,8),'DRAFT 2'!$A:$A,"&lt;="&amp;DATE(2026,6,14))</f>
        <v/>
      </c>
      <c r="FG96">
        <f>COUNTIFS('DRAFT 2'!$D:$D,$B96,'DRAFT 2'!$A:$A,"&gt;="&amp;DATE(2026,6,15),'DRAFT 2'!$A:$A,"&lt;="&amp;DATE(2026,6,21))</f>
        <v/>
      </c>
      <c r="FH96">
        <f>COUNTIFS('DRAFT 2'!$D:$D,$B96,'DRAFT 2'!$A:$A,"&gt;="&amp;DATE(2026,6,22),'DRAFT 2'!$A:$A,"&lt;"&amp;DATE(2026,IF(6=12,6+1,6+1),1))</f>
        <v/>
      </c>
      <c r="FI96">
        <f>SUM(FE96:FH96)</f>
        <v/>
      </c>
      <c r="FT96">
        <f>IFERROR(LOOKUP(2,1/('DRAFT 2'!$D:$D=$B96)*('DRAFT 2'!$A:$A&gt;=DATE(2026,7,1))*('DRAFT 2'!$A:$A&lt;DATE(2026,IF(7=12,7+1,7+1),1)),'DRAFT 2'!$A:$A),"")</f>
        <v/>
      </c>
      <c r="FU96">
        <f>COUNTIFS('DRAFT 2'!$D:$D,$B96,'DRAFT 2'!$A:$A,"&gt;="&amp;DATE(2026,7,1),'DRAFT 2'!$A:$A,"&lt;="&amp;DATE(2026,7,7))</f>
        <v/>
      </c>
      <c r="FV96">
        <f>COUNTIFS('DRAFT 2'!$D:$D,$B96,'DRAFT 2'!$A:$A,"&gt;="&amp;DATE(2026,7,8),'DRAFT 2'!$A:$A,"&lt;="&amp;DATE(2026,7,14))</f>
        <v/>
      </c>
      <c r="FW96">
        <f>COUNTIFS('DRAFT 2'!$D:$D,$B96,'DRAFT 2'!$A:$A,"&gt;="&amp;DATE(2026,7,15),'DRAFT 2'!$A:$A,"&lt;="&amp;DATE(2026,7,21))</f>
        <v/>
      </c>
      <c r="FX96">
        <f>COUNTIFS('DRAFT 2'!$D:$D,$B96,'DRAFT 2'!$A:$A,"&gt;="&amp;DATE(2026,7,22),'DRAFT 2'!$A:$A,"&lt;"&amp;DATE(2026,IF(7=12,7+1,7+1),1))</f>
        <v/>
      </c>
      <c r="FY96">
        <f>SUM(FU96:FX96)</f>
        <v/>
      </c>
      <c r="GI96">
        <f>IFERROR(LOOKUP(2,1/('DRAFT 2'!$D:$D=$B96)*('DRAFT 2'!$A:$A&gt;=DATE(2026,8,1))*('DRAFT 2'!$A:$A&lt;DATE(2026,IF(8=12,8+1,8+1),1)),'DRAFT 2'!$A:$A),"")</f>
        <v/>
      </c>
      <c r="GJ96">
        <f>COUNTIFS('DRAFT 2'!$D:$D,$B96,'DRAFT 2'!$A:$A,"&gt;="&amp;DATE(2026,8,1),'DRAFT 2'!$A:$A,"&lt;="&amp;DATE(2026,8,7))</f>
        <v/>
      </c>
      <c r="GK96">
        <f>COUNTIFS('DRAFT 2'!$D:$D,$B96,'DRAFT 2'!$A:$A,"&gt;="&amp;DATE(2026,8,8),'DRAFT 2'!$A:$A,"&lt;="&amp;DATE(2026,8,14))</f>
        <v/>
      </c>
      <c r="GL96">
        <f>COUNTIFS('DRAFT 2'!$D:$D,$B96,'DRAFT 2'!$A:$A,"&gt;="&amp;DATE(2026,8,15),'DRAFT 2'!$A:$A,"&lt;="&amp;DATE(2026,8,21))</f>
        <v/>
      </c>
      <c r="GM96">
        <f>COUNTIFS('DRAFT 2'!$D:$D,$B96,'DRAFT 2'!$A:$A,"&gt;="&amp;DATE(2026,8,22),'DRAFT 2'!$A:$A,"&lt;"&amp;DATE(2026,IF(8=12,8+1,8+1),1))</f>
        <v/>
      </c>
      <c r="GN96">
        <f>SUM(GJ96:GM96)</f>
        <v/>
      </c>
      <c r="GX96">
        <f>IFERROR(LOOKUP(2,1/('DRAFT 2'!$D:$D=$B96)*('DRAFT 2'!$A:$A&gt;=DATE(2026,9,1))*('DRAFT 2'!$A:$A&lt;DATE(2026,IF(9=12,9+1,9+1),1)),'DRAFT 2'!$A:$A),"")</f>
        <v/>
      </c>
      <c r="GY96">
        <f>COUNTIFS('DRAFT 2'!$D:$D,$B96,'DRAFT 2'!$A:$A,"&gt;="&amp;DATE(2026,9,1),'DRAFT 2'!$A:$A,"&lt;="&amp;DATE(2026,9,7))</f>
        <v/>
      </c>
      <c r="GZ96">
        <f>COUNTIFS('DRAFT 2'!$D:$D,$B96,'DRAFT 2'!$A:$A,"&gt;="&amp;DATE(2026,9,8),'DRAFT 2'!$A:$A,"&lt;="&amp;DATE(2026,9,14))</f>
        <v/>
      </c>
      <c r="HA96">
        <f>COUNTIFS('DRAFT 2'!$D:$D,$B96,'DRAFT 2'!$A:$A,"&gt;="&amp;DATE(2026,9,15),'DRAFT 2'!$A:$A,"&lt;="&amp;DATE(2026,9,21))</f>
        <v/>
      </c>
      <c r="HB96">
        <f>COUNTIFS('DRAFT 2'!$D:$D,$B96,'DRAFT 2'!$A:$A,"&gt;="&amp;DATE(2026,9,22),'DRAFT 2'!$A:$A,"&lt;"&amp;DATE(2026,IF(9=12,9+1,9+1),1))</f>
        <v/>
      </c>
      <c r="HC96">
        <f>SUM(GY96:HB96)</f>
        <v/>
      </c>
      <c r="HN96">
        <f>IFERROR(LOOKUP(2,1/('DRAFT 2'!$D:$D=$B96)*('DRAFT 2'!$A:$A&gt;=DATE(2026,10,1))*('DRAFT 2'!$A:$A&lt;DATE(2026,IF(10=12,10+1,10+1),1)),'DRAFT 2'!$A:$A),"")</f>
        <v/>
      </c>
      <c r="HO96">
        <f>COUNTIFS('DRAFT 2'!$D:$D,$B96,'DRAFT 2'!$A:$A,"&gt;="&amp;DATE(2026,10,1),'DRAFT 2'!$A:$A,"&lt;="&amp;DATE(2026,10,7))</f>
        <v/>
      </c>
      <c r="HP96">
        <f>COUNTIFS('DRAFT 2'!$D:$D,$B96,'DRAFT 2'!$A:$A,"&gt;="&amp;DATE(2026,10,8),'DRAFT 2'!$A:$A,"&lt;="&amp;DATE(2026,10,14))</f>
        <v/>
      </c>
      <c r="HQ96">
        <f>COUNTIFS('DRAFT 2'!$D:$D,$B96,'DRAFT 2'!$A:$A,"&gt;="&amp;DATE(2026,10,15),'DRAFT 2'!$A:$A,"&lt;="&amp;DATE(2026,10,21))</f>
        <v/>
      </c>
      <c r="HR96">
        <f>COUNTIFS('DRAFT 2'!$D:$D,$B96,'DRAFT 2'!$A:$A,"&gt;="&amp;DATE(2026,10,22),'DRAFT 2'!$A:$A,"&lt;"&amp;DATE(2026,IF(10=12,10+1,10+1),1))</f>
        <v/>
      </c>
      <c r="HS96">
        <f>SUM(HO96:HR96)</f>
        <v/>
      </c>
      <c r="IC96">
        <f>IFERROR(LOOKUP(2,1/('DRAFT 2'!$D:$D=$B96)*('DRAFT 2'!$A:$A&gt;=DATE(2026,11,1))*('DRAFT 2'!$A:$A&lt;DATE(2026,IF(11=12,11+1,11+1),1)),'DRAFT 2'!$A:$A),"")</f>
        <v/>
      </c>
      <c r="ID96">
        <f>COUNTIFS('DRAFT 2'!$D:$D,$B96,'DRAFT 2'!$A:$A,"&gt;="&amp;DATE(2026,11,1),'DRAFT 2'!$A:$A,"&lt;="&amp;DATE(2026,11,7))</f>
        <v/>
      </c>
      <c r="IE96">
        <f>COUNTIFS('DRAFT 2'!$D:$D,$B96,'DRAFT 2'!$A:$A,"&gt;="&amp;DATE(2026,11,8),'DRAFT 2'!$A:$A,"&lt;="&amp;DATE(2026,11,14))</f>
        <v/>
      </c>
      <c r="IF96">
        <f>COUNTIFS('DRAFT 2'!$D:$D,$B96,'DRAFT 2'!$A:$A,"&gt;="&amp;DATE(2026,11,15),'DRAFT 2'!$A:$A,"&lt;="&amp;DATE(2026,11,21))</f>
        <v/>
      </c>
      <c r="IG96">
        <f>COUNTIFS('DRAFT 2'!$D:$D,$B96,'DRAFT 2'!$A:$A,"&gt;="&amp;DATE(2026,11,22),'DRAFT 2'!$A:$A,"&lt;"&amp;DATE(2026,IF(11=12,11+1,11+1),1))</f>
        <v/>
      </c>
      <c r="IH96">
        <f>SUM(ID96:IG96)</f>
        <v/>
      </c>
      <c r="IR96">
        <f>IFERROR(LOOKUP(2,1/('DRAFT 2'!$D:$D=$B96)*('DRAFT 2'!$A:$A&gt;=DATE(2026,12,1))*('DRAFT 2'!$A:$A&lt;DATE(2026,IF(12=12,12+1,12+1),1)),'DRAFT 2'!$A:$A),"")</f>
        <v/>
      </c>
      <c r="IS96">
        <f>COUNTIFS('DRAFT 2'!$D:$D,$B96,'DRAFT 2'!$A:$A,"&gt;="&amp;DATE(2026,12,1),'DRAFT 2'!$A:$A,"&lt;="&amp;DATE(2026,12,7))</f>
        <v/>
      </c>
      <c r="IT96">
        <f>COUNTIFS('DRAFT 2'!$D:$D,$B96,'DRAFT 2'!$A:$A,"&gt;="&amp;DATE(2026,12,8),'DRAFT 2'!$A:$A,"&lt;="&amp;DATE(2026,12,14))</f>
        <v/>
      </c>
      <c r="IU96">
        <f>COUNTIFS('DRAFT 2'!$D:$D,$B96,'DRAFT 2'!$A:$A,"&gt;="&amp;DATE(2026,12,15),'DRAFT 2'!$A:$A,"&lt;="&amp;DATE(2026,12,21))</f>
        <v/>
      </c>
      <c r="IV96">
        <f>COUNTIFS('DRAFT 2'!$D:$D,$B96,'DRAFT 2'!$A:$A,"&gt;="&amp;DATE(2026,12,22),'DRAFT 2'!$A:$A,"&lt;"&amp;DATE(2026,IF(12=12,12+1,12+1),1))</f>
        <v/>
      </c>
      <c r="IW96">
        <f>SUM(IS96:IV96)</f>
        <v/>
      </c>
    </row>
    <row r="97">
      <c r="A97">
        <f>IFERROR(INDEX('DRAFT 1'!$A:$A,MATCH($B97,'DRAFT 1'!$B:$B,0)),"")</f>
        <v/>
      </c>
      <c r="C97">
        <f>IFERROR(INDEX('DRAFT 1'!$C:$C,MATCH($B97,'DRAFT 1'!$B:$B,0)),"")</f>
        <v/>
      </c>
      <c r="D97">
        <f>IFERROR(INDEX('DRAFT 1'!$D:$D,MATCH($B97,'DRAFT 1'!$B:$B,0)),"")</f>
        <v/>
      </c>
      <c r="E97">
        <f>IFERROR(INDEX('DRAFT 1'!$E:$E,MATCH($B97,'DRAFT 1'!$B:$B,0)),"")</f>
        <v/>
      </c>
      <c r="F97">
        <f>IFERROR(INDEX('DRAFT 1'!$F:$F,MATCH($B97,'DRAFT 1'!$B:$B,0)),"")</f>
        <v/>
      </c>
      <c r="G97">
        <f>IFERROR(INDEX('DRAFT 1'!$G:$G,MATCH($B97,'DRAFT 1'!$B:$B,0)),"")</f>
        <v/>
      </c>
      <c r="H97">
        <f>IFERROR(INDEX('DRAFT 1'!$H:$H,MATCH($B97,'DRAFT 1'!$B:$B,0)),"")</f>
        <v/>
      </c>
      <c r="I97" t="inlineStr">
        <is>
          <t>DEMAIS CLIENTES</t>
        </is>
      </c>
      <c r="K97">
        <f>IFERROR(INDEX('DRAFT 1'!$AL:$AL,MATCH($B97,'DRAFT 1'!$B:$B,0)),"")</f>
        <v/>
      </c>
      <c r="L97">
        <f>IFERROR(INDEX('DRAFT 1'!$J:$J,MATCH($B97,'DRAFT 1'!$B:$B,0)),"")</f>
        <v/>
      </c>
      <c r="M97">
        <f>IFERROR(INDEX('DRAFT 1'!$K:$K,MATCH($B97,'DRAFT 1'!$B:$B,0)),"")</f>
        <v/>
      </c>
      <c r="N97" t="inlineStr">
        <is>
          <t>ATIVO</t>
        </is>
      </c>
      <c r="P97">
        <f>IFERROR(INDEX('DRAFT 1'!$L:$L,MATCH($B97,'DRAFT 1'!$B:$B,0)),"")</f>
        <v/>
      </c>
      <c r="Q97">
        <f>IFERROR(INDEX('DRAFT 1'!$M:$M,MATCH($B97,'DRAFT 1'!$B:$B,0)),"")</f>
        <v/>
      </c>
      <c r="R97">
        <f>IFERROR(INDEX('DRAFT 1'!$N:$N,MATCH($B97,'DRAFT 1'!$B:$B,0)),"")</f>
        <v/>
      </c>
      <c r="S97">
        <f>IFERROR(INDEX('DRAFT 1'!$O:$O,MATCH($B97,'DRAFT 1'!$B:$B,0)),"")</f>
        <v/>
      </c>
      <c r="T97">
        <f>IFERROR(INDEX('DRAFT 1'!$P:$P,MATCH($B97,'DRAFT 1'!$B:$B,0)),"")</f>
        <v/>
      </c>
      <c r="U97">
        <f>IFERROR(INDEX('DRAFT 1'!$Q:$Q,MATCH($B97,'DRAFT 1'!$B:$B,0)),"")</f>
        <v/>
      </c>
      <c r="V97">
        <f>IFERROR(INDEX('DRAFT 1'!$R:$R,MATCH($B97,'DRAFT 1'!$B:$B,0)),"")</f>
        <v/>
      </c>
      <c r="W97">
        <f>IFERROR(INDEX('DRAFT 1'!$S:$S,MATCH($B97,'DRAFT 1'!$B:$B,0)),"")</f>
        <v/>
      </c>
      <c r="X97">
        <f>IFERROR(INDEX('DRAFT 1'!$T:$T,MATCH($B97,'DRAFT 1'!$B:$B,0)),"")</f>
        <v/>
      </c>
      <c r="Z97">
        <f>IFERROR(INDEX('DRAFT 1'!$U:$U,MATCH($B97,'DRAFT 1'!$B:$B,0)),"")</f>
        <v/>
      </c>
      <c r="AA97">
        <f>IFERROR(INDEX('DRAFT 1'!$V:$V,MATCH($B97,'DRAFT 1'!$B:$B,0)),"")</f>
        <v/>
      </c>
      <c r="AB97">
        <f>IFERROR(INDEX('DRAFT 1'!$W:$W,MATCH($B97,'DRAFT 1'!$B:$B,0)),"")</f>
        <v/>
      </c>
      <c r="AC97">
        <f>IFERROR(INDEX('DRAFT 1'!$X:$X,MATCH($B97,'DRAFT 1'!$B:$B,0)),"")</f>
        <v/>
      </c>
      <c r="AD97">
        <f>IFERROR(INDEX('DRAFT 1'!$Y:$Y,MATCH($B97,'DRAFT 1'!$B:$B,0)),"")</f>
        <v/>
      </c>
      <c r="AE97">
        <f>IFERROR(INDEX('DRAFT 1'!$Z:$Z,MATCH($B97,'DRAFT 1'!$B:$B,0)),"")</f>
        <v/>
      </c>
      <c r="AF97">
        <f>IFERROR(INDEX('DRAFT 1'!$AA:$AA,MATCH($B97,'DRAFT 1'!$B:$B,0)),"")</f>
        <v/>
      </c>
      <c r="AG97">
        <f>IFERROR(INDEX('DRAFT 1'!$AB:$AB,MATCH($B97,'DRAFT 1'!$B:$B,0)),"")</f>
        <v/>
      </c>
      <c r="AH97">
        <f>IFERROR(INDEX('DRAFT 1'!$AC:$AC,MATCH($B97,'DRAFT 1'!$B:$B,0)),"")</f>
        <v/>
      </c>
      <c r="AI97">
        <f>IFERROR(INDEX('DRAFT 1'!$AD:$AD,MATCH($B97,'DRAFT 1'!$B:$B,0)),"")</f>
        <v/>
      </c>
      <c r="AJ97">
        <f>IFERROR(INDEX('DRAFT 1'!$AE:$AE,MATCH($B97,'DRAFT 1'!$B:$B,0)),"")</f>
        <v/>
      </c>
      <c r="AK97">
        <f>IFERROR(INDEX('DRAFT 1'!$AG:$AG,MATCH($B97,'DRAFT 1'!$B:$B,0)),"")</f>
        <v/>
      </c>
      <c r="AL97">
        <f>IFERROR(INDEX('DRAFT 1'!$AH:$AH,MATCH($B97,'DRAFT 1'!$B:$B,0)),"")</f>
        <v/>
      </c>
      <c r="AM97">
        <f>IFERROR(INDEX('DRAFT 1'!$AI:$AI,MATCH($B97,'DRAFT 1'!$B:$B,0)),"")</f>
        <v/>
      </c>
      <c r="AN97">
        <f>IFERROR(INDEX('DRAFT 1'!$AJ:$AJ,MATCH($B97,'DRAFT 1'!$B:$B,0)),"")</f>
        <v/>
      </c>
      <c r="AO97">
        <f>IFERROR(Y97/AN97,0)</f>
        <v/>
      </c>
      <c r="AP97">
        <f>IFERROR(INDEX('DRAFT 1'!$AK:$AK,MATCH($B97,'DRAFT 1'!$B:$B,0)),"")</f>
        <v/>
      </c>
      <c r="AR97" t="inlineStr">
        <is>
          <t>PROSPECÇÃO</t>
        </is>
      </c>
      <c r="AS97">
        <f>IFERROR(LOOKUP(2,1/('DRAFT 2'!$D:$D=$B97),'DRAFT 2'!$T:$T),"")</f>
        <v/>
      </c>
      <c r="AT97">
        <f>IFERROR(LOOKUP(2,1/('DRAFT 2'!$D:$D=$B97),'DRAFT 2'!$A:$A),"")</f>
        <v/>
      </c>
      <c r="AU97">
        <f>IFERROR(LOOKUP(2,1/('DRAFT 2'!$D:$D=$B97),'DRAFT 2'!$R:$R),"")</f>
        <v/>
      </c>
      <c r="AV97">
        <f>IFERROR(LOOKUP(2,1/('DRAFT 2'!$D:$D=$B97),'DRAFT 2'!$S:$S),"")</f>
        <v/>
      </c>
      <c r="AW97" t="inlineStr">
        <is>
          <t>EM DESENVOLVIMENTO</t>
        </is>
      </c>
      <c r="AX97">
        <f>IFERROR(LOOKUP(2,1/('DRAFT 2'!$D:$D=$B97),'DRAFT 2'!$M:$M),"")</f>
        <v/>
      </c>
      <c r="AY97">
        <f>IFERROR(LOOKUP(2,1/('DRAFT 2'!$D:$D=$B97),'DRAFT 2'!$K:$K),"")</f>
        <v/>
      </c>
      <c r="BG97">
        <f>IFERROR(LOOKUP(2,1/('DRAFT 2'!$D:$D=$B97),'DRAFT 2'!$U:$U),"")</f>
        <v/>
      </c>
      <c r="BH97">
        <f>IFERROR(LOOKUP(2,1/('DRAFT 2'!$D:$D=$B97),'DRAFT 2'!$V:$V),"")</f>
        <v/>
      </c>
      <c r="CE97">
        <f>IFERROR(AJ97,0)</f>
        <v/>
      </c>
      <c r="CF97">
        <f>IFERROR(LOOKUP(2,1/('DRAFT 2'!$D:$D=$B97)*('DRAFT 2'!$A:$A&gt;=DATE(2026,1,1))*('DRAFT 2'!$A:$A&lt;DATE(2026,IF(1=12,1+1,1+1),1)),'DRAFT 2'!$A:$A),"")</f>
        <v/>
      </c>
      <c r="CG97">
        <f>COUNTIFS('DRAFT 2'!$D:$D,$B97,'DRAFT 2'!$A:$A,"&gt;="&amp;DATE(2026,1,1),'DRAFT 2'!$A:$A,"&lt;="&amp;DATE(2026,1,7))</f>
        <v/>
      </c>
      <c r="CH97">
        <f>COUNTIFS('DRAFT 2'!$D:$D,$B97,'DRAFT 2'!$A:$A,"&gt;="&amp;DATE(2026,1,8),'DRAFT 2'!$A:$A,"&lt;="&amp;DATE(2026,1,14))</f>
        <v/>
      </c>
      <c r="CI97">
        <f>COUNTIFS('DRAFT 2'!$D:$D,$B97,'DRAFT 2'!$A:$A,"&gt;="&amp;DATE(2026,1,15),'DRAFT 2'!$A:$A,"&lt;="&amp;DATE(2026,1,21))</f>
        <v/>
      </c>
      <c r="CJ97">
        <f>COUNTIFS('DRAFT 2'!$D:$D,$B97,'DRAFT 2'!$A:$A,"&gt;="&amp;DATE(2026,1,22),'DRAFT 2'!$A:$A,"&lt;"&amp;DATE(2026,IF(1=12,1+1,1+1),1))</f>
        <v/>
      </c>
      <c r="CK97">
        <f>SUM(CG97:CJ97)</f>
        <v/>
      </c>
      <c r="CT97" t="n">
        <v>0</v>
      </c>
      <c r="CU97">
        <f>IFERROR(LOOKUP(2,1/('DRAFT 2'!$D:$D=$B97)*('DRAFT 2'!$A:$A&gt;=DATE(2026,2,1))*('DRAFT 2'!$A:$A&lt;DATE(2026,IF(2=12,2+1,2+1),1)),'DRAFT 2'!$A:$A),"")</f>
        <v/>
      </c>
      <c r="CV97">
        <f>COUNTIFS('DRAFT 2'!$D:$D,$B97,'DRAFT 2'!$A:$A,"&gt;="&amp;DATE(2026,2,1),'DRAFT 2'!$A:$A,"&lt;="&amp;DATE(2026,2,7))</f>
        <v/>
      </c>
      <c r="CW97">
        <f>COUNTIFS('DRAFT 2'!$D:$D,$B97,'DRAFT 2'!$A:$A,"&gt;="&amp;DATE(2026,2,8),'DRAFT 2'!$A:$A,"&lt;="&amp;DATE(2026,2,14))</f>
        <v/>
      </c>
      <c r="CX97">
        <f>COUNTIFS('DRAFT 2'!$D:$D,$B97,'DRAFT 2'!$A:$A,"&gt;="&amp;DATE(2026,2,15),'DRAFT 2'!$A:$A,"&lt;="&amp;DATE(2026,2,21))</f>
        <v/>
      </c>
      <c r="CY97">
        <f>COUNTIFS('DRAFT 2'!$D:$D,$B97,'DRAFT 2'!$A:$A,"&gt;="&amp;DATE(2026,2,22),'DRAFT 2'!$A:$A,"&lt;"&amp;DATE(2026,IF(2=12,2+1,2+1),1))</f>
        <v/>
      </c>
      <c r="CZ97">
        <f>SUM(CV97:CY97)</f>
        <v/>
      </c>
      <c r="DJ97">
        <f>IFERROR(LOOKUP(2,1/('DRAFT 2'!$D:$D=$B97)*('DRAFT 2'!$A:$A&gt;=DATE(2026,3,1))*('DRAFT 2'!$A:$A&lt;DATE(2026,IF(3=12,3+1,3+1),1)),'DRAFT 2'!$A:$A),"")</f>
        <v/>
      </c>
      <c r="DK97">
        <f>COUNTIFS('DRAFT 2'!$D:$D,$B97,'DRAFT 2'!$A:$A,"&gt;="&amp;DATE(2026,3,1),'DRAFT 2'!$A:$A,"&lt;="&amp;DATE(2026,3,7))</f>
        <v/>
      </c>
      <c r="DL97">
        <f>COUNTIFS('DRAFT 2'!$D:$D,$B97,'DRAFT 2'!$A:$A,"&gt;="&amp;DATE(2026,3,8),'DRAFT 2'!$A:$A,"&lt;="&amp;DATE(2026,3,14))</f>
        <v/>
      </c>
      <c r="DM97">
        <f>COUNTIFS('DRAFT 2'!$D:$D,$B97,'DRAFT 2'!$A:$A,"&gt;="&amp;DATE(2026,3,15),'DRAFT 2'!$A:$A,"&lt;="&amp;DATE(2026,3,21))</f>
        <v/>
      </c>
      <c r="DN97">
        <f>COUNTIFS('DRAFT 2'!$D:$D,$B97,'DRAFT 2'!$A:$A,"&gt;="&amp;DATE(2026,3,22),'DRAFT 2'!$A:$A,"&lt;"&amp;DATE(2026,IF(3=12,3+1,3+1),1))</f>
        <v/>
      </c>
      <c r="DO97">
        <f>SUM(DK97:DN97)</f>
        <v/>
      </c>
      <c r="DZ97">
        <f>IFERROR(LOOKUP(2,1/('DRAFT 2'!$D:$D=$B97)*('DRAFT 2'!$A:$A&gt;=DATE(2026,4,1))*('DRAFT 2'!$A:$A&lt;DATE(2026,IF(4=12,4+1,4+1),1)),'DRAFT 2'!$A:$A),"")</f>
        <v/>
      </c>
      <c r="EA97">
        <f>COUNTIFS('DRAFT 2'!$D:$D,$B97,'DRAFT 2'!$A:$A,"&gt;="&amp;DATE(2026,4,1),'DRAFT 2'!$A:$A,"&lt;="&amp;DATE(2026,4,7))</f>
        <v/>
      </c>
      <c r="EB97">
        <f>COUNTIFS('DRAFT 2'!$D:$D,$B97,'DRAFT 2'!$A:$A,"&gt;="&amp;DATE(2026,4,8),'DRAFT 2'!$A:$A,"&lt;="&amp;DATE(2026,4,14))</f>
        <v/>
      </c>
      <c r="EC97">
        <f>COUNTIFS('DRAFT 2'!$D:$D,$B97,'DRAFT 2'!$A:$A,"&gt;="&amp;DATE(2026,4,15),'DRAFT 2'!$A:$A,"&lt;="&amp;DATE(2026,4,21))</f>
        <v/>
      </c>
      <c r="ED97">
        <f>COUNTIFS('DRAFT 2'!$D:$D,$B97,'DRAFT 2'!$A:$A,"&gt;="&amp;DATE(2026,4,22),'DRAFT 2'!$A:$A,"&lt;"&amp;DATE(2026,IF(4=12,4+1,4+1),1))</f>
        <v/>
      </c>
      <c r="EE97">
        <f>SUM(EA97:ED97)</f>
        <v/>
      </c>
      <c r="EO97">
        <f>IFERROR(LOOKUP(2,1/('DRAFT 2'!$D:$D=$B97)*('DRAFT 2'!$A:$A&gt;=DATE(2026,5,1))*('DRAFT 2'!$A:$A&lt;DATE(2026,IF(5=12,5+1,5+1),1)),'DRAFT 2'!$A:$A),"")</f>
        <v/>
      </c>
      <c r="EP97">
        <f>COUNTIFS('DRAFT 2'!$D:$D,$B97,'DRAFT 2'!$A:$A,"&gt;="&amp;DATE(2026,5,1),'DRAFT 2'!$A:$A,"&lt;="&amp;DATE(2026,5,7))</f>
        <v/>
      </c>
      <c r="EQ97">
        <f>COUNTIFS('DRAFT 2'!$D:$D,$B97,'DRAFT 2'!$A:$A,"&gt;="&amp;DATE(2026,5,8),'DRAFT 2'!$A:$A,"&lt;="&amp;DATE(2026,5,14))</f>
        <v/>
      </c>
      <c r="ER97">
        <f>COUNTIFS('DRAFT 2'!$D:$D,$B97,'DRAFT 2'!$A:$A,"&gt;="&amp;DATE(2026,5,15),'DRAFT 2'!$A:$A,"&lt;="&amp;DATE(2026,5,21))</f>
        <v/>
      </c>
      <c r="ES97">
        <f>COUNTIFS('DRAFT 2'!$D:$D,$B97,'DRAFT 2'!$A:$A,"&gt;="&amp;DATE(2026,5,22),'DRAFT 2'!$A:$A,"&lt;"&amp;DATE(2026,IF(5=12,5+1,5+1),1))</f>
        <v/>
      </c>
      <c r="ET97">
        <f>SUM(EP97:ES97)</f>
        <v/>
      </c>
      <c r="FD97">
        <f>IFERROR(LOOKUP(2,1/('DRAFT 2'!$D:$D=$B97)*('DRAFT 2'!$A:$A&gt;=DATE(2026,6,1))*('DRAFT 2'!$A:$A&lt;DATE(2026,IF(6=12,6+1,6+1),1)),'DRAFT 2'!$A:$A),"")</f>
        <v/>
      </c>
      <c r="FE97">
        <f>COUNTIFS('DRAFT 2'!$D:$D,$B97,'DRAFT 2'!$A:$A,"&gt;="&amp;DATE(2026,6,1),'DRAFT 2'!$A:$A,"&lt;="&amp;DATE(2026,6,7))</f>
        <v/>
      </c>
      <c r="FF97">
        <f>COUNTIFS('DRAFT 2'!$D:$D,$B97,'DRAFT 2'!$A:$A,"&gt;="&amp;DATE(2026,6,8),'DRAFT 2'!$A:$A,"&lt;="&amp;DATE(2026,6,14))</f>
        <v/>
      </c>
      <c r="FG97">
        <f>COUNTIFS('DRAFT 2'!$D:$D,$B97,'DRAFT 2'!$A:$A,"&gt;="&amp;DATE(2026,6,15),'DRAFT 2'!$A:$A,"&lt;="&amp;DATE(2026,6,21))</f>
        <v/>
      </c>
      <c r="FH97">
        <f>COUNTIFS('DRAFT 2'!$D:$D,$B97,'DRAFT 2'!$A:$A,"&gt;="&amp;DATE(2026,6,22),'DRAFT 2'!$A:$A,"&lt;"&amp;DATE(2026,IF(6=12,6+1,6+1),1))</f>
        <v/>
      </c>
      <c r="FI97">
        <f>SUM(FE97:FH97)</f>
        <v/>
      </c>
      <c r="FT97">
        <f>IFERROR(LOOKUP(2,1/('DRAFT 2'!$D:$D=$B97)*('DRAFT 2'!$A:$A&gt;=DATE(2026,7,1))*('DRAFT 2'!$A:$A&lt;DATE(2026,IF(7=12,7+1,7+1),1)),'DRAFT 2'!$A:$A),"")</f>
        <v/>
      </c>
      <c r="FU97">
        <f>COUNTIFS('DRAFT 2'!$D:$D,$B97,'DRAFT 2'!$A:$A,"&gt;="&amp;DATE(2026,7,1),'DRAFT 2'!$A:$A,"&lt;="&amp;DATE(2026,7,7))</f>
        <v/>
      </c>
      <c r="FV97">
        <f>COUNTIFS('DRAFT 2'!$D:$D,$B97,'DRAFT 2'!$A:$A,"&gt;="&amp;DATE(2026,7,8),'DRAFT 2'!$A:$A,"&lt;="&amp;DATE(2026,7,14))</f>
        <v/>
      </c>
      <c r="FW97">
        <f>COUNTIFS('DRAFT 2'!$D:$D,$B97,'DRAFT 2'!$A:$A,"&gt;="&amp;DATE(2026,7,15),'DRAFT 2'!$A:$A,"&lt;="&amp;DATE(2026,7,21))</f>
        <v/>
      </c>
      <c r="FX97">
        <f>COUNTIFS('DRAFT 2'!$D:$D,$B97,'DRAFT 2'!$A:$A,"&gt;="&amp;DATE(2026,7,22),'DRAFT 2'!$A:$A,"&lt;"&amp;DATE(2026,IF(7=12,7+1,7+1),1))</f>
        <v/>
      </c>
      <c r="FY97">
        <f>SUM(FU97:FX97)</f>
        <v/>
      </c>
      <c r="GI97">
        <f>IFERROR(LOOKUP(2,1/('DRAFT 2'!$D:$D=$B97)*('DRAFT 2'!$A:$A&gt;=DATE(2026,8,1))*('DRAFT 2'!$A:$A&lt;DATE(2026,IF(8=12,8+1,8+1),1)),'DRAFT 2'!$A:$A),"")</f>
        <v/>
      </c>
      <c r="GJ97">
        <f>COUNTIFS('DRAFT 2'!$D:$D,$B97,'DRAFT 2'!$A:$A,"&gt;="&amp;DATE(2026,8,1),'DRAFT 2'!$A:$A,"&lt;="&amp;DATE(2026,8,7))</f>
        <v/>
      </c>
      <c r="GK97">
        <f>COUNTIFS('DRAFT 2'!$D:$D,$B97,'DRAFT 2'!$A:$A,"&gt;="&amp;DATE(2026,8,8),'DRAFT 2'!$A:$A,"&lt;="&amp;DATE(2026,8,14))</f>
        <v/>
      </c>
      <c r="GL97">
        <f>COUNTIFS('DRAFT 2'!$D:$D,$B97,'DRAFT 2'!$A:$A,"&gt;="&amp;DATE(2026,8,15),'DRAFT 2'!$A:$A,"&lt;="&amp;DATE(2026,8,21))</f>
        <v/>
      </c>
      <c r="GM97">
        <f>COUNTIFS('DRAFT 2'!$D:$D,$B97,'DRAFT 2'!$A:$A,"&gt;="&amp;DATE(2026,8,22),'DRAFT 2'!$A:$A,"&lt;"&amp;DATE(2026,IF(8=12,8+1,8+1),1))</f>
        <v/>
      </c>
      <c r="GN97">
        <f>SUM(GJ97:GM97)</f>
        <v/>
      </c>
      <c r="GX97">
        <f>IFERROR(LOOKUP(2,1/('DRAFT 2'!$D:$D=$B97)*('DRAFT 2'!$A:$A&gt;=DATE(2026,9,1))*('DRAFT 2'!$A:$A&lt;DATE(2026,IF(9=12,9+1,9+1),1)),'DRAFT 2'!$A:$A),"")</f>
        <v/>
      </c>
      <c r="GY97">
        <f>COUNTIFS('DRAFT 2'!$D:$D,$B97,'DRAFT 2'!$A:$A,"&gt;="&amp;DATE(2026,9,1),'DRAFT 2'!$A:$A,"&lt;="&amp;DATE(2026,9,7))</f>
        <v/>
      </c>
      <c r="GZ97">
        <f>COUNTIFS('DRAFT 2'!$D:$D,$B97,'DRAFT 2'!$A:$A,"&gt;="&amp;DATE(2026,9,8),'DRAFT 2'!$A:$A,"&lt;="&amp;DATE(2026,9,14))</f>
        <v/>
      </c>
      <c r="HA97">
        <f>COUNTIFS('DRAFT 2'!$D:$D,$B97,'DRAFT 2'!$A:$A,"&gt;="&amp;DATE(2026,9,15),'DRAFT 2'!$A:$A,"&lt;="&amp;DATE(2026,9,21))</f>
        <v/>
      </c>
      <c r="HB97">
        <f>COUNTIFS('DRAFT 2'!$D:$D,$B97,'DRAFT 2'!$A:$A,"&gt;="&amp;DATE(2026,9,22),'DRAFT 2'!$A:$A,"&lt;"&amp;DATE(2026,IF(9=12,9+1,9+1),1))</f>
        <v/>
      </c>
      <c r="HC97">
        <f>SUM(GY97:HB97)</f>
        <v/>
      </c>
      <c r="HN97">
        <f>IFERROR(LOOKUP(2,1/('DRAFT 2'!$D:$D=$B97)*('DRAFT 2'!$A:$A&gt;=DATE(2026,10,1))*('DRAFT 2'!$A:$A&lt;DATE(2026,IF(10=12,10+1,10+1),1)),'DRAFT 2'!$A:$A),"")</f>
        <v/>
      </c>
      <c r="HO97">
        <f>COUNTIFS('DRAFT 2'!$D:$D,$B97,'DRAFT 2'!$A:$A,"&gt;="&amp;DATE(2026,10,1),'DRAFT 2'!$A:$A,"&lt;="&amp;DATE(2026,10,7))</f>
        <v/>
      </c>
      <c r="HP97">
        <f>COUNTIFS('DRAFT 2'!$D:$D,$B97,'DRAFT 2'!$A:$A,"&gt;="&amp;DATE(2026,10,8),'DRAFT 2'!$A:$A,"&lt;="&amp;DATE(2026,10,14))</f>
        <v/>
      </c>
      <c r="HQ97">
        <f>COUNTIFS('DRAFT 2'!$D:$D,$B97,'DRAFT 2'!$A:$A,"&gt;="&amp;DATE(2026,10,15),'DRAFT 2'!$A:$A,"&lt;="&amp;DATE(2026,10,21))</f>
        <v/>
      </c>
      <c r="HR97">
        <f>COUNTIFS('DRAFT 2'!$D:$D,$B97,'DRAFT 2'!$A:$A,"&gt;="&amp;DATE(2026,10,22),'DRAFT 2'!$A:$A,"&lt;"&amp;DATE(2026,IF(10=12,10+1,10+1),1))</f>
        <v/>
      </c>
      <c r="HS97">
        <f>SUM(HO97:HR97)</f>
        <v/>
      </c>
      <c r="IC97">
        <f>IFERROR(LOOKUP(2,1/('DRAFT 2'!$D:$D=$B97)*('DRAFT 2'!$A:$A&gt;=DATE(2026,11,1))*('DRAFT 2'!$A:$A&lt;DATE(2026,IF(11=12,11+1,11+1),1)),'DRAFT 2'!$A:$A),"")</f>
        <v/>
      </c>
      <c r="ID97">
        <f>COUNTIFS('DRAFT 2'!$D:$D,$B97,'DRAFT 2'!$A:$A,"&gt;="&amp;DATE(2026,11,1),'DRAFT 2'!$A:$A,"&lt;="&amp;DATE(2026,11,7))</f>
        <v/>
      </c>
      <c r="IE97">
        <f>COUNTIFS('DRAFT 2'!$D:$D,$B97,'DRAFT 2'!$A:$A,"&gt;="&amp;DATE(2026,11,8),'DRAFT 2'!$A:$A,"&lt;="&amp;DATE(2026,11,14))</f>
        <v/>
      </c>
      <c r="IF97">
        <f>COUNTIFS('DRAFT 2'!$D:$D,$B97,'DRAFT 2'!$A:$A,"&gt;="&amp;DATE(2026,11,15),'DRAFT 2'!$A:$A,"&lt;="&amp;DATE(2026,11,21))</f>
        <v/>
      </c>
      <c r="IG97">
        <f>COUNTIFS('DRAFT 2'!$D:$D,$B97,'DRAFT 2'!$A:$A,"&gt;="&amp;DATE(2026,11,22),'DRAFT 2'!$A:$A,"&lt;"&amp;DATE(2026,IF(11=12,11+1,11+1),1))</f>
        <v/>
      </c>
      <c r="IH97">
        <f>SUM(ID97:IG97)</f>
        <v/>
      </c>
      <c r="IR97">
        <f>IFERROR(LOOKUP(2,1/('DRAFT 2'!$D:$D=$B97)*('DRAFT 2'!$A:$A&gt;=DATE(2026,12,1))*('DRAFT 2'!$A:$A&lt;DATE(2026,IF(12=12,12+1,12+1),1)),'DRAFT 2'!$A:$A),"")</f>
        <v/>
      </c>
      <c r="IS97">
        <f>COUNTIFS('DRAFT 2'!$D:$D,$B97,'DRAFT 2'!$A:$A,"&gt;="&amp;DATE(2026,12,1),'DRAFT 2'!$A:$A,"&lt;="&amp;DATE(2026,12,7))</f>
        <v/>
      </c>
      <c r="IT97">
        <f>COUNTIFS('DRAFT 2'!$D:$D,$B97,'DRAFT 2'!$A:$A,"&gt;="&amp;DATE(2026,12,8),'DRAFT 2'!$A:$A,"&lt;="&amp;DATE(2026,12,14))</f>
        <v/>
      </c>
      <c r="IU97">
        <f>COUNTIFS('DRAFT 2'!$D:$D,$B97,'DRAFT 2'!$A:$A,"&gt;="&amp;DATE(2026,12,15),'DRAFT 2'!$A:$A,"&lt;="&amp;DATE(2026,12,21))</f>
        <v/>
      </c>
      <c r="IV97">
        <f>COUNTIFS('DRAFT 2'!$D:$D,$B97,'DRAFT 2'!$A:$A,"&gt;="&amp;DATE(2026,12,22),'DRAFT 2'!$A:$A,"&lt;"&amp;DATE(2026,IF(12=12,12+1,12+1),1))</f>
        <v/>
      </c>
      <c r="IW97">
        <f>SUM(IS97:IV97)</f>
        <v/>
      </c>
    </row>
    <row r="98">
      <c r="A98">
        <f>IFERROR(INDEX('DRAFT 1'!$A:$A,MATCH($B98,'DRAFT 1'!$B:$B,0)),"")</f>
        <v/>
      </c>
      <c r="C98">
        <f>IFERROR(INDEX('DRAFT 1'!$C:$C,MATCH($B98,'DRAFT 1'!$B:$B,0)),"")</f>
        <v/>
      </c>
      <c r="D98">
        <f>IFERROR(INDEX('DRAFT 1'!$D:$D,MATCH($B98,'DRAFT 1'!$B:$B,0)),"")</f>
        <v/>
      </c>
      <c r="E98">
        <f>IFERROR(INDEX('DRAFT 1'!$E:$E,MATCH($B98,'DRAFT 1'!$B:$B,0)),"")</f>
        <v/>
      </c>
      <c r="F98">
        <f>IFERROR(INDEX('DRAFT 1'!$F:$F,MATCH($B98,'DRAFT 1'!$B:$B,0)),"")</f>
        <v/>
      </c>
      <c r="G98">
        <f>IFERROR(INDEX('DRAFT 1'!$G:$G,MATCH($B98,'DRAFT 1'!$B:$B,0)),"")</f>
        <v/>
      </c>
      <c r="H98">
        <f>IFERROR(INDEX('DRAFT 1'!$H:$H,MATCH($B98,'DRAFT 1'!$B:$B,0)),"")</f>
        <v/>
      </c>
      <c r="I98" t="inlineStr">
        <is>
          <t>MUNDO VERDE</t>
        </is>
      </c>
      <c r="K98">
        <f>IFERROR(INDEX('DRAFT 1'!$AL:$AL,MATCH($B98,'DRAFT 1'!$B:$B,0)),"")</f>
        <v/>
      </c>
      <c r="L98">
        <f>IFERROR(INDEX('DRAFT 1'!$J:$J,MATCH($B98,'DRAFT 1'!$B:$B,0)),"")</f>
        <v/>
      </c>
      <c r="M98">
        <f>IFERROR(INDEX('DRAFT 1'!$K:$K,MATCH($B98,'DRAFT 1'!$B:$B,0)),"")</f>
        <v/>
      </c>
      <c r="N98" t="inlineStr">
        <is>
          <t>INAT.REC</t>
        </is>
      </c>
      <c r="P98">
        <f>IFERROR(INDEX('DRAFT 1'!$L:$L,MATCH($B98,'DRAFT 1'!$B:$B,0)),"")</f>
        <v/>
      </c>
      <c r="Q98">
        <f>IFERROR(INDEX('DRAFT 1'!$M:$M,MATCH($B98,'DRAFT 1'!$B:$B,0)),"")</f>
        <v/>
      </c>
      <c r="R98">
        <f>IFERROR(INDEX('DRAFT 1'!$N:$N,MATCH($B98,'DRAFT 1'!$B:$B,0)),"")</f>
        <v/>
      </c>
      <c r="S98">
        <f>IFERROR(INDEX('DRAFT 1'!$O:$O,MATCH($B98,'DRAFT 1'!$B:$B,0)),"")</f>
        <v/>
      </c>
      <c r="T98">
        <f>IFERROR(INDEX('DRAFT 1'!$P:$P,MATCH($B98,'DRAFT 1'!$B:$B,0)),"")</f>
        <v/>
      </c>
      <c r="U98">
        <f>IFERROR(INDEX('DRAFT 1'!$Q:$Q,MATCH($B98,'DRAFT 1'!$B:$B,0)),"")</f>
        <v/>
      </c>
      <c r="V98">
        <f>IFERROR(INDEX('DRAFT 1'!$R:$R,MATCH($B98,'DRAFT 1'!$B:$B,0)),"")</f>
        <v/>
      </c>
      <c r="W98">
        <f>IFERROR(INDEX('DRAFT 1'!$S:$S,MATCH($B98,'DRAFT 1'!$B:$B,0)),"")</f>
        <v/>
      </c>
      <c r="X98">
        <f>IFERROR(INDEX('DRAFT 1'!$T:$T,MATCH($B98,'DRAFT 1'!$B:$B,0)),"")</f>
        <v/>
      </c>
      <c r="Z98">
        <f>IFERROR(INDEX('DRAFT 1'!$U:$U,MATCH($B98,'DRAFT 1'!$B:$B,0)),"")</f>
        <v/>
      </c>
      <c r="AA98">
        <f>IFERROR(INDEX('DRAFT 1'!$V:$V,MATCH($B98,'DRAFT 1'!$B:$B,0)),"")</f>
        <v/>
      </c>
      <c r="AB98">
        <f>IFERROR(INDEX('DRAFT 1'!$W:$W,MATCH($B98,'DRAFT 1'!$B:$B,0)),"")</f>
        <v/>
      </c>
      <c r="AC98">
        <f>IFERROR(INDEX('DRAFT 1'!$X:$X,MATCH($B98,'DRAFT 1'!$B:$B,0)),"")</f>
        <v/>
      </c>
      <c r="AD98">
        <f>IFERROR(INDEX('DRAFT 1'!$Y:$Y,MATCH($B98,'DRAFT 1'!$B:$B,0)),"")</f>
        <v/>
      </c>
      <c r="AE98">
        <f>IFERROR(INDEX('DRAFT 1'!$Z:$Z,MATCH($B98,'DRAFT 1'!$B:$B,0)),"")</f>
        <v/>
      </c>
      <c r="AF98">
        <f>IFERROR(INDEX('DRAFT 1'!$AA:$AA,MATCH($B98,'DRAFT 1'!$B:$B,0)),"")</f>
        <v/>
      </c>
      <c r="AG98">
        <f>IFERROR(INDEX('DRAFT 1'!$AB:$AB,MATCH($B98,'DRAFT 1'!$B:$B,0)),"")</f>
        <v/>
      </c>
      <c r="AH98">
        <f>IFERROR(INDEX('DRAFT 1'!$AC:$AC,MATCH($B98,'DRAFT 1'!$B:$B,0)),"")</f>
        <v/>
      </c>
      <c r="AI98">
        <f>IFERROR(INDEX('DRAFT 1'!$AD:$AD,MATCH($B98,'DRAFT 1'!$B:$B,0)),"")</f>
        <v/>
      </c>
      <c r="AJ98">
        <f>IFERROR(INDEX('DRAFT 1'!$AE:$AE,MATCH($B98,'DRAFT 1'!$B:$B,0)),"")</f>
        <v/>
      </c>
      <c r="AK98">
        <f>IFERROR(INDEX('DRAFT 1'!$AG:$AG,MATCH($B98,'DRAFT 1'!$B:$B,0)),"")</f>
        <v/>
      </c>
      <c r="AL98">
        <f>IFERROR(INDEX('DRAFT 1'!$AH:$AH,MATCH($B98,'DRAFT 1'!$B:$B,0)),"")</f>
        <v/>
      </c>
      <c r="AM98">
        <f>IFERROR(INDEX('DRAFT 1'!$AI:$AI,MATCH($B98,'DRAFT 1'!$B:$B,0)),"")</f>
        <v/>
      </c>
      <c r="AN98">
        <f>IFERROR(INDEX('DRAFT 1'!$AJ:$AJ,MATCH($B98,'DRAFT 1'!$B:$B,0)),"")</f>
        <v/>
      </c>
      <c r="AO98">
        <f>IFERROR(Y98/AN98,0)</f>
        <v/>
      </c>
      <c r="AP98">
        <f>IFERROR(INDEX('DRAFT 1'!$AK:$AK,MATCH($B98,'DRAFT 1'!$B:$B,0)),"")</f>
        <v/>
      </c>
      <c r="AR98" t="inlineStr">
        <is>
          <t>RECOMPRA</t>
        </is>
      </c>
      <c r="AS98">
        <f>IFERROR(LOOKUP(2,1/('DRAFT 2'!$D:$D=$B98),'DRAFT 2'!$T:$T),"")</f>
        <v/>
      </c>
      <c r="AT98">
        <f>IFERROR(LOOKUP(2,1/('DRAFT 2'!$D:$D=$B98),'DRAFT 2'!$A:$A),"")</f>
        <v/>
      </c>
      <c r="AU98">
        <f>IFERROR(LOOKUP(2,1/('DRAFT 2'!$D:$D=$B98),'DRAFT 2'!$R:$R),"")</f>
        <v/>
      </c>
      <c r="AV98">
        <f>IFERROR(LOOKUP(2,1/('DRAFT 2'!$D:$D=$B98),'DRAFT 2'!$S:$S),"")</f>
        <v/>
      </c>
      <c r="AW98" t="inlineStr">
        <is>
          <t>EM DESENVOLVIMENTO</t>
        </is>
      </c>
      <c r="AX98">
        <f>IFERROR(LOOKUP(2,1/('DRAFT 2'!$D:$D=$B98),'DRAFT 2'!$M:$M),"")</f>
        <v/>
      </c>
      <c r="AY98">
        <f>IFERROR(LOOKUP(2,1/('DRAFT 2'!$D:$D=$B98),'DRAFT 2'!$K:$K),"")</f>
        <v/>
      </c>
      <c r="BG98">
        <f>IFERROR(LOOKUP(2,1/('DRAFT 2'!$D:$D=$B98),'DRAFT 2'!$U:$U),"")</f>
        <v/>
      </c>
      <c r="BH98">
        <f>IFERROR(LOOKUP(2,1/('DRAFT 2'!$D:$D=$B98),'DRAFT 2'!$V:$V),"")</f>
        <v/>
      </c>
      <c r="CE98">
        <f>IFERROR(AJ98,0)</f>
        <v/>
      </c>
      <c r="CF98">
        <f>IFERROR(LOOKUP(2,1/('DRAFT 2'!$D:$D=$B98)*('DRAFT 2'!$A:$A&gt;=DATE(2026,1,1))*('DRAFT 2'!$A:$A&lt;DATE(2026,IF(1=12,1+1,1+1),1)),'DRAFT 2'!$A:$A),"")</f>
        <v/>
      </c>
      <c r="CG98">
        <f>COUNTIFS('DRAFT 2'!$D:$D,$B98,'DRAFT 2'!$A:$A,"&gt;="&amp;DATE(2026,1,1),'DRAFT 2'!$A:$A,"&lt;="&amp;DATE(2026,1,7))</f>
        <v/>
      </c>
      <c r="CH98">
        <f>COUNTIFS('DRAFT 2'!$D:$D,$B98,'DRAFT 2'!$A:$A,"&gt;="&amp;DATE(2026,1,8),'DRAFT 2'!$A:$A,"&lt;="&amp;DATE(2026,1,14))</f>
        <v/>
      </c>
      <c r="CI98">
        <f>COUNTIFS('DRAFT 2'!$D:$D,$B98,'DRAFT 2'!$A:$A,"&gt;="&amp;DATE(2026,1,15),'DRAFT 2'!$A:$A,"&lt;="&amp;DATE(2026,1,21))</f>
        <v/>
      </c>
      <c r="CJ98">
        <f>COUNTIFS('DRAFT 2'!$D:$D,$B98,'DRAFT 2'!$A:$A,"&gt;="&amp;DATE(2026,1,22),'DRAFT 2'!$A:$A,"&lt;"&amp;DATE(2026,IF(1=12,1+1,1+1),1))</f>
        <v/>
      </c>
      <c r="CK98">
        <f>SUM(CG98:CJ98)</f>
        <v/>
      </c>
      <c r="CT98" t="n">
        <v>0</v>
      </c>
      <c r="CU98">
        <f>IFERROR(LOOKUP(2,1/('DRAFT 2'!$D:$D=$B98)*('DRAFT 2'!$A:$A&gt;=DATE(2026,2,1))*('DRAFT 2'!$A:$A&lt;DATE(2026,IF(2=12,2+1,2+1),1)),'DRAFT 2'!$A:$A),"")</f>
        <v/>
      </c>
      <c r="CV98">
        <f>COUNTIFS('DRAFT 2'!$D:$D,$B98,'DRAFT 2'!$A:$A,"&gt;="&amp;DATE(2026,2,1),'DRAFT 2'!$A:$A,"&lt;="&amp;DATE(2026,2,7))</f>
        <v/>
      </c>
      <c r="CW98">
        <f>COUNTIFS('DRAFT 2'!$D:$D,$B98,'DRAFT 2'!$A:$A,"&gt;="&amp;DATE(2026,2,8),'DRAFT 2'!$A:$A,"&lt;="&amp;DATE(2026,2,14))</f>
        <v/>
      </c>
      <c r="CX98">
        <f>COUNTIFS('DRAFT 2'!$D:$D,$B98,'DRAFT 2'!$A:$A,"&gt;="&amp;DATE(2026,2,15),'DRAFT 2'!$A:$A,"&lt;="&amp;DATE(2026,2,21))</f>
        <v/>
      </c>
      <c r="CY98">
        <f>COUNTIFS('DRAFT 2'!$D:$D,$B98,'DRAFT 2'!$A:$A,"&gt;="&amp;DATE(2026,2,22),'DRAFT 2'!$A:$A,"&lt;"&amp;DATE(2026,IF(2=12,2+1,2+1),1))</f>
        <v/>
      </c>
      <c r="CZ98">
        <f>SUM(CV98:CY98)</f>
        <v/>
      </c>
      <c r="DJ98">
        <f>IFERROR(LOOKUP(2,1/('DRAFT 2'!$D:$D=$B98)*('DRAFT 2'!$A:$A&gt;=DATE(2026,3,1))*('DRAFT 2'!$A:$A&lt;DATE(2026,IF(3=12,3+1,3+1),1)),'DRAFT 2'!$A:$A),"")</f>
        <v/>
      </c>
      <c r="DK98">
        <f>COUNTIFS('DRAFT 2'!$D:$D,$B98,'DRAFT 2'!$A:$A,"&gt;="&amp;DATE(2026,3,1),'DRAFT 2'!$A:$A,"&lt;="&amp;DATE(2026,3,7))</f>
        <v/>
      </c>
      <c r="DL98">
        <f>COUNTIFS('DRAFT 2'!$D:$D,$B98,'DRAFT 2'!$A:$A,"&gt;="&amp;DATE(2026,3,8),'DRAFT 2'!$A:$A,"&lt;="&amp;DATE(2026,3,14))</f>
        <v/>
      </c>
      <c r="DM98">
        <f>COUNTIFS('DRAFT 2'!$D:$D,$B98,'DRAFT 2'!$A:$A,"&gt;="&amp;DATE(2026,3,15),'DRAFT 2'!$A:$A,"&lt;="&amp;DATE(2026,3,21))</f>
        <v/>
      </c>
      <c r="DN98">
        <f>COUNTIFS('DRAFT 2'!$D:$D,$B98,'DRAFT 2'!$A:$A,"&gt;="&amp;DATE(2026,3,22),'DRAFT 2'!$A:$A,"&lt;"&amp;DATE(2026,IF(3=12,3+1,3+1),1))</f>
        <v/>
      </c>
      <c r="DO98">
        <f>SUM(DK98:DN98)</f>
        <v/>
      </c>
      <c r="DZ98">
        <f>IFERROR(LOOKUP(2,1/('DRAFT 2'!$D:$D=$B98)*('DRAFT 2'!$A:$A&gt;=DATE(2026,4,1))*('DRAFT 2'!$A:$A&lt;DATE(2026,IF(4=12,4+1,4+1),1)),'DRAFT 2'!$A:$A),"")</f>
        <v/>
      </c>
      <c r="EA98">
        <f>COUNTIFS('DRAFT 2'!$D:$D,$B98,'DRAFT 2'!$A:$A,"&gt;="&amp;DATE(2026,4,1),'DRAFT 2'!$A:$A,"&lt;="&amp;DATE(2026,4,7))</f>
        <v/>
      </c>
      <c r="EB98">
        <f>COUNTIFS('DRAFT 2'!$D:$D,$B98,'DRAFT 2'!$A:$A,"&gt;="&amp;DATE(2026,4,8),'DRAFT 2'!$A:$A,"&lt;="&amp;DATE(2026,4,14))</f>
        <v/>
      </c>
      <c r="EC98">
        <f>COUNTIFS('DRAFT 2'!$D:$D,$B98,'DRAFT 2'!$A:$A,"&gt;="&amp;DATE(2026,4,15),'DRAFT 2'!$A:$A,"&lt;="&amp;DATE(2026,4,21))</f>
        <v/>
      </c>
      <c r="ED98">
        <f>COUNTIFS('DRAFT 2'!$D:$D,$B98,'DRAFT 2'!$A:$A,"&gt;="&amp;DATE(2026,4,22),'DRAFT 2'!$A:$A,"&lt;"&amp;DATE(2026,IF(4=12,4+1,4+1),1))</f>
        <v/>
      </c>
      <c r="EE98">
        <f>SUM(EA98:ED98)</f>
        <v/>
      </c>
      <c r="EO98">
        <f>IFERROR(LOOKUP(2,1/('DRAFT 2'!$D:$D=$B98)*('DRAFT 2'!$A:$A&gt;=DATE(2026,5,1))*('DRAFT 2'!$A:$A&lt;DATE(2026,IF(5=12,5+1,5+1),1)),'DRAFT 2'!$A:$A),"")</f>
        <v/>
      </c>
      <c r="EP98">
        <f>COUNTIFS('DRAFT 2'!$D:$D,$B98,'DRAFT 2'!$A:$A,"&gt;="&amp;DATE(2026,5,1),'DRAFT 2'!$A:$A,"&lt;="&amp;DATE(2026,5,7))</f>
        <v/>
      </c>
      <c r="EQ98">
        <f>COUNTIFS('DRAFT 2'!$D:$D,$B98,'DRAFT 2'!$A:$A,"&gt;="&amp;DATE(2026,5,8),'DRAFT 2'!$A:$A,"&lt;="&amp;DATE(2026,5,14))</f>
        <v/>
      </c>
      <c r="ER98">
        <f>COUNTIFS('DRAFT 2'!$D:$D,$B98,'DRAFT 2'!$A:$A,"&gt;="&amp;DATE(2026,5,15),'DRAFT 2'!$A:$A,"&lt;="&amp;DATE(2026,5,21))</f>
        <v/>
      </c>
      <c r="ES98">
        <f>COUNTIFS('DRAFT 2'!$D:$D,$B98,'DRAFT 2'!$A:$A,"&gt;="&amp;DATE(2026,5,22),'DRAFT 2'!$A:$A,"&lt;"&amp;DATE(2026,IF(5=12,5+1,5+1),1))</f>
        <v/>
      </c>
      <c r="ET98">
        <f>SUM(EP98:ES98)</f>
        <v/>
      </c>
      <c r="FD98">
        <f>IFERROR(LOOKUP(2,1/('DRAFT 2'!$D:$D=$B98)*('DRAFT 2'!$A:$A&gt;=DATE(2026,6,1))*('DRAFT 2'!$A:$A&lt;DATE(2026,IF(6=12,6+1,6+1),1)),'DRAFT 2'!$A:$A),"")</f>
        <v/>
      </c>
      <c r="FE98">
        <f>COUNTIFS('DRAFT 2'!$D:$D,$B98,'DRAFT 2'!$A:$A,"&gt;="&amp;DATE(2026,6,1),'DRAFT 2'!$A:$A,"&lt;="&amp;DATE(2026,6,7))</f>
        <v/>
      </c>
      <c r="FF98">
        <f>COUNTIFS('DRAFT 2'!$D:$D,$B98,'DRAFT 2'!$A:$A,"&gt;="&amp;DATE(2026,6,8),'DRAFT 2'!$A:$A,"&lt;="&amp;DATE(2026,6,14))</f>
        <v/>
      </c>
      <c r="FG98">
        <f>COUNTIFS('DRAFT 2'!$D:$D,$B98,'DRAFT 2'!$A:$A,"&gt;="&amp;DATE(2026,6,15),'DRAFT 2'!$A:$A,"&lt;="&amp;DATE(2026,6,21))</f>
        <v/>
      </c>
      <c r="FH98">
        <f>COUNTIFS('DRAFT 2'!$D:$D,$B98,'DRAFT 2'!$A:$A,"&gt;="&amp;DATE(2026,6,22),'DRAFT 2'!$A:$A,"&lt;"&amp;DATE(2026,IF(6=12,6+1,6+1),1))</f>
        <v/>
      </c>
      <c r="FI98">
        <f>SUM(FE98:FH98)</f>
        <v/>
      </c>
      <c r="FT98">
        <f>IFERROR(LOOKUP(2,1/('DRAFT 2'!$D:$D=$B98)*('DRAFT 2'!$A:$A&gt;=DATE(2026,7,1))*('DRAFT 2'!$A:$A&lt;DATE(2026,IF(7=12,7+1,7+1),1)),'DRAFT 2'!$A:$A),"")</f>
        <v/>
      </c>
      <c r="FU98">
        <f>COUNTIFS('DRAFT 2'!$D:$D,$B98,'DRAFT 2'!$A:$A,"&gt;="&amp;DATE(2026,7,1),'DRAFT 2'!$A:$A,"&lt;="&amp;DATE(2026,7,7))</f>
        <v/>
      </c>
      <c r="FV98">
        <f>COUNTIFS('DRAFT 2'!$D:$D,$B98,'DRAFT 2'!$A:$A,"&gt;="&amp;DATE(2026,7,8),'DRAFT 2'!$A:$A,"&lt;="&amp;DATE(2026,7,14))</f>
        <v/>
      </c>
      <c r="FW98">
        <f>COUNTIFS('DRAFT 2'!$D:$D,$B98,'DRAFT 2'!$A:$A,"&gt;="&amp;DATE(2026,7,15),'DRAFT 2'!$A:$A,"&lt;="&amp;DATE(2026,7,21))</f>
        <v/>
      </c>
      <c r="FX98">
        <f>COUNTIFS('DRAFT 2'!$D:$D,$B98,'DRAFT 2'!$A:$A,"&gt;="&amp;DATE(2026,7,22),'DRAFT 2'!$A:$A,"&lt;"&amp;DATE(2026,IF(7=12,7+1,7+1),1))</f>
        <v/>
      </c>
      <c r="FY98">
        <f>SUM(FU98:FX98)</f>
        <v/>
      </c>
      <c r="GI98">
        <f>IFERROR(LOOKUP(2,1/('DRAFT 2'!$D:$D=$B98)*('DRAFT 2'!$A:$A&gt;=DATE(2026,8,1))*('DRAFT 2'!$A:$A&lt;DATE(2026,IF(8=12,8+1,8+1),1)),'DRAFT 2'!$A:$A),"")</f>
        <v/>
      </c>
      <c r="GJ98">
        <f>COUNTIFS('DRAFT 2'!$D:$D,$B98,'DRAFT 2'!$A:$A,"&gt;="&amp;DATE(2026,8,1),'DRAFT 2'!$A:$A,"&lt;="&amp;DATE(2026,8,7))</f>
        <v/>
      </c>
      <c r="GK98">
        <f>COUNTIFS('DRAFT 2'!$D:$D,$B98,'DRAFT 2'!$A:$A,"&gt;="&amp;DATE(2026,8,8),'DRAFT 2'!$A:$A,"&lt;="&amp;DATE(2026,8,14))</f>
        <v/>
      </c>
      <c r="GL98">
        <f>COUNTIFS('DRAFT 2'!$D:$D,$B98,'DRAFT 2'!$A:$A,"&gt;="&amp;DATE(2026,8,15),'DRAFT 2'!$A:$A,"&lt;="&amp;DATE(2026,8,21))</f>
        <v/>
      </c>
      <c r="GM98">
        <f>COUNTIFS('DRAFT 2'!$D:$D,$B98,'DRAFT 2'!$A:$A,"&gt;="&amp;DATE(2026,8,22),'DRAFT 2'!$A:$A,"&lt;"&amp;DATE(2026,IF(8=12,8+1,8+1),1))</f>
        <v/>
      </c>
      <c r="GN98">
        <f>SUM(GJ98:GM98)</f>
        <v/>
      </c>
      <c r="GX98">
        <f>IFERROR(LOOKUP(2,1/('DRAFT 2'!$D:$D=$B98)*('DRAFT 2'!$A:$A&gt;=DATE(2026,9,1))*('DRAFT 2'!$A:$A&lt;DATE(2026,IF(9=12,9+1,9+1),1)),'DRAFT 2'!$A:$A),"")</f>
        <v/>
      </c>
      <c r="GY98">
        <f>COUNTIFS('DRAFT 2'!$D:$D,$B98,'DRAFT 2'!$A:$A,"&gt;="&amp;DATE(2026,9,1),'DRAFT 2'!$A:$A,"&lt;="&amp;DATE(2026,9,7))</f>
        <v/>
      </c>
      <c r="GZ98">
        <f>COUNTIFS('DRAFT 2'!$D:$D,$B98,'DRAFT 2'!$A:$A,"&gt;="&amp;DATE(2026,9,8),'DRAFT 2'!$A:$A,"&lt;="&amp;DATE(2026,9,14))</f>
        <v/>
      </c>
      <c r="HA98">
        <f>COUNTIFS('DRAFT 2'!$D:$D,$B98,'DRAFT 2'!$A:$A,"&gt;="&amp;DATE(2026,9,15),'DRAFT 2'!$A:$A,"&lt;="&amp;DATE(2026,9,21))</f>
        <v/>
      </c>
      <c r="HB98">
        <f>COUNTIFS('DRAFT 2'!$D:$D,$B98,'DRAFT 2'!$A:$A,"&gt;="&amp;DATE(2026,9,22),'DRAFT 2'!$A:$A,"&lt;"&amp;DATE(2026,IF(9=12,9+1,9+1),1))</f>
        <v/>
      </c>
      <c r="HC98">
        <f>SUM(GY98:HB98)</f>
        <v/>
      </c>
      <c r="HN98">
        <f>IFERROR(LOOKUP(2,1/('DRAFT 2'!$D:$D=$B98)*('DRAFT 2'!$A:$A&gt;=DATE(2026,10,1))*('DRAFT 2'!$A:$A&lt;DATE(2026,IF(10=12,10+1,10+1),1)),'DRAFT 2'!$A:$A),"")</f>
        <v/>
      </c>
      <c r="HO98">
        <f>COUNTIFS('DRAFT 2'!$D:$D,$B98,'DRAFT 2'!$A:$A,"&gt;="&amp;DATE(2026,10,1),'DRAFT 2'!$A:$A,"&lt;="&amp;DATE(2026,10,7))</f>
        <v/>
      </c>
      <c r="HP98">
        <f>COUNTIFS('DRAFT 2'!$D:$D,$B98,'DRAFT 2'!$A:$A,"&gt;="&amp;DATE(2026,10,8),'DRAFT 2'!$A:$A,"&lt;="&amp;DATE(2026,10,14))</f>
        <v/>
      </c>
      <c r="HQ98">
        <f>COUNTIFS('DRAFT 2'!$D:$D,$B98,'DRAFT 2'!$A:$A,"&gt;="&amp;DATE(2026,10,15),'DRAFT 2'!$A:$A,"&lt;="&amp;DATE(2026,10,21))</f>
        <v/>
      </c>
      <c r="HR98">
        <f>COUNTIFS('DRAFT 2'!$D:$D,$B98,'DRAFT 2'!$A:$A,"&gt;="&amp;DATE(2026,10,22),'DRAFT 2'!$A:$A,"&lt;"&amp;DATE(2026,IF(10=12,10+1,10+1),1))</f>
        <v/>
      </c>
      <c r="HS98">
        <f>SUM(HO98:HR98)</f>
        <v/>
      </c>
      <c r="IC98">
        <f>IFERROR(LOOKUP(2,1/('DRAFT 2'!$D:$D=$B98)*('DRAFT 2'!$A:$A&gt;=DATE(2026,11,1))*('DRAFT 2'!$A:$A&lt;DATE(2026,IF(11=12,11+1,11+1),1)),'DRAFT 2'!$A:$A),"")</f>
        <v/>
      </c>
      <c r="ID98">
        <f>COUNTIFS('DRAFT 2'!$D:$D,$B98,'DRAFT 2'!$A:$A,"&gt;="&amp;DATE(2026,11,1),'DRAFT 2'!$A:$A,"&lt;="&amp;DATE(2026,11,7))</f>
        <v/>
      </c>
      <c r="IE98">
        <f>COUNTIFS('DRAFT 2'!$D:$D,$B98,'DRAFT 2'!$A:$A,"&gt;="&amp;DATE(2026,11,8),'DRAFT 2'!$A:$A,"&lt;="&amp;DATE(2026,11,14))</f>
        <v/>
      </c>
      <c r="IF98">
        <f>COUNTIFS('DRAFT 2'!$D:$D,$B98,'DRAFT 2'!$A:$A,"&gt;="&amp;DATE(2026,11,15),'DRAFT 2'!$A:$A,"&lt;="&amp;DATE(2026,11,21))</f>
        <v/>
      </c>
      <c r="IG98">
        <f>COUNTIFS('DRAFT 2'!$D:$D,$B98,'DRAFT 2'!$A:$A,"&gt;="&amp;DATE(2026,11,22),'DRAFT 2'!$A:$A,"&lt;"&amp;DATE(2026,IF(11=12,11+1,11+1),1))</f>
        <v/>
      </c>
      <c r="IH98">
        <f>SUM(ID98:IG98)</f>
        <v/>
      </c>
      <c r="IR98">
        <f>IFERROR(LOOKUP(2,1/('DRAFT 2'!$D:$D=$B98)*('DRAFT 2'!$A:$A&gt;=DATE(2026,12,1))*('DRAFT 2'!$A:$A&lt;DATE(2026,IF(12=12,12+1,12+1),1)),'DRAFT 2'!$A:$A),"")</f>
        <v/>
      </c>
      <c r="IS98">
        <f>COUNTIFS('DRAFT 2'!$D:$D,$B98,'DRAFT 2'!$A:$A,"&gt;="&amp;DATE(2026,12,1),'DRAFT 2'!$A:$A,"&lt;="&amp;DATE(2026,12,7))</f>
        <v/>
      </c>
      <c r="IT98">
        <f>COUNTIFS('DRAFT 2'!$D:$D,$B98,'DRAFT 2'!$A:$A,"&gt;="&amp;DATE(2026,12,8),'DRAFT 2'!$A:$A,"&lt;="&amp;DATE(2026,12,14))</f>
        <v/>
      </c>
      <c r="IU98">
        <f>COUNTIFS('DRAFT 2'!$D:$D,$B98,'DRAFT 2'!$A:$A,"&gt;="&amp;DATE(2026,12,15),'DRAFT 2'!$A:$A,"&lt;="&amp;DATE(2026,12,21))</f>
        <v/>
      </c>
      <c r="IV98">
        <f>COUNTIFS('DRAFT 2'!$D:$D,$B98,'DRAFT 2'!$A:$A,"&gt;="&amp;DATE(2026,12,22),'DRAFT 2'!$A:$A,"&lt;"&amp;DATE(2026,IF(12=12,12+1,12+1),1))</f>
        <v/>
      </c>
      <c r="IW98">
        <f>SUM(IS98:IV98)</f>
        <v/>
      </c>
    </row>
    <row r="99">
      <c r="A99">
        <f>IFERROR(INDEX('DRAFT 1'!$A:$A,MATCH($B99,'DRAFT 1'!$B:$B,0)),"")</f>
        <v/>
      </c>
      <c r="C99">
        <f>IFERROR(INDEX('DRAFT 1'!$C:$C,MATCH($B99,'DRAFT 1'!$B:$B,0)),"")</f>
        <v/>
      </c>
      <c r="D99">
        <f>IFERROR(INDEX('DRAFT 1'!$D:$D,MATCH($B99,'DRAFT 1'!$B:$B,0)),"")</f>
        <v/>
      </c>
      <c r="E99">
        <f>IFERROR(INDEX('DRAFT 1'!$E:$E,MATCH($B99,'DRAFT 1'!$B:$B,0)),"")</f>
        <v/>
      </c>
      <c r="F99">
        <f>IFERROR(INDEX('DRAFT 1'!$F:$F,MATCH($B99,'DRAFT 1'!$B:$B,0)),"")</f>
        <v/>
      </c>
      <c r="G99">
        <f>IFERROR(INDEX('DRAFT 1'!$G:$G,MATCH($B99,'DRAFT 1'!$B:$B,0)),"")</f>
        <v/>
      </c>
      <c r="H99">
        <f>IFERROR(INDEX('DRAFT 1'!$H:$H,MATCH($B99,'DRAFT 1'!$B:$B,0)),"")</f>
        <v/>
      </c>
      <c r="I99" t="inlineStr">
        <is>
          <t>MUNDO VERDE</t>
        </is>
      </c>
      <c r="K99">
        <f>IFERROR(INDEX('DRAFT 1'!$AL:$AL,MATCH($B99,'DRAFT 1'!$B:$B,0)),"")</f>
        <v/>
      </c>
      <c r="L99">
        <f>IFERROR(INDEX('DRAFT 1'!$J:$J,MATCH($B99,'DRAFT 1'!$B:$B,0)),"")</f>
        <v/>
      </c>
      <c r="M99">
        <f>IFERROR(INDEX('DRAFT 1'!$K:$K,MATCH($B99,'DRAFT 1'!$B:$B,0)),"")</f>
        <v/>
      </c>
      <c r="N99" t="inlineStr">
        <is>
          <t>INAT.ANT</t>
        </is>
      </c>
      <c r="P99">
        <f>IFERROR(INDEX('DRAFT 1'!$L:$L,MATCH($B99,'DRAFT 1'!$B:$B,0)),"")</f>
        <v/>
      </c>
      <c r="Q99">
        <f>IFERROR(INDEX('DRAFT 1'!$M:$M,MATCH($B99,'DRAFT 1'!$B:$B,0)),"")</f>
        <v/>
      </c>
      <c r="R99">
        <f>IFERROR(INDEX('DRAFT 1'!$N:$N,MATCH($B99,'DRAFT 1'!$B:$B,0)),"")</f>
        <v/>
      </c>
      <c r="S99">
        <f>IFERROR(INDEX('DRAFT 1'!$O:$O,MATCH($B99,'DRAFT 1'!$B:$B,0)),"")</f>
        <v/>
      </c>
      <c r="T99">
        <f>IFERROR(INDEX('DRAFT 1'!$P:$P,MATCH($B99,'DRAFT 1'!$B:$B,0)),"")</f>
        <v/>
      </c>
      <c r="U99">
        <f>IFERROR(INDEX('DRAFT 1'!$Q:$Q,MATCH($B99,'DRAFT 1'!$B:$B,0)),"")</f>
        <v/>
      </c>
      <c r="V99">
        <f>IFERROR(INDEX('DRAFT 1'!$R:$R,MATCH($B99,'DRAFT 1'!$B:$B,0)),"")</f>
        <v/>
      </c>
      <c r="W99">
        <f>IFERROR(INDEX('DRAFT 1'!$S:$S,MATCH($B99,'DRAFT 1'!$B:$B,0)),"")</f>
        <v/>
      </c>
      <c r="X99">
        <f>IFERROR(INDEX('DRAFT 1'!$T:$T,MATCH($B99,'DRAFT 1'!$B:$B,0)),"")</f>
        <v/>
      </c>
      <c r="Z99">
        <f>IFERROR(INDEX('DRAFT 1'!$U:$U,MATCH($B99,'DRAFT 1'!$B:$B,0)),"")</f>
        <v/>
      </c>
      <c r="AA99">
        <f>IFERROR(INDEX('DRAFT 1'!$V:$V,MATCH($B99,'DRAFT 1'!$B:$B,0)),"")</f>
        <v/>
      </c>
      <c r="AB99">
        <f>IFERROR(INDEX('DRAFT 1'!$W:$W,MATCH($B99,'DRAFT 1'!$B:$B,0)),"")</f>
        <v/>
      </c>
      <c r="AC99">
        <f>IFERROR(INDEX('DRAFT 1'!$X:$X,MATCH($B99,'DRAFT 1'!$B:$B,0)),"")</f>
        <v/>
      </c>
      <c r="AD99">
        <f>IFERROR(INDEX('DRAFT 1'!$Y:$Y,MATCH($B99,'DRAFT 1'!$B:$B,0)),"")</f>
        <v/>
      </c>
      <c r="AE99">
        <f>IFERROR(INDEX('DRAFT 1'!$Z:$Z,MATCH($B99,'DRAFT 1'!$B:$B,0)),"")</f>
        <v/>
      </c>
      <c r="AF99">
        <f>IFERROR(INDEX('DRAFT 1'!$AA:$AA,MATCH($B99,'DRAFT 1'!$B:$B,0)),"")</f>
        <v/>
      </c>
      <c r="AG99">
        <f>IFERROR(INDEX('DRAFT 1'!$AB:$AB,MATCH($B99,'DRAFT 1'!$B:$B,0)),"")</f>
        <v/>
      </c>
      <c r="AH99">
        <f>IFERROR(INDEX('DRAFT 1'!$AC:$AC,MATCH($B99,'DRAFT 1'!$B:$B,0)),"")</f>
        <v/>
      </c>
      <c r="AI99">
        <f>IFERROR(INDEX('DRAFT 1'!$AD:$AD,MATCH($B99,'DRAFT 1'!$B:$B,0)),"")</f>
        <v/>
      </c>
      <c r="AJ99">
        <f>IFERROR(INDEX('DRAFT 1'!$AE:$AE,MATCH($B99,'DRAFT 1'!$B:$B,0)),"")</f>
        <v/>
      </c>
      <c r="AK99">
        <f>IFERROR(INDEX('DRAFT 1'!$AG:$AG,MATCH($B99,'DRAFT 1'!$B:$B,0)),"")</f>
        <v/>
      </c>
      <c r="AL99">
        <f>IFERROR(INDEX('DRAFT 1'!$AH:$AH,MATCH($B99,'DRAFT 1'!$B:$B,0)),"")</f>
        <v/>
      </c>
      <c r="AM99">
        <f>IFERROR(INDEX('DRAFT 1'!$AI:$AI,MATCH($B99,'DRAFT 1'!$B:$B,0)),"")</f>
        <v/>
      </c>
      <c r="AN99">
        <f>IFERROR(INDEX('DRAFT 1'!$AJ:$AJ,MATCH($B99,'DRAFT 1'!$B:$B,0)),"")</f>
        <v/>
      </c>
      <c r="AO99">
        <f>IFERROR(Y99/AN99,0)</f>
        <v/>
      </c>
      <c r="AP99">
        <f>IFERROR(INDEX('DRAFT 1'!$AK:$AK,MATCH($B99,'DRAFT 1'!$B:$B,0)),"")</f>
        <v/>
      </c>
      <c r="AR99" t="inlineStr">
        <is>
          <t>PÓS-VENDA</t>
        </is>
      </c>
      <c r="AS99">
        <f>IFERROR(LOOKUP(2,1/('DRAFT 2'!$D:$D=$B99),'DRAFT 2'!$T:$T),"")</f>
        <v/>
      </c>
      <c r="AT99">
        <f>IFERROR(LOOKUP(2,1/('DRAFT 2'!$D:$D=$B99),'DRAFT 2'!$A:$A),"")</f>
        <v/>
      </c>
      <c r="AU99">
        <f>IFERROR(LOOKUP(2,1/('DRAFT 2'!$D:$D=$B99),'DRAFT 2'!$R:$R),"")</f>
        <v/>
      </c>
      <c r="AV99">
        <f>IFERROR(LOOKUP(2,1/('DRAFT 2'!$D:$D=$B99),'DRAFT 2'!$S:$S),"")</f>
        <v/>
      </c>
      <c r="AW99" t="inlineStr">
        <is>
          <t>LEAD</t>
        </is>
      </c>
      <c r="AX99">
        <f>IFERROR(LOOKUP(2,1/('DRAFT 2'!$D:$D=$B99),'DRAFT 2'!$M:$M),"")</f>
        <v/>
      </c>
      <c r="AY99">
        <f>IFERROR(LOOKUP(2,1/('DRAFT 2'!$D:$D=$B99),'DRAFT 2'!$K:$K),"")</f>
        <v/>
      </c>
      <c r="BG99">
        <f>IFERROR(LOOKUP(2,1/('DRAFT 2'!$D:$D=$B99),'DRAFT 2'!$U:$U),"")</f>
        <v/>
      </c>
      <c r="BH99">
        <f>IFERROR(LOOKUP(2,1/('DRAFT 2'!$D:$D=$B99),'DRAFT 2'!$V:$V),"")</f>
        <v/>
      </c>
      <c r="CE99">
        <f>IFERROR(AJ99,0)</f>
        <v/>
      </c>
      <c r="CF99">
        <f>IFERROR(LOOKUP(2,1/('DRAFT 2'!$D:$D=$B99)*('DRAFT 2'!$A:$A&gt;=DATE(2026,1,1))*('DRAFT 2'!$A:$A&lt;DATE(2026,IF(1=12,1+1,1+1),1)),'DRAFT 2'!$A:$A),"")</f>
        <v/>
      </c>
      <c r="CG99">
        <f>COUNTIFS('DRAFT 2'!$D:$D,$B99,'DRAFT 2'!$A:$A,"&gt;="&amp;DATE(2026,1,1),'DRAFT 2'!$A:$A,"&lt;="&amp;DATE(2026,1,7))</f>
        <v/>
      </c>
      <c r="CH99">
        <f>COUNTIFS('DRAFT 2'!$D:$D,$B99,'DRAFT 2'!$A:$A,"&gt;="&amp;DATE(2026,1,8),'DRAFT 2'!$A:$A,"&lt;="&amp;DATE(2026,1,14))</f>
        <v/>
      </c>
      <c r="CI99">
        <f>COUNTIFS('DRAFT 2'!$D:$D,$B99,'DRAFT 2'!$A:$A,"&gt;="&amp;DATE(2026,1,15),'DRAFT 2'!$A:$A,"&lt;="&amp;DATE(2026,1,21))</f>
        <v/>
      </c>
      <c r="CJ99">
        <f>COUNTIFS('DRAFT 2'!$D:$D,$B99,'DRAFT 2'!$A:$A,"&gt;="&amp;DATE(2026,1,22),'DRAFT 2'!$A:$A,"&lt;"&amp;DATE(2026,IF(1=12,1+1,1+1),1))</f>
        <v/>
      </c>
      <c r="CK99">
        <f>SUM(CG99:CJ99)</f>
        <v/>
      </c>
      <c r="CT99" t="n">
        <v>0</v>
      </c>
      <c r="CU99">
        <f>IFERROR(LOOKUP(2,1/('DRAFT 2'!$D:$D=$B99)*('DRAFT 2'!$A:$A&gt;=DATE(2026,2,1))*('DRAFT 2'!$A:$A&lt;DATE(2026,IF(2=12,2+1,2+1),1)),'DRAFT 2'!$A:$A),"")</f>
        <v/>
      </c>
      <c r="CV99">
        <f>COUNTIFS('DRAFT 2'!$D:$D,$B99,'DRAFT 2'!$A:$A,"&gt;="&amp;DATE(2026,2,1),'DRAFT 2'!$A:$A,"&lt;="&amp;DATE(2026,2,7))</f>
        <v/>
      </c>
      <c r="CW99">
        <f>COUNTIFS('DRAFT 2'!$D:$D,$B99,'DRAFT 2'!$A:$A,"&gt;="&amp;DATE(2026,2,8),'DRAFT 2'!$A:$A,"&lt;="&amp;DATE(2026,2,14))</f>
        <v/>
      </c>
      <c r="CX99">
        <f>COUNTIFS('DRAFT 2'!$D:$D,$B99,'DRAFT 2'!$A:$A,"&gt;="&amp;DATE(2026,2,15),'DRAFT 2'!$A:$A,"&lt;="&amp;DATE(2026,2,21))</f>
        <v/>
      </c>
      <c r="CY99">
        <f>COUNTIFS('DRAFT 2'!$D:$D,$B99,'DRAFT 2'!$A:$A,"&gt;="&amp;DATE(2026,2,22),'DRAFT 2'!$A:$A,"&lt;"&amp;DATE(2026,IF(2=12,2+1,2+1),1))</f>
        <v/>
      </c>
      <c r="CZ99">
        <f>SUM(CV99:CY99)</f>
        <v/>
      </c>
      <c r="DJ99">
        <f>IFERROR(LOOKUP(2,1/('DRAFT 2'!$D:$D=$B99)*('DRAFT 2'!$A:$A&gt;=DATE(2026,3,1))*('DRAFT 2'!$A:$A&lt;DATE(2026,IF(3=12,3+1,3+1),1)),'DRAFT 2'!$A:$A),"")</f>
        <v/>
      </c>
      <c r="DK99">
        <f>COUNTIFS('DRAFT 2'!$D:$D,$B99,'DRAFT 2'!$A:$A,"&gt;="&amp;DATE(2026,3,1),'DRAFT 2'!$A:$A,"&lt;="&amp;DATE(2026,3,7))</f>
        <v/>
      </c>
      <c r="DL99">
        <f>COUNTIFS('DRAFT 2'!$D:$D,$B99,'DRAFT 2'!$A:$A,"&gt;="&amp;DATE(2026,3,8),'DRAFT 2'!$A:$A,"&lt;="&amp;DATE(2026,3,14))</f>
        <v/>
      </c>
      <c r="DM99">
        <f>COUNTIFS('DRAFT 2'!$D:$D,$B99,'DRAFT 2'!$A:$A,"&gt;="&amp;DATE(2026,3,15),'DRAFT 2'!$A:$A,"&lt;="&amp;DATE(2026,3,21))</f>
        <v/>
      </c>
      <c r="DN99">
        <f>COUNTIFS('DRAFT 2'!$D:$D,$B99,'DRAFT 2'!$A:$A,"&gt;="&amp;DATE(2026,3,22),'DRAFT 2'!$A:$A,"&lt;"&amp;DATE(2026,IF(3=12,3+1,3+1),1))</f>
        <v/>
      </c>
      <c r="DO99">
        <f>SUM(DK99:DN99)</f>
        <v/>
      </c>
      <c r="DZ99">
        <f>IFERROR(LOOKUP(2,1/('DRAFT 2'!$D:$D=$B99)*('DRAFT 2'!$A:$A&gt;=DATE(2026,4,1))*('DRAFT 2'!$A:$A&lt;DATE(2026,IF(4=12,4+1,4+1),1)),'DRAFT 2'!$A:$A),"")</f>
        <v/>
      </c>
      <c r="EA99">
        <f>COUNTIFS('DRAFT 2'!$D:$D,$B99,'DRAFT 2'!$A:$A,"&gt;="&amp;DATE(2026,4,1),'DRAFT 2'!$A:$A,"&lt;="&amp;DATE(2026,4,7))</f>
        <v/>
      </c>
      <c r="EB99">
        <f>COUNTIFS('DRAFT 2'!$D:$D,$B99,'DRAFT 2'!$A:$A,"&gt;="&amp;DATE(2026,4,8),'DRAFT 2'!$A:$A,"&lt;="&amp;DATE(2026,4,14))</f>
        <v/>
      </c>
      <c r="EC99">
        <f>COUNTIFS('DRAFT 2'!$D:$D,$B99,'DRAFT 2'!$A:$A,"&gt;="&amp;DATE(2026,4,15),'DRAFT 2'!$A:$A,"&lt;="&amp;DATE(2026,4,21))</f>
        <v/>
      </c>
      <c r="ED99">
        <f>COUNTIFS('DRAFT 2'!$D:$D,$B99,'DRAFT 2'!$A:$A,"&gt;="&amp;DATE(2026,4,22),'DRAFT 2'!$A:$A,"&lt;"&amp;DATE(2026,IF(4=12,4+1,4+1),1))</f>
        <v/>
      </c>
      <c r="EE99">
        <f>SUM(EA99:ED99)</f>
        <v/>
      </c>
      <c r="EO99">
        <f>IFERROR(LOOKUP(2,1/('DRAFT 2'!$D:$D=$B99)*('DRAFT 2'!$A:$A&gt;=DATE(2026,5,1))*('DRAFT 2'!$A:$A&lt;DATE(2026,IF(5=12,5+1,5+1),1)),'DRAFT 2'!$A:$A),"")</f>
        <v/>
      </c>
      <c r="EP99">
        <f>COUNTIFS('DRAFT 2'!$D:$D,$B99,'DRAFT 2'!$A:$A,"&gt;="&amp;DATE(2026,5,1),'DRAFT 2'!$A:$A,"&lt;="&amp;DATE(2026,5,7))</f>
        <v/>
      </c>
      <c r="EQ99">
        <f>COUNTIFS('DRAFT 2'!$D:$D,$B99,'DRAFT 2'!$A:$A,"&gt;="&amp;DATE(2026,5,8),'DRAFT 2'!$A:$A,"&lt;="&amp;DATE(2026,5,14))</f>
        <v/>
      </c>
      <c r="ER99">
        <f>COUNTIFS('DRAFT 2'!$D:$D,$B99,'DRAFT 2'!$A:$A,"&gt;="&amp;DATE(2026,5,15),'DRAFT 2'!$A:$A,"&lt;="&amp;DATE(2026,5,21))</f>
        <v/>
      </c>
      <c r="ES99">
        <f>COUNTIFS('DRAFT 2'!$D:$D,$B99,'DRAFT 2'!$A:$A,"&gt;="&amp;DATE(2026,5,22),'DRAFT 2'!$A:$A,"&lt;"&amp;DATE(2026,IF(5=12,5+1,5+1),1))</f>
        <v/>
      </c>
      <c r="ET99">
        <f>SUM(EP99:ES99)</f>
        <v/>
      </c>
      <c r="FD99">
        <f>IFERROR(LOOKUP(2,1/('DRAFT 2'!$D:$D=$B99)*('DRAFT 2'!$A:$A&gt;=DATE(2026,6,1))*('DRAFT 2'!$A:$A&lt;DATE(2026,IF(6=12,6+1,6+1),1)),'DRAFT 2'!$A:$A),"")</f>
        <v/>
      </c>
      <c r="FE99">
        <f>COUNTIFS('DRAFT 2'!$D:$D,$B99,'DRAFT 2'!$A:$A,"&gt;="&amp;DATE(2026,6,1),'DRAFT 2'!$A:$A,"&lt;="&amp;DATE(2026,6,7))</f>
        <v/>
      </c>
      <c r="FF99">
        <f>COUNTIFS('DRAFT 2'!$D:$D,$B99,'DRAFT 2'!$A:$A,"&gt;="&amp;DATE(2026,6,8),'DRAFT 2'!$A:$A,"&lt;="&amp;DATE(2026,6,14))</f>
        <v/>
      </c>
      <c r="FG99">
        <f>COUNTIFS('DRAFT 2'!$D:$D,$B99,'DRAFT 2'!$A:$A,"&gt;="&amp;DATE(2026,6,15),'DRAFT 2'!$A:$A,"&lt;="&amp;DATE(2026,6,21))</f>
        <v/>
      </c>
      <c r="FH99">
        <f>COUNTIFS('DRAFT 2'!$D:$D,$B99,'DRAFT 2'!$A:$A,"&gt;="&amp;DATE(2026,6,22),'DRAFT 2'!$A:$A,"&lt;"&amp;DATE(2026,IF(6=12,6+1,6+1),1))</f>
        <v/>
      </c>
      <c r="FI99">
        <f>SUM(FE99:FH99)</f>
        <v/>
      </c>
      <c r="FT99">
        <f>IFERROR(LOOKUP(2,1/('DRAFT 2'!$D:$D=$B99)*('DRAFT 2'!$A:$A&gt;=DATE(2026,7,1))*('DRAFT 2'!$A:$A&lt;DATE(2026,IF(7=12,7+1,7+1),1)),'DRAFT 2'!$A:$A),"")</f>
        <v/>
      </c>
      <c r="FU99">
        <f>COUNTIFS('DRAFT 2'!$D:$D,$B99,'DRAFT 2'!$A:$A,"&gt;="&amp;DATE(2026,7,1),'DRAFT 2'!$A:$A,"&lt;="&amp;DATE(2026,7,7))</f>
        <v/>
      </c>
      <c r="FV99">
        <f>COUNTIFS('DRAFT 2'!$D:$D,$B99,'DRAFT 2'!$A:$A,"&gt;="&amp;DATE(2026,7,8),'DRAFT 2'!$A:$A,"&lt;="&amp;DATE(2026,7,14))</f>
        <v/>
      </c>
      <c r="FW99">
        <f>COUNTIFS('DRAFT 2'!$D:$D,$B99,'DRAFT 2'!$A:$A,"&gt;="&amp;DATE(2026,7,15),'DRAFT 2'!$A:$A,"&lt;="&amp;DATE(2026,7,21))</f>
        <v/>
      </c>
      <c r="FX99">
        <f>COUNTIFS('DRAFT 2'!$D:$D,$B99,'DRAFT 2'!$A:$A,"&gt;="&amp;DATE(2026,7,22),'DRAFT 2'!$A:$A,"&lt;"&amp;DATE(2026,IF(7=12,7+1,7+1),1))</f>
        <v/>
      </c>
      <c r="FY99">
        <f>SUM(FU99:FX99)</f>
        <v/>
      </c>
      <c r="GI99">
        <f>IFERROR(LOOKUP(2,1/('DRAFT 2'!$D:$D=$B99)*('DRAFT 2'!$A:$A&gt;=DATE(2026,8,1))*('DRAFT 2'!$A:$A&lt;DATE(2026,IF(8=12,8+1,8+1),1)),'DRAFT 2'!$A:$A),"")</f>
        <v/>
      </c>
      <c r="GJ99">
        <f>COUNTIFS('DRAFT 2'!$D:$D,$B99,'DRAFT 2'!$A:$A,"&gt;="&amp;DATE(2026,8,1),'DRAFT 2'!$A:$A,"&lt;="&amp;DATE(2026,8,7))</f>
        <v/>
      </c>
      <c r="GK99">
        <f>COUNTIFS('DRAFT 2'!$D:$D,$B99,'DRAFT 2'!$A:$A,"&gt;="&amp;DATE(2026,8,8),'DRAFT 2'!$A:$A,"&lt;="&amp;DATE(2026,8,14))</f>
        <v/>
      </c>
      <c r="GL99">
        <f>COUNTIFS('DRAFT 2'!$D:$D,$B99,'DRAFT 2'!$A:$A,"&gt;="&amp;DATE(2026,8,15),'DRAFT 2'!$A:$A,"&lt;="&amp;DATE(2026,8,21))</f>
        <v/>
      </c>
      <c r="GM99">
        <f>COUNTIFS('DRAFT 2'!$D:$D,$B99,'DRAFT 2'!$A:$A,"&gt;="&amp;DATE(2026,8,22),'DRAFT 2'!$A:$A,"&lt;"&amp;DATE(2026,IF(8=12,8+1,8+1),1))</f>
        <v/>
      </c>
      <c r="GN99">
        <f>SUM(GJ99:GM99)</f>
        <v/>
      </c>
      <c r="GX99">
        <f>IFERROR(LOOKUP(2,1/('DRAFT 2'!$D:$D=$B99)*('DRAFT 2'!$A:$A&gt;=DATE(2026,9,1))*('DRAFT 2'!$A:$A&lt;DATE(2026,IF(9=12,9+1,9+1),1)),'DRAFT 2'!$A:$A),"")</f>
        <v/>
      </c>
      <c r="GY99">
        <f>COUNTIFS('DRAFT 2'!$D:$D,$B99,'DRAFT 2'!$A:$A,"&gt;="&amp;DATE(2026,9,1),'DRAFT 2'!$A:$A,"&lt;="&amp;DATE(2026,9,7))</f>
        <v/>
      </c>
      <c r="GZ99">
        <f>COUNTIFS('DRAFT 2'!$D:$D,$B99,'DRAFT 2'!$A:$A,"&gt;="&amp;DATE(2026,9,8),'DRAFT 2'!$A:$A,"&lt;="&amp;DATE(2026,9,14))</f>
        <v/>
      </c>
      <c r="HA99">
        <f>COUNTIFS('DRAFT 2'!$D:$D,$B99,'DRAFT 2'!$A:$A,"&gt;="&amp;DATE(2026,9,15),'DRAFT 2'!$A:$A,"&lt;="&amp;DATE(2026,9,21))</f>
        <v/>
      </c>
      <c r="HB99">
        <f>COUNTIFS('DRAFT 2'!$D:$D,$B99,'DRAFT 2'!$A:$A,"&gt;="&amp;DATE(2026,9,22),'DRAFT 2'!$A:$A,"&lt;"&amp;DATE(2026,IF(9=12,9+1,9+1),1))</f>
        <v/>
      </c>
      <c r="HC99">
        <f>SUM(GY99:HB99)</f>
        <v/>
      </c>
      <c r="HN99">
        <f>IFERROR(LOOKUP(2,1/('DRAFT 2'!$D:$D=$B99)*('DRAFT 2'!$A:$A&gt;=DATE(2026,10,1))*('DRAFT 2'!$A:$A&lt;DATE(2026,IF(10=12,10+1,10+1),1)),'DRAFT 2'!$A:$A),"")</f>
        <v/>
      </c>
      <c r="HO99">
        <f>COUNTIFS('DRAFT 2'!$D:$D,$B99,'DRAFT 2'!$A:$A,"&gt;="&amp;DATE(2026,10,1),'DRAFT 2'!$A:$A,"&lt;="&amp;DATE(2026,10,7))</f>
        <v/>
      </c>
      <c r="HP99">
        <f>COUNTIFS('DRAFT 2'!$D:$D,$B99,'DRAFT 2'!$A:$A,"&gt;="&amp;DATE(2026,10,8),'DRAFT 2'!$A:$A,"&lt;="&amp;DATE(2026,10,14))</f>
        <v/>
      </c>
      <c r="HQ99">
        <f>COUNTIFS('DRAFT 2'!$D:$D,$B99,'DRAFT 2'!$A:$A,"&gt;="&amp;DATE(2026,10,15),'DRAFT 2'!$A:$A,"&lt;="&amp;DATE(2026,10,21))</f>
        <v/>
      </c>
      <c r="HR99">
        <f>COUNTIFS('DRAFT 2'!$D:$D,$B99,'DRAFT 2'!$A:$A,"&gt;="&amp;DATE(2026,10,22),'DRAFT 2'!$A:$A,"&lt;"&amp;DATE(2026,IF(10=12,10+1,10+1),1))</f>
        <v/>
      </c>
      <c r="HS99">
        <f>SUM(HO99:HR99)</f>
        <v/>
      </c>
      <c r="IC99">
        <f>IFERROR(LOOKUP(2,1/('DRAFT 2'!$D:$D=$B99)*('DRAFT 2'!$A:$A&gt;=DATE(2026,11,1))*('DRAFT 2'!$A:$A&lt;DATE(2026,IF(11=12,11+1,11+1),1)),'DRAFT 2'!$A:$A),"")</f>
        <v/>
      </c>
      <c r="ID99">
        <f>COUNTIFS('DRAFT 2'!$D:$D,$B99,'DRAFT 2'!$A:$A,"&gt;="&amp;DATE(2026,11,1),'DRAFT 2'!$A:$A,"&lt;="&amp;DATE(2026,11,7))</f>
        <v/>
      </c>
      <c r="IE99">
        <f>COUNTIFS('DRAFT 2'!$D:$D,$B99,'DRAFT 2'!$A:$A,"&gt;="&amp;DATE(2026,11,8),'DRAFT 2'!$A:$A,"&lt;="&amp;DATE(2026,11,14))</f>
        <v/>
      </c>
      <c r="IF99">
        <f>COUNTIFS('DRAFT 2'!$D:$D,$B99,'DRAFT 2'!$A:$A,"&gt;="&amp;DATE(2026,11,15),'DRAFT 2'!$A:$A,"&lt;="&amp;DATE(2026,11,21))</f>
        <v/>
      </c>
      <c r="IG99">
        <f>COUNTIFS('DRAFT 2'!$D:$D,$B99,'DRAFT 2'!$A:$A,"&gt;="&amp;DATE(2026,11,22),'DRAFT 2'!$A:$A,"&lt;"&amp;DATE(2026,IF(11=12,11+1,11+1),1))</f>
        <v/>
      </c>
      <c r="IH99">
        <f>SUM(ID99:IG99)</f>
        <v/>
      </c>
      <c r="IR99">
        <f>IFERROR(LOOKUP(2,1/('DRAFT 2'!$D:$D=$B99)*('DRAFT 2'!$A:$A&gt;=DATE(2026,12,1))*('DRAFT 2'!$A:$A&lt;DATE(2026,IF(12=12,12+1,12+1),1)),'DRAFT 2'!$A:$A),"")</f>
        <v/>
      </c>
      <c r="IS99">
        <f>COUNTIFS('DRAFT 2'!$D:$D,$B99,'DRAFT 2'!$A:$A,"&gt;="&amp;DATE(2026,12,1),'DRAFT 2'!$A:$A,"&lt;="&amp;DATE(2026,12,7))</f>
        <v/>
      </c>
      <c r="IT99">
        <f>COUNTIFS('DRAFT 2'!$D:$D,$B99,'DRAFT 2'!$A:$A,"&gt;="&amp;DATE(2026,12,8),'DRAFT 2'!$A:$A,"&lt;="&amp;DATE(2026,12,14))</f>
        <v/>
      </c>
      <c r="IU99">
        <f>COUNTIFS('DRAFT 2'!$D:$D,$B99,'DRAFT 2'!$A:$A,"&gt;="&amp;DATE(2026,12,15),'DRAFT 2'!$A:$A,"&lt;="&amp;DATE(2026,12,21))</f>
        <v/>
      </c>
      <c r="IV99">
        <f>COUNTIFS('DRAFT 2'!$D:$D,$B99,'DRAFT 2'!$A:$A,"&gt;="&amp;DATE(2026,12,22),'DRAFT 2'!$A:$A,"&lt;"&amp;DATE(2026,IF(12=12,12+1,12+1),1))</f>
        <v/>
      </c>
      <c r="IW99">
        <f>SUM(IS99:IV99)</f>
        <v/>
      </c>
    </row>
    <row r="100">
      <c r="A100">
        <f>IFERROR(INDEX('DRAFT 1'!$A:$A,MATCH($B100,'DRAFT 1'!$B:$B,0)),"")</f>
        <v/>
      </c>
      <c r="C100">
        <f>IFERROR(INDEX('DRAFT 1'!$C:$C,MATCH($B100,'DRAFT 1'!$B:$B,0)),"")</f>
        <v/>
      </c>
      <c r="D100">
        <f>IFERROR(INDEX('DRAFT 1'!$D:$D,MATCH($B100,'DRAFT 1'!$B:$B,0)),"")</f>
        <v/>
      </c>
      <c r="E100">
        <f>IFERROR(INDEX('DRAFT 1'!$E:$E,MATCH($B100,'DRAFT 1'!$B:$B,0)),"")</f>
        <v/>
      </c>
      <c r="F100">
        <f>IFERROR(INDEX('DRAFT 1'!$F:$F,MATCH($B100,'DRAFT 1'!$B:$B,0)),"")</f>
        <v/>
      </c>
      <c r="G100">
        <f>IFERROR(INDEX('DRAFT 1'!$G:$G,MATCH($B100,'DRAFT 1'!$B:$B,0)),"")</f>
        <v/>
      </c>
      <c r="H100">
        <f>IFERROR(INDEX('DRAFT 1'!$H:$H,MATCH($B100,'DRAFT 1'!$B:$B,0)),"")</f>
        <v/>
      </c>
      <c r="I100" t="inlineStr">
        <is>
          <t>VIDA LEVE</t>
        </is>
      </c>
      <c r="K100">
        <f>IFERROR(INDEX('DRAFT 1'!$AL:$AL,MATCH($B100,'DRAFT 1'!$B:$B,0)),"")</f>
        <v/>
      </c>
      <c r="L100">
        <f>IFERROR(INDEX('DRAFT 1'!$J:$J,MATCH($B100,'DRAFT 1'!$B:$B,0)),"")</f>
        <v/>
      </c>
      <c r="M100">
        <f>IFERROR(INDEX('DRAFT 1'!$K:$K,MATCH($B100,'DRAFT 1'!$B:$B,0)),"")</f>
        <v/>
      </c>
      <c r="N100" t="inlineStr">
        <is>
          <t>ATIVO</t>
        </is>
      </c>
      <c r="P100">
        <f>IFERROR(INDEX('DRAFT 1'!$L:$L,MATCH($B100,'DRAFT 1'!$B:$B,0)),"")</f>
        <v/>
      </c>
      <c r="Q100">
        <f>IFERROR(INDEX('DRAFT 1'!$M:$M,MATCH($B100,'DRAFT 1'!$B:$B,0)),"")</f>
        <v/>
      </c>
      <c r="R100">
        <f>IFERROR(INDEX('DRAFT 1'!$N:$N,MATCH($B100,'DRAFT 1'!$B:$B,0)),"")</f>
        <v/>
      </c>
      <c r="S100">
        <f>IFERROR(INDEX('DRAFT 1'!$O:$O,MATCH($B100,'DRAFT 1'!$B:$B,0)),"")</f>
        <v/>
      </c>
      <c r="T100">
        <f>IFERROR(INDEX('DRAFT 1'!$P:$P,MATCH($B100,'DRAFT 1'!$B:$B,0)),"")</f>
        <v/>
      </c>
      <c r="U100">
        <f>IFERROR(INDEX('DRAFT 1'!$Q:$Q,MATCH($B100,'DRAFT 1'!$B:$B,0)),"")</f>
        <v/>
      </c>
      <c r="V100">
        <f>IFERROR(INDEX('DRAFT 1'!$R:$R,MATCH($B100,'DRAFT 1'!$B:$B,0)),"")</f>
        <v/>
      </c>
      <c r="W100">
        <f>IFERROR(INDEX('DRAFT 1'!$S:$S,MATCH($B100,'DRAFT 1'!$B:$B,0)),"")</f>
        <v/>
      </c>
      <c r="X100">
        <f>IFERROR(INDEX('DRAFT 1'!$T:$T,MATCH($B100,'DRAFT 1'!$B:$B,0)),"")</f>
        <v/>
      </c>
      <c r="Z100">
        <f>IFERROR(INDEX('DRAFT 1'!$U:$U,MATCH($B100,'DRAFT 1'!$B:$B,0)),"")</f>
        <v/>
      </c>
      <c r="AA100">
        <f>IFERROR(INDEX('DRAFT 1'!$V:$V,MATCH($B100,'DRAFT 1'!$B:$B,0)),"")</f>
        <v/>
      </c>
      <c r="AB100">
        <f>IFERROR(INDEX('DRAFT 1'!$W:$W,MATCH($B100,'DRAFT 1'!$B:$B,0)),"")</f>
        <v/>
      </c>
      <c r="AC100">
        <f>IFERROR(INDEX('DRAFT 1'!$X:$X,MATCH($B100,'DRAFT 1'!$B:$B,0)),"")</f>
        <v/>
      </c>
      <c r="AD100">
        <f>IFERROR(INDEX('DRAFT 1'!$Y:$Y,MATCH($B100,'DRAFT 1'!$B:$B,0)),"")</f>
        <v/>
      </c>
      <c r="AE100">
        <f>IFERROR(INDEX('DRAFT 1'!$Z:$Z,MATCH($B100,'DRAFT 1'!$B:$B,0)),"")</f>
        <v/>
      </c>
      <c r="AF100">
        <f>IFERROR(INDEX('DRAFT 1'!$AA:$AA,MATCH($B100,'DRAFT 1'!$B:$B,0)),"")</f>
        <v/>
      </c>
      <c r="AG100">
        <f>IFERROR(INDEX('DRAFT 1'!$AB:$AB,MATCH($B100,'DRAFT 1'!$B:$B,0)),"")</f>
        <v/>
      </c>
      <c r="AH100">
        <f>IFERROR(INDEX('DRAFT 1'!$AC:$AC,MATCH($B100,'DRAFT 1'!$B:$B,0)),"")</f>
        <v/>
      </c>
      <c r="AI100">
        <f>IFERROR(INDEX('DRAFT 1'!$AD:$AD,MATCH($B100,'DRAFT 1'!$B:$B,0)),"")</f>
        <v/>
      </c>
      <c r="AJ100">
        <f>IFERROR(INDEX('DRAFT 1'!$AE:$AE,MATCH($B100,'DRAFT 1'!$B:$B,0)),"")</f>
        <v/>
      </c>
      <c r="AK100">
        <f>IFERROR(INDEX('DRAFT 1'!$AG:$AG,MATCH($B100,'DRAFT 1'!$B:$B,0)),"")</f>
        <v/>
      </c>
      <c r="AL100">
        <f>IFERROR(INDEX('DRAFT 1'!$AH:$AH,MATCH($B100,'DRAFT 1'!$B:$B,0)),"")</f>
        <v/>
      </c>
      <c r="AM100">
        <f>IFERROR(INDEX('DRAFT 1'!$AI:$AI,MATCH($B100,'DRAFT 1'!$B:$B,0)),"")</f>
        <v/>
      </c>
      <c r="AN100">
        <f>IFERROR(INDEX('DRAFT 1'!$AJ:$AJ,MATCH($B100,'DRAFT 1'!$B:$B,0)),"")</f>
        <v/>
      </c>
      <c r="AO100">
        <f>IFERROR(Y100/AN100,0)</f>
        <v/>
      </c>
      <c r="AP100">
        <f>IFERROR(INDEX('DRAFT 1'!$AK:$AK,MATCH($B100,'DRAFT 1'!$B:$B,0)),"")</f>
        <v/>
      </c>
      <c r="AR100" t="inlineStr">
        <is>
          <t>RECOMPRA</t>
        </is>
      </c>
      <c r="AS100">
        <f>IFERROR(LOOKUP(2,1/('DRAFT 2'!$D:$D=$B100),'DRAFT 2'!$T:$T),"")</f>
        <v/>
      </c>
      <c r="AT100">
        <f>IFERROR(LOOKUP(2,1/('DRAFT 2'!$D:$D=$B100),'DRAFT 2'!$A:$A),"")</f>
        <v/>
      </c>
      <c r="AU100">
        <f>IFERROR(LOOKUP(2,1/('DRAFT 2'!$D:$D=$B100),'DRAFT 2'!$R:$R),"")</f>
        <v/>
      </c>
      <c r="AV100">
        <f>IFERROR(LOOKUP(2,1/('DRAFT 2'!$D:$D=$B100),'DRAFT 2'!$S:$S),"")</f>
        <v/>
      </c>
      <c r="AW100" t="inlineStr">
        <is>
          <t>RECORRENTE</t>
        </is>
      </c>
      <c r="AX100">
        <f>IFERROR(LOOKUP(2,1/('DRAFT 2'!$D:$D=$B100),'DRAFT 2'!$M:$M),"")</f>
        <v/>
      </c>
      <c r="AY100">
        <f>IFERROR(LOOKUP(2,1/('DRAFT 2'!$D:$D=$B100),'DRAFT 2'!$K:$K),"")</f>
        <v/>
      </c>
      <c r="BG100">
        <f>IFERROR(LOOKUP(2,1/('DRAFT 2'!$D:$D=$B100),'DRAFT 2'!$U:$U),"")</f>
        <v/>
      </c>
      <c r="BH100">
        <f>IFERROR(LOOKUP(2,1/('DRAFT 2'!$D:$D=$B100),'DRAFT 2'!$V:$V),"")</f>
        <v/>
      </c>
      <c r="CE100">
        <f>IFERROR(AJ100,0)</f>
        <v/>
      </c>
      <c r="CF100">
        <f>IFERROR(LOOKUP(2,1/('DRAFT 2'!$D:$D=$B100)*('DRAFT 2'!$A:$A&gt;=DATE(2026,1,1))*('DRAFT 2'!$A:$A&lt;DATE(2026,IF(1=12,1+1,1+1),1)),'DRAFT 2'!$A:$A),"")</f>
        <v/>
      </c>
      <c r="CG100">
        <f>COUNTIFS('DRAFT 2'!$D:$D,$B100,'DRAFT 2'!$A:$A,"&gt;="&amp;DATE(2026,1,1),'DRAFT 2'!$A:$A,"&lt;="&amp;DATE(2026,1,7))</f>
        <v/>
      </c>
      <c r="CH100">
        <f>COUNTIFS('DRAFT 2'!$D:$D,$B100,'DRAFT 2'!$A:$A,"&gt;="&amp;DATE(2026,1,8),'DRAFT 2'!$A:$A,"&lt;="&amp;DATE(2026,1,14))</f>
        <v/>
      </c>
      <c r="CI100">
        <f>COUNTIFS('DRAFT 2'!$D:$D,$B100,'DRAFT 2'!$A:$A,"&gt;="&amp;DATE(2026,1,15),'DRAFT 2'!$A:$A,"&lt;="&amp;DATE(2026,1,21))</f>
        <v/>
      </c>
      <c r="CJ100">
        <f>COUNTIFS('DRAFT 2'!$D:$D,$B100,'DRAFT 2'!$A:$A,"&gt;="&amp;DATE(2026,1,22),'DRAFT 2'!$A:$A,"&lt;"&amp;DATE(2026,IF(1=12,1+1,1+1),1))</f>
        <v/>
      </c>
      <c r="CK100">
        <f>SUM(CG100:CJ100)</f>
        <v/>
      </c>
      <c r="CT100" t="n">
        <v>0</v>
      </c>
      <c r="CU100">
        <f>IFERROR(LOOKUP(2,1/('DRAFT 2'!$D:$D=$B100)*('DRAFT 2'!$A:$A&gt;=DATE(2026,2,1))*('DRAFT 2'!$A:$A&lt;DATE(2026,IF(2=12,2+1,2+1),1)),'DRAFT 2'!$A:$A),"")</f>
        <v/>
      </c>
      <c r="CV100">
        <f>COUNTIFS('DRAFT 2'!$D:$D,$B100,'DRAFT 2'!$A:$A,"&gt;="&amp;DATE(2026,2,1),'DRAFT 2'!$A:$A,"&lt;="&amp;DATE(2026,2,7))</f>
        <v/>
      </c>
      <c r="CW100">
        <f>COUNTIFS('DRAFT 2'!$D:$D,$B100,'DRAFT 2'!$A:$A,"&gt;="&amp;DATE(2026,2,8),'DRAFT 2'!$A:$A,"&lt;="&amp;DATE(2026,2,14))</f>
        <v/>
      </c>
      <c r="CX100">
        <f>COUNTIFS('DRAFT 2'!$D:$D,$B100,'DRAFT 2'!$A:$A,"&gt;="&amp;DATE(2026,2,15),'DRAFT 2'!$A:$A,"&lt;="&amp;DATE(2026,2,21))</f>
        <v/>
      </c>
      <c r="CY100">
        <f>COUNTIFS('DRAFT 2'!$D:$D,$B100,'DRAFT 2'!$A:$A,"&gt;="&amp;DATE(2026,2,22),'DRAFT 2'!$A:$A,"&lt;"&amp;DATE(2026,IF(2=12,2+1,2+1),1))</f>
        <v/>
      </c>
      <c r="CZ100">
        <f>SUM(CV100:CY100)</f>
        <v/>
      </c>
      <c r="DJ100">
        <f>IFERROR(LOOKUP(2,1/('DRAFT 2'!$D:$D=$B100)*('DRAFT 2'!$A:$A&gt;=DATE(2026,3,1))*('DRAFT 2'!$A:$A&lt;DATE(2026,IF(3=12,3+1,3+1),1)),'DRAFT 2'!$A:$A),"")</f>
        <v/>
      </c>
      <c r="DK100">
        <f>COUNTIFS('DRAFT 2'!$D:$D,$B100,'DRAFT 2'!$A:$A,"&gt;="&amp;DATE(2026,3,1),'DRAFT 2'!$A:$A,"&lt;="&amp;DATE(2026,3,7))</f>
        <v/>
      </c>
      <c r="DL100">
        <f>COUNTIFS('DRAFT 2'!$D:$D,$B100,'DRAFT 2'!$A:$A,"&gt;="&amp;DATE(2026,3,8),'DRAFT 2'!$A:$A,"&lt;="&amp;DATE(2026,3,14))</f>
        <v/>
      </c>
      <c r="DM100">
        <f>COUNTIFS('DRAFT 2'!$D:$D,$B100,'DRAFT 2'!$A:$A,"&gt;="&amp;DATE(2026,3,15),'DRAFT 2'!$A:$A,"&lt;="&amp;DATE(2026,3,21))</f>
        <v/>
      </c>
      <c r="DN100">
        <f>COUNTIFS('DRAFT 2'!$D:$D,$B100,'DRAFT 2'!$A:$A,"&gt;="&amp;DATE(2026,3,22),'DRAFT 2'!$A:$A,"&lt;"&amp;DATE(2026,IF(3=12,3+1,3+1),1))</f>
        <v/>
      </c>
      <c r="DO100">
        <f>SUM(DK100:DN100)</f>
        <v/>
      </c>
      <c r="DZ100">
        <f>IFERROR(LOOKUP(2,1/('DRAFT 2'!$D:$D=$B100)*('DRAFT 2'!$A:$A&gt;=DATE(2026,4,1))*('DRAFT 2'!$A:$A&lt;DATE(2026,IF(4=12,4+1,4+1),1)),'DRAFT 2'!$A:$A),"")</f>
        <v/>
      </c>
      <c r="EA100">
        <f>COUNTIFS('DRAFT 2'!$D:$D,$B100,'DRAFT 2'!$A:$A,"&gt;="&amp;DATE(2026,4,1),'DRAFT 2'!$A:$A,"&lt;="&amp;DATE(2026,4,7))</f>
        <v/>
      </c>
      <c r="EB100">
        <f>COUNTIFS('DRAFT 2'!$D:$D,$B100,'DRAFT 2'!$A:$A,"&gt;="&amp;DATE(2026,4,8),'DRAFT 2'!$A:$A,"&lt;="&amp;DATE(2026,4,14))</f>
        <v/>
      </c>
      <c r="EC100">
        <f>COUNTIFS('DRAFT 2'!$D:$D,$B100,'DRAFT 2'!$A:$A,"&gt;="&amp;DATE(2026,4,15),'DRAFT 2'!$A:$A,"&lt;="&amp;DATE(2026,4,21))</f>
        <v/>
      </c>
      <c r="ED100">
        <f>COUNTIFS('DRAFT 2'!$D:$D,$B100,'DRAFT 2'!$A:$A,"&gt;="&amp;DATE(2026,4,22),'DRAFT 2'!$A:$A,"&lt;"&amp;DATE(2026,IF(4=12,4+1,4+1),1))</f>
        <v/>
      </c>
      <c r="EE100">
        <f>SUM(EA100:ED100)</f>
        <v/>
      </c>
      <c r="EO100">
        <f>IFERROR(LOOKUP(2,1/('DRAFT 2'!$D:$D=$B100)*('DRAFT 2'!$A:$A&gt;=DATE(2026,5,1))*('DRAFT 2'!$A:$A&lt;DATE(2026,IF(5=12,5+1,5+1),1)),'DRAFT 2'!$A:$A),"")</f>
        <v/>
      </c>
      <c r="EP100">
        <f>COUNTIFS('DRAFT 2'!$D:$D,$B100,'DRAFT 2'!$A:$A,"&gt;="&amp;DATE(2026,5,1),'DRAFT 2'!$A:$A,"&lt;="&amp;DATE(2026,5,7))</f>
        <v/>
      </c>
      <c r="EQ100">
        <f>COUNTIFS('DRAFT 2'!$D:$D,$B100,'DRAFT 2'!$A:$A,"&gt;="&amp;DATE(2026,5,8),'DRAFT 2'!$A:$A,"&lt;="&amp;DATE(2026,5,14))</f>
        <v/>
      </c>
      <c r="ER100">
        <f>COUNTIFS('DRAFT 2'!$D:$D,$B100,'DRAFT 2'!$A:$A,"&gt;="&amp;DATE(2026,5,15),'DRAFT 2'!$A:$A,"&lt;="&amp;DATE(2026,5,21))</f>
        <v/>
      </c>
      <c r="ES100">
        <f>COUNTIFS('DRAFT 2'!$D:$D,$B100,'DRAFT 2'!$A:$A,"&gt;="&amp;DATE(2026,5,22),'DRAFT 2'!$A:$A,"&lt;"&amp;DATE(2026,IF(5=12,5+1,5+1),1))</f>
        <v/>
      </c>
      <c r="ET100">
        <f>SUM(EP100:ES100)</f>
        <v/>
      </c>
      <c r="FD100">
        <f>IFERROR(LOOKUP(2,1/('DRAFT 2'!$D:$D=$B100)*('DRAFT 2'!$A:$A&gt;=DATE(2026,6,1))*('DRAFT 2'!$A:$A&lt;DATE(2026,IF(6=12,6+1,6+1),1)),'DRAFT 2'!$A:$A),"")</f>
        <v/>
      </c>
      <c r="FE100">
        <f>COUNTIFS('DRAFT 2'!$D:$D,$B100,'DRAFT 2'!$A:$A,"&gt;="&amp;DATE(2026,6,1),'DRAFT 2'!$A:$A,"&lt;="&amp;DATE(2026,6,7))</f>
        <v/>
      </c>
      <c r="FF100">
        <f>COUNTIFS('DRAFT 2'!$D:$D,$B100,'DRAFT 2'!$A:$A,"&gt;="&amp;DATE(2026,6,8),'DRAFT 2'!$A:$A,"&lt;="&amp;DATE(2026,6,14))</f>
        <v/>
      </c>
      <c r="FG100">
        <f>COUNTIFS('DRAFT 2'!$D:$D,$B100,'DRAFT 2'!$A:$A,"&gt;="&amp;DATE(2026,6,15),'DRAFT 2'!$A:$A,"&lt;="&amp;DATE(2026,6,21))</f>
        <v/>
      </c>
      <c r="FH100">
        <f>COUNTIFS('DRAFT 2'!$D:$D,$B100,'DRAFT 2'!$A:$A,"&gt;="&amp;DATE(2026,6,22),'DRAFT 2'!$A:$A,"&lt;"&amp;DATE(2026,IF(6=12,6+1,6+1),1))</f>
        <v/>
      </c>
      <c r="FI100">
        <f>SUM(FE100:FH100)</f>
        <v/>
      </c>
      <c r="FT100">
        <f>IFERROR(LOOKUP(2,1/('DRAFT 2'!$D:$D=$B100)*('DRAFT 2'!$A:$A&gt;=DATE(2026,7,1))*('DRAFT 2'!$A:$A&lt;DATE(2026,IF(7=12,7+1,7+1),1)),'DRAFT 2'!$A:$A),"")</f>
        <v/>
      </c>
      <c r="FU100">
        <f>COUNTIFS('DRAFT 2'!$D:$D,$B100,'DRAFT 2'!$A:$A,"&gt;="&amp;DATE(2026,7,1),'DRAFT 2'!$A:$A,"&lt;="&amp;DATE(2026,7,7))</f>
        <v/>
      </c>
      <c r="FV100">
        <f>COUNTIFS('DRAFT 2'!$D:$D,$B100,'DRAFT 2'!$A:$A,"&gt;="&amp;DATE(2026,7,8),'DRAFT 2'!$A:$A,"&lt;="&amp;DATE(2026,7,14))</f>
        <v/>
      </c>
      <c r="FW100">
        <f>COUNTIFS('DRAFT 2'!$D:$D,$B100,'DRAFT 2'!$A:$A,"&gt;="&amp;DATE(2026,7,15),'DRAFT 2'!$A:$A,"&lt;="&amp;DATE(2026,7,21))</f>
        <v/>
      </c>
      <c r="FX100">
        <f>COUNTIFS('DRAFT 2'!$D:$D,$B100,'DRAFT 2'!$A:$A,"&gt;="&amp;DATE(2026,7,22),'DRAFT 2'!$A:$A,"&lt;"&amp;DATE(2026,IF(7=12,7+1,7+1),1))</f>
        <v/>
      </c>
      <c r="FY100">
        <f>SUM(FU100:FX100)</f>
        <v/>
      </c>
      <c r="GI100">
        <f>IFERROR(LOOKUP(2,1/('DRAFT 2'!$D:$D=$B100)*('DRAFT 2'!$A:$A&gt;=DATE(2026,8,1))*('DRAFT 2'!$A:$A&lt;DATE(2026,IF(8=12,8+1,8+1),1)),'DRAFT 2'!$A:$A),"")</f>
        <v/>
      </c>
      <c r="GJ100">
        <f>COUNTIFS('DRAFT 2'!$D:$D,$B100,'DRAFT 2'!$A:$A,"&gt;="&amp;DATE(2026,8,1),'DRAFT 2'!$A:$A,"&lt;="&amp;DATE(2026,8,7))</f>
        <v/>
      </c>
      <c r="GK100">
        <f>COUNTIFS('DRAFT 2'!$D:$D,$B100,'DRAFT 2'!$A:$A,"&gt;="&amp;DATE(2026,8,8),'DRAFT 2'!$A:$A,"&lt;="&amp;DATE(2026,8,14))</f>
        <v/>
      </c>
      <c r="GL100">
        <f>COUNTIFS('DRAFT 2'!$D:$D,$B100,'DRAFT 2'!$A:$A,"&gt;="&amp;DATE(2026,8,15),'DRAFT 2'!$A:$A,"&lt;="&amp;DATE(2026,8,21))</f>
        <v/>
      </c>
      <c r="GM100">
        <f>COUNTIFS('DRAFT 2'!$D:$D,$B100,'DRAFT 2'!$A:$A,"&gt;="&amp;DATE(2026,8,22),'DRAFT 2'!$A:$A,"&lt;"&amp;DATE(2026,IF(8=12,8+1,8+1),1))</f>
        <v/>
      </c>
      <c r="GN100">
        <f>SUM(GJ100:GM100)</f>
        <v/>
      </c>
      <c r="GX100">
        <f>IFERROR(LOOKUP(2,1/('DRAFT 2'!$D:$D=$B100)*('DRAFT 2'!$A:$A&gt;=DATE(2026,9,1))*('DRAFT 2'!$A:$A&lt;DATE(2026,IF(9=12,9+1,9+1),1)),'DRAFT 2'!$A:$A),"")</f>
        <v/>
      </c>
      <c r="GY100">
        <f>COUNTIFS('DRAFT 2'!$D:$D,$B100,'DRAFT 2'!$A:$A,"&gt;="&amp;DATE(2026,9,1),'DRAFT 2'!$A:$A,"&lt;="&amp;DATE(2026,9,7))</f>
        <v/>
      </c>
      <c r="GZ100">
        <f>COUNTIFS('DRAFT 2'!$D:$D,$B100,'DRAFT 2'!$A:$A,"&gt;="&amp;DATE(2026,9,8),'DRAFT 2'!$A:$A,"&lt;="&amp;DATE(2026,9,14))</f>
        <v/>
      </c>
      <c r="HA100">
        <f>COUNTIFS('DRAFT 2'!$D:$D,$B100,'DRAFT 2'!$A:$A,"&gt;="&amp;DATE(2026,9,15),'DRAFT 2'!$A:$A,"&lt;="&amp;DATE(2026,9,21))</f>
        <v/>
      </c>
      <c r="HB100">
        <f>COUNTIFS('DRAFT 2'!$D:$D,$B100,'DRAFT 2'!$A:$A,"&gt;="&amp;DATE(2026,9,22),'DRAFT 2'!$A:$A,"&lt;"&amp;DATE(2026,IF(9=12,9+1,9+1),1))</f>
        <v/>
      </c>
      <c r="HC100">
        <f>SUM(GY100:HB100)</f>
        <v/>
      </c>
      <c r="HN100">
        <f>IFERROR(LOOKUP(2,1/('DRAFT 2'!$D:$D=$B100)*('DRAFT 2'!$A:$A&gt;=DATE(2026,10,1))*('DRAFT 2'!$A:$A&lt;DATE(2026,IF(10=12,10+1,10+1),1)),'DRAFT 2'!$A:$A),"")</f>
        <v/>
      </c>
      <c r="HO100">
        <f>COUNTIFS('DRAFT 2'!$D:$D,$B100,'DRAFT 2'!$A:$A,"&gt;="&amp;DATE(2026,10,1),'DRAFT 2'!$A:$A,"&lt;="&amp;DATE(2026,10,7))</f>
        <v/>
      </c>
      <c r="HP100">
        <f>COUNTIFS('DRAFT 2'!$D:$D,$B100,'DRAFT 2'!$A:$A,"&gt;="&amp;DATE(2026,10,8),'DRAFT 2'!$A:$A,"&lt;="&amp;DATE(2026,10,14))</f>
        <v/>
      </c>
      <c r="HQ100">
        <f>COUNTIFS('DRAFT 2'!$D:$D,$B100,'DRAFT 2'!$A:$A,"&gt;="&amp;DATE(2026,10,15),'DRAFT 2'!$A:$A,"&lt;="&amp;DATE(2026,10,21))</f>
        <v/>
      </c>
      <c r="HR100">
        <f>COUNTIFS('DRAFT 2'!$D:$D,$B100,'DRAFT 2'!$A:$A,"&gt;="&amp;DATE(2026,10,22),'DRAFT 2'!$A:$A,"&lt;"&amp;DATE(2026,IF(10=12,10+1,10+1),1))</f>
        <v/>
      </c>
      <c r="HS100">
        <f>SUM(HO100:HR100)</f>
        <v/>
      </c>
      <c r="IC100">
        <f>IFERROR(LOOKUP(2,1/('DRAFT 2'!$D:$D=$B100)*('DRAFT 2'!$A:$A&gt;=DATE(2026,11,1))*('DRAFT 2'!$A:$A&lt;DATE(2026,IF(11=12,11+1,11+1),1)),'DRAFT 2'!$A:$A),"")</f>
        <v/>
      </c>
      <c r="ID100">
        <f>COUNTIFS('DRAFT 2'!$D:$D,$B100,'DRAFT 2'!$A:$A,"&gt;="&amp;DATE(2026,11,1),'DRAFT 2'!$A:$A,"&lt;="&amp;DATE(2026,11,7))</f>
        <v/>
      </c>
      <c r="IE100">
        <f>COUNTIFS('DRAFT 2'!$D:$D,$B100,'DRAFT 2'!$A:$A,"&gt;="&amp;DATE(2026,11,8),'DRAFT 2'!$A:$A,"&lt;="&amp;DATE(2026,11,14))</f>
        <v/>
      </c>
      <c r="IF100">
        <f>COUNTIFS('DRAFT 2'!$D:$D,$B100,'DRAFT 2'!$A:$A,"&gt;="&amp;DATE(2026,11,15),'DRAFT 2'!$A:$A,"&lt;="&amp;DATE(2026,11,21))</f>
        <v/>
      </c>
      <c r="IG100">
        <f>COUNTIFS('DRAFT 2'!$D:$D,$B100,'DRAFT 2'!$A:$A,"&gt;="&amp;DATE(2026,11,22),'DRAFT 2'!$A:$A,"&lt;"&amp;DATE(2026,IF(11=12,11+1,11+1),1))</f>
        <v/>
      </c>
      <c r="IH100">
        <f>SUM(ID100:IG100)</f>
        <v/>
      </c>
      <c r="IR100">
        <f>IFERROR(LOOKUP(2,1/('DRAFT 2'!$D:$D=$B100)*('DRAFT 2'!$A:$A&gt;=DATE(2026,12,1))*('DRAFT 2'!$A:$A&lt;DATE(2026,IF(12=12,12+1,12+1),1)),'DRAFT 2'!$A:$A),"")</f>
        <v/>
      </c>
      <c r="IS100">
        <f>COUNTIFS('DRAFT 2'!$D:$D,$B100,'DRAFT 2'!$A:$A,"&gt;="&amp;DATE(2026,12,1),'DRAFT 2'!$A:$A,"&lt;="&amp;DATE(2026,12,7))</f>
        <v/>
      </c>
      <c r="IT100">
        <f>COUNTIFS('DRAFT 2'!$D:$D,$B100,'DRAFT 2'!$A:$A,"&gt;="&amp;DATE(2026,12,8),'DRAFT 2'!$A:$A,"&lt;="&amp;DATE(2026,12,14))</f>
        <v/>
      </c>
      <c r="IU100">
        <f>COUNTIFS('DRAFT 2'!$D:$D,$B100,'DRAFT 2'!$A:$A,"&gt;="&amp;DATE(2026,12,15),'DRAFT 2'!$A:$A,"&lt;="&amp;DATE(2026,12,21))</f>
        <v/>
      </c>
      <c r="IV100">
        <f>COUNTIFS('DRAFT 2'!$D:$D,$B100,'DRAFT 2'!$A:$A,"&gt;="&amp;DATE(2026,12,22),'DRAFT 2'!$A:$A,"&lt;"&amp;DATE(2026,IF(12=12,12+1,12+1),1))</f>
        <v/>
      </c>
      <c r="IW100">
        <f>SUM(IS100:IV100)</f>
        <v/>
      </c>
    </row>
    <row r="101">
      <c r="A101">
        <f>IFERROR(INDEX('DRAFT 1'!$A:$A,MATCH($B101,'DRAFT 1'!$B:$B,0)),"")</f>
        <v/>
      </c>
      <c r="C101">
        <f>IFERROR(INDEX('DRAFT 1'!$C:$C,MATCH($B101,'DRAFT 1'!$B:$B,0)),"")</f>
        <v/>
      </c>
      <c r="D101">
        <f>IFERROR(INDEX('DRAFT 1'!$D:$D,MATCH($B101,'DRAFT 1'!$B:$B,0)),"")</f>
        <v/>
      </c>
      <c r="E101">
        <f>IFERROR(INDEX('DRAFT 1'!$E:$E,MATCH($B101,'DRAFT 1'!$B:$B,0)),"")</f>
        <v/>
      </c>
      <c r="F101">
        <f>IFERROR(INDEX('DRAFT 1'!$F:$F,MATCH($B101,'DRAFT 1'!$B:$B,0)),"")</f>
        <v/>
      </c>
      <c r="G101">
        <f>IFERROR(INDEX('DRAFT 1'!$G:$G,MATCH($B101,'DRAFT 1'!$B:$B,0)),"")</f>
        <v/>
      </c>
      <c r="H101">
        <f>IFERROR(INDEX('DRAFT 1'!$H:$H,MATCH($B101,'DRAFT 1'!$B:$B,0)),"")</f>
        <v/>
      </c>
      <c r="I101" t="inlineStr">
        <is>
          <t>DEMAIS CLIENTES</t>
        </is>
      </c>
      <c r="K101">
        <f>IFERROR(INDEX('DRAFT 1'!$AL:$AL,MATCH($B101,'DRAFT 1'!$B:$B,0)),"")</f>
        <v/>
      </c>
      <c r="L101">
        <f>IFERROR(INDEX('DRAFT 1'!$J:$J,MATCH($B101,'DRAFT 1'!$B:$B,0)),"")</f>
        <v/>
      </c>
      <c r="M101">
        <f>IFERROR(INDEX('DRAFT 1'!$K:$K,MATCH($B101,'DRAFT 1'!$B:$B,0)),"")</f>
        <v/>
      </c>
      <c r="N101" t="inlineStr">
        <is>
          <t>NOVO</t>
        </is>
      </c>
      <c r="P101">
        <f>IFERROR(INDEX('DRAFT 1'!$L:$L,MATCH($B101,'DRAFT 1'!$B:$B,0)),"")</f>
        <v/>
      </c>
      <c r="Q101">
        <f>IFERROR(INDEX('DRAFT 1'!$M:$M,MATCH($B101,'DRAFT 1'!$B:$B,0)),"")</f>
        <v/>
      </c>
      <c r="R101">
        <f>IFERROR(INDEX('DRAFT 1'!$N:$N,MATCH($B101,'DRAFT 1'!$B:$B,0)),"")</f>
        <v/>
      </c>
      <c r="S101">
        <f>IFERROR(INDEX('DRAFT 1'!$O:$O,MATCH($B101,'DRAFT 1'!$B:$B,0)),"")</f>
        <v/>
      </c>
      <c r="T101">
        <f>IFERROR(INDEX('DRAFT 1'!$P:$P,MATCH($B101,'DRAFT 1'!$B:$B,0)),"")</f>
        <v/>
      </c>
      <c r="U101">
        <f>IFERROR(INDEX('DRAFT 1'!$Q:$Q,MATCH($B101,'DRAFT 1'!$B:$B,0)),"")</f>
        <v/>
      </c>
      <c r="V101">
        <f>IFERROR(INDEX('DRAFT 1'!$R:$R,MATCH($B101,'DRAFT 1'!$B:$B,0)),"")</f>
        <v/>
      </c>
      <c r="W101">
        <f>IFERROR(INDEX('DRAFT 1'!$S:$S,MATCH($B101,'DRAFT 1'!$B:$B,0)),"")</f>
        <v/>
      </c>
      <c r="X101">
        <f>IFERROR(INDEX('DRAFT 1'!$T:$T,MATCH($B101,'DRAFT 1'!$B:$B,0)),"")</f>
        <v/>
      </c>
      <c r="Z101">
        <f>IFERROR(INDEX('DRAFT 1'!$U:$U,MATCH($B101,'DRAFT 1'!$B:$B,0)),"")</f>
        <v/>
      </c>
      <c r="AA101">
        <f>IFERROR(INDEX('DRAFT 1'!$V:$V,MATCH($B101,'DRAFT 1'!$B:$B,0)),"")</f>
        <v/>
      </c>
      <c r="AB101">
        <f>IFERROR(INDEX('DRAFT 1'!$W:$W,MATCH($B101,'DRAFT 1'!$B:$B,0)),"")</f>
        <v/>
      </c>
      <c r="AC101">
        <f>IFERROR(INDEX('DRAFT 1'!$X:$X,MATCH($B101,'DRAFT 1'!$B:$B,0)),"")</f>
        <v/>
      </c>
      <c r="AD101">
        <f>IFERROR(INDEX('DRAFT 1'!$Y:$Y,MATCH($B101,'DRAFT 1'!$B:$B,0)),"")</f>
        <v/>
      </c>
      <c r="AE101">
        <f>IFERROR(INDEX('DRAFT 1'!$Z:$Z,MATCH($B101,'DRAFT 1'!$B:$B,0)),"")</f>
        <v/>
      </c>
      <c r="AF101">
        <f>IFERROR(INDEX('DRAFT 1'!$AA:$AA,MATCH($B101,'DRAFT 1'!$B:$B,0)),"")</f>
        <v/>
      </c>
      <c r="AG101">
        <f>IFERROR(INDEX('DRAFT 1'!$AB:$AB,MATCH($B101,'DRAFT 1'!$B:$B,0)),"")</f>
        <v/>
      </c>
      <c r="AH101">
        <f>IFERROR(INDEX('DRAFT 1'!$AC:$AC,MATCH($B101,'DRAFT 1'!$B:$B,0)),"")</f>
        <v/>
      </c>
      <c r="AI101">
        <f>IFERROR(INDEX('DRAFT 1'!$AD:$AD,MATCH($B101,'DRAFT 1'!$B:$B,0)),"")</f>
        <v/>
      </c>
      <c r="AJ101">
        <f>IFERROR(INDEX('DRAFT 1'!$AE:$AE,MATCH($B101,'DRAFT 1'!$B:$B,0)),"")</f>
        <v/>
      </c>
      <c r="AK101">
        <f>IFERROR(INDEX('DRAFT 1'!$AG:$AG,MATCH($B101,'DRAFT 1'!$B:$B,0)),"")</f>
        <v/>
      </c>
      <c r="AL101">
        <f>IFERROR(INDEX('DRAFT 1'!$AH:$AH,MATCH($B101,'DRAFT 1'!$B:$B,0)),"")</f>
        <v/>
      </c>
      <c r="AM101">
        <f>IFERROR(INDEX('DRAFT 1'!$AI:$AI,MATCH($B101,'DRAFT 1'!$B:$B,0)),"")</f>
        <v/>
      </c>
      <c r="AN101">
        <f>IFERROR(INDEX('DRAFT 1'!$AJ:$AJ,MATCH($B101,'DRAFT 1'!$B:$B,0)),"")</f>
        <v/>
      </c>
      <c r="AO101">
        <f>IFERROR(Y101/AN101,0)</f>
        <v/>
      </c>
      <c r="AP101">
        <f>IFERROR(INDEX('DRAFT 1'!$AK:$AK,MATCH($B101,'DRAFT 1'!$B:$B,0)),"")</f>
        <v/>
      </c>
      <c r="AR101" t="inlineStr">
        <is>
          <t>ORÇAMENTO</t>
        </is>
      </c>
      <c r="AS101">
        <f>IFERROR(LOOKUP(2,1/('DRAFT 2'!$D:$D=$B101),'DRAFT 2'!$T:$T),"")</f>
        <v/>
      </c>
      <c r="AT101">
        <f>IFERROR(LOOKUP(2,1/('DRAFT 2'!$D:$D=$B101),'DRAFT 2'!$A:$A),"")</f>
        <v/>
      </c>
      <c r="AU101">
        <f>IFERROR(LOOKUP(2,1/('DRAFT 2'!$D:$D=$B101),'DRAFT 2'!$R:$R),"")</f>
        <v/>
      </c>
      <c r="AV101">
        <f>IFERROR(LOOKUP(2,1/('DRAFT 2'!$D:$D=$B101),'DRAFT 2'!$S:$S),"")</f>
        <v/>
      </c>
      <c r="AW101" t="inlineStr">
        <is>
          <t>RECORRENTE</t>
        </is>
      </c>
      <c r="AX101">
        <f>IFERROR(LOOKUP(2,1/('DRAFT 2'!$D:$D=$B101),'DRAFT 2'!$M:$M),"")</f>
        <v/>
      </c>
      <c r="AY101">
        <f>IFERROR(LOOKUP(2,1/('DRAFT 2'!$D:$D=$B101),'DRAFT 2'!$K:$K),"")</f>
        <v/>
      </c>
      <c r="BG101">
        <f>IFERROR(LOOKUP(2,1/('DRAFT 2'!$D:$D=$B101),'DRAFT 2'!$U:$U),"")</f>
        <v/>
      </c>
      <c r="BH101">
        <f>IFERROR(LOOKUP(2,1/('DRAFT 2'!$D:$D=$B101),'DRAFT 2'!$V:$V),"")</f>
        <v/>
      </c>
      <c r="CE101">
        <f>IFERROR(AJ101,0)</f>
        <v/>
      </c>
      <c r="CF101">
        <f>IFERROR(LOOKUP(2,1/('DRAFT 2'!$D:$D=$B101)*('DRAFT 2'!$A:$A&gt;=DATE(2026,1,1))*('DRAFT 2'!$A:$A&lt;DATE(2026,IF(1=12,1+1,1+1),1)),'DRAFT 2'!$A:$A),"")</f>
        <v/>
      </c>
      <c r="CG101">
        <f>COUNTIFS('DRAFT 2'!$D:$D,$B101,'DRAFT 2'!$A:$A,"&gt;="&amp;DATE(2026,1,1),'DRAFT 2'!$A:$A,"&lt;="&amp;DATE(2026,1,7))</f>
        <v/>
      </c>
      <c r="CH101">
        <f>COUNTIFS('DRAFT 2'!$D:$D,$B101,'DRAFT 2'!$A:$A,"&gt;="&amp;DATE(2026,1,8),'DRAFT 2'!$A:$A,"&lt;="&amp;DATE(2026,1,14))</f>
        <v/>
      </c>
      <c r="CI101">
        <f>COUNTIFS('DRAFT 2'!$D:$D,$B101,'DRAFT 2'!$A:$A,"&gt;="&amp;DATE(2026,1,15),'DRAFT 2'!$A:$A,"&lt;="&amp;DATE(2026,1,21))</f>
        <v/>
      </c>
      <c r="CJ101">
        <f>COUNTIFS('DRAFT 2'!$D:$D,$B101,'DRAFT 2'!$A:$A,"&gt;="&amp;DATE(2026,1,22),'DRAFT 2'!$A:$A,"&lt;"&amp;DATE(2026,IF(1=12,1+1,1+1),1))</f>
        <v/>
      </c>
      <c r="CK101">
        <f>SUM(CG101:CJ101)</f>
        <v/>
      </c>
      <c r="CT101" t="n">
        <v>0</v>
      </c>
      <c r="CU101">
        <f>IFERROR(LOOKUP(2,1/('DRAFT 2'!$D:$D=$B101)*('DRAFT 2'!$A:$A&gt;=DATE(2026,2,1))*('DRAFT 2'!$A:$A&lt;DATE(2026,IF(2=12,2+1,2+1),1)),'DRAFT 2'!$A:$A),"")</f>
        <v/>
      </c>
      <c r="CV101">
        <f>COUNTIFS('DRAFT 2'!$D:$D,$B101,'DRAFT 2'!$A:$A,"&gt;="&amp;DATE(2026,2,1),'DRAFT 2'!$A:$A,"&lt;="&amp;DATE(2026,2,7))</f>
        <v/>
      </c>
      <c r="CW101">
        <f>COUNTIFS('DRAFT 2'!$D:$D,$B101,'DRAFT 2'!$A:$A,"&gt;="&amp;DATE(2026,2,8),'DRAFT 2'!$A:$A,"&lt;="&amp;DATE(2026,2,14))</f>
        <v/>
      </c>
      <c r="CX101">
        <f>COUNTIFS('DRAFT 2'!$D:$D,$B101,'DRAFT 2'!$A:$A,"&gt;="&amp;DATE(2026,2,15),'DRAFT 2'!$A:$A,"&lt;="&amp;DATE(2026,2,21))</f>
        <v/>
      </c>
      <c r="CY101">
        <f>COUNTIFS('DRAFT 2'!$D:$D,$B101,'DRAFT 2'!$A:$A,"&gt;="&amp;DATE(2026,2,22),'DRAFT 2'!$A:$A,"&lt;"&amp;DATE(2026,IF(2=12,2+1,2+1),1))</f>
        <v/>
      </c>
      <c r="CZ101">
        <f>SUM(CV101:CY101)</f>
        <v/>
      </c>
      <c r="DJ101">
        <f>IFERROR(LOOKUP(2,1/('DRAFT 2'!$D:$D=$B101)*('DRAFT 2'!$A:$A&gt;=DATE(2026,3,1))*('DRAFT 2'!$A:$A&lt;DATE(2026,IF(3=12,3+1,3+1),1)),'DRAFT 2'!$A:$A),"")</f>
        <v/>
      </c>
      <c r="DK101">
        <f>COUNTIFS('DRAFT 2'!$D:$D,$B101,'DRAFT 2'!$A:$A,"&gt;="&amp;DATE(2026,3,1),'DRAFT 2'!$A:$A,"&lt;="&amp;DATE(2026,3,7))</f>
        <v/>
      </c>
      <c r="DL101">
        <f>COUNTIFS('DRAFT 2'!$D:$D,$B101,'DRAFT 2'!$A:$A,"&gt;="&amp;DATE(2026,3,8),'DRAFT 2'!$A:$A,"&lt;="&amp;DATE(2026,3,14))</f>
        <v/>
      </c>
      <c r="DM101">
        <f>COUNTIFS('DRAFT 2'!$D:$D,$B101,'DRAFT 2'!$A:$A,"&gt;="&amp;DATE(2026,3,15),'DRAFT 2'!$A:$A,"&lt;="&amp;DATE(2026,3,21))</f>
        <v/>
      </c>
      <c r="DN101">
        <f>COUNTIFS('DRAFT 2'!$D:$D,$B101,'DRAFT 2'!$A:$A,"&gt;="&amp;DATE(2026,3,22),'DRAFT 2'!$A:$A,"&lt;"&amp;DATE(2026,IF(3=12,3+1,3+1),1))</f>
        <v/>
      </c>
      <c r="DO101">
        <f>SUM(DK101:DN101)</f>
        <v/>
      </c>
      <c r="DZ101">
        <f>IFERROR(LOOKUP(2,1/('DRAFT 2'!$D:$D=$B101)*('DRAFT 2'!$A:$A&gt;=DATE(2026,4,1))*('DRAFT 2'!$A:$A&lt;DATE(2026,IF(4=12,4+1,4+1),1)),'DRAFT 2'!$A:$A),"")</f>
        <v/>
      </c>
      <c r="EA101">
        <f>COUNTIFS('DRAFT 2'!$D:$D,$B101,'DRAFT 2'!$A:$A,"&gt;="&amp;DATE(2026,4,1),'DRAFT 2'!$A:$A,"&lt;="&amp;DATE(2026,4,7))</f>
        <v/>
      </c>
      <c r="EB101">
        <f>COUNTIFS('DRAFT 2'!$D:$D,$B101,'DRAFT 2'!$A:$A,"&gt;="&amp;DATE(2026,4,8),'DRAFT 2'!$A:$A,"&lt;="&amp;DATE(2026,4,14))</f>
        <v/>
      </c>
      <c r="EC101">
        <f>COUNTIFS('DRAFT 2'!$D:$D,$B101,'DRAFT 2'!$A:$A,"&gt;="&amp;DATE(2026,4,15),'DRAFT 2'!$A:$A,"&lt;="&amp;DATE(2026,4,21))</f>
        <v/>
      </c>
      <c r="ED101">
        <f>COUNTIFS('DRAFT 2'!$D:$D,$B101,'DRAFT 2'!$A:$A,"&gt;="&amp;DATE(2026,4,22),'DRAFT 2'!$A:$A,"&lt;"&amp;DATE(2026,IF(4=12,4+1,4+1),1))</f>
        <v/>
      </c>
      <c r="EE101">
        <f>SUM(EA101:ED101)</f>
        <v/>
      </c>
      <c r="EO101">
        <f>IFERROR(LOOKUP(2,1/('DRAFT 2'!$D:$D=$B101)*('DRAFT 2'!$A:$A&gt;=DATE(2026,5,1))*('DRAFT 2'!$A:$A&lt;DATE(2026,IF(5=12,5+1,5+1),1)),'DRAFT 2'!$A:$A),"")</f>
        <v/>
      </c>
      <c r="EP101">
        <f>COUNTIFS('DRAFT 2'!$D:$D,$B101,'DRAFT 2'!$A:$A,"&gt;="&amp;DATE(2026,5,1),'DRAFT 2'!$A:$A,"&lt;="&amp;DATE(2026,5,7))</f>
        <v/>
      </c>
      <c r="EQ101">
        <f>COUNTIFS('DRAFT 2'!$D:$D,$B101,'DRAFT 2'!$A:$A,"&gt;="&amp;DATE(2026,5,8),'DRAFT 2'!$A:$A,"&lt;="&amp;DATE(2026,5,14))</f>
        <v/>
      </c>
      <c r="ER101">
        <f>COUNTIFS('DRAFT 2'!$D:$D,$B101,'DRAFT 2'!$A:$A,"&gt;="&amp;DATE(2026,5,15),'DRAFT 2'!$A:$A,"&lt;="&amp;DATE(2026,5,21))</f>
        <v/>
      </c>
      <c r="ES101">
        <f>COUNTIFS('DRAFT 2'!$D:$D,$B101,'DRAFT 2'!$A:$A,"&gt;="&amp;DATE(2026,5,22),'DRAFT 2'!$A:$A,"&lt;"&amp;DATE(2026,IF(5=12,5+1,5+1),1))</f>
        <v/>
      </c>
      <c r="ET101">
        <f>SUM(EP101:ES101)</f>
        <v/>
      </c>
      <c r="FD101">
        <f>IFERROR(LOOKUP(2,1/('DRAFT 2'!$D:$D=$B101)*('DRAFT 2'!$A:$A&gt;=DATE(2026,6,1))*('DRAFT 2'!$A:$A&lt;DATE(2026,IF(6=12,6+1,6+1),1)),'DRAFT 2'!$A:$A),"")</f>
        <v/>
      </c>
      <c r="FE101">
        <f>COUNTIFS('DRAFT 2'!$D:$D,$B101,'DRAFT 2'!$A:$A,"&gt;="&amp;DATE(2026,6,1),'DRAFT 2'!$A:$A,"&lt;="&amp;DATE(2026,6,7))</f>
        <v/>
      </c>
      <c r="FF101">
        <f>COUNTIFS('DRAFT 2'!$D:$D,$B101,'DRAFT 2'!$A:$A,"&gt;="&amp;DATE(2026,6,8),'DRAFT 2'!$A:$A,"&lt;="&amp;DATE(2026,6,14))</f>
        <v/>
      </c>
      <c r="FG101">
        <f>COUNTIFS('DRAFT 2'!$D:$D,$B101,'DRAFT 2'!$A:$A,"&gt;="&amp;DATE(2026,6,15),'DRAFT 2'!$A:$A,"&lt;="&amp;DATE(2026,6,21))</f>
        <v/>
      </c>
      <c r="FH101">
        <f>COUNTIFS('DRAFT 2'!$D:$D,$B101,'DRAFT 2'!$A:$A,"&gt;="&amp;DATE(2026,6,22),'DRAFT 2'!$A:$A,"&lt;"&amp;DATE(2026,IF(6=12,6+1,6+1),1))</f>
        <v/>
      </c>
      <c r="FI101">
        <f>SUM(FE101:FH101)</f>
        <v/>
      </c>
      <c r="FT101">
        <f>IFERROR(LOOKUP(2,1/('DRAFT 2'!$D:$D=$B101)*('DRAFT 2'!$A:$A&gt;=DATE(2026,7,1))*('DRAFT 2'!$A:$A&lt;DATE(2026,IF(7=12,7+1,7+1),1)),'DRAFT 2'!$A:$A),"")</f>
        <v/>
      </c>
      <c r="FU101">
        <f>COUNTIFS('DRAFT 2'!$D:$D,$B101,'DRAFT 2'!$A:$A,"&gt;="&amp;DATE(2026,7,1),'DRAFT 2'!$A:$A,"&lt;="&amp;DATE(2026,7,7))</f>
        <v/>
      </c>
      <c r="FV101">
        <f>COUNTIFS('DRAFT 2'!$D:$D,$B101,'DRAFT 2'!$A:$A,"&gt;="&amp;DATE(2026,7,8),'DRAFT 2'!$A:$A,"&lt;="&amp;DATE(2026,7,14))</f>
        <v/>
      </c>
      <c r="FW101">
        <f>COUNTIFS('DRAFT 2'!$D:$D,$B101,'DRAFT 2'!$A:$A,"&gt;="&amp;DATE(2026,7,15),'DRAFT 2'!$A:$A,"&lt;="&amp;DATE(2026,7,21))</f>
        <v/>
      </c>
      <c r="FX101">
        <f>COUNTIFS('DRAFT 2'!$D:$D,$B101,'DRAFT 2'!$A:$A,"&gt;="&amp;DATE(2026,7,22),'DRAFT 2'!$A:$A,"&lt;"&amp;DATE(2026,IF(7=12,7+1,7+1),1))</f>
        <v/>
      </c>
      <c r="FY101">
        <f>SUM(FU101:FX101)</f>
        <v/>
      </c>
      <c r="GI101">
        <f>IFERROR(LOOKUP(2,1/('DRAFT 2'!$D:$D=$B101)*('DRAFT 2'!$A:$A&gt;=DATE(2026,8,1))*('DRAFT 2'!$A:$A&lt;DATE(2026,IF(8=12,8+1,8+1),1)),'DRAFT 2'!$A:$A),"")</f>
        <v/>
      </c>
      <c r="GJ101">
        <f>COUNTIFS('DRAFT 2'!$D:$D,$B101,'DRAFT 2'!$A:$A,"&gt;="&amp;DATE(2026,8,1),'DRAFT 2'!$A:$A,"&lt;="&amp;DATE(2026,8,7))</f>
        <v/>
      </c>
      <c r="GK101">
        <f>COUNTIFS('DRAFT 2'!$D:$D,$B101,'DRAFT 2'!$A:$A,"&gt;="&amp;DATE(2026,8,8),'DRAFT 2'!$A:$A,"&lt;="&amp;DATE(2026,8,14))</f>
        <v/>
      </c>
      <c r="GL101">
        <f>COUNTIFS('DRAFT 2'!$D:$D,$B101,'DRAFT 2'!$A:$A,"&gt;="&amp;DATE(2026,8,15),'DRAFT 2'!$A:$A,"&lt;="&amp;DATE(2026,8,21))</f>
        <v/>
      </c>
      <c r="GM101">
        <f>COUNTIFS('DRAFT 2'!$D:$D,$B101,'DRAFT 2'!$A:$A,"&gt;="&amp;DATE(2026,8,22),'DRAFT 2'!$A:$A,"&lt;"&amp;DATE(2026,IF(8=12,8+1,8+1),1))</f>
        <v/>
      </c>
      <c r="GN101">
        <f>SUM(GJ101:GM101)</f>
        <v/>
      </c>
      <c r="GX101">
        <f>IFERROR(LOOKUP(2,1/('DRAFT 2'!$D:$D=$B101)*('DRAFT 2'!$A:$A&gt;=DATE(2026,9,1))*('DRAFT 2'!$A:$A&lt;DATE(2026,IF(9=12,9+1,9+1),1)),'DRAFT 2'!$A:$A),"")</f>
        <v/>
      </c>
      <c r="GY101">
        <f>COUNTIFS('DRAFT 2'!$D:$D,$B101,'DRAFT 2'!$A:$A,"&gt;="&amp;DATE(2026,9,1),'DRAFT 2'!$A:$A,"&lt;="&amp;DATE(2026,9,7))</f>
        <v/>
      </c>
      <c r="GZ101">
        <f>COUNTIFS('DRAFT 2'!$D:$D,$B101,'DRAFT 2'!$A:$A,"&gt;="&amp;DATE(2026,9,8),'DRAFT 2'!$A:$A,"&lt;="&amp;DATE(2026,9,14))</f>
        <v/>
      </c>
      <c r="HA101">
        <f>COUNTIFS('DRAFT 2'!$D:$D,$B101,'DRAFT 2'!$A:$A,"&gt;="&amp;DATE(2026,9,15),'DRAFT 2'!$A:$A,"&lt;="&amp;DATE(2026,9,21))</f>
        <v/>
      </c>
      <c r="HB101">
        <f>COUNTIFS('DRAFT 2'!$D:$D,$B101,'DRAFT 2'!$A:$A,"&gt;="&amp;DATE(2026,9,22),'DRAFT 2'!$A:$A,"&lt;"&amp;DATE(2026,IF(9=12,9+1,9+1),1))</f>
        <v/>
      </c>
      <c r="HC101">
        <f>SUM(GY101:HB101)</f>
        <v/>
      </c>
      <c r="HN101">
        <f>IFERROR(LOOKUP(2,1/('DRAFT 2'!$D:$D=$B101)*('DRAFT 2'!$A:$A&gt;=DATE(2026,10,1))*('DRAFT 2'!$A:$A&lt;DATE(2026,IF(10=12,10+1,10+1),1)),'DRAFT 2'!$A:$A),"")</f>
        <v/>
      </c>
      <c r="HO101">
        <f>COUNTIFS('DRAFT 2'!$D:$D,$B101,'DRAFT 2'!$A:$A,"&gt;="&amp;DATE(2026,10,1),'DRAFT 2'!$A:$A,"&lt;="&amp;DATE(2026,10,7))</f>
        <v/>
      </c>
      <c r="HP101">
        <f>COUNTIFS('DRAFT 2'!$D:$D,$B101,'DRAFT 2'!$A:$A,"&gt;="&amp;DATE(2026,10,8),'DRAFT 2'!$A:$A,"&lt;="&amp;DATE(2026,10,14))</f>
        <v/>
      </c>
      <c r="HQ101">
        <f>COUNTIFS('DRAFT 2'!$D:$D,$B101,'DRAFT 2'!$A:$A,"&gt;="&amp;DATE(2026,10,15),'DRAFT 2'!$A:$A,"&lt;="&amp;DATE(2026,10,21))</f>
        <v/>
      </c>
      <c r="HR101">
        <f>COUNTIFS('DRAFT 2'!$D:$D,$B101,'DRAFT 2'!$A:$A,"&gt;="&amp;DATE(2026,10,22),'DRAFT 2'!$A:$A,"&lt;"&amp;DATE(2026,IF(10=12,10+1,10+1),1))</f>
        <v/>
      </c>
      <c r="HS101">
        <f>SUM(HO101:HR101)</f>
        <v/>
      </c>
      <c r="IC101">
        <f>IFERROR(LOOKUP(2,1/('DRAFT 2'!$D:$D=$B101)*('DRAFT 2'!$A:$A&gt;=DATE(2026,11,1))*('DRAFT 2'!$A:$A&lt;DATE(2026,IF(11=12,11+1,11+1),1)),'DRAFT 2'!$A:$A),"")</f>
        <v/>
      </c>
      <c r="ID101">
        <f>COUNTIFS('DRAFT 2'!$D:$D,$B101,'DRAFT 2'!$A:$A,"&gt;="&amp;DATE(2026,11,1),'DRAFT 2'!$A:$A,"&lt;="&amp;DATE(2026,11,7))</f>
        <v/>
      </c>
      <c r="IE101">
        <f>COUNTIFS('DRAFT 2'!$D:$D,$B101,'DRAFT 2'!$A:$A,"&gt;="&amp;DATE(2026,11,8),'DRAFT 2'!$A:$A,"&lt;="&amp;DATE(2026,11,14))</f>
        <v/>
      </c>
      <c r="IF101">
        <f>COUNTIFS('DRAFT 2'!$D:$D,$B101,'DRAFT 2'!$A:$A,"&gt;="&amp;DATE(2026,11,15),'DRAFT 2'!$A:$A,"&lt;="&amp;DATE(2026,11,21))</f>
        <v/>
      </c>
      <c r="IG101">
        <f>COUNTIFS('DRAFT 2'!$D:$D,$B101,'DRAFT 2'!$A:$A,"&gt;="&amp;DATE(2026,11,22),'DRAFT 2'!$A:$A,"&lt;"&amp;DATE(2026,IF(11=12,11+1,11+1),1))</f>
        <v/>
      </c>
      <c r="IH101">
        <f>SUM(ID101:IG101)</f>
        <v/>
      </c>
      <c r="IR101">
        <f>IFERROR(LOOKUP(2,1/('DRAFT 2'!$D:$D=$B101)*('DRAFT 2'!$A:$A&gt;=DATE(2026,12,1))*('DRAFT 2'!$A:$A&lt;DATE(2026,IF(12=12,12+1,12+1),1)),'DRAFT 2'!$A:$A),"")</f>
        <v/>
      </c>
      <c r="IS101">
        <f>COUNTIFS('DRAFT 2'!$D:$D,$B101,'DRAFT 2'!$A:$A,"&gt;="&amp;DATE(2026,12,1),'DRAFT 2'!$A:$A,"&lt;="&amp;DATE(2026,12,7))</f>
        <v/>
      </c>
      <c r="IT101">
        <f>COUNTIFS('DRAFT 2'!$D:$D,$B101,'DRAFT 2'!$A:$A,"&gt;="&amp;DATE(2026,12,8),'DRAFT 2'!$A:$A,"&lt;="&amp;DATE(2026,12,14))</f>
        <v/>
      </c>
      <c r="IU101">
        <f>COUNTIFS('DRAFT 2'!$D:$D,$B101,'DRAFT 2'!$A:$A,"&gt;="&amp;DATE(2026,12,15),'DRAFT 2'!$A:$A,"&lt;="&amp;DATE(2026,12,21))</f>
        <v/>
      </c>
      <c r="IV101">
        <f>COUNTIFS('DRAFT 2'!$D:$D,$B101,'DRAFT 2'!$A:$A,"&gt;="&amp;DATE(2026,12,22),'DRAFT 2'!$A:$A,"&lt;"&amp;DATE(2026,IF(12=12,12+1,12+1),1))</f>
        <v/>
      </c>
      <c r="IW101">
        <f>SUM(IS101:IV101)</f>
        <v/>
      </c>
    </row>
    <row r="102">
      <c r="A102">
        <f>IFERROR(INDEX('DRAFT 1'!$A:$A,MATCH($B102,'DRAFT 1'!$B:$B,0)),"")</f>
        <v/>
      </c>
      <c r="C102">
        <f>IFERROR(INDEX('DRAFT 1'!$C:$C,MATCH($B102,'DRAFT 1'!$B:$B,0)),"")</f>
        <v/>
      </c>
      <c r="D102">
        <f>IFERROR(INDEX('DRAFT 1'!$D:$D,MATCH($B102,'DRAFT 1'!$B:$B,0)),"")</f>
        <v/>
      </c>
      <c r="E102">
        <f>IFERROR(INDEX('DRAFT 1'!$E:$E,MATCH($B102,'DRAFT 1'!$B:$B,0)),"")</f>
        <v/>
      </c>
      <c r="F102">
        <f>IFERROR(INDEX('DRAFT 1'!$F:$F,MATCH($B102,'DRAFT 1'!$B:$B,0)),"")</f>
        <v/>
      </c>
      <c r="G102">
        <f>IFERROR(INDEX('DRAFT 1'!$G:$G,MATCH($B102,'DRAFT 1'!$B:$B,0)),"")</f>
        <v/>
      </c>
      <c r="H102">
        <f>IFERROR(INDEX('DRAFT 1'!$H:$H,MATCH($B102,'DRAFT 1'!$B:$B,0)),"")</f>
        <v/>
      </c>
      <c r="I102" t="inlineStr">
        <is>
          <t>TUDO EM GRAOS</t>
        </is>
      </c>
      <c r="K102">
        <f>IFERROR(INDEX('DRAFT 1'!$AL:$AL,MATCH($B102,'DRAFT 1'!$B:$B,0)),"")</f>
        <v/>
      </c>
      <c r="L102">
        <f>IFERROR(INDEX('DRAFT 1'!$J:$J,MATCH($B102,'DRAFT 1'!$B:$B,0)),"")</f>
        <v/>
      </c>
      <c r="M102">
        <f>IFERROR(INDEX('DRAFT 1'!$K:$K,MATCH($B102,'DRAFT 1'!$B:$B,0)),"")</f>
        <v/>
      </c>
      <c r="N102" t="inlineStr">
        <is>
          <t>PROSPECT</t>
        </is>
      </c>
      <c r="P102">
        <f>IFERROR(INDEX('DRAFT 1'!$L:$L,MATCH($B102,'DRAFT 1'!$B:$B,0)),"")</f>
        <v/>
      </c>
      <c r="Q102">
        <f>IFERROR(INDEX('DRAFT 1'!$M:$M,MATCH($B102,'DRAFT 1'!$B:$B,0)),"")</f>
        <v/>
      </c>
      <c r="R102">
        <f>IFERROR(INDEX('DRAFT 1'!$N:$N,MATCH($B102,'DRAFT 1'!$B:$B,0)),"")</f>
        <v/>
      </c>
      <c r="S102">
        <f>IFERROR(INDEX('DRAFT 1'!$O:$O,MATCH($B102,'DRAFT 1'!$B:$B,0)),"")</f>
        <v/>
      </c>
      <c r="T102">
        <f>IFERROR(INDEX('DRAFT 1'!$P:$P,MATCH($B102,'DRAFT 1'!$B:$B,0)),"")</f>
        <v/>
      </c>
      <c r="U102">
        <f>IFERROR(INDEX('DRAFT 1'!$Q:$Q,MATCH($B102,'DRAFT 1'!$B:$B,0)),"")</f>
        <v/>
      </c>
      <c r="V102">
        <f>IFERROR(INDEX('DRAFT 1'!$R:$R,MATCH($B102,'DRAFT 1'!$B:$B,0)),"")</f>
        <v/>
      </c>
      <c r="W102">
        <f>IFERROR(INDEX('DRAFT 1'!$S:$S,MATCH($B102,'DRAFT 1'!$B:$B,0)),"")</f>
        <v/>
      </c>
      <c r="X102">
        <f>IFERROR(INDEX('DRAFT 1'!$T:$T,MATCH($B102,'DRAFT 1'!$B:$B,0)),"")</f>
        <v/>
      </c>
      <c r="Z102">
        <f>IFERROR(INDEX('DRAFT 1'!$U:$U,MATCH($B102,'DRAFT 1'!$B:$B,0)),"")</f>
        <v/>
      </c>
      <c r="AA102">
        <f>IFERROR(INDEX('DRAFT 1'!$V:$V,MATCH($B102,'DRAFT 1'!$B:$B,0)),"")</f>
        <v/>
      </c>
      <c r="AB102">
        <f>IFERROR(INDEX('DRAFT 1'!$W:$W,MATCH($B102,'DRAFT 1'!$B:$B,0)),"")</f>
        <v/>
      </c>
      <c r="AC102">
        <f>IFERROR(INDEX('DRAFT 1'!$X:$X,MATCH($B102,'DRAFT 1'!$B:$B,0)),"")</f>
        <v/>
      </c>
      <c r="AD102">
        <f>IFERROR(INDEX('DRAFT 1'!$Y:$Y,MATCH($B102,'DRAFT 1'!$B:$B,0)),"")</f>
        <v/>
      </c>
      <c r="AE102">
        <f>IFERROR(INDEX('DRAFT 1'!$Z:$Z,MATCH($B102,'DRAFT 1'!$B:$B,0)),"")</f>
        <v/>
      </c>
      <c r="AF102">
        <f>IFERROR(INDEX('DRAFT 1'!$AA:$AA,MATCH($B102,'DRAFT 1'!$B:$B,0)),"")</f>
        <v/>
      </c>
      <c r="AG102">
        <f>IFERROR(INDEX('DRAFT 1'!$AB:$AB,MATCH($B102,'DRAFT 1'!$B:$B,0)),"")</f>
        <v/>
      </c>
      <c r="AH102">
        <f>IFERROR(INDEX('DRAFT 1'!$AC:$AC,MATCH($B102,'DRAFT 1'!$B:$B,0)),"")</f>
        <v/>
      </c>
      <c r="AI102">
        <f>IFERROR(INDEX('DRAFT 1'!$AD:$AD,MATCH($B102,'DRAFT 1'!$B:$B,0)),"")</f>
        <v/>
      </c>
      <c r="AJ102">
        <f>IFERROR(INDEX('DRAFT 1'!$AE:$AE,MATCH($B102,'DRAFT 1'!$B:$B,0)),"")</f>
        <v/>
      </c>
      <c r="AK102">
        <f>IFERROR(INDEX('DRAFT 1'!$AG:$AG,MATCH($B102,'DRAFT 1'!$B:$B,0)),"")</f>
        <v/>
      </c>
      <c r="AL102">
        <f>IFERROR(INDEX('DRAFT 1'!$AH:$AH,MATCH($B102,'DRAFT 1'!$B:$B,0)),"")</f>
        <v/>
      </c>
      <c r="AM102">
        <f>IFERROR(INDEX('DRAFT 1'!$AI:$AI,MATCH($B102,'DRAFT 1'!$B:$B,0)),"")</f>
        <v/>
      </c>
      <c r="AN102">
        <f>IFERROR(INDEX('DRAFT 1'!$AJ:$AJ,MATCH($B102,'DRAFT 1'!$B:$B,0)),"")</f>
        <v/>
      </c>
      <c r="AO102">
        <f>IFERROR(Y102/AN102,0)</f>
        <v/>
      </c>
      <c r="AP102">
        <f>IFERROR(INDEX('DRAFT 1'!$AK:$AK,MATCH($B102,'DRAFT 1'!$B:$B,0)),"")</f>
        <v/>
      </c>
      <c r="AR102" t="inlineStr">
        <is>
          <t>NUTRIÇÃO</t>
        </is>
      </c>
      <c r="AS102">
        <f>IFERROR(LOOKUP(2,1/('DRAFT 2'!$D:$D=$B102),'DRAFT 2'!$T:$T),"")</f>
        <v/>
      </c>
      <c r="AT102">
        <f>IFERROR(LOOKUP(2,1/('DRAFT 2'!$D:$D=$B102),'DRAFT 2'!$A:$A),"")</f>
        <v/>
      </c>
      <c r="AU102">
        <f>IFERROR(LOOKUP(2,1/('DRAFT 2'!$D:$D=$B102),'DRAFT 2'!$R:$R),"")</f>
        <v/>
      </c>
      <c r="AV102">
        <f>IFERROR(LOOKUP(2,1/('DRAFT 2'!$D:$D=$B102),'DRAFT 2'!$S:$S),"")</f>
        <v/>
      </c>
      <c r="AW102" t="inlineStr">
        <is>
          <t>RECORRENTE</t>
        </is>
      </c>
      <c r="AX102">
        <f>IFERROR(LOOKUP(2,1/('DRAFT 2'!$D:$D=$B102),'DRAFT 2'!$M:$M),"")</f>
        <v/>
      </c>
      <c r="AY102">
        <f>IFERROR(LOOKUP(2,1/('DRAFT 2'!$D:$D=$B102),'DRAFT 2'!$K:$K),"")</f>
        <v/>
      </c>
      <c r="BG102">
        <f>IFERROR(LOOKUP(2,1/('DRAFT 2'!$D:$D=$B102),'DRAFT 2'!$U:$U),"")</f>
        <v/>
      </c>
      <c r="BH102">
        <f>IFERROR(LOOKUP(2,1/('DRAFT 2'!$D:$D=$B102),'DRAFT 2'!$V:$V),"")</f>
        <v/>
      </c>
      <c r="CE102">
        <f>IFERROR(AJ102,0)</f>
        <v/>
      </c>
      <c r="CF102">
        <f>IFERROR(LOOKUP(2,1/('DRAFT 2'!$D:$D=$B102)*('DRAFT 2'!$A:$A&gt;=DATE(2026,1,1))*('DRAFT 2'!$A:$A&lt;DATE(2026,IF(1=12,1+1,1+1),1)),'DRAFT 2'!$A:$A),"")</f>
        <v/>
      </c>
      <c r="CG102">
        <f>COUNTIFS('DRAFT 2'!$D:$D,$B102,'DRAFT 2'!$A:$A,"&gt;="&amp;DATE(2026,1,1),'DRAFT 2'!$A:$A,"&lt;="&amp;DATE(2026,1,7))</f>
        <v/>
      </c>
      <c r="CH102">
        <f>COUNTIFS('DRAFT 2'!$D:$D,$B102,'DRAFT 2'!$A:$A,"&gt;="&amp;DATE(2026,1,8),'DRAFT 2'!$A:$A,"&lt;="&amp;DATE(2026,1,14))</f>
        <v/>
      </c>
      <c r="CI102">
        <f>COUNTIFS('DRAFT 2'!$D:$D,$B102,'DRAFT 2'!$A:$A,"&gt;="&amp;DATE(2026,1,15),'DRAFT 2'!$A:$A,"&lt;="&amp;DATE(2026,1,21))</f>
        <v/>
      </c>
      <c r="CJ102">
        <f>COUNTIFS('DRAFT 2'!$D:$D,$B102,'DRAFT 2'!$A:$A,"&gt;="&amp;DATE(2026,1,22),'DRAFT 2'!$A:$A,"&lt;"&amp;DATE(2026,IF(1=12,1+1,1+1),1))</f>
        <v/>
      </c>
      <c r="CK102">
        <f>SUM(CG102:CJ102)</f>
        <v/>
      </c>
      <c r="CT102" t="n">
        <v>0</v>
      </c>
      <c r="CU102">
        <f>IFERROR(LOOKUP(2,1/('DRAFT 2'!$D:$D=$B102)*('DRAFT 2'!$A:$A&gt;=DATE(2026,2,1))*('DRAFT 2'!$A:$A&lt;DATE(2026,IF(2=12,2+1,2+1),1)),'DRAFT 2'!$A:$A),"")</f>
        <v/>
      </c>
      <c r="CV102">
        <f>COUNTIFS('DRAFT 2'!$D:$D,$B102,'DRAFT 2'!$A:$A,"&gt;="&amp;DATE(2026,2,1),'DRAFT 2'!$A:$A,"&lt;="&amp;DATE(2026,2,7))</f>
        <v/>
      </c>
      <c r="CW102">
        <f>COUNTIFS('DRAFT 2'!$D:$D,$B102,'DRAFT 2'!$A:$A,"&gt;="&amp;DATE(2026,2,8),'DRAFT 2'!$A:$A,"&lt;="&amp;DATE(2026,2,14))</f>
        <v/>
      </c>
      <c r="CX102">
        <f>COUNTIFS('DRAFT 2'!$D:$D,$B102,'DRAFT 2'!$A:$A,"&gt;="&amp;DATE(2026,2,15),'DRAFT 2'!$A:$A,"&lt;="&amp;DATE(2026,2,21))</f>
        <v/>
      </c>
      <c r="CY102">
        <f>COUNTIFS('DRAFT 2'!$D:$D,$B102,'DRAFT 2'!$A:$A,"&gt;="&amp;DATE(2026,2,22),'DRAFT 2'!$A:$A,"&lt;"&amp;DATE(2026,IF(2=12,2+1,2+1),1))</f>
        <v/>
      </c>
      <c r="CZ102">
        <f>SUM(CV102:CY102)</f>
        <v/>
      </c>
      <c r="DJ102">
        <f>IFERROR(LOOKUP(2,1/('DRAFT 2'!$D:$D=$B102)*('DRAFT 2'!$A:$A&gt;=DATE(2026,3,1))*('DRAFT 2'!$A:$A&lt;DATE(2026,IF(3=12,3+1,3+1),1)),'DRAFT 2'!$A:$A),"")</f>
        <v/>
      </c>
      <c r="DK102">
        <f>COUNTIFS('DRAFT 2'!$D:$D,$B102,'DRAFT 2'!$A:$A,"&gt;="&amp;DATE(2026,3,1),'DRAFT 2'!$A:$A,"&lt;="&amp;DATE(2026,3,7))</f>
        <v/>
      </c>
      <c r="DL102">
        <f>COUNTIFS('DRAFT 2'!$D:$D,$B102,'DRAFT 2'!$A:$A,"&gt;="&amp;DATE(2026,3,8),'DRAFT 2'!$A:$A,"&lt;="&amp;DATE(2026,3,14))</f>
        <v/>
      </c>
      <c r="DM102">
        <f>COUNTIFS('DRAFT 2'!$D:$D,$B102,'DRAFT 2'!$A:$A,"&gt;="&amp;DATE(2026,3,15),'DRAFT 2'!$A:$A,"&lt;="&amp;DATE(2026,3,21))</f>
        <v/>
      </c>
      <c r="DN102">
        <f>COUNTIFS('DRAFT 2'!$D:$D,$B102,'DRAFT 2'!$A:$A,"&gt;="&amp;DATE(2026,3,22),'DRAFT 2'!$A:$A,"&lt;"&amp;DATE(2026,IF(3=12,3+1,3+1),1))</f>
        <v/>
      </c>
      <c r="DO102">
        <f>SUM(DK102:DN102)</f>
        <v/>
      </c>
      <c r="DZ102">
        <f>IFERROR(LOOKUP(2,1/('DRAFT 2'!$D:$D=$B102)*('DRAFT 2'!$A:$A&gt;=DATE(2026,4,1))*('DRAFT 2'!$A:$A&lt;DATE(2026,IF(4=12,4+1,4+1),1)),'DRAFT 2'!$A:$A),"")</f>
        <v/>
      </c>
      <c r="EA102">
        <f>COUNTIFS('DRAFT 2'!$D:$D,$B102,'DRAFT 2'!$A:$A,"&gt;="&amp;DATE(2026,4,1),'DRAFT 2'!$A:$A,"&lt;="&amp;DATE(2026,4,7))</f>
        <v/>
      </c>
      <c r="EB102">
        <f>COUNTIFS('DRAFT 2'!$D:$D,$B102,'DRAFT 2'!$A:$A,"&gt;="&amp;DATE(2026,4,8),'DRAFT 2'!$A:$A,"&lt;="&amp;DATE(2026,4,14))</f>
        <v/>
      </c>
      <c r="EC102">
        <f>COUNTIFS('DRAFT 2'!$D:$D,$B102,'DRAFT 2'!$A:$A,"&gt;="&amp;DATE(2026,4,15),'DRAFT 2'!$A:$A,"&lt;="&amp;DATE(2026,4,21))</f>
        <v/>
      </c>
      <c r="ED102">
        <f>COUNTIFS('DRAFT 2'!$D:$D,$B102,'DRAFT 2'!$A:$A,"&gt;="&amp;DATE(2026,4,22),'DRAFT 2'!$A:$A,"&lt;"&amp;DATE(2026,IF(4=12,4+1,4+1),1))</f>
        <v/>
      </c>
      <c r="EE102">
        <f>SUM(EA102:ED102)</f>
        <v/>
      </c>
      <c r="EO102">
        <f>IFERROR(LOOKUP(2,1/('DRAFT 2'!$D:$D=$B102)*('DRAFT 2'!$A:$A&gt;=DATE(2026,5,1))*('DRAFT 2'!$A:$A&lt;DATE(2026,IF(5=12,5+1,5+1),1)),'DRAFT 2'!$A:$A),"")</f>
        <v/>
      </c>
      <c r="EP102">
        <f>COUNTIFS('DRAFT 2'!$D:$D,$B102,'DRAFT 2'!$A:$A,"&gt;="&amp;DATE(2026,5,1),'DRAFT 2'!$A:$A,"&lt;="&amp;DATE(2026,5,7))</f>
        <v/>
      </c>
      <c r="EQ102">
        <f>COUNTIFS('DRAFT 2'!$D:$D,$B102,'DRAFT 2'!$A:$A,"&gt;="&amp;DATE(2026,5,8),'DRAFT 2'!$A:$A,"&lt;="&amp;DATE(2026,5,14))</f>
        <v/>
      </c>
      <c r="ER102">
        <f>COUNTIFS('DRAFT 2'!$D:$D,$B102,'DRAFT 2'!$A:$A,"&gt;="&amp;DATE(2026,5,15),'DRAFT 2'!$A:$A,"&lt;="&amp;DATE(2026,5,21))</f>
        <v/>
      </c>
      <c r="ES102">
        <f>COUNTIFS('DRAFT 2'!$D:$D,$B102,'DRAFT 2'!$A:$A,"&gt;="&amp;DATE(2026,5,22),'DRAFT 2'!$A:$A,"&lt;"&amp;DATE(2026,IF(5=12,5+1,5+1),1))</f>
        <v/>
      </c>
      <c r="ET102">
        <f>SUM(EP102:ES102)</f>
        <v/>
      </c>
      <c r="FD102">
        <f>IFERROR(LOOKUP(2,1/('DRAFT 2'!$D:$D=$B102)*('DRAFT 2'!$A:$A&gt;=DATE(2026,6,1))*('DRAFT 2'!$A:$A&lt;DATE(2026,IF(6=12,6+1,6+1),1)),'DRAFT 2'!$A:$A),"")</f>
        <v/>
      </c>
      <c r="FE102">
        <f>COUNTIFS('DRAFT 2'!$D:$D,$B102,'DRAFT 2'!$A:$A,"&gt;="&amp;DATE(2026,6,1),'DRAFT 2'!$A:$A,"&lt;="&amp;DATE(2026,6,7))</f>
        <v/>
      </c>
      <c r="FF102">
        <f>COUNTIFS('DRAFT 2'!$D:$D,$B102,'DRAFT 2'!$A:$A,"&gt;="&amp;DATE(2026,6,8),'DRAFT 2'!$A:$A,"&lt;="&amp;DATE(2026,6,14))</f>
        <v/>
      </c>
      <c r="FG102">
        <f>COUNTIFS('DRAFT 2'!$D:$D,$B102,'DRAFT 2'!$A:$A,"&gt;="&amp;DATE(2026,6,15),'DRAFT 2'!$A:$A,"&lt;="&amp;DATE(2026,6,21))</f>
        <v/>
      </c>
      <c r="FH102">
        <f>COUNTIFS('DRAFT 2'!$D:$D,$B102,'DRAFT 2'!$A:$A,"&gt;="&amp;DATE(2026,6,22),'DRAFT 2'!$A:$A,"&lt;"&amp;DATE(2026,IF(6=12,6+1,6+1),1))</f>
        <v/>
      </c>
      <c r="FI102">
        <f>SUM(FE102:FH102)</f>
        <v/>
      </c>
      <c r="FT102">
        <f>IFERROR(LOOKUP(2,1/('DRAFT 2'!$D:$D=$B102)*('DRAFT 2'!$A:$A&gt;=DATE(2026,7,1))*('DRAFT 2'!$A:$A&lt;DATE(2026,IF(7=12,7+1,7+1),1)),'DRAFT 2'!$A:$A),"")</f>
        <v/>
      </c>
      <c r="FU102">
        <f>COUNTIFS('DRAFT 2'!$D:$D,$B102,'DRAFT 2'!$A:$A,"&gt;="&amp;DATE(2026,7,1),'DRAFT 2'!$A:$A,"&lt;="&amp;DATE(2026,7,7))</f>
        <v/>
      </c>
      <c r="FV102">
        <f>COUNTIFS('DRAFT 2'!$D:$D,$B102,'DRAFT 2'!$A:$A,"&gt;="&amp;DATE(2026,7,8),'DRAFT 2'!$A:$A,"&lt;="&amp;DATE(2026,7,14))</f>
        <v/>
      </c>
      <c r="FW102">
        <f>COUNTIFS('DRAFT 2'!$D:$D,$B102,'DRAFT 2'!$A:$A,"&gt;="&amp;DATE(2026,7,15),'DRAFT 2'!$A:$A,"&lt;="&amp;DATE(2026,7,21))</f>
        <v/>
      </c>
      <c r="FX102">
        <f>COUNTIFS('DRAFT 2'!$D:$D,$B102,'DRAFT 2'!$A:$A,"&gt;="&amp;DATE(2026,7,22),'DRAFT 2'!$A:$A,"&lt;"&amp;DATE(2026,IF(7=12,7+1,7+1),1))</f>
        <v/>
      </c>
      <c r="FY102">
        <f>SUM(FU102:FX102)</f>
        <v/>
      </c>
      <c r="GI102">
        <f>IFERROR(LOOKUP(2,1/('DRAFT 2'!$D:$D=$B102)*('DRAFT 2'!$A:$A&gt;=DATE(2026,8,1))*('DRAFT 2'!$A:$A&lt;DATE(2026,IF(8=12,8+1,8+1),1)),'DRAFT 2'!$A:$A),"")</f>
        <v/>
      </c>
      <c r="GJ102">
        <f>COUNTIFS('DRAFT 2'!$D:$D,$B102,'DRAFT 2'!$A:$A,"&gt;="&amp;DATE(2026,8,1),'DRAFT 2'!$A:$A,"&lt;="&amp;DATE(2026,8,7))</f>
        <v/>
      </c>
      <c r="GK102">
        <f>COUNTIFS('DRAFT 2'!$D:$D,$B102,'DRAFT 2'!$A:$A,"&gt;="&amp;DATE(2026,8,8),'DRAFT 2'!$A:$A,"&lt;="&amp;DATE(2026,8,14))</f>
        <v/>
      </c>
      <c r="GL102">
        <f>COUNTIFS('DRAFT 2'!$D:$D,$B102,'DRAFT 2'!$A:$A,"&gt;="&amp;DATE(2026,8,15),'DRAFT 2'!$A:$A,"&lt;="&amp;DATE(2026,8,21))</f>
        <v/>
      </c>
      <c r="GM102">
        <f>COUNTIFS('DRAFT 2'!$D:$D,$B102,'DRAFT 2'!$A:$A,"&gt;="&amp;DATE(2026,8,22),'DRAFT 2'!$A:$A,"&lt;"&amp;DATE(2026,IF(8=12,8+1,8+1),1))</f>
        <v/>
      </c>
      <c r="GN102">
        <f>SUM(GJ102:GM102)</f>
        <v/>
      </c>
      <c r="GX102">
        <f>IFERROR(LOOKUP(2,1/('DRAFT 2'!$D:$D=$B102)*('DRAFT 2'!$A:$A&gt;=DATE(2026,9,1))*('DRAFT 2'!$A:$A&lt;DATE(2026,IF(9=12,9+1,9+1),1)),'DRAFT 2'!$A:$A),"")</f>
        <v/>
      </c>
      <c r="GY102">
        <f>COUNTIFS('DRAFT 2'!$D:$D,$B102,'DRAFT 2'!$A:$A,"&gt;="&amp;DATE(2026,9,1),'DRAFT 2'!$A:$A,"&lt;="&amp;DATE(2026,9,7))</f>
        <v/>
      </c>
      <c r="GZ102">
        <f>COUNTIFS('DRAFT 2'!$D:$D,$B102,'DRAFT 2'!$A:$A,"&gt;="&amp;DATE(2026,9,8),'DRAFT 2'!$A:$A,"&lt;="&amp;DATE(2026,9,14))</f>
        <v/>
      </c>
      <c r="HA102">
        <f>COUNTIFS('DRAFT 2'!$D:$D,$B102,'DRAFT 2'!$A:$A,"&gt;="&amp;DATE(2026,9,15),'DRAFT 2'!$A:$A,"&lt;="&amp;DATE(2026,9,21))</f>
        <v/>
      </c>
      <c r="HB102">
        <f>COUNTIFS('DRAFT 2'!$D:$D,$B102,'DRAFT 2'!$A:$A,"&gt;="&amp;DATE(2026,9,22),'DRAFT 2'!$A:$A,"&lt;"&amp;DATE(2026,IF(9=12,9+1,9+1),1))</f>
        <v/>
      </c>
      <c r="HC102">
        <f>SUM(GY102:HB102)</f>
        <v/>
      </c>
      <c r="HN102">
        <f>IFERROR(LOOKUP(2,1/('DRAFT 2'!$D:$D=$B102)*('DRAFT 2'!$A:$A&gt;=DATE(2026,10,1))*('DRAFT 2'!$A:$A&lt;DATE(2026,IF(10=12,10+1,10+1),1)),'DRAFT 2'!$A:$A),"")</f>
        <v/>
      </c>
      <c r="HO102">
        <f>COUNTIFS('DRAFT 2'!$D:$D,$B102,'DRAFT 2'!$A:$A,"&gt;="&amp;DATE(2026,10,1),'DRAFT 2'!$A:$A,"&lt;="&amp;DATE(2026,10,7))</f>
        <v/>
      </c>
      <c r="HP102">
        <f>COUNTIFS('DRAFT 2'!$D:$D,$B102,'DRAFT 2'!$A:$A,"&gt;="&amp;DATE(2026,10,8),'DRAFT 2'!$A:$A,"&lt;="&amp;DATE(2026,10,14))</f>
        <v/>
      </c>
      <c r="HQ102">
        <f>COUNTIFS('DRAFT 2'!$D:$D,$B102,'DRAFT 2'!$A:$A,"&gt;="&amp;DATE(2026,10,15),'DRAFT 2'!$A:$A,"&lt;="&amp;DATE(2026,10,21))</f>
        <v/>
      </c>
      <c r="HR102">
        <f>COUNTIFS('DRAFT 2'!$D:$D,$B102,'DRAFT 2'!$A:$A,"&gt;="&amp;DATE(2026,10,22),'DRAFT 2'!$A:$A,"&lt;"&amp;DATE(2026,IF(10=12,10+1,10+1),1))</f>
        <v/>
      </c>
      <c r="HS102">
        <f>SUM(HO102:HR102)</f>
        <v/>
      </c>
      <c r="IC102">
        <f>IFERROR(LOOKUP(2,1/('DRAFT 2'!$D:$D=$B102)*('DRAFT 2'!$A:$A&gt;=DATE(2026,11,1))*('DRAFT 2'!$A:$A&lt;DATE(2026,IF(11=12,11+1,11+1),1)),'DRAFT 2'!$A:$A),"")</f>
        <v/>
      </c>
      <c r="ID102">
        <f>COUNTIFS('DRAFT 2'!$D:$D,$B102,'DRAFT 2'!$A:$A,"&gt;="&amp;DATE(2026,11,1),'DRAFT 2'!$A:$A,"&lt;="&amp;DATE(2026,11,7))</f>
        <v/>
      </c>
      <c r="IE102">
        <f>COUNTIFS('DRAFT 2'!$D:$D,$B102,'DRAFT 2'!$A:$A,"&gt;="&amp;DATE(2026,11,8),'DRAFT 2'!$A:$A,"&lt;="&amp;DATE(2026,11,14))</f>
        <v/>
      </c>
      <c r="IF102">
        <f>COUNTIFS('DRAFT 2'!$D:$D,$B102,'DRAFT 2'!$A:$A,"&gt;="&amp;DATE(2026,11,15),'DRAFT 2'!$A:$A,"&lt;="&amp;DATE(2026,11,21))</f>
        <v/>
      </c>
      <c r="IG102">
        <f>COUNTIFS('DRAFT 2'!$D:$D,$B102,'DRAFT 2'!$A:$A,"&gt;="&amp;DATE(2026,11,22),'DRAFT 2'!$A:$A,"&lt;"&amp;DATE(2026,IF(11=12,11+1,11+1),1))</f>
        <v/>
      </c>
      <c r="IH102">
        <f>SUM(ID102:IG102)</f>
        <v/>
      </c>
      <c r="IR102">
        <f>IFERROR(LOOKUP(2,1/('DRAFT 2'!$D:$D=$B102)*('DRAFT 2'!$A:$A&gt;=DATE(2026,12,1))*('DRAFT 2'!$A:$A&lt;DATE(2026,IF(12=12,12+1,12+1),1)),'DRAFT 2'!$A:$A),"")</f>
        <v/>
      </c>
      <c r="IS102">
        <f>COUNTIFS('DRAFT 2'!$D:$D,$B102,'DRAFT 2'!$A:$A,"&gt;="&amp;DATE(2026,12,1),'DRAFT 2'!$A:$A,"&lt;="&amp;DATE(2026,12,7))</f>
        <v/>
      </c>
      <c r="IT102">
        <f>COUNTIFS('DRAFT 2'!$D:$D,$B102,'DRAFT 2'!$A:$A,"&gt;="&amp;DATE(2026,12,8),'DRAFT 2'!$A:$A,"&lt;="&amp;DATE(2026,12,14))</f>
        <v/>
      </c>
      <c r="IU102">
        <f>COUNTIFS('DRAFT 2'!$D:$D,$B102,'DRAFT 2'!$A:$A,"&gt;="&amp;DATE(2026,12,15),'DRAFT 2'!$A:$A,"&lt;="&amp;DATE(2026,12,21))</f>
        <v/>
      </c>
      <c r="IV102">
        <f>COUNTIFS('DRAFT 2'!$D:$D,$B102,'DRAFT 2'!$A:$A,"&gt;="&amp;DATE(2026,12,22),'DRAFT 2'!$A:$A,"&lt;"&amp;DATE(2026,IF(12=12,12+1,12+1),1))</f>
        <v/>
      </c>
      <c r="IW102">
        <f>SUM(IS102:IV102)</f>
        <v/>
      </c>
    </row>
    <row r="103">
      <c r="A103">
        <f>IFERROR(INDEX('DRAFT 1'!$A:$A,MATCH($B103,'DRAFT 1'!$B:$B,0)),"")</f>
        <v/>
      </c>
      <c r="C103">
        <f>IFERROR(INDEX('DRAFT 1'!$C:$C,MATCH($B103,'DRAFT 1'!$B:$B,0)),"")</f>
        <v/>
      </c>
      <c r="D103">
        <f>IFERROR(INDEX('DRAFT 1'!$D:$D,MATCH($B103,'DRAFT 1'!$B:$B,0)),"")</f>
        <v/>
      </c>
      <c r="E103">
        <f>IFERROR(INDEX('DRAFT 1'!$E:$E,MATCH($B103,'DRAFT 1'!$B:$B,0)),"")</f>
        <v/>
      </c>
      <c r="F103">
        <f>IFERROR(INDEX('DRAFT 1'!$F:$F,MATCH($B103,'DRAFT 1'!$B:$B,0)),"")</f>
        <v/>
      </c>
      <c r="G103">
        <f>IFERROR(INDEX('DRAFT 1'!$G:$G,MATCH($B103,'DRAFT 1'!$B:$B,0)),"")</f>
        <v/>
      </c>
      <c r="H103">
        <f>IFERROR(INDEX('DRAFT 1'!$H:$H,MATCH($B103,'DRAFT 1'!$B:$B,0)),"")</f>
        <v/>
      </c>
      <c r="I103" t="inlineStr">
        <is>
          <t>CIA DA SAUDE</t>
        </is>
      </c>
      <c r="K103">
        <f>IFERROR(INDEX('DRAFT 1'!$AL:$AL,MATCH($B103,'DRAFT 1'!$B:$B,0)),"")</f>
        <v/>
      </c>
      <c r="L103">
        <f>IFERROR(INDEX('DRAFT 1'!$J:$J,MATCH($B103,'DRAFT 1'!$B:$B,0)),"")</f>
        <v/>
      </c>
      <c r="M103">
        <f>IFERROR(INDEX('DRAFT 1'!$K:$K,MATCH($B103,'DRAFT 1'!$B:$B,0)),"")</f>
        <v/>
      </c>
      <c r="N103" t="inlineStr">
        <is>
          <t>ATIVO</t>
        </is>
      </c>
      <c r="P103">
        <f>IFERROR(INDEX('DRAFT 1'!$L:$L,MATCH($B103,'DRAFT 1'!$B:$B,0)),"")</f>
        <v/>
      </c>
      <c r="Q103">
        <f>IFERROR(INDEX('DRAFT 1'!$M:$M,MATCH($B103,'DRAFT 1'!$B:$B,0)),"")</f>
        <v/>
      </c>
      <c r="R103">
        <f>IFERROR(INDEX('DRAFT 1'!$N:$N,MATCH($B103,'DRAFT 1'!$B:$B,0)),"")</f>
        <v/>
      </c>
      <c r="S103">
        <f>IFERROR(INDEX('DRAFT 1'!$O:$O,MATCH($B103,'DRAFT 1'!$B:$B,0)),"")</f>
        <v/>
      </c>
      <c r="T103">
        <f>IFERROR(INDEX('DRAFT 1'!$P:$P,MATCH($B103,'DRAFT 1'!$B:$B,0)),"")</f>
        <v/>
      </c>
      <c r="U103">
        <f>IFERROR(INDEX('DRAFT 1'!$Q:$Q,MATCH($B103,'DRAFT 1'!$B:$B,0)),"")</f>
        <v/>
      </c>
      <c r="V103">
        <f>IFERROR(INDEX('DRAFT 1'!$R:$R,MATCH($B103,'DRAFT 1'!$B:$B,0)),"")</f>
        <v/>
      </c>
      <c r="W103">
        <f>IFERROR(INDEX('DRAFT 1'!$S:$S,MATCH($B103,'DRAFT 1'!$B:$B,0)),"")</f>
        <v/>
      </c>
      <c r="X103">
        <f>IFERROR(INDEX('DRAFT 1'!$T:$T,MATCH($B103,'DRAFT 1'!$B:$B,0)),"")</f>
        <v/>
      </c>
      <c r="Z103">
        <f>IFERROR(INDEX('DRAFT 1'!$U:$U,MATCH($B103,'DRAFT 1'!$B:$B,0)),"")</f>
        <v/>
      </c>
      <c r="AA103">
        <f>IFERROR(INDEX('DRAFT 1'!$V:$V,MATCH($B103,'DRAFT 1'!$B:$B,0)),"")</f>
        <v/>
      </c>
      <c r="AB103">
        <f>IFERROR(INDEX('DRAFT 1'!$W:$W,MATCH($B103,'DRAFT 1'!$B:$B,0)),"")</f>
        <v/>
      </c>
      <c r="AC103">
        <f>IFERROR(INDEX('DRAFT 1'!$X:$X,MATCH($B103,'DRAFT 1'!$B:$B,0)),"")</f>
        <v/>
      </c>
      <c r="AD103">
        <f>IFERROR(INDEX('DRAFT 1'!$Y:$Y,MATCH($B103,'DRAFT 1'!$B:$B,0)),"")</f>
        <v/>
      </c>
      <c r="AE103">
        <f>IFERROR(INDEX('DRAFT 1'!$Z:$Z,MATCH($B103,'DRAFT 1'!$B:$B,0)),"")</f>
        <v/>
      </c>
      <c r="AF103">
        <f>IFERROR(INDEX('DRAFT 1'!$AA:$AA,MATCH($B103,'DRAFT 1'!$B:$B,0)),"")</f>
        <v/>
      </c>
      <c r="AG103">
        <f>IFERROR(INDEX('DRAFT 1'!$AB:$AB,MATCH($B103,'DRAFT 1'!$B:$B,0)),"")</f>
        <v/>
      </c>
      <c r="AH103">
        <f>IFERROR(INDEX('DRAFT 1'!$AC:$AC,MATCH($B103,'DRAFT 1'!$B:$B,0)),"")</f>
        <v/>
      </c>
      <c r="AI103">
        <f>IFERROR(INDEX('DRAFT 1'!$AD:$AD,MATCH($B103,'DRAFT 1'!$B:$B,0)),"")</f>
        <v/>
      </c>
      <c r="AJ103">
        <f>IFERROR(INDEX('DRAFT 1'!$AE:$AE,MATCH($B103,'DRAFT 1'!$B:$B,0)),"")</f>
        <v/>
      </c>
      <c r="AK103">
        <f>IFERROR(INDEX('DRAFT 1'!$AG:$AG,MATCH($B103,'DRAFT 1'!$B:$B,0)),"")</f>
        <v/>
      </c>
      <c r="AL103">
        <f>IFERROR(INDEX('DRAFT 1'!$AH:$AH,MATCH($B103,'DRAFT 1'!$B:$B,0)),"")</f>
        <v/>
      </c>
      <c r="AM103">
        <f>IFERROR(INDEX('DRAFT 1'!$AI:$AI,MATCH($B103,'DRAFT 1'!$B:$B,0)),"")</f>
        <v/>
      </c>
      <c r="AN103">
        <f>IFERROR(INDEX('DRAFT 1'!$AJ:$AJ,MATCH($B103,'DRAFT 1'!$B:$B,0)),"")</f>
        <v/>
      </c>
      <c r="AO103">
        <f>IFERROR(Y103/AN103,0)</f>
        <v/>
      </c>
      <c r="AP103">
        <f>IFERROR(INDEX('DRAFT 1'!$AK:$AK,MATCH($B103,'DRAFT 1'!$B:$B,0)),"")</f>
        <v/>
      </c>
      <c r="AR103" t="inlineStr">
        <is>
          <t>SALVAMENTO</t>
        </is>
      </c>
      <c r="AS103">
        <f>IFERROR(LOOKUP(2,1/('DRAFT 2'!$D:$D=$B103),'DRAFT 2'!$T:$T),"")</f>
        <v/>
      </c>
      <c r="AT103">
        <f>IFERROR(LOOKUP(2,1/('DRAFT 2'!$D:$D=$B103),'DRAFT 2'!$A:$A),"")</f>
        <v/>
      </c>
      <c r="AU103">
        <f>IFERROR(LOOKUP(2,1/('DRAFT 2'!$D:$D=$B103),'DRAFT 2'!$R:$R),"")</f>
        <v/>
      </c>
      <c r="AV103">
        <f>IFERROR(LOOKUP(2,1/('DRAFT 2'!$D:$D=$B103),'DRAFT 2'!$S:$S),"")</f>
        <v/>
      </c>
      <c r="AW103" t="inlineStr">
        <is>
          <t>FIDELIZADO</t>
        </is>
      </c>
      <c r="AX103">
        <f>IFERROR(LOOKUP(2,1/('DRAFT 2'!$D:$D=$B103),'DRAFT 2'!$M:$M),"")</f>
        <v/>
      </c>
      <c r="AY103">
        <f>IFERROR(LOOKUP(2,1/('DRAFT 2'!$D:$D=$B103),'DRAFT 2'!$K:$K),"")</f>
        <v/>
      </c>
      <c r="BG103">
        <f>IFERROR(LOOKUP(2,1/('DRAFT 2'!$D:$D=$B103),'DRAFT 2'!$U:$U),"")</f>
        <v/>
      </c>
      <c r="BH103">
        <f>IFERROR(LOOKUP(2,1/('DRAFT 2'!$D:$D=$B103),'DRAFT 2'!$V:$V),"")</f>
        <v/>
      </c>
      <c r="CE103">
        <f>IFERROR(AJ103,0)</f>
        <v/>
      </c>
      <c r="CF103">
        <f>IFERROR(LOOKUP(2,1/('DRAFT 2'!$D:$D=$B103)*('DRAFT 2'!$A:$A&gt;=DATE(2026,1,1))*('DRAFT 2'!$A:$A&lt;DATE(2026,IF(1=12,1+1,1+1),1)),'DRAFT 2'!$A:$A),"")</f>
        <v/>
      </c>
      <c r="CG103">
        <f>COUNTIFS('DRAFT 2'!$D:$D,$B103,'DRAFT 2'!$A:$A,"&gt;="&amp;DATE(2026,1,1),'DRAFT 2'!$A:$A,"&lt;="&amp;DATE(2026,1,7))</f>
        <v/>
      </c>
      <c r="CH103">
        <f>COUNTIFS('DRAFT 2'!$D:$D,$B103,'DRAFT 2'!$A:$A,"&gt;="&amp;DATE(2026,1,8),'DRAFT 2'!$A:$A,"&lt;="&amp;DATE(2026,1,14))</f>
        <v/>
      </c>
      <c r="CI103">
        <f>COUNTIFS('DRAFT 2'!$D:$D,$B103,'DRAFT 2'!$A:$A,"&gt;="&amp;DATE(2026,1,15),'DRAFT 2'!$A:$A,"&lt;="&amp;DATE(2026,1,21))</f>
        <v/>
      </c>
      <c r="CJ103">
        <f>COUNTIFS('DRAFT 2'!$D:$D,$B103,'DRAFT 2'!$A:$A,"&gt;="&amp;DATE(2026,1,22),'DRAFT 2'!$A:$A,"&lt;"&amp;DATE(2026,IF(1=12,1+1,1+1),1))</f>
        <v/>
      </c>
      <c r="CK103">
        <f>SUM(CG103:CJ103)</f>
        <v/>
      </c>
      <c r="CT103" t="n">
        <v>0</v>
      </c>
      <c r="CU103">
        <f>IFERROR(LOOKUP(2,1/('DRAFT 2'!$D:$D=$B103)*('DRAFT 2'!$A:$A&gt;=DATE(2026,2,1))*('DRAFT 2'!$A:$A&lt;DATE(2026,IF(2=12,2+1,2+1),1)),'DRAFT 2'!$A:$A),"")</f>
        <v/>
      </c>
      <c r="CV103">
        <f>COUNTIFS('DRAFT 2'!$D:$D,$B103,'DRAFT 2'!$A:$A,"&gt;="&amp;DATE(2026,2,1),'DRAFT 2'!$A:$A,"&lt;="&amp;DATE(2026,2,7))</f>
        <v/>
      </c>
      <c r="CW103">
        <f>COUNTIFS('DRAFT 2'!$D:$D,$B103,'DRAFT 2'!$A:$A,"&gt;="&amp;DATE(2026,2,8),'DRAFT 2'!$A:$A,"&lt;="&amp;DATE(2026,2,14))</f>
        <v/>
      </c>
      <c r="CX103">
        <f>COUNTIFS('DRAFT 2'!$D:$D,$B103,'DRAFT 2'!$A:$A,"&gt;="&amp;DATE(2026,2,15),'DRAFT 2'!$A:$A,"&lt;="&amp;DATE(2026,2,21))</f>
        <v/>
      </c>
      <c r="CY103">
        <f>COUNTIFS('DRAFT 2'!$D:$D,$B103,'DRAFT 2'!$A:$A,"&gt;="&amp;DATE(2026,2,22),'DRAFT 2'!$A:$A,"&lt;"&amp;DATE(2026,IF(2=12,2+1,2+1),1))</f>
        <v/>
      </c>
      <c r="CZ103">
        <f>SUM(CV103:CY103)</f>
        <v/>
      </c>
      <c r="DJ103">
        <f>IFERROR(LOOKUP(2,1/('DRAFT 2'!$D:$D=$B103)*('DRAFT 2'!$A:$A&gt;=DATE(2026,3,1))*('DRAFT 2'!$A:$A&lt;DATE(2026,IF(3=12,3+1,3+1),1)),'DRAFT 2'!$A:$A),"")</f>
        <v/>
      </c>
      <c r="DK103">
        <f>COUNTIFS('DRAFT 2'!$D:$D,$B103,'DRAFT 2'!$A:$A,"&gt;="&amp;DATE(2026,3,1),'DRAFT 2'!$A:$A,"&lt;="&amp;DATE(2026,3,7))</f>
        <v/>
      </c>
      <c r="DL103">
        <f>COUNTIFS('DRAFT 2'!$D:$D,$B103,'DRAFT 2'!$A:$A,"&gt;="&amp;DATE(2026,3,8),'DRAFT 2'!$A:$A,"&lt;="&amp;DATE(2026,3,14))</f>
        <v/>
      </c>
      <c r="DM103">
        <f>COUNTIFS('DRAFT 2'!$D:$D,$B103,'DRAFT 2'!$A:$A,"&gt;="&amp;DATE(2026,3,15),'DRAFT 2'!$A:$A,"&lt;="&amp;DATE(2026,3,21))</f>
        <v/>
      </c>
      <c r="DN103">
        <f>COUNTIFS('DRAFT 2'!$D:$D,$B103,'DRAFT 2'!$A:$A,"&gt;="&amp;DATE(2026,3,22),'DRAFT 2'!$A:$A,"&lt;"&amp;DATE(2026,IF(3=12,3+1,3+1),1))</f>
        <v/>
      </c>
      <c r="DO103">
        <f>SUM(DK103:DN103)</f>
        <v/>
      </c>
      <c r="DZ103">
        <f>IFERROR(LOOKUP(2,1/('DRAFT 2'!$D:$D=$B103)*('DRAFT 2'!$A:$A&gt;=DATE(2026,4,1))*('DRAFT 2'!$A:$A&lt;DATE(2026,IF(4=12,4+1,4+1),1)),'DRAFT 2'!$A:$A),"")</f>
        <v/>
      </c>
      <c r="EA103">
        <f>COUNTIFS('DRAFT 2'!$D:$D,$B103,'DRAFT 2'!$A:$A,"&gt;="&amp;DATE(2026,4,1),'DRAFT 2'!$A:$A,"&lt;="&amp;DATE(2026,4,7))</f>
        <v/>
      </c>
      <c r="EB103">
        <f>COUNTIFS('DRAFT 2'!$D:$D,$B103,'DRAFT 2'!$A:$A,"&gt;="&amp;DATE(2026,4,8),'DRAFT 2'!$A:$A,"&lt;="&amp;DATE(2026,4,14))</f>
        <v/>
      </c>
      <c r="EC103">
        <f>COUNTIFS('DRAFT 2'!$D:$D,$B103,'DRAFT 2'!$A:$A,"&gt;="&amp;DATE(2026,4,15),'DRAFT 2'!$A:$A,"&lt;="&amp;DATE(2026,4,21))</f>
        <v/>
      </c>
      <c r="ED103">
        <f>COUNTIFS('DRAFT 2'!$D:$D,$B103,'DRAFT 2'!$A:$A,"&gt;="&amp;DATE(2026,4,22),'DRAFT 2'!$A:$A,"&lt;"&amp;DATE(2026,IF(4=12,4+1,4+1),1))</f>
        <v/>
      </c>
      <c r="EE103">
        <f>SUM(EA103:ED103)</f>
        <v/>
      </c>
      <c r="EO103">
        <f>IFERROR(LOOKUP(2,1/('DRAFT 2'!$D:$D=$B103)*('DRAFT 2'!$A:$A&gt;=DATE(2026,5,1))*('DRAFT 2'!$A:$A&lt;DATE(2026,IF(5=12,5+1,5+1),1)),'DRAFT 2'!$A:$A),"")</f>
        <v/>
      </c>
      <c r="EP103">
        <f>COUNTIFS('DRAFT 2'!$D:$D,$B103,'DRAFT 2'!$A:$A,"&gt;="&amp;DATE(2026,5,1),'DRAFT 2'!$A:$A,"&lt;="&amp;DATE(2026,5,7))</f>
        <v/>
      </c>
      <c r="EQ103">
        <f>COUNTIFS('DRAFT 2'!$D:$D,$B103,'DRAFT 2'!$A:$A,"&gt;="&amp;DATE(2026,5,8),'DRAFT 2'!$A:$A,"&lt;="&amp;DATE(2026,5,14))</f>
        <v/>
      </c>
      <c r="ER103">
        <f>COUNTIFS('DRAFT 2'!$D:$D,$B103,'DRAFT 2'!$A:$A,"&gt;="&amp;DATE(2026,5,15),'DRAFT 2'!$A:$A,"&lt;="&amp;DATE(2026,5,21))</f>
        <v/>
      </c>
      <c r="ES103">
        <f>COUNTIFS('DRAFT 2'!$D:$D,$B103,'DRAFT 2'!$A:$A,"&gt;="&amp;DATE(2026,5,22),'DRAFT 2'!$A:$A,"&lt;"&amp;DATE(2026,IF(5=12,5+1,5+1),1))</f>
        <v/>
      </c>
      <c r="ET103">
        <f>SUM(EP103:ES103)</f>
        <v/>
      </c>
      <c r="FD103">
        <f>IFERROR(LOOKUP(2,1/('DRAFT 2'!$D:$D=$B103)*('DRAFT 2'!$A:$A&gt;=DATE(2026,6,1))*('DRAFT 2'!$A:$A&lt;DATE(2026,IF(6=12,6+1,6+1),1)),'DRAFT 2'!$A:$A),"")</f>
        <v/>
      </c>
      <c r="FE103">
        <f>COUNTIFS('DRAFT 2'!$D:$D,$B103,'DRAFT 2'!$A:$A,"&gt;="&amp;DATE(2026,6,1),'DRAFT 2'!$A:$A,"&lt;="&amp;DATE(2026,6,7))</f>
        <v/>
      </c>
      <c r="FF103">
        <f>COUNTIFS('DRAFT 2'!$D:$D,$B103,'DRAFT 2'!$A:$A,"&gt;="&amp;DATE(2026,6,8),'DRAFT 2'!$A:$A,"&lt;="&amp;DATE(2026,6,14))</f>
        <v/>
      </c>
      <c r="FG103">
        <f>COUNTIFS('DRAFT 2'!$D:$D,$B103,'DRAFT 2'!$A:$A,"&gt;="&amp;DATE(2026,6,15),'DRAFT 2'!$A:$A,"&lt;="&amp;DATE(2026,6,21))</f>
        <v/>
      </c>
      <c r="FH103">
        <f>COUNTIFS('DRAFT 2'!$D:$D,$B103,'DRAFT 2'!$A:$A,"&gt;="&amp;DATE(2026,6,22),'DRAFT 2'!$A:$A,"&lt;"&amp;DATE(2026,IF(6=12,6+1,6+1),1))</f>
        <v/>
      </c>
      <c r="FI103">
        <f>SUM(FE103:FH103)</f>
        <v/>
      </c>
      <c r="FT103">
        <f>IFERROR(LOOKUP(2,1/('DRAFT 2'!$D:$D=$B103)*('DRAFT 2'!$A:$A&gt;=DATE(2026,7,1))*('DRAFT 2'!$A:$A&lt;DATE(2026,IF(7=12,7+1,7+1),1)),'DRAFT 2'!$A:$A),"")</f>
        <v/>
      </c>
      <c r="FU103">
        <f>COUNTIFS('DRAFT 2'!$D:$D,$B103,'DRAFT 2'!$A:$A,"&gt;="&amp;DATE(2026,7,1),'DRAFT 2'!$A:$A,"&lt;="&amp;DATE(2026,7,7))</f>
        <v/>
      </c>
      <c r="FV103">
        <f>COUNTIFS('DRAFT 2'!$D:$D,$B103,'DRAFT 2'!$A:$A,"&gt;="&amp;DATE(2026,7,8),'DRAFT 2'!$A:$A,"&lt;="&amp;DATE(2026,7,14))</f>
        <v/>
      </c>
      <c r="FW103">
        <f>COUNTIFS('DRAFT 2'!$D:$D,$B103,'DRAFT 2'!$A:$A,"&gt;="&amp;DATE(2026,7,15),'DRAFT 2'!$A:$A,"&lt;="&amp;DATE(2026,7,21))</f>
        <v/>
      </c>
      <c r="FX103">
        <f>COUNTIFS('DRAFT 2'!$D:$D,$B103,'DRAFT 2'!$A:$A,"&gt;="&amp;DATE(2026,7,22),'DRAFT 2'!$A:$A,"&lt;"&amp;DATE(2026,IF(7=12,7+1,7+1),1))</f>
        <v/>
      </c>
      <c r="FY103">
        <f>SUM(FU103:FX103)</f>
        <v/>
      </c>
      <c r="GI103">
        <f>IFERROR(LOOKUP(2,1/('DRAFT 2'!$D:$D=$B103)*('DRAFT 2'!$A:$A&gt;=DATE(2026,8,1))*('DRAFT 2'!$A:$A&lt;DATE(2026,IF(8=12,8+1,8+1),1)),'DRAFT 2'!$A:$A),"")</f>
        <v/>
      </c>
      <c r="GJ103">
        <f>COUNTIFS('DRAFT 2'!$D:$D,$B103,'DRAFT 2'!$A:$A,"&gt;="&amp;DATE(2026,8,1),'DRAFT 2'!$A:$A,"&lt;="&amp;DATE(2026,8,7))</f>
        <v/>
      </c>
      <c r="GK103">
        <f>COUNTIFS('DRAFT 2'!$D:$D,$B103,'DRAFT 2'!$A:$A,"&gt;="&amp;DATE(2026,8,8),'DRAFT 2'!$A:$A,"&lt;="&amp;DATE(2026,8,14))</f>
        <v/>
      </c>
      <c r="GL103">
        <f>COUNTIFS('DRAFT 2'!$D:$D,$B103,'DRAFT 2'!$A:$A,"&gt;="&amp;DATE(2026,8,15),'DRAFT 2'!$A:$A,"&lt;="&amp;DATE(2026,8,21))</f>
        <v/>
      </c>
      <c r="GM103">
        <f>COUNTIFS('DRAFT 2'!$D:$D,$B103,'DRAFT 2'!$A:$A,"&gt;="&amp;DATE(2026,8,22),'DRAFT 2'!$A:$A,"&lt;"&amp;DATE(2026,IF(8=12,8+1,8+1),1))</f>
        <v/>
      </c>
      <c r="GN103">
        <f>SUM(GJ103:GM103)</f>
        <v/>
      </c>
      <c r="GX103">
        <f>IFERROR(LOOKUP(2,1/('DRAFT 2'!$D:$D=$B103)*('DRAFT 2'!$A:$A&gt;=DATE(2026,9,1))*('DRAFT 2'!$A:$A&lt;DATE(2026,IF(9=12,9+1,9+1),1)),'DRAFT 2'!$A:$A),"")</f>
        <v/>
      </c>
      <c r="GY103">
        <f>COUNTIFS('DRAFT 2'!$D:$D,$B103,'DRAFT 2'!$A:$A,"&gt;="&amp;DATE(2026,9,1),'DRAFT 2'!$A:$A,"&lt;="&amp;DATE(2026,9,7))</f>
        <v/>
      </c>
      <c r="GZ103">
        <f>COUNTIFS('DRAFT 2'!$D:$D,$B103,'DRAFT 2'!$A:$A,"&gt;="&amp;DATE(2026,9,8),'DRAFT 2'!$A:$A,"&lt;="&amp;DATE(2026,9,14))</f>
        <v/>
      </c>
      <c r="HA103">
        <f>COUNTIFS('DRAFT 2'!$D:$D,$B103,'DRAFT 2'!$A:$A,"&gt;="&amp;DATE(2026,9,15),'DRAFT 2'!$A:$A,"&lt;="&amp;DATE(2026,9,21))</f>
        <v/>
      </c>
      <c r="HB103">
        <f>COUNTIFS('DRAFT 2'!$D:$D,$B103,'DRAFT 2'!$A:$A,"&gt;="&amp;DATE(2026,9,22),'DRAFT 2'!$A:$A,"&lt;"&amp;DATE(2026,IF(9=12,9+1,9+1),1))</f>
        <v/>
      </c>
      <c r="HC103">
        <f>SUM(GY103:HB103)</f>
        <v/>
      </c>
      <c r="HN103">
        <f>IFERROR(LOOKUP(2,1/('DRAFT 2'!$D:$D=$B103)*('DRAFT 2'!$A:$A&gt;=DATE(2026,10,1))*('DRAFT 2'!$A:$A&lt;DATE(2026,IF(10=12,10+1,10+1),1)),'DRAFT 2'!$A:$A),"")</f>
        <v/>
      </c>
      <c r="HO103">
        <f>COUNTIFS('DRAFT 2'!$D:$D,$B103,'DRAFT 2'!$A:$A,"&gt;="&amp;DATE(2026,10,1),'DRAFT 2'!$A:$A,"&lt;="&amp;DATE(2026,10,7))</f>
        <v/>
      </c>
      <c r="HP103">
        <f>COUNTIFS('DRAFT 2'!$D:$D,$B103,'DRAFT 2'!$A:$A,"&gt;="&amp;DATE(2026,10,8),'DRAFT 2'!$A:$A,"&lt;="&amp;DATE(2026,10,14))</f>
        <v/>
      </c>
      <c r="HQ103">
        <f>COUNTIFS('DRAFT 2'!$D:$D,$B103,'DRAFT 2'!$A:$A,"&gt;="&amp;DATE(2026,10,15),'DRAFT 2'!$A:$A,"&lt;="&amp;DATE(2026,10,21))</f>
        <v/>
      </c>
      <c r="HR103">
        <f>COUNTIFS('DRAFT 2'!$D:$D,$B103,'DRAFT 2'!$A:$A,"&gt;="&amp;DATE(2026,10,22),'DRAFT 2'!$A:$A,"&lt;"&amp;DATE(2026,IF(10=12,10+1,10+1),1))</f>
        <v/>
      </c>
      <c r="HS103">
        <f>SUM(HO103:HR103)</f>
        <v/>
      </c>
      <c r="IC103">
        <f>IFERROR(LOOKUP(2,1/('DRAFT 2'!$D:$D=$B103)*('DRAFT 2'!$A:$A&gt;=DATE(2026,11,1))*('DRAFT 2'!$A:$A&lt;DATE(2026,IF(11=12,11+1,11+1),1)),'DRAFT 2'!$A:$A),"")</f>
        <v/>
      </c>
      <c r="ID103">
        <f>COUNTIFS('DRAFT 2'!$D:$D,$B103,'DRAFT 2'!$A:$A,"&gt;="&amp;DATE(2026,11,1),'DRAFT 2'!$A:$A,"&lt;="&amp;DATE(2026,11,7))</f>
        <v/>
      </c>
      <c r="IE103">
        <f>COUNTIFS('DRAFT 2'!$D:$D,$B103,'DRAFT 2'!$A:$A,"&gt;="&amp;DATE(2026,11,8),'DRAFT 2'!$A:$A,"&lt;="&amp;DATE(2026,11,14))</f>
        <v/>
      </c>
      <c r="IF103">
        <f>COUNTIFS('DRAFT 2'!$D:$D,$B103,'DRAFT 2'!$A:$A,"&gt;="&amp;DATE(2026,11,15),'DRAFT 2'!$A:$A,"&lt;="&amp;DATE(2026,11,21))</f>
        <v/>
      </c>
      <c r="IG103">
        <f>COUNTIFS('DRAFT 2'!$D:$D,$B103,'DRAFT 2'!$A:$A,"&gt;="&amp;DATE(2026,11,22),'DRAFT 2'!$A:$A,"&lt;"&amp;DATE(2026,IF(11=12,11+1,11+1),1))</f>
        <v/>
      </c>
      <c r="IH103">
        <f>SUM(ID103:IG103)</f>
        <v/>
      </c>
      <c r="IR103">
        <f>IFERROR(LOOKUP(2,1/('DRAFT 2'!$D:$D=$B103)*('DRAFT 2'!$A:$A&gt;=DATE(2026,12,1))*('DRAFT 2'!$A:$A&lt;DATE(2026,IF(12=12,12+1,12+1),1)),'DRAFT 2'!$A:$A),"")</f>
        <v/>
      </c>
      <c r="IS103">
        <f>COUNTIFS('DRAFT 2'!$D:$D,$B103,'DRAFT 2'!$A:$A,"&gt;="&amp;DATE(2026,12,1),'DRAFT 2'!$A:$A,"&lt;="&amp;DATE(2026,12,7))</f>
        <v/>
      </c>
      <c r="IT103">
        <f>COUNTIFS('DRAFT 2'!$D:$D,$B103,'DRAFT 2'!$A:$A,"&gt;="&amp;DATE(2026,12,8),'DRAFT 2'!$A:$A,"&lt;="&amp;DATE(2026,12,14))</f>
        <v/>
      </c>
      <c r="IU103">
        <f>COUNTIFS('DRAFT 2'!$D:$D,$B103,'DRAFT 2'!$A:$A,"&gt;="&amp;DATE(2026,12,15),'DRAFT 2'!$A:$A,"&lt;="&amp;DATE(2026,12,21))</f>
        <v/>
      </c>
      <c r="IV103">
        <f>COUNTIFS('DRAFT 2'!$D:$D,$B103,'DRAFT 2'!$A:$A,"&gt;="&amp;DATE(2026,12,22),'DRAFT 2'!$A:$A,"&lt;"&amp;DATE(2026,IF(12=12,12+1,12+1),1))</f>
        <v/>
      </c>
      <c r="IW103">
        <f>SUM(IS103:IV103)</f>
        <v/>
      </c>
    </row>
    <row r="104">
      <c r="A104">
        <f>IFERROR(INDEX('DRAFT 1'!$A:$A,MATCH($B104,'DRAFT 1'!$B:$B,0)),"")</f>
        <v/>
      </c>
      <c r="C104">
        <f>IFERROR(INDEX('DRAFT 1'!$C:$C,MATCH($B104,'DRAFT 1'!$B:$B,0)),"")</f>
        <v/>
      </c>
      <c r="D104">
        <f>IFERROR(INDEX('DRAFT 1'!$D:$D,MATCH($B104,'DRAFT 1'!$B:$B,0)),"")</f>
        <v/>
      </c>
      <c r="E104">
        <f>IFERROR(INDEX('DRAFT 1'!$E:$E,MATCH($B104,'DRAFT 1'!$B:$B,0)),"")</f>
        <v/>
      </c>
      <c r="F104">
        <f>IFERROR(INDEX('DRAFT 1'!$F:$F,MATCH($B104,'DRAFT 1'!$B:$B,0)),"")</f>
        <v/>
      </c>
      <c r="G104">
        <f>IFERROR(INDEX('DRAFT 1'!$G:$G,MATCH($B104,'DRAFT 1'!$B:$B,0)),"")</f>
        <v/>
      </c>
      <c r="H104">
        <f>IFERROR(INDEX('DRAFT 1'!$H:$H,MATCH($B104,'DRAFT 1'!$B:$B,0)),"")</f>
        <v/>
      </c>
      <c r="I104" t="inlineStr">
        <is>
          <t>FIT LAND</t>
        </is>
      </c>
      <c r="K104">
        <f>IFERROR(INDEX('DRAFT 1'!$AL:$AL,MATCH($B104,'DRAFT 1'!$B:$B,0)),"")</f>
        <v/>
      </c>
      <c r="L104">
        <f>IFERROR(INDEX('DRAFT 1'!$J:$J,MATCH($B104,'DRAFT 1'!$B:$B,0)),"")</f>
        <v/>
      </c>
      <c r="M104">
        <f>IFERROR(INDEX('DRAFT 1'!$K:$K,MATCH($B104,'DRAFT 1'!$B:$B,0)),"")</f>
        <v/>
      </c>
      <c r="N104" t="inlineStr">
        <is>
          <t>ATIVO</t>
        </is>
      </c>
      <c r="P104">
        <f>IFERROR(INDEX('DRAFT 1'!$L:$L,MATCH($B104,'DRAFT 1'!$B:$B,0)),"")</f>
        <v/>
      </c>
      <c r="Q104">
        <f>IFERROR(INDEX('DRAFT 1'!$M:$M,MATCH($B104,'DRAFT 1'!$B:$B,0)),"")</f>
        <v/>
      </c>
      <c r="R104">
        <f>IFERROR(INDEX('DRAFT 1'!$N:$N,MATCH($B104,'DRAFT 1'!$B:$B,0)),"")</f>
        <v/>
      </c>
      <c r="S104">
        <f>IFERROR(INDEX('DRAFT 1'!$O:$O,MATCH($B104,'DRAFT 1'!$B:$B,0)),"")</f>
        <v/>
      </c>
      <c r="T104">
        <f>IFERROR(INDEX('DRAFT 1'!$P:$P,MATCH($B104,'DRAFT 1'!$B:$B,0)),"")</f>
        <v/>
      </c>
      <c r="U104">
        <f>IFERROR(INDEX('DRAFT 1'!$Q:$Q,MATCH($B104,'DRAFT 1'!$B:$B,0)),"")</f>
        <v/>
      </c>
      <c r="V104">
        <f>IFERROR(INDEX('DRAFT 1'!$R:$R,MATCH($B104,'DRAFT 1'!$B:$B,0)),"")</f>
        <v/>
      </c>
      <c r="W104">
        <f>IFERROR(INDEX('DRAFT 1'!$S:$S,MATCH($B104,'DRAFT 1'!$B:$B,0)),"")</f>
        <v/>
      </c>
      <c r="X104">
        <f>IFERROR(INDEX('DRAFT 1'!$T:$T,MATCH($B104,'DRAFT 1'!$B:$B,0)),"")</f>
        <v/>
      </c>
      <c r="Z104">
        <f>IFERROR(INDEX('DRAFT 1'!$U:$U,MATCH($B104,'DRAFT 1'!$B:$B,0)),"")</f>
        <v/>
      </c>
      <c r="AA104">
        <f>IFERROR(INDEX('DRAFT 1'!$V:$V,MATCH($B104,'DRAFT 1'!$B:$B,0)),"")</f>
        <v/>
      </c>
      <c r="AB104">
        <f>IFERROR(INDEX('DRAFT 1'!$W:$W,MATCH($B104,'DRAFT 1'!$B:$B,0)),"")</f>
        <v/>
      </c>
      <c r="AC104">
        <f>IFERROR(INDEX('DRAFT 1'!$X:$X,MATCH($B104,'DRAFT 1'!$B:$B,0)),"")</f>
        <v/>
      </c>
      <c r="AD104">
        <f>IFERROR(INDEX('DRAFT 1'!$Y:$Y,MATCH($B104,'DRAFT 1'!$B:$B,0)),"")</f>
        <v/>
      </c>
      <c r="AE104">
        <f>IFERROR(INDEX('DRAFT 1'!$Z:$Z,MATCH($B104,'DRAFT 1'!$B:$B,0)),"")</f>
        <v/>
      </c>
      <c r="AF104">
        <f>IFERROR(INDEX('DRAFT 1'!$AA:$AA,MATCH($B104,'DRAFT 1'!$B:$B,0)),"")</f>
        <v/>
      </c>
      <c r="AG104">
        <f>IFERROR(INDEX('DRAFT 1'!$AB:$AB,MATCH($B104,'DRAFT 1'!$B:$B,0)),"")</f>
        <v/>
      </c>
      <c r="AH104">
        <f>IFERROR(INDEX('DRAFT 1'!$AC:$AC,MATCH($B104,'DRAFT 1'!$B:$B,0)),"")</f>
        <v/>
      </c>
      <c r="AI104">
        <f>IFERROR(INDEX('DRAFT 1'!$AD:$AD,MATCH($B104,'DRAFT 1'!$B:$B,0)),"")</f>
        <v/>
      </c>
      <c r="AJ104">
        <f>IFERROR(INDEX('DRAFT 1'!$AE:$AE,MATCH($B104,'DRAFT 1'!$B:$B,0)),"")</f>
        <v/>
      </c>
      <c r="AK104">
        <f>IFERROR(INDEX('DRAFT 1'!$AG:$AG,MATCH($B104,'DRAFT 1'!$B:$B,0)),"")</f>
        <v/>
      </c>
      <c r="AL104">
        <f>IFERROR(INDEX('DRAFT 1'!$AH:$AH,MATCH($B104,'DRAFT 1'!$B:$B,0)),"")</f>
        <v/>
      </c>
      <c r="AM104">
        <f>IFERROR(INDEX('DRAFT 1'!$AI:$AI,MATCH($B104,'DRAFT 1'!$B:$B,0)),"")</f>
        <v/>
      </c>
      <c r="AN104">
        <f>IFERROR(INDEX('DRAFT 1'!$AJ:$AJ,MATCH($B104,'DRAFT 1'!$B:$B,0)),"")</f>
        <v/>
      </c>
      <c r="AO104">
        <f>IFERROR(Y104/AN104,0)</f>
        <v/>
      </c>
      <c r="AP104">
        <f>IFERROR(INDEX('DRAFT 1'!$AK:$AK,MATCH($B104,'DRAFT 1'!$B:$B,0)),"")</f>
        <v/>
      </c>
      <c r="AR104" t="inlineStr">
        <is>
          <t>PROSPECÇÃO</t>
        </is>
      </c>
      <c r="AS104">
        <f>IFERROR(LOOKUP(2,1/('DRAFT 2'!$D:$D=$B104),'DRAFT 2'!$T:$T),"")</f>
        <v/>
      </c>
      <c r="AT104">
        <f>IFERROR(LOOKUP(2,1/('DRAFT 2'!$D:$D=$B104),'DRAFT 2'!$A:$A),"")</f>
        <v/>
      </c>
      <c r="AU104">
        <f>IFERROR(LOOKUP(2,1/('DRAFT 2'!$D:$D=$B104),'DRAFT 2'!$R:$R),"")</f>
        <v/>
      </c>
      <c r="AV104">
        <f>IFERROR(LOOKUP(2,1/('DRAFT 2'!$D:$D=$B104),'DRAFT 2'!$S:$S),"")</f>
        <v/>
      </c>
      <c r="AW104" t="inlineStr">
        <is>
          <t>LEAD</t>
        </is>
      </c>
      <c r="AX104">
        <f>IFERROR(LOOKUP(2,1/('DRAFT 2'!$D:$D=$B104),'DRAFT 2'!$M:$M),"")</f>
        <v/>
      </c>
      <c r="AY104">
        <f>IFERROR(LOOKUP(2,1/('DRAFT 2'!$D:$D=$B104),'DRAFT 2'!$K:$K),"")</f>
        <v/>
      </c>
      <c r="BG104">
        <f>IFERROR(LOOKUP(2,1/('DRAFT 2'!$D:$D=$B104),'DRAFT 2'!$U:$U),"")</f>
        <v/>
      </c>
      <c r="BH104">
        <f>IFERROR(LOOKUP(2,1/('DRAFT 2'!$D:$D=$B104),'DRAFT 2'!$V:$V),"")</f>
        <v/>
      </c>
      <c r="CE104">
        <f>IFERROR(AJ104,0)</f>
        <v/>
      </c>
      <c r="CF104">
        <f>IFERROR(LOOKUP(2,1/('DRAFT 2'!$D:$D=$B104)*('DRAFT 2'!$A:$A&gt;=DATE(2026,1,1))*('DRAFT 2'!$A:$A&lt;DATE(2026,IF(1=12,1+1,1+1),1)),'DRAFT 2'!$A:$A),"")</f>
        <v/>
      </c>
      <c r="CG104">
        <f>COUNTIFS('DRAFT 2'!$D:$D,$B104,'DRAFT 2'!$A:$A,"&gt;="&amp;DATE(2026,1,1),'DRAFT 2'!$A:$A,"&lt;="&amp;DATE(2026,1,7))</f>
        <v/>
      </c>
      <c r="CH104">
        <f>COUNTIFS('DRAFT 2'!$D:$D,$B104,'DRAFT 2'!$A:$A,"&gt;="&amp;DATE(2026,1,8),'DRAFT 2'!$A:$A,"&lt;="&amp;DATE(2026,1,14))</f>
        <v/>
      </c>
      <c r="CI104">
        <f>COUNTIFS('DRAFT 2'!$D:$D,$B104,'DRAFT 2'!$A:$A,"&gt;="&amp;DATE(2026,1,15),'DRAFT 2'!$A:$A,"&lt;="&amp;DATE(2026,1,21))</f>
        <v/>
      </c>
      <c r="CJ104">
        <f>COUNTIFS('DRAFT 2'!$D:$D,$B104,'DRAFT 2'!$A:$A,"&gt;="&amp;DATE(2026,1,22),'DRAFT 2'!$A:$A,"&lt;"&amp;DATE(2026,IF(1=12,1+1,1+1),1))</f>
        <v/>
      </c>
      <c r="CK104">
        <f>SUM(CG104:CJ104)</f>
        <v/>
      </c>
      <c r="CT104" t="n">
        <v>0</v>
      </c>
      <c r="CU104">
        <f>IFERROR(LOOKUP(2,1/('DRAFT 2'!$D:$D=$B104)*('DRAFT 2'!$A:$A&gt;=DATE(2026,2,1))*('DRAFT 2'!$A:$A&lt;DATE(2026,IF(2=12,2+1,2+1),1)),'DRAFT 2'!$A:$A),"")</f>
        <v/>
      </c>
      <c r="CV104">
        <f>COUNTIFS('DRAFT 2'!$D:$D,$B104,'DRAFT 2'!$A:$A,"&gt;="&amp;DATE(2026,2,1),'DRAFT 2'!$A:$A,"&lt;="&amp;DATE(2026,2,7))</f>
        <v/>
      </c>
      <c r="CW104">
        <f>COUNTIFS('DRAFT 2'!$D:$D,$B104,'DRAFT 2'!$A:$A,"&gt;="&amp;DATE(2026,2,8),'DRAFT 2'!$A:$A,"&lt;="&amp;DATE(2026,2,14))</f>
        <v/>
      </c>
      <c r="CX104">
        <f>COUNTIFS('DRAFT 2'!$D:$D,$B104,'DRAFT 2'!$A:$A,"&gt;="&amp;DATE(2026,2,15),'DRAFT 2'!$A:$A,"&lt;="&amp;DATE(2026,2,21))</f>
        <v/>
      </c>
      <c r="CY104">
        <f>COUNTIFS('DRAFT 2'!$D:$D,$B104,'DRAFT 2'!$A:$A,"&gt;="&amp;DATE(2026,2,22),'DRAFT 2'!$A:$A,"&lt;"&amp;DATE(2026,IF(2=12,2+1,2+1),1))</f>
        <v/>
      </c>
      <c r="CZ104">
        <f>SUM(CV104:CY104)</f>
        <v/>
      </c>
      <c r="DJ104">
        <f>IFERROR(LOOKUP(2,1/('DRAFT 2'!$D:$D=$B104)*('DRAFT 2'!$A:$A&gt;=DATE(2026,3,1))*('DRAFT 2'!$A:$A&lt;DATE(2026,IF(3=12,3+1,3+1),1)),'DRAFT 2'!$A:$A),"")</f>
        <v/>
      </c>
      <c r="DK104">
        <f>COUNTIFS('DRAFT 2'!$D:$D,$B104,'DRAFT 2'!$A:$A,"&gt;="&amp;DATE(2026,3,1),'DRAFT 2'!$A:$A,"&lt;="&amp;DATE(2026,3,7))</f>
        <v/>
      </c>
      <c r="DL104">
        <f>COUNTIFS('DRAFT 2'!$D:$D,$B104,'DRAFT 2'!$A:$A,"&gt;="&amp;DATE(2026,3,8),'DRAFT 2'!$A:$A,"&lt;="&amp;DATE(2026,3,14))</f>
        <v/>
      </c>
      <c r="DM104">
        <f>COUNTIFS('DRAFT 2'!$D:$D,$B104,'DRAFT 2'!$A:$A,"&gt;="&amp;DATE(2026,3,15),'DRAFT 2'!$A:$A,"&lt;="&amp;DATE(2026,3,21))</f>
        <v/>
      </c>
      <c r="DN104">
        <f>COUNTIFS('DRAFT 2'!$D:$D,$B104,'DRAFT 2'!$A:$A,"&gt;="&amp;DATE(2026,3,22),'DRAFT 2'!$A:$A,"&lt;"&amp;DATE(2026,IF(3=12,3+1,3+1),1))</f>
        <v/>
      </c>
      <c r="DO104">
        <f>SUM(DK104:DN104)</f>
        <v/>
      </c>
      <c r="DZ104">
        <f>IFERROR(LOOKUP(2,1/('DRAFT 2'!$D:$D=$B104)*('DRAFT 2'!$A:$A&gt;=DATE(2026,4,1))*('DRAFT 2'!$A:$A&lt;DATE(2026,IF(4=12,4+1,4+1),1)),'DRAFT 2'!$A:$A),"")</f>
        <v/>
      </c>
      <c r="EA104">
        <f>COUNTIFS('DRAFT 2'!$D:$D,$B104,'DRAFT 2'!$A:$A,"&gt;="&amp;DATE(2026,4,1),'DRAFT 2'!$A:$A,"&lt;="&amp;DATE(2026,4,7))</f>
        <v/>
      </c>
      <c r="EB104">
        <f>COUNTIFS('DRAFT 2'!$D:$D,$B104,'DRAFT 2'!$A:$A,"&gt;="&amp;DATE(2026,4,8),'DRAFT 2'!$A:$A,"&lt;="&amp;DATE(2026,4,14))</f>
        <v/>
      </c>
      <c r="EC104">
        <f>COUNTIFS('DRAFT 2'!$D:$D,$B104,'DRAFT 2'!$A:$A,"&gt;="&amp;DATE(2026,4,15),'DRAFT 2'!$A:$A,"&lt;="&amp;DATE(2026,4,21))</f>
        <v/>
      </c>
      <c r="ED104">
        <f>COUNTIFS('DRAFT 2'!$D:$D,$B104,'DRAFT 2'!$A:$A,"&gt;="&amp;DATE(2026,4,22),'DRAFT 2'!$A:$A,"&lt;"&amp;DATE(2026,IF(4=12,4+1,4+1),1))</f>
        <v/>
      </c>
      <c r="EE104">
        <f>SUM(EA104:ED104)</f>
        <v/>
      </c>
      <c r="EO104">
        <f>IFERROR(LOOKUP(2,1/('DRAFT 2'!$D:$D=$B104)*('DRAFT 2'!$A:$A&gt;=DATE(2026,5,1))*('DRAFT 2'!$A:$A&lt;DATE(2026,IF(5=12,5+1,5+1),1)),'DRAFT 2'!$A:$A),"")</f>
        <v/>
      </c>
      <c r="EP104">
        <f>COUNTIFS('DRAFT 2'!$D:$D,$B104,'DRAFT 2'!$A:$A,"&gt;="&amp;DATE(2026,5,1),'DRAFT 2'!$A:$A,"&lt;="&amp;DATE(2026,5,7))</f>
        <v/>
      </c>
      <c r="EQ104">
        <f>COUNTIFS('DRAFT 2'!$D:$D,$B104,'DRAFT 2'!$A:$A,"&gt;="&amp;DATE(2026,5,8),'DRAFT 2'!$A:$A,"&lt;="&amp;DATE(2026,5,14))</f>
        <v/>
      </c>
      <c r="ER104">
        <f>COUNTIFS('DRAFT 2'!$D:$D,$B104,'DRAFT 2'!$A:$A,"&gt;="&amp;DATE(2026,5,15),'DRAFT 2'!$A:$A,"&lt;="&amp;DATE(2026,5,21))</f>
        <v/>
      </c>
      <c r="ES104">
        <f>COUNTIFS('DRAFT 2'!$D:$D,$B104,'DRAFT 2'!$A:$A,"&gt;="&amp;DATE(2026,5,22),'DRAFT 2'!$A:$A,"&lt;"&amp;DATE(2026,IF(5=12,5+1,5+1),1))</f>
        <v/>
      </c>
      <c r="ET104">
        <f>SUM(EP104:ES104)</f>
        <v/>
      </c>
      <c r="FD104">
        <f>IFERROR(LOOKUP(2,1/('DRAFT 2'!$D:$D=$B104)*('DRAFT 2'!$A:$A&gt;=DATE(2026,6,1))*('DRAFT 2'!$A:$A&lt;DATE(2026,IF(6=12,6+1,6+1),1)),'DRAFT 2'!$A:$A),"")</f>
        <v/>
      </c>
      <c r="FE104">
        <f>COUNTIFS('DRAFT 2'!$D:$D,$B104,'DRAFT 2'!$A:$A,"&gt;="&amp;DATE(2026,6,1),'DRAFT 2'!$A:$A,"&lt;="&amp;DATE(2026,6,7))</f>
        <v/>
      </c>
      <c r="FF104">
        <f>COUNTIFS('DRAFT 2'!$D:$D,$B104,'DRAFT 2'!$A:$A,"&gt;="&amp;DATE(2026,6,8),'DRAFT 2'!$A:$A,"&lt;="&amp;DATE(2026,6,14))</f>
        <v/>
      </c>
      <c r="FG104">
        <f>COUNTIFS('DRAFT 2'!$D:$D,$B104,'DRAFT 2'!$A:$A,"&gt;="&amp;DATE(2026,6,15),'DRAFT 2'!$A:$A,"&lt;="&amp;DATE(2026,6,21))</f>
        <v/>
      </c>
      <c r="FH104">
        <f>COUNTIFS('DRAFT 2'!$D:$D,$B104,'DRAFT 2'!$A:$A,"&gt;="&amp;DATE(2026,6,22),'DRAFT 2'!$A:$A,"&lt;"&amp;DATE(2026,IF(6=12,6+1,6+1),1))</f>
        <v/>
      </c>
      <c r="FI104">
        <f>SUM(FE104:FH104)</f>
        <v/>
      </c>
      <c r="FT104">
        <f>IFERROR(LOOKUP(2,1/('DRAFT 2'!$D:$D=$B104)*('DRAFT 2'!$A:$A&gt;=DATE(2026,7,1))*('DRAFT 2'!$A:$A&lt;DATE(2026,IF(7=12,7+1,7+1),1)),'DRAFT 2'!$A:$A),"")</f>
        <v/>
      </c>
      <c r="FU104">
        <f>COUNTIFS('DRAFT 2'!$D:$D,$B104,'DRAFT 2'!$A:$A,"&gt;="&amp;DATE(2026,7,1),'DRAFT 2'!$A:$A,"&lt;="&amp;DATE(2026,7,7))</f>
        <v/>
      </c>
      <c r="FV104">
        <f>COUNTIFS('DRAFT 2'!$D:$D,$B104,'DRAFT 2'!$A:$A,"&gt;="&amp;DATE(2026,7,8),'DRAFT 2'!$A:$A,"&lt;="&amp;DATE(2026,7,14))</f>
        <v/>
      </c>
      <c r="FW104">
        <f>COUNTIFS('DRAFT 2'!$D:$D,$B104,'DRAFT 2'!$A:$A,"&gt;="&amp;DATE(2026,7,15),'DRAFT 2'!$A:$A,"&lt;="&amp;DATE(2026,7,21))</f>
        <v/>
      </c>
      <c r="FX104">
        <f>COUNTIFS('DRAFT 2'!$D:$D,$B104,'DRAFT 2'!$A:$A,"&gt;="&amp;DATE(2026,7,22),'DRAFT 2'!$A:$A,"&lt;"&amp;DATE(2026,IF(7=12,7+1,7+1),1))</f>
        <v/>
      </c>
      <c r="FY104">
        <f>SUM(FU104:FX104)</f>
        <v/>
      </c>
      <c r="GI104">
        <f>IFERROR(LOOKUP(2,1/('DRAFT 2'!$D:$D=$B104)*('DRAFT 2'!$A:$A&gt;=DATE(2026,8,1))*('DRAFT 2'!$A:$A&lt;DATE(2026,IF(8=12,8+1,8+1),1)),'DRAFT 2'!$A:$A),"")</f>
        <v/>
      </c>
      <c r="GJ104">
        <f>COUNTIFS('DRAFT 2'!$D:$D,$B104,'DRAFT 2'!$A:$A,"&gt;="&amp;DATE(2026,8,1),'DRAFT 2'!$A:$A,"&lt;="&amp;DATE(2026,8,7))</f>
        <v/>
      </c>
      <c r="GK104">
        <f>COUNTIFS('DRAFT 2'!$D:$D,$B104,'DRAFT 2'!$A:$A,"&gt;="&amp;DATE(2026,8,8),'DRAFT 2'!$A:$A,"&lt;="&amp;DATE(2026,8,14))</f>
        <v/>
      </c>
      <c r="GL104">
        <f>COUNTIFS('DRAFT 2'!$D:$D,$B104,'DRAFT 2'!$A:$A,"&gt;="&amp;DATE(2026,8,15),'DRAFT 2'!$A:$A,"&lt;="&amp;DATE(2026,8,21))</f>
        <v/>
      </c>
      <c r="GM104">
        <f>COUNTIFS('DRAFT 2'!$D:$D,$B104,'DRAFT 2'!$A:$A,"&gt;="&amp;DATE(2026,8,22),'DRAFT 2'!$A:$A,"&lt;"&amp;DATE(2026,IF(8=12,8+1,8+1),1))</f>
        <v/>
      </c>
      <c r="GN104">
        <f>SUM(GJ104:GM104)</f>
        <v/>
      </c>
      <c r="GX104">
        <f>IFERROR(LOOKUP(2,1/('DRAFT 2'!$D:$D=$B104)*('DRAFT 2'!$A:$A&gt;=DATE(2026,9,1))*('DRAFT 2'!$A:$A&lt;DATE(2026,IF(9=12,9+1,9+1),1)),'DRAFT 2'!$A:$A),"")</f>
        <v/>
      </c>
      <c r="GY104">
        <f>COUNTIFS('DRAFT 2'!$D:$D,$B104,'DRAFT 2'!$A:$A,"&gt;="&amp;DATE(2026,9,1),'DRAFT 2'!$A:$A,"&lt;="&amp;DATE(2026,9,7))</f>
        <v/>
      </c>
      <c r="GZ104">
        <f>COUNTIFS('DRAFT 2'!$D:$D,$B104,'DRAFT 2'!$A:$A,"&gt;="&amp;DATE(2026,9,8),'DRAFT 2'!$A:$A,"&lt;="&amp;DATE(2026,9,14))</f>
        <v/>
      </c>
      <c r="HA104">
        <f>COUNTIFS('DRAFT 2'!$D:$D,$B104,'DRAFT 2'!$A:$A,"&gt;="&amp;DATE(2026,9,15),'DRAFT 2'!$A:$A,"&lt;="&amp;DATE(2026,9,21))</f>
        <v/>
      </c>
      <c r="HB104">
        <f>COUNTIFS('DRAFT 2'!$D:$D,$B104,'DRAFT 2'!$A:$A,"&gt;="&amp;DATE(2026,9,22),'DRAFT 2'!$A:$A,"&lt;"&amp;DATE(2026,IF(9=12,9+1,9+1),1))</f>
        <v/>
      </c>
      <c r="HC104">
        <f>SUM(GY104:HB104)</f>
        <v/>
      </c>
      <c r="HN104">
        <f>IFERROR(LOOKUP(2,1/('DRAFT 2'!$D:$D=$B104)*('DRAFT 2'!$A:$A&gt;=DATE(2026,10,1))*('DRAFT 2'!$A:$A&lt;DATE(2026,IF(10=12,10+1,10+1),1)),'DRAFT 2'!$A:$A),"")</f>
        <v/>
      </c>
      <c r="HO104">
        <f>COUNTIFS('DRAFT 2'!$D:$D,$B104,'DRAFT 2'!$A:$A,"&gt;="&amp;DATE(2026,10,1),'DRAFT 2'!$A:$A,"&lt;="&amp;DATE(2026,10,7))</f>
        <v/>
      </c>
      <c r="HP104">
        <f>COUNTIFS('DRAFT 2'!$D:$D,$B104,'DRAFT 2'!$A:$A,"&gt;="&amp;DATE(2026,10,8),'DRAFT 2'!$A:$A,"&lt;="&amp;DATE(2026,10,14))</f>
        <v/>
      </c>
      <c r="HQ104">
        <f>COUNTIFS('DRAFT 2'!$D:$D,$B104,'DRAFT 2'!$A:$A,"&gt;="&amp;DATE(2026,10,15),'DRAFT 2'!$A:$A,"&lt;="&amp;DATE(2026,10,21))</f>
        <v/>
      </c>
      <c r="HR104">
        <f>COUNTIFS('DRAFT 2'!$D:$D,$B104,'DRAFT 2'!$A:$A,"&gt;="&amp;DATE(2026,10,22),'DRAFT 2'!$A:$A,"&lt;"&amp;DATE(2026,IF(10=12,10+1,10+1),1))</f>
        <v/>
      </c>
      <c r="HS104">
        <f>SUM(HO104:HR104)</f>
        <v/>
      </c>
      <c r="IC104">
        <f>IFERROR(LOOKUP(2,1/('DRAFT 2'!$D:$D=$B104)*('DRAFT 2'!$A:$A&gt;=DATE(2026,11,1))*('DRAFT 2'!$A:$A&lt;DATE(2026,IF(11=12,11+1,11+1),1)),'DRAFT 2'!$A:$A),"")</f>
        <v/>
      </c>
      <c r="ID104">
        <f>COUNTIFS('DRAFT 2'!$D:$D,$B104,'DRAFT 2'!$A:$A,"&gt;="&amp;DATE(2026,11,1),'DRAFT 2'!$A:$A,"&lt;="&amp;DATE(2026,11,7))</f>
        <v/>
      </c>
      <c r="IE104">
        <f>COUNTIFS('DRAFT 2'!$D:$D,$B104,'DRAFT 2'!$A:$A,"&gt;="&amp;DATE(2026,11,8),'DRAFT 2'!$A:$A,"&lt;="&amp;DATE(2026,11,14))</f>
        <v/>
      </c>
      <c r="IF104">
        <f>COUNTIFS('DRAFT 2'!$D:$D,$B104,'DRAFT 2'!$A:$A,"&gt;="&amp;DATE(2026,11,15),'DRAFT 2'!$A:$A,"&lt;="&amp;DATE(2026,11,21))</f>
        <v/>
      </c>
      <c r="IG104">
        <f>COUNTIFS('DRAFT 2'!$D:$D,$B104,'DRAFT 2'!$A:$A,"&gt;="&amp;DATE(2026,11,22),'DRAFT 2'!$A:$A,"&lt;"&amp;DATE(2026,IF(11=12,11+1,11+1),1))</f>
        <v/>
      </c>
      <c r="IH104">
        <f>SUM(ID104:IG104)</f>
        <v/>
      </c>
      <c r="IR104">
        <f>IFERROR(LOOKUP(2,1/('DRAFT 2'!$D:$D=$B104)*('DRAFT 2'!$A:$A&gt;=DATE(2026,12,1))*('DRAFT 2'!$A:$A&lt;DATE(2026,IF(12=12,12+1,12+1),1)),'DRAFT 2'!$A:$A),"")</f>
        <v/>
      </c>
      <c r="IS104">
        <f>COUNTIFS('DRAFT 2'!$D:$D,$B104,'DRAFT 2'!$A:$A,"&gt;="&amp;DATE(2026,12,1),'DRAFT 2'!$A:$A,"&lt;="&amp;DATE(2026,12,7))</f>
        <v/>
      </c>
      <c r="IT104">
        <f>COUNTIFS('DRAFT 2'!$D:$D,$B104,'DRAFT 2'!$A:$A,"&gt;="&amp;DATE(2026,12,8),'DRAFT 2'!$A:$A,"&lt;="&amp;DATE(2026,12,14))</f>
        <v/>
      </c>
      <c r="IU104">
        <f>COUNTIFS('DRAFT 2'!$D:$D,$B104,'DRAFT 2'!$A:$A,"&gt;="&amp;DATE(2026,12,15),'DRAFT 2'!$A:$A,"&lt;="&amp;DATE(2026,12,21))</f>
        <v/>
      </c>
      <c r="IV104">
        <f>COUNTIFS('DRAFT 2'!$D:$D,$B104,'DRAFT 2'!$A:$A,"&gt;="&amp;DATE(2026,12,22),'DRAFT 2'!$A:$A,"&lt;"&amp;DATE(2026,IF(12=12,12+1,12+1),1))</f>
        <v/>
      </c>
      <c r="IW104">
        <f>SUM(IS104:IV104)</f>
        <v/>
      </c>
    </row>
    <row r="105">
      <c r="A105">
        <f>IFERROR(INDEX('DRAFT 1'!$A:$A,MATCH($B105,'DRAFT 1'!$B:$B,0)),"")</f>
        <v/>
      </c>
      <c r="C105">
        <f>IFERROR(INDEX('DRAFT 1'!$C:$C,MATCH($B105,'DRAFT 1'!$B:$B,0)),"")</f>
        <v/>
      </c>
      <c r="D105">
        <f>IFERROR(INDEX('DRAFT 1'!$D:$D,MATCH($B105,'DRAFT 1'!$B:$B,0)),"")</f>
        <v/>
      </c>
      <c r="E105">
        <f>IFERROR(INDEX('DRAFT 1'!$E:$E,MATCH($B105,'DRAFT 1'!$B:$B,0)),"")</f>
        <v/>
      </c>
      <c r="F105">
        <f>IFERROR(INDEX('DRAFT 1'!$F:$F,MATCH($B105,'DRAFT 1'!$B:$B,0)),"")</f>
        <v/>
      </c>
      <c r="G105">
        <f>IFERROR(INDEX('DRAFT 1'!$G:$G,MATCH($B105,'DRAFT 1'!$B:$B,0)),"")</f>
        <v/>
      </c>
      <c r="H105">
        <f>IFERROR(INDEX('DRAFT 1'!$H:$H,MATCH($B105,'DRAFT 1'!$B:$B,0)),"")</f>
        <v/>
      </c>
      <c r="I105" t="inlineStr">
        <is>
          <t>DEMAIS CLIENTES</t>
        </is>
      </c>
      <c r="K105">
        <f>IFERROR(INDEX('DRAFT 1'!$AL:$AL,MATCH($B105,'DRAFT 1'!$B:$B,0)),"")</f>
        <v/>
      </c>
      <c r="L105">
        <f>IFERROR(INDEX('DRAFT 1'!$J:$J,MATCH($B105,'DRAFT 1'!$B:$B,0)),"")</f>
        <v/>
      </c>
      <c r="M105">
        <f>IFERROR(INDEX('DRAFT 1'!$K:$K,MATCH($B105,'DRAFT 1'!$B:$B,0)),"")</f>
        <v/>
      </c>
      <c r="N105" t="inlineStr">
        <is>
          <t>ATIVO</t>
        </is>
      </c>
      <c r="P105">
        <f>IFERROR(INDEX('DRAFT 1'!$L:$L,MATCH($B105,'DRAFT 1'!$B:$B,0)),"")</f>
        <v/>
      </c>
      <c r="Q105">
        <f>IFERROR(INDEX('DRAFT 1'!$M:$M,MATCH($B105,'DRAFT 1'!$B:$B,0)),"")</f>
        <v/>
      </c>
      <c r="R105">
        <f>IFERROR(INDEX('DRAFT 1'!$N:$N,MATCH($B105,'DRAFT 1'!$B:$B,0)),"")</f>
        <v/>
      </c>
      <c r="S105">
        <f>IFERROR(INDEX('DRAFT 1'!$O:$O,MATCH($B105,'DRAFT 1'!$B:$B,0)),"")</f>
        <v/>
      </c>
      <c r="T105">
        <f>IFERROR(INDEX('DRAFT 1'!$P:$P,MATCH($B105,'DRAFT 1'!$B:$B,0)),"")</f>
        <v/>
      </c>
      <c r="U105">
        <f>IFERROR(INDEX('DRAFT 1'!$Q:$Q,MATCH($B105,'DRAFT 1'!$B:$B,0)),"")</f>
        <v/>
      </c>
      <c r="V105">
        <f>IFERROR(INDEX('DRAFT 1'!$R:$R,MATCH($B105,'DRAFT 1'!$B:$B,0)),"")</f>
        <v/>
      </c>
      <c r="W105">
        <f>IFERROR(INDEX('DRAFT 1'!$S:$S,MATCH($B105,'DRAFT 1'!$B:$B,0)),"")</f>
        <v/>
      </c>
      <c r="X105">
        <f>IFERROR(INDEX('DRAFT 1'!$T:$T,MATCH($B105,'DRAFT 1'!$B:$B,0)),"")</f>
        <v/>
      </c>
      <c r="Z105">
        <f>IFERROR(INDEX('DRAFT 1'!$U:$U,MATCH($B105,'DRAFT 1'!$B:$B,0)),"")</f>
        <v/>
      </c>
      <c r="AA105">
        <f>IFERROR(INDEX('DRAFT 1'!$V:$V,MATCH($B105,'DRAFT 1'!$B:$B,0)),"")</f>
        <v/>
      </c>
      <c r="AB105">
        <f>IFERROR(INDEX('DRAFT 1'!$W:$W,MATCH($B105,'DRAFT 1'!$B:$B,0)),"")</f>
        <v/>
      </c>
      <c r="AC105">
        <f>IFERROR(INDEX('DRAFT 1'!$X:$X,MATCH($B105,'DRAFT 1'!$B:$B,0)),"")</f>
        <v/>
      </c>
      <c r="AD105">
        <f>IFERROR(INDEX('DRAFT 1'!$Y:$Y,MATCH($B105,'DRAFT 1'!$B:$B,0)),"")</f>
        <v/>
      </c>
      <c r="AE105">
        <f>IFERROR(INDEX('DRAFT 1'!$Z:$Z,MATCH($B105,'DRAFT 1'!$B:$B,0)),"")</f>
        <v/>
      </c>
      <c r="AF105">
        <f>IFERROR(INDEX('DRAFT 1'!$AA:$AA,MATCH($B105,'DRAFT 1'!$B:$B,0)),"")</f>
        <v/>
      </c>
      <c r="AG105">
        <f>IFERROR(INDEX('DRAFT 1'!$AB:$AB,MATCH($B105,'DRAFT 1'!$B:$B,0)),"")</f>
        <v/>
      </c>
      <c r="AH105">
        <f>IFERROR(INDEX('DRAFT 1'!$AC:$AC,MATCH($B105,'DRAFT 1'!$B:$B,0)),"")</f>
        <v/>
      </c>
      <c r="AI105">
        <f>IFERROR(INDEX('DRAFT 1'!$AD:$AD,MATCH($B105,'DRAFT 1'!$B:$B,0)),"")</f>
        <v/>
      </c>
      <c r="AJ105">
        <f>IFERROR(INDEX('DRAFT 1'!$AE:$AE,MATCH($B105,'DRAFT 1'!$B:$B,0)),"")</f>
        <v/>
      </c>
      <c r="AK105">
        <f>IFERROR(INDEX('DRAFT 1'!$AG:$AG,MATCH($B105,'DRAFT 1'!$B:$B,0)),"")</f>
        <v/>
      </c>
      <c r="AL105">
        <f>IFERROR(INDEX('DRAFT 1'!$AH:$AH,MATCH($B105,'DRAFT 1'!$B:$B,0)),"")</f>
        <v/>
      </c>
      <c r="AM105">
        <f>IFERROR(INDEX('DRAFT 1'!$AI:$AI,MATCH($B105,'DRAFT 1'!$B:$B,0)),"")</f>
        <v/>
      </c>
      <c r="AN105">
        <f>IFERROR(INDEX('DRAFT 1'!$AJ:$AJ,MATCH($B105,'DRAFT 1'!$B:$B,0)),"")</f>
        <v/>
      </c>
      <c r="AO105">
        <f>IFERROR(Y105/AN105,0)</f>
        <v/>
      </c>
      <c r="AP105">
        <f>IFERROR(INDEX('DRAFT 1'!$AK:$AK,MATCH($B105,'DRAFT 1'!$B:$B,0)),"")</f>
        <v/>
      </c>
      <c r="AR105" t="inlineStr">
        <is>
          <t>RECOMPRA</t>
        </is>
      </c>
      <c r="AS105">
        <f>IFERROR(LOOKUP(2,1/('DRAFT 2'!$D:$D=$B105),'DRAFT 2'!$T:$T),"")</f>
        <v/>
      </c>
      <c r="AT105">
        <f>IFERROR(LOOKUP(2,1/('DRAFT 2'!$D:$D=$B105),'DRAFT 2'!$A:$A),"")</f>
        <v/>
      </c>
      <c r="AU105">
        <f>IFERROR(LOOKUP(2,1/('DRAFT 2'!$D:$D=$B105),'DRAFT 2'!$R:$R),"")</f>
        <v/>
      </c>
      <c r="AV105">
        <f>IFERROR(LOOKUP(2,1/('DRAFT 2'!$D:$D=$B105),'DRAFT 2'!$S:$S),"")</f>
        <v/>
      </c>
      <c r="AW105" t="inlineStr">
        <is>
          <t>LEAD</t>
        </is>
      </c>
      <c r="AX105">
        <f>IFERROR(LOOKUP(2,1/('DRAFT 2'!$D:$D=$B105),'DRAFT 2'!$M:$M),"")</f>
        <v/>
      </c>
      <c r="AY105">
        <f>IFERROR(LOOKUP(2,1/('DRAFT 2'!$D:$D=$B105),'DRAFT 2'!$K:$K),"")</f>
        <v/>
      </c>
      <c r="BG105">
        <f>IFERROR(LOOKUP(2,1/('DRAFT 2'!$D:$D=$B105),'DRAFT 2'!$U:$U),"")</f>
        <v/>
      </c>
      <c r="BH105">
        <f>IFERROR(LOOKUP(2,1/('DRAFT 2'!$D:$D=$B105),'DRAFT 2'!$V:$V),"")</f>
        <v/>
      </c>
      <c r="CE105">
        <f>IFERROR(AJ105,0)</f>
        <v/>
      </c>
      <c r="CF105">
        <f>IFERROR(LOOKUP(2,1/('DRAFT 2'!$D:$D=$B105)*('DRAFT 2'!$A:$A&gt;=DATE(2026,1,1))*('DRAFT 2'!$A:$A&lt;DATE(2026,IF(1=12,1+1,1+1),1)),'DRAFT 2'!$A:$A),"")</f>
        <v/>
      </c>
      <c r="CG105">
        <f>COUNTIFS('DRAFT 2'!$D:$D,$B105,'DRAFT 2'!$A:$A,"&gt;="&amp;DATE(2026,1,1),'DRAFT 2'!$A:$A,"&lt;="&amp;DATE(2026,1,7))</f>
        <v/>
      </c>
      <c r="CH105">
        <f>COUNTIFS('DRAFT 2'!$D:$D,$B105,'DRAFT 2'!$A:$A,"&gt;="&amp;DATE(2026,1,8),'DRAFT 2'!$A:$A,"&lt;="&amp;DATE(2026,1,14))</f>
        <v/>
      </c>
      <c r="CI105">
        <f>COUNTIFS('DRAFT 2'!$D:$D,$B105,'DRAFT 2'!$A:$A,"&gt;="&amp;DATE(2026,1,15),'DRAFT 2'!$A:$A,"&lt;="&amp;DATE(2026,1,21))</f>
        <v/>
      </c>
      <c r="CJ105">
        <f>COUNTIFS('DRAFT 2'!$D:$D,$B105,'DRAFT 2'!$A:$A,"&gt;="&amp;DATE(2026,1,22),'DRAFT 2'!$A:$A,"&lt;"&amp;DATE(2026,IF(1=12,1+1,1+1),1))</f>
        <v/>
      </c>
      <c r="CK105">
        <f>SUM(CG105:CJ105)</f>
        <v/>
      </c>
      <c r="CT105" t="n">
        <v>0</v>
      </c>
      <c r="CU105">
        <f>IFERROR(LOOKUP(2,1/('DRAFT 2'!$D:$D=$B105)*('DRAFT 2'!$A:$A&gt;=DATE(2026,2,1))*('DRAFT 2'!$A:$A&lt;DATE(2026,IF(2=12,2+1,2+1),1)),'DRAFT 2'!$A:$A),"")</f>
        <v/>
      </c>
      <c r="CV105">
        <f>COUNTIFS('DRAFT 2'!$D:$D,$B105,'DRAFT 2'!$A:$A,"&gt;="&amp;DATE(2026,2,1),'DRAFT 2'!$A:$A,"&lt;="&amp;DATE(2026,2,7))</f>
        <v/>
      </c>
      <c r="CW105">
        <f>COUNTIFS('DRAFT 2'!$D:$D,$B105,'DRAFT 2'!$A:$A,"&gt;="&amp;DATE(2026,2,8),'DRAFT 2'!$A:$A,"&lt;="&amp;DATE(2026,2,14))</f>
        <v/>
      </c>
      <c r="CX105">
        <f>COUNTIFS('DRAFT 2'!$D:$D,$B105,'DRAFT 2'!$A:$A,"&gt;="&amp;DATE(2026,2,15),'DRAFT 2'!$A:$A,"&lt;="&amp;DATE(2026,2,21))</f>
        <v/>
      </c>
      <c r="CY105">
        <f>COUNTIFS('DRAFT 2'!$D:$D,$B105,'DRAFT 2'!$A:$A,"&gt;="&amp;DATE(2026,2,22),'DRAFT 2'!$A:$A,"&lt;"&amp;DATE(2026,IF(2=12,2+1,2+1),1))</f>
        <v/>
      </c>
      <c r="CZ105">
        <f>SUM(CV105:CY105)</f>
        <v/>
      </c>
      <c r="DJ105">
        <f>IFERROR(LOOKUP(2,1/('DRAFT 2'!$D:$D=$B105)*('DRAFT 2'!$A:$A&gt;=DATE(2026,3,1))*('DRAFT 2'!$A:$A&lt;DATE(2026,IF(3=12,3+1,3+1),1)),'DRAFT 2'!$A:$A),"")</f>
        <v/>
      </c>
      <c r="DK105">
        <f>COUNTIFS('DRAFT 2'!$D:$D,$B105,'DRAFT 2'!$A:$A,"&gt;="&amp;DATE(2026,3,1),'DRAFT 2'!$A:$A,"&lt;="&amp;DATE(2026,3,7))</f>
        <v/>
      </c>
      <c r="DL105">
        <f>COUNTIFS('DRAFT 2'!$D:$D,$B105,'DRAFT 2'!$A:$A,"&gt;="&amp;DATE(2026,3,8),'DRAFT 2'!$A:$A,"&lt;="&amp;DATE(2026,3,14))</f>
        <v/>
      </c>
      <c r="DM105">
        <f>COUNTIFS('DRAFT 2'!$D:$D,$B105,'DRAFT 2'!$A:$A,"&gt;="&amp;DATE(2026,3,15),'DRAFT 2'!$A:$A,"&lt;="&amp;DATE(2026,3,21))</f>
        <v/>
      </c>
      <c r="DN105">
        <f>COUNTIFS('DRAFT 2'!$D:$D,$B105,'DRAFT 2'!$A:$A,"&gt;="&amp;DATE(2026,3,22),'DRAFT 2'!$A:$A,"&lt;"&amp;DATE(2026,IF(3=12,3+1,3+1),1))</f>
        <v/>
      </c>
      <c r="DO105">
        <f>SUM(DK105:DN105)</f>
        <v/>
      </c>
      <c r="DZ105">
        <f>IFERROR(LOOKUP(2,1/('DRAFT 2'!$D:$D=$B105)*('DRAFT 2'!$A:$A&gt;=DATE(2026,4,1))*('DRAFT 2'!$A:$A&lt;DATE(2026,IF(4=12,4+1,4+1),1)),'DRAFT 2'!$A:$A),"")</f>
        <v/>
      </c>
      <c r="EA105">
        <f>COUNTIFS('DRAFT 2'!$D:$D,$B105,'DRAFT 2'!$A:$A,"&gt;="&amp;DATE(2026,4,1),'DRAFT 2'!$A:$A,"&lt;="&amp;DATE(2026,4,7))</f>
        <v/>
      </c>
      <c r="EB105">
        <f>COUNTIFS('DRAFT 2'!$D:$D,$B105,'DRAFT 2'!$A:$A,"&gt;="&amp;DATE(2026,4,8),'DRAFT 2'!$A:$A,"&lt;="&amp;DATE(2026,4,14))</f>
        <v/>
      </c>
      <c r="EC105">
        <f>COUNTIFS('DRAFT 2'!$D:$D,$B105,'DRAFT 2'!$A:$A,"&gt;="&amp;DATE(2026,4,15),'DRAFT 2'!$A:$A,"&lt;="&amp;DATE(2026,4,21))</f>
        <v/>
      </c>
      <c r="ED105">
        <f>COUNTIFS('DRAFT 2'!$D:$D,$B105,'DRAFT 2'!$A:$A,"&gt;="&amp;DATE(2026,4,22),'DRAFT 2'!$A:$A,"&lt;"&amp;DATE(2026,IF(4=12,4+1,4+1),1))</f>
        <v/>
      </c>
      <c r="EE105">
        <f>SUM(EA105:ED105)</f>
        <v/>
      </c>
      <c r="EO105">
        <f>IFERROR(LOOKUP(2,1/('DRAFT 2'!$D:$D=$B105)*('DRAFT 2'!$A:$A&gt;=DATE(2026,5,1))*('DRAFT 2'!$A:$A&lt;DATE(2026,IF(5=12,5+1,5+1),1)),'DRAFT 2'!$A:$A),"")</f>
        <v/>
      </c>
      <c r="EP105">
        <f>COUNTIFS('DRAFT 2'!$D:$D,$B105,'DRAFT 2'!$A:$A,"&gt;="&amp;DATE(2026,5,1),'DRAFT 2'!$A:$A,"&lt;="&amp;DATE(2026,5,7))</f>
        <v/>
      </c>
      <c r="EQ105">
        <f>COUNTIFS('DRAFT 2'!$D:$D,$B105,'DRAFT 2'!$A:$A,"&gt;="&amp;DATE(2026,5,8),'DRAFT 2'!$A:$A,"&lt;="&amp;DATE(2026,5,14))</f>
        <v/>
      </c>
      <c r="ER105">
        <f>COUNTIFS('DRAFT 2'!$D:$D,$B105,'DRAFT 2'!$A:$A,"&gt;="&amp;DATE(2026,5,15),'DRAFT 2'!$A:$A,"&lt;="&amp;DATE(2026,5,21))</f>
        <v/>
      </c>
      <c r="ES105">
        <f>COUNTIFS('DRAFT 2'!$D:$D,$B105,'DRAFT 2'!$A:$A,"&gt;="&amp;DATE(2026,5,22),'DRAFT 2'!$A:$A,"&lt;"&amp;DATE(2026,IF(5=12,5+1,5+1),1))</f>
        <v/>
      </c>
      <c r="ET105">
        <f>SUM(EP105:ES105)</f>
        <v/>
      </c>
      <c r="FD105">
        <f>IFERROR(LOOKUP(2,1/('DRAFT 2'!$D:$D=$B105)*('DRAFT 2'!$A:$A&gt;=DATE(2026,6,1))*('DRAFT 2'!$A:$A&lt;DATE(2026,IF(6=12,6+1,6+1),1)),'DRAFT 2'!$A:$A),"")</f>
        <v/>
      </c>
      <c r="FE105">
        <f>COUNTIFS('DRAFT 2'!$D:$D,$B105,'DRAFT 2'!$A:$A,"&gt;="&amp;DATE(2026,6,1),'DRAFT 2'!$A:$A,"&lt;="&amp;DATE(2026,6,7))</f>
        <v/>
      </c>
      <c r="FF105">
        <f>COUNTIFS('DRAFT 2'!$D:$D,$B105,'DRAFT 2'!$A:$A,"&gt;="&amp;DATE(2026,6,8),'DRAFT 2'!$A:$A,"&lt;="&amp;DATE(2026,6,14))</f>
        <v/>
      </c>
      <c r="FG105">
        <f>COUNTIFS('DRAFT 2'!$D:$D,$B105,'DRAFT 2'!$A:$A,"&gt;="&amp;DATE(2026,6,15),'DRAFT 2'!$A:$A,"&lt;="&amp;DATE(2026,6,21))</f>
        <v/>
      </c>
      <c r="FH105">
        <f>COUNTIFS('DRAFT 2'!$D:$D,$B105,'DRAFT 2'!$A:$A,"&gt;="&amp;DATE(2026,6,22),'DRAFT 2'!$A:$A,"&lt;"&amp;DATE(2026,IF(6=12,6+1,6+1),1))</f>
        <v/>
      </c>
      <c r="FI105">
        <f>SUM(FE105:FH105)</f>
        <v/>
      </c>
      <c r="FT105">
        <f>IFERROR(LOOKUP(2,1/('DRAFT 2'!$D:$D=$B105)*('DRAFT 2'!$A:$A&gt;=DATE(2026,7,1))*('DRAFT 2'!$A:$A&lt;DATE(2026,IF(7=12,7+1,7+1),1)),'DRAFT 2'!$A:$A),"")</f>
        <v/>
      </c>
      <c r="FU105">
        <f>COUNTIFS('DRAFT 2'!$D:$D,$B105,'DRAFT 2'!$A:$A,"&gt;="&amp;DATE(2026,7,1),'DRAFT 2'!$A:$A,"&lt;="&amp;DATE(2026,7,7))</f>
        <v/>
      </c>
      <c r="FV105">
        <f>COUNTIFS('DRAFT 2'!$D:$D,$B105,'DRAFT 2'!$A:$A,"&gt;="&amp;DATE(2026,7,8),'DRAFT 2'!$A:$A,"&lt;="&amp;DATE(2026,7,14))</f>
        <v/>
      </c>
      <c r="FW105">
        <f>COUNTIFS('DRAFT 2'!$D:$D,$B105,'DRAFT 2'!$A:$A,"&gt;="&amp;DATE(2026,7,15),'DRAFT 2'!$A:$A,"&lt;="&amp;DATE(2026,7,21))</f>
        <v/>
      </c>
      <c r="FX105">
        <f>COUNTIFS('DRAFT 2'!$D:$D,$B105,'DRAFT 2'!$A:$A,"&gt;="&amp;DATE(2026,7,22),'DRAFT 2'!$A:$A,"&lt;"&amp;DATE(2026,IF(7=12,7+1,7+1),1))</f>
        <v/>
      </c>
      <c r="FY105">
        <f>SUM(FU105:FX105)</f>
        <v/>
      </c>
      <c r="GI105">
        <f>IFERROR(LOOKUP(2,1/('DRAFT 2'!$D:$D=$B105)*('DRAFT 2'!$A:$A&gt;=DATE(2026,8,1))*('DRAFT 2'!$A:$A&lt;DATE(2026,IF(8=12,8+1,8+1),1)),'DRAFT 2'!$A:$A),"")</f>
        <v/>
      </c>
      <c r="GJ105">
        <f>COUNTIFS('DRAFT 2'!$D:$D,$B105,'DRAFT 2'!$A:$A,"&gt;="&amp;DATE(2026,8,1),'DRAFT 2'!$A:$A,"&lt;="&amp;DATE(2026,8,7))</f>
        <v/>
      </c>
      <c r="GK105">
        <f>COUNTIFS('DRAFT 2'!$D:$D,$B105,'DRAFT 2'!$A:$A,"&gt;="&amp;DATE(2026,8,8),'DRAFT 2'!$A:$A,"&lt;="&amp;DATE(2026,8,14))</f>
        <v/>
      </c>
      <c r="GL105">
        <f>COUNTIFS('DRAFT 2'!$D:$D,$B105,'DRAFT 2'!$A:$A,"&gt;="&amp;DATE(2026,8,15),'DRAFT 2'!$A:$A,"&lt;="&amp;DATE(2026,8,21))</f>
        <v/>
      </c>
      <c r="GM105">
        <f>COUNTIFS('DRAFT 2'!$D:$D,$B105,'DRAFT 2'!$A:$A,"&gt;="&amp;DATE(2026,8,22),'DRAFT 2'!$A:$A,"&lt;"&amp;DATE(2026,IF(8=12,8+1,8+1),1))</f>
        <v/>
      </c>
      <c r="GN105">
        <f>SUM(GJ105:GM105)</f>
        <v/>
      </c>
      <c r="GX105">
        <f>IFERROR(LOOKUP(2,1/('DRAFT 2'!$D:$D=$B105)*('DRAFT 2'!$A:$A&gt;=DATE(2026,9,1))*('DRAFT 2'!$A:$A&lt;DATE(2026,IF(9=12,9+1,9+1),1)),'DRAFT 2'!$A:$A),"")</f>
        <v/>
      </c>
      <c r="GY105">
        <f>COUNTIFS('DRAFT 2'!$D:$D,$B105,'DRAFT 2'!$A:$A,"&gt;="&amp;DATE(2026,9,1),'DRAFT 2'!$A:$A,"&lt;="&amp;DATE(2026,9,7))</f>
        <v/>
      </c>
      <c r="GZ105">
        <f>COUNTIFS('DRAFT 2'!$D:$D,$B105,'DRAFT 2'!$A:$A,"&gt;="&amp;DATE(2026,9,8),'DRAFT 2'!$A:$A,"&lt;="&amp;DATE(2026,9,14))</f>
        <v/>
      </c>
      <c r="HA105">
        <f>COUNTIFS('DRAFT 2'!$D:$D,$B105,'DRAFT 2'!$A:$A,"&gt;="&amp;DATE(2026,9,15),'DRAFT 2'!$A:$A,"&lt;="&amp;DATE(2026,9,21))</f>
        <v/>
      </c>
      <c r="HB105">
        <f>COUNTIFS('DRAFT 2'!$D:$D,$B105,'DRAFT 2'!$A:$A,"&gt;="&amp;DATE(2026,9,22),'DRAFT 2'!$A:$A,"&lt;"&amp;DATE(2026,IF(9=12,9+1,9+1),1))</f>
        <v/>
      </c>
      <c r="HC105">
        <f>SUM(GY105:HB105)</f>
        <v/>
      </c>
      <c r="HN105">
        <f>IFERROR(LOOKUP(2,1/('DRAFT 2'!$D:$D=$B105)*('DRAFT 2'!$A:$A&gt;=DATE(2026,10,1))*('DRAFT 2'!$A:$A&lt;DATE(2026,IF(10=12,10+1,10+1),1)),'DRAFT 2'!$A:$A),"")</f>
        <v/>
      </c>
      <c r="HO105">
        <f>COUNTIFS('DRAFT 2'!$D:$D,$B105,'DRAFT 2'!$A:$A,"&gt;="&amp;DATE(2026,10,1),'DRAFT 2'!$A:$A,"&lt;="&amp;DATE(2026,10,7))</f>
        <v/>
      </c>
      <c r="HP105">
        <f>COUNTIFS('DRAFT 2'!$D:$D,$B105,'DRAFT 2'!$A:$A,"&gt;="&amp;DATE(2026,10,8),'DRAFT 2'!$A:$A,"&lt;="&amp;DATE(2026,10,14))</f>
        <v/>
      </c>
      <c r="HQ105">
        <f>COUNTIFS('DRAFT 2'!$D:$D,$B105,'DRAFT 2'!$A:$A,"&gt;="&amp;DATE(2026,10,15),'DRAFT 2'!$A:$A,"&lt;="&amp;DATE(2026,10,21))</f>
        <v/>
      </c>
      <c r="HR105">
        <f>COUNTIFS('DRAFT 2'!$D:$D,$B105,'DRAFT 2'!$A:$A,"&gt;="&amp;DATE(2026,10,22),'DRAFT 2'!$A:$A,"&lt;"&amp;DATE(2026,IF(10=12,10+1,10+1),1))</f>
        <v/>
      </c>
      <c r="HS105">
        <f>SUM(HO105:HR105)</f>
        <v/>
      </c>
      <c r="IC105">
        <f>IFERROR(LOOKUP(2,1/('DRAFT 2'!$D:$D=$B105)*('DRAFT 2'!$A:$A&gt;=DATE(2026,11,1))*('DRAFT 2'!$A:$A&lt;DATE(2026,IF(11=12,11+1,11+1),1)),'DRAFT 2'!$A:$A),"")</f>
        <v/>
      </c>
      <c r="ID105">
        <f>COUNTIFS('DRAFT 2'!$D:$D,$B105,'DRAFT 2'!$A:$A,"&gt;="&amp;DATE(2026,11,1),'DRAFT 2'!$A:$A,"&lt;="&amp;DATE(2026,11,7))</f>
        <v/>
      </c>
      <c r="IE105">
        <f>COUNTIFS('DRAFT 2'!$D:$D,$B105,'DRAFT 2'!$A:$A,"&gt;="&amp;DATE(2026,11,8),'DRAFT 2'!$A:$A,"&lt;="&amp;DATE(2026,11,14))</f>
        <v/>
      </c>
      <c r="IF105">
        <f>COUNTIFS('DRAFT 2'!$D:$D,$B105,'DRAFT 2'!$A:$A,"&gt;="&amp;DATE(2026,11,15),'DRAFT 2'!$A:$A,"&lt;="&amp;DATE(2026,11,21))</f>
        <v/>
      </c>
      <c r="IG105">
        <f>COUNTIFS('DRAFT 2'!$D:$D,$B105,'DRAFT 2'!$A:$A,"&gt;="&amp;DATE(2026,11,22),'DRAFT 2'!$A:$A,"&lt;"&amp;DATE(2026,IF(11=12,11+1,11+1),1))</f>
        <v/>
      </c>
      <c r="IH105">
        <f>SUM(ID105:IG105)</f>
        <v/>
      </c>
      <c r="IR105">
        <f>IFERROR(LOOKUP(2,1/('DRAFT 2'!$D:$D=$B105)*('DRAFT 2'!$A:$A&gt;=DATE(2026,12,1))*('DRAFT 2'!$A:$A&lt;DATE(2026,IF(12=12,12+1,12+1),1)),'DRAFT 2'!$A:$A),"")</f>
        <v/>
      </c>
      <c r="IS105">
        <f>COUNTIFS('DRAFT 2'!$D:$D,$B105,'DRAFT 2'!$A:$A,"&gt;="&amp;DATE(2026,12,1),'DRAFT 2'!$A:$A,"&lt;="&amp;DATE(2026,12,7))</f>
        <v/>
      </c>
      <c r="IT105">
        <f>COUNTIFS('DRAFT 2'!$D:$D,$B105,'DRAFT 2'!$A:$A,"&gt;="&amp;DATE(2026,12,8),'DRAFT 2'!$A:$A,"&lt;="&amp;DATE(2026,12,14))</f>
        <v/>
      </c>
      <c r="IU105">
        <f>COUNTIFS('DRAFT 2'!$D:$D,$B105,'DRAFT 2'!$A:$A,"&gt;="&amp;DATE(2026,12,15),'DRAFT 2'!$A:$A,"&lt;="&amp;DATE(2026,12,21))</f>
        <v/>
      </c>
      <c r="IV105">
        <f>COUNTIFS('DRAFT 2'!$D:$D,$B105,'DRAFT 2'!$A:$A,"&gt;="&amp;DATE(2026,12,22),'DRAFT 2'!$A:$A,"&lt;"&amp;DATE(2026,IF(12=12,12+1,12+1),1))</f>
        <v/>
      </c>
      <c r="IW105">
        <f>SUM(IS105:IV105)</f>
        <v/>
      </c>
    </row>
    <row r="106">
      <c r="A106">
        <f>IFERROR(INDEX('DRAFT 1'!$A:$A,MATCH($B106,'DRAFT 1'!$B:$B,0)),"")</f>
        <v/>
      </c>
      <c r="C106">
        <f>IFERROR(INDEX('DRAFT 1'!$C:$C,MATCH($B106,'DRAFT 1'!$B:$B,0)),"")</f>
        <v/>
      </c>
      <c r="D106">
        <f>IFERROR(INDEX('DRAFT 1'!$D:$D,MATCH($B106,'DRAFT 1'!$B:$B,0)),"")</f>
        <v/>
      </c>
      <c r="E106">
        <f>IFERROR(INDEX('DRAFT 1'!$E:$E,MATCH($B106,'DRAFT 1'!$B:$B,0)),"")</f>
        <v/>
      </c>
      <c r="F106">
        <f>IFERROR(INDEX('DRAFT 1'!$F:$F,MATCH($B106,'DRAFT 1'!$B:$B,0)),"")</f>
        <v/>
      </c>
      <c r="G106">
        <f>IFERROR(INDEX('DRAFT 1'!$G:$G,MATCH($B106,'DRAFT 1'!$B:$B,0)),"")</f>
        <v/>
      </c>
      <c r="H106">
        <f>IFERROR(INDEX('DRAFT 1'!$H:$H,MATCH($B106,'DRAFT 1'!$B:$B,0)),"")</f>
        <v/>
      </c>
      <c r="I106" t="inlineStr">
        <is>
          <t>DEMAIS CLIENTES</t>
        </is>
      </c>
      <c r="K106">
        <f>IFERROR(INDEX('DRAFT 1'!$AL:$AL,MATCH($B106,'DRAFT 1'!$B:$B,0)),"")</f>
        <v/>
      </c>
      <c r="L106">
        <f>IFERROR(INDEX('DRAFT 1'!$J:$J,MATCH($B106,'DRAFT 1'!$B:$B,0)),"")</f>
        <v/>
      </c>
      <c r="M106">
        <f>IFERROR(INDEX('DRAFT 1'!$K:$K,MATCH($B106,'DRAFT 1'!$B:$B,0)),"")</f>
        <v/>
      </c>
      <c r="N106" t="inlineStr">
        <is>
          <t>NOVO</t>
        </is>
      </c>
      <c r="P106">
        <f>IFERROR(INDEX('DRAFT 1'!$L:$L,MATCH($B106,'DRAFT 1'!$B:$B,0)),"")</f>
        <v/>
      </c>
      <c r="Q106">
        <f>IFERROR(INDEX('DRAFT 1'!$M:$M,MATCH($B106,'DRAFT 1'!$B:$B,0)),"")</f>
        <v/>
      </c>
      <c r="R106">
        <f>IFERROR(INDEX('DRAFT 1'!$N:$N,MATCH($B106,'DRAFT 1'!$B:$B,0)),"")</f>
        <v/>
      </c>
      <c r="S106">
        <f>IFERROR(INDEX('DRAFT 1'!$O:$O,MATCH($B106,'DRAFT 1'!$B:$B,0)),"")</f>
        <v/>
      </c>
      <c r="T106">
        <f>IFERROR(INDEX('DRAFT 1'!$P:$P,MATCH($B106,'DRAFT 1'!$B:$B,0)),"")</f>
        <v/>
      </c>
      <c r="U106">
        <f>IFERROR(INDEX('DRAFT 1'!$Q:$Q,MATCH($B106,'DRAFT 1'!$B:$B,0)),"")</f>
        <v/>
      </c>
      <c r="V106">
        <f>IFERROR(INDEX('DRAFT 1'!$R:$R,MATCH($B106,'DRAFT 1'!$B:$B,0)),"")</f>
        <v/>
      </c>
      <c r="W106">
        <f>IFERROR(INDEX('DRAFT 1'!$S:$S,MATCH($B106,'DRAFT 1'!$B:$B,0)),"")</f>
        <v/>
      </c>
      <c r="X106">
        <f>IFERROR(INDEX('DRAFT 1'!$T:$T,MATCH($B106,'DRAFT 1'!$B:$B,0)),"")</f>
        <v/>
      </c>
      <c r="Z106">
        <f>IFERROR(INDEX('DRAFT 1'!$U:$U,MATCH($B106,'DRAFT 1'!$B:$B,0)),"")</f>
        <v/>
      </c>
      <c r="AA106">
        <f>IFERROR(INDEX('DRAFT 1'!$V:$V,MATCH($B106,'DRAFT 1'!$B:$B,0)),"")</f>
        <v/>
      </c>
      <c r="AB106">
        <f>IFERROR(INDEX('DRAFT 1'!$W:$W,MATCH($B106,'DRAFT 1'!$B:$B,0)),"")</f>
        <v/>
      </c>
      <c r="AC106">
        <f>IFERROR(INDEX('DRAFT 1'!$X:$X,MATCH($B106,'DRAFT 1'!$B:$B,0)),"")</f>
        <v/>
      </c>
      <c r="AD106">
        <f>IFERROR(INDEX('DRAFT 1'!$Y:$Y,MATCH($B106,'DRAFT 1'!$B:$B,0)),"")</f>
        <v/>
      </c>
      <c r="AE106">
        <f>IFERROR(INDEX('DRAFT 1'!$Z:$Z,MATCH($B106,'DRAFT 1'!$B:$B,0)),"")</f>
        <v/>
      </c>
      <c r="AF106">
        <f>IFERROR(INDEX('DRAFT 1'!$AA:$AA,MATCH($B106,'DRAFT 1'!$B:$B,0)),"")</f>
        <v/>
      </c>
      <c r="AG106">
        <f>IFERROR(INDEX('DRAFT 1'!$AB:$AB,MATCH($B106,'DRAFT 1'!$B:$B,0)),"")</f>
        <v/>
      </c>
      <c r="AH106">
        <f>IFERROR(INDEX('DRAFT 1'!$AC:$AC,MATCH($B106,'DRAFT 1'!$B:$B,0)),"")</f>
        <v/>
      </c>
      <c r="AI106">
        <f>IFERROR(INDEX('DRAFT 1'!$AD:$AD,MATCH($B106,'DRAFT 1'!$B:$B,0)),"")</f>
        <v/>
      </c>
      <c r="AJ106">
        <f>IFERROR(INDEX('DRAFT 1'!$AE:$AE,MATCH($B106,'DRAFT 1'!$B:$B,0)),"")</f>
        <v/>
      </c>
      <c r="AK106">
        <f>IFERROR(INDEX('DRAFT 1'!$AG:$AG,MATCH($B106,'DRAFT 1'!$B:$B,0)),"")</f>
        <v/>
      </c>
      <c r="AL106">
        <f>IFERROR(INDEX('DRAFT 1'!$AH:$AH,MATCH($B106,'DRAFT 1'!$B:$B,0)),"")</f>
        <v/>
      </c>
      <c r="AM106">
        <f>IFERROR(INDEX('DRAFT 1'!$AI:$AI,MATCH($B106,'DRAFT 1'!$B:$B,0)),"")</f>
        <v/>
      </c>
      <c r="AN106">
        <f>IFERROR(INDEX('DRAFT 1'!$AJ:$AJ,MATCH($B106,'DRAFT 1'!$B:$B,0)),"")</f>
        <v/>
      </c>
      <c r="AO106">
        <f>IFERROR(Y106/AN106,0)</f>
        <v/>
      </c>
      <c r="AP106">
        <f>IFERROR(INDEX('DRAFT 1'!$AK:$AK,MATCH($B106,'DRAFT 1'!$B:$B,0)),"")</f>
        <v/>
      </c>
      <c r="AR106" t="inlineStr">
        <is>
          <t>RECOMPRA</t>
        </is>
      </c>
      <c r="AS106">
        <f>IFERROR(LOOKUP(2,1/('DRAFT 2'!$D:$D=$B106),'DRAFT 2'!$T:$T),"")</f>
        <v/>
      </c>
      <c r="AT106">
        <f>IFERROR(LOOKUP(2,1/('DRAFT 2'!$D:$D=$B106),'DRAFT 2'!$A:$A),"")</f>
        <v/>
      </c>
      <c r="AU106">
        <f>IFERROR(LOOKUP(2,1/('DRAFT 2'!$D:$D=$B106),'DRAFT 2'!$R:$R),"")</f>
        <v/>
      </c>
      <c r="AV106">
        <f>IFERROR(LOOKUP(2,1/('DRAFT 2'!$D:$D=$B106),'DRAFT 2'!$S:$S),"")</f>
        <v/>
      </c>
      <c r="AW106" t="inlineStr">
        <is>
          <t>RECORRENTE</t>
        </is>
      </c>
      <c r="AX106">
        <f>IFERROR(LOOKUP(2,1/('DRAFT 2'!$D:$D=$B106),'DRAFT 2'!$M:$M),"")</f>
        <v/>
      </c>
      <c r="AY106">
        <f>IFERROR(LOOKUP(2,1/('DRAFT 2'!$D:$D=$B106),'DRAFT 2'!$K:$K),"")</f>
        <v/>
      </c>
      <c r="BG106">
        <f>IFERROR(LOOKUP(2,1/('DRAFT 2'!$D:$D=$B106),'DRAFT 2'!$U:$U),"")</f>
        <v/>
      </c>
      <c r="BH106">
        <f>IFERROR(LOOKUP(2,1/('DRAFT 2'!$D:$D=$B106),'DRAFT 2'!$V:$V),"")</f>
        <v/>
      </c>
      <c r="CE106">
        <f>IFERROR(AJ106,0)</f>
        <v/>
      </c>
      <c r="CF106">
        <f>IFERROR(LOOKUP(2,1/('DRAFT 2'!$D:$D=$B106)*('DRAFT 2'!$A:$A&gt;=DATE(2026,1,1))*('DRAFT 2'!$A:$A&lt;DATE(2026,IF(1=12,1+1,1+1),1)),'DRAFT 2'!$A:$A),"")</f>
        <v/>
      </c>
      <c r="CG106">
        <f>COUNTIFS('DRAFT 2'!$D:$D,$B106,'DRAFT 2'!$A:$A,"&gt;="&amp;DATE(2026,1,1),'DRAFT 2'!$A:$A,"&lt;="&amp;DATE(2026,1,7))</f>
        <v/>
      </c>
      <c r="CH106">
        <f>COUNTIFS('DRAFT 2'!$D:$D,$B106,'DRAFT 2'!$A:$A,"&gt;="&amp;DATE(2026,1,8),'DRAFT 2'!$A:$A,"&lt;="&amp;DATE(2026,1,14))</f>
        <v/>
      </c>
      <c r="CI106">
        <f>COUNTIFS('DRAFT 2'!$D:$D,$B106,'DRAFT 2'!$A:$A,"&gt;="&amp;DATE(2026,1,15),'DRAFT 2'!$A:$A,"&lt;="&amp;DATE(2026,1,21))</f>
        <v/>
      </c>
      <c r="CJ106">
        <f>COUNTIFS('DRAFT 2'!$D:$D,$B106,'DRAFT 2'!$A:$A,"&gt;="&amp;DATE(2026,1,22),'DRAFT 2'!$A:$A,"&lt;"&amp;DATE(2026,IF(1=12,1+1,1+1),1))</f>
        <v/>
      </c>
      <c r="CK106">
        <f>SUM(CG106:CJ106)</f>
        <v/>
      </c>
      <c r="CT106" t="n">
        <v>0</v>
      </c>
      <c r="CU106">
        <f>IFERROR(LOOKUP(2,1/('DRAFT 2'!$D:$D=$B106)*('DRAFT 2'!$A:$A&gt;=DATE(2026,2,1))*('DRAFT 2'!$A:$A&lt;DATE(2026,IF(2=12,2+1,2+1),1)),'DRAFT 2'!$A:$A),"")</f>
        <v/>
      </c>
      <c r="CV106">
        <f>COUNTIFS('DRAFT 2'!$D:$D,$B106,'DRAFT 2'!$A:$A,"&gt;="&amp;DATE(2026,2,1),'DRAFT 2'!$A:$A,"&lt;="&amp;DATE(2026,2,7))</f>
        <v/>
      </c>
      <c r="CW106">
        <f>COUNTIFS('DRAFT 2'!$D:$D,$B106,'DRAFT 2'!$A:$A,"&gt;="&amp;DATE(2026,2,8),'DRAFT 2'!$A:$A,"&lt;="&amp;DATE(2026,2,14))</f>
        <v/>
      </c>
      <c r="CX106">
        <f>COUNTIFS('DRAFT 2'!$D:$D,$B106,'DRAFT 2'!$A:$A,"&gt;="&amp;DATE(2026,2,15),'DRAFT 2'!$A:$A,"&lt;="&amp;DATE(2026,2,21))</f>
        <v/>
      </c>
      <c r="CY106">
        <f>COUNTIFS('DRAFT 2'!$D:$D,$B106,'DRAFT 2'!$A:$A,"&gt;="&amp;DATE(2026,2,22),'DRAFT 2'!$A:$A,"&lt;"&amp;DATE(2026,IF(2=12,2+1,2+1),1))</f>
        <v/>
      </c>
      <c r="CZ106">
        <f>SUM(CV106:CY106)</f>
        <v/>
      </c>
      <c r="DJ106">
        <f>IFERROR(LOOKUP(2,1/('DRAFT 2'!$D:$D=$B106)*('DRAFT 2'!$A:$A&gt;=DATE(2026,3,1))*('DRAFT 2'!$A:$A&lt;DATE(2026,IF(3=12,3+1,3+1),1)),'DRAFT 2'!$A:$A),"")</f>
        <v/>
      </c>
      <c r="DK106">
        <f>COUNTIFS('DRAFT 2'!$D:$D,$B106,'DRAFT 2'!$A:$A,"&gt;="&amp;DATE(2026,3,1),'DRAFT 2'!$A:$A,"&lt;="&amp;DATE(2026,3,7))</f>
        <v/>
      </c>
      <c r="DL106">
        <f>COUNTIFS('DRAFT 2'!$D:$D,$B106,'DRAFT 2'!$A:$A,"&gt;="&amp;DATE(2026,3,8),'DRAFT 2'!$A:$A,"&lt;="&amp;DATE(2026,3,14))</f>
        <v/>
      </c>
      <c r="DM106">
        <f>COUNTIFS('DRAFT 2'!$D:$D,$B106,'DRAFT 2'!$A:$A,"&gt;="&amp;DATE(2026,3,15),'DRAFT 2'!$A:$A,"&lt;="&amp;DATE(2026,3,21))</f>
        <v/>
      </c>
      <c r="DN106">
        <f>COUNTIFS('DRAFT 2'!$D:$D,$B106,'DRAFT 2'!$A:$A,"&gt;="&amp;DATE(2026,3,22),'DRAFT 2'!$A:$A,"&lt;"&amp;DATE(2026,IF(3=12,3+1,3+1),1))</f>
        <v/>
      </c>
      <c r="DO106">
        <f>SUM(DK106:DN106)</f>
        <v/>
      </c>
      <c r="DZ106">
        <f>IFERROR(LOOKUP(2,1/('DRAFT 2'!$D:$D=$B106)*('DRAFT 2'!$A:$A&gt;=DATE(2026,4,1))*('DRAFT 2'!$A:$A&lt;DATE(2026,IF(4=12,4+1,4+1),1)),'DRAFT 2'!$A:$A),"")</f>
        <v/>
      </c>
      <c r="EA106">
        <f>COUNTIFS('DRAFT 2'!$D:$D,$B106,'DRAFT 2'!$A:$A,"&gt;="&amp;DATE(2026,4,1),'DRAFT 2'!$A:$A,"&lt;="&amp;DATE(2026,4,7))</f>
        <v/>
      </c>
      <c r="EB106">
        <f>COUNTIFS('DRAFT 2'!$D:$D,$B106,'DRAFT 2'!$A:$A,"&gt;="&amp;DATE(2026,4,8),'DRAFT 2'!$A:$A,"&lt;="&amp;DATE(2026,4,14))</f>
        <v/>
      </c>
      <c r="EC106">
        <f>COUNTIFS('DRAFT 2'!$D:$D,$B106,'DRAFT 2'!$A:$A,"&gt;="&amp;DATE(2026,4,15),'DRAFT 2'!$A:$A,"&lt;="&amp;DATE(2026,4,21))</f>
        <v/>
      </c>
      <c r="ED106">
        <f>COUNTIFS('DRAFT 2'!$D:$D,$B106,'DRAFT 2'!$A:$A,"&gt;="&amp;DATE(2026,4,22),'DRAFT 2'!$A:$A,"&lt;"&amp;DATE(2026,IF(4=12,4+1,4+1),1))</f>
        <v/>
      </c>
      <c r="EE106">
        <f>SUM(EA106:ED106)</f>
        <v/>
      </c>
      <c r="EO106">
        <f>IFERROR(LOOKUP(2,1/('DRAFT 2'!$D:$D=$B106)*('DRAFT 2'!$A:$A&gt;=DATE(2026,5,1))*('DRAFT 2'!$A:$A&lt;DATE(2026,IF(5=12,5+1,5+1),1)),'DRAFT 2'!$A:$A),"")</f>
        <v/>
      </c>
      <c r="EP106">
        <f>COUNTIFS('DRAFT 2'!$D:$D,$B106,'DRAFT 2'!$A:$A,"&gt;="&amp;DATE(2026,5,1),'DRAFT 2'!$A:$A,"&lt;="&amp;DATE(2026,5,7))</f>
        <v/>
      </c>
      <c r="EQ106">
        <f>COUNTIFS('DRAFT 2'!$D:$D,$B106,'DRAFT 2'!$A:$A,"&gt;="&amp;DATE(2026,5,8),'DRAFT 2'!$A:$A,"&lt;="&amp;DATE(2026,5,14))</f>
        <v/>
      </c>
      <c r="ER106">
        <f>COUNTIFS('DRAFT 2'!$D:$D,$B106,'DRAFT 2'!$A:$A,"&gt;="&amp;DATE(2026,5,15),'DRAFT 2'!$A:$A,"&lt;="&amp;DATE(2026,5,21))</f>
        <v/>
      </c>
      <c r="ES106">
        <f>COUNTIFS('DRAFT 2'!$D:$D,$B106,'DRAFT 2'!$A:$A,"&gt;="&amp;DATE(2026,5,22),'DRAFT 2'!$A:$A,"&lt;"&amp;DATE(2026,IF(5=12,5+1,5+1),1))</f>
        <v/>
      </c>
      <c r="ET106">
        <f>SUM(EP106:ES106)</f>
        <v/>
      </c>
      <c r="FD106">
        <f>IFERROR(LOOKUP(2,1/('DRAFT 2'!$D:$D=$B106)*('DRAFT 2'!$A:$A&gt;=DATE(2026,6,1))*('DRAFT 2'!$A:$A&lt;DATE(2026,IF(6=12,6+1,6+1),1)),'DRAFT 2'!$A:$A),"")</f>
        <v/>
      </c>
      <c r="FE106">
        <f>COUNTIFS('DRAFT 2'!$D:$D,$B106,'DRAFT 2'!$A:$A,"&gt;="&amp;DATE(2026,6,1),'DRAFT 2'!$A:$A,"&lt;="&amp;DATE(2026,6,7))</f>
        <v/>
      </c>
      <c r="FF106">
        <f>COUNTIFS('DRAFT 2'!$D:$D,$B106,'DRAFT 2'!$A:$A,"&gt;="&amp;DATE(2026,6,8),'DRAFT 2'!$A:$A,"&lt;="&amp;DATE(2026,6,14))</f>
        <v/>
      </c>
      <c r="FG106">
        <f>COUNTIFS('DRAFT 2'!$D:$D,$B106,'DRAFT 2'!$A:$A,"&gt;="&amp;DATE(2026,6,15),'DRAFT 2'!$A:$A,"&lt;="&amp;DATE(2026,6,21))</f>
        <v/>
      </c>
      <c r="FH106">
        <f>COUNTIFS('DRAFT 2'!$D:$D,$B106,'DRAFT 2'!$A:$A,"&gt;="&amp;DATE(2026,6,22),'DRAFT 2'!$A:$A,"&lt;"&amp;DATE(2026,IF(6=12,6+1,6+1),1))</f>
        <v/>
      </c>
      <c r="FI106">
        <f>SUM(FE106:FH106)</f>
        <v/>
      </c>
      <c r="FT106">
        <f>IFERROR(LOOKUP(2,1/('DRAFT 2'!$D:$D=$B106)*('DRAFT 2'!$A:$A&gt;=DATE(2026,7,1))*('DRAFT 2'!$A:$A&lt;DATE(2026,IF(7=12,7+1,7+1),1)),'DRAFT 2'!$A:$A),"")</f>
        <v/>
      </c>
      <c r="FU106">
        <f>COUNTIFS('DRAFT 2'!$D:$D,$B106,'DRAFT 2'!$A:$A,"&gt;="&amp;DATE(2026,7,1),'DRAFT 2'!$A:$A,"&lt;="&amp;DATE(2026,7,7))</f>
        <v/>
      </c>
      <c r="FV106">
        <f>COUNTIFS('DRAFT 2'!$D:$D,$B106,'DRAFT 2'!$A:$A,"&gt;="&amp;DATE(2026,7,8),'DRAFT 2'!$A:$A,"&lt;="&amp;DATE(2026,7,14))</f>
        <v/>
      </c>
      <c r="FW106">
        <f>COUNTIFS('DRAFT 2'!$D:$D,$B106,'DRAFT 2'!$A:$A,"&gt;="&amp;DATE(2026,7,15),'DRAFT 2'!$A:$A,"&lt;="&amp;DATE(2026,7,21))</f>
        <v/>
      </c>
      <c r="FX106">
        <f>COUNTIFS('DRAFT 2'!$D:$D,$B106,'DRAFT 2'!$A:$A,"&gt;="&amp;DATE(2026,7,22),'DRAFT 2'!$A:$A,"&lt;"&amp;DATE(2026,IF(7=12,7+1,7+1),1))</f>
        <v/>
      </c>
      <c r="FY106">
        <f>SUM(FU106:FX106)</f>
        <v/>
      </c>
      <c r="GI106">
        <f>IFERROR(LOOKUP(2,1/('DRAFT 2'!$D:$D=$B106)*('DRAFT 2'!$A:$A&gt;=DATE(2026,8,1))*('DRAFT 2'!$A:$A&lt;DATE(2026,IF(8=12,8+1,8+1),1)),'DRAFT 2'!$A:$A),"")</f>
        <v/>
      </c>
      <c r="GJ106">
        <f>COUNTIFS('DRAFT 2'!$D:$D,$B106,'DRAFT 2'!$A:$A,"&gt;="&amp;DATE(2026,8,1),'DRAFT 2'!$A:$A,"&lt;="&amp;DATE(2026,8,7))</f>
        <v/>
      </c>
      <c r="GK106">
        <f>COUNTIFS('DRAFT 2'!$D:$D,$B106,'DRAFT 2'!$A:$A,"&gt;="&amp;DATE(2026,8,8),'DRAFT 2'!$A:$A,"&lt;="&amp;DATE(2026,8,14))</f>
        <v/>
      </c>
      <c r="GL106">
        <f>COUNTIFS('DRAFT 2'!$D:$D,$B106,'DRAFT 2'!$A:$A,"&gt;="&amp;DATE(2026,8,15),'DRAFT 2'!$A:$A,"&lt;="&amp;DATE(2026,8,21))</f>
        <v/>
      </c>
      <c r="GM106">
        <f>COUNTIFS('DRAFT 2'!$D:$D,$B106,'DRAFT 2'!$A:$A,"&gt;="&amp;DATE(2026,8,22),'DRAFT 2'!$A:$A,"&lt;"&amp;DATE(2026,IF(8=12,8+1,8+1),1))</f>
        <v/>
      </c>
      <c r="GN106">
        <f>SUM(GJ106:GM106)</f>
        <v/>
      </c>
      <c r="GX106">
        <f>IFERROR(LOOKUP(2,1/('DRAFT 2'!$D:$D=$B106)*('DRAFT 2'!$A:$A&gt;=DATE(2026,9,1))*('DRAFT 2'!$A:$A&lt;DATE(2026,IF(9=12,9+1,9+1),1)),'DRAFT 2'!$A:$A),"")</f>
        <v/>
      </c>
      <c r="GY106">
        <f>COUNTIFS('DRAFT 2'!$D:$D,$B106,'DRAFT 2'!$A:$A,"&gt;="&amp;DATE(2026,9,1),'DRAFT 2'!$A:$A,"&lt;="&amp;DATE(2026,9,7))</f>
        <v/>
      </c>
      <c r="GZ106">
        <f>COUNTIFS('DRAFT 2'!$D:$D,$B106,'DRAFT 2'!$A:$A,"&gt;="&amp;DATE(2026,9,8),'DRAFT 2'!$A:$A,"&lt;="&amp;DATE(2026,9,14))</f>
        <v/>
      </c>
      <c r="HA106">
        <f>COUNTIFS('DRAFT 2'!$D:$D,$B106,'DRAFT 2'!$A:$A,"&gt;="&amp;DATE(2026,9,15),'DRAFT 2'!$A:$A,"&lt;="&amp;DATE(2026,9,21))</f>
        <v/>
      </c>
      <c r="HB106">
        <f>COUNTIFS('DRAFT 2'!$D:$D,$B106,'DRAFT 2'!$A:$A,"&gt;="&amp;DATE(2026,9,22),'DRAFT 2'!$A:$A,"&lt;"&amp;DATE(2026,IF(9=12,9+1,9+1),1))</f>
        <v/>
      </c>
      <c r="HC106">
        <f>SUM(GY106:HB106)</f>
        <v/>
      </c>
      <c r="HN106">
        <f>IFERROR(LOOKUP(2,1/('DRAFT 2'!$D:$D=$B106)*('DRAFT 2'!$A:$A&gt;=DATE(2026,10,1))*('DRAFT 2'!$A:$A&lt;DATE(2026,IF(10=12,10+1,10+1),1)),'DRAFT 2'!$A:$A),"")</f>
        <v/>
      </c>
      <c r="HO106">
        <f>COUNTIFS('DRAFT 2'!$D:$D,$B106,'DRAFT 2'!$A:$A,"&gt;="&amp;DATE(2026,10,1),'DRAFT 2'!$A:$A,"&lt;="&amp;DATE(2026,10,7))</f>
        <v/>
      </c>
      <c r="HP106">
        <f>COUNTIFS('DRAFT 2'!$D:$D,$B106,'DRAFT 2'!$A:$A,"&gt;="&amp;DATE(2026,10,8),'DRAFT 2'!$A:$A,"&lt;="&amp;DATE(2026,10,14))</f>
        <v/>
      </c>
      <c r="HQ106">
        <f>COUNTIFS('DRAFT 2'!$D:$D,$B106,'DRAFT 2'!$A:$A,"&gt;="&amp;DATE(2026,10,15),'DRAFT 2'!$A:$A,"&lt;="&amp;DATE(2026,10,21))</f>
        <v/>
      </c>
      <c r="HR106">
        <f>COUNTIFS('DRAFT 2'!$D:$D,$B106,'DRAFT 2'!$A:$A,"&gt;="&amp;DATE(2026,10,22),'DRAFT 2'!$A:$A,"&lt;"&amp;DATE(2026,IF(10=12,10+1,10+1),1))</f>
        <v/>
      </c>
      <c r="HS106">
        <f>SUM(HO106:HR106)</f>
        <v/>
      </c>
      <c r="IC106">
        <f>IFERROR(LOOKUP(2,1/('DRAFT 2'!$D:$D=$B106)*('DRAFT 2'!$A:$A&gt;=DATE(2026,11,1))*('DRAFT 2'!$A:$A&lt;DATE(2026,IF(11=12,11+1,11+1),1)),'DRAFT 2'!$A:$A),"")</f>
        <v/>
      </c>
      <c r="ID106">
        <f>COUNTIFS('DRAFT 2'!$D:$D,$B106,'DRAFT 2'!$A:$A,"&gt;="&amp;DATE(2026,11,1),'DRAFT 2'!$A:$A,"&lt;="&amp;DATE(2026,11,7))</f>
        <v/>
      </c>
      <c r="IE106">
        <f>COUNTIFS('DRAFT 2'!$D:$D,$B106,'DRAFT 2'!$A:$A,"&gt;="&amp;DATE(2026,11,8),'DRAFT 2'!$A:$A,"&lt;="&amp;DATE(2026,11,14))</f>
        <v/>
      </c>
      <c r="IF106">
        <f>COUNTIFS('DRAFT 2'!$D:$D,$B106,'DRAFT 2'!$A:$A,"&gt;="&amp;DATE(2026,11,15),'DRAFT 2'!$A:$A,"&lt;="&amp;DATE(2026,11,21))</f>
        <v/>
      </c>
      <c r="IG106">
        <f>COUNTIFS('DRAFT 2'!$D:$D,$B106,'DRAFT 2'!$A:$A,"&gt;="&amp;DATE(2026,11,22),'DRAFT 2'!$A:$A,"&lt;"&amp;DATE(2026,IF(11=12,11+1,11+1),1))</f>
        <v/>
      </c>
      <c r="IH106">
        <f>SUM(ID106:IG106)</f>
        <v/>
      </c>
      <c r="IR106">
        <f>IFERROR(LOOKUP(2,1/('DRAFT 2'!$D:$D=$B106)*('DRAFT 2'!$A:$A&gt;=DATE(2026,12,1))*('DRAFT 2'!$A:$A&lt;DATE(2026,IF(12=12,12+1,12+1),1)),'DRAFT 2'!$A:$A),"")</f>
        <v/>
      </c>
      <c r="IS106">
        <f>COUNTIFS('DRAFT 2'!$D:$D,$B106,'DRAFT 2'!$A:$A,"&gt;="&amp;DATE(2026,12,1),'DRAFT 2'!$A:$A,"&lt;="&amp;DATE(2026,12,7))</f>
        <v/>
      </c>
      <c r="IT106">
        <f>COUNTIFS('DRAFT 2'!$D:$D,$B106,'DRAFT 2'!$A:$A,"&gt;="&amp;DATE(2026,12,8),'DRAFT 2'!$A:$A,"&lt;="&amp;DATE(2026,12,14))</f>
        <v/>
      </c>
      <c r="IU106">
        <f>COUNTIFS('DRAFT 2'!$D:$D,$B106,'DRAFT 2'!$A:$A,"&gt;="&amp;DATE(2026,12,15),'DRAFT 2'!$A:$A,"&lt;="&amp;DATE(2026,12,21))</f>
        <v/>
      </c>
      <c r="IV106">
        <f>COUNTIFS('DRAFT 2'!$D:$D,$B106,'DRAFT 2'!$A:$A,"&gt;="&amp;DATE(2026,12,22),'DRAFT 2'!$A:$A,"&lt;"&amp;DATE(2026,IF(12=12,12+1,12+1),1))</f>
        <v/>
      </c>
      <c r="IW106">
        <f>SUM(IS106:IV106)</f>
        <v/>
      </c>
    </row>
    <row r="107">
      <c r="A107">
        <f>IFERROR(INDEX('DRAFT 1'!$A:$A,MATCH($B107,'DRAFT 1'!$B:$B,0)),"")</f>
        <v/>
      </c>
      <c r="C107">
        <f>IFERROR(INDEX('DRAFT 1'!$C:$C,MATCH($B107,'DRAFT 1'!$B:$B,0)),"")</f>
        <v/>
      </c>
      <c r="D107">
        <f>IFERROR(INDEX('DRAFT 1'!$D:$D,MATCH($B107,'DRAFT 1'!$B:$B,0)),"")</f>
        <v/>
      </c>
      <c r="E107">
        <f>IFERROR(INDEX('DRAFT 1'!$E:$E,MATCH($B107,'DRAFT 1'!$B:$B,0)),"")</f>
        <v/>
      </c>
      <c r="F107">
        <f>IFERROR(INDEX('DRAFT 1'!$F:$F,MATCH($B107,'DRAFT 1'!$B:$B,0)),"")</f>
        <v/>
      </c>
      <c r="G107">
        <f>IFERROR(INDEX('DRAFT 1'!$G:$G,MATCH($B107,'DRAFT 1'!$B:$B,0)),"")</f>
        <v/>
      </c>
      <c r="H107">
        <f>IFERROR(INDEX('DRAFT 1'!$H:$H,MATCH($B107,'DRAFT 1'!$B:$B,0)),"")</f>
        <v/>
      </c>
      <c r="I107" t="inlineStr">
        <is>
          <t>MUNDO VERDE</t>
        </is>
      </c>
      <c r="K107">
        <f>IFERROR(INDEX('DRAFT 1'!$AL:$AL,MATCH($B107,'DRAFT 1'!$B:$B,0)),"")</f>
        <v/>
      </c>
      <c r="L107">
        <f>IFERROR(INDEX('DRAFT 1'!$J:$J,MATCH($B107,'DRAFT 1'!$B:$B,0)),"")</f>
        <v/>
      </c>
      <c r="M107">
        <f>IFERROR(INDEX('DRAFT 1'!$K:$K,MATCH($B107,'DRAFT 1'!$B:$B,0)),"")</f>
        <v/>
      </c>
      <c r="N107" t="inlineStr">
        <is>
          <t>INAT.ANT</t>
        </is>
      </c>
      <c r="P107">
        <f>IFERROR(INDEX('DRAFT 1'!$L:$L,MATCH($B107,'DRAFT 1'!$B:$B,0)),"")</f>
        <v/>
      </c>
      <c r="Q107">
        <f>IFERROR(INDEX('DRAFT 1'!$M:$M,MATCH($B107,'DRAFT 1'!$B:$B,0)),"")</f>
        <v/>
      </c>
      <c r="R107">
        <f>IFERROR(INDEX('DRAFT 1'!$N:$N,MATCH($B107,'DRAFT 1'!$B:$B,0)),"")</f>
        <v/>
      </c>
      <c r="S107">
        <f>IFERROR(INDEX('DRAFT 1'!$O:$O,MATCH($B107,'DRAFT 1'!$B:$B,0)),"")</f>
        <v/>
      </c>
      <c r="T107">
        <f>IFERROR(INDEX('DRAFT 1'!$P:$P,MATCH($B107,'DRAFT 1'!$B:$B,0)),"")</f>
        <v/>
      </c>
      <c r="U107">
        <f>IFERROR(INDEX('DRAFT 1'!$Q:$Q,MATCH($B107,'DRAFT 1'!$B:$B,0)),"")</f>
        <v/>
      </c>
      <c r="V107">
        <f>IFERROR(INDEX('DRAFT 1'!$R:$R,MATCH($B107,'DRAFT 1'!$B:$B,0)),"")</f>
        <v/>
      </c>
      <c r="W107">
        <f>IFERROR(INDEX('DRAFT 1'!$S:$S,MATCH($B107,'DRAFT 1'!$B:$B,0)),"")</f>
        <v/>
      </c>
      <c r="X107">
        <f>IFERROR(INDEX('DRAFT 1'!$T:$T,MATCH($B107,'DRAFT 1'!$B:$B,0)),"")</f>
        <v/>
      </c>
      <c r="Z107">
        <f>IFERROR(INDEX('DRAFT 1'!$U:$U,MATCH($B107,'DRAFT 1'!$B:$B,0)),"")</f>
        <v/>
      </c>
      <c r="AA107">
        <f>IFERROR(INDEX('DRAFT 1'!$V:$V,MATCH($B107,'DRAFT 1'!$B:$B,0)),"")</f>
        <v/>
      </c>
      <c r="AB107">
        <f>IFERROR(INDEX('DRAFT 1'!$W:$W,MATCH($B107,'DRAFT 1'!$B:$B,0)),"")</f>
        <v/>
      </c>
      <c r="AC107">
        <f>IFERROR(INDEX('DRAFT 1'!$X:$X,MATCH($B107,'DRAFT 1'!$B:$B,0)),"")</f>
        <v/>
      </c>
      <c r="AD107">
        <f>IFERROR(INDEX('DRAFT 1'!$Y:$Y,MATCH($B107,'DRAFT 1'!$B:$B,0)),"")</f>
        <v/>
      </c>
      <c r="AE107">
        <f>IFERROR(INDEX('DRAFT 1'!$Z:$Z,MATCH($B107,'DRAFT 1'!$B:$B,0)),"")</f>
        <v/>
      </c>
      <c r="AF107">
        <f>IFERROR(INDEX('DRAFT 1'!$AA:$AA,MATCH($B107,'DRAFT 1'!$B:$B,0)),"")</f>
        <v/>
      </c>
      <c r="AG107">
        <f>IFERROR(INDEX('DRAFT 1'!$AB:$AB,MATCH($B107,'DRAFT 1'!$B:$B,0)),"")</f>
        <v/>
      </c>
      <c r="AH107">
        <f>IFERROR(INDEX('DRAFT 1'!$AC:$AC,MATCH($B107,'DRAFT 1'!$B:$B,0)),"")</f>
        <v/>
      </c>
      <c r="AI107">
        <f>IFERROR(INDEX('DRAFT 1'!$AD:$AD,MATCH($B107,'DRAFT 1'!$B:$B,0)),"")</f>
        <v/>
      </c>
      <c r="AJ107">
        <f>IFERROR(INDEX('DRAFT 1'!$AE:$AE,MATCH($B107,'DRAFT 1'!$B:$B,0)),"")</f>
        <v/>
      </c>
      <c r="AK107">
        <f>IFERROR(INDEX('DRAFT 1'!$AG:$AG,MATCH($B107,'DRAFT 1'!$B:$B,0)),"")</f>
        <v/>
      </c>
      <c r="AL107">
        <f>IFERROR(INDEX('DRAFT 1'!$AH:$AH,MATCH($B107,'DRAFT 1'!$B:$B,0)),"")</f>
        <v/>
      </c>
      <c r="AM107">
        <f>IFERROR(INDEX('DRAFT 1'!$AI:$AI,MATCH($B107,'DRAFT 1'!$B:$B,0)),"")</f>
        <v/>
      </c>
      <c r="AN107">
        <f>IFERROR(INDEX('DRAFT 1'!$AJ:$AJ,MATCH($B107,'DRAFT 1'!$B:$B,0)),"")</f>
        <v/>
      </c>
      <c r="AO107">
        <f>IFERROR(Y107/AN107,0)</f>
        <v/>
      </c>
      <c r="AP107">
        <f>IFERROR(INDEX('DRAFT 1'!$AK:$AK,MATCH($B107,'DRAFT 1'!$B:$B,0)),"")</f>
        <v/>
      </c>
      <c r="AR107" t="inlineStr">
        <is>
          <t>RECOMPRA</t>
        </is>
      </c>
      <c r="AS107">
        <f>IFERROR(LOOKUP(2,1/('DRAFT 2'!$D:$D=$B107),'DRAFT 2'!$T:$T),"")</f>
        <v/>
      </c>
      <c r="AT107">
        <f>IFERROR(LOOKUP(2,1/('DRAFT 2'!$D:$D=$B107),'DRAFT 2'!$A:$A),"")</f>
        <v/>
      </c>
      <c r="AU107">
        <f>IFERROR(LOOKUP(2,1/('DRAFT 2'!$D:$D=$B107),'DRAFT 2'!$R:$R),"")</f>
        <v/>
      </c>
      <c r="AV107">
        <f>IFERROR(LOOKUP(2,1/('DRAFT 2'!$D:$D=$B107),'DRAFT 2'!$S:$S),"")</f>
        <v/>
      </c>
      <c r="AW107" t="inlineStr">
        <is>
          <t>FIDELIZADO</t>
        </is>
      </c>
      <c r="AX107">
        <f>IFERROR(LOOKUP(2,1/('DRAFT 2'!$D:$D=$B107),'DRAFT 2'!$M:$M),"")</f>
        <v/>
      </c>
      <c r="AY107">
        <f>IFERROR(LOOKUP(2,1/('DRAFT 2'!$D:$D=$B107),'DRAFT 2'!$K:$K),"")</f>
        <v/>
      </c>
      <c r="BG107">
        <f>IFERROR(LOOKUP(2,1/('DRAFT 2'!$D:$D=$B107),'DRAFT 2'!$U:$U),"")</f>
        <v/>
      </c>
      <c r="BH107">
        <f>IFERROR(LOOKUP(2,1/('DRAFT 2'!$D:$D=$B107),'DRAFT 2'!$V:$V),"")</f>
        <v/>
      </c>
      <c r="CE107">
        <f>IFERROR(AJ107,0)</f>
        <v/>
      </c>
      <c r="CF107">
        <f>IFERROR(LOOKUP(2,1/('DRAFT 2'!$D:$D=$B107)*('DRAFT 2'!$A:$A&gt;=DATE(2026,1,1))*('DRAFT 2'!$A:$A&lt;DATE(2026,IF(1=12,1+1,1+1),1)),'DRAFT 2'!$A:$A),"")</f>
        <v/>
      </c>
      <c r="CG107">
        <f>COUNTIFS('DRAFT 2'!$D:$D,$B107,'DRAFT 2'!$A:$A,"&gt;="&amp;DATE(2026,1,1),'DRAFT 2'!$A:$A,"&lt;="&amp;DATE(2026,1,7))</f>
        <v/>
      </c>
      <c r="CH107">
        <f>COUNTIFS('DRAFT 2'!$D:$D,$B107,'DRAFT 2'!$A:$A,"&gt;="&amp;DATE(2026,1,8),'DRAFT 2'!$A:$A,"&lt;="&amp;DATE(2026,1,14))</f>
        <v/>
      </c>
      <c r="CI107">
        <f>COUNTIFS('DRAFT 2'!$D:$D,$B107,'DRAFT 2'!$A:$A,"&gt;="&amp;DATE(2026,1,15),'DRAFT 2'!$A:$A,"&lt;="&amp;DATE(2026,1,21))</f>
        <v/>
      </c>
      <c r="CJ107">
        <f>COUNTIFS('DRAFT 2'!$D:$D,$B107,'DRAFT 2'!$A:$A,"&gt;="&amp;DATE(2026,1,22),'DRAFT 2'!$A:$A,"&lt;"&amp;DATE(2026,IF(1=12,1+1,1+1),1))</f>
        <v/>
      </c>
      <c r="CK107">
        <f>SUM(CG107:CJ107)</f>
        <v/>
      </c>
      <c r="CT107" t="n">
        <v>0</v>
      </c>
      <c r="CU107">
        <f>IFERROR(LOOKUP(2,1/('DRAFT 2'!$D:$D=$B107)*('DRAFT 2'!$A:$A&gt;=DATE(2026,2,1))*('DRAFT 2'!$A:$A&lt;DATE(2026,IF(2=12,2+1,2+1),1)),'DRAFT 2'!$A:$A),"")</f>
        <v/>
      </c>
      <c r="CV107">
        <f>COUNTIFS('DRAFT 2'!$D:$D,$B107,'DRAFT 2'!$A:$A,"&gt;="&amp;DATE(2026,2,1),'DRAFT 2'!$A:$A,"&lt;="&amp;DATE(2026,2,7))</f>
        <v/>
      </c>
      <c r="CW107">
        <f>COUNTIFS('DRAFT 2'!$D:$D,$B107,'DRAFT 2'!$A:$A,"&gt;="&amp;DATE(2026,2,8),'DRAFT 2'!$A:$A,"&lt;="&amp;DATE(2026,2,14))</f>
        <v/>
      </c>
      <c r="CX107">
        <f>COUNTIFS('DRAFT 2'!$D:$D,$B107,'DRAFT 2'!$A:$A,"&gt;="&amp;DATE(2026,2,15),'DRAFT 2'!$A:$A,"&lt;="&amp;DATE(2026,2,21))</f>
        <v/>
      </c>
      <c r="CY107">
        <f>COUNTIFS('DRAFT 2'!$D:$D,$B107,'DRAFT 2'!$A:$A,"&gt;="&amp;DATE(2026,2,22),'DRAFT 2'!$A:$A,"&lt;"&amp;DATE(2026,IF(2=12,2+1,2+1),1))</f>
        <v/>
      </c>
      <c r="CZ107">
        <f>SUM(CV107:CY107)</f>
        <v/>
      </c>
      <c r="DJ107">
        <f>IFERROR(LOOKUP(2,1/('DRAFT 2'!$D:$D=$B107)*('DRAFT 2'!$A:$A&gt;=DATE(2026,3,1))*('DRAFT 2'!$A:$A&lt;DATE(2026,IF(3=12,3+1,3+1),1)),'DRAFT 2'!$A:$A),"")</f>
        <v/>
      </c>
      <c r="DK107">
        <f>COUNTIFS('DRAFT 2'!$D:$D,$B107,'DRAFT 2'!$A:$A,"&gt;="&amp;DATE(2026,3,1),'DRAFT 2'!$A:$A,"&lt;="&amp;DATE(2026,3,7))</f>
        <v/>
      </c>
      <c r="DL107">
        <f>COUNTIFS('DRAFT 2'!$D:$D,$B107,'DRAFT 2'!$A:$A,"&gt;="&amp;DATE(2026,3,8),'DRAFT 2'!$A:$A,"&lt;="&amp;DATE(2026,3,14))</f>
        <v/>
      </c>
      <c r="DM107">
        <f>COUNTIFS('DRAFT 2'!$D:$D,$B107,'DRAFT 2'!$A:$A,"&gt;="&amp;DATE(2026,3,15),'DRAFT 2'!$A:$A,"&lt;="&amp;DATE(2026,3,21))</f>
        <v/>
      </c>
      <c r="DN107">
        <f>COUNTIFS('DRAFT 2'!$D:$D,$B107,'DRAFT 2'!$A:$A,"&gt;="&amp;DATE(2026,3,22),'DRAFT 2'!$A:$A,"&lt;"&amp;DATE(2026,IF(3=12,3+1,3+1),1))</f>
        <v/>
      </c>
      <c r="DO107">
        <f>SUM(DK107:DN107)</f>
        <v/>
      </c>
      <c r="DZ107">
        <f>IFERROR(LOOKUP(2,1/('DRAFT 2'!$D:$D=$B107)*('DRAFT 2'!$A:$A&gt;=DATE(2026,4,1))*('DRAFT 2'!$A:$A&lt;DATE(2026,IF(4=12,4+1,4+1),1)),'DRAFT 2'!$A:$A),"")</f>
        <v/>
      </c>
      <c r="EA107">
        <f>COUNTIFS('DRAFT 2'!$D:$D,$B107,'DRAFT 2'!$A:$A,"&gt;="&amp;DATE(2026,4,1),'DRAFT 2'!$A:$A,"&lt;="&amp;DATE(2026,4,7))</f>
        <v/>
      </c>
      <c r="EB107">
        <f>COUNTIFS('DRAFT 2'!$D:$D,$B107,'DRAFT 2'!$A:$A,"&gt;="&amp;DATE(2026,4,8),'DRAFT 2'!$A:$A,"&lt;="&amp;DATE(2026,4,14))</f>
        <v/>
      </c>
      <c r="EC107">
        <f>COUNTIFS('DRAFT 2'!$D:$D,$B107,'DRAFT 2'!$A:$A,"&gt;="&amp;DATE(2026,4,15),'DRAFT 2'!$A:$A,"&lt;="&amp;DATE(2026,4,21))</f>
        <v/>
      </c>
      <c r="ED107">
        <f>COUNTIFS('DRAFT 2'!$D:$D,$B107,'DRAFT 2'!$A:$A,"&gt;="&amp;DATE(2026,4,22),'DRAFT 2'!$A:$A,"&lt;"&amp;DATE(2026,IF(4=12,4+1,4+1),1))</f>
        <v/>
      </c>
      <c r="EE107">
        <f>SUM(EA107:ED107)</f>
        <v/>
      </c>
      <c r="EO107">
        <f>IFERROR(LOOKUP(2,1/('DRAFT 2'!$D:$D=$B107)*('DRAFT 2'!$A:$A&gt;=DATE(2026,5,1))*('DRAFT 2'!$A:$A&lt;DATE(2026,IF(5=12,5+1,5+1),1)),'DRAFT 2'!$A:$A),"")</f>
        <v/>
      </c>
      <c r="EP107">
        <f>COUNTIFS('DRAFT 2'!$D:$D,$B107,'DRAFT 2'!$A:$A,"&gt;="&amp;DATE(2026,5,1),'DRAFT 2'!$A:$A,"&lt;="&amp;DATE(2026,5,7))</f>
        <v/>
      </c>
      <c r="EQ107">
        <f>COUNTIFS('DRAFT 2'!$D:$D,$B107,'DRAFT 2'!$A:$A,"&gt;="&amp;DATE(2026,5,8),'DRAFT 2'!$A:$A,"&lt;="&amp;DATE(2026,5,14))</f>
        <v/>
      </c>
      <c r="ER107">
        <f>COUNTIFS('DRAFT 2'!$D:$D,$B107,'DRAFT 2'!$A:$A,"&gt;="&amp;DATE(2026,5,15),'DRAFT 2'!$A:$A,"&lt;="&amp;DATE(2026,5,21))</f>
        <v/>
      </c>
      <c r="ES107">
        <f>COUNTIFS('DRAFT 2'!$D:$D,$B107,'DRAFT 2'!$A:$A,"&gt;="&amp;DATE(2026,5,22),'DRAFT 2'!$A:$A,"&lt;"&amp;DATE(2026,IF(5=12,5+1,5+1),1))</f>
        <v/>
      </c>
      <c r="ET107">
        <f>SUM(EP107:ES107)</f>
        <v/>
      </c>
      <c r="FD107">
        <f>IFERROR(LOOKUP(2,1/('DRAFT 2'!$D:$D=$B107)*('DRAFT 2'!$A:$A&gt;=DATE(2026,6,1))*('DRAFT 2'!$A:$A&lt;DATE(2026,IF(6=12,6+1,6+1),1)),'DRAFT 2'!$A:$A),"")</f>
        <v/>
      </c>
      <c r="FE107">
        <f>COUNTIFS('DRAFT 2'!$D:$D,$B107,'DRAFT 2'!$A:$A,"&gt;="&amp;DATE(2026,6,1),'DRAFT 2'!$A:$A,"&lt;="&amp;DATE(2026,6,7))</f>
        <v/>
      </c>
      <c r="FF107">
        <f>COUNTIFS('DRAFT 2'!$D:$D,$B107,'DRAFT 2'!$A:$A,"&gt;="&amp;DATE(2026,6,8),'DRAFT 2'!$A:$A,"&lt;="&amp;DATE(2026,6,14))</f>
        <v/>
      </c>
      <c r="FG107">
        <f>COUNTIFS('DRAFT 2'!$D:$D,$B107,'DRAFT 2'!$A:$A,"&gt;="&amp;DATE(2026,6,15),'DRAFT 2'!$A:$A,"&lt;="&amp;DATE(2026,6,21))</f>
        <v/>
      </c>
      <c r="FH107">
        <f>COUNTIFS('DRAFT 2'!$D:$D,$B107,'DRAFT 2'!$A:$A,"&gt;="&amp;DATE(2026,6,22),'DRAFT 2'!$A:$A,"&lt;"&amp;DATE(2026,IF(6=12,6+1,6+1),1))</f>
        <v/>
      </c>
      <c r="FI107">
        <f>SUM(FE107:FH107)</f>
        <v/>
      </c>
      <c r="FT107">
        <f>IFERROR(LOOKUP(2,1/('DRAFT 2'!$D:$D=$B107)*('DRAFT 2'!$A:$A&gt;=DATE(2026,7,1))*('DRAFT 2'!$A:$A&lt;DATE(2026,IF(7=12,7+1,7+1),1)),'DRAFT 2'!$A:$A),"")</f>
        <v/>
      </c>
      <c r="FU107">
        <f>COUNTIFS('DRAFT 2'!$D:$D,$B107,'DRAFT 2'!$A:$A,"&gt;="&amp;DATE(2026,7,1),'DRAFT 2'!$A:$A,"&lt;="&amp;DATE(2026,7,7))</f>
        <v/>
      </c>
      <c r="FV107">
        <f>COUNTIFS('DRAFT 2'!$D:$D,$B107,'DRAFT 2'!$A:$A,"&gt;="&amp;DATE(2026,7,8),'DRAFT 2'!$A:$A,"&lt;="&amp;DATE(2026,7,14))</f>
        <v/>
      </c>
      <c r="FW107">
        <f>COUNTIFS('DRAFT 2'!$D:$D,$B107,'DRAFT 2'!$A:$A,"&gt;="&amp;DATE(2026,7,15),'DRAFT 2'!$A:$A,"&lt;="&amp;DATE(2026,7,21))</f>
        <v/>
      </c>
      <c r="FX107">
        <f>COUNTIFS('DRAFT 2'!$D:$D,$B107,'DRAFT 2'!$A:$A,"&gt;="&amp;DATE(2026,7,22),'DRAFT 2'!$A:$A,"&lt;"&amp;DATE(2026,IF(7=12,7+1,7+1),1))</f>
        <v/>
      </c>
      <c r="FY107">
        <f>SUM(FU107:FX107)</f>
        <v/>
      </c>
      <c r="GI107">
        <f>IFERROR(LOOKUP(2,1/('DRAFT 2'!$D:$D=$B107)*('DRAFT 2'!$A:$A&gt;=DATE(2026,8,1))*('DRAFT 2'!$A:$A&lt;DATE(2026,IF(8=12,8+1,8+1),1)),'DRAFT 2'!$A:$A),"")</f>
        <v/>
      </c>
      <c r="GJ107">
        <f>COUNTIFS('DRAFT 2'!$D:$D,$B107,'DRAFT 2'!$A:$A,"&gt;="&amp;DATE(2026,8,1),'DRAFT 2'!$A:$A,"&lt;="&amp;DATE(2026,8,7))</f>
        <v/>
      </c>
      <c r="GK107">
        <f>COUNTIFS('DRAFT 2'!$D:$D,$B107,'DRAFT 2'!$A:$A,"&gt;="&amp;DATE(2026,8,8),'DRAFT 2'!$A:$A,"&lt;="&amp;DATE(2026,8,14))</f>
        <v/>
      </c>
      <c r="GL107">
        <f>COUNTIFS('DRAFT 2'!$D:$D,$B107,'DRAFT 2'!$A:$A,"&gt;="&amp;DATE(2026,8,15),'DRAFT 2'!$A:$A,"&lt;="&amp;DATE(2026,8,21))</f>
        <v/>
      </c>
      <c r="GM107">
        <f>COUNTIFS('DRAFT 2'!$D:$D,$B107,'DRAFT 2'!$A:$A,"&gt;="&amp;DATE(2026,8,22),'DRAFT 2'!$A:$A,"&lt;"&amp;DATE(2026,IF(8=12,8+1,8+1),1))</f>
        <v/>
      </c>
      <c r="GN107">
        <f>SUM(GJ107:GM107)</f>
        <v/>
      </c>
      <c r="GX107">
        <f>IFERROR(LOOKUP(2,1/('DRAFT 2'!$D:$D=$B107)*('DRAFT 2'!$A:$A&gt;=DATE(2026,9,1))*('DRAFT 2'!$A:$A&lt;DATE(2026,IF(9=12,9+1,9+1),1)),'DRAFT 2'!$A:$A),"")</f>
        <v/>
      </c>
      <c r="GY107">
        <f>COUNTIFS('DRAFT 2'!$D:$D,$B107,'DRAFT 2'!$A:$A,"&gt;="&amp;DATE(2026,9,1),'DRAFT 2'!$A:$A,"&lt;="&amp;DATE(2026,9,7))</f>
        <v/>
      </c>
      <c r="GZ107">
        <f>COUNTIFS('DRAFT 2'!$D:$D,$B107,'DRAFT 2'!$A:$A,"&gt;="&amp;DATE(2026,9,8),'DRAFT 2'!$A:$A,"&lt;="&amp;DATE(2026,9,14))</f>
        <v/>
      </c>
      <c r="HA107">
        <f>COUNTIFS('DRAFT 2'!$D:$D,$B107,'DRAFT 2'!$A:$A,"&gt;="&amp;DATE(2026,9,15),'DRAFT 2'!$A:$A,"&lt;="&amp;DATE(2026,9,21))</f>
        <v/>
      </c>
      <c r="HB107">
        <f>COUNTIFS('DRAFT 2'!$D:$D,$B107,'DRAFT 2'!$A:$A,"&gt;="&amp;DATE(2026,9,22),'DRAFT 2'!$A:$A,"&lt;"&amp;DATE(2026,IF(9=12,9+1,9+1),1))</f>
        <v/>
      </c>
      <c r="HC107">
        <f>SUM(GY107:HB107)</f>
        <v/>
      </c>
      <c r="HN107">
        <f>IFERROR(LOOKUP(2,1/('DRAFT 2'!$D:$D=$B107)*('DRAFT 2'!$A:$A&gt;=DATE(2026,10,1))*('DRAFT 2'!$A:$A&lt;DATE(2026,IF(10=12,10+1,10+1),1)),'DRAFT 2'!$A:$A),"")</f>
        <v/>
      </c>
      <c r="HO107">
        <f>COUNTIFS('DRAFT 2'!$D:$D,$B107,'DRAFT 2'!$A:$A,"&gt;="&amp;DATE(2026,10,1),'DRAFT 2'!$A:$A,"&lt;="&amp;DATE(2026,10,7))</f>
        <v/>
      </c>
      <c r="HP107">
        <f>COUNTIFS('DRAFT 2'!$D:$D,$B107,'DRAFT 2'!$A:$A,"&gt;="&amp;DATE(2026,10,8),'DRAFT 2'!$A:$A,"&lt;="&amp;DATE(2026,10,14))</f>
        <v/>
      </c>
      <c r="HQ107">
        <f>COUNTIFS('DRAFT 2'!$D:$D,$B107,'DRAFT 2'!$A:$A,"&gt;="&amp;DATE(2026,10,15),'DRAFT 2'!$A:$A,"&lt;="&amp;DATE(2026,10,21))</f>
        <v/>
      </c>
      <c r="HR107">
        <f>COUNTIFS('DRAFT 2'!$D:$D,$B107,'DRAFT 2'!$A:$A,"&gt;="&amp;DATE(2026,10,22),'DRAFT 2'!$A:$A,"&lt;"&amp;DATE(2026,IF(10=12,10+1,10+1),1))</f>
        <v/>
      </c>
      <c r="HS107">
        <f>SUM(HO107:HR107)</f>
        <v/>
      </c>
      <c r="IC107">
        <f>IFERROR(LOOKUP(2,1/('DRAFT 2'!$D:$D=$B107)*('DRAFT 2'!$A:$A&gt;=DATE(2026,11,1))*('DRAFT 2'!$A:$A&lt;DATE(2026,IF(11=12,11+1,11+1),1)),'DRAFT 2'!$A:$A),"")</f>
        <v/>
      </c>
      <c r="ID107">
        <f>COUNTIFS('DRAFT 2'!$D:$D,$B107,'DRAFT 2'!$A:$A,"&gt;="&amp;DATE(2026,11,1),'DRAFT 2'!$A:$A,"&lt;="&amp;DATE(2026,11,7))</f>
        <v/>
      </c>
      <c r="IE107">
        <f>COUNTIFS('DRAFT 2'!$D:$D,$B107,'DRAFT 2'!$A:$A,"&gt;="&amp;DATE(2026,11,8),'DRAFT 2'!$A:$A,"&lt;="&amp;DATE(2026,11,14))</f>
        <v/>
      </c>
      <c r="IF107">
        <f>COUNTIFS('DRAFT 2'!$D:$D,$B107,'DRAFT 2'!$A:$A,"&gt;="&amp;DATE(2026,11,15),'DRAFT 2'!$A:$A,"&lt;="&amp;DATE(2026,11,21))</f>
        <v/>
      </c>
      <c r="IG107">
        <f>COUNTIFS('DRAFT 2'!$D:$D,$B107,'DRAFT 2'!$A:$A,"&gt;="&amp;DATE(2026,11,22),'DRAFT 2'!$A:$A,"&lt;"&amp;DATE(2026,IF(11=12,11+1,11+1),1))</f>
        <v/>
      </c>
      <c r="IH107">
        <f>SUM(ID107:IG107)</f>
        <v/>
      </c>
      <c r="IR107">
        <f>IFERROR(LOOKUP(2,1/('DRAFT 2'!$D:$D=$B107)*('DRAFT 2'!$A:$A&gt;=DATE(2026,12,1))*('DRAFT 2'!$A:$A&lt;DATE(2026,IF(12=12,12+1,12+1),1)),'DRAFT 2'!$A:$A),"")</f>
        <v/>
      </c>
      <c r="IS107">
        <f>COUNTIFS('DRAFT 2'!$D:$D,$B107,'DRAFT 2'!$A:$A,"&gt;="&amp;DATE(2026,12,1),'DRAFT 2'!$A:$A,"&lt;="&amp;DATE(2026,12,7))</f>
        <v/>
      </c>
      <c r="IT107">
        <f>COUNTIFS('DRAFT 2'!$D:$D,$B107,'DRAFT 2'!$A:$A,"&gt;="&amp;DATE(2026,12,8),'DRAFT 2'!$A:$A,"&lt;="&amp;DATE(2026,12,14))</f>
        <v/>
      </c>
      <c r="IU107">
        <f>COUNTIFS('DRAFT 2'!$D:$D,$B107,'DRAFT 2'!$A:$A,"&gt;="&amp;DATE(2026,12,15),'DRAFT 2'!$A:$A,"&lt;="&amp;DATE(2026,12,21))</f>
        <v/>
      </c>
      <c r="IV107">
        <f>COUNTIFS('DRAFT 2'!$D:$D,$B107,'DRAFT 2'!$A:$A,"&gt;="&amp;DATE(2026,12,22),'DRAFT 2'!$A:$A,"&lt;"&amp;DATE(2026,IF(12=12,12+1,12+1),1))</f>
        <v/>
      </c>
      <c r="IW107">
        <f>SUM(IS107:IV107)</f>
        <v/>
      </c>
    </row>
    <row r="108">
      <c r="A108">
        <f>IFERROR(INDEX('DRAFT 1'!$A:$A,MATCH($B108,'DRAFT 1'!$B:$B,0)),"")</f>
        <v/>
      </c>
      <c r="C108">
        <f>IFERROR(INDEX('DRAFT 1'!$C:$C,MATCH($B108,'DRAFT 1'!$B:$B,0)),"")</f>
        <v/>
      </c>
      <c r="D108">
        <f>IFERROR(INDEX('DRAFT 1'!$D:$D,MATCH($B108,'DRAFT 1'!$B:$B,0)),"")</f>
        <v/>
      </c>
      <c r="E108">
        <f>IFERROR(INDEX('DRAFT 1'!$E:$E,MATCH($B108,'DRAFT 1'!$B:$B,0)),"")</f>
        <v/>
      </c>
      <c r="F108">
        <f>IFERROR(INDEX('DRAFT 1'!$F:$F,MATCH($B108,'DRAFT 1'!$B:$B,0)),"")</f>
        <v/>
      </c>
      <c r="G108">
        <f>IFERROR(INDEX('DRAFT 1'!$G:$G,MATCH($B108,'DRAFT 1'!$B:$B,0)),"")</f>
        <v/>
      </c>
      <c r="H108">
        <f>IFERROR(INDEX('DRAFT 1'!$H:$H,MATCH($B108,'DRAFT 1'!$B:$B,0)),"")</f>
        <v/>
      </c>
      <c r="I108" t="inlineStr">
        <is>
          <t>FIT LAND</t>
        </is>
      </c>
      <c r="K108">
        <f>IFERROR(INDEX('DRAFT 1'!$AL:$AL,MATCH($B108,'DRAFT 1'!$B:$B,0)),"")</f>
        <v/>
      </c>
      <c r="L108">
        <f>IFERROR(INDEX('DRAFT 1'!$J:$J,MATCH($B108,'DRAFT 1'!$B:$B,0)),"")</f>
        <v/>
      </c>
      <c r="M108">
        <f>IFERROR(INDEX('DRAFT 1'!$K:$K,MATCH($B108,'DRAFT 1'!$B:$B,0)),"")</f>
        <v/>
      </c>
      <c r="N108" t="inlineStr">
        <is>
          <t>ATIVO</t>
        </is>
      </c>
      <c r="P108">
        <f>IFERROR(INDEX('DRAFT 1'!$L:$L,MATCH($B108,'DRAFT 1'!$B:$B,0)),"")</f>
        <v/>
      </c>
      <c r="Q108">
        <f>IFERROR(INDEX('DRAFT 1'!$M:$M,MATCH($B108,'DRAFT 1'!$B:$B,0)),"")</f>
        <v/>
      </c>
      <c r="R108">
        <f>IFERROR(INDEX('DRAFT 1'!$N:$N,MATCH($B108,'DRAFT 1'!$B:$B,0)),"")</f>
        <v/>
      </c>
      <c r="S108">
        <f>IFERROR(INDEX('DRAFT 1'!$O:$O,MATCH($B108,'DRAFT 1'!$B:$B,0)),"")</f>
        <v/>
      </c>
      <c r="T108">
        <f>IFERROR(INDEX('DRAFT 1'!$P:$P,MATCH($B108,'DRAFT 1'!$B:$B,0)),"")</f>
        <v/>
      </c>
      <c r="U108">
        <f>IFERROR(INDEX('DRAFT 1'!$Q:$Q,MATCH($B108,'DRAFT 1'!$B:$B,0)),"")</f>
        <v/>
      </c>
      <c r="V108">
        <f>IFERROR(INDEX('DRAFT 1'!$R:$R,MATCH($B108,'DRAFT 1'!$B:$B,0)),"")</f>
        <v/>
      </c>
      <c r="W108">
        <f>IFERROR(INDEX('DRAFT 1'!$S:$S,MATCH($B108,'DRAFT 1'!$B:$B,0)),"")</f>
        <v/>
      </c>
      <c r="X108">
        <f>IFERROR(INDEX('DRAFT 1'!$T:$T,MATCH($B108,'DRAFT 1'!$B:$B,0)),"")</f>
        <v/>
      </c>
      <c r="Z108">
        <f>IFERROR(INDEX('DRAFT 1'!$U:$U,MATCH($B108,'DRAFT 1'!$B:$B,0)),"")</f>
        <v/>
      </c>
      <c r="AA108">
        <f>IFERROR(INDEX('DRAFT 1'!$V:$V,MATCH($B108,'DRAFT 1'!$B:$B,0)),"")</f>
        <v/>
      </c>
      <c r="AB108">
        <f>IFERROR(INDEX('DRAFT 1'!$W:$W,MATCH($B108,'DRAFT 1'!$B:$B,0)),"")</f>
        <v/>
      </c>
      <c r="AC108">
        <f>IFERROR(INDEX('DRAFT 1'!$X:$X,MATCH($B108,'DRAFT 1'!$B:$B,0)),"")</f>
        <v/>
      </c>
      <c r="AD108">
        <f>IFERROR(INDEX('DRAFT 1'!$Y:$Y,MATCH($B108,'DRAFT 1'!$B:$B,0)),"")</f>
        <v/>
      </c>
      <c r="AE108">
        <f>IFERROR(INDEX('DRAFT 1'!$Z:$Z,MATCH($B108,'DRAFT 1'!$B:$B,0)),"")</f>
        <v/>
      </c>
      <c r="AF108">
        <f>IFERROR(INDEX('DRAFT 1'!$AA:$AA,MATCH($B108,'DRAFT 1'!$B:$B,0)),"")</f>
        <v/>
      </c>
      <c r="AG108">
        <f>IFERROR(INDEX('DRAFT 1'!$AB:$AB,MATCH($B108,'DRAFT 1'!$B:$B,0)),"")</f>
        <v/>
      </c>
      <c r="AH108">
        <f>IFERROR(INDEX('DRAFT 1'!$AC:$AC,MATCH($B108,'DRAFT 1'!$B:$B,0)),"")</f>
        <v/>
      </c>
      <c r="AI108">
        <f>IFERROR(INDEX('DRAFT 1'!$AD:$AD,MATCH($B108,'DRAFT 1'!$B:$B,0)),"")</f>
        <v/>
      </c>
      <c r="AJ108">
        <f>IFERROR(INDEX('DRAFT 1'!$AE:$AE,MATCH($B108,'DRAFT 1'!$B:$B,0)),"")</f>
        <v/>
      </c>
      <c r="AK108">
        <f>IFERROR(INDEX('DRAFT 1'!$AG:$AG,MATCH($B108,'DRAFT 1'!$B:$B,0)),"")</f>
        <v/>
      </c>
      <c r="AL108">
        <f>IFERROR(INDEX('DRAFT 1'!$AH:$AH,MATCH($B108,'DRAFT 1'!$B:$B,0)),"")</f>
        <v/>
      </c>
      <c r="AM108">
        <f>IFERROR(INDEX('DRAFT 1'!$AI:$AI,MATCH($B108,'DRAFT 1'!$B:$B,0)),"")</f>
        <v/>
      </c>
      <c r="AN108">
        <f>IFERROR(INDEX('DRAFT 1'!$AJ:$AJ,MATCH($B108,'DRAFT 1'!$B:$B,0)),"")</f>
        <v/>
      </c>
      <c r="AO108">
        <f>IFERROR(Y108/AN108,0)</f>
        <v/>
      </c>
      <c r="AP108">
        <f>IFERROR(INDEX('DRAFT 1'!$AK:$AK,MATCH($B108,'DRAFT 1'!$B:$B,0)),"")</f>
        <v/>
      </c>
      <c r="AR108" t="inlineStr">
        <is>
          <t>EM ATENDIMENTO</t>
        </is>
      </c>
      <c r="AS108">
        <f>IFERROR(LOOKUP(2,1/('DRAFT 2'!$D:$D=$B108),'DRAFT 2'!$T:$T),"")</f>
        <v/>
      </c>
      <c r="AT108">
        <f>IFERROR(LOOKUP(2,1/('DRAFT 2'!$D:$D=$B108),'DRAFT 2'!$A:$A),"")</f>
        <v/>
      </c>
      <c r="AU108">
        <f>IFERROR(LOOKUP(2,1/('DRAFT 2'!$D:$D=$B108),'DRAFT 2'!$R:$R),"")</f>
        <v/>
      </c>
      <c r="AV108">
        <f>IFERROR(LOOKUP(2,1/('DRAFT 2'!$D:$D=$B108),'DRAFT 2'!$S:$S),"")</f>
        <v/>
      </c>
      <c r="AW108" t="inlineStr">
        <is>
          <t>LEAD</t>
        </is>
      </c>
      <c r="AX108">
        <f>IFERROR(LOOKUP(2,1/('DRAFT 2'!$D:$D=$B108),'DRAFT 2'!$M:$M),"")</f>
        <v/>
      </c>
      <c r="AY108">
        <f>IFERROR(LOOKUP(2,1/('DRAFT 2'!$D:$D=$B108),'DRAFT 2'!$K:$K),"")</f>
        <v/>
      </c>
      <c r="BG108">
        <f>IFERROR(LOOKUP(2,1/('DRAFT 2'!$D:$D=$B108),'DRAFT 2'!$U:$U),"")</f>
        <v/>
      </c>
      <c r="BH108">
        <f>IFERROR(LOOKUP(2,1/('DRAFT 2'!$D:$D=$B108),'DRAFT 2'!$V:$V),"")</f>
        <v/>
      </c>
      <c r="CE108">
        <f>IFERROR(AJ108,0)</f>
        <v/>
      </c>
      <c r="CF108">
        <f>IFERROR(LOOKUP(2,1/('DRAFT 2'!$D:$D=$B108)*('DRAFT 2'!$A:$A&gt;=DATE(2026,1,1))*('DRAFT 2'!$A:$A&lt;DATE(2026,IF(1=12,1+1,1+1),1)),'DRAFT 2'!$A:$A),"")</f>
        <v/>
      </c>
      <c r="CG108">
        <f>COUNTIFS('DRAFT 2'!$D:$D,$B108,'DRAFT 2'!$A:$A,"&gt;="&amp;DATE(2026,1,1),'DRAFT 2'!$A:$A,"&lt;="&amp;DATE(2026,1,7))</f>
        <v/>
      </c>
      <c r="CH108">
        <f>COUNTIFS('DRAFT 2'!$D:$D,$B108,'DRAFT 2'!$A:$A,"&gt;="&amp;DATE(2026,1,8),'DRAFT 2'!$A:$A,"&lt;="&amp;DATE(2026,1,14))</f>
        <v/>
      </c>
      <c r="CI108">
        <f>COUNTIFS('DRAFT 2'!$D:$D,$B108,'DRAFT 2'!$A:$A,"&gt;="&amp;DATE(2026,1,15),'DRAFT 2'!$A:$A,"&lt;="&amp;DATE(2026,1,21))</f>
        <v/>
      </c>
      <c r="CJ108">
        <f>COUNTIFS('DRAFT 2'!$D:$D,$B108,'DRAFT 2'!$A:$A,"&gt;="&amp;DATE(2026,1,22),'DRAFT 2'!$A:$A,"&lt;"&amp;DATE(2026,IF(1=12,1+1,1+1),1))</f>
        <v/>
      </c>
      <c r="CK108">
        <f>SUM(CG108:CJ108)</f>
        <v/>
      </c>
      <c r="CT108" t="n">
        <v>0</v>
      </c>
      <c r="CU108">
        <f>IFERROR(LOOKUP(2,1/('DRAFT 2'!$D:$D=$B108)*('DRAFT 2'!$A:$A&gt;=DATE(2026,2,1))*('DRAFT 2'!$A:$A&lt;DATE(2026,IF(2=12,2+1,2+1),1)),'DRAFT 2'!$A:$A),"")</f>
        <v/>
      </c>
      <c r="CV108">
        <f>COUNTIFS('DRAFT 2'!$D:$D,$B108,'DRAFT 2'!$A:$A,"&gt;="&amp;DATE(2026,2,1),'DRAFT 2'!$A:$A,"&lt;="&amp;DATE(2026,2,7))</f>
        <v/>
      </c>
      <c r="CW108">
        <f>COUNTIFS('DRAFT 2'!$D:$D,$B108,'DRAFT 2'!$A:$A,"&gt;="&amp;DATE(2026,2,8),'DRAFT 2'!$A:$A,"&lt;="&amp;DATE(2026,2,14))</f>
        <v/>
      </c>
      <c r="CX108">
        <f>COUNTIFS('DRAFT 2'!$D:$D,$B108,'DRAFT 2'!$A:$A,"&gt;="&amp;DATE(2026,2,15),'DRAFT 2'!$A:$A,"&lt;="&amp;DATE(2026,2,21))</f>
        <v/>
      </c>
      <c r="CY108">
        <f>COUNTIFS('DRAFT 2'!$D:$D,$B108,'DRAFT 2'!$A:$A,"&gt;="&amp;DATE(2026,2,22),'DRAFT 2'!$A:$A,"&lt;"&amp;DATE(2026,IF(2=12,2+1,2+1),1))</f>
        <v/>
      </c>
      <c r="CZ108">
        <f>SUM(CV108:CY108)</f>
        <v/>
      </c>
      <c r="DJ108">
        <f>IFERROR(LOOKUP(2,1/('DRAFT 2'!$D:$D=$B108)*('DRAFT 2'!$A:$A&gt;=DATE(2026,3,1))*('DRAFT 2'!$A:$A&lt;DATE(2026,IF(3=12,3+1,3+1),1)),'DRAFT 2'!$A:$A),"")</f>
        <v/>
      </c>
      <c r="DK108">
        <f>COUNTIFS('DRAFT 2'!$D:$D,$B108,'DRAFT 2'!$A:$A,"&gt;="&amp;DATE(2026,3,1),'DRAFT 2'!$A:$A,"&lt;="&amp;DATE(2026,3,7))</f>
        <v/>
      </c>
      <c r="DL108">
        <f>COUNTIFS('DRAFT 2'!$D:$D,$B108,'DRAFT 2'!$A:$A,"&gt;="&amp;DATE(2026,3,8),'DRAFT 2'!$A:$A,"&lt;="&amp;DATE(2026,3,14))</f>
        <v/>
      </c>
      <c r="DM108">
        <f>COUNTIFS('DRAFT 2'!$D:$D,$B108,'DRAFT 2'!$A:$A,"&gt;="&amp;DATE(2026,3,15),'DRAFT 2'!$A:$A,"&lt;="&amp;DATE(2026,3,21))</f>
        <v/>
      </c>
      <c r="DN108">
        <f>COUNTIFS('DRAFT 2'!$D:$D,$B108,'DRAFT 2'!$A:$A,"&gt;="&amp;DATE(2026,3,22),'DRAFT 2'!$A:$A,"&lt;"&amp;DATE(2026,IF(3=12,3+1,3+1),1))</f>
        <v/>
      </c>
      <c r="DO108">
        <f>SUM(DK108:DN108)</f>
        <v/>
      </c>
      <c r="DZ108">
        <f>IFERROR(LOOKUP(2,1/('DRAFT 2'!$D:$D=$B108)*('DRAFT 2'!$A:$A&gt;=DATE(2026,4,1))*('DRAFT 2'!$A:$A&lt;DATE(2026,IF(4=12,4+1,4+1),1)),'DRAFT 2'!$A:$A),"")</f>
        <v/>
      </c>
      <c r="EA108">
        <f>COUNTIFS('DRAFT 2'!$D:$D,$B108,'DRAFT 2'!$A:$A,"&gt;="&amp;DATE(2026,4,1),'DRAFT 2'!$A:$A,"&lt;="&amp;DATE(2026,4,7))</f>
        <v/>
      </c>
      <c r="EB108">
        <f>COUNTIFS('DRAFT 2'!$D:$D,$B108,'DRAFT 2'!$A:$A,"&gt;="&amp;DATE(2026,4,8),'DRAFT 2'!$A:$A,"&lt;="&amp;DATE(2026,4,14))</f>
        <v/>
      </c>
      <c r="EC108">
        <f>COUNTIFS('DRAFT 2'!$D:$D,$B108,'DRAFT 2'!$A:$A,"&gt;="&amp;DATE(2026,4,15),'DRAFT 2'!$A:$A,"&lt;="&amp;DATE(2026,4,21))</f>
        <v/>
      </c>
      <c r="ED108">
        <f>COUNTIFS('DRAFT 2'!$D:$D,$B108,'DRAFT 2'!$A:$A,"&gt;="&amp;DATE(2026,4,22),'DRAFT 2'!$A:$A,"&lt;"&amp;DATE(2026,IF(4=12,4+1,4+1),1))</f>
        <v/>
      </c>
      <c r="EE108">
        <f>SUM(EA108:ED108)</f>
        <v/>
      </c>
      <c r="EO108">
        <f>IFERROR(LOOKUP(2,1/('DRAFT 2'!$D:$D=$B108)*('DRAFT 2'!$A:$A&gt;=DATE(2026,5,1))*('DRAFT 2'!$A:$A&lt;DATE(2026,IF(5=12,5+1,5+1),1)),'DRAFT 2'!$A:$A),"")</f>
        <v/>
      </c>
      <c r="EP108">
        <f>COUNTIFS('DRAFT 2'!$D:$D,$B108,'DRAFT 2'!$A:$A,"&gt;="&amp;DATE(2026,5,1),'DRAFT 2'!$A:$A,"&lt;="&amp;DATE(2026,5,7))</f>
        <v/>
      </c>
      <c r="EQ108">
        <f>COUNTIFS('DRAFT 2'!$D:$D,$B108,'DRAFT 2'!$A:$A,"&gt;="&amp;DATE(2026,5,8),'DRAFT 2'!$A:$A,"&lt;="&amp;DATE(2026,5,14))</f>
        <v/>
      </c>
      <c r="ER108">
        <f>COUNTIFS('DRAFT 2'!$D:$D,$B108,'DRAFT 2'!$A:$A,"&gt;="&amp;DATE(2026,5,15),'DRAFT 2'!$A:$A,"&lt;="&amp;DATE(2026,5,21))</f>
        <v/>
      </c>
      <c r="ES108">
        <f>COUNTIFS('DRAFT 2'!$D:$D,$B108,'DRAFT 2'!$A:$A,"&gt;="&amp;DATE(2026,5,22),'DRAFT 2'!$A:$A,"&lt;"&amp;DATE(2026,IF(5=12,5+1,5+1),1))</f>
        <v/>
      </c>
      <c r="ET108">
        <f>SUM(EP108:ES108)</f>
        <v/>
      </c>
      <c r="FD108">
        <f>IFERROR(LOOKUP(2,1/('DRAFT 2'!$D:$D=$B108)*('DRAFT 2'!$A:$A&gt;=DATE(2026,6,1))*('DRAFT 2'!$A:$A&lt;DATE(2026,IF(6=12,6+1,6+1),1)),'DRAFT 2'!$A:$A),"")</f>
        <v/>
      </c>
      <c r="FE108">
        <f>COUNTIFS('DRAFT 2'!$D:$D,$B108,'DRAFT 2'!$A:$A,"&gt;="&amp;DATE(2026,6,1),'DRAFT 2'!$A:$A,"&lt;="&amp;DATE(2026,6,7))</f>
        <v/>
      </c>
      <c r="FF108">
        <f>COUNTIFS('DRAFT 2'!$D:$D,$B108,'DRAFT 2'!$A:$A,"&gt;="&amp;DATE(2026,6,8),'DRAFT 2'!$A:$A,"&lt;="&amp;DATE(2026,6,14))</f>
        <v/>
      </c>
      <c r="FG108">
        <f>COUNTIFS('DRAFT 2'!$D:$D,$B108,'DRAFT 2'!$A:$A,"&gt;="&amp;DATE(2026,6,15),'DRAFT 2'!$A:$A,"&lt;="&amp;DATE(2026,6,21))</f>
        <v/>
      </c>
      <c r="FH108">
        <f>COUNTIFS('DRAFT 2'!$D:$D,$B108,'DRAFT 2'!$A:$A,"&gt;="&amp;DATE(2026,6,22),'DRAFT 2'!$A:$A,"&lt;"&amp;DATE(2026,IF(6=12,6+1,6+1),1))</f>
        <v/>
      </c>
      <c r="FI108">
        <f>SUM(FE108:FH108)</f>
        <v/>
      </c>
      <c r="FT108">
        <f>IFERROR(LOOKUP(2,1/('DRAFT 2'!$D:$D=$B108)*('DRAFT 2'!$A:$A&gt;=DATE(2026,7,1))*('DRAFT 2'!$A:$A&lt;DATE(2026,IF(7=12,7+1,7+1),1)),'DRAFT 2'!$A:$A),"")</f>
        <v/>
      </c>
      <c r="FU108">
        <f>COUNTIFS('DRAFT 2'!$D:$D,$B108,'DRAFT 2'!$A:$A,"&gt;="&amp;DATE(2026,7,1),'DRAFT 2'!$A:$A,"&lt;="&amp;DATE(2026,7,7))</f>
        <v/>
      </c>
      <c r="FV108">
        <f>COUNTIFS('DRAFT 2'!$D:$D,$B108,'DRAFT 2'!$A:$A,"&gt;="&amp;DATE(2026,7,8),'DRAFT 2'!$A:$A,"&lt;="&amp;DATE(2026,7,14))</f>
        <v/>
      </c>
      <c r="FW108">
        <f>COUNTIFS('DRAFT 2'!$D:$D,$B108,'DRAFT 2'!$A:$A,"&gt;="&amp;DATE(2026,7,15),'DRAFT 2'!$A:$A,"&lt;="&amp;DATE(2026,7,21))</f>
        <v/>
      </c>
      <c r="FX108">
        <f>COUNTIFS('DRAFT 2'!$D:$D,$B108,'DRAFT 2'!$A:$A,"&gt;="&amp;DATE(2026,7,22),'DRAFT 2'!$A:$A,"&lt;"&amp;DATE(2026,IF(7=12,7+1,7+1),1))</f>
        <v/>
      </c>
      <c r="FY108">
        <f>SUM(FU108:FX108)</f>
        <v/>
      </c>
      <c r="GI108">
        <f>IFERROR(LOOKUP(2,1/('DRAFT 2'!$D:$D=$B108)*('DRAFT 2'!$A:$A&gt;=DATE(2026,8,1))*('DRAFT 2'!$A:$A&lt;DATE(2026,IF(8=12,8+1,8+1),1)),'DRAFT 2'!$A:$A),"")</f>
        <v/>
      </c>
      <c r="GJ108">
        <f>COUNTIFS('DRAFT 2'!$D:$D,$B108,'DRAFT 2'!$A:$A,"&gt;="&amp;DATE(2026,8,1),'DRAFT 2'!$A:$A,"&lt;="&amp;DATE(2026,8,7))</f>
        <v/>
      </c>
      <c r="GK108">
        <f>COUNTIFS('DRAFT 2'!$D:$D,$B108,'DRAFT 2'!$A:$A,"&gt;="&amp;DATE(2026,8,8),'DRAFT 2'!$A:$A,"&lt;="&amp;DATE(2026,8,14))</f>
        <v/>
      </c>
      <c r="GL108">
        <f>COUNTIFS('DRAFT 2'!$D:$D,$B108,'DRAFT 2'!$A:$A,"&gt;="&amp;DATE(2026,8,15),'DRAFT 2'!$A:$A,"&lt;="&amp;DATE(2026,8,21))</f>
        <v/>
      </c>
      <c r="GM108">
        <f>COUNTIFS('DRAFT 2'!$D:$D,$B108,'DRAFT 2'!$A:$A,"&gt;="&amp;DATE(2026,8,22),'DRAFT 2'!$A:$A,"&lt;"&amp;DATE(2026,IF(8=12,8+1,8+1),1))</f>
        <v/>
      </c>
      <c r="GN108">
        <f>SUM(GJ108:GM108)</f>
        <v/>
      </c>
      <c r="GX108">
        <f>IFERROR(LOOKUP(2,1/('DRAFT 2'!$D:$D=$B108)*('DRAFT 2'!$A:$A&gt;=DATE(2026,9,1))*('DRAFT 2'!$A:$A&lt;DATE(2026,IF(9=12,9+1,9+1),1)),'DRAFT 2'!$A:$A),"")</f>
        <v/>
      </c>
      <c r="GY108">
        <f>COUNTIFS('DRAFT 2'!$D:$D,$B108,'DRAFT 2'!$A:$A,"&gt;="&amp;DATE(2026,9,1),'DRAFT 2'!$A:$A,"&lt;="&amp;DATE(2026,9,7))</f>
        <v/>
      </c>
      <c r="GZ108">
        <f>COUNTIFS('DRAFT 2'!$D:$D,$B108,'DRAFT 2'!$A:$A,"&gt;="&amp;DATE(2026,9,8),'DRAFT 2'!$A:$A,"&lt;="&amp;DATE(2026,9,14))</f>
        <v/>
      </c>
      <c r="HA108">
        <f>COUNTIFS('DRAFT 2'!$D:$D,$B108,'DRAFT 2'!$A:$A,"&gt;="&amp;DATE(2026,9,15),'DRAFT 2'!$A:$A,"&lt;="&amp;DATE(2026,9,21))</f>
        <v/>
      </c>
      <c r="HB108">
        <f>COUNTIFS('DRAFT 2'!$D:$D,$B108,'DRAFT 2'!$A:$A,"&gt;="&amp;DATE(2026,9,22),'DRAFT 2'!$A:$A,"&lt;"&amp;DATE(2026,IF(9=12,9+1,9+1),1))</f>
        <v/>
      </c>
      <c r="HC108">
        <f>SUM(GY108:HB108)</f>
        <v/>
      </c>
      <c r="HN108">
        <f>IFERROR(LOOKUP(2,1/('DRAFT 2'!$D:$D=$B108)*('DRAFT 2'!$A:$A&gt;=DATE(2026,10,1))*('DRAFT 2'!$A:$A&lt;DATE(2026,IF(10=12,10+1,10+1),1)),'DRAFT 2'!$A:$A),"")</f>
        <v/>
      </c>
      <c r="HO108">
        <f>COUNTIFS('DRAFT 2'!$D:$D,$B108,'DRAFT 2'!$A:$A,"&gt;="&amp;DATE(2026,10,1),'DRAFT 2'!$A:$A,"&lt;="&amp;DATE(2026,10,7))</f>
        <v/>
      </c>
      <c r="HP108">
        <f>COUNTIFS('DRAFT 2'!$D:$D,$B108,'DRAFT 2'!$A:$A,"&gt;="&amp;DATE(2026,10,8),'DRAFT 2'!$A:$A,"&lt;="&amp;DATE(2026,10,14))</f>
        <v/>
      </c>
      <c r="HQ108">
        <f>COUNTIFS('DRAFT 2'!$D:$D,$B108,'DRAFT 2'!$A:$A,"&gt;="&amp;DATE(2026,10,15),'DRAFT 2'!$A:$A,"&lt;="&amp;DATE(2026,10,21))</f>
        <v/>
      </c>
      <c r="HR108">
        <f>COUNTIFS('DRAFT 2'!$D:$D,$B108,'DRAFT 2'!$A:$A,"&gt;="&amp;DATE(2026,10,22),'DRAFT 2'!$A:$A,"&lt;"&amp;DATE(2026,IF(10=12,10+1,10+1),1))</f>
        <v/>
      </c>
      <c r="HS108">
        <f>SUM(HO108:HR108)</f>
        <v/>
      </c>
      <c r="IC108">
        <f>IFERROR(LOOKUP(2,1/('DRAFT 2'!$D:$D=$B108)*('DRAFT 2'!$A:$A&gt;=DATE(2026,11,1))*('DRAFT 2'!$A:$A&lt;DATE(2026,IF(11=12,11+1,11+1),1)),'DRAFT 2'!$A:$A),"")</f>
        <v/>
      </c>
      <c r="ID108">
        <f>COUNTIFS('DRAFT 2'!$D:$D,$B108,'DRAFT 2'!$A:$A,"&gt;="&amp;DATE(2026,11,1),'DRAFT 2'!$A:$A,"&lt;="&amp;DATE(2026,11,7))</f>
        <v/>
      </c>
      <c r="IE108">
        <f>COUNTIFS('DRAFT 2'!$D:$D,$B108,'DRAFT 2'!$A:$A,"&gt;="&amp;DATE(2026,11,8),'DRAFT 2'!$A:$A,"&lt;="&amp;DATE(2026,11,14))</f>
        <v/>
      </c>
      <c r="IF108">
        <f>COUNTIFS('DRAFT 2'!$D:$D,$B108,'DRAFT 2'!$A:$A,"&gt;="&amp;DATE(2026,11,15),'DRAFT 2'!$A:$A,"&lt;="&amp;DATE(2026,11,21))</f>
        <v/>
      </c>
      <c r="IG108">
        <f>COUNTIFS('DRAFT 2'!$D:$D,$B108,'DRAFT 2'!$A:$A,"&gt;="&amp;DATE(2026,11,22),'DRAFT 2'!$A:$A,"&lt;"&amp;DATE(2026,IF(11=12,11+1,11+1),1))</f>
        <v/>
      </c>
      <c r="IH108">
        <f>SUM(ID108:IG108)</f>
        <v/>
      </c>
      <c r="IR108">
        <f>IFERROR(LOOKUP(2,1/('DRAFT 2'!$D:$D=$B108)*('DRAFT 2'!$A:$A&gt;=DATE(2026,12,1))*('DRAFT 2'!$A:$A&lt;DATE(2026,IF(12=12,12+1,12+1),1)),'DRAFT 2'!$A:$A),"")</f>
        <v/>
      </c>
      <c r="IS108">
        <f>COUNTIFS('DRAFT 2'!$D:$D,$B108,'DRAFT 2'!$A:$A,"&gt;="&amp;DATE(2026,12,1),'DRAFT 2'!$A:$A,"&lt;="&amp;DATE(2026,12,7))</f>
        <v/>
      </c>
      <c r="IT108">
        <f>COUNTIFS('DRAFT 2'!$D:$D,$B108,'DRAFT 2'!$A:$A,"&gt;="&amp;DATE(2026,12,8),'DRAFT 2'!$A:$A,"&lt;="&amp;DATE(2026,12,14))</f>
        <v/>
      </c>
      <c r="IU108">
        <f>COUNTIFS('DRAFT 2'!$D:$D,$B108,'DRAFT 2'!$A:$A,"&gt;="&amp;DATE(2026,12,15),'DRAFT 2'!$A:$A,"&lt;="&amp;DATE(2026,12,21))</f>
        <v/>
      </c>
      <c r="IV108">
        <f>COUNTIFS('DRAFT 2'!$D:$D,$B108,'DRAFT 2'!$A:$A,"&gt;="&amp;DATE(2026,12,22),'DRAFT 2'!$A:$A,"&lt;"&amp;DATE(2026,IF(12=12,12+1,12+1),1))</f>
        <v/>
      </c>
      <c r="IW108">
        <f>SUM(IS108:IV108)</f>
        <v/>
      </c>
    </row>
    <row r="109">
      <c r="A109">
        <f>IFERROR(INDEX('DRAFT 1'!$A:$A,MATCH($B109,'DRAFT 1'!$B:$B,0)),"")</f>
        <v/>
      </c>
      <c r="C109">
        <f>IFERROR(INDEX('DRAFT 1'!$C:$C,MATCH($B109,'DRAFT 1'!$B:$B,0)),"")</f>
        <v/>
      </c>
      <c r="D109">
        <f>IFERROR(INDEX('DRAFT 1'!$D:$D,MATCH($B109,'DRAFT 1'!$B:$B,0)),"")</f>
        <v/>
      </c>
      <c r="E109">
        <f>IFERROR(INDEX('DRAFT 1'!$E:$E,MATCH($B109,'DRAFT 1'!$B:$B,0)),"")</f>
        <v/>
      </c>
      <c r="F109">
        <f>IFERROR(INDEX('DRAFT 1'!$F:$F,MATCH($B109,'DRAFT 1'!$B:$B,0)),"")</f>
        <v/>
      </c>
      <c r="G109">
        <f>IFERROR(INDEX('DRAFT 1'!$G:$G,MATCH($B109,'DRAFT 1'!$B:$B,0)),"")</f>
        <v/>
      </c>
      <c r="H109">
        <f>IFERROR(INDEX('DRAFT 1'!$H:$H,MATCH($B109,'DRAFT 1'!$B:$B,0)),"")</f>
        <v/>
      </c>
      <c r="I109" t="inlineStr">
        <is>
          <t>FIT LAND</t>
        </is>
      </c>
      <c r="K109">
        <f>IFERROR(INDEX('DRAFT 1'!$AL:$AL,MATCH($B109,'DRAFT 1'!$B:$B,0)),"")</f>
        <v/>
      </c>
      <c r="L109">
        <f>IFERROR(INDEX('DRAFT 1'!$J:$J,MATCH($B109,'DRAFT 1'!$B:$B,0)),"")</f>
        <v/>
      </c>
      <c r="M109">
        <f>IFERROR(INDEX('DRAFT 1'!$K:$K,MATCH($B109,'DRAFT 1'!$B:$B,0)),"")</f>
        <v/>
      </c>
      <c r="N109" t="inlineStr">
        <is>
          <t>PROSPECT</t>
        </is>
      </c>
      <c r="P109">
        <f>IFERROR(INDEX('DRAFT 1'!$L:$L,MATCH($B109,'DRAFT 1'!$B:$B,0)),"")</f>
        <v/>
      </c>
      <c r="Q109">
        <f>IFERROR(INDEX('DRAFT 1'!$M:$M,MATCH($B109,'DRAFT 1'!$B:$B,0)),"")</f>
        <v/>
      </c>
      <c r="R109">
        <f>IFERROR(INDEX('DRAFT 1'!$N:$N,MATCH($B109,'DRAFT 1'!$B:$B,0)),"")</f>
        <v/>
      </c>
      <c r="S109">
        <f>IFERROR(INDEX('DRAFT 1'!$O:$O,MATCH($B109,'DRAFT 1'!$B:$B,0)),"")</f>
        <v/>
      </c>
      <c r="T109">
        <f>IFERROR(INDEX('DRAFT 1'!$P:$P,MATCH($B109,'DRAFT 1'!$B:$B,0)),"")</f>
        <v/>
      </c>
      <c r="U109">
        <f>IFERROR(INDEX('DRAFT 1'!$Q:$Q,MATCH($B109,'DRAFT 1'!$B:$B,0)),"")</f>
        <v/>
      </c>
      <c r="V109">
        <f>IFERROR(INDEX('DRAFT 1'!$R:$R,MATCH($B109,'DRAFT 1'!$B:$B,0)),"")</f>
        <v/>
      </c>
      <c r="W109">
        <f>IFERROR(INDEX('DRAFT 1'!$S:$S,MATCH($B109,'DRAFT 1'!$B:$B,0)),"")</f>
        <v/>
      </c>
      <c r="X109">
        <f>IFERROR(INDEX('DRAFT 1'!$T:$T,MATCH($B109,'DRAFT 1'!$B:$B,0)),"")</f>
        <v/>
      </c>
      <c r="Z109">
        <f>IFERROR(INDEX('DRAFT 1'!$U:$U,MATCH($B109,'DRAFT 1'!$B:$B,0)),"")</f>
        <v/>
      </c>
      <c r="AA109">
        <f>IFERROR(INDEX('DRAFT 1'!$V:$V,MATCH($B109,'DRAFT 1'!$B:$B,0)),"")</f>
        <v/>
      </c>
      <c r="AB109">
        <f>IFERROR(INDEX('DRAFT 1'!$W:$W,MATCH($B109,'DRAFT 1'!$B:$B,0)),"")</f>
        <v/>
      </c>
      <c r="AC109">
        <f>IFERROR(INDEX('DRAFT 1'!$X:$X,MATCH($B109,'DRAFT 1'!$B:$B,0)),"")</f>
        <v/>
      </c>
      <c r="AD109">
        <f>IFERROR(INDEX('DRAFT 1'!$Y:$Y,MATCH($B109,'DRAFT 1'!$B:$B,0)),"")</f>
        <v/>
      </c>
      <c r="AE109">
        <f>IFERROR(INDEX('DRAFT 1'!$Z:$Z,MATCH($B109,'DRAFT 1'!$B:$B,0)),"")</f>
        <v/>
      </c>
      <c r="AF109">
        <f>IFERROR(INDEX('DRAFT 1'!$AA:$AA,MATCH($B109,'DRAFT 1'!$B:$B,0)),"")</f>
        <v/>
      </c>
      <c r="AG109">
        <f>IFERROR(INDEX('DRAFT 1'!$AB:$AB,MATCH($B109,'DRAFT 1'!$B:$B,0)),"")</f>
        <v/>
      </c>
      <c r="AH109">
        <f>IFERROR(INDEX('DRAFT 1'!$AC:$AC,MATCH($B109,'DRAFT 1'!$B:$B,0)),"")</f>
        <v/>
      </c>
      <c r="AI109">
        <f>IFERROR(INDEX('DRAFT 1'!$AD:$AD,MATCH($B109,'DRAFT 1'!$B:$B,0)),"")</f>
        <v/>
      </c>
      <c r="AJ109">
        <f>IFERROR(INDEX('DRAFT 1'!$AE:$AE,MATCH($B109,'DRAFT 1'!$B:$B,0)),"")</f>
        <v/>
      </c>
      <c r="AK109">
        <f>IFERROR(INDEX('DRAFT 1'!$AG:$AG,MATCH($B109,'DRAFT 1'!$B:$B,0)),"")</f>
        <v/>
      </c>
      <c r="AL109">
        <f>IFERROR(INDEX('DRAFT 1'!$AH:$AH,MATCH($B109,'DRAFT 1'!$B:$B,0)),"")</f>
        <v/>
      </c>
      <c r="AM109">
        <f>IFERROR(INDEX('DRAFT 1'!$AI:$AI,MATCH($B109,'DRAFT 1'!$B:$B,0)),"")</f>
        <v/>
      </c>
      <c r="AN109">
        <f>IFERROR(INDEX('DRAFT 1'!$AJ:$AJ,MATCH($B109,'DRAFT 1'!$B:$B,0)),"")</f>
        <v/>
      </c>
      <c r="AO109">
        <f>IFERROR(Y109/AN109,0)</f>
        <v/>
      </c>
      <c r="AP109">
        <f>IFERROR(INDEX('DRAFT 1'!$AK:$AK,MATCH($B109,'DRAFT 1'!$B:$B,0)),"")</f>
        <v/>
      </c>
      <c r="AR109" t="inlineStr">
        <is>
          <t>SALVAMENTO</t>
        </is>
      </c>
      <c r="AS109">
        <f>IFERROR(LOOKUP(2,1/('DRAFT 2'!$D:$D=$B109),'DRAFT 2'!$T:$T),"")</f>
        <v/>
      </c>
      <c r="AT109">
        <f>IFERROR(LOOKUP(2,1/('DRAFT 2'!$D:$D=$B109),'DRAFT 2'!$A:$A),"")</f>
        <v/>
      </c>
      <c r="AU109">
        <f>IFERROR(LOOKUP(2,1/('DRAFT 2'!$D:$D=$B109),'DRAFT 2'!$R:$R),"")</f>
        <v/>
      </c>
      <c r="AV109">
        <f>IFERROR(LOOKUP(2,1/('DRAFT 2'!$D:$D=$B109),'DRAFT 2'!$S:$S),"")</f>
        <v/>
      </c>
      <c r="AW109" t="inlineStr">
        <is>
          <t>PROSPECT</t>
        </is>
      </c>
      <c r="AX109">
        <f>IFERROR(LOOKUP(2,1/('DRAFT 2'!$D:$D=$B109),'DRAFT 2'!$M:$M),"")</f>
        <v/>
      </c>
      <c r="AY109">
        <f>IFERROR(LOOKUP(2,1/('DRAFT 2'!$D:$D=$B109),'DRAFT 2'!$K:$K),"")</f>
        <v/>
      </c>
      <c r="BG109">
        <f>IFERROR(LOOKUP(2,1/('DRAFT 2'!$D:$D=$B109),'DRAFT 2'!$U:$U),"")</f>
        <v/>
      </c>
      <c r="BH109">
        <f>IFERROR(LOOKUP(2,1/('DRAFT 2'!$D:$D=$B109),'DRAFT 2'!$V:$V),"")</f>
        <v/>
      </c>
      <c r="CE109">
        <f>IFERROR(AJ109,0)</f>
        <v/>
      </c>
      <c r="CF109">
        <f>IFERROR(LOOKUP(2,1/('DRAFT 2'!$D:$D=$B109)*('DRAFT 2'!$A:$A&gt;=DATE(2026,1,1))*('DRAFT 2'!$A:$A&lt;DATE(2026,IF(1=12,1+1,1+1),1)),'DRAFT 2'!$A:$A),"")</f>
        <v/>
      </c>
      <c r="CG109">
        <f>COUNTIFS('DRAFT 2'!$D:$D,$B109,'DRAFT 2'!$A:$A,"&gt;="&amp;DATE(2026,1,1),'DRAFT 2'!$A:$A,"&lt;="&amp;DATE(2026,1,7))</f>
        <v/>
      </c>
      <c r="CH109">
        <f>COUNTIFS('DRAFT 2'!$D:$D,$B109,'DRAFT 2'!$A:$A,"&gt;="&amp;DATE(2026,1,8),'DRAFT 2'!$A:$A,"&lt;="&amp;DATE(2026,1,14))</f>
        <v/>
      </c>
      <c r="CI109">
        <f>COUNTIFS('DRAFT 2'!$D:$D,$B109,'DRAFT 2'!$A:$A,"&gt;="&amp;DATE(2026,1,15),'DRAFT 2'!$A:$A,"&lt;="&amp;DATE(2026,1,21))</f>
        <v/>
      </c>
      <c r="CJ109">
        <f>COUNTIFS('DRAFT 2'!$D:$D,$B109,'DRAFT 2'!$A:$A,"&gt;="&amp;DATE(2026,1,22),'DRAFT 2'!$A:$A,"&lt;"&amp;DATE(2026,IF(1=12,1+1,1+1),1))</f>
        <v/>
      </c>
      <c r="CK109">
        <f>SUM(CG109:CJ109)</f>
        <v/>
      </c>
      <c r="CT109" t="n">
        <v>0</v>
      </c>
      <c r="CU109">
        <f>IFERROR(LOOKUP(2,1/('DRAFT 2'!$D:$D=$B109)*('DRAFT 2'!$A:$A&gt;=DATE(2026,2,1))*('DRAFT 2'!$A:$A&lt;DATE(2026,IF(2=12,2+1,2+1),1)),'DRAFT 2'!$A:$A),"")</f>
        <v/>
      </c>
      <c r="CV109">
        <f>COUNTIFS('DRAFT 2'!$D:$D,$B109,'DRAFT 2'!$A:$A,"&gt;="&amp;DATE(2026,2,1),'DRAFT 2'!$A:$A,"&lt;="&amp;DATE(2026,2,7))</f>
        <v/>
      </c>
      <c r="CW109">
        <f>COUNTIFS('DRAFT 2'!$D:$D,$B109,'DRAFT 2'!$A:$A,"&gt;="&amp;DATE(2026,2,8),'DRAFT 2'!$A:$A,"&lt;="&amp;DATE(2026,2,14))</f>
        <v/>
      </c>
      <c r="CX109">
        <f>COUNTIFS('DRAFT 2'!$D:$D,$B109,'DRAFT 2'!$A:$A,"&gt;="&amp;DATE(2026,2,15),'DRAFT 2'!$A:$A,"&lt;="&amp;DATE(2026,2,21))</f>
        <v/>
      </c>
      <c r="CY109">
        <f>COUNTIFS('DRAFT 2'!$D:$D,$B109,'DRAFT 2'!$A:$A,"&gt;="&amp;DATE(2026,2,22),'DRAFT 2'!$A:$A,"&lt;"&amp;DATE(2026,IF(2=12,2+1,2+1),1))</f>
        <v/>
      </c>
      <c r="CZ109">
        <f>SUM(CV109:CY109)</f>
        <v/>
      </c>
      <c r="DJ109">
        <f>IFERROR(LOOKUP(2,1/('DRAFT 2'!$D:$D=$B109)*('DRAFT 2'!$A:$A&gt;=DATE(2026,3,1))*('DRAFT 2'!$A:$A&lt;DATE(2026,IF(3=12,3+1,3+1),1)),'DRAFT 2'!$A:$A),"")</f>
        <v/>
      </c>
      <c r="DK109">
        <f>COUNTIFS('DRAFT 2'!$D:$D,$B109,'DRAFT 2'!$A:$A,"&gt;="&amp;DATE(2026,3,1),'DRAFT 2'!$A:$A,"&lt;="&amp;DATE(2026,3,7))</f>
        <v/>
      </c>
      <c r="DL109">
        <f>COUNTIFS('DRAFT 2'!$D:$D,$B109,'DRAFT 2'!$A:$A,"&gt;="&amp;DATE(2026,3,8),'DRAFT 2'!$A:$A,"&lt;="&amp;DATE(2026,3,14))</f>
        <v/>
      </c>
      <c r="DM109">
        <f>COUNTIFS('DRAFT 2'!$D:$D,$B109,'DRAFT 2'!$A:$A,"&gt;="&amp;DATE(2026,3,15),'DRAFT 2'!$A:$A,"&lt;="&amp;DATE(2026,3,21))</f>
        <v/>
      </c>
      <c r="DN109">
        <f>COUNTIFS('DRAFT 2'!$D:$D,$B109,'DRAFT 2'!$A:$A,"&gt;="&amp;DATE(2026,3,22),'DRAFT 2'!$A:$A,"&lt;"&amp;DATE(2026,IF(3=12,3+1,3+1),1))</f>
        <v/>
      </c>
      <c r="DO109">
        <f>SUM(DK109:DN109)</f>
        <v/>
      </c>
      <c r="DZ109">
        <f>IFERROR(LOOKUP(2,1/('DRAFT 2'!$D:$D=$B109)*('DRAFT 2'!$A:$A&gt;=DATE(2026,4,1))*('DRAFT 2'!$A:$A&lt;DATE(2026,IF(4=12,4+1,4+1),1)),'DRAFT 2'!$A:$A),"")</f>
        <v/>
      </c>
      <c r="EA109">
        <f>COUNTIFS('DRAFT 2'!$D:$D,$B109,'DRAFT 2'!$A:$A,"&gt;="&amp;DATE(2026,4,1),'DRAFT 2'!$A:$A,"&lt;="&amp;DATE(2026,4,7))</f>
        <v/>
      </c>
      <c r="EB109">
        <f>COUNTIFS('DRAFT 2'!$D:$D,$B109,'DRAFT 2'!$A:$A,"&gt;="&amp;DATE(2026,4,8),'DRAFT 2'!$A:$A,"&lt;="&amp;DATE(2026,4,14))</f>
        <v/>
      </c>
      <c r="EC109">
        <f>COUNTIFS('DRAFT 2'!$D:$D,$B109,'DRAFT 2'!$A:$A,"&gt;="&amp;DATE(2026,4,15),'DRAFT 2'!$A:$A,"&lt;="&amp;DATE(2026,4,21))</f>
        <v/>
      </c>
      <c r="ED109">
        <f>COUNTIFS('DRAFT 2'!$D:$D,$B109,'DRAFT 2'!$A:$A,"&gt;="&amp;DATE(2026,4,22),'DRAFT 2'!$A:$A,"&lt;"&amp;DATE(2026,IF(4=12,4+1,4+1),1))</f>
        <v/>
      </c>
      <c r="EE109">
        <f>SUM(EA109:ED109)</f>
        <v/>
      </c>
      <c r="EO109">
        <f>IFERROR(LOOKUP(2,1/('DRAFT 2'!$D:$D=$B109)*('DRAFT 2'!$A:$A&gt;=DATE(2026,5,1))*('DRAFT 2'!$A:$A&lt;DATE(2026,IF(5=12,5+1,5+1),1)),'DRAFT 2'!$A:$A),"")</f>
        <v/>
      </c>
      <c r="EP109">
        <f>COUNTIFS('DRAFT 2'!$D:$D,$B109,'DRAFT 2'!$A:$A,"&gt;="&amp;DATE(2026,5,1),'DRAFT 2'!$A:$A,"&lt;="&amp;DATE(2026,5,7))</f>
        <v/>
      </c>
      <c r="EQ109">
        <f>COUNTIFS('DRAFT 2'!$D:$D,$B109,'DRAFT 2'!$A:$A,"&gt;="&amp;DATE(2026,5,8),'DRAFT 2'!$A:$A,"&lt;="&amp;DATE(2026,5,14))</f>
        <v/>
      </c>
      <c r="ER109">
        <f>COUNTIFS('DRAFT 2'!$D:$D,$B109,'DRAFT 2'!$A:$A,"&gt;="&amp;DATE(2026,5,15),'DRAFT 2'!$A:$A,"&lt;="&amp;DATE(2026,5,21))</f>
        <v/>
      </c>
      <c r="ES109">
        <f>COUNTIFS('DRAFT 2'!$D:$D,$B109,'DRAFT 2'!$A:$A,"&gt;="&amp;DATE(2026,5,22),'DRAFT 2'!$A:$A,"&lt;"&amp;DATE(2026,IF(5=12,5+1,5+1),1))</f>
        <v/>
      </c>
      <c r="ET109">
        <f>SUM(EP109:ES109)</f>
        <v/>
      </c>
      <c r="FD109">
        <f>IFERROR(LOOKUP(2,1/('DRAFT 2'!$D:$D=$B109)*('DRAFT 2'!$A:$A&gt;=DATE(2026,6,1))*('DRAFT 2'!$A:$A&lt;DATE(2026,IF(6=12,6+1,6+1),1)),'DRAFT 2'!$A:$A),"")</f>
        <v/>
      </c>
      <c r="FE109">
        <f>COUNTIFS('DRAFT 2'!$D:$D,$B109,'DRAFT 2'!$A:$A,"&gt;="&amp;DATE(2026,6,1),'DRAFT 2'!$A:$A,"&lt;="&amp;DATE(2026,6,7))</f>
        <v/>
      </c>
      <c r="FF109">
        <f>COUNTIFS('DRAFT 2'!$D:$D,$B109,'DRAFT 2'!$A:$A,"&gt;="&amp;DATE(2026,6,8),'DRAFT 2'!$A:$A,"&lt;="&amp;DATE(2026,6,14))</f>
        <v/>
      </c>
      <c r="FG109">
        <f>COUNTIFS('DRAFT 2'!$D:$D,$B109,'DRAFT 2'!$A:$A,"&gt;="&amp;DATE(2026,6,15),'DRAFT 2'!$A:$A,"&lt;="&amp;DATE(2026,6,21))</f>
        <v/>
      </c>
      <c r="FH109">
        <f>COUNTIFS('DRAFT 2'!$D:$D,$B109,'DRAFT 2'!$A:$A,"&gt;="&amp;DATE(2026,6,22),'DRAFT 2'!$A:$A,"&lt;"&amp;DATE(2026,IF(6=12,6+1,6+1),1))</f>
        <v/>
      </c>
      <c r="FI109">
        <f>SUM(FE109:FH109)</f>
        <v/>
      </c>
      <c r="FT109">
        <f>IFERROR(LOOKUP(2,1/('DRAFT 2'!$D:$D=$B109)*('DRAFT 2'!$A:$A&gt;=DATE(2026,7,1))*('DRAFT 2'!$A:$A&lt;DATE(2026,IF(7=12,7+1,7+1),1)),'DRAFT 2'!$A:$A),"")</f>
        <v/>
      </c>
      <c r="FU109">
        <f>COUNTIFS('DRAFT 2'!$D:$D,$B109,'DRAFT 2'!$A:$A,"&gt;="&amp;DATE(2026,7,1),'DRAFT 2'!$A:$A,"&lt;="&amp;DATE(2026,7,7))</f>
        <v/>
      </c>
      <c r="FV109">
        <f>COUNTIFS('DRAFT 2'!$D:$D,$B109,'DRAFT 2'!$A:$A,"&gt;="&amp;DATE(2026,7,8),'DRAFT 2'!$A:$A,"&lt;="&amp;DATE(2026,7,14))</f>
        <v/>
      </c>
      <c r="FW109">
        <f>COUNTIFS('DRAFT 2'!$D:$D,$B109,'DRAFT 2'!$A:$A,"&gt;="&amp;DATE(2026,7,15),'DRAFT 2'!$A:$A,"&lt;="&amp;DATE(2026,7,21))</f>
        <v/>
      </c>
      <c r="FX109">
        <f>COUNTIFS('DRAFT 2'!$D:$D,$B109,'DRAFT 2'!$A:$A,"&gt;="&amp;DATE(2026,7,22),'DRAFT 2'!$A:$A,"&lt;"&amp;DATE(2026,IF(7=12,7+1,7+1),1))</f>
        <v/>
      </c>
      <c r="FY109">
        <f>SUM(FU109:FX109)</f>
        <v/>
      </c>
      <c r="GI109">
        <f>IFERROR(LOOKUP(2,1/('DRAFT 2'!$D:$D=$B109)*('DRAFT 2'!$A:$A&gt;=DATE(2026,8,1))*('DRAFT 2'!$A:$A&lt;DATE(2026,IF(8=12,8+1,8+1),1)),'DRAFT 2'!$A:$A),"")</f>
        <v/>
      </c>
      <c r="GJ109">
        <f>COUNTIFS('DRAFT 2'!$D:$D,$B109,'DRAFT 2'!$A:$A,"&gt;="&amp;DATE(2026,8,1),'DRAFT 2'!$A:$A,"&lt;="&amp;DATE(2026,8,7))</f>
        <v/>
      </c>
      <c r="GK109">
        <f>COUNTIFS('DRAFT 2'!$D:$D,$B109,'DRAFT 2'!$A:$A,"&gt;="&amp;DATE(2026,8,8),'DRAFT 2'!$A:$A,"&lt;="&amp;DATE(2026,8,14))</f>
        <v/>
      </c>
      <c r="GL109">
        <f>COUNTIFS('DRAFT 2'!$D:$D,$B109,'DRAFT 2'!$A:$A,"&gt;="&amp;DATE(2026,8,15),'DRAFT 2'!$A:$A,"&lt;="&amp;DATE(2026,8,21))</f>
        <v/>
      </c>
      <c r="GM109">
        <f>COUNTIFS('DRAFT 2'!$D:$D,$B109,'DRAFT 2'!$A:$A,"&gt;="&amp;DATE(2026,8,22),'DRAFT 2'!$A:$A,"&lt;"&amp;DATE(2026,IF(8=12,8+1,8+1),1))</f>
        <v/>
      </c>
      <c r="GN109">
        <f>SUM(GJ109:GM109)</f>
        <v/>
      </c>
      <c r="GX109">
        <f>IFERROR(LOOKUP(2,1/('DRAFT 2'!$D:$D=$B109)*('DRAFT 2'!$A:$A&gt;=DATE(2026,9,1))*('DRAFT 2'!$A:$A&lt;DATE(2026,IF(9=12,9+1,9+1),1)),'DRAFT 2'!$A:$A),"")</f>
        <v/>
      </c>
      <c r="GY109">
        <f>COUNTIFS('DRAFT 2'!$D:$D,$B109,'DRAFT 2'!$A:$A,"&gt;="&amp;DATE(2026,9,1),'DRAFT 2'!$A:$A,"&lt;="&amp;DATE(2026,9,7))</f>
        <v/>
      </c>
      <c r="GZ109">
        <f>COUNTIFS('DRAFT 2'!$D:$D,$B109,'DRAFT 2'!$A:$A,"&gt;="&amp;DATE(2026,9,8),'DRAFT 2'!$A:$A,"&lt;="&amp;DATE(2026,9,14))</f>
        <v/>
      </c>
      <c r="HA109">
        <f>COUNTIFS('DRAFT 2'!$D:$D,$B109,'DRAFT 2'!$A:$A,"&gt;="&amp;DATE(2026,9,15),'DRAFT 2'!$A:$A,"&lt;="&amp;DATE(2026,9,21))</f>
        <v/>
      </c>
      <c r="HB109">
        <f>COUNTIFS('DRAFT 2'!$D:$D,$B109,'DRAFT 2'!$A:$A,"&gt;="&amp;DATE(2026,9,22),'DRAFT 2'!$A:$A,"&lt;"&amp;DATE(2026,IF(9=12,9+1,9+1),1))</f>
        <v/>
      </c>
      <c r="HC109">
        <f>SUM(GY109:HB109)</f>
        <v/>
      </c>
      <c r="HN109">
        <f>IFERROR(LOOKUP(2,1/('DRAFT 2'!$D:$D=$B109)*('DRAFT 2'!$A:$A&gt;=DATE(2026,10,1))*('DRAFT 2'!$A:$A&lt;DATE(2026,IF(10=12,10+1,10+1),1)),'DRAFT 2'!$A:$A),"")</f>
        <v/>
      </c>
      <c r="HO109">
        <f>COUNTIFS('DRAFT 2'!$D:$D,$B109,'DRAFT 2'!$A:$A,"&gt;="&amp;DATE(2026,10,1),'DRAFT 2'!$A:$A,"&lt;="&amp;DATE(2026,10,7))</f>
        <v/>
      </c>
      <c r="HP109">
        <f>COUNTIFS('DRAFT 2'!$D:$D,$B109,'DRAFT 2'!$A:$A,"&gt;="&amp;DATE(2026,10,8),'DRAFT 2'!$A:$A,"&lt;="&amp;DATE(2026,10,14))</f>
        <v/>
      </c>
      <c r="HQ109">
        <f>COUNTIFS('DRAFT 2'!$D:$D,$B109,'DRAFT 2'!$A:$A,"&gt;="&amp;DATE(2026,10,15),'DRAFT 2'!$A:$A,"&lt;="&amp;DATE(2026,10,21))</f>
        <v/>
      </c>
      <c r="HR109">
        <f>COUNTIFS('DRAFT 2'!$D:$D,$B109,'DRAFT 2'!$A:$A,"&gt;="&amp;DATE(2026,10,22),'DRAFT 2'!$A:$A,"&lt;"&amp;DATE(2026,IF(10=12,10+1,10+1),1))</f>
        <v/>
      </c>
      <c r="HS109">
        <f>SUM(HO109:HR109)</f>
        <v/>
      </c>
      <c r="IC109">
        <f>IFERROR(LOOKUP(2,1/('DRAFT 2'!$D:$D=$B109)*('DRAFT 2'!$A:$A&gt;=DATE(2026,11,1))*('DRAFT 2'!$A:$A&lt;DATE(2026,IF(11=12,11+1,11+1),1)),'DRAFT 2'!$A:$A),"")</f>
        <v/>
      </c>
      <c r="ID109">
        <f>COUNTIFS('DRAFT 2'!$D:$D,$B109,'DRAFT 2'!$A:$A,"&gt;="&amp;DATE(2026,11,1),'DRAFT 2'!$A:$A,"&lt;="&amp;DATE(2026,11,7))</f>
        <v/>
      </c>
      <c r="IE109">
        <f>COUNTIFS('DRAFT 2'!$D:$D,$B109,'DRAFT 2'!$A:$A,"&gt;="&amp;DATE(2026,11,8),'DRAFT 2'!$A:$A,"&lt;="&amp;DATE(2026,11,14))</f>
        <v/>
      </c>
      <c r="IF109">
        <f>COUNTIFS('DRAFT 2'!$D:$D,$B109,'DRAFT 2'!$A:$A,"&gt;="&amp;DATE(2026,11,15),'DRAFT 2'!$A:$A,"&lt;="&amp;DATE(2026,11,21))</f>
        <v/>
      </c>
      <c r="IG109">
        <f>COUNTIFS('DRAFT 2'!$D:$D,$B109,'DRAFT 2'!$A:$A,"&gt;="&amp;DATE(2026,11,22),'DRAFT 2'!$A:$A,"&lt;"&amp;DATE(2026,IF(11=12,11+1,11+1),1))</f>
        <v/>
      </c>
      <c r="IH109">
        <f>SUM(ID109:IG109)</f>
        <v/>
      </c>
      <c r="IR109">
        <f>IFERROR(LOOKUP(2,1/('DRAFT 2'!$D:$D=$B109)*('DRAFT 2'!$A:$A&gt;=DATE(2026,12,1))*('DRAFT 2'!$A:$A&lt;DATE(2026,IF(12=12,12+1,12+1),1)),'DRAFT 2'!$A:$A),"")</f>
        <v/>
      </c>
      <c r="IS109">
        <f>COUNTIFS('DRAFT 2'!$D:$D,$B109,'DRAFT 2'!$A:$A,"&gt;="&amp;DATE(2026,12,1),'DRAFT 2'!$A:$A,"&lt;="&amp;DATE(2026,12,7))</f>
        <v/>
      </c>
      <c r="IT109">
        <f>COUNTIFS('DRAFT 2'!$D:$D,$B109,'DRAFT 2'!$A:$A,"&gt;="&amp;DATE(2026,12,8),'DRAFT 2'!$A:$A,"&lt;="&amp;DATE(2026,12,14))</f>
        <v/>
      </c>
      <c r="IU109">
        <f>COUNTIFS('DRAFT 2'!$D:$D,$B109,'DRAFT 2'!$A:$A,"&gt;="&amp;DATE(2026,12,15),'DRAFT 2'!$A:$A,"&lt;="&amp;DATE(2026,12,21))</f>
        <v/>
      </c>
      <c r="IV109">
        <f>COUNTIFS('DRAFT 2'!$D:$D,$B109,'DRAFT 2'!$A:$A,"&gt;="&amp;DATE(2026,12,22),'DRAFT 2'!$A:$A,"&lt;"&amp;DATE(2026,IF(12=12,12+1,12+1),1))</f>
        <v/>
      </c>
      <c r="IW109">
        <f>SUM(IS109:IV109)</f>
        <v/>
      </c>
    </row>
    <row r="110">
      <c r="A110">
        <f>IFERROR(INDEX('DRAFT 1'!$A:$A,MATCH($B110,'DRAFT 1'!$B:$B,0)),"")</f>
        <v/>
      </c>
      <c r="C110">
        <f>IFERROR(INDEX('DRAFT 1'!$C:$C,MATCH($B110,'DRAFT 1'!$B:$B,0)),"")</f>
        <v/>
      </c>
      <c r="D110">
        <f>IFERROR(INDEX('DRAFT 1'!$D:$D,MATCH($B110,'DRAFT 1'!$B:$B,0)),"")</f>
        <v/>
      </c>
      <c r="E110">
        <f>IFERROR(INDEX('DRAFT 1'!$E:$E,MATCH($B110,'DRAFT 1'!$B:$B,0)),"")</f>
        <v/>
      </c>
      <c r="F110">
        <f>IFERROR(INDEX('DRAFT 1'!$F:$F,MATCH($B110,'DRAFT 1'!$B:$B,0)),"")</f>
        <v/>
      </c>
      <c r="G110">
        <f>IFERROR(INDEX('DRAFT 1'!$G:$G,MATCH($B110,'DRAFT 1'!$B:$B,0)),"")</f>
        <v/>
      </c>
      <c r="H110">
        <f>IFERROR(INDEX('DRAFT 1'!$H:$H,MATCH($B110,'DRAFT 1'!$B:$B,0)),"")</f>
        <v/>
      </c>
      <c r="I110" t="inlineStr">
        <is>
          <t>MUNDO VERDE</t>
        </is>
      </c>
      <c r="K110">
        <f>IFERROR(INDEX('DRAFT 1'!$AL:$AL,MATCH($B110,'DRAFT 1'!$B:$B,0)),"")</f>
        <v/>
      </c>
      <c r="L110">
        <f>IFERROR(INDEX('DRAFT 1'!$J:$J,MATCH($B110,'DRAFT 1'!$B:$B,0)),"")</f>
        <v/>
      </c>
      <c r="M110">
        <f>IFERROR(INDEX('DRAFT 1'!$K:$K,MATCH($B110,'DRAFT 1'!$B:$B,0)),"")</f>
        <v/>
      </c>
      <c r="N110" t="inlineStr">
        <is>
          <t>NOVO</t>
        </is>
      </c>
      <c r="P110">
        <f>IFERROR(INDEX('DRAFT 1'!$L:$L,MATCH($B110,'DRAFT 1'!$B:$B,0)),"")</f>
        <v/>
      </c>
      <c r="Q110">
        <f>IFERROR(INDEX('DRAFT 1'!$M:$M,MATCH($B110,'DRAFT 1'!$B:$B,0)),"")</f>
        <v/>
      </c>
      <c r="R110">
        <f>IFERROR(INDEX('DRAFT 1'!$N:$N,MATCH($B110,'DRAFT 1'!$B:$B,0)),"")</f>
        <v/>
      </c>
      <c r="S110">
        <f>IFERROR(INDEX('DRAFT 1'!$O:$O,MATCH($B110,'DRAFT 1'!$B:$B,0)),"")</f>
        <v/>
      </c>
      <c r="T110">
        <f>IFERROR(INDEX('DRAFT 1'!$P:$P,MATCH($B110,'DRAFT 1'!$B:$B,0)),"")</f>
        <v/>
      </c>
      <c r="U110">
        <f>IFERROR(INDEX('DRAFT 1'!$Q:$Q,MATCH($B110,'DRAFT 1'!$B:$B,0)),"")</f>
        <v/>
      </c>
      <c r="V110">
        <f>IFERROR(INDEX('DRAFT 1'!$R:$R,MATCH($B110,'DRAFT 1'!$B:$B,0)),"")</f>
        <v/>
      </c>
      <c r="W110">
        <f>IFERROR(INDEX('DRAFT 1'!$S:$S,MATCH($B110,'DRAFT 1'!$B:$B,0)),"")</f>
        <v/>
      </c>
      <c r="X110">
        <f>IFERROR(INDEX('DRAFT 1'!$T:$T,MATCH($B110,'DRAFT 1'!$B:$B,0)),"")</f>
        <v/>
      </c>
      <c r="Z110">
        <f>IFERROR(INDEX('DRAFT 1'!$U:$U,MATCH($B110,'DRAFT 1'!$B:$B,0)),"")</f>
        <v/>
      </c>
      <c r="AA110">
        <f>IFERROR(INDEX('DRAFT 1'!$V:$V,MATCH($B110,'DRAFT 1'!$B:$B,0)),"")</f>
        <v/>
      </c>
      <c r="AB110">
        <f>IFERROR(INDEX('DRAFT 1'!$W:$W,MATCH($B110,'DRAFT 1'!$B:$B,0)),"")</f>
        <v/>
      </c>
      <c r="AC110">
        <f>IFERROR(INDEX('DRAFT 1'!$X:$X,MATCH($B110,'DRAFT 1'!$B:$B,0)),"")</f>
        <v/>
      </c>
      <c r="AD110">
        <f>IFERROR(INDEX('DRAFT 1'!$Y:$Y,MATCH($B110,'DRAFT 1'!$B:$B,0)),"")</f>
        <v/>
      </c>
      <c r="AE110">
        <f>IFERROR(INDEX('DRAFT 1'!$Z:$Z,MATCH($B110,'DRAFT 1'!$B:$B,0)),"")</f>
        <v/>
      </c>
      <c r="AF110">
        <f>IFERROR(INDEX('DRAFT 1'!$AA:$AA,MATCH($B110,'DRAFT 1'!$B:$B,0)),"")</f>
        <v/>
      </c>
      <c r="AG110">
        <f>IFERROR(INDEX('DRAFT 1'!$AB:$AB,MATCH($B110,'DRAFT 1'!$B:$B,0)),"")</f>
        <v/>
      </c>
      <c r="AH110">
        <f>IFERROR(INDEX('DRAFT 1'!$AC:$AC,MATCH($B110,'DRAFT 1'!$B:$B,0)),"")</f>
        <v/>
      </c>
      <c r="AI110">
        <f>IFERROR(INDEX('DRAFT 1'!$AD:$AD,MATCH($B110,'DRAFT 1'!$B:$B,0)),"")</f>
        <v/>
      </c>
      <c r="AJ110">
        <f>IFERROR(INDEX('DRAFT 1'!$AE:$AE,MATCH($B110,'DRAFT 1'!$B:$B,0)),"")</f>
        <v/>
      </c>
      <c r="AK110">
        <f>IFERROR(INDEX('DRAFT 1'!$AG:$AG,MATCH($B110,'DRAFT 1'!$B:$B,0)),"")</f>
        <v/>
      </c>
      <c r="AL110">
        <f>IFERROR(INDEX('DRAFT 1'!$AH:$AH,MATCH($B110,'DRAFT 1'!$B:$B,0)),"")</f>
        <v/>
      </c>
      <c r="AM110">
        <f>IFERROR(INDEX('DRAFT 1'!$AI:$AI,MATCH($B110,'DRAFT 1'!$B:$B,0)),"")</f>
        <v/>
      </c>
      <c r="AN110">
        <f>IFERROR(INDEX('DRAFT 1'!$AJ:$AJ,MATCH($B110,'DRAFT 1'!$B:$B,0)),"")</f>
        <v/>
      </c>
      <c r="AO110">
        <f>IFERROR(Y110/AN110,0)</f>
        <v/>
      </c>
      <c r="AP110">
        <f>IFERROR(INDEX('DRAFT 1'!$AK:$AK,MATCH($B110,'DRAFT 1'!$B:$B,0)),"")</f>
        <v/>
      </c>
      <c r="AR110" t="inlineStr">
        <is>
          <t>PÓS-VENDA</t>
        </is>
      </c>
      <c r="AS110">
        <f>IFERROR(LOOKUP(2,1/('DRAFT 2'!$D:$D=$B110),'DRAFT 2'!$T:$T),"")</f>
        <v/>
      </c>
      <c r="AT110">
        <f>IFERROR(LOOKUP(2,1/('DRAFT 2'!$D:$D=$B110),'DRAFT 2'!$A:$A),"")</f>
        <v/>
      </c>
      <c r="AU110">
        <f>IFERROR(LOOKUP(2,1/('DRAFT 2'!$D:$D=$B110),'DRAFT 2'!$R:$R),"")</f>
        <v/>
      </c>
      <c r="AV110">
        <f>IFERROR(LOOKUP(2,1/('DRAFT 2'!$D:$D=$B110),'DRAFT 2'!$S:$S),"")</f>
        <v/>
      </c>
      <c r="AW110" t="inlineStr">
        <is>
          <t>NOVO</t>
        </is>
      </c>
      <c r="AX110">
        <f>IFERROR(LOOKUP(2,1/('DRAFT 2'!$D:$D=$B110),'DRAFT 2'!$M:$M),"")</f>
        <v/>
      </c>
      <c r="AY110">
        <f>IFERROR(LOOKUP(2,1/('DRAFT 2'!$D:$D=$B110),'DRAFT 2'!$K:$K),"")</f>
        <v/>
      </c>
      <c r="BG110">
        <f>IFERROR(LOOKUP(2,1/('DRAFT 2'!$D:$D=$B110),'DRAFT 2'!$U:$U),"")</f>
        <v/>
      </c>
      <c r="BH110">
        <f>IFERROR(LOOKUP(2,1/('DRAFT 2'!$D:$D=$B110),'DRAFT 2'!$V:$V),"")</f>
        <v/>
      </c>
      <c r="CE110">
        <f>IFERROR(AJ110,0)</f>
        <v/>
      </c>
      <c r="CF110">
        <f>IFERROR(LOOKUP(2,1/('DRAFT 2'!$D:$D=$B110)*('DRAFT 2'!$A:$A&gt;=DATE(2026,1,1))*('DRAFT 2'!$A:$A&lt;DATE(2026,IF(1=12,1+1,1+1),1)),'DRAFT 2'!$A:$A),"")</f>
        <v/>
      </c>
      <c r="CG110">
        <f>COUNTIFS('DRAFT 2'!$D:$D,$B110,'DRAFT 2'!$A:$A,"&gt;="&amp;DATE(2026,1,1),'DRAFT 2'!$A:$A,"&lt;="&amp;DATE(2026,1,7))</f>
        <v/>
      </c>
      <c r="CH110">
        <f>COUNTIFS('DRAFT 2'!$D:$D,$B110,'DRAFT 2'!$A:$A,"&gt;="&amp;DATE(2026,1,8),'DRAFT 2'!$A:$A,"&lt;="&amp;DATE(2026,1,14))</f>
        <v/>
      </c>
      <c r="CI110">
        <f>COUNTIFS('DRAFT 2'!$D:$D,$B110,'DRAFT 2'!$A:$A,"&gt;="&amp;DATE(2026,1,15),'DRAFT 2'!$A:$A,"&lt;="&amp;DATE(2026,1,21))</f>
        <v/>
      </c>
      <c r="CJ110">
        <f>COUNTIFS('DRAFT 2'!$D:$D,$B110,'DRAFT 2'!$A:$A,"&gt;="&amp;DATE(2026,1,22),'DRAFT 2'!$A:$A,"&lt;"&amp;DATE(2026,IF(1=12,1+1,1+1),1))</f>
        <v/>
      </c>
      <c r="CK110">
        <f>SUM(CG110:CJ110)</f>
        <v/>
      </c>
      <c r="CT110" t="n">
        <v>0</v>
      </c>
      <c r="CU110">
        <f>IFERROR(LOOKUP(2,1/('DRAFT 2'!$D:$D=$B110)*('DRAFT 2'!$A:$A&gt;=DATE(2026,2,1))*('DRAFT 2'!$A:$A&lt;DATE(2026,IF(2=12,2+1,2+1),1)),'DRAFT 2'!$A:$A),"")</f>
        <v/>
      </c>
      <c r="CV110">
        <f>COUNTIFS('DRAFT 2'!$D:$D,$B110,'DRAFT 2'!$A:$A,"&gt;="&amp;DATE(2026,2,1),'DRAFT 2'!$A:$A,"&lt;="&amp;DATE(2026,2,7))</f>
        <v/>
      </c>
      <c r="CW110">
        <f>COUNTIFS('DRAFT 2'!$D:$D,$B110,'DRAFT 2'!$A:$A,"&gt;="&amp;DATE(2026,2,8),'DRAFT 2'!$A:$A,"&lt;="&amp;DATE(2026,2,14))</f>
        <v/>
      </c>
      <c r="CX110">
        <f>COUNTIFS('DRAFT 2'!$D:$D,$B110,'DRAFT 2'!$A:$A,"&gt;="&amp;DATE(2026,2,15),'DRAFT 2'!$A:$A,"&lt;="&amp;DATE(2026,2,21))</f>
        <v/>
      </c>
      <c r="CY110">
        <f>COUNTIFS('DRAFT 2'!$D:$D,$B110,'DRAFT 2'!$A:$A,"&gt;="&amp;DATE(2026,2,22),'DRAFT 2'!$A:$A,"&lt;"&amp;DATE(2026,IF(2=12,2+1,2+1),1))</f>
        <v/>
      </c>
      <c r="CZ110">
        <f>SUM(CV110:CY110)</f>
        <v/>
      </c>
      <c r="DJ110">
        <f>IFERROR(LOOKUP(2,1/('DRAFT 2'!$D:$D=$B110)*('DRAFT 2'!$A:$A&gt;=DATE(2026,3,1))*('DRAFT 2'!$A:$A&lt;DATE(2026,IF(3=12,3+1,3+1),1)),'DRAFT 2'!$A:$A),"")</f>
        <v/>
      </c>
      <c r="DK110">
        <f>COUNTIFS('DRAFT 2'!$D:$D,$B110,'DRAFT 2'!$A:$A,"&gt;="&amp;DATE(2026,3,1),'DRAFT 2'!$A:$A,"&lt;="&amp;DATE(2026,3,7))</f>
        <v/>
      </c>
      <c r="DL110">
        <f>COUNTIFS('DRAFT 2'!$D:$D,$B110,'DRAFT 2'!$A:$A,"&gt;="&amp;DATE(2026,3,8),'DRAFT 2'!$A:$A,"&lt;="&amp;DATE(2026,3,14))</f>
        <v/>
      </c>
      <c r="DM110">
        <f>COUNTIFS('DRAFT 2'!$D:$D,$B110,'DRAFT 2'!$A:$A,"&gt;="&amp;DATE(2026,3,15),'DRAFT 2'!$A:$A,"&lt;="&amp;DATE(2026,3,21))</f>
        <v/>
      </c>
      <c r="DN110">
        <f>COUNTIFS('DRAFT 2'!$D:$D,$B110,'DRAFT 2'!$A:$A,"&gt;="&amp;DATE(2026,3,22),'DRAFT 2'!$A:$A,"&lt;"&amp;DATE(2026,IF(3=12,3+1,3+1),1))</f>
        <v/>
      </c>
      <c r="DO110">
        <f>SUM(DK110:DN110)</f>
        <v/>
      </c>
      <c r="DZ110">
        <f>IFERROR(LOOKUP(2,1/('DRAFT 2'!$D:$D=$B110)*('DRAFT 2'!$A:$A&gt;=DATE(2026,4,1))*('DRAFT 2'!$A:$A&lt;DATE(2026,IF(4=12,4+1,4+1),1)),'DRAFT 2'!$A:$A),"")</f>
        <v/>
      </c>
      <c r="EA110">
        <f>COUNTIFS('DRAFT 2'!$D:$D,$B110,'DRAFT 2'!$A:$A,"&gt;="&amp;DATE(2026,4,1),'DRAFT 2'!$A:$A,"&lt;="&amp;DATE(2026,4,7))</f>
        <v/>
      </c>
      <c r="EB110">
        <f>COUNTIFS('DRAFT 2'!$D:$D,$B110,'DRAFT 2'!$A:$A,"&gt;="&amp;DATE(2026,4,8),'DRAFT 2'!$A:$A,"&lt;="&amp;DATE(2026,4,14))</f>
        <v/>
      </c>
      <c r="EC110">
        <f>COUNTIFS('DRAFT 2'!$D:$D,$B110,'DRAFT 2'!$A:$A,"&gt;="&amp;DATE(2026,4,15),'DRAFT 2'!$A:$A,"&lt;="&amp;DATE(2026,4,21))</f>
        <v/>
      </c>
      <c r="ED110">
        <f>COUNTIFS('DRAFT 2'!$D:$D,$B110,'DRAFT 2'!$A:$A,"&gt;="&amp;DATE(2026,4,22),'DRAFT 2'!$A:$A,"&lt;"&amp;DATE(2026,IF(4=12,4+1,4+1),1))</f>
        <v/>
      </c>
      <c r="EE110">
        <f>SUM(EA110:ED110)</f>
        <v/>
      </c>
      <c r="EO110">
        <f>IFERROR(LOOKUP(2,1/('DRAFT 2'!$D:$D=$B110)*('DRAFT 2'!$A:$A&gt;=DATE(2026,5,1))*('DRAFT 2'!$A:$A&lt;DATE(2026,IF(5=12,5+1,5+1),1)),'DRAFT 2'!$A:$A),"")</f>
        <v/>
      </c>
      <c r="EP110">
        <f>COUNTIFS('DRAFT 2'!$D:$D,$B110,'DRAFT 2'!$A:$A,"&gt;="&amp;DATE(2026,5,1),'DRAFT 2'!$A:$A,"&lt;="&amp;DATE(2026,5,7))</f>
        <v/>
      </c>
      <c r="EQ110">
        <f>COUNTIFS('DRAFT 2'!$D:$D,$B110,'DRAFT 2'!$A:$A,"&gt;="&amp;DATE(2026,5,8),'DRAFT 2'!$A:$A,"&lt;="&amp;DATE(2026,5,14))</f>
        <v/>
      </c>
      <c r="ER110">
        <f>COUNTIFS('DRAFT 2'!$D:$D,$B110,'DRAFT 2'!$A:$A,"&gt;="&amp;DATE(2026,5,15),'DRAFT 2'!$A:$A,"&lt;="&amp;DATE(2026,5,21))</f>
        <v/>
      </c>
      <c r="ES110">
        <f>COUNTIFS('DRAFT 2'!$D:$D,$B110,'DRAFT 2'!$A:$A,"&gt;="&amp;DATE(2026,5,22),'DRAFT 2'!$A:$A,"&lt;"&amp;DATE(2026,IF(5=12,5+1,5+1),1))</f>
        <v/>
      </c>
      <c r="ET110">
        <f>SUM(EP110:ES110)</f>
        <v/>
      </c>
      <c r="FD110">
        <f>IFERROR(LOOKUP(2,1/('DRAFT 2'!$D:$D=$B110)*('DRAFT 2'!$A:$A&gt;=DATE(2026,6,1))*('DRAFT 2'!$A:$A&lt;DATE(2026,IF(6=12,6+1,6+1),1)),'DRAFT 2'!$A:$A),"")</f>
        <v/>
      </c>
      <c r="FE110">
        <f>COUNTIFS('DRAFT 2'!$D:$D,$B110,'DRAFT 2'!$A:$A,"&gt;="&amp;DATE(2026,6,1),'DRAFT 2'!$A:$A,"&lt;="&amp;DATE(2026,6,7))</f>
        <v/>
      </c>
      <c r="FF110">
        <f>COUNTIFS('DRAFT 2'!$D:$D,$B110,'DRAFT 2'!$A:$A,"&gt;="&amp;DATE(2026,6,8),'DRAFT 2'!$A:$A,"&lt;="&amp;DATE(2026,6,14))</f>
        <v/>
      </c>
      <c r="FG110">
        <f>COUNTIFS('DRAFT 2'!$D:$D,$B110,'DRAFT 2'!$A:$A,"&gt;="&amp;DATE(2026,6,15),'DRAFT 2'!$A:$A,"&lt;="&amp;DATE(2026,6,21))</f>
        <v/>
      </c>
      <c r="FH110">
        <f>COUNTIFS('DRAFT 2'!$D:$D,$B110,'DRAFT 2'!$A:$A,"&gt;="&amp;DATE(2026,6,22),'DRAFT 2'!$A:$A,"&lt;"&amp;DATE(2026,IF(6=12,6+1,6+1),1))</f>
        <v/>
      </c>
      <c r="FI110">
        <f>SUM(FE110:FH110)</f>
        <v/>
      </c>
      <c r="FT110">
        <f>IFERROR(LOOKUP(2,1/('DRAFT 2'!$D:$D=$B110)*('DRAFT 2'!$A:$A&gt;=DATE(2026,7,1))*('DRAFT 2'!$A:$A&lt;DATE(2026,IF(7=12,7+1,7+1),1)),'DRAFT 2'!$A:$A),"")</f>
        <v/>
      </c>
      <c r="FU110">
        <f>COUNTIFS('DRAFT 2'!$D:$D,$B110,'DRAFT 2'!$A:$A,"&gt;="&amp;DATE(2026,7,1),'DRAFT 2'!$A:$A,"&lt;="&amp;DATE(2026,7,7))</f>
        <v/>
      </c>
      <c r="FV110">
        <f>COUNTIFS('DRAFT 2'!$D:$D,$B110,'DRAFT 2'!$A:$A,"&gt;="&amp;DATE(2026,7,8),'DRAFT 2'!$A:$A,"&lt;="&amp;DATE(2026,7,14))</f>
        <v/>
      </c>
      <c r="FW110">
        <f>COUNTIFS('DRAFT 2'!$D:$D,$B110,'DRAFT 2'!$A:$A,"&gt;="&amp;DATE(2026,7,15),'DRAFT 2'!$A:$A,"&lt;="&amp;DATE(2026,7,21))</f>
        <v/>
      </c>
      <c r="FX110">
        <f>COUNTIFS('DRAFT 2'!$D:$D,$B110,'DRAFT 2'!$A:$A,"&gt;="&amp;DATE(2026,7,22),'DRAFT 2'!$A:$A,"&lt;"&amp;DATE(2026,IF(7=12,7+1,7+1),1))</f>
        <v/>
      </c>
      <c r="FY110">
        <f>SUM(FU110:FX110)</f>
        <v/>
      </c>
      <c r="GI110">
        <f>IFERROR(LOOKUP(2,1/('DRAFT 2'!$D:$D=$B110)*('DRAFT 2'!$A:$A&gt;=DATE(2026,8,1))*('DRAFT 2'!$A:$A&lt;DATE(2026,IF(8=12,8+1,8+1),1)),'DRAFT 2'!$A:$A),"")</f>
        <v/>
      </c>
      <c r="GJ110">
        <f>COUNTIFS('DRAFT 2'!$D:$D,$B110,'DRAFT 2'!$A:$A,"&gt;="&amp;DATE(2026,8,1),'DRAFT 2'!$A:$A,"&lt;="&amp;DATE(2026,8,7))</f>
        <v/>
      </c>
      <c r="GK110">
        <f>COUNTIFS('DRAFT 2'!$D:$D,$B110,'DRAFT 2'!$A:$A,"&gt;="&amp;DATE(2026,8,8),'DRAFT 2'!$A:$A,"&lt;="&amp;DATE(2026,8,14))</f>
        <v/>
      </c>
      <c r="GL110">
        <f>COUNTIFS('DRAFT 2'!$D:$D,$B110,'DRAFT 2'!$A:$A,"&gt;="&amp;DATE(2026,8,15),'DRAFT 2'!$A:$A,"&lt;="&amp;DATE(2026,8,21))</f>
        <v/>
      </c>
      <c r="GM110">
        <f>COUNTIFS('DRAFT 2'!$D:$D,$B110,'DRAFT 2'!$A:$A,"&gt;="&amp;DATE(2026,8,22),'DRAFT 2'!$A:$A,"&lt;"&amp;DATE(2026,IF(8=12,8+1,8+1),1))</f>
        <v/>
      </c>
      <c r="GN110">
        <f>SUM(GJ110:GM110)</f>
        <v/>
      </c>
      <c r="GX110">
        <f>IFERROR(LOOKUP(2,1/('DRAFT 2'!$D:$D=$B110)*('DRAFT 2'!$A:$A&gt;=DATE(2026,9,1))*('DRAFT 2'!$A:$A&lt;DATE(2026,IF(9=12,9+1,9+1),1)),'DRAFT 2'!$A:$A),"")</f>
        <v/>
      </c>
      <c r="GY110">
        <f>COUNTIFS('DRAFT 2'!$D:$D,$B110,'DRAFT 2'!$A:$A,"&gt;="&amp;DATE(2026,9,1),'DRAFT 2'!$A:$A,"&lt;="&amp;DATE(2026,9,7))</f>
        <v/>
      </c>
      <c r="GZ110">
        <f>COUNTIFS('DRAFT 2'!$D:$D,$B110,'DRAFT 2'!$A:$A,"&gt;="&amp;DATE(2026,9,8),'DRAFT 2'!$A:$A,"&lt;="&amp;DATE(2026,9,14))</f>
        <v/>
      </c>
      <c r="HA110">
        <f>COUNTIFS('DRAFT 2'!$D:$D,$B110,'DRAFT 2'!$A:$A,"&gt;="&amp;DATE(2026,9,15),'DRAFT 2'!$A:$A,"&lt;="&amp;DATE(2026,9,21))</f>
        <v/>
      </c>
      <c r="HB110">
        <f>COUNTIFS('DRAFT 2'!$D:$D,$B110,'DRAFT 2'!$A:$A,"&gt;="&amp;DATE(2026,9,22),'DRAFT 2'!$A:$A,"&lt;"&amp;DATE(2026,IF(9=12,9+1,9+1),1))</f>
        <v/>
      </c>
      <c r="HC110">
        <f>SUM(GY110:HB110)</f>
        <v/>
      </c>
      <c r="HN110">
        <f>IFERROR(LOOKUP(2,1/('DRAFT 2'!$D:$D=$B110)*('DRAFT 2'!$A:$A&gt;=DATE(2026,10,1))*('DRAFT 2'!$A:$A&lt;DATE(2026,IF(10=12,10+1,10+1),1)),'DRAFT 2'!$A:$A),"")</f>
        <v/>
      </c>
      <c r="HO110">
        <f>COUNTIFS('DRAFT 2'!$D:$D,$B110,'DRAFT 2'!$A:$A,"&gt;="&amp;DATE(2026,10,1),'DRAFT 2'!$A:$A,"&lt;="&amp;DATE(2026,10,7))</f>
        <v/>
      </c>
      <c r="HP110">
        <f>COUNTIFS('DRAFT 2'!$D:$D,$B110,'DRAFT 2'!$A:$A,"&gt;="&amp;DATE(2026,10,8),'DRAFT 2'!$A:$A,"&lt;="&amp;DATE(2026,10,14))</f>
        <v/>
      </c>
      <c r="HQ110">
        <f>COUNTIFS('DRAFT 2'!$D:$D,$B110,'DRAFT 2'!$A:$A,"&gt;="&amp;DATE(2026,10,15),'DRAFT 2'!$A:$A,"&lt;="&amp;DATE(2026,10,21))</f>
        <v/>
      </c>
      <c r="HR110">
        <f>COUNTIFS('DRAFT 2'!$D:$D,$B110,'DRAFT 2'!$A:$A,"&gt;="&amp;DATE(2026,10,22),'DRAFT 2'!$A:$A,"&lt;"&amp;DATE(2026,IF(10=12,10+1,10+1),1))</f>
        <v/>
      </c>
      <c r="HS110">
        <f>SUM(HO110:HR110)</f>
        <v/>
      </c>
      <c r="IC110">
        <f>IFERROR(LOOKUP(2,1/('DRAFT 2'!$D:$D=$B110)*('DRAFT 2'!$A:$A&gt;=DATE(2026,11,1))*('DRAFT 2'!$A:$A&lt;DATE(2026,IF(11=12,11+1,11+1),1)),'DRAFT 2'!$A:$A),"")</f>
        <v/>
      </c>
      <c r="ID110">
        <f>COUNTIFS('DRAFT 2'!$D:$D,$B110,'DRAFT 2'!$A:$A,"&gt;="&amp;DATE(2026,11,1),'DRAFT 2'!$A:$A,"&lt;="&amp;DATE(2026,11,7))</f>
        <v/>
      </c>
      <c r="IE110">
        <f>COUNTIFS('DRAFT 2'!$D:$D,$B110,'DRAFT 2'!$A:$A,"&gt;="&amp;DATE(2026,11,8),'DRAFT 2'!$A:$A,"&lt;="&amp;DATE(2026,11,14))</f>
        <v/>
      </c>
      <c r="IF110">
        <f>COUNTIFS('DRAFT 2'!$D:$D,$B110,'DRAFT 2'!$A:$A,"&gt;="&amp;DATE(2026,11,15),'DRAFT 2'!$A:$A,"&lt;="&amp;DATE(2026,11,21))</f>
        <v/>
      </c>
      <c r="IG110">
        <f>COUNTIFS('DRAFT 2'!$D:$D,$B110,'DRAFT 2'!$A:$A,"&gt;="&amp;DATE(2026,11,22),'DRAFT 2'!$A:$A,"&lt;"&amp;DATE(2026,IF(11=12,11+1,11+1),1))</f>
        <v/>
      </c>
      <c r="IH110">
        <f>SUM(ID110:IG110)</f>
        <v/>
      </c>
      <c r="IR110">
        <f>IFERROR(LOOKUP(2,1/('DRAFT 2'!$D:$D=$B110)*('DRAFT 2'!$A:$A&gt;=DATE(2026,12,1))*('DRAFT 2'!$A:$A&lt;DATE(2026,IF(12=12,12+1,12+1),1)),'DRAFT 2'!$A:$A),"")</f>
        <v/>
      </c>
      <c r="IS110">
        <f>COUNTIFS('DRAFT 2'!$D:$D,$B110,'DRAFT 2'!$A:$A,"&gt;="&amp;DATE(2026,12,1),'DRAFT 2'!$A:$A,"&lt;="&amp;DATE(2026,12,7))</f>
        <v/>
      </c>
      <c r="IT110">
        <f>COUNTIFS('DRAFT 2'!$D:$D,$B110,'DRAFT 2'!$A:$A,"&gt;="&amp;DATE(2026,12,8),'DRAFT 2'!$A:$A,"&lt;="&amp;DATE(2026,12,14))</f>
        <v/>
      </c>
      <c r="IU110">
        <f>COUNTIFS('DRAFT 2'!$D:$D,$B110,'DRAFT 2'!$A:$A,"&gt;="&amp;DATE(2026,12,15),'DRAFT 2'!$A:$A,"&lt;="&amp;DATE(2026,12,21))</f>
        <v/>
      </c>
      <c r="IV110">
        <f>COUNTIFS('DRAFT 2'!$D:$D,$B110,'DRAFT 2'!$A:$A,"&gt;="&amp;DATE(2026,12,22),'DRAFT 2'!$A:$A,"&lt;"&amp;DATE(2026,IF(12=12,12+1,12+1),1))</f>
        <v/>
      </c>
      <c r="IW110">
        <f>SUM(IS110:IV110)</f>
        <v/>
      </c>
    </row>
    <row r="111">
      <c r="A111">
        <f>IFERROR(INDEX('DRAFT 1'!$A:$A,MATCH($B111,'DRAFT 1'!$B:$B,0)),"")</f>
        <v/>
      </c>
      <c r="C111">
        <f>IFERROR(INDEX('DRAFT 1'!$C:$C,MATCH($B111,'DRAFT 1'!$B:$B,0)),"")</f>
        <v/>
      </c>
      <c r="D111">
        <f>IFERROR(INDEX('DRAFT 1'!$D:$D,MATCH($B111,'DRAFT 1'!$B:$B,0)),"")</f>
        <v/>
      </c>
      <c r="E111">
        <f>IFERROR(INDEX('DRAFT 1'!$E:$E,MATCH($B111,'DRAFT 1'!$B:$B,0)),"")</f>
        <v/>
      </c>
      <c r="F111">
        <f>IFERROR(INDEX('DRAFT 1'!$F:$F,MATCH($B111,'DRAFT 1'!$B:$B,0)),"")</f>
        <v/>
      </c>
      <c r="G111">
        <f>IFERROR(INDEX('DRAFT 1'!$G:$G,MATCH($B111,'DRAFT 1'!$B:$B,0)),"")</f>
        <v/>
      </c>
      <c r="H111">
        <f>IFERROR(INDEX('DRAFT 1'!$H:$H,MATCH($B111,'DRAFT 1'!$B:$B,0)),"")</f>
        <v/>
      </c>
      <c r="I111" t="inlineStr">
        <is>
          <t>FIT LAND</t>
        </is>
      </c>
      <c r="K111">
        <f>IFERROR(INDEX('DRAFT 1'!$AL:$AL,MATCH($B111,'DRAFT 1'!$B:$B,0)),"")</f>
        <v/>
      </c>
      <c r="L111">
        <f>IFERROR(INDEX('DRAFT 1'!$J:$J,MATCH($B111,'DRAFT 1'!$B:$B,0)),"")</f>
        <v/>
      </c>
      <c r="M111">
        <f>IFERROR(INDEX('DRAFT 1'!$K:$K,MATCH($B111,'DRAFT 1'!$B:$B,0)),"")</f>
        <v/>
      </c>
      <c r="N111" t="inlineStr">
        <is>
          <t>ATIVO</t>
        </is>
      </c>
      <c r="P111">
        <f>IFERROR(INDEX('DRAFT 1'!$L:$L,MATCH($B111,'DRAFT 1'!$B:$B,0)),"")</f>
        <v/>
      </c>
      <c r="Q111">
        <f>IFERROR(INDEX('DRAFT 1'!$M:$M,MATCH($B111,'DRAFT 1'!$B:$B,0)),"")</f>
        <v/>
      </c>
      <c r="R111">
        <f>IFERROR(INDEX('DRAFT 1'!$N:$N,MATCH($B111,'DRAFT 1'!$B:$B,0)),"")</f>
        <v/>
      </c>
      <c r="S111">
        <f>IFERROR(INDEX('DRAFT 1'!$O:$O,MATCH($B111,'DRAFT 1'!$B:$B,0)),"")</f>
        <v/>
      </c>
      <c r="T111">
        <f>IFERROR(INDEX('DRAFT 1'!$P:$P,MATCH($B111,'DRAFT 1'!$B:$B,0)),"")</f>
        <v/>
      </c>
      <c r="U111">
        <f>IFERROR(INDEX('DRAFT 1'!$Q:$Q,MATCH($B111,'DRAFT 1'!$B:$B,0)),"")</f>
        <v/>
      </c>
      <c r="V111">
        <f>IFERROR(INDEX('DRAFT 1'!$R:$R,MATCH($B111,'DRAFT 1'!$B:$B,0)),"")</f>
        <v/>
      </c>
      <c r="W111">
        <f>IFERROR(INDEX('DRAFT 1'!$S:$S,MATCH($B111,'DRAFT 1'!$B:$B,0)),"")</f>
        <v/>
      </c>
      <c r="X111">
        <f>IFERROR(INDEX('DRAFT 1'!$T:$T,MATCH($B111,'DRAFT 1'!$B:$B,0)),"")</f>
        <v/>
      </c>
      <c r="Z111">
        <f>IFERROR(INDEX('DRAFT 1'!$U:$U,MATCH($B111,'DRAFT 1'!$B:$B,0)),"")</f>
        <v/>
      </c>
      <c r="AA111">
        <f>IFERROR(INDEX('DRAFT 1'!$V:$V,MATCH($B111,'DRAFT 1'!$B:$B,0)),"")</f>
        <v/>
      </c>
      <c r="AB111">
        <f>IFERROR(INDEX('DRAFT 1'!$W:$W,MATCH($B111,'DRAFT 1'!$B:$B,0)),"")</f>
        <v/>
      </c>
      <c r="AC111">
        <f>IFERROR(INDEX('DRAFT 1'!$X:$X,MATCH($B111,'DRAFT 1'!$B:$B,0)),"")</f>
        <v/>
      </c>
      <c r="AD111">
        <f>IFERROR(INDEX('DRAFT 1'!$Y:$Y,MATCH($B111,'DRAFT 1'!$B:$B,0)),"")</f>
        <v/>
      </c>
      <c r="AE111">
        <f>IFERROR(INDEX('DRAFT 1'!$Z:$Z,MATCH($B111,'DRAFT 1'!$B:$B,0)),"")</f>
        <v/>
      </c>
      <c r="AF111">
        <f>IFERROR(INDEX('DRAFT 1'!$AA:$AA,MATCH($B111,'DRAFT 1'!$B:$B,0)),"")</f>
        <v/>
      </c>
      <c r="AG111">
        <f>IFERROR(INDEX('DRAFT 1'!$AB:$AB,MATCH($B111,'DRAFT 1'!$B:$B,0)),"")</f>
        <v/>
      </c>
      <c r="AH111">
        <f>IFERROR(INDEX('DRAFT 1'!$AC:$AC,MATCH($B111,'DRAFT 1'!$B:$B,0)),"")</f>
        <v/>
      </c>
      <c r="AI111">
        <f>IFERROR(INDEX('DRAFT 1'!$AD:$AD,MATCH($B111,'DRAFT 1'!$B:$B,0)),"")</f>
        <v/>
      </c>
      <c r="AJ111">
        <f>IFERROR(INDEX('DRAFT 1'!$AE:$AE,MATCH($B111,'DRAFT 1'!$B:$B,0)),"")</f>
        <v/>
      </c>
      <c r="AK111">
        <f>IFERROR(INDEX('DRAFT 1'!$AG:$AG,MATCH($B111,'DRAFT 1'!$B:$B,0)),"")</f>
        <v/>
      </c>
      <c r="AL111">
        <f>IFERROR(INDEX('DRAFT 1'!$AH:$AH,MATCH($B111,'DRAFT 1'!$B:$B,0)),"")</f>
        <v/>
      </c>
      <c r="AM111">
        <f>IFERROR(INDEX('DRAFT 1'!$AI:$AI,MATCH($B111,'DRAFT 1'!$B:$B,0)),"")</f>
        <v/>
      </c>
      <c r="AN111">
        <f>IFERROR(INDEX('DRAFT 1'!$AJ:$AJ,MATCH($B111,'DRAFT 1'!$B:$B,0)),"")</f>
        <v/>
      </c>
      <c r="AO111">
        <f>IFERROR(Y111/AN111,0)</f>
        <v/>
      </c>
      <c r="AP111">
        <f>IFERROR(INDEX('DRAFT 1'!$AK:$AK,MATCH($B111,'DRAFT 1'!$B:$B,0)),"")</f>
        <v/>
      </c>
      <c r="AR111" t="inlineStr">
        <is>
          <t>PÓS-VENDA</t>
        </is>
      </c>
      <c r="AS111">
        <f>IFERROR(LOOKUP(2,1/('DRAFT 2'!$D:$D=$B111),'DRAFT 2'!$T:$T),"")</f>
        <v/>
      </c>
      <c r="AT111">
        <f>IFERROR(LOOKUP(2,1/('DRAFT 2'!$D:$D=$B111),'DRAFT 2'!$A:$A),"")</f>
        <v/>
      </c>
      <c r="AU111">
        <f>IFERROR(LOOKUP(2,1/('DRAFT 2'!$D:$D=$B111),'DRAFT 2'!$R:$R),"")</f>
        <v/>
      </c>
      <c r="AV111">
        <f>IFERROR(LOOKUP(2,1/('DRAFT 2'!$D:$D=$B111),'DRAFT 2'!$S:$S),"")</f>
        <v/>
      </c>
      <c r="AW111" t="inlineStr">
        <is>
          <t>FIDELIZADO</t>
        </is>
      </c>
      <c r="AX111">
        <f>IFERROR(LOOKUP(2,1/('DRAFT 2'!$D:$D=$B111),'DRAFT 2'!$M:$M),"")</f>
        <v/>
      </c>
      <c r="AY111">
        <f>IFERROR(LOOKUP(2,1/('DRAFT 2'!$D:$D=$B111),'DRAFT 2'!$K:$K),"")</f>
        <v/>
      </c>
      <c r="BG111">
        <f>IFERROR(LOOKUP(2,1/('DRAFT 2'!$D:$D=$B111),'DRAFT 2'!$U:$U),"")</f>
        <v/>
      </c>
      <c r="BH111">
        <f>IFERROR(LOOKUP(2,1/('DRAFT 2'!$D:$D=$B111),'DRAFT 2'!$V:$V),"")</f>
        <v/>
      </c>
      <c r="CE111">
        <f>IFERROR(AJ111,0)</f>
        <v/>
      </c>
      <c r="CF111">
        <f>IFERROR(LOOKUP(2,1/('DRAFT 2'!$D:$D=$B111)*('DRAFT 2'!$A:$A&gt;=DATE(2026,1,1))*('DRAFT 2'!$A:$A&lt;DATE(2026,IF(1=12,1+1,1+1),1)),'DRAFT 2'!$A:$A),"")</f>
        <v/>
      </c>
      <c r="CG111">
        <f>COUNTIFS('DRAFT 2'!$D:$D,$B111,'DRAFT 2'!$A:$A,"&gt;="&amp;DATE(2026,1,1),'DRAFT 2'!$A:$A,"&lt;="&amp;DATE(2026,1,7))</f>
        <v/>
      </c>
      <c r="CH111">
        <f>COUNTIFS('DRAFT 2'!$D:$D,$B111,'DRAFT 2'!$A:$A,"&gt;="&amp;DATE(2026,1,8),'DRAFT 2'!$A:$A,"&lt;="&amp;DATE(2026,1,14))</f>
        <v/>
      </c>
      <c r="CI111">
        <f>COUNTIFS('DRAFT 2'!$D:$D,$B111,'DRAFT 2'!$A:$A,"&gt;="&amp;DATE(2026,1,15),'DRAFT 2'!$A:$A,"&lt;="&amp;DATE(2026,1,21))</f>
        <v/>
      </c>
      <c r="CJ111">
        <f>COUNTIFS('DRAFT 2'!$D:$D,$B111,'DRAFT 2'!$A:$A,"&gt;="&amp;DATE(2026,1,22),'DRAFT 2'!$A:$A,"&lt;"&amp;DATE(2026,IF(1=12,1+1,1+1),1))</f>
        <v/>
      </c>
      <c r="CK111">
        <f>SUM(CG111:CJ111)</f>
        <v/>
      </c>
      <c r="CT111" t="n">
        <v>0</v>
      </c>
      <c r="CU111">
        <f>IFERROR(LOOKUP(2,1/('DRAFT 2'!$D:$D=$B111)*('DRAFT 2'!$A:$A&gt;=DATE(2026,2,1))*('DRAFT 2'!$A:$A&lt;DATE(2026,IF(2=12,2+1,2+1),1)),'DRAFT 2'!$A:$A),"")</f>
        <v/>
      </c>
      <c r="CV111">
        <f>COUNTIFS('DRAFT 2'!$D:$D,$B111,'DRAFT 2'!$A:$A,"&gt;="&amp;DATE(2026,2,1),'DRAFT 2'!$A:$A,"&lt;="&amp;DATE(2026,2,7))</f>
        <v/>
      </c>
      <c r="CW111">
        <f>COUNTIFS('DRAFT 2'!$D:$D,$B111,'DRAFT 2'!$A:$A,"&gt;="&amp;DATE(2026,2,8),'DRAFT 2'!$A:$A,"&lt;="&amp;DATE(2026,2,14))</f>
        <v/>
      </c>
      <c r="CX111">
        <f>COUNTIFS('DRAFT 2'!$D:$D,$B111,'DRAFT 2'!$A:$A,"&gt;="&amp;DATE(2026,2,15),'DRAFT 2'!$A:$A,"&lt;="&amp;DATE(2026,2,21))</f>
        <v/>
      </c>
      <c r="CY111">
        <f>COUNTIFS('DRAFT 2'!$D:$D,$B111,'DRAFT 2'!$A:$A,"&gt;="&amp;DATE(2026,2,22),'DRAFT 2'!$A:$A,"&lt;"&amp;DATE(2026,IF(2=12,2+1,2+1),1))</f>
        <v/>
      </c>
      <c r="CZ111">
        <f>SUM(CV111:CY111)</f>
        <v/>
      </c>
      <c r="DJ111">
        <f>IFERROR(LOOKUP(2,1/('DRAFT 2'!$D:$D=$B111)*('DRAFT 2'!$A:$A&gt;=DATE(2026,3,1))*('DRAFT 2'!$A:$A&lt;DATE(2026,IF(3=12,3+1,3+1),1)),'DRAFT 2'!$A:$A),"")</f>
        <v/>
      </c>
      <c r="DK111">
        <f>COUNTIFS('DRAFT 2'!$D:$D,$B111,'DRAFT 2'!$A:$A,"&gt;="&amp;DATE(2026,3,1),'DRAFT 2'!$A:$A,"&lt;="&amp;DATE(2026,3,7))</f>
        <v/>
      </c>
      <c r="DL111">
        <f>COUNTIFS('DRAFT 2'!$D:$D,$B111,'DRAFT 2'!$A:$A,"&gt;="&amp;DATE(2026,3,8),'DRAFT 2'!$A:$A,"&lt;="&amp;DATE(2026,3,14))</f>
        <v/>
      </c>
      <c r="DM111">
        <f>COUNTIFS('DRAFT 2'!$D:$D,$B111,'DRAFT 2'!$A:$A,"&gt;="&amp;DATE(2026,3,15),'DRAFT 2'!$A:$A,"&lt;="&amp;DATE(2026,3,21))</f>
        <v/>
      </c>
      <c r="DN111">
        <f>COUNTIFS('DRAFT 2'!$D:$D,$B111,'DRAFT 2'!$A:$A,"&gt;="&amp;DATE(2026,3,22),'DRAFT 2'!$A:$A,"&lt;"&amp;DATE(2026,IF(3=12,3+1,3+1),1))</f>
        <v/>
      </c>
      <c r="DO111">
        <f>SUM(DK111:DN111)</f>
        <v/>
      </c>
      <c r="DZ111">
        <f>IFERROR(LOOKUP(2,1/('DRAFT 2'!$D:$D=$B111)*('DRAFT 2'!$A:$A&gt;=DATE(2026,4,1))*('DRAFT 2'!$A:$A&lt;DATE(2026,IF(4=12,4+1,4+1),1)),'DRAFT 2'!$A:$A),"")</f>
        <v/>
      </c>
      <c r="EA111">
        <f>COUNTIFS('DRAFT 2'!$D:$D,$B111,'DRAFT 2'!$A:$A,"&gt;="&amp;DATE(2026,4,1),'DRAFT 2'!$A:$A,"&lt;="&amp;DATE(2026,4,7))</f>
        <v/>
      </c>
      <c r="EB111">
        <f>COUNTIFS('DRAFT 2'!$D:$D,$B111,'DRAFT 2'!$A:$A,"&gt;="&amp;DATE(2026,4,8),'DRAFT 2'!$A:$A,"&lt;="&amp;DATE(2026,4,14))</f>
        <v/>
      </c>
      <c r="EC111">
        <f>COUNTIFS('DRAFT 2'!$D:$D,$B111,'DRAFT 2'!$A:$A,"&gt;="&amp;DATE(2026,4,15),'DRAFT 2'!$A:$A,"&lt;="&amp;DATE(2026,4,21))</f>
        <v/>
      </c>
      <c r="ED111">
        <f>COUNTIFS('DRAFT 2'!$D:$D,$B111,'DRAFT 2'!$A:$A,"&gt;="&amp;DATE(2026,4,22),'DRAFT 2'!$A:$A,"&lt;"&amp;DATE(2026,IF(4=12,4+1,4+1),1))</f>
        <v/>
      </c>
      <c r="EE111">
        <f>SUM(EA111:ED111)</f>
        <v/>
      </c>
      <c r="EO111">
        <f>IFERROR(LOOKUP(2,1/('DRAFT 2'!$D:$D=$B111)*('DRAFT 2'!$A:$A&gt;=DATE(2026,5,1))*('DRAFT 2'!$A:$A&lt;DATE(2026,IF(5=12,5+1,5+1),1)),'DRAFT 2'!$A:$A),"")</f>
        <v/>
      </c>
      <c r="EP111">
        <f>COUNTIFS('DRAFT 2'!$D:$D,$B111,'DRAFT 2'!$A:$A,"&gt;="&amp;DATE(2026,5,1),'DRAFT 2'!$A:$A,"&lt;="&amp;DATE(2026,5,7))</f>
        <v/>
      </c>
      <c r="EQ111">
        <f>COUNTIFS('DRAFT 2'!$D:$D,$B111,'DRAFT 2'!$A:$A,"&gt;="&amp;DATE(2026,5,8),'DRAFT 2'!$A:$A,"&lt;="&amp;DATE(2026,5,14))</f>
        <v/>
      </c>
      <c r="ER111">
        <f>COUNTIFS('DRAFT 2'!$D:$D,$B111,'DRAFT 2'!$A:$A,"&gt;="&amp;DATE(2026,5,15),'DRAFT 2'!$A:$A,"&lt;="&amp;DATE(2026,5,21))</f>
        <v/>
      </c>
      <c r="ES111">
        <f>COUNTIFS('DRAFT 2'!$D:$D,$B111,'DRAFT 2'!$A:$A,"&gt;="&amp;DATE(2026,5,22),'DRAFT 2'!$A:$A,"&lt;"&amp;DATE(2026,IF(5=12,5+1,5+1),1))</f>
        <v/>
      </c>
      <c r="ET111">
        <f>SUM(EP111:ES111)</f>
        <v/>
      </c>
      <c r="FD111">
        <f>IFERROR(LOOKUP(2,1/('DRAFT 2'!$D:$D=$B111)*('DRAFT 2'!$A:$A&gt;=DATE(2026,6,1))*('DRAFT 2'!$A:$A&lt;DATE(2026,IF(6=12,6+1,6+1),1)),'DRAFT 2'!$A:$A),"")</f>
        <v/>
      </c>
      <c r="FE111">
        <f>COUNTIFS('DRAFT 2'!$D:$D,$B111,'DRAFT 2'!$A:$A,"&gt;="&amp;DATE(2026,6,1),'DRAFT 2'!$A:$A,"&lt;="&amp;DATE(2026,6,7))</f>
        <v/>
      </c>
      <c r="FF111">
        <f>COUNTIFS('DRAFT 2'!$D:$D,$B111,'DRAFT 2'!$A:$A,"&gt;="&amp;DATE(2026,6,8),'DRAFT 2'!$A:$A,"&lt;="&amp;DATE(2026,6,14))</f>
        <v/>
      </c>
      <c r="FG111">
        <f>COUNTIFS('DRAFT 2'!$D:$D,$B111,'DRAFT 2'!$A:$A,"&gt;="&amp;DATE(2026,6,15),'DRAFT 2'!$A:$A,"&lt;="&amp;DATE(2026,6,21))</f>
        <v/>
      </c>
      <c r="FH111">
        <f>COUNTIFS('DRAFT 2'!$D:$D,$B111,'DRAFT 2'!$A:$A,"&gt;="&amp;DATE(2026,6,22),'DRAFT 2'!$A:$A,"&lt;"&amp;DATE(2026,IF(6=12,6+1,6+1),1))</f>
        <v/>
      </c>
      <c r="FI111">
        <f>SUM(FE111:FH111)</f>
        <v/>
      </c>
      <c r="FT111">
        <f>IFERROR(LOOKUP(2,1/('DRAFT 2'!$D:$D=$B111)*('DRAFT 2'!$A:$A&gt;=DATE(2026,7,1))*('DRAFT 2'!$A:$A&lt;DATE(2026,IF(7=12,7+1,7+1),1)),'DRAFT 2'!$A:$A),"")</f>
        <v/>
      </c>
      <c r="FU111">
        <f>COUNTIFS('DRAFT 2'!$D:$D,$B111,'DRAFT 2'!$A:$A,"&gt;="&amp;DATE(2026,7,1),'DRAFT 2'!$A:$A,"&lt;="&amp;DATE(2026,7,7))</f>
        <v/>
      </c>
      <c r="FV111">
        <f>COUNTIFS('DRAFT 2'!$D:$D,$B111,'DRAFT 2'!$A:$A,"&gt;="&amp;DATE(2026,7,8),'DRAFT 2'!$A:$A,"&lt;="&amp;DATE(2026,7,14))</f>
        <v/>
      </c>
      <c r="FW111">
        <f>COUNTIFS('DRAFT 2'!$D:$D,$B111,'DRAFT 2'!$A:$A,"&gt;="&amp;DATE(2026,7,15),'DRAFT 2'!$A:$A,"&lt;="&amp;DATE(2026,7,21))</f>
        <v/>
      </c>
      <c r="FX111">
        <f>COUNTIFS('DRAFT 2'!$D:$D,$B111,'DRAFT 2'!$A:$A,"&gt;="&amp;DATE(2026,7,22),'DRAFT 2'!$A:$A,"&lt;"&amp;DATE(2026,IF(7=12,7+1,7+1),1))</f>
        <v/>
      </c>
      <c r="FY111">
        <f>SUM(FU111:FX111)</f>
        <v/>
      </c>
      <c r="GI111">
        <f>IFERROR(LOOKUP(2,1/('DRAFT 2'!$D:$D=$B111)*('DRAFT 2'!$A:$A&gt;=DATE(2026,8,1))*('DRAFT 2'!$A:$A&lt;DATE(2026,IF(8=12,8+1,8+1),1)),'DRAFT 2'!$A:$A),"")</f>
        <v/>
      </c>
      <c r="GJ111">
        <f>COUNTIFS('DRAFT 2'!$D:$D,$B111,'DRAFT 2'!$A:$A,"&gt;="&amp;DATE(2026,8,1),'DRAFT 2'!$A:$A,"&lt;="&amp;DATE(2026,8,7))</f>
        <v/>
      </c>
      <c r="GK111">
        <f>COUNTIFS('DRAFT 2'!$D:$D,$B111,'DRAFT 2'!$A:$A,"&gt;="&amp;DATE(2026,8,8),'DRAFT 2'!$A:$A,"&lt;="&amp;DATE(2026,8,14))</f>
        <v/>
      </c>
      <c r="GL111">
        <f>COUNTIFS('DRAFT 2'!$D:$D,$B111,'DRAFT 2'!$A:$A,"&gt;="&amp;DATE(2026,8,15),'DRAFT 2'!$A:$A,"&lt;="&amp;DATE(2026,8,21))</f>
        <v/>
      </c>
      <c r="GM111">
        <f>COUNTIFS('DRAFT 2'!$D:$D,$B111,'DRAFT 2'!$A:$A,"&gt;="&amp;DATE(2026,8,22),'DRAFT 2'!$A:$A,"&lt;"&amp;DATE(2026,IF(8=12,8+1,8+1),1))</f>
        <v/>
      </c>
      <c r="GN111">
        <f>SUM(GJ111:GM111)</f>
        <v/>
      </c>
      <c r="GX111">
        <f>IFERROR(LOOKUP(2,1/('DRAFT 2'!$D:$D=$B111)*('DRAFT 2'!$A:$A&gt;=DATE(2026,9,1))*('DRAFT 2'!$A:$A&lt;DATE(2026,IF(9=12,9+1,9+1),1)),'DRAFT 2'!$A:$A),"")</f>
        <v/>
      </c>
      <c r="GY111">
        <f>COUNTIFS('DRAFT 2'!$D:$D,$B111,'DRAFT 2'!$A:$A,"&gt;="&amp;DATE(2026,9,1),'DRAFT 2'!$A:$A,"&lt;="&amp;DATE(2026,9,7))</f>
        <v/>
      </c>
      <c r="GZ111">
        <f>COUNTIFS('DRAFT 2'!$D:$D,$B111,'DRAFT 2'!$A:$A,"&gt;="&amp;DATE(2026,9,8),'DRAFT 2'!$A:$A,"&lt;="&amp;DATE(2026,9,14))</f>
        <v/>
      </c>
      <c r="HA111">
        <f>COUNTIFS('DRAFT 2'!$D:$D,$B111,'DRAFT 2'!$A:$A,"&gt;="&amp;DATE(2026,9,15),'DRAFT 2'!$A:$A,"&lt;="&amp;DATE(2026,9,21))</f>
        <v/>
      </c>
      <c r="HB111">
        <f>COUNTIFS('DRAFT 2'!$D:$D,$B111,'DRAFT 2'!$A:$A,"&gt;="&amp;DATE(2026,9,22),'DRAFT 2'!$A:$A,"&lt;"&amp;DATE(2026,IF(9=12,9+1,9+1),1))</f>
        <v/>
      </c>
      <c r="HC111">
        <f>SUM(GY111:HB111)</f>
        <v/>
      </c>
      <c r="HN111">
        <f>IFERROR(LOOKUP(2,1/('DRAFT 2'!$D:$D=$B111)*('DRAFT 2'!$A:$A&gt;=DATE(2026,10,1))*('DRAFT 2'!$A:$A&lt;DATE(2026,IF(10=12,10+1,10+1),1)),'DRAFT 2'!$A:$A),"")</f>
        <v/>
      </c>
      <c r="HO111">
        <f>COUNTIFS('DRAFT 2'!$D:$D,$B111,'DRAFT 2'!$A:$A,"&gt;="&amp;DATE(2026,10,1),'DRAFT 2'!$A:$A,"&lt;="&amp;DATE(2026,10,7))</f>
        <v/>
      </c>
      <c r="HP111">
        <f>COUNTIFS('DRAFT 2'!$D:$D,$B111,'DRAFT 2'!$A:$A,"&gt;="&amp;DATE(2026,10,8),'DRAFT 2'!$A:$A,"&lt;="&amp;DATE(2026,10,14))</f>
        <v/>
      </c>
      <c r="HQ111">
        <f>COUNTIFS('DRAFT 2'!$D:$D,$B111,'DRAFT 2'!$A:$A,"&gt;="&amp;DATE(2026,10,15),'DRAFT 2'!$A:$A,"&lt;="&amp;DATE(2026,10,21))</f>
        <v/>
      </c>
      <c r="HR111">
        <f>COUNTIFS('DRAFT 2'!$D:$D,$B111,'DRAFT 2'!$A:$A,"&gt;="&amp;DATE(2026,10,22),'DRAFT 2'!$A:$A,"&lt;"&amp;DATE(2026,IF(10=12,10+1,10+1),1))</f>
        <v/>
      </c>
      <c r="HS111">
        <f>SUM(HO111:HR111)</f>
        <v/>
      </c>
      <c r="IC111">
        <f>IFERROR(LOOKUP(2,1/('DRAFT 2'!$D:$D=$B111)*('DRAFT 2'!$A:$A&gt;=DATE(2026,11,1))*('DRAFT 2'!$A:$A&lt;DATE(2026,IF(11=12,11+1,11+1),1)),'DRAFT 2'!$A:$A),"")</f>
        <v/>
      </c>
      <c r="ID111">
        <f>COUNTIFS('DRAFT 2'!$D:$D,$B111,'DRAFT 2'!$A:$A,"&gt;="&amp;DATE(2026,11,1),'DRAFT 2'!$A:$A,"&lt;="&amp;DATE(2026,11,7))</f>
        <v/>
      </c>
      <c r="IE111">
        <f>COUNTIFS('DRAFT 2'!$D:$D,$B111,'DRAFT 2'!$A:$A,"&gt;="&amp;DATE(2026,11,8),'DRAFT 2'!$A:$A,"&lt;="&amp;DATE(2026,11,14))</f>
        <v/>
      </c>
      <c r="IF111">
        <f>COUNTIFS('DRAFT 2'!$D:$D,$B111,'DRAFT 2'!$A:$A,"&gt;="&amp;DATE(2026,11,15),'DRAFT 2'!$A:$A,"&lt;="&amp;DATE(2026,11,21))</f>
        <v/>
      </c>
      <c r="IG111">
        <f>COUNTIFS('DRAFT 2'!$D:$D,$B111,'DRAFT 2'!$A:$A,"&gt;="&amp;DATE(2026,11,22),'DRAFT 2'!$A:$A,"&lt;"&amp;DATE(2026,IF(11=12,11+1,11+1),1))</f>
        <v/>
      </c>
      <c r="IH111">
        <f>SUM(ID111:IG111)</f>
        <v/>
      </c>
      <c r="IR111">
        <f>IFERROR(LOOKUP(2,1/('DRAFT 2'!$D:$D=$B111)*('DRAFT 2'!$A:$A&gt;=DATE(2026,12,1))*('DRAFT 2'!$A:$A&lt;DATE(2026,IF(12=12,12+1,12+1),1)),'DRAFT 2'!$A:$A),"")</f>
        <v/>
      </c>
      <c r="IS111">
        <f>COUNTIFS('DRAFT 2'!$D:$D,$B111,'DRAFT 2'!$A:$A,"&gt;="&amp;DATE(2026,12,1),'DRAFT 2'!$A:$A,"&lt;="&amp;DATE(2026,12,7))</f>
        <v/>
      </c>
      <c r="IT111">
        <f>COUNTIFS('DRAFT 2'!$D:$D,$B111,'DRAFT 2'!$A:$A,"&gt;="&amp;DATE(2026,12,8),'DRAFT 2'!$A:$A,"&lt;="&amp;DATE(2026,12,14))</f>
        <v/>
      </c>
      <c r="IU111">
        <f>COUNTIFS('DRAFT 2'!$D:$D,$B111,'DRAFT 2'!$A:$A,"&gt;="&amp;DATE(2026,12,15),'DRAFT 2'!$A:$A,"&lt;="&amp;DATE(2026,12,21))</f>
        <v/>
      </c>
      <c r="IV111">
        <f>COUNTIFS('DRAFT 2'!$D:$D,$B111,'DRAFT 2'!$A:$A,"&gt;="&amp;DATE(2026,12,22),'DRAFT 2'!$A:$A,"&lt;"&amp;DATE(2026,IF(12=12,12+1,12+1),1))</f>
        <v/>
      </c>
      <c r="IW111">
        <f>SUM(IS111:IV111)</f>
        <v/>
      </c>
    </row>
    <row r="112">
      <c r="A112">
        <f>IFERROR(INDEX('DRAFT 1'!$A:$A,MATCH($B112,'DRAFT 1'!$B:$B,0)),"")</f>
        <v/>
      </c>
      <c r="C112">
        <f>IFERROR(INDEX('DRAFT 1'!$C:$C,MATCH($B112,'DRAFT 1'!$B:$B,0)),"")</f>
        <v/>
      </c>
      <c r="D112">
        <f>IFERROR(INDEX('DRAFT 1'!$D:$D,MATCH($B112,'DRAFT 1'!$B:$B,0)),"")</f>
        <v/>
      </c>
      <c r="E112">
        <f>IFERROR(INDEX('DRAFT 1'!$E:$E,MATCH($B112,'DRAFT 1'!$B:$B,0)),"")</f>
        <v/>
      </c>
      <c r="F112">
        <f>IFERROR(INDEX('DRAFT 1'!$F:$F,MATCH($B112,'DRAFT 1'!$B:$B,0)),"")</f>
        <v/>
      </c>
      <c r="G112">
        <f>IFERROR(INDEX('DRAFT 1'!$G:$G,MATCH($B112,'DRAFT 1'!$B:$B,0)),"")</f>
        <v/>
      </c>
      <c r="H112">
        <f>IFERROR(INDEX('DRAFT 1'!$H:$H,MATCH($B112,'DRAFT 1'!$B:$B,0)),"")</f>
        <v/>
      </c>
      <c r="I112" t="inlineStr">
        <is>
          <t>DEMAIS CLIENTES</t>
        </is>
      </c>
      <c r="K112">
        <f>IFERROR(INDEX('DRAFT 1'!$AL:$AL,MATCH($B112,'DRAFT 1'!$B:$B,0)),"")</f>
        <v/>
      </c>
      <c r="L112">
        <f>IFERROR(INDEX('DRAFT 1'!$J:$J,MATCH($B112,'DRAFT 1'!$B:$B,0)),"")</f>
        <v/>
      </c>
      <c r="M112">
        <f>IFERROR(INDEX('DRAFT 1'!$K:$K,MATCH($B112,'DRAFT 1'!$B:$B,0)),"")</f>
        <v/>
      </c>
      <c r="N112" t="inlineStr">
        <is>
          <t>EM RISCO</t>
        </is>
      </c>
      <c r="P112">
        <f>IFERROR(INDEX('DRAFT 1'!$L:$L,MATCH($B112,'DRAFT 1'!$B:$B,0)),"")</f>
        <v/>
      </c>
      <c r="Q112">
        <f>IFERROR(INDEX('DRAFT 1'!$M:$M,MATCH($B112,'DRAFT 1'!$B:$B,0)),"")</f>
        <v/>
      </c>
      <c r="R112">
        <f>IFERROR(INDEX('DRAFT 1'!$N:$N,MATCH($B112,'DRAFT 1'!$B:$B,0)),"")</f>
        <v/>
      </c>
      <c r="S112">
        <f>IFERROR(INDEX('DRAFT 1'!$O:$O,MATCH($B112,'DRAFT 1'!$B:$B,0)),"")</f>
        <v/>
      </c>
      <c r="T112">
        <f>IFERROR(INDEX('DRAFT 1'!$P:$P,MATCH($B112,'DRAFT 1'!$B:$B,0)),"")</f>
        <v/>
      </c>
      <c r="U112">
        <f>IFERROR(INDEX('DRAFT 1'!$Q:$Q,MATCH($B112,'DRAFT 1'!$B:$B,0)),"")</f>
        <v/>
      </c>
      <c r="V112">
        <f>IFERROR(INDEX('DRAFT 1'!$R:$R,MATCH($B112,'DRAFT 1'!$B:$B,0)),"")</f>
        <v/>
      </c>
      <c r="W112">
        <f>IFERROR(INDEX('DRAFT 1'!$S:$S,MATCH($B112,'DRAFT 1'!$B:$B,0)),"")</f>
        <v/>
      </c>
      <c r="X112">
        <f>IFERROR(INDEX('DRAFT 1'!$T:$T,MATCH($B112,'DRAFT 1'!$B:$B,0)),"")</f>
        <v/>
      </c>
      <c r="Z112">
        <f>IFERROR(INDEX('DRAFT 1'!$U:$U,MATCH($B112,'DRAFT 1'!$B:$B,0)),"")</f>
        <v/>
      </c>
      <c r="AA112">
        <f>IFERROR(INDEX('DRAFT 1'!$V:$V,MATCH($B112,'DRAFT 1'!$B:$B,0)),"")</f>
        <v/>
      </c>
      <c r="AB112">
        <f>IFERROR(INDEX('DRAFT 1'!$W:$W,MATCH($B112,'DRAFT 1'!$B:$B,0)),"")</f>
        <v/>
      </c>
      <c r="AC112">
        <f>IFERROR(INDEX('DRAFT 1'!$X:$X,MATCH($B112,'DRAFT 1'!$B:$B,0)),"")</f>
        <v/>
      </c>
      <c r="AD112">
        <f>IFERROR(INDEX('DRAFT 1'!$Y:$Y,MATCH($B112,'DRAFT 1'!$B:$B,0)),"")</f>
        <v/>
      </c>
      <c r="AE112">
        <f>IFERROR(INDEX('DRAFT 1'!$Z:$Z,MATCH($B112,'DRAFT 1'!$B:$B,0)),"")</f>
        <v/>
      </c>
      <c r="AF112">
        <f>IFERROR(INDEX('DRAFT 1'!$AA:$AA,MATCH($B112,'DRAFT 1'!$B:$B,0)),"")</f>
        <v/>
      </c>
      <c r="AG112">
        <f>IFERROR(INDEX('DRAFT 1'!$AB:$AB,MATCH($B112,'DRAFT 1'!$B:$B,0)),"")</f>
        <v/>
      </c>
      <c r="AH112">
        <f>IFERROR(INDEX('DRAFT 1'!$AC:$AC,MATCH($B112,'DRAFT 1'!$B:$B,0)),"")</f>
        <v/>
      </c>
      <c r="AI112">
        <f>IFERROR(INDEX('DRAFT 1'!$AD:$AD,MATCH($B112,'DRAFT 1'!$B:$B,0)),"")</f>
        <v/>
      </c>
      <c r="AJ112">
        <f>IFERROR(INDEX('DRAFT 1'!$AE:$AE,MATCH($B112,'DRAFT 1'!$B:$B,0)),"")</f>
        <v/>
      </c>
      <c r="AK112">
        <f>IFERROR(INDEX('DRAFT 1'!$AG:$AG,MATCH($B112,'DRAFT 1'!$B:$B,0)),"")</f>
        <v/>
      </c>
      <c r="AL112">
        <f>IFERROR(INDEX('DRAFT 1'!$AH:$AH,MATCH($B112,'DRAFT 1'!$B:$B,0)),"")</f>
        <v/>
      </c>
      <c r="AM112">
        <f>IFERROR(INDEX('DRAFT 1'!$AI:$AI,MATCH($B112,'DRAFT 1'!$B:$B,0)),"")</f>
        <v/>
      </c>
      <c r="AN112">
        <f>IFERROR(INDEX('DRAFT 1'!$AJ:$AJ,MATCH($B112,'DRAFT 1'!$B:$B,0)),"")</f>
        <v/>
      </c>
      <c r="AO112">
        <f>IFERROR(Y112/AN112,0)</f>
        <v/>
      </c>
      <c r="AP112">
        <f>IFERROR(INDEX('DRAFT 1'!$AK:$AK,MATCH($B112,'DRAFT 1'!$B:$B,0)),"")</f>
        <v/>
      </c>
      <c r="AR112" t="inlineStr">
        <is>
          <t>SALVAMENTO</t>
        </is>
      </c>
      <c r="AS112">
        <f>IFERROR(LOOKUP(2,1/('DRAFT 2'!$D:$D=$B112),'DRAFT 2'!$T:$T),"")</f>
        <v/>
      </c>
      <c r="AT112">
        <f>IFERROR(LOOKUP(2,1/('DRAFT 2'!$D:$D=$B112),'DRAFT 2'!$A:$A),"")</f>
        <v/>
      </c>
      <c r="AU112">
        <f>IFERROR(LOOKUP(2,1/('DRAFT 2'!$D:$D=$B112),'DRAFT 2'!$R:$R),"")</f>
        <v/>
      </c>
      <c r="AV112">
        <f>IFERROR(LOOKUP(2,1/('DRAFT 2'!$D:$D=$B112),'DRAFT 2'!$S:$S),"")</f>
        <v/>
      </c>
      <c r="AW112" t="inlineStr">
        <is>
          <t>EM DESENVOLVIMENTO</t>
        </is>
      </c>
      <c r="AX112">
        <f>IFERROR(LOOKUP(2,1/('DRAFT 2'!$D:$D=$B112),'DRAFT 2'!$M:$M),"")</f>
        <v/>
      </c>
      <c r="AY112">
        <f>IFERROR(LOOKUP(2,1/('DRAFT 2'!$D:$D=$B112),'DRAFT 2'!$K:$K),"")</f>
        <v/>
      </c>
      <c r="BG112">
        <f>IFERROR(LOOKUP(2,1/('DRAFT 2'!$D:$D=$B112),'DRAFT 2'!$U:$U),"")</f>
        <v/>
      </c>
      <c r="BH112">
        <f>IFERROR(LOOKUP(2,1/('DRAFT 2'!$D:$D=$B112),'DRAFT 2'!$V:$V),"")</f>
        <v/>
      </c>
      <c r="CE112">
        <f>IFERROR(AJ112,0)</f>
        <v/>
      </c>
      <c r="CF112">
        <f>IFERROR(LOOKUP(2,1/('DRAFT 2'!$D:$D=$B112)*('DRAFT 2'!$A:$A&gt;=DATE(2026,1,1))*('DRAFT 2'!$A:$A&lt;DATE(2026,IF(1=12,1+1,1+1),1)),'DRAFT 2'!$A:$A),"")</f>
        <v/>
      </c>
      <c r="CG112">
        <f>COUNTIFS('DRAFT 2'!$D:$D,$B112,'DRAFT 2'!$A:$A,"&gt;="&amp;DATE(2026,1,1),'DRAFT 2'!$A:$A,"&lt;="&amp;DATE(2026,1,7))</f>
        <v/>
      </c>
      <c r="CH112">
        <f>COUNTIFS('DRAFT 2'!$D:$D,$B112,'DRAFT 2'!$A:$A,"&gt;="&amp;DATE(2026,1,8),'DRAFT 2'!$A:$A,"&lt;="&amp;DATE(2026,1,14))</f>
        <v/>
      </c>
      <c r="CI112">
        <f>COUNTIFS('DRAFT 2'!$D:$D,$B112,'DRAFT 2'!$A:$A,"&gt;="&amp;DATE(2026,1,15),'DRAFT 2'!$A:$A,"&lt;="&amp;DATE(2026,1,21))</f>
        <v/>
      </c>
      <c r="CJ112">
        <f>COUNTIFS('DRAFT 2'!$D:$D,$B112,'DRAFT 2'!$A:$A,"&gt;="&amp;DATE(2026,1,22),'DRAFT 2'!$A:$A,"&lt;"&amp;DATE(2026,IF(1=12,1+1,1+1),1))</f>
        <v/>
      </c>
      <c r="CK112">
        <f>SUM(CG112:CJ112)</f>
        <v/>
      </c>
      <c r="CT112" t="n">
        <v>0</v>
      </c>
      <c r="CU112">
        <f>IFERROR(LOOKUP(2,1/('DRAFT 2'!$D:$D=$B112)*('DRAFT 2'!$A:$A&gt;=DATE(2026,2,1))*('DRAFT 2'!$A:$A&lt;DATE(2026,IF(2=12,2+1,2+1),1)),'DRAFT 2'!$A:$A),"")</f>
        <v/>
      </c>
      <c r="CV112">
        <f>COUNTIFS('DRAFT 2'!$D:$D,$B112,'DRAFT 2'!$A:$A,"&gt;="&amp;DATE(2026,2,1),'DRAFT 2'!$A:$A,"&lt;="&amp;DATE(2026,2,7))</f>
        <v/>
      </c>
      <c r="CW112">
        <f>COUNTIFS('DRAFT 2'!$D:$D,$B112,'DRAFT 2'!$A:$A,"&gt;="&amp;DATE(2026,2,8),'DRAFT 2'!$A:$A,"&lt;="&amp;DATE(2026,2,14))</f>
        <v/>
      </c>
      <c r="CX112">
        <f>COUNTIFS('DRAFT 2'!$D:$D,$B112,'DRAFT 2'!$A:$A,"&gt;="&amp;DATE(2026,2,15),'DRAFT 2'!$A:$A,"&lt;="&amp;DATE(2026,2,21))</f>
        <v/>
      </c>
      <c r="CY112">
        <f>COUNTIFS('DRAFT 2'!$D:$D,$B112,'DRAFT 2'!$A:$A,"&gt;="&amp;DATE(2026,2,22),'DRAFT 2'!$A:$A,"&lt;"&amp;DATE(2026,IF(2=12,2+1,2+1),1))</f>
        <v/>
      </c>
      <c r="CZ112">
        <f>SUM(CV112:CY112)</f>
        <v/>
      </c>
      <c r="DJ112">
        <f>IFERROR(LOOKUP(2,1/('DRAFT 2'!$D:$D=$B112)*('DRAFT 2'!$A:$A&gt;=DATE(2026,3,1))*('DRAFT 2'!$A:$A&lt;DATE(2026,IF(3=12,3+1,3+1),1)),'DRAFT 2'!$A:$A),"")</f>
        <v/>
      </c>
      <c r="DK112">
        <f>COUNTIFS('DRAFT 2'!$D:$D,$B112,'DRAFT 2'!$A:$A,"&gt;="&amp;DATE(2026,3,1),'DRAFT 2'!$A:$A,"&lt;="&amp;DATE(2026,3,7))</f>
        <v/>
      </c>
      <c r="DL112">
        <f>COUNTIFS('DRAFT 2'!$D:$D,$B112,'DRAFT 2'!$A:$A,"&gt;="&amp;DATE(2026,3,8),'DRAFT 2'!$A:$A,"&lt;="&amp;DATE(2026,3,14))</f>
        <v/>
      </c>
      <c r="DM112">
        <f>COUNTIFS('DRAFT 2'!$D:$D,$B112,'DRAFT 2'!$A:$A,"&gt;="&amp;DATE(2026,3,15),'DRAFT 2'!$A:$A,"&lt;="&amp;DATE(2026,3,21))</f>
        <v/>
      </c>
      <c r="DN112">
        <f>COUNTIFS('DRAFT 2'!$D:$D,$B112,'DRAFT 2'!$A:$A,"&gt;="&amp;DATE(2026,3,22),'DRAFT 2'!$A:$A,"&lt;"&amp;DATE(2026,IF(3=12,3+1,3+1),1))</f>
        <v/>
      </c>
      <c r="DO112">
        <f>SUM(DK112:DN112)</f>
        <v/>
      </c>
      <c r="DZ112">
        <f>IFERROR(LOOKUP(2,1/('DRAFT 2'!$D:$D=$B112)*('DRAFT 2'!$A:$A&gt;=DATE(2026,4,1))*('DRAFT 2'!$A:$A&lt;DATE(2026,IF(4=12,4+1,4+1),1)),'DRAFT 2'!$A:$A),"")</f>
        <v/>
      </c>
      <c r="EA112">
        <f>COUNTIFS('DRAFT 2'!$D:$D,$B112,'DRAFT 2'!$A:$A,"&gt;="&amp;DATE(2026,4,1),'DRAFT 2'!$A:$A,"&lt;="&amp;DATE(2026,4,7))</f>
        <v/>
      </c>
      <c r="EB112">
        <f>COUNTIFS('DRAFT 2'!$D:$D,$B112,'DRAFT 2'!$A:$A,"&gt;="&amp;DATE(2026,4,8),'DRAFT 2'!$A:$A,"&lt;="&amp;DATE(2026,4,14))</f>
        <v/>
      </c>
      <c r="EC112">
        <f>COUNTIFS('DRAFT 2'!$D:$D,$B112,'DRAFT 2'!$A:$A,"&gt;="&amp;DATE(2026,4,15),'DRAFT 2'!$A:$A,"&lt;="&amp;DATE(2026,4,21))</f>
        <v/>
      </c>
      <c r="ED112">
        <f>COUNTIFS('DRAFT 2'!$D:$D,$B112,'DRAFT 2'!$A:$A,"&gt;="&amp;DATE(2026,4,22),'DRAFT 2'!$A:$A,"&lt;"&amp;DATE(2026,IF(4=12,4+1,4+1),1))</f>
        <v/>
      </c>
      <c r="EE112">
        <f>SUM(EA112:ED112)</f>
        <v/>
      </c>
      <c r="EO112">
        <f>IFERROR(LOOKUP(2,1/('DRAFT 2'!$D:$D=$B112)*('DRAFT 2'!$A:$A&gt;=DATE(2026,5,1))*('DRAFT 2'!$A:$A&lt;DATE(2026,IF(5=12,5+1,5+1),1)),'DRAFT 2'!$A:$A),"")</f>
        <v/>
      </c>
      <c r="EP112">
        <f>COUNTIFS('DRAFT 2'!$D:$D,$B112,'DRAFT 2'!$A:$A,"&gt;="&amp;DATE(2026,5,1),'DRAFT 2'!$A:$A,"&lt;="&amp;DATE(2026,5,7))</f>
        <v/>
      </c>
      <c r="EQ112">
        <f>COUNTIFS('DRAFT 2'!$D:$D,$B112,'DRAFT 2'!$A:$A,"&gt;="&amp;DATE(2026,5,8),'DRAFT 2'!$A:$A,"&lt;="&amp;DATE(2026,5,14))</f>
        <v/>
      </c>
      <c r="ER112">
        <f>COUNTIFS('DRAFT 2'!$D:$D,$B112,'DRAFT 2'!$A:$A,"&gt;="&amp;DATE(2026,5,15),'DRAFT 2'!$A:$A,"&lt;="&amp;DATE(2026,5,21))</f>
        <v/>
      </c>
      <c r="ES112">
        <f>COUNTIFS('DRAFT 2'!$D:$D,$B112,'DRAFT 2'!$A:$A,"&gt;="&amp;DATE(2026,5,22),'DRAFT 2'!$A:$A,"&lt;"&amp;DATE(2026,IF(5=12,5+1,5+1),1))</f>
        <v/>
      </c>
      <c r="ET112">
        <f>SUM(EP112:ES112)</f>
        <v/>
      </c>
      <c r="FD112">
        <f>IFERROR(LOOKUP(2,1/('DRAFT 2'!$D:$D=$B112)*('DRAFT 2'!$A:$A&gt;=DATE(2026,6,1))*('DRAFT 2'!$A:$A&lt;DATE(2026,IF(6=12,6+1,6+1),1)),'DRAFT 2'!$A:$A),"")</f>
        <v/>
      </c>
      <c r="FE112">
        <f>COUNTIFS('DRAFT 2'!$D:$D,$B112,'DRAFT 2'!$A:$A,"&gt;="&amp;DATE(2026,6,1),'DRAFT 2'!$A:$A,"&lt;="&amp;DATE(2026,6,7))</f>
        <v/>
      </c>
      <c r="FF112">
        <f>COUNTIFS('DRAFT 2'!$D:$D,$B112,'DRAFT 2'!$A:$A,"&gt;="&amp;DATE(2026,6,8),'DRAFT 2'!$A:$A,"&lt;="&amp;DATE(2026,6,14))</f>
        <v/>
      </c>
      <c r="FG112">
        <f>COUNTIFS('DRAFT 2'!$D:$D,$B112,'DRAFT 2'!$A:$A,"&gt;="&amp;DATE(2026,6,15),'DRAFT 2'!$A:$A,"&lt;="&amp;DATE(2026,6,21))</f>
        <v/>
      </c>
      <c r="FH112">
        <f>COUNTIFS('DRAFT 2'!$D:$D,$B112,'DRAFT 2'!$A:$A,"&gt;="&amp;DATE(2026,6,22),'DRAFT 2'!$A:$A,"&lt;"&amp;DATE(2026,IF(6=12,6+1,6+1),1))</f>
        <v/>
      </c>
      <c r="FI112">
        <f>SUM(FE112:FH112)</f>
        <v/>
      </c>
      <c r="FT112">
        <f>IFERROR(LOOKUP(2,1/('DRAFT 2'!$D:$D=$B112)*('DRAFT 2'!$A:$A&gt;=DATE(2026,7,1))*('DRAFT 2'!$A:$A&lt;DATE(2026,IF(7=12,7+1,7+1),1)),'DRAFT 2'!$A:$A),"")</f>
        <v/>
      </c>
      <c r="FU112">
        <f>COUNTIFS('DRAFT 2'!$D:$D,$B112,'DRAFT 2'!$A:$A,"&gt;="&amp;DATE(2026,7,1),'DRAFT 2'!$A:$A,"&lt;="&amp;DATE(2026,7,7))</f>
        <v/>
      </c>
      <c r="FV112">
        <f>COUNTIFS('DRAFT 2'!$D:$D,$B112,'DRAFT 2'!$A:$A,"&gt;="&amp;DATE(2026,7,8),'DRAFT 2'!$A:$A,"&lt;="&amp;DATE(2026,7,14))</f>
        <v/>
      </c>
      <c r="FW112">
        <f>COUNTIFS('DRAFT 2'!$D:$D,$B112,'DRAFT 2'!$A:$A,"&gt;="&amp;DATE(2026,7,15),'DRAFT 2'!$A:$A,"&lt;="&amp;DATE(2026,7,21))</f>
        <v/>
      </c>
      <c r="FX112">
        <f>COUNTIFS('DRAFT 2'!$D:$D,$B112,'DRAFT 2'!$A:$A,"&gt;="&amp;DATE(2026,7,22),'DRAFT 2'!$A:$A,"&lt;"&amp;DATE(2026,IF(7=12,7+1,7+1),1))</f>
        <v/>
      </c>
      <c r="FY112">
        <f>SUM(FU112:FX112)</f>
        <v/>
      </c>
      <c r="GI112">
        <f>IFERROR(LOOKUP(2,1/('DRAFT 2'!$D:$D=$B112)*('DRAFT 2'!$A:$A&gt;=DATE(2026,8,1))*('DRAFT 2'!$A:$A&lt;DATE(2026,IF(8=12,8+1,8+1),1)),'DRAFT 2'!$A:$A),"")</f>
        <v/>
      </c>
      <c r="GJ112">
        <f>COUNTIFS('DRAFT 2'!$D:$D,$B112,'DRAFT 2'!$A:$A,"&gt;="&amp;DATE(2026,8,1),'DRAFT 2'!$A:$A,"&lt;="&amp;DATE(2026,8,7))</f>
        <v/>
      </c>
      <c r="GK112">
        <f>COUNTIFS('DRAFT 2'!$D:$D,$B112,'DRAFT 2'!$A:$A,"&gt;="&amp;DATE(2026,8,8),'DRAFT 2'!$A:$A,"&lt;="&amp;DATE(2026,8,14))</f>
        <v/>
      </c>
      <c r="GL112">
        <f>COUNTIFS('DRAFT 2'!$D:$D,$B112,'DRAFT 2'!$A:$A,"&gt;="&amp;DATE(2026,8,15),'DRAFT 2'!$A:$A,"&lt;="&amp;DATE(2026,8,21))</f>
        <v/>
      </c>
      <c r="GM112">
        <f>COUNTIFS('DRAFT 2'!$D:$D,$B112,'DRAFT 2'!$A:$A,"&gt;="&amp;DATE(2026,8,22),'DRAFT 2'!$A:$A,"&lt;"&amp;DATE(2026,IF(8=12,8+1,8+1),1))</f>
        <v/>
      </c>
      <c r="GN112">
        <f>SUM(GJ112:GM112)</f>
        <v/>
      </c>
      <c r="GX112">
        <f>IFERROR(LOOKUP(2,1/('DRAFT 2'!$D:$D=$B112)*('DRAFT 2'!$A:$A&gt;=DATE(2026,9,1))*('DRAFT 2'!$A:$A&lt;DATE(2026,IF(9=12,9+1,9+1),1)),'DRAFT 2'!$A:$A),"")</f>
        <v/>
      </c>
      <c r="GY112">
        <f>COUNTIFS('DRAFT 2'!$D:$D,$B112,'DRAFT 2'!$A:$A,"&gt;="&amp;DATE(2026,9,1),'DRAFT 2'!$A:$A,"&lt;="&amp;DATE(2026,9,7))</f>
        <v/>
      </c>
      <c r="GZ112">
        <f>COUNTIFS('DRAFT 2'!$D:$D,$B112,'DRAFT 2'!$A:$A,"&gt;="&amp;DATE(2026,9,8),'DRAFT 2'!$A:$A,"&lt;="&amp;DATE(2026,9,14))</f>
        <v/>
      </c>
      <c r="HA112">
        <f>COUNTIFS('DRAFT 2'!$D:$D,$B112,'DRAFT 2'!$A:$A,"&gt;="&amp;DATE(2026,9,15),'DRAFT 2'!$A:$A,"&lt;="&amp;DATE(2026,9,21))</f>
        <v/>
      </c>
      <c r="HB112">
        <f>COUNTIFS('DRAFT 2'!$D:$D,$B112,'DRAFT 2'!$A:$A,"&gt;="&amp;DATE(2026,9,22),'DRAFT 2'!$A:$A,"&lt;"&amp;DATE(2026,IF(9=12,9+1,9+1),1))</f>
        <v/>
      </c>
      <c r="HC112">
        <f>SUM(GY112:HB112)</f>
        <v/>
      </c>
      <c r="HN112">
        <f>IFERROR(LOOKUP(2,1/('DRAFT 2'!$D:$D=$B112)*('DRAFT 2'!$A:$A&gt;=DATE(2026,10,1))*('DRAFT 2'!$A:$A&lt;DATE(2026,IF(10=12,10+1,10+1),1)),'DRAFT 2'!$A:$A),"")</f>
        <v/>
      </c>
      <c r="HO112">
        <f>COUNTIFS('DRAFT 2'!$D:$D,$B112,'DRAFT 2'!$A:$A,"&gt;="&amp;DATE(2026,10,1),'DRAFT 2'!$A:$A,"&lt;="&amp;DATE(2026,10,7))</f>
        <v/>
      </c>
      <c r="HP112">
        <f>COUNTIFS('DRAFT 2'!$D:$D,$B112,'DRAFT 2'!$A:$A,"&gt;="&amp;DATE(2026,10,8),'DRAFT 2'!$A:$A,"&lt;="&amp;DATE(2026,10,14))</f>
        <v/>
      </c>
      <c r="HQ112">
        <f>COUNTIFS('DRAFT 2'!$D:$D,$B112,'DRAFT 2'!$A:$A,"&gt;="&amp;DATE(2026,10,15),'DRAFT 2'!$A:$A,"&lt;="&amp;DATE(2026,10,21))</f>
        <v/>
      </c>
      <c r="HR112">
        <f>COUNTIFS('DRAFT 2'!$D:$D,$B112,'DRAFT 2'!$A:$A,"&gt;="&amp;DATE(2026,10,22),'DRAFT 2'!$A:$A,"&lt;"&amp;DATE(2026,IF(10=12,10+1,10+1),1))</f>
        <v/>
      </c>
      <c r="HS112">
        <f>SUM(HO112:HR112)</f>
        <v/>
      </c>
      <c r="IC112">
        <f>IFERROR(LOOKUP(2,1/('DRAFT 2'!$D:$D=$B112)*('DRAFT 2'!$A:$A&gt;=DATE(2026,11,1))*('DRAFT 2'!$A:$A&lt;DATE(2026,IF(11=12,11+1,11+1),1)),'DRAFT 2'!$A:$A),"")</f>
        <v/>
      </c>
      <c r="ID112">
        <f>COUNTIFS('DRAFT 2'!$D:$D,$B112,'DRAFT 2'!$A:$A,"&gt;="&amp;DATE(2026,11,1),'DRAFT 2'!$A:$A,"&lt;="&amp;DATE(2026,11,7))</f>
        <v/>
      </c>
      <c r="IE112">
        <f>COUNTIFS('DRAFT 2'!$D:$D,$B112,'DRAFT 2'!$A:$A,"&gt;="&amp;DATE(2026,11,8),'DRAFT 2'!$A:$A,"&lt;="&amp;DATE(2026,11,14))</f>
        <v/>
      </c>
      <c r="IF112">
        <f>COUNTIFS('DRAFT 2'!$D:$D,$B112,'DRAFT 2'!$A:$A,"&gt;="&amp;DATE(2026,11,15),'DRAFT 2'!$A:$A,"&lt;="&amp;DATE(2026,11,21))</f>
        <v/>
      </c>
      <c r="IG112">
        <f>COUNTIFS('DRAFT 2'!$D:$D,$B112,'DRAFT 2'!$A:$A,"&gt;="&amp;DATE(2026,11,22),'DRAFT 2'!$A:$A,"&lt;"&amp;DATE(2026,IF(11=12,11+1,11+1),1))</f>
        <v/>
      </c>
      <c r="IH112">
        <f>SUM(ID112:IG112)</f>
        <v/>
      </c>
      <c r="IR112">
        <f>IFERROR(LOOKUP(2,1/('DRAFT 2'!$D:$D=$B112)*('DRAFT 2'!$A:$A&gt;=DATE(2026,12,1))*('DRAFT 2'!$A:$A&lt;DATE(2026,IF(12=12,12+1,12+1),1)),'DRAFT 2'!$A:$A),"")</f>
        <v/>
      </c>
      <c r="IS112">
        <f>COUNTIFS('DRAFT 2'!$D:$D,$B112,'DRAFT 2'!$A:$A,"&gt;="&amp;DATE(2026,12,1),'DRAFT 2'!$A:$A,"&lt;="&amp;DATE(2026,12,7))</f>
        <v/>
      </c>
      <c r="IT112">
        <f>COUNTIFS('DRAFT 2'!$D:$D,$B112,'DRAFT 2'!$A:$A,"&gt;="&amp;DATE(2026,12,8),'DRAFT 2'!$A:$A,"&lt;="&amp;DATE(2026,12,14))</f>
        <v/>
      </c>
      <c r="IU112">
        <f>COUNTIFS('DRAFT 2'!$D:$D,$B112,'DRAFT 2'!$A:$A,"&gt;="&amp;DATE(2026,12,15),'DRAFT 2'!$A:$A,"&lt;="&amp;DATE(2026,12,21))</f>
        <v/>
      </c>
      <c r="IV112">
        <f>COUNTIFS('DRAFT 2'!$D:$D,$B112,'DRAFT 2'!$A:$A,"&gt;="&amp;DATE(2026,12,22),'DRAFT 2'!$A:$A,"&lt;"&amp;DATE(2026,IF(12=12,12+1,12+1),1))</f>
        <v/>
      </c>
      <c r="IW112">
        <f>SUM(IS112:IV112)</f>
        <v/>
      </c>
    </row>
    <row r="113">
      <c r="A113">
        <f>IFERROR(INDEX('DRAFT 1'!$A:$A,MATCH($B113,'DRAFT 1'!$B:$B,0)),"")</f>
        <v/>
      </c>
      <c r="C113">
        <f>IFERROR(INDEX('DRAFT 1'!$C:$C,MATCH($B113,'DRAFT 1'!$B:$B,0)),"")</f>
        <v/>
      </c>
      <c r="D113">
        <f>IFERROR(INDEX('DRAFT 1'!$D:$D,MATCH($B113,'DRAFT 1'!$B:$B,0)),"")</f>
        <v/>
      </c>
      <c r="E113">
        <f>IFERROR(INDEX('DRAFT 1'!$E:$E,MATCH($B113,'DRAFT 1'!$B:$B,0)),"")</f>
        <v/>
      </c>
      <c r="F113">
        <f>IFERROR(INDEX('DRAFT 1'!$F:$F,MATCH($B113,'DRAFT 1'!$B:$B,0)),"")</f>
        <v/>
      </c>
      <c r="G113">
        <f>IFERROR(INDEX('DRAFT 1'!$G:$G,MATCH($B113,'DRAFT 1'!$B:$B,0)),"")</f>
        <v/>
      </c>
      <c r="H113">
        <f>IFERROR(INDEX('DRAFT 1'!$H:$H,MATCH($B113,'DRAFT 1'!$B:$B,0)),"")</f>
        <v/>
      </c>
      <c r="I113" t="inlineStr">
        <is>
          <t>DEMAIS CLIENTES</t>
        </is>
      </c>
      <c r="K113">
        <f>IFERROR(INDEX('DRAFT 1'!$AL:$AL,MATCH($B113,'DRAFT 1'!$B:$B,0)),"")</f>
        <v/>
      </c>
      <c r="L113">
        <f>IFERROR(INDEX('DRAFT 1'!$J:$J,MATCH($B113,'DRAFT 1'!$B:$B,0)),"")</f>
        <v/>
      </c>
      <c r="M113">
        <f>IFERROR(INDEX('DRAFT 1'!$K:$K,MATCH($B113,'DRAFT 1'!$B:$B,0)),"")</f>
        <v/>
      </c>
      <c r="N113" t="inlineStr">
        <is>
          <t>NOVO</t>
        </is>
      </c>
      <c r="P113">
        <f>IFERROR(INDEX('DRAFT 1'!$L:$L,MATCH($B113,'DRAFT 1'!$B:$B,0)),"")</f>
        <v/>
      </c>
      <c r="Q113">
        <f>IFERROR(INDEX('DRAFT 1'!$M:$M,MATCH($B113,'DRAFT 1'!$B:$B,0)),"")</f>
        <v/>
      </c>
      <c r="R113">
        <f>IFERROR(INDEX('DRAFT 1'!$N:$N,MATCH($B113,'DRAFT 1'!$B:$B,0)),"")</f>
        <v/>
      </c>
      <c r="S113">
        <f>IFERROR(INDEX('DRAFT 1'!$O:$O,MATCH($B113,'DRAFT 1'!$B:$B,0)),"")</f>
        <v/>
      </c>
      <c r="T113">
        <f>IFERROR(INDEX('DRAFT 1'!$P:$P,MATCH($B113,'DRAFT 1'!$B:$B,0)),"")</f>
        <v/>
      </c>
      <c r="U113">
        <f>IFERROR(INDEX('DRAFT 1'!$Q:$Q,MATCH($B113,'DRAFT 1'!$B:$B,0)),"")</f>
        <v/>
      </c>
      <c r="V113">
        <f>IFERROR(INDEX('DRAFT 1'!$R:$R,MATCH($B113,'DRAFT 1'!$B:$B,0)),"")</f>
        <v/>
      </c>
      <c r="W113">
        <f>IFERROR(INDEX('DRAFT 1'!$S:$S,MATCH($B113,'DRAFT 1'!$B:$B,0)),"")</f>
        <v/>
      </c>
      <c r="X113">
        <f>IFERROR(INDEX('DRAFT 1'!$T:$T,MATCH($B113,'DRAFT 1'!$B:$B,0)),"")</f>
        <v/>
      </c>
      <c r="Z113">
        <f>IFERROR(INDEX('DRAFT 1'!$U:$U,MATCH($B113,'DRAFT 1'!$B:$B,0)),"")</f>
        <v/>
      </c>
      <c r="AA113">
        <f>IFERROR(INDEX('DRAFT 1'!$V:$V,MATCH($B113,'DRAFT 1'!$B:$B,0)),"")</f>
        <v/>
      </c>
      <c r="AB113">
        <f>IFERROR(INDEX('DRAFT 1'!$W:$W,MATCH($B113,'DRAFT 1'!$B:$B,0)),"")</f>
        <v/>
      </c>
      <c r="AC113">
        <f>IFERROR(INDEX('DRAFT 1'!$X:$X,MATCH($B113,'DRAFT 1'!$B:$B,0)),"")</f>
        <v/>
      </c>
      <c r="AD113">
        <f>IFERROR(INDEX('DRAFT 1'!$Y:$Y,MATCH($B113,'DRAFT 1'!$B:$B,0)),"")</f>
        <v/>
      </c>
      <c r="AE113">
        <f>IFERROR(INDEX('DRAFT 1'!$Z:$Z,MATCH($B113,'DRAFT 1'!$B:$B,0)),"")</f>
        <v/>
      </c>
      <c r="AF113">
        <f>IFERROR(INDEX('DRAFT 1'!$AA:$AA,MATCH($B113,'DRAFT 1'!$B:$B,0)),"")</f>
        <v/>
      </c>
      <c r="AG113">
        <f>IFERROR(INDEX('DRAFT 1'!$AB:$AB,MATCH($B113,'DRAFT 1'!$B:$B,0)),"")</f>
        <v/>
      </c>
      <c r="AH113">
        <f>IFERROR(INDEX('DRAFT 1'!$AC:$AC,MATCH($B113,'DRAFT 1'!$B:$B,0)),"")</f>
        <v/>
      </c>
      <c r="AI113">
        <f>IFERROR(INDEX('DRAFT 1'!$AD:$AD,MATCH($B113,'DRAFT 1'!$B:$B,0)),"")</f>
        <v/>
      </c>
      <c r="AJ113">
        <f>IFERROR(INDEX('DRAFT 1'!$AE:$AE,MATCH($B113,'DRAFT 1'!$B:$B,0)),"")</f>
        <v/>
      </c>
      <c r="AK113">
        <f>IFERROR(INDEX('DRAFT 1'!$AG:$AG,MATCH($B113,'DRAFT 1'!$B:$B,0)),"")</f>
        <v/>
      </c>
      <c r="AL113">
        <f>IFERROR(INDEX('DRAFT 1'!$AH:$AH,MATCH($B113,'DRAFT 1'!$B:$B,0)),"")</f>
        <v/>
      </c>
      <c r="AM113">
        <f>IFERROR(INDEX('DRAFT 1'!$AI:$AI,MATCH($B113,'DRAFT 1'!$B:$B,0)),"")</f>
        <v/>
      </c>
      <c r="AN113">
        <f>IFERROR(INDEX('DRAFT 1'!$AJ:$AJ,MATCH($B113,'DRAFT 1'!$B:$B,0)),"")</f>
        <v/>
      </c>
      <c r="AO113">
        <f>IFERROR(Y113/AN113,0)</f>
        <v/>
      </c>
      <c r="AP113">
        <f>IFERROR(INDEX('DRAFT 1'!$AK:$AK,MATCH($B113,'DRAFT 1'!$B:$B,0)),"")</f>
        <v/>
      </c>
      <c r="AR113" t="inlineStr">
        <is>
          <t>SALVAMENTO</t>
        </is>
      </c>
      <c r="AS113">
        <f>IFERROR(LOOKUP(2,1/('DRAFT 2'!$D:$D=$B113),'DRAFT 2'!$T:$T),"")</f>
        <v/>
      </c>
      <c r="AT113">
        <f>IFERROR(LOOKUP(2,1/('DRAFT 2'!$D:$D=$B113),'DRAFT 2'!$A:$A),"")</f>
        <v/>
      </c>
      <c r="AU113">
        <f>IFERROR(LOOKUP(2,1/('DRAFT 2'!$D:$D=$B113),'DRAFT 2'!$R:$R),"")</f>
        <v/>
      </c>
      <c r="AV113">
        <f>IFERROR(LOOKUP(2,1/('DRAFT 2'!$D:$D=$B113),'DRAFT 2'!$S:$S),"")</f>
        <v/>
      </c>
      <c r="AW113" t="inlineStr">
        <is>
          <t>EM DESENVOLVIMENTO</t>
        </is>
      </c>
      <c r="AX113">
        <f>IFERROR(LOOKUP(2,1/('DRAFT 2'!$D:$D=$B113),'DRAFT 2'!$M:$M),"")</f>
        <v/>
      </c>
      <c r="AY113">
        <f>IFERROR(LOOKUP(2,1/('DRAFT 2'!$D:$D=$B113),'DRAFT 2'!$K:$K),"")</f>
        <v/>
      </c>
      <c r="BG113">
        <f>IFERROR(LOOKUP(2,1/('DRAFT 2'!$D:$D=$B113),'DRAFT 2'!$U:$U),"")</f>
        <v/>
      </c>
      <c r="BH113">
        <f>IFERROR(LOOKUP(2,1/('DRAFT 2'!$D:$D=$B113),'DRAFT 2'!$V:$V),"")</f>
        <v/>
      </c>
      <c r="CE113">
        <f>IFERROR(AJ113,0)</f>
        <v/>
      </c>
      <c r="CF113">
        <f>IFERROR(LOOKUP(2,1/('DRAFT 2'!$D:$D=$B113)*('DRAFT 2'!$A:$A&gt;=DATE(2026,1,1))*('DRAFT 2'!$A:$A&lt;DATE(2026,IF(1=12,1+1,1+1),1)),'DRAFT 2'!$A:$A),"")</f>
        <v/>
      </c>
      <c r="CG113">
        <f>COUNTIFS('DRAFT 2'!$D:$D,$B113,'DRAFT 2'!$A:$A,"&gt;="&amp;DATE(2026,1,1),'DRAFT 2'!$A:$A,"&lt;="&amp;DATE(2026,1,7))</f>
        <v/>
      </c>
      <c r="CH113">
        <f>COUNTIFS('DRAFT 2'!$D:$D,$B113,'DRAFT 2'!$A:$A,"&gt;="&amp;DATE(2026,1,8),'DRAFT 2'!$A:$A,"&lt;="&amp;DATE(2026,1,14))</f>
        <v/>
      </c>
      <c r="CI113">
        <f>COUNTIFS('DRAFT 2'!$D:$D,$B113,'DRAFT 2'!$A:$A,"&gt;="&amp;DATE(2026,1,15),'DRAFT 2'!$A:$A,"&lt;="&amp;DATE(2026,1,21))</f>
        <v/>
      </c>
      <c r="CJ113">
        <f>COUNTIFS('DRAFT 2'!$D:$D,$B113,'DRAFT 2'!$A:$A,"&gt;="&amp;DATE(2026,1,22),'DRAFT 2'!$A:$A,"&lt;"&amp;DATE(2026,IF(1=12,1+1,1+1),1))</f>
        <v/>
      </c>
      <c r="CK113">
        <f>SUM(CG113:CJ113)</f>
        <v/>
      </c>
      <c r="CT113" t="n">
        <v>0</v>
      </c>
      <c r="CU113">
        <f>IFERROR(LOOKUP(2,1/('DRAFT 2'!$D:$D=$B113)*('DRAFT 2'!$A:$A&gt;=DATE(2026,2,1))*('DRAFT 2'!$A:$A&lt;DATE(2026,IF(2=12,2+1,2+1),1)),'DRAFT 2'!$A:$A),"")</f>
        <v/>
      </c>
      <c r="CV113">
        <f>COUNTIFS('DRAFT 2'!$D:$D,$B113,'DRAFT 2'!$A:$A,"&gt;="&amp;DATE(2026,2,1),'DRAFT 2'!$A:$A,"&lt;="&amp;DATE(2026,2,7))</f>
        <v/>
      </c>
      <c r="CW113">
        <f>COUNTIFS('DRAFT 2'!$D:$D,$B113,'DRAFT 2'!$A:$A,"&gt;="&amp;DATE(2026,2,8),'DRAFT 2'!$A:$A,"&lt;="&amp;DATE(2026,2,14))</f>
        <v/>
      </c>
      <c r="CX113">
        <f>COUNTIFS('DRAFT 2'!$D:$D,$B113,'DRAFT 2'!$A:$A,"&gt;="&amp;DATE(2026,2,15),'DRAFT 2'!$A:$A,"&lt;="&amp;DATE(2026,2,21))</f>
        <v/>
      </c>
      <c r="CY113">
        <f>COUNTIFS('DRAFT 2'!$D:$D,$B113,'DRAFT 2'!$A:$A,"&gt;="&amp;DATE(2026,2,22),'DRAFT 2'!$A:$A,"&lt;"&amp;DATE(2026,IF(2=12,2+1,2+1),1))</f>
        <v/>
      </c>
      <c r="CZ113">
        <f>SUM(CV113:CY113)</f>
        <v/>
      </c>
      <c r="DJ113">
        <f>IFERROR(LOOKUP(2,1/('DRAFT 2'!$D:$D=$B113)*('DRAFT 2'!$A:$A&gt;=DATE(2026,3,1))*('DRAFT 2'!$A:$A&lt;DATE(2026,IF(3=12,3+1,3+1),1)),'DRAFT 2'!$A:$A),"")</f>
        <v/>
      </c>
      <c r="DK113">
        <f>COUNTIFS('DRAFT 2'!$D:$D,$B113,'DRAFT 2'!$A:$A,"&gt;="&amp;DATE(2026,3,1),'DRAFT 2'!$A:$A,"&lt;="&amp;DATE(2026,3,7))</f>
        <v/>
      </c>
      <c r="DL113">
        <f>COUNTIFS('DRAFT 2'!$D:$D,$B113,'DRAFT 2'!$A:$A,"&gt;="&amp;DATE(2026,3,8),'DRAFT 2'!$A:$A,"&lt;="&amp;DATE(2026,3,14))</f>
        <v/>
      </c>
      <c r="DM113">
        <f>COUNTIFS('DRAFT 2'!$D:$D,$B113,'DRAFT 2'!$A:$A,"&gt;="&amp;DATE(2026,3,15),'DRAFT 2'!$A:$A,"&lt;="&amp;DATE(2026,3,21))</f>
        <v/>
      </c>
      <c r="DN113">
        <f>COUNTIFS('DRAFT 2'!$D:$D,$B113,'DRAFT 2'!$A:$A,"&gt;="&amp;DATE(2026,3,22),'DRAFT 2'!$A:$A,"&lt;"&amp;DATE(2026,IF(3=12,3+1,3+1),1))</f>
        <v/>
      </c>
      <c r="DO113">
        <f>SUM(DK113:DN113)</f>
        <v/>
      </c>
      <c r="DZ113">
        <f>IFERROR(LOOKUP(2,1/('DRAFT 2'!$D:$D=$B113)*('DRAFT 2'!$A:$A&gt;=DATE(2026,4,1))*('DRAFT 2'!$A:$A&lt;DATE(2026,IF(4=12,4+1,4+1),1)),'DRAFT 2'!$A:$A),"")</f>
        <v/>
      </c>
      <c r="EA113">
        <f>COUNTIFS('DRAFT 2'!$D:$D,$B113,'DRAFT 2'!$A:$A,"&gt;="&amp;DATE(2026,4,1),'DRAFT 2'!$A:$A,"&lt;="&amp;DATE(2026,4,7))</f>
        <v/>
      </c>
      <c r="EB113">
        <f>COUNTIFS('DRAFT 2'!$D:$D,$B113,'DRAFT 2'!$A:$A,"&gt;="&amp;DATE(2026,4,8),'DRAFT 2'!$A:$A,"&lt;="&amp;DATE(2026,4,14))</f>
        <v/>
      </c>
      <c r="EC113">
        <f>COUNTIFS('DRAFT 2'!$D:$D,$B113,'DRAFT 2'!$A:$A,"&gt;="&amp;DATE(2026,4,15),'DRAFT 2'!$A:$A,"&lt;="&amp;DATE(2026,4,21))</f>
        <v/>
      </c>
      <c r="ED113">
        <f>COUNTIFS('DRAFT 2'!$D:$D,$B113,'DRAFT 2'!$A:$A,"&gt;="&amp;DATE(2026,4,22),'DRAFT 2'!$A:$A,"&lt;"&amp;DATE(2026,IF(4=12,4+1,4+1),1))</f>
        <v/>
      </c>
      <c r="EE113">
        <f>SUM(EA113:ED113)</f>
        <v/>
      </c>
      <c r="EO113">
        <f>IFERROR(LOOKUP(2,1/('DRAFT 2'!$D:$D=$B113)*('DRAFT 2'!$A:$A&gt;=DATE(2026,5,1))*('DRAFT 2'!$A:$A&lt;DATE(2026,IF(5=12,5+1,5+1),1)),'DRAFT 2'!$A:$A),"")</f>
        <v/>
      </c>
      <c r="EP113">
        <f>COUNTIFS('DRAFT 2'!$D:$D,$B113,'DRAFT 2'!$A:$A,"&gt;="&amp;DATE(2026,5,1),'DRAFT 2'!$A:$A,"&lt;="&amp;DATE(2026,5,7))</f>
        <v/>
      </c>
      <c r="EQ113">
        <f>COUNTIFS('DRAFT 2'!$D:$D,$B113,'DRAFT 2'!$A:$A,"&gt;="&amp;DATE(2026,5,8),'DRAFT 2'!$A:$A,"&lt;="&amp;DATE(2026,5,14))</f>
        <v/>
      </c>
      <c r="ER113">
        <f>COUNTIFS('DRAFT 2'!$D:$D,$B113,'DRAFT 2'!$A:$A,"&gt;="&amp;DATE(2026,5,15),'DRAFT 2'!$A:$A,"&lt;="&amp;DATE(2026,5,21))</f>
        <v/>
      </c>
      <c r="ES113">
        <f>COUNTIFS('DRAFT 2'!$D:$D,$B113,'DRAFT 2'!$A:$A,"&gt;="&amp;DATE(2026,5,22),'DRAFT 2'!$A:$A,"&lt;"&amp;DATE(2026,IF(5=12,5+1,5+1),1))</f>
        <v/>
      </c>
      <c r="ET113">
        <f>SUM(EP113:ES113)</f>
        <v/>
      </c>
      <c r="FD113">
        <f>IFERROR(LOOKUP(2,1/('DRAFT 2'!$D:$D=$B113)*('DRAFT 2'!$A:$A&gt;=DATE(2026,6,1))*('DRAFT 2'!$A:$A&lt;DATE(2026,IF(6=12,6+1,6+1),1)),'DRAFT 2'!$A:$A),"")</f>
        <v/>
      </c>
      <c r="FE113">
        <f>COUNTIFS('DRAFT 2'!$D:$D,$B113,'DRAFT 2'!$A:$A,"&gt;="&amp;DATE(2026,6,1),'DRAFT 2'!$A:$A,"&lt;="&amp;DATE(2026,6,7))</f>
        <v/>
      </c>
      <c r="FF113">
        <f>COUNTIFS('DRAFT 2'!$D:$D,$B113,'DRAFT 2'!$A:$A,"&gt;="&amp;DATE(2026,6,8),'DRAFT 2'!$A:$A,"&lt;="&amp;DATE(2026,6,14))</f>
        <v/>
      </c>
      <c r="FG113">
        <f>COUNTIFS('DRAFT 2'!$D:$D,$B113,'DRAFT 2'!$A:$A,"&gt;="&amp;DATE(2026,6,15),'DRAFT 2'!$A:$A,"&lt;="&amp;DATE(2026,6,21))</f>
        <v/>
      </c>
      <c r="FH113">
        <f>COUNTIFS('DRAFT 2'!$D:$D,$B113,'DRAFT 2'!$A:$A,"&gt;="&amp;DATE(2026,6,22),'DRAFT 2'!$A:$A,"&lt;"&amp;DATE(2026,IF(6=12,6+1,6+1),1))</f>
        <v/>
      </c>
      <c r="FI113">
        <f>SUM(FE113:FH113)</f>
        <v/>
      </c>
      <c r="FT113">
        <f>IFERROR(LOOKUP(2,1/('DRAFT 2'!$D:$D=$B113)*('DRAFT 2'!$A:$A&gt;=DATE(2026,7,1))*('DRAFT 2'!$A:$A&lt;DATE(2026,IF(7=12,7+1,7+1),1)),'DRAFT 2'!$A:$A),"")</f>
        <v/>
      </c>
      <c r="FU113">
        <f>COUNTIFS('DRAFT 2'!$D:$D,$B113,'DRAFT 2'!$A:$A,"&gt;="&amp;DATE(2026,7,1),'DRAFT 2'!$A:$A,"&lt;="&amp;DATE(2026,7,7))</f>
        <v/>
      </c>
      <c r="FV113">
        <f>COUNTIFS('DRAFT 2'!$D:$D,$B113,'DRAFT 2'!$A:$A,"&gt;="&amp;DATE(2026,7,8),'DRAFT 2'!$A:$A,"&lt;="&amp;DATE(2026,7,14))</f>
        <v/>
      </c>
      <c r="FW113">
        <f>COUNTIFS('DRAFT 2'!$D:$D,$B113,'DRAFT 2'!$A:$A,"&gt;="&amp;DATE(2026,7,15),'DRAFT 2'!$A:$A,"&lt;="&amp;DATE(2026,7,21))</f>
        <v/>
      </c>
      <c r="FX113">
        <f>COUNTIFS('DRAFT 2'!$D:$D,$B113,'DRAFT 2'!$A:$A,"&gt;="&amp;DATE(2026,7,22),'DRAFT 2'!$A:$A,"&lt;"&amp;DATE(2026,IF(7=12,7+1,7+1),1))</f>
        <v/>
      </c>
      <c r="FY113">
        <f>SUM(FU113:FX113)</f>
        <v/>
      </c>
      <c r="GI113">
        <f>IFERROR(LOOKUP(2,1/('DRAFT 2'!$D:$D=$B113)*('DRAFT 2'!$A:$A&gt;=DATE(2026,8,1))*('DRAFT 2'!$A:$A&lt;DATE(2026,IF(8=12,8+1,8+1),1)),'DRAFT 2'!$A:$A),"")</f>
        <v/>
      </c>
      <c r="GJ113">
        <f>COUNTIFS('DRAFT 2'!$D:$D,$B113,'DRAFT 2'!$A:$A,"&gt;="&amp;DATE(2026,8,1),'DRAFT 2'!$A:$A,"&lt;="&amp;DATE(2026,8,7))</f>
        <v/>
      </c>
      <c r="GK113">
        <f>COUNTIFS('DRAFT 2'!$D:$D,$B113,'DRAFT 2'!$A:$A,"&gt;="&amp;DATE(2026,8,8),'DRAFT 2'!$A:$A,"&lt;="&amp;DATE(2026,8,14))</f>
        <v/>
      </c>
      <c r="GL113">
        <f>COUNTIFS('DRAFT 2'!$D:$D,$B113,'DRAFT 2'!$A:$A,"&gt;="&amp;DATE(2026,8,15),'DRAFT 2'!$A:$A,"&lt;="&amp;DATE(2026,8,21))</f>
        <v/>
      </c>
      <c r="GM113">
        <f>COUNTIFS('DRAFT 2'!$D:$D,$B113,'DRAFT 2'!$A:$A,"&gt;="&amp;DATE(2026,8,22),'DRAFT 2'!$A:$A,"&lt;"&amp;DATE(2026,IF(8=12,8+1,8+1),1))</f>
        <v/>
      </c>
      <c r="GN113">
        <f>SUM(GJ113:GM113)</f>
        <v/>
      </c>
      <c r="GX113">
        <f>IFERROR(LOOKUP(2,1/('DRAFT 2'!$D:$D=$B113)*('DRAFT 2'!$A:$A&gt;=DATE(2026,9,1))*('DRAFT 2'!$A:$A&lt;DATE(2026,IF(9=12,9+1,9+1),1)),'DRAFT 2'!$A:$A),"")</f>
        <v/>
      </c>
      <c r="GY113">
        <f>COUNTIFS('DRAFT 2'!$D:$D,$B113,'DRAFT 2'!$A:$A,"&gt;="&amp;DATE(2026,9,1),'DRAFT 2'!$A:$A,"&lt;="&amp;DATE(2026,9,7))</f>
        <v/>
      </c>
      <c r="GZ113">
        <f>COUNTIFS('DRAFT 2'!$D:$D,$B113,'DRAFT 2'!$A:$A,"&gt;="&amp;DATE(2026,9,8),'DRAFT 2'!$A:$A,"&lt;="&amp;DATE(2026,9,14))</f>
        <v/>
      </c>
      <c r="HA113">
        <f>COUNTIFS('DRAFT 2'!$D:$D,$B113,'DRAFT 2'!$A:$A,"&gt;="&amp;DATE(2026,9,15),'DRAFT 2'!$A:$A,"&lt;="&amp;DATE(2026,9,21))</f>
        <v/>
      </c>
      <c r="HB113">
        <f>COUNTIFS('DRAFT 2'!$D:$D,$B113,'DRAFT 2'!$A:$A,"&gt;="&amp;DATE(2026,9,22),'DRAFT 2'!$A:$A,"&lt;"&amp;DATE(2026,IF(9=12,9+1,9+1),1))</f>
        <v/>
      </c>
      <c r="HC113">
        <f>SUM(GY113:HB113)</f>
        <v/>
      </c>
      <c r="HN113">
        <f>IFERROR(LOOKUP(2,1/('DRAFT 2'!$D:$D=$B113)*('DRAFT 2'!$A:$A&gt;=DATE(2026,10,1))*('DRAFT 2'!$A:$A&lt;DATE(2026,IF(10=12,10+1,10+1),1)),'DRAFT 2'!$A:$A),"")</f>
        <v/>
      </c>
      <c r="HO113">
        <f>COUNTIFS('DRAFT 2'!$D:$D,$B113,'DRAFT 2'!$A:$A,"&gt;="&amp;DATE(2026,10,1),'DRAFT 2'!$A:$A,"&lt;="&amp;DATE(2026,10,7))</f>
        <v/>
      </c>
      <c r="HP113">
        <f>COUNTIFS('DRAFT 2'!$D:$D,$B113,'DRAFT 2'!$A:$A,"&gt;="&amp;DATE(2026,10,8),'DRAFT 2'!$A:$A,"&lt;="&amp;DATE(2026,10,14))</f>
        <v/>
      </c>
      <c r="HQ113">
        <f>COUNTIFS('DRAFT 2'!$D:$D,$B113,'DRAFT 2'!$A:$A,"&gt;="&amp;DATE(2026,10,15),'DRAFT 2'!$A:$A,"&lt;="&amp;DATE(2026,10,21))</f>
        <v/>
      </c>
      <c r="HR113">
        <f>COUNTIFS('DRAFT 2'!$D:$D,$B113,'DRAFT 2'!$A:$A,"&gt;="&amp;DATE(2026,10,22),'DRAFT 2'!$A:$A,"&lt;"&amp;DATE(2026,IF(10=12,10+1,10+1),1))</f>
        <v/>
      </c>
      <c r="HS113">
        <f>SUM(HO113:HR113)</f>
        <v/>
      </c>
      <c r="IC113">
        <f>IFERROR(LOOKUP(2,1/('DRAFT 2'!$D:$D=$B113)*('DRAFT 2'!$A:$A&gt;=DATE(2026,11,1))*('DRAFT 2'!$A:$A&lt;DATE(2026,IF(11=12,11+1,11+1),1)),'DRAFT 2'!$A:$A),"")</f>
        <v/>
      </c>
      <c r="ID113">
        <f>COUNTIFS('DRAFT 2'!$D:$D,$B113,'DRAFT 2'!$A:$A,"&gt;="&amp;DATE(2026,11,1),'DRAFT 2'!$A:$A,"&lt;="&amp;DATE(2026,11,7))</f>
        <v/>
      </c>
      <c r="IE113">
        <f>COUNTIFS('DRAFT 2'!$D:$D,$B113,'DRAFT 2'!$A:$A,"&gt;="&amp;DATE(2026,11,8),'DRAFT 2'!$A:$A,"&lt;="&amp;DATE(2026,11,14))</f>
        <v/>
      </c>
      <c r="IF113">
        <f>COUNTIFS('DRAFT 2'!$D:$D,$B113,'DRAFT 2'!$A:$A,"&gt;="&amp;DATE(2026,11,15),'DRAFT 2'!$A:$A,"&lt;="&amp;DATE(2026,11,21))</f>
        <v/>
      </c>
      <c r="IG113">
        <f>COUNTIFS('DRAFT 2'!$D:$D,$B113,'DRAFT 2'!$A:$A,"&gt;="&amp;DATE(2026,11,22),'DRAFT 2'!$A:$A,"&lt;"&amp;DATE(2026,IF(11=12,11+1,11+1),1))</f>
        <v/>
      </c>
      <c r="IH113">
        <f>SUM(ID113:IG113)</f>
        <v/>
      </c>
      <c r="IR113">
        <f>IFERROR(LOOKUP(2,1/('DRAFT 2'!$D:$D=$B113)*('DRAFT 2'!$A:$A&gt;=DATE(2026,12,1))*('DRAFT 2'!$A:$A&lt;DATE(2026,IF(12=12,12+1,12+1),1)),'DRAFT 2'!$A:$A),"")</f>
        <v/>
      </c>
      <c r="IS113">
        <f>COUNTIFS('DRAFT 2'!$D:$D,$B113,'DRAFT 2'!$A:$A,"&gt;="&amp;DATE(2026,12,1),'DRAFT 2'!$A:$A,"&lt;="&amp;DATE(2026,12,7))</f>
        <v/>
      </c>
      <c r="IT113">
        <f>COUNTIFS('DRAFT 2'!$D:$D,$B113,'DRAFT 2'!$A:$A,"&gt;="&amp;DATE(2026,12,8),'DRAFT 2'!$A:$A,"&lt;="&amp;DATE(2026,12,14))</f>
        <v/>
      </c>
      <c r="IU113">
        <f>COUNTIFS('DRAFT 2'!$D:$D,$B113,'DRAFT 2'!$A:$A,"&gt;="&amp;DATE(2026,12,15),'DRAFT 2'!$A:$A,"&lt;="&amp;DATE(2026,12,21))</f>
        <v/>
      </c>
      <c r="IV113">
        <f>COUNTIFS('DRAFT 2'!$D:$D,$B113,'DRAFT 2'!$A:$A,"&gt;="&amp;DATE(2026,12,22),'DRAFT 2'!$A:$A,"&lt;"&amp;DATE(2026,IF(12=12,12+1,12+1),1))</f>
        <v/>
      </c>
      <c r="IW113">
        <f>SUM(IS113:IV113)</f>
        <v/>
      </c>
    </row>
    <row r="114">
      <c r="A114">
        <f>IFERROR(INDEX('DRAFT 1'!$A:$A,MATCH($B114,'DRAFT 1'!$B:$B,0)),"")</f>
        <v/>
      </c>
      <c r="C114">
        <f>IFERROR(INDEX('DRAFT 1'!$C:$C,MATCH($B114,'DRAFT 1'!$B:$B,0)),"")</f>
        <v/>
      </c>
      <c r="D114">
        <f>IFERROR(INDEX('DRAFT 1'!$D:$D,MATCH($B114,'DRAFT 1'!$B:$B,0)),"")</f>
        <v/>
      </c>
      <c r="E114">
        <f>IFERROR(INDEX('DRAFT 1'!$E:$E,MATCH($B114,'DRAFT 1'!$B:$B,0)),"")</f>
        <v/>
      </c>
      <c r="F114">
        <f>IFERROR(INDEX('DRAFT 1'!$F:$F,MATCH($B114,'DRAFT 1'!$B:$B,0)),"")</f>
        <v/>
      </c>
      <c r="G114">
        <f>IFERROR(INDEX('DRAFT 1'!$G:$G,MATCH($B114,'DRAFT 1'!$B:$B,0)),"")</f>
        <v/>
      </c>
      <c r="H114">
        <f>IFERROR(INDEX('DRAFT 1'!$H:$H,MATCH($B114,'DRAFT 1'!$B:$B,0)),"")</f>
        <v/>
      </c>
      <c r="I114" t="inlineStr">
        <is>
          <t>DIVINA TERRA</t>
        </is>
      </c>
      <c r="K114">
        <f>IFERROR(INDEX('DRAFT 1'!$AL:$AL,MATCH($B114,'DRAFT 1'!$B:$B,0)),"")</f>
        <v/>
      </c>
      <c r="L114">
        <f>IFERROR(INDEX('DRAFT 1'!$J:$J,MATCH($B114,'DRAFT 1'!$B:$B,0)),"")</f>
        <v/>
      </c>
      <c r="M114">
        <f>IFERROR(INDEX('DRAFT 1'!$K:$K,MATCH($B114,'DRAFT 1'!$B:$B,0)),"")</f>
        <v/>
      </c>
      <c r="N114" t="inlineStr">
        <is>
          <t>EM RISCO</t>
        </is>
      </c>
      <c r="P114">
        <f>IFERROR(INDEX('DRAFT 1'!$L:$L,MATCH($B114,'DRAFT 1'!$B:$B,0)),"")</f>
        <v/>
      </c>
      <c r="Q114">
        <f>IFERROR(INDEX('DRAFT 1'!$M:$M,MATCH($B114,'DRAFT 1'!$B:$B,0)),"")</f>
        <v/>
      </c>
      <c r="R114">
        <f>IFERROR(INDEX('DRAFT 1'!$N:$N,MATCH($B114,'DRAFT 1'!$B:$B,0)),"")</f>
        <v/>
      </c>
      <c r="S114">
        <f>IFERROR(INDEX('DRAFT 1'!$O:$O,MATCH($B114,'DRAFT 1'!$B:$B,0)),"")</f>
        <v/>
      </c>
      <c r="T114">
        <f>IFERROR(INDEX('DRAFT 1'!$P:$P,MATCH($B114,'DRAFT 1'!$B:$B,0)),"")</f>
        <v/>
      </c>
      <c r="U114">
        <f>IFERROR(INDEX('DRAFT 1'!$Q:$Q,MATCH($B114,'DRAFT 1'!$B:$B,0)),"")</f>
        <v/>
      </c>
      <c r="V114">
        <f>IFERROR(INDEX('DRAFT 1'!$R:$R,MATCH($B114,'DRAFT 1'!$B:$B,0)),"")</f>
        <v/>
      </c>
      <c r="W114">
        <f>IFERROR(INDEX('DRAFT 1'!$S:$S,MATCH($B114,'DRAFT 1'!$B:$B,0)),"")</f>
        <v/>
      </c>
      <c r="X114">
        <f>IFERROR(INDEX('DRAFT 1'!$T:$T,MATCH($B114,'DRAFT 1'!$B:$B,0)),"")</f>
        <v/>
      </c>
      <c r="Z114">
        <f>IFERROR(INDEX('DRAFT 1'!$U:$U,MATCH($B114,'DRAFT 1'!$B:$B,0)),"")</f>
        <v/>
      </c>
      <c r="AA114">
        <f>IFERROR(INDEX('DRAFT 1'!$V:$V,MATCH($B114,'DRAFT 1'!$B:$B,0)),"")</f>
        <v/>
      </c>
      <c r="AB114">
        <f>IFERROR(INDEX('DRAFT 1'!$W:$W,MATCH($B114,'DRAFT 1'!$B:$B,0)),"")</f>
        <v/>
      </c>
      <c r="AC114">
        <f>IFERROR(INDEX('DRAFT 1'!$X:$X,MATCH($B114,'DRAFT 1'!$B:$B,0)),"")</f>
        <v/>
      </c>
      <c r="AD114">
        <f>IFERROR(INDEX('DRAFT 1'!$Y:$Y,MATCH($B114,'DRAFT 1'!$B:$B,0)),"")</f>
        <v/>
      </c>
      <c r="AE114">
        <f>IFERROR(INDEX('DRAFT 1'!$Z:$Z,MATCH($B114,'DRAFT 1'!$B:$B,0)),"")</f>
        <v/>
      </c>
      <c r="AF114">
        <f>IFERROR(INDEX('DRAFT 1'!$AA:$AA,MATCH($B114,'DRAFT 1'!$B:$B,0)),"")</f>
        <v/>
      </c>
      <c r="AG114">
        <f>IFERROR(INDEX('DRAFT 1'!$AB:$AB,MATCH($B114,'DRAFT 1'!$B:$B,0)),"")</f>
        <v/>
      </c>
      <c r="AH114">
        <f>IFERROR(INDEX('DRAFT 1'!$AC:$AC,MATCH($B114,'DRAFT 1'!$B:$B,0)),"")</f>
        <v/>
      </c>
      <c r="AI114">
        <f>IFERROR(INDEX('DRAFT 1'!$AD:$AD,MATCH($B114,'DRAFT 1'!$B:$B,0)),"")</f>
        <v/>
      </c>
      <c r="AJ114">
        <f>IFERROR(INDEX('DRAFT 1'!$AE:$AE,MATCH($B114,'DRAFT 1'!$B:$B,0)),"")</f>
        <v/>
      </c>
      <c r="AK114">
        <f>IFERROR(INDEX('DRAFT 1'!$AG:$AG,MATCH($B114,'DRAFT 1'!$B:$B,0)),"")</f>
        <v/>
      </c>
      <c r="AL114">
        <f>IFERROR(INDEX('DRAFT 1'!$AH:$AH,MATCH($B114,'DRAFT 1'!$B:$B,0)),"")</f>
        <v/>
      </c>
      <c r="AM114">
        <f>IFERROR(INDEX('DRAFT 1'!$AI:$AI,MATCH($B114,'DRAFT 1'!$B:$B,0)),"")</f>
        <v/>
      </c>
      <c r="AN114">
        <f>IFERROR(INDEX('DRAFT 1'!$AJ:$AJ,MATCH($B114,'DRAFT 1'!$B:$B,0)),"")</f>
        <v/>
      </c>
      <c r="AO114">
        <f>IFERROR(Y114/AN114,0)</f>
        <v/>
      </c>
      <c r="AP114">
        <f>IFERROR(INDEX('DRAFT 1'!$AK:$AK,MATCH($B114,'DRAFT 1'!$B:$B,0)),"")</f>
        <v/>
      </c>
      <c r="AR114" t="inlineStr">
        <is>
          <t>SALVAMENTO</t>
        </is>
      </c>
      <c r="AS114">
        <f>IFERROR(LOOKUP(2,1/('DRAFT 2'!$D:$D=$B114),'DRAFT 2'!$T:$T),"")</f>
        <v/>
      </c>
      <c r="AT114">
        <f>IFERROR(LOOKUP(2,1/('DRAFT 2'!$D:$D=$B114),'DRAFT 2'!$A:$A),"")</f>
        <v/>
      </c>
      <c r="AU114">
        <f>IFERROR(LOOKUP(2,1/('DRAFT 2'!$D:$D=$B114),'DRAFT 2'!$R:$R),"")</f>
        <v/>
      </c>
      <c r="AV114">
        <f>IFERROR(LOOKUP(2,1/('DRAFT 2'!$D:$D=$B114),'DRAFT 2'!$S:$S),"")</f>
        <v/>
      </c>
      <c r="AW114" t="inlineStr">
        <is>
          <t>FIDELIZADO</t>
        </is>
      </c>
      <c r="AX114">
        <f>IFERROR(LOOKUP(2,1/('DRAFT 2'!$D:$D=$B114),'DRAFT 2'!$M:$M),"")</f>
        <v/>
      </c>
      <c r="AY114">
        <f>IFERROR(LOOKUP(2,1/('DRAFT 2'!$D:$D=$B114),'DRAFT 2'!$K:$K),"")</f>
        <v/>
      </c>
      <c r="BG114">
        <f>IFERROR(LOOKUP(2,1/('DRAFT 2'!$D:$D=$B114),'DRAFT 2'!$U:$U),"")</f>
        <v/>
      </c>
      <c r="BH114">
        <f>IFERROR(LOOKUP(2,1/('DRAFT 2'!$D:$D=$B114),'DRAFT 2'!$V:$V),"")</f>
        <v/>
      </c>
      <c r="CE114">
        <f>IFERROR(AJ114,0)</f>
        <v/>
      </c>
      <c r="CF114">
        <f>IFERROR(LOOKUP(2,1/('DRAFT 2'!$D:$D=$B114)*('DRAFT 2'!$A:$A&gt;=DATE(2026,1,1))*('DRAFT 2'!$A:$A&lt;DATE(2026,IF(1=12,1+1,1+1),1)),'DRAFT 2'!$A:$A),"")</f>
        <v/>
      </c>
      <c r="CG114">
        <f>COUNTIFS('DRAFT 2'!$D:$D,$B114,'DRAFT 2'!$A:$A,"&gt;="&amp;DATE(2026,1,1),'DRAFT 2'!$A:$A,"&lt;="&amp;DATE(2026,1,7))</f>
        <v/>
      </c>
      <c r="CH114">
        <f>COUNTIFS('DRAFT 2'!$D:$D,$B114,'DRAFT 2'!$A:$A,"&gt;="&amp;DATE(2026,1,8),'DRAFT 2'!$A:$A,"&lt;="&amp;DATE(2026,1,14))</f>
        <v/>
      </c>
      <c r="CI114">
        <f>COUNTIFS('DRAFT 2'!$D:$D,$B114,'DRAFT 2'!$A:$A,"&gt;="&amp;DATE(2026,1,15),'DRAFT 2'!$A:$A,"&lt;="&amp;DATE(2026,1,21))</f>
        <v/>
      </c>
      <c r="CJ114">
        <f>COUNTIFS('DRAFT 2'!$D:$D,$B114,'DRAFT 2'!$A:$A,"&gt;="&amp;DATE(2026,1,22),'DRAFT 2'!$A:$A,"&lt;"&amp;DATE(2026,IF(1=12,1+1,1+1),1))</f>
        <v/>
      </c>
      <c r="CK114">
        <f>SUM(CG114:CJ114)</f>
        <v/>
      </c>
      <c r="CT114" t="n">
        <v>0</v>
      </c>
      <c r="CU114">
        <f>IFERROR(LOOKUP(2,1/('DRAFT 2'!$D:$D=$B114)*('DRAFT 2'!$A:$A&gt;=DATE(2026,2,1))*('DRAFT 2'!$A:$A&lt;DATE(2026,IF(2=12,2+1,2+1),1)),'DRAFT 2'!$A:$A),"")</f>
        <v/>
      </c>
      <c r="CV114">
        <f>COUNTIFS('DRAFT 2'!$D:$D,$B114,'DRAFT 2'!$A:$A,"&gt;="&amp;DATE(2026,2,1),'DRAFT 2'!$A:$A,"&lt;="&amp;DATE(2026,2,7))</f>
        <v/>
      </c>
      <c r="CW114">
        <f>COUNTIFS('DRAFT 2'!$D:$D,$B114,'DRAFT 2'!$A:$A,"&gt;="&amp;DATE(2026,2,8),'DRAFT 2'!$A:$A,"&lt;="&amp;DATE(2026,2,14))</f>
        <v/>
      </c>
      <c r="CX114">
        <f>COUNTIFS('DRAFT 2'!$D:$D,$B114,'DRAFT 2'!$A:$A,"&gt;="&amp;DATE(2026,2,15),'DRAFT 2'!$A:$A,"&lt;="&amp;DATE(2026,2,21))</f>
        <v/>
      </c>
      <c r="CY114">
        <f>COUNTIFS('DRAFT 2'!$D:$D,$B114,'DRAFT 2'!$A:$A,"&gt;="&amp;DATE(2026,2,22),'DRAFT 2'!$A:$A,"&lt;"&amp;DATE(2026,IF(2=12,2+1,2+1),1))</f>
        <v/>
      </c>
      <c r="CZ114">
        <f>SUM(CV114:CY114)</f>
        <v/>
      </c>
      <c r="DJ114">
        <f>IFERROR(LOOKUP(2,1/('DRAFT 2'!$D:$D=$B114)*('DRAFT 2'!$A:$A&gt;=DATE(2026,3,1))*('DRAFT 2'!$A:$A&lt;DATE(2026,IF(3=12,3+1,3+1),1)),'DRAFT 2'!$A:$A),"")</f>
        <v/>
      </c>
      <c r="DK114">
        <f>COUNTIFS('DRAFT 2'!$D:$D,$B114,'DRAFT 2'!$A:$A,"&gt;="&amp;DATE(2026,3,1),'DRAFT 2'!$A:$A,"&lt;="&amp;DATE(2026,3,7))</f>
        <v/>
      </c>
      <c r="DL114">
        <f>COUNTIFS('DRAFT 2'!$D:$D,$B114,'DRAFT 2'!$A:$A,"&gt;="&amp;DATE(2026,3,8),'DRAFT 2'!$A:$A,"&lt;="&amp;DATE(2026,3,14))</f>
        <v/>
      </c>
      <c r="DM114">
        <f>COUNTIFS('DRAFT 2'!$D:$D,$B114,'DRAFT 2'!$A:$A,"&gt;="&amp;DATE(2026,3,15),'DRAFT 2'!$A:$A,"&lt;="&amp;DATE(2026,3,21))</f>
        <v/>
      </c>
      <c r="DN114">
        <f>COUNTIFS('DRAFT 2'!$D:$D,$B114,'DRAFT 2'!$A:$A,"&gt;="&amp;DATE(2026,3,22),'DRAFT 2'!$A:$A,"&lt;"&amp;DATE(2026,IF(3=12,3+1,3+1),1))</f>
        <v/>
      </c>
      <c r="DO114">
        <f>SUM(DK114:DN114)</f>
        <v/>
      </c>
      <c r="DZ114">
        <f>IFERROR(LOOKUP(2,1/('DRAFT 2'!$D:$D=$B114)*('DRAFT 2'!$A:$A&gt;=DATE(2026,4,1))*('DRAFT 2'!$A:$A&lt;DATE(2026,IF(4=12,4+1,4+1),1)),'DRAFT 2'!$A:$A),"")</f>
        <v/>
      </c>
      <c r="EA114">
        <f>COUNTIFS('DRAFT 2'!$D:$D,$B114,'DRAFT 2'!$A:$A,"&gt;="&amp;DATE(2026,4,1),'DRAFT 2'!$A:$A,"&lt;="&amp;DATE(2026,4,7))</f>
        <v/>
      </c>
      <c r="EB114">
        <f>COUNTIFS('DRAFT 2'!$D:$D,$B114,'DRAFT 2'!$A:$A,"&gt;="&amp;DATE(2026,4,8),'DRAFT 2'!$A:$A,"&lt;="&amp;DATE(2026,4,14))</f>
        <v/>
      </c>
      <c r="EC114">
        <f>COUNTIFS('DRAFT 2'!$D:$D,$B114,'DRAFT 2'!$A:$A,"&gt;="&amp;DATE(2026,4,15),'DRAFT 2'!$A:$A,"&lt;="&amp;DATE(2026,4,21))</f>
        <v/>
      </c>
      <c r="ED114">
        <f>COUNTIFS('DRAFT 2'!$D:$D,$B114,'DRAFT 2'!$A:$A,"&gt;="&amp;DATE(2026,4,22),'DRAFT 2'!$A:$A,"&lt;"&amp;DATE(2026,IF(4=12,4+1,4+1),1))</f>
        <v/>
      </c>
      <c r="EE114">
        <f>SUM(EA114:ED114)</f>
        <v/>
      </c>
      <c r="EO114">
        <f>IFERROR(LOOKUP(2,1/('DRAFT 2'!$D:$D=$B114)*('DRAFT 2'!$A:$A&gt;=DATE(2026,5,1))*('DRAFT 2'!$A:$A&lt;DATE(2026,IF(5=12,5+1,5+1),1)),'DRAFT 2'!$A:$A),"")</f>
        <v/>
      </c>
      <c r="EP114">
        <f>COUNTIFS('DRAFT 2'!$D:$D,$B114,'DRAFT 2'!$A:$A,"&gt;="&amp;DATE(2026,5,1),'DRAFT 2'!$A:$A,"&lt;="&amp;DATE(2026,5,7))</f>
        <v/>
      </c>
      <c r="EQ114">
        <f>COUNTIFS('DRAFT 2'!$D:$D,$B114,'DRAFT 2'!$A:$A,"&gt;="&amp;DATE(2026,5,8),'DRAFT 2'!$A:$A,"&lt;="&amp;DATE(2026,5,14))</f>
        <v/>
      </c>
      <c r="ER114">
        <f>COUNTIFS('DRAFT 2'!$D:$D,$B114,'DRAFT 2'!$A:$A,"&gt;="&amp;DATE(2026,5,15),'DRAFT 2'!$A:$A,"&lt;="&amp;DATE(2026,5,21))</f>
        <v/>
      </c>
      <c r="ES114">
        <f>COUNTIFS('DRAFT 2'!$D:$D,$B114,'DRAFT 2'!$A:$A,"&gt;="&amp;DATE(2026,5,22),'DRAFT 2'!$A:$A,"&lt;"&amp;DATE(2026,IF(5=12,5+1,5+1),1))</f>
        <v/>
      </c>
      <c r="ET114">
        <f>SUM(EP114:ES114)</f>
        <v/>
      </c>
      <c r="FD114">
        <f>IFERROR(LOOKUP(2,1/('DRAFT 2'!$D:$D=$B114)*('DRAFT 2'!$A:$A&gt;=DATE(2026,6,1))*('DRAFT 2'!$A:$A&lt;DATE(2026,IF(6=12,6+1,6+1),1)),'DRAFT 2'!$A:$A),"")</f>
        <v/>
      </c>
      <c r="FE114">
        <f>COUNTIFS('DRAFT 2'!$D:$D,$B114,'DRAFT 2'!$A:$A,"&gt;="&amp;DATE(2026,6,1),'DRAFT 2'!$A:$A,"&lt;="&amp;DATE(2026,6,7))</f>
        <v/>
      </c>
      <c r="FF114">
        <f>COUNTIFS('DRAFT 2'!$D:$D,$B114,'DRAFT 2'!$A:$A,"&gt;="&amp;DATE(2026,6,8),'DRAFT 2'!$A:$A,"&lt;="&amp;DATE(2026,6,14))</f>
        <v/>
      </c>
      <c r="FG114">
        <f>COUNTIFS('DRAFT 2'!$D:$D,$B114,'DRAFT 2'!$A:$A,"&gt;="&amp;DATE(2026,6,15),'DRAFT 2'!$A:$A,"&lt;="&amp;DATE(2026,6,21))</f>
        <v/>
      </c>
      <c r="FH114">
        <f>COUNTIFS('DRAFT 2'!$D:$D,$B114,'DRAFT 2'!$A:$A,"&gt;="&amp;DATE(2026,6,22),'DRAFT 2'!$A:$A,"&lt;"&amp;DATE(2026,IF(6=12,6+1,6+1),1))</f>
        <v/>
      </c>
      <c r="FI114">
        <f>SUM(FE114:FH114)</f>
        <v/>
      </c>
      <c r="FT114">
        <f>IFERROR(LOOKUP(2,1/('DRAFT 2'!$D:$D=$B114)*('DRAFT 2'!$A:$A&gt;=DATE(2026,7,1))*('DRAFT 2'!$A:$A&lt;DATE(2026,IF(7=12,7+1,7+1),1)),'DRAFT 2'!$A:$A),"")</f>
        <v/>
      </c>
      <c r="FU114">
        <f>COUNTIFS('DRAFT 2'!$D:$D,$B114,'DRAFT 2'!$A:$A,"&gt;="&amp;DATE(2026,7,1),'DRAFT 2'!$A:$A,"&lt;="&amp;DATE(2026,7,7))</f>
        <v/>
      </c>
      <c r="FV114">
        <f>COUNTIFS('DRAFT 2'!$D:$D,$B114,'DRAFT 2'!$A:$A,"&gt;="&amp;DATE(2026,7,8),'DRAFT 2'!$A:$A,"&lt;="&amp;DATE(2026,7,14))</f>
        <v/>
      </c>
      <c r="FW114">
        <f>COUNTIFS('DRAFT 2'!$D:$D,$B114,'DRAFT 2'!$A:$A,"&gt;="&amp;DATE(2026,7,15),'DRAFT 2'!$A:$A,"&lt;="&amp;DATE(2026,7,21))</f>
        <v/>
      </c>
      <c r="FX114">
        <f>COUNTIFS('DRAFT 2'!$D:$D,$B114,'DRAFT 2'!$A:$A,"&gt;="&amp;DATE(2026,7,22),'DRAFT 2'!$A:$A,"&lt;"&amp;DATE(2026,IF(7=12,7+1,7+1),1))</f>
        <v/>
      </c>
      <c r="FY114">
        <f>SUM(FU114:FX114)</f>
        <v/>
      </c>
      <c r="GI114">
        <f>IFERROR(LOOKUP(2,1/('DRAFT 2'!$D:$D=$B114)*('DRAFT 2'!$A:$A&gt;=DATE(2026,8,1))*('DRAFT 2'!$A:$A&lt;DATE(2026,IF(8=12,8+1,8+1),1)),'DRAFT 2'!$A:$A),"")</f>
        <v/>
      </c>
      <c r="GJ114">
        <f>COUNTIFS('DRAFT 2'!$D:$D,$B114,'DRAFT 2'!$A:$A,"&gt;="&amp;DATE(2026,8,1),'DRAFT 2'!$A:$A,"&lt;="&amp;DATE(2026,8,7))</f>
        <v/>
      </c>
      <c r="GK114">
        <f>COUNTIFS('DRAFT 2'!$D:$D,$B114,'DRAFT 2'!$A:$A,"&gt;="&amp;DATE(2026,8,8),'DRAFT 2'!$A:$A,"&lt;="&amp;DATE(2026,8,14))</f>
        <v/>
      </c>
      <c r="GL114">
        <f>COUNTIFS('DRAFT 2'!$D:$D,$B114,'DRAFT 2'!$A:$A,"&gt;="&amp;DATE(2026,8,15),'DRAFT 2'!$A:$A,"&lt;="&amp;DATE(2026,8,21))</f>
        <v/>
      </c>
      <c r="GM114">
        <f>COUNTIFS('DRAFT 2'!$D:$D,$B114,'DRAFT 2'!$A:$A,"&gt;="&amp;DATE(2026,8,22),'DRAFT 2'!$A:$A,"&lt;"&amp;DATE(2026,IF(8=12,8+1,8+1),1))</f>
        <v/>
      </c>
      <c r="GN114">
        <f>SUM(GJ114:GM114)</f>
        <v/>
      </c>
      <c r="GX114">
        <f>IFERROR(LOOKUP(2,1/('DRAFT 2'!$D:$D=$B114)*('DRAFT 2'!$A:$A&gt;=DATE(2026,9,1))*('DRAFT 2'!$A:$A&lt;DATE(2026,IF(9=12,9+1,9+1),1)),'DRAFT 2'!$A:$A),"")</f>
        <v/>
      </c>
      <c r="GY114">
        <f>COUNTIFS('DRAFT 2'!$D:$D,$B114,'DRAFT 2'!$A:$A,"&gt;="&amp;DATE(2026,9,1),'DRAFT 2'!$A:$A,"&lt;="&amp;DATE(2026,9,7))</f>
        <v/>
      </c>
      <c r="GZ114">
        <f>COUNTIFS('DRAFT 2'!$D:$D,$B114,'DRAFT 2'!$A:$A,"&gt;="&amp;DATE(2026,9,8),'DRAFT 2'!$A:$A,"&lt;="&amp;DATE(2026,9,14))</f>
        <v/>
      </c>
      <c r="HA114">
        <f>COUNTIFS('DRAFT 2'!$D:$D,$B114,'DRAFT 2'!$A:$A,"&gt;="&amp;DATE(2026,9,15),'DRAFT 2'!$A:$A,"&lt;="&amp;DATE(2026,9,21))</f>
        <v/>
      </c>
      <c r="HB114">
        <f>COUNTIFS('DRAFT 2'!$D:$D,$B114,'DRAFT 2'!$A:$A,"&gt;="&amp;DATE(2026,9,22),'DRAFT 2'!$A:$A,"&lt;"&amp;DATE(2026,IF(9=12,9+1,9+1),1))</f>
        <v/>
      </c>
      <c r="HC114">
        <f>SUM(GY114:HB114)</f>
        <v/>
      </c>
      <c r="HN114">
        <f>IFERROR(LOOKUP(2,1/('DRAFT 2'!$D:$D=$B114)*('DRAFT 2'!$A:$A&gt;=DATE(2026,10,1))*('DRAFT 2'!$A:$A&lt;DATE(2026,IF(10=12,10+1,10+1),1)),'DRAFT 2'!$A:$A),"")</f>
        <v/>
      </c>
      <c r="HO114">
        <f>COUNTIFS('DRAFT 2'!$D:$D,$B114,'DRAFT 2'!$A:$A,"&gt;="&amp;DATE(2026,10,1),'DRAFT 2'!$A:$A,"&lt;="&amp;DATE(2026,10,7))</f>
        <v/>
      </c>
      <c r="HP114">
        <f>COUNTIFS('DRAFT 2'!$D:$D,$B114,'DRAFT 2'!$A:$A,"&gt;="&amp;DATE(2026,10,8),'DRAFT 2'!$A:$A,"&lt;="&amp;DATE(2026,10,14))</f>
        <v/>
      </c>
      <c r="HQ114">
        <f>COUNTIFS('DRAFT 2'!$D:$D,$B114,'DRAFT 2'!$A:$A,"&gt;="&amp;DATE(2026,10,15),'DRAFT 2'!$A:$A,"&lt;="&amp;DATE(2026,10,21))</f>
        <v/>
      </c>
      <c r="HR114">
        <f>COUNTIFS('DRAFT 2'!$D:$D,$B114,'DRAFT 2'!$A:$A,"&gt;="&amp;DATE(2026,10,22),'DRAFT 2'!$A:$A,"&lt;"&amp;DATE(2026,IF(10=12,10+1,10+1),1))</f>
        <v/>
      </c>
      <c r="HS114">
        <f>SUM(HO114:HR114)</f>
        <v/>
      </c>
      <c r="IC114">
        <f>IFERROR(LOOKUP(2,1/('DRAFT 2'!$D:$D=$B114)*('DRAFT 2'!$A:$A&gt;=DATE(2026,11,1))*('DRAFT 2'!$A:$A&lt;DATE(2026,IF(11=12,11+1,11+1),1)),'DRAFT 2'!$A:$A),"")</f>
        <v/>
      </c>
      <c r="ID114">
        <f>COUNTIFS('DRAFT 2'!$D:$D,$B114,'DRAFT 2'!$A:$A,"&gt;="&amp;DATE(2026,11,1),'DRAFT 2'!$A:$A,"&lt;="&amp;DATE(2026,11,7))</f>
        <v/>
      </c>
      <c r="IE114">
        <f>COUNTIFS('DRAFT 2'!$D:$D,$B114,'DRAFT 2'!$A:$A,"&gt;="&amp;DATE(2026,11,8),'DRAFT 2'!$A:$A,"&lt;="&amp;DATE(2026,11,14))</f>
        <v/>
      </c>
      <c r="IF114">
        <f>COUNTIFS('DRAFT 2'!$D:$D,$B114,'DRAFT 2'!$A:$A,"&gt;="&amp;DATE(2026,11,15),'DRAFT 2'!$A:$A,"&lt;="&amp;DATE(2026,11,21))</f>
        <v/>
      </c>
      <c r="IG114">
        <f>COUNTIFS('DRAFT 2'!$D:$D,$B114,'DRAFT 2'!$A:$A,"&gt;="&amp;DATE(2026,11,22),'DRAFT 2'!$A:$A,"&lt;"&amp;DATE(2026,IF(11=12,11+1,11+1),1))</f>
        <v/>
      </c>
      <c r="IH114">
        <f>SUM(ID114:IG114)</f>
        <v/>
      </c>
      <c r="IR114">
        <f>IFERROR(LOOKUP(2,1/('DRAFT 2'!$D:$D=$B114)*('DRAFT 2'!$A:$A&gt;=DATE(2026,12,1))*('DRAFT 2'!$A:$A&lt;DATE(2026,IF(12=12,12+1,12+1),1)),'DRAFT 2'!$A:$A),"")</f>
        <v/>
      </c>
      <c r="IS114">
        <f>COUNTIFS('DRAFT 2'!$D:$D,$B114,'DRAFT 2'!$A:$A,"&gt;="&amp;DATE(2026,12,1),'DRAFT 2'!$A:$A,"&lt;="&amp;DATE(2026,12,7))</f>
        <v/>
      </c>
      <c r="IT114">
        <f>COUNTIFS('DRAFT 2'!$D:$D,$B114,'DRAFT 2'!$A:$A,"&gt;="&amp;DATE(2026,12,8),'DRAFT 2'!$A:$A,"&lt;="&amp;DATE(2026,12,14))</f>
        <v/>
      </c>
      <c r="IU114">
        <f>COUNTIFS('DRAFT 2'!$D:$D,$B114,'DRAFT 2'!$A:$A,"&gt;="&amp;DATE(2026,12,15),'DRAFT 2'!$A:$A,"&lt;="&amp;DATE(2026,12,21))</f>
        <v/>
      </c>
      <c r="IV114">
        <f>COUNTIFS('DRAFT 2'!$D:$D,$B114,'DRAFT 2'!$A:$A,"&gt;="&amp;DATE(2026,12,22),'DRAFT 2'!$A:$A,"&lt;"&amp;DATE(2026,IF(12=12,12+1,12+1),1))</f>
        <v/>
      </c>
      <c r="IW114">
        <f>SUM(IS114:IV114)</f>
        <v/>
      </c>
    </row>
    <row r="115">
      <c r="A115">
        <f>IFERROR(INDEX('DRAFT 1'!$A:$A,MATCH($B115,'DRAFT 1'!$B:$B,0)),"")</f>
        <v/>
      </c>
      <c r="C115">
        <f>IFERROR(INDEX('DRAFT 1'!$C:$C,MATCH($B115,'DRAFT 1'!$B:$B,0)),"")</f>
        <v/>
      </c>
      <c r="D115">
        <f>IFERROR(INDEX('DRAFT 1'!$D:$D,MATCH($B115,'DRAFT 1'!$B:$B,0)),"")</f>
        <v/>
      </c>
      <c r="E115">
        <f>IFERROR(INDEX('DRAFT 1'!$E:$E,MATCH($B115,'DRAFT 1'!$B:$B,0)),"")</f>
        <v/>
      </c>
      <c r="F115">
        <f>IFERROR(INDEX('DRAFT 1'!$F:$F,MATCH($B115,'DRAFT 1'!$B:$B,0)),"")</f>
        <v/>
      </c>
      <c r="G115">
        <f>IFERROR(INDEX('DRAFT 1'!$G:$G,MATCH($B115,'DRAFT 1'!$B:$B,0)),"")</f>
        <v/>
      </c>
      <c r="H115">
        <f>IFERROR(INDEX('DRAFT 1'!$H:$H,MATCH($B115,'DRAFT 1'!$B:$B,0)),"")</f>
        <v/>
      </c>
      <c r="I115" t="inlineStr">
        <is>
          <t>TUDO EM GRAOS</t>
        </is>
      </c>
      <c r="K115">
        <f>IFERROR(INDEX('DRAFT 1'!$AL:$AL,MATCH($B115,'DRAFT 1'!$B:$B,0)),"")</f>
        <v/>
      </c>
      <c r="L115">
        <f>IFERROR(INDEX('DRAFT 1'!$J:$J,MATCH($B115,'DRAFT 1'!$B:$B,0)),"")</f>
        <v/>
      </c>
      <c r="M115">
        <f>IFERROR(INDEX('DRAFT 1'!$K:$K,MATCH($B115,'DRAFT 1'!$B:$B,0)),"")</f>
        <v/>
      </c>
      <c r="N115" t="inlineStr">
        <is>
          <t>INAT.ANT</t>
        </is>
      </c>
      <c r="P115">
        <f>IFERROR(INDEX('DRAFT 1'!$L:$L,MATCH($B115,'DRAFT 1'!$B:$B,0)),"")</f>
        <v/>
      </c>
      <c r="Q115">
        <f>IFERROR(INDEX('DRAFT 1'!$M:$M,MATCH($B115,'DRAFT 1'!$B:$B,0)),"")</f>
        <v/>
      </c>
      <c r="R115">
        <f>IFERROR(INDEX('DRAFT 1'!$N:$N,MATCH($B115,'DRAFT 1'!$B:$B,0)),"")</f>
        <v/>
      </c>
      <c r="S115">
        <f>IFERROR(INDEX('DRAFT 1'!$O:$O,MATCH($B115,'DRAFT 1'!$B:$B,0)),"")</f>
        <v/>
      </c>
      <c r="T115">
        <f>IFERROR(INDEX('DRAFT 1'!$P:$P,MATCH($B115,'DRAFT 1'!$B:$B,0)),"")</f>
        <v/>
      </c>
      <c r="U115">
        <f>IFERROR(INDEX('DRAFT 1'!$Q:$Q,MATCH($B115,'DRAFT 1'!$B:$B,0)),"")</f>
        <v/>
      </c>
      <c r="V115">
        <f>IFERROR(INDEX('DRAFT 1'!$R:$R,MATCH($B115,'DRAFT 1'!$B:$B,0)),"")</f>
        <v/>
      </c>
      <c r="W115">
        <f>IFERROR(INDEX('DRAFT 1'!$S:$S,MATCH($B115,'DRAFT 1'!$B:$B,0)),"")</f>
        <v/>
      </c>
      <c r="X115">
        <f>IFERROR(INDEX('DRAFT 1'!$T:$T,MATCH($B115,'DRAFT 1'!$B:$B,0)),"")</f>
        <v/>
      </c>
      <c r="Z115">
        <f>IFERROR(INDEX('DRAFT 1'!$U:$U,MATCH($B115,'DRAFT 1'!$B:$B,0)),"")</f>
        <v/>
      </c>
      <c r="AA115">
        <f>IFERROR(INDEX('DRAFT 1'!$V:$V,MATCH($B115,'DRAFT 1'!$B:$B,0)),"")</f>
        <v/>
      </c>
      <c r="AB115">
        <f>IFERROR(INDEX('DRAFT 1'!$W:$W,MATCH($B115,'DRAFT 1'!$B:$B,0)),"")</f>
        <v/>
      </c>
      <c r="AC115">
        <f>IFERROR(INDEX('DRAFT 1'!$X:$X,MATCH($B115,'DRAFT 1'!$B:$B,0)),"")</f>
        <v/>
      </c>
      <c r="AD115">
        <f>IFERROR(INDEX('DRAFT 1'!$Y:$Y,MATCH($B115,'DRAFT 1'!$B:$B,0)),"")</f>
        <v/>
      </c>
      <c r="AE115">
        <f>IFERROR(INDEX('DRAFT 1'!$Z:$Z,MATCH($B115,'DRAFT 1'!$B:$B,0)),"")</f>
        <v/>
      </c>
      <c r="AF115">
        <f>IFERROR(INDEX('DRAFT 1'!$AA:$AA,MATCH($B115,'DRAFT 1'!$B:$B,0)),"")</f>
        <v/>
      </c>
      <c r="AG115">
        <f>IFERROR(INDEX('DRAFT 1'!$AB:$AB,MATCH($B115,'DRAFT 1'!$B:$B,0)),"")</f>
        <v/>
      </c>
      <c r="AH115">
        <f>IFERROR(INDEX('DRAFT 1'!$AC:$AC,MATCH($B115,'DRAFT 1'!$B:$B,0)),"")</f>
        <v/>
      </c>
      <c r="AI115">
        <f>IFERROR(INDEX('DRAFT 1'!$AD:$AD,MATCH($B115,'DRAFT 1'!$B:$B,0)),"")</f>
        <v/>
      </c>
      <c r="AJ115">
        <f>IFERROR(INDEX('DRAFT 1'!$AE:$AE,MATCH($B115,'DRAFT 1'!$B:$B,0)),"")</f>
        <v/>
      </c>
      <c r="AK115">
        <f>IFERROR(INDEX('DRAFT 1'!$AG:$AG,MATCH($B115,'DRAFT 1'!$B:$B,0)),"")</f>
        <v/>
      </c>
      <c r="AL115">
        <f>IFERROR(INDEX('DRAFT 1'!$AH:$AH,MATCH($B115,'DRAFT 1'!$B:$B,0)),"")</f>
        <v/>
      </c>
      <c r="AM115">
        <f>IFERROR(INDEX('DRAFT 1'!$AI:$AI,MATCH($B115,'DRAFT 1'!$B:$B,0)),"")</f>
        <v/>
      </c>
      <c r="AN115">
        <f>IFERROR(INDEX('DRAFT 1'!$AJ:$AJ,MATCH($B115,'DRAFT 1'!$B:$B,0)),"")</f>
        <v/>
      </c>
      <c r="AO115">
        <f>IFERROR(Y115/AN115,0)</f>
        <v/>
      </c>
      <c r="AP115">
        <f>IFERROR(INDEX('DRAFT 1'!$AK:$AK,MATCH($B115,'DRAFT 1'!$B:$B,0)),"")</f>
        <v/>
      </c>
      <c r="AR115" t="inlineStr">
        <is>
          <t>PÓS-VENDA</t>
        </is>
      </c>
      <c r="AS115">
        <f>IFERROR(LOOKUP(2,1/('DRAFT 2'!$D:$D=$B115),'DRAFT 2'!$T:$T),"")</f>
        <v/>
      </c>
      <c r="AT115">
        <f>IFERROR(LOOKUP(2,1/('DRAFT 2'!$D:$D=$B115),'DRAFT 2'!$A:$A),"")</f>
        <v/>
      </c>
      <c r="AU115">
        <f>IFERROR(LOOKUP(2,1/('DRAFT 2'!$D:$D=$B115),'DRAFT 2'!$R:$R),"")</f>
        <v/>
      </c>
      <c r="AV115">
        <f>IFERROR(LOOKUP(2,1/('DRAFT 2'!$D:$D=$B115),'DRAFT 2'!$S:$S),"")</f>
        <v/>
      </c>
      <c r="AW115" t="inlineStr">
        <is>
          <t>EM DESENVOLVIMENTO</t>
        </is>
      </c>
      <c r="AX115">
        <f>IFERROR(LOOKUP(2,1/('DRAFT 2'!$D:$D=$B115),'DRAFT 2'!$M:$M),"")</f>
        <v/>
      </c>
      <c r="AY115">
        <f>IFERROR(LOOKUP(2,1/('DRAFT 2'!$D:$D=$B115),'DRAFT 2'!$K:$K),"")</f>
        <v/>
      </c>
      <c r="BG115">
        <f>IFERROR(LOOKUP(2,1/('DRAFT 2'!$D:$D=$B115),'DRAFT 2'!$U:$U),"")</f>
        <v/>
      </c>
      <c r="BH115">
        <f>IFERROR(LOOKUP(2,1/('DRAFT 2'!$D:$D=$B115),'DRAFT 2'!$V:$V),"")</f>
        <v/>
      </c>
      <c r="CE115">
        <f>IFERROR(AJ115,0)</f>
        <v/>
      </c>
      <c r="CF115">
        <f>IFERROR(LOOKUP(2,1/('DRAFT 2'!$D:$D=$B115)*('DRAFT 2'!$A:$A&gt;=DATE(2026,1,1))*('DRAFT 2'!$A:$A&lt;DATE(2026,IF(1=12,1+1,1+1),1)),'DRAFT 2'!$A:$A),"")</f>
        <v/>
      </c>
      <c r="CG115">
        <f>COUNTIFS('DRAFT 2'!$D:$D,$B115,'DRAFT 2'!$A:$A,"&gt;="&amp;DATE(2026,1,1),'DRAFT 2'!$A:$A,"&lt;="&amp;DATE(2026,1,7))</f>
        <v/>
      </c>
      <c r="CH115">
        <f>COUNTIFS('DRAFT 2'!$D:$D,$B115,'DRAFT 2'!$A:$A,"&gt;="&amp;DATE(2026,1,8),'DRAFT 2'!$A:$A,"&lt;="&amp;DATE(2026,1,14))</f>
        <v/>
      </c>
      <c r="CI115">
        <f>COUNTIFS('DRAFT 2'!$D:$D,$B115,'DRAFT 2'!$A:$A,"&gt;="&amp;DATE(2026,1,15),'DRAFT 2'!$A:$A,"&lt;="&amp;DATE(2026,1,21))</f>
        <v/>
      </c>
      <c r="CJ115">
        <f>COUNTIFS('DRAFT 2'!$D:$D,$B115,'DRAFT 2'!$A:$A,"&gt;="&amp;DATE(2026,1,22),'DRAFT 2'!$A:$A,"&lt;"&amp;DATE(2026,IF(1=12,1+1,1+1),1))</f>
        <v/>
      </c>
      <c r="CK115">
        <f>SUM(CG115:CJ115)</f>
        <v/>
      </c>
      <c r="CT115" t="n">
        <v>0</v>
      </c>
      <c r="CU115">
        <f>IFERROR(LOOKUP(2,1/('DRAFT 2'!$D:$D=$B115)*('DRAFT 2'!$A:$A&gt;=DATE(2026,2,1))*('DRAFT 2'!$A:$A&lt;DATE(2026,IF(2=12,2+1,2+1),1)),'DRAFT 2'!$A:$A),"")</f>
        <v/>
      </c>
      <c r="CV115">
        <f>COUNTIFS('DRAFT 2'!$D:$D,$B115,'DRAFT 2'!$A:$A,"&gt;="&amp;DATE(2026,2,1),'DRAFT 2'!$A:$A,"&lt;="&amp;DATE(2026,2,7))</f>
        <v/>
      </c>
      <c r="CW115">
        <f>COUNTIFS('DRAFT 2'!$D:$D,$B115,'DRAFT 2'!$A:$A,"&gt;="&amp;DATE(2026,2,8),'DRAFT 2'!$A:$A,"&lt;="&amp;DATE(2026,2,14))</f>
        <v/>
      </c>
      <c r="CX115">
        <f>COUNTIFS('DRAFT 2'!$D:$D,$B115,'DRAFT 2'!$A:$A,"&gt;="&amp;DATE(2026,2,15),'DRAFT 2'!$A:$A,"&lt;="&amp;DATE(2026,2,21))</f>
        <v/>
      </c>
      <c r="CY115">
        <f>COUNTIFS('DRAFT 2'!$D:$D,$B115,'DRAFT 2'!$A:$A,"&gt;="&amp;DATE(2026,2,22),'DRAFT 2'!$A:$A,"&lt;"&amp;DATE(2026,IF(2=12,2+1,2+1),1))</f>
        <v/>
      </c>
      <c r="CZ115">
        <f>SUM(CV115:CY115)</f>
        <v/>
      </c>
      <c r="DJ115">
        <f>IFERROR(LOOKUP(2,1/('DRAFT 2'!$D:$D=$B115)*('DRAFT 2'!$A:$A&gt;=DATE(2026,3,1))*('DRAFT 2'!$A:$A&lt;DATE(2026,IF(3=12,3+1,3+1),1)),'DRAFT 2'!$A:$A),"")</f>
        <v/>
      </c>
      <c r="DK115">
        <f>COUNTIFS('DRAFT 2'!$D:$D,$B115,'DRAFT 2'!$A:$A,"&gt;="&amp;DATE(2026,3,1),'DRAFT 2'!$A:$A,"&lt;="&amp;DATE(2026,3,7))</f>
        <v/>
      </c>
      <c r="DL115">
        <f>COUNTIFS('DRAFT 2'!$D:$D,$B115,'DRAFT 2'!$A:$A,"&gt;="&amp;DATE(2026,3,8),'DRAFT 2'!$A:$A,"&lt;="&amp;DATE(2026,3,14))</f>
        <v/>
      </c>
      <c r="DM115">
        <f>COUNTIFS('DRAFT 2'!$D:$D,$B115,'DRAFT 2'!$A:$A,"&gt;="&amp;DATE(2026,3,15),'DRAFT 2'!$A:$A,"&lt;="&amp;DATE(2026,3,21))</f>
        <v/>
      </c>
      <c r="DN115">
        <f>COUNTIFS('DRAFT 2'!$D:$D,$B115,'DRAFT 2'!$A:$A,"&gt;="&amp;DATE(2026,3,22),'DRAFT 2'!$A:$A,"&lt;"&amp;DATE(2026,IF(3=12,3+1,3+1),1))</f>
        <v/>
      </c>
      <c r="DO115">
        <f>SUM(DK115:DN115)</f>
        <v/>
      </c>
      <c r="DZ115">
        <f>IFERROR(LOOKUP(2,1/('DRAFT 2'!$D:$D=$B115)*('DRAFT 2'!$A:$A&gt;=DATE(2026,4,1))*('DRAFT 2'!$A:$A&lt;DATE(2026,IF(4=12,4+1,4+1),1)),'DRAFT 2'!$A:$A),"")</f>
        <v/>
      </c>
      <c r="EA115">
        <f>COUNTIFS('DRAFT 2'!$D:$D,$B115,'DRAFT 2'!$A:$A,"&gt;="&amp;DATE(2026,4,1),'DRAFT 2'!$A:$A,"&lt;="&amp;DATE(2026,4,7))</f>
        <v/>
      </c>
      <c r="EB115">
        <f>COUNTIFS('DRAFT 2'!$D:$D,$B115,'DRAFT 2'!$A:$A,"&gt;="&amp;DATE(2026,4,8),'DRAFT 2'!$A:$A,"&lt;="&amp;DATE(2026,4,14))</f>
        <v/>
      </c>
      <c r="EC115">
        <f>COUNTIFS('DRAFT 2'!$D:$D,$B115,'DRAFT 2'!$A:$A,"&gt;="&amp;DATE(2026,4,15),'DRAFT 2'!$A:$A,"&lt;="&amp;DATE(2026,4,21))</f>
        <v/>
      </c>
      <c r="ED115">
        <f>COUNTIFS('DRAFT 2'!$D:$D,$B115,'DRAFT 2'!$A:$A,"&gt;="&amp;DATE(2026,4,22),'DRAFT 2'!$A:$A,"&lt;"&amp;DATE(2026,IF(4=12,4+1,4+1),1))</f>
        <v/>
      </c>
      <c r="EE115">
        <f>SUM(EA115:ED115)</f>
        <v/>
      </c>
      <c r="EO115">
        <f>IFERROR(LOOKUP(2,1/('DRAFT 2'!$D:$D=$B115)*('DRAFT 2'!$A:$A&gt;=DATE(2026,5,1))*('DRAFT 2'!$A:$A&lt;DATE(2026,IF(5=12,5+1,5+1),1)),'DRAFT 2'!$A:$A),"")</f>
        <v/>
      </c>
      <c r="EP115">
        <f>COUNTIFS('DRAFT 2'!$D:$D,$B115,'DRAFT 2'!$A:$A,"&gt;="&amp;DATE(2026,5,1),'DRAFT 2'!$A:$A,"&lt;="&amp;DATE(2026,5,7))</f>
        <v/>
      </c>
      <c r="EQ115">
        <f>COUNTIFS('DRAFT 2'!$D:$D,$B115,'DRAFT 2'!$A:$A,"&gt;="&amp;DATE(2026,5,8),'DRAFT 2'!$A:$A,"&lt;="&amp;DATE(2026,5,14))</f>
        <v/>
      </c>
      <c r="ER115">
        <f>COUNTIFS('DRAFT 2'!$D:$D,$B115,'DRAFT 2'!$A:$A,"&gt;="&amp;DATE(2026,5,15),'DRAFT 2'!$A:$A,"&lt;="&amp;DATE(2026,5,21))</f>
        <v/>
      </c>
      <c r="ES115">
        <f>COUNTIFS('DRAFT 2'!$D:$D,$B115,'DRAFT 2'!$A:$A,"&gt;="&amp;DATE(2026,5,22),'DRAFT 2'!$A:$A,"&lt;"&amp;DATE(2026,IF(5=12,5+1,5+1),1))</f>
        <v/>
      </c>
      <c r="ET115">
        <f>SUM(EP115:ES115)</f>
        <v/>
      </c>
      <c r="FD115">
        <f>IFERROR(LOOKUP(2,1/('DRAFT 2'!$D:$D=$B115)*('DRAFT 2'!$A:$A&gt;=DATE(2026,6,1))*('DRAFT 2'!$A:$A&lt;DATE(2026,IF(6=12,6+1,6+1),1)),'DRAFT 2'!$A:$A),"")</f>
        <v/>
      </c>
      <c r="FE115">
        <f>COUNTIFS('DRAFT 2'!$D:$D,$B115,'DRAFT 2'!$A:$A,"&gt;="&amp;DATE(2026,6,1),'DRAFT 2'!$A:$A,"&lt;="&amp;DATE(2026,6,7))</f>
        <v/>
      </c>
      <c r="FF115">
        <f>COUNTIFS('DRAFT 2'!$D:$D,$B115,'DRAFT 2'!$A:$A,"&gt;="&amp;DATE(2026,6,8),'DRAFT 2'!$A:$A,"&lt;="&amp;DATE(2026,6,14))</f>
        <v/>
      </c>
      <c r="FG115">
        <f>COUNTIFS('DRAFT 2'!$D:$D,$B115,'DRAFT 2'!$A:$A,"&gt;="&amp;DATE(2026,6,15),'DRAFT 2'!$A:$A,"&lt;="&amp;DATE(2026,6,21))</f>
        <v/>
      </c>
      <c r="FH115">
        <f>COUNTIFS('DRAFT 2'!$D:$D,$B115,'DRAFT 2'!$A:$A,"&gt;="&amp;DATE(2026,6,22),'DRAFT 2'!$A:$A,"&lt;"&amp;DATE(2026,IF(6=12,6+1,6+1),1))</f>
        <v/>
      </c>
      <c r="FI115">
        <f>SUM(FE115:FH115)</f>
        <v/>
      </c>
      <c r="FT115">
        <f>IFERROR(LOOKUP(2,1/('DRAFT 2'!$D:$D=$B115)*('DRAFT 2'!$A:$A&gt;=DATE(2026,7,1))*('DRAFT 2'!$A:$A&lt;DATE(2026,IF(7=12,7+1,7+1),1)),'DRAFT 2'!$A:$A),"")</f>
        <v/>
      </c>
      <c r="FU115">
        <f>COUNTIFS('DRAFT 2'!$D:$D,$B115,'DRAFT 2'!$A:$A,"&gt;="&amp;DATE(2026,7,1),'DRAFT 2'!$A:$A,"&lt;="&amp;DATE(2026,7,7))</f>
        <v/>
      </c>
      <c r="FV115">
        <f>COUNTIFS('DRAFT 2'!$D:$D,$B115,'DRAFT 2'!$A:$A,"&gt;="&amp;DATE(2026,7,8),'DRAFT 2'!$A:$A,"&lt;="&amp;DATE(2026,7,14))</f>
        <v/>
      </c>
      <c r="FW115">
        <f>COUNTIFS('DRAFT 2'!$D:$D,$B115,'DRAFT 2'!$A:$A,"&gt;="&amp;DATE(2026,7,15),'DRAFT 2'!$A:$A,"&lt;="&amp;DATE(2026,7,21))</f>
        <v/>
      </c>
      <c r="FX115">
        <f>COUNTIFS('DRAFT 2'!$D:$D,$B115,'DRAFT 2'!$A:$A,"&gt;="&amp;DATE(2026,7,22),'DRAFT 2'!$A:$A,"&lt;"&amp;DATE(2026,IF(7=12,7+1,7+1),1))</f>
        <v/>
      </c>
      <c r="FY115">
        <f>SUM(FU115:FX115)</f>
        <v/>
      </c>
      <c r="GI115">
        <f>IFERROR(LOOKUP(2,1/('DRAFT 2'!$D:$D=$B115)*('DRAFT 2'!$A:$A&gt;=DATE(2026,8,1))*('DRAFT 2'!$A:$A&lt;DATE(2026,IF(8=12,8+1,8+1),1)),'DRAFT 2'!$A:$A),"")</f>
        <v/>
      </c>
      <c r="GJ115">
        <f>COUNTIFS('DRAFT 2'!$D:$D,$B115,'DRAFT 2'!$A:$A,"&gt;="&amp;DATE(2026,8,1),'DRAFT 2'!$A:$A,"&lt;="&amp;DATE(2026,8,7))</f>
        <v/>
      </c>
      <c r="GK115">
        <f>COUNTIFS('DRAFT 2'!$D:$D,$B115,'DRAFT 2'!$A:$A,"&gt;="&amp;DATE(2026,8,8),'DRAFT 2'!$A:$A,"&lt;="&amp;DATE(2026,8,14))</f>
        <v/>
      </c>
      <c r="GL115">
        <f>COUNTIFS('DRAFT 2'!$D:$D,$B115,'DRAFT 2'!$A:$A,"&gt;="&amp;DATE(2026,8,15),'DRAFT 2'!$A:$A,"&lt;="&amp;DATE(2026,8,21))</f>
        <v/>
      </c>
      <c r="GM115">
        <f>COUNTIFS('DRAFT 2'!$D:$D,$B115,'DRAFT 2'!$A:$A,"&gt;="&amp;DATE(2026,8,22),'DRAFT 2'!$A:$A,"&lt;"&amp;DATE(2026,IF(8=12,8+1,8+1),1))</f>
        <v/>
      </c>
      <c r="GN115">
        <f>SUM(GJ115:GM115)</f>
        <v/>
      </c>
      <c r="GX115">
        <f>IFERROR(LOOKUP(2,1/('DRAFT 2'!$D:$D=$B115)*('DRAFT 2'!$A:$A&gt;=DATE(2026,9,1))*('DRAFT 2'!$A:$A&lt;DATE(2026,IF(9=12,9+1,9+1),1)),'DRAFT 2'!$A:$A),"")</f>
        <v/>
      </c>
      <c r="GY115">
        <f>COUNTIFS('DRAFT 2'!$D:$D,$B115,'DRAFT 2'!$A:$A,"&gt;="&amp;DATE(2026,9,1),'DRAFT 2'!$A:$A,"&lt;="&amp;DATE(2026,9,7))</f>
        <v/>
      </c>
      <c r="GZ115">
        <f>COUNTIFS('DRAFT 2'!$D:$D,$B115,'DRAFT 2'!$A:$A,"&gt;="&amp;DATE(2026,9,8),'DRAFT 2'!$A:$A,"&lt;="&amp;DATE(2026,9,14))</f>
        <v/>
      </c>
      <c r="HA115">
        <f>COUNTIFS('DRAFT 2'!$D:$D,$B115,'DRAFT 2'!$A:$A,"&gt;="&amp;DATE(2026,9,15),'DRAFT 2'!$A:$A,"&lt;="&amp;DATE(2026,9,21))</f>
        <v/>
      </c>
      <c r="HB115">
        <f>COUNTIFS('DRAFT 2'!$D:$D,$B115,'DRAFT 2'!$A:$A,"&gt;="&amp;DATE(2026,9,22),'DRAFT 2'!$A:$A,"&lt;"&amp;DATE(2026,IF(9=12,9+1,9+1),1))</f>
        <v/>
      </c>
      <c r="HC115">
        <f>SUM(GY115:HB115)</f>
        <v/>
      </c>
      <c r="HN115">
        <f>IFERROR(LOOKUP(2,1/('DRAFT 2'!$D:$D=$B115)*('DRAFT 2'!$A:$A&gt;=DATE(2026,10,1))*('DRAFT 2'!$A:$A&lt;DATE(2026,IF(10=12,10+1,10+1),1)),'DRAFT 2'!$A:$A),"")</f>
        <v/>
      </c>
      <c r="HO115">
        <f>COUNTIFS('DRAFT 2'!$D:$D,$B115,'DRAFT 2'!$A:$A,"&gt;="&amp;DATE(2026,10,1),'DRAFT 2'!$A:$A,"&lt;="&amp;DATE(2026,10,7))</f>
        <v/>
      </c>
      <c r="HP115">
        <f>COUNTIFS('DRAFT 2'!$D:$D,$B115,'DRAFT 2'!$A:$A,"&gt;="&amp;DATE(2026,10,8),'DRAFT 2'!$A:$A,"&lt;="&amp;DATE(2026,10,14))</f>
        <v/>
      </c>
      <c r="HQ115">
        <f>COUNTIFS('DRAFT 2'!$D:$D,$B115,'DRAFT 2'!$A:$A,"&gt;="&amp;DATE(2026,10,15),'DRAFT 2'!$A:$A,"&lt;="&amp;DATE(2026,10,21))</f>
        <v/>
      </c>
      <c r="HR115">
        <f>COUNTIFS('DRAFT 2'!$D:$D,$B115,'DRAFT 2'!$A:$A,"&gt;="&amp;DATE(2026,10,22),'DRAFT 2'!$A:$A,"&lt;"&amp;DATE(2026,IF(10=12,10+1,10+1),1))</f>
        <v/>
      </c>
      <c r="HS115">
        <f>SUM(HO115:HR115)</f>
        <v/>
      </c>
      <c r="IC115">
        <f>IFERROR(LOOKUP(2,1/('DRAFT 2'!$D:$D=$B115)*('DRAFT 2'!$A:$A&gt;=DATE(2026,11,1))*('DRAFT 2'!$A:$A&lt;DATE(2026,IF(11=12,11+1,11+1),1)),'DRAFT 2'!$A:$A),"")</f>
        <v/>
      </c>
      <c r="ID115">
        <f>COUNTIFS('DRAFT 2'!$D:$D,$B115,'DRAFT 2'!$A:$A,"&gt;="&amp;DATE(2026,11,1),'DRAFT 2'!$A:$A,"&lt;="&amp;DATE(2026,11,7))</f>
        <v/>
      </c>
      <c r="IE115">
        <f>COUNTIFS('DRAFT 2'!$D:$D,$B115,'DRAFT 2'!$A:$A,"&gt;="&amp;DATE(2026,11,8),'DRAFT 2'!$A:$A,"&lt;="&amp;DATE(2026,11,14))</f>
        <v/>
      </c>
      <c r="IF115">
        <f>COUNTIFS('DRAFT 2'!$D:$D,$B115,'DRAFT 2'!$A:$A,"&gt;="&amp;DATE(2026,11,15),'DRAFT 2'!$A:$A,"&lt;="&amp;DATE(2026,11,21))</f>
        <v/>
      </c>
      <c r="IG115">
        <f>COUNTIFS('DRAFT 2'!$D:$D,$B115,'DRAFT 2'!$A:$A,"&gt;="&amp;DATE(2026,11,22),'DRAFT 2'!$A:$A,"&lt;"&amp;DATE(2026,IF(11=12,11+1,11+1),1))</f>
        <v/>
      </c>
      <c r="IH115">
        <f>SUM(ID115:IG115)</f>
        <v/>
      </c>
      <c r="IR115">
        <f>IFERROR(LOOKUP(2,1/('DRAFT 2'!$D:$D=$B115)*('DRAFT 2'!$A:$A&gt;=DATE(2026,12,1))*('DRAFT 2'!$A:$A&lt;DATE(2026,IF(12=12,12+1,12+1),1)),'DRAFT 2'!$A:$A),"")</f>
        <v/>
      </c>
      <c r="IS115">
        <f>COUNTIFS('DRAFT 2'!$D:$D,$B115,'DRAFT 2'!$A:$A,"&gt;="&amp;DATE(2026,12,1),'DRAFT 2'!$A:$A,"&lt;="&amp;DATE(2026,12,7))</f>
        <v/>
      </c>
      <c r="IT115">
        <f>COUNTIFS('DRAFT 2'!$D:$D,$B115,'DRAFT 2'!$A:$A,"&gt;="&amp;DATE(2026,12,8),'DRAFT 2'!$A:$A,"&lt;="&amp;DATE(2026,12,14))</f>
        <v/>
      </c>
      <c r="IU115">
        <f>COUNTIFS('DRAFT 2'!$D:$D,$B115,'DRAFT 2'!$A:$A,"&gt;="&amp;DATE(2026,12,15),'DRAFT 2'!$A:$A,"&lt;="&amp;DATE(2026,12,21))</f>
        <v/>
      </c>
      <c r="IV115">
        <f>COUNTIFS('DRAFT 2'!$D:$D,$B115,'DRAFT 2'!$A:$A,"&gt;="&amp;DATE(2026,12,22),'DRAFT 2'!$A:$A,"&lt;"&amp;DATE(2026,IF(12=12,12+1,12+1),1))</f>
        <v/>
      </c>
      <c r="IW115">
        <f>SUM(IS115:IV115)</f>
        <v/>
      </c>
    </row>
    <row r="116">
      <c r="A116">
        <f>IFERROR(INDEX('DRAFT 1'!$A:$A,MATCH($B116,'DRAFT 1'!$B:$B,0)),"")</f>
        <v/>
      </c>
      <c r="C116">
        <f>IFERROR(INDEX('DRAFT 1'!$C:$C,MATCH($B116,'DRAFT 1'!$B:$B,0)),"")</f>
        <v/>
      </c>
      <c r="D116">
        <f>IFERROR(INDEX('DRAFT 1'!$D:$D,MATCH($B116,'DRAFT 1'!$B:$B,0)),"")</f>
        <v/>
      </c>
      <c r="E116">
        <f>IFERROR(INDEX('DRAFT 1'!$E:$E,MATCH($B116,'DRAFT 1'!$B:$B,0)),"")</f>
        <v/>
      </c>
      <c r="F116">
        <f>IFERROR(INDEX('DRAFT 1'!$F:$F,MATCH($B116,'DRAFT 1'!$B:$B,0)),"")</f>
        <v/>
      </c>
      <c r="G116">
        <f>IFERROR(INDEX('DRAFT 1'!$G:$G,MATCH($B116,'DRAFT 1'!$B:$B,0)),"")</f>
        <v/>
      </c>
      <c r="H116">
        <f>IFERROR(INDEX('DRAFT 1'!$H:$H,MATCH($B116,'DRAFT 1'!$B:$B,0)),"")</f>
        <v/>
      </c>
      <c r="I116" t="inlineStr">
        <is>
          <t>VIDA LEVE</t>
        </is>
      </c>
      <c r="K116">
        <f>IFERROR(INDEX('DRAFT 1'!$AL:$AL,MATCH($B116,'DRAFT 1'!$B:$B,0)),"")</f>
        <v/>
      </c>
      <c r="L116">
        <f>IFERROR(INDEX('DRAFT 1'!$J:$J,MATCH($B116,'DRAFT 1'!$B:$B,0)),"")</f>
        <v/>
      </c>
      <c r="M116">
        <f>IFERROR(INDEX('DRAFT 1'!$K:$K,MATCH($B116,'DRAFT 1'!$B:$B,0)),"")</f>
        <v/>
      </c>
      <c r="N116" t="inlineStr">
        <is>
          <t>ATIVO</t>
        </is>
      </c>
      <c r="P116">
        <f>IFERROR(INDEX('DRAFT 1'!$L:$L,MATCH($B116,'DRAFT 1'!$B:$B,0)),"")</f>
        <v/>
      </c>
      <c r="Q116">
        <f>IFERROR(INDEX('DRAFT 1'!$M:$M,MATCH($B116,'DRAFT 1'!$B:$B,0)),"")</f>
        <v/>
      </c>
      <c r="R116">
        <f>IFERROR(INDEX('DRAFT 1'!$N:$N,MATCH($B116,'DRAFT 1'!$B:$B,0)),"")</f>
        <v/>
      </c>
      <c r="S116">
        <f>IFERROR(INDEX('DRAFT 1'!$O:$O,MATCH($B116,'DRAFT 1'!$B:$B,0)),"")</f>
        <v/>
      </c>
      <c r="T116">
        <f>IFERROR(INDEX('DRAFT 1'!$P:$P,MATCH($B116,'DRAFT 1'!$B:$B,0)),"")</f>
        <v/>
      </c>
      <c r="U116">
        <f>IFERROR(INDEX('DRAFT 1'!$Q:$Q,MATCH($B116,'DRAFT 1'!$B:$B,0)),"")</f>
        <v/>
      </c>
      <c r="V116">
        <f>IFERROR(INDEX('DRAFT 1'!$R:$R,MATCH($B116,'DRAFT 1'!$B:$B,0)),"")</f>
        <v/>
      </c>
      <c r="W116">
        <f>IFERROR(INDEX('DRAFT 1'!$S:$S,MATCH($B116,'DRAFT 1'!$B:$B,0)),"")</f>
        <v/>
      </c>
      <c r="X116">
        <f>IFERROR(INDEX('DRAFT 1'!$T:$T,MATCH($B116,'DRAFT 1'!$B:$B,0)),"")</f>
        <v/>
      </c>
      <c r="Z116">
        <f>IFERROR(INDEX('DRAFT 1'!$U:$U,MATCH($B116,'DRAFT 1'!$B:$B,0)),"")</f>
        <v/>
      </c>
      <c r="AA116">
        <f>IFERROR(INDEX('DRAFT 1'!$V:$V,MATCH($B116,'DRAFT 1'!$B:$B,0)),"")</f>
        <v/>
      </c>
      <c r="AB116">
        <f>IFERROR(INDEX('DRAFT 1'!$W:$W,MATCH($B116,'DRAFT 1'!$B:$B,0)),"")</f>
        <v/>
      </c>
      <c r="AC116">
        <f>IFERROR(INDEX('DRAFT 1'!$X:$X,MATCH($B116,'DRAFT 1'!$B:$B,0)),"")</f>
        <v/>
      </c>
      <c r="AD116">
        <f>IFERROR(INDEX('DRAFT 1'!$Y:$Y,MATCH($B116,'DRAFT 1'!$B:$B,0)),"")</f>
        <v/>
      </c>
      <c r="AE116">
        <f>IFERROR(INDEX('DRAFT 1'!$Z:$Z,MATCH($B116,'DRAFT 1'!$B:$B,0)),"")</f>
        <v/>
      </c>
      <c r="AF116">
        <f>IFERROR(INDEX('DRAFT 1'!$AA:$AA,MATCH($B116,'DRAFT 1'!$B:$B,0)),"")</f>
        <v/>
      </c>
      <c r="AG116">
        <f>IFERROR(INDEX('DRAFT 1'!$AB:$AB,MATCH($B116,'DRAFT 1'!$B:$B,0)),"")</f>
        <v/>
      </c>
      <c r="AH116">
        <f>IFERROR(INDEX('DRAFT 1'!$AC:$AC,MATCH($B116,'DRAFT 1'!$B:$B,0)),"")</f>
        <v/>
      </c>
      <c r="AI116">
        <f>IFERROR(INDEX('DRAFT 1'!$AD:$AD,MATCH($B116,'DRAFT 1'!$B:$B,0)),"")</f>
        <v/>
      </c>
      <c r="AJ116">
        <f>IFERROR(INDEX('DRAFT 1'!$AE:$AE,MATCH($B116,'DRAFT 1'!$B:$B,0)),"")</f>
        <v/>
      </c>
      <c r="AK116">
        <f>IFERROR(INDEX('DRAFT 1'!$AG:$AG,MATCH($B116,'DRAFT 1'!$B:$B,0)),"")</f>
        <v/>
      </c>
      <c r="AL116">
        <f>IFERROR(INDEX('DRAFT 1'!$AH:$AH,MATCH($B116,'DRAFT 1'!$B:$B,0)),"")</f>
        <v/>
      </c>
      <c r="AM116">
        <f>IFERROR(INDEX('DRAFT 1'!$AI:$AI,MATCH($B116,'DRAFT 1'!$B:$B,0)),"")</f>
        <v/>
      </c>
      <c r="AN116">
        <f>IFERROR(INDEX('DRAFT 1'!$AJ:$AJ,MATCH($B116,'DRAFT 1'!$B:$B,0)),"")</f>
        <v/>
      </c>
      <c r="AO116">
        <f>IFERROR(Y116/AN116,0)</f>
        <v/>
      </c>
      <c r="AP116">
        <f>IFERROR(INDEX('DRAFT 1'!$AK:$AK,MATCH($B116,'DRAFT 1'!$B:$B,0)),"")</f>
        <v/>
      </c>
      <c r="AR116" t="inlineStr">
        <is>
          <t>PÓS-VENDA</t>
        </is>
      </c>
      <c r="AS116">
        <f>IFERROR(LOOKUP(2,1/('DRAFT 2'!$D:$D=$B116),'DRAFT 2'!$T:$T),"")</f>
        <v/>
      </c>
      <c r="AT116">
        <f>IFERROR(LOOKUP(2,1/('DRAFT 2'!$D:$D=$B116),'DRAFT 2'!$A:$A),"")</f>
        <v/>
      </c>
      <c r="AU116">
        <f>IFERROR(LOOKUP(2,1/('DRAFT 2'!$D:$D=$B116),'DRAFT 2'!$R:$R),"")</f>
        <v/>
      </c>
      <c r="AV116">
        <f>IFERROR(LOOKUP(2,1/('DRAFT 2'!$D:$D=$B116),'DRAFT 2'!$S:$S),"")</f>
        <v/>
      </c>
      <c r="AW116" t="inlineStr">
        <is>
          <t>PROSPECT</t>
        </is>
      </c>
      <c r="AX116">
        <f>IFERROR(LOOKUP(2,1/('DRAFT 2'!$D:$D=$B116),'DRAFT 2'!$M:$M),"")</f>
        <v/>
      </c>
      <c r="AY116">
        <f>IFERROR(LOOKUP(2,1/('DRAFT 2'!$D:$D=$B116),'DRAFT 2'!$K:$K),"")</f>
        <v/>
      </c>
      <c r="BG116">
        <f>IFERROR(LOOKUP(2,1/('DRAFT 2'!$D:$D=$B116),'DRAFT 2'!$U:$U),"")</f>
        <v/>
      </c>
      <c r="BH116">
        <f>IFERROR(LOOKUP(2,1/('DRAFT 2'!$D:$D=$B116),'DRAFT 2'!$V:$V),"")</f>
        <v/>
      </c>
      <c r="CE116">
        <f>IFERROR(AJ116,0)</f>
        <v/>
      </c>
      <c r="CF116">
        <f>IFERROR(LOOKUP(2,1/('DRAFT 2'!$D:$D=$B116)*('DRAFT 2'!$A:$A&gt;=DATE(2026,1,1))*('DRAFT 2'!$A:$A&lt;DATE(2026,IF(1=12,1+1,1+1),1)),'DRAFT 2'!$A:$A),"")</f>
        <v/>
      </c>
      <c r="CG116">
        <f>COUNTIFS('DRAFT 2'!$D:$D,$B116,'DRAFT 2'!$A:$A,"&gt;="&amp;DATE(2026,1,1),'DRAFT 2'!$A:$A,"&lt;="&amp;DATE(2026,1,7))</f>
        <v/>
      </c>
      <c r="CH116">
        <f>COUNTIFS('DRAFT 2'!$D:$D,$B116,'DRAFT 2'!$A:$A,"&gt;="&amp;DATE(2026,1,8),'DRAFT 2'!$A:$A,"&lt;="&amp;DATE(2026,1,14))</f>
        <v/>
      </c>
      <c r="CI116">
        <f>COUNTIFS('DRAFT 2'!$D:$D,$B116,'DRAFT 2'!$A:$A,"&gt;="&amp;DATE(2026,1,15),'DRAFT 2'!$A:$A,"&lt;="&amp;DATE(2026,1,21))</f>
        <v/>
      </c>
      <c r="CJ116">
        <f>COUNTIFS('DRAFT 2'!$D:$D,$B116,'DRAFT 2'!$A:$A,"&gt;="&amp;DATE(2026,1,22),'DRAFT 2'!$A:$A,"&lt;"&amp;DATE(2026,IF(1=12,1+1,1+1),1))</f>
        <v/>
      </c>
      <c r="CK116">
        <f>SUM(CG116:CJ116)</f>
        <v/>
      </c>
      <c r="CT116" t="n">
        <v>0</v>
      </c>
      <c r="CU116">
        <f>IFERROR(LOOKUP(2,1/('DRAFT 2'!$D:$D=$B116)*('DRAFT 2'!$A:$A&gt;=DATE(2026,2,1))*('DRAFT 2'!$A:$A&lt;DATE(2026,IF(2=12,2+1,2+1),1)),'DRAFT 2'!$A:$A),"")</f>
        <v/>
      </c>
      <c r="CV116">
        <f>COUNTIFS('DRAFT 2'!$D:$D,$B116,'DRAFT 2'!$A:$A,"&gt;="&amp;DATE(2026,2,1),'DRAFT 2'!$A:$A,"&lt;="&amp;DATE(2026,2,7))</f>
        <v/>
      </c>
      <c r="CW116">
        <f>COUNTIFS('DRAFT 2'!$D:$D,$B116,'DRAFT 2'!$A:$A,"&gt;="&amp;DATE(2026,2,8),'DRAFT 2'!$A:$A,"&lt;="&amp;DATE(2026,2,14))</f>
        <v/>
      </c>
      <c r="CX116">
        <f>COUNTIFS('DRAFT 2'!$D:$D,$B116,'DRAFT 2'!$A:$A,"&gt;="&amp;DATE(2026,2,15),'DRAFT 2'!$A:$A,"&lt;="&amp;DATE(2026,2,21))</f>
        <v/>
      </c>
      <c r="CY116">
        <f>COUNTIFS('DRAFT 2'!$D:$D,$B116,'DRAFT 2'!$A:$A,"&gt;="&amp;DATE(2026,2,22),'DRAFT 2'!$A:$A,"&lt;"&amp;DATE(2026,IF(2=12,2+1,2+1),1))</f>
        <v/>
      </c>
      <c r="CZ116">
        <f>SUM(CV116:CY116)</f>
        <v/>
      </c>
      <c r="DJ116">
        <f>IFERROR(LOOKUP(2,1/('DRAFT 2'!$D:$D=$B116)*('DRAFT 2'!$A:$A&gt;=DATE(2026,3,1))*('DRAFT 2'!$A:$A&lt;DATE(2026,IF(3=12,3+1,3+1),1)),'DRAFT 2'!$A:$A),"")</f>
        <v/>
      </c>
      <c r="DK116">
        <f>COUNTIFS('DRAFT 2'!$D:$D,$B116,'DRAFT 2'!$A:$A,"&gt;="&amp;DATE(2026,3,1),'DRAFT 2'!$A:$A,"&lt;="&amp;DATE(2026,3,7))</f>
        <v/>
      </c>
      <c r="DL116">
        <f>COUNTIFS('DRAFT 2'!$D:$D,$B116,'DRAFT 2'!$A:$A,"&gt;="&amp;DATE(2026,3,8),'DRAFT 2'!$A:$A,"&lt;="&amp;DATE(2026,3,14))</f>
        <v/>
      </c>
      <c r="DM116">
        <f>COUNTIFS('DRAFT 2'!$D:$D,$B116,'DRAFT 2'!$A:$A,"&gt;="&amp;DATE(2026,3,15),'DRAFT 2'!$A:$A,"&lt;="&amp;DATE(2026,3,21))</f>
        <v/>
      </c>
      <c r="DN116">
        <f>COUNTIFS('DRAFT 2'!$D:$D,$B116,'DRAFT 2'!$A:$A,"&gt;="&amp;DATE(2026,3,22),'DRAFT 2'!$A:$A,"&lt;"&amp;DATE(2026,IF(3=12,3+1,3+1),1))</f>
        <v/>
      </c>
      <c r="DO116">
        <f>SUM(DK116:DN116)</f>
        <v/>
      </c>
      <c r="DZ116">
        <f>IFERROR(LOOKUP(2,1/('DRAFT 2'!$D:$D=$B116)*('DRAFT 2'!$A:$A&gt;=DATE(2026,4,1))*('DRAFT 2'!$A:$A&lt;DATE(2026,IF(4=12,4+1,4+1),1)),'DRAFT 2'!$A:$A),"")</f>
        <v/>
      </c>
      <c r="EA116">
        <f>COUNTIFS('DRAFT 2'!$D:$D,$B116,'DRAFT 2'!$A:$A,"&gt;="&amp;DATE(2026,4,1),'DRAFT 2'!$A:$A,"&lt;="&amp;DATE(2026,4,7))</f>
        <v/>
      </c>
      <c r="EB116">
        <f>COUNTIFS('DRAFT 2'!$D:$D,$B116,'DRAFT 2'!$A:$A,"&gt;="&amp;DATE(2026,4,8),'DRAFT 2'!$A:$A,"&lt;="&amp;DATE(2026,4,14))</f>
        <v/>
      </c>
      <c r="EC116">
        <f>COUNTIFS('DRAFT 2'!$D:$D,$B116,'DRAFT 2'!$A:$A,"&gt;="&amp;DATE(2026,4,15),'DRAFT 2'!$A:$A,"&lt;="&amp;DATE(2026,4,21))</f>
        <v/>
      </c>
      <c r="ED116">
        <f>COUNTIFS('DRAFT 2'!$D:$D,$B116,'DRAFT 2'!$A:$A,"&gt;="&amp;DATE(2026,4,22),'DRAFT 2'!$A:$A,"&lt;"&amp;DATE(2026,IF(4=12,4+1,4+1),1))</f>
        <v/>
      </c>
      <c r="EE116">
        <f>SUM(EA116:ED116)</f>
        <v/>
      </c>
      <c r="EO116">
        <f>IFERROR(LOOKUP(2,1/('DRAFT 2'!$D:$D=$B116)*('DRAFT 2'!$A:$A&gt;=DATE(2026,5,1))*('DRAFT 2'!$A:$A&lt;DATE(2026,IF(5=12,5+1,5+1),1)),'DRAFT 2'!$A:$A),"")</f>
        <v/>
      </c>
      <c r="EP116">
        <f>COUNTIFS('DRAFT 2'!$D:$D,$B116,'DRAFT 2'!$A:$A,"&gt;="&amp;DATE(2026,5,1),'DRAFT 2'!$A:$A,"&lt;="&amp;DATE(2026,5,7))</f>
        <v/>
      </c>
      <c r="EQ116">
        <f>COUNTIFS('DRAFT 2'!$D:$D,$B116,'DRAFT 2'!$A:$A,"&gt;="&amp;DATE(2026,5,8),'DRAFT 2'!$A:$A,"&lt;="&amp;DATE(2026,5,14))</f>
        <v/>
      </c>
      <c r="ER116">
        <f>COUNTIFS('DRAFT 2'!$D:$D,$B116,'DRAFT 2'!$A:$A,"&gt;="&amp;DATE(2026,5,15),'DRAFT 2'!$A:$A,"&lt;="&amp;DATE(2026,5,21))</f>
        <v/>
      </c>
      <c r="ES116">
        <f>COUNTIFS('DRAFT 2'!$D:$D,$B116,'DRAFT 2'!$A:$A,"&gt;="&amp;DATE(2026,5,22),'DRAFT 2'!$A:$A,"&lt;"&amp;DATE(2026,IF(5=12,5+1,5+1),1))</f>
        <v/>
      </c>
      <c r="ET116">
        <f>SUM(EP116:ES116)</f>
        <v/>
      </c>
      <c r="FD116">
        <f>IFERROR(LOOKUP(2,1/('DRAFT 2'!$D:$D=$B116)*('DRAFT 2'!$A:$A&gt;=DATE(2026,6,1))*('DRAFT 2'!$A:$A&lt;DATE(2026,IF(6=12,6+1,6+1),1)),'DRAFT 2'!$A:$A),"")</f>
        <v/>
      </c>
      <c r="FE116">
        <f>COUNTIFS('DRAFT 2'!$D:$D,$B116,'DRAFT 2'!$A:$A,"&gt;="&amp;DATE(2026,6,1),'DRAFT 2'!$A:$A,"&lt;="&amp;DATE(2026,6,7))</f>
        <v/>
      </c>
      <c r="FF116">
        <f>COUNTIFS('DRAFT 2'!$D:$D,$B116,'DRAFT 2'!$A:$A,"&gt;="&amp;DATE(2026,6,8),'DRAFT 2'!$A:$A,"&lt;="&amp;DATE(2026,6,14))</f>
        <v/>
      </c>
      <c r="FG116">
        <f>COUNTIFS('DRAFT 2'!$D:$D,$B116,'DRAFT 2'!$A:$A,"&gt;="&amp;DATE(2026,6,15),'DRAFT 2'!$A:$A,"&lt;="&amp;DATE(2026,6,21))</f>
        <v/>
      </c>
      <c r="FH116">
        <f>COUNTIFS('DRAFT 2'!$D:$D,$B116,'DRAFT 2'!$A:$A,"&gt;="&amp;DATE(2026,6,22),'DRAFT 2'!$A:$A,"&lt;"&amp;DATE(2026,IF(6=12,6+1,6+1),1))</f>
        <v/>
      </c>
      <c r="FI116">
        <f>SUM(FE116:FH116)</f>
        <v/>
      </c>
      <c r="FT116">
        <f>IFERROR(LOOKUP(2,1/('DRAFT 2'!$D:$D=$B116)*('DRAFT 2'!$A:$A&gt;=DATE(2026,7,1))*('DRAFT 2'!$A:$A&lt;DATE(2026,IF(7=12,7+1,7+1),1)),'DRAFT 2'!$A:$A),"")</f>
        <v/>
      </c>
      <c r="FU116">
        <f>COUNTIFS('DRAFT 2'!$D:$D,$B116,'DRAFT 2'!$A:$A,"&gt;="&amp;DATE(2026,7,1),'DRAFT 2'!$A:$A,"&lt;="&amp;DATE(2026,7,7))</f>
        <v/>
      </c>
      <c r="FV116">
        <f>COUNTIFS('DRAFT 2'!$D:$D,$B116,'DRAFT 2'!$A:$A,"&gt;="&amp;DATE(2026,7,8),'DRAFT 2'!$A:$A,"&lt;="&amp;DATE(2026,7,14))</f>
        <v/>
      </c>
      <c r="FW116">
        <f>COUNTIFS('DRAFT 2'!$D:$D,$B116,'DRAFT 2'!$A:$A,"&gt;="&amp;DATE(2026,7,15),'DRAFT 2'!$A:$A,"&lt;="&amp;DATE(2026,7,21))</f>
        <v/>
      </c>
      <c r="FX116">
        <f>COUNTIFS('DRAFT 2'!$D:$D,$B116,'DRAFT 2'!$A:$A,"&gt;="&amp;DATE(2026,7,22),'DRAFT 2'!$A:$A,"&lt;"&amp;DATE(2026,IF(7=12,7+1,7+1),1))</f>
        <v/>
      </c>
      <c r="FY116">
        <f>SUM(FU116:FX116)</f>
        <v/>
      </c>
      <c r="GI116">
        <f>IFERROR(LOOKUP(2,1/('DRAFT 2'!$D:$D=$B116)*('DRAFT 2'!$A:$A&gt;=DATE(2026,8,1))*('DRAFT 2'!$A:$A&lt;DATE(2026,IF(8=12,8+1,8+1),1)),'DRAFT 2'!$A:$A),"")</f>
        <v/>
      </c>
      <c r="GJ116">
        <f>COUNTIFS('DRAFT 2'!$D:$D,$B116,'DRAFT 2'!$A:$A,"&gt;="&amp;DATE(2026,8,1),'DRAFT 2'!$A:$A,"&lt;="&amp;DATE(2026,8,7))</f>
        <v/>
      </c>
      <c r="GK116">
        <f>COUNTIFS('DRAFT 2'!$D:$D,$B116,'DRAFT 2'!$A:$A,"&gt;="&amp;DATE(2026,8,8),'DRAFT 2'!$A:$A,"&lt;="&amp;DATE(2026,8,14))</f>
        <v/>
      </c>
      <c r="GL116">
        <f>COUNTIFS('DRAFT 2'!$D:$D,$B116,'DRAFT 2'!$A:$A,"&gt;="&amp;DATE(2026,8,15),'DRAFT 2'!$A:$A,"&lt;="&amp;DATE(2026,8,21))</f>
        <v/>
      </c>
      <c r="GM116">
        <f>COUNTIFS('DRAFT 2'!$D:$D,$B116,'DRAFT 2'!$A:$A,"&gt;="&amp;DATE(2026,8,22),'DRAFT 2'!$A:$A,"&lt;"&amp;DATE(2026,IF(8=12,8+1,8+1),1))</f>
        <v/>
      </c>
      <c r="GN116">
        <f>SUM(GJ116:GM116)</f>
        <v/>
      </c>
      <c r="GX116">
        <f>IFERROR(LOOKUP(2,1/('DRAFT 2'!$D:$D=$B116)*('DRAFT 2'!$A:$A&gt;=DATE(2026,9,1))*('DRAFT 2'!$A:$A&lt;DATE(2026,IF(9=12,9+1,9+1),1)),'DRAFT 2'!$A:$A),"")</f>
        <v/>
      </c>
      <c r="GY116">
        <f>COUNTIFS('DRAFT 2'!$D:$D,$B116,'DRAFT 2'!$A:$A,"&gt;="&amp;DATE(2026,9,1),'DRAFT 2'!$A:$A,"&lt;="&amp;DATE(2026,9,7))</f>
        <v/>
      </c>
      <c r="GZ116">
        <f>COUNTIFS('DRAFT 2'!$D:$D,$B116,'DRAFT 2'!$A:$A,"&gt;="&amp;DATE(2026,9,8),'DRAFT 2'!$A:$A,"&lt;="&amp;DATE(2026,9,14))</f>
        <v/>
      </c>
      <c r="HA116">
        <f>COUNTIFS('DRAFT 2'!$D:$D,$B116,'DRAFT 2'!$A:$A,"&gt;="&amp;DATE(2026,9,15),'DRAFT 2'!$A:$A,"&lt;="&amp;DATE(2026,9,21))</f>
        <v/>
      </c>
      <c r="HB116">
        <f>COUNTIFS('DRAFT 2'!$D:$D,$B116,'DRAFT 2'!$A:$A,"&gt;="&amp;DATE(2026,9,22),'DRAFT 2'!$A:$A,"&lt;"&amp;DATE(2026,IF(9=12,9+1,9+1),1))</f>
        <v/>
      </c>
      <c r="HC116">
        <f>SUM(GY116:HB116)</f>
        <v/>
      </c>
      <c r="HN116">
        <f>IFERROR(LOOKUP(2,1/('DRAFT 2'!$D:$D=$B116)*('DRAFT 2'!$A:$A&gt;=DATE(2026,10,1))*('DRAFT 2'!$A:$A&lt;DATE(2026,IF(10=12,10+1,10+1),1)),'DRAFT 2'!$A:$A),"")</f>
        <v/>
      </c>
      <c r="HO116">
        <f>COUNTIFS('DRAFT 2'!$D:$D,$B116,'DRAFT 2'!$A:$A,"&gt;="&amp;DATE(2026,10,1),'DRAFT 2'!$A:$A,"&lt;="&amp;DATE(2026,10,7))</f>
        <v/>
      </c>
      <c r="HP116">
        <f>COUNTIFS('DRAFT 2'!$D:$D,$B116,'DRAFT 2'!$A:$A,"&gt;="&amp;DATE(2026,10,8),'DRAFT 2'!$A:$A,"&lt;="&amp;DATE(2026,10,14))</f>
        <v/>
      </c>
      <c r="HQ116">
        <f>COUNTIFS('DRAFT 2'!$D:$D,$B116,'DRAFT 2'!$A:$A,"&gt;="&amp;DATE(2026,10,15),'DRAFT 2'!$A:$A,"&lt;="&amp;DATE(2026,10,21))</f>
        <v/>
      </c>
      <c r="HR116">
        <f>COUNTIFS('DRAFT 2'!$D:$D,$B116,'DRAFT 2'!$A:$A,"&gt;="&amp;DATE(2026,10,22),'DRAFT 2'!$A:$A,"&lt;"&amp;DATE(2026,IF(10=12,10+1,10+1),1))</f>
        <v/>
      </c>
      <c r="HS116">
        <f>SUM(HO116:HR116)</f>
        <v/>
      </c>
      <c r="IC116">
        <f>IFERROR(LOOKUP(2,1/('DRAFT 2'!$D:$D=$B116)*('DRAFT 2'!$A:$A&gt;=DATE(2026,11,1))*('DRAFT 2'!$A:$A&lt;DATE(2026,IF(11=12,11+1,11+1),1)),'DRAFT 2'!$A:$A),"")</f>
        <v/>
      </c>
      <c r="ID116">
        <f>COUNTIFS('DRAFT 2'!$D:$D,$B116,'DRAFT 2'!$A:$A,"&gt;="&amp;DATE(2026,11,1),'DRAFT 2'!$A:$A,"&lt;="&amp;DATE(2026,11,7))</f>
        <v/>
      </c>
      <c r="IE116">
        <f>COUNTIFS('DRAFT 2'!$D:$D,$B116,'DRAFT 2'!$A:$A,"&gt;="&amp;DATE(2026,11,8),'DRAFT 2'!$A:$A,"&lt;="&amp;DATE(2026,11,14))</f>
        <v/>
      </c>
      <c r="IF116">
        <f>COUNTIFS('DRAFT 2'!$D:$D,$B116,'DRAFT 2'!$A:$A,"&gt;="&amp;DATE(2026,11,15),'DRAFT 2'!$A:$A,"&lt;="&amp;DATE(2026,11,21))</f>
        <v/>
      </c>
      <c r="IG116">
        <f>COUNTIFS('DRAFT 2'!$D:$D,$B116,'DRAFT 2'!$A:$A,"&gt;="&amp;DATE(2026,11,22),'DRAFT 2'!$A:$A,"&lt;"&amp;DATE(2026,IF(11=12,11+1,11+1),1))</f>
        <v/>
      </c>
      <c r="IH116">
        <f>SUM(ID116:IG116)</f>
        <v/>
      </c>
      <c r="IR116">
        <f>IFERROR(LOOKUP(2,1/('DRAFT 2'!$D:$D=$B116)*('DRAFT 2'!$A:$A&gt;=DATE(2026,12,1))*('DRAFT 2'!$A:$A&lt;DATE(2026,IF(12=12,12+1,12+1),1)),'DRAFT 2'!$A:$A),"")</f>
        <v/>
      </c>
      <c r="IS116">
        <f>COUNTIFS('DRAFT 2'!$D:$D,$B116,'DRAFT 2'!$A:$A,"&gt;="&amp;DATE(2026,12,1),'DRAFT 2'!$A:$A,"&lt;="&amp;DATE(2026,12,7))</f>
        <v/>
      </c>
      <c r="IT116">
        <f>COUNTIFS('DRAFT 2'!$D:$D,$B116,'DRAFT 2'!$A:$A,"&gt;="&amp;DATE(2026,12,8),'DRAFT 2'!$A:$A,"&lt;="&amp;DATE(2026,12,14))</f>
        <v/>
      </c>
      <c r="IU116">
        <f>COUNTIFS('DRAFT 2'!$D:$D,$B116,'DRAFT 2'!$A:$A,"&gt;="&amp;DATE(2026,12,15),'DRAFT 2'!$A:$A,"&lt;="&amp;DATE(2026,12,21))</f>
        <v/>
      </c>
      <c r="IV116">
        <f>COUNTIFS('DRAFT 2'!$D:$D,$B116,'DRAFT 2'!$A:$A,"&gt;="&amp;DATE(2026,12,22),'DRAFT 2'!$A:$A,"&lt;"&amp;DATE(2026,IF(12=12,12+1,12+1),1))</f>
        <v/>
      </c>
      <c r="IW116">
        <f>SUM(IS116:IV116)</f>
        <v/>
      </c>
    </row>
    <row r="117">
      <c r="A117">
        <f>IFERROR(INDEX('DRAFT 1'!$A:$A,MATCH($B117,'DRAFT 1'!$B:$B,0)),"")</f>
        <v/>
      </c>
      <c r="C117">
        <f>IFERROR(INDEX('DRAFT 1'!$C:$C,MATCH($B117,'DRAFT 1'!$B:$B,0)),"")</f>
        <v/>
      </c>
      <c r="D117">
        <f>IFERROR(INDEX('DRAFT 1'!$D:$D,MATCH($B117,'DRAFT 1'!$B:$B,0)),"")</f>
        <v/>
      </c>
      <c r="E117">
        <f>IFERROR(INDEX('DRAFT 1'!$E:$E,MATCH($B117,'DRAFT 1'!$B:$B,0)),"")</f>
        <v/>
      </c>
      <c r="F117">
        <f>IFERROR(INDEX('DRAFT 1'!$F:$F,MATCH($B117,'DRAFT 1'!$B:$B,0)),"")</f>
        <v/>
      </c>
      <c r="G117">
        <f>IFERROR(INDEX('DRAFT 1'!$G:$G,MATCH($B117,'DRAFT 1'!$B:$B,0)),"")</f>
        <v/>
      </c>
      <c r="H117">
        <f>IFERROR(INDEX('DRAFT 1'!$H:$H,MATCH($B117,'DRAFT 1'!$B:$B,0)),"")</f>
        <v/>
      </c>
      <c r="I117" t="inlineStr">
        <is>
          <t>VIDA LEVE</t>
        </is>
      </c>
      <c r="K117">
        <f>IFERROR(INDEX('DRAFT 1'!$AL:$AL,MATCH($B117,'DRAFT 1'!$B:$B,0)),"")</f>
        <v/>
      </c>
      <c r="L117">
        <f>IFERROR(INDEX('DRAFT 1'!$J:$J,MATCH($B117,'DRAFT 1'!$B:$B,0)),"")</f>
        <v/>
      </c>
      <c r="M117">
        <f>IFERROR(INDEX('DRAFT 1'!$K:$K,MATCH($B117,'DRAFT 1'!$B:$B,0)),"")</f>
        <v/>
      </c>
      <c r="N117" t="inlineStr">
        <is>
          <t>PROSPECT</t>
        </is>
      </c>
      <c r="P117">
        <f>IFERROR(INDEX('DRAFT 1'!$L:$L,MATCH($B117,'DRAFT 1'!$B:$B,0)),"")</f>
        <v/>
      </c>
      <c r="Q117">
        <f>IFERROR(INDEX('DRAFT 1'!$M:$M,MATCH($B117,'DRAFT 1'!$B:$B,0)),"")</f>
        <v/>
      </c>
      <c r="R117">
        <f>IFERROR(INDEX('DRAFT 1'!$N:$N,MATCH($B117,'DRAFT 1'!$B:$B,0)),"")</f>
        <v/>
      </c>
      <c r="S117">
        <f>IFERROR(INDEX('DRAFT 1'!$O:$O,MATCH($B117,'DRAFT 1'!$B:$B,0)),"")</f>
        <v/>
      </c>
      <c r="T117">
        <f>IFERROR(INDEX('DRAFT 1'!$P:$P,MATCH($B117,'DRAFT 1'!$B:$B,0)),"")</f>
        <v/>
      </c>
      <c r="U117">
        <f>IFERROR(INDEX('DRAFT 1'!$Q:$Q,MATCH($B117,'DRAFT 1'!$B:$B,0)),"")</f>
        <v/>
      </c>
      <c r="V117">
        <f>IFERROR(INDEX('DRAFT 1'!$R:$R,MATCH($B117,'DRAFT 1'!$B:$B,0)),"")</f>
        <v/>
      </c>
      <c r="W117">
        <f>IFERROR(INDEX('DRAFT 1'!$S:$S,MATCH($B117,'DRAFT 1'!$B:$B,0)),"")</f>
        <v/>
      </c>
      <c r="X117">
        <f>IFERROR(INDEX('DRAFT 1'!$T:$T,MATCH($B117,'DRAFT 1'!$B:$B,0)),"")</f>
        <v/>
      </c>
      <c r="Z117">
        <f>IFERROR(INDEX('DRAFT 1'!$U:$U,MATCH($B117,'DRAFT 1'!$B:$B,0)),"")</f>
        <v/>
      </c>
      <c r="AA117">
        <f>IFERROR(INDEX('DRAFT 1'!$V:$V,MATCH($B117,'DRAFT 1'!$B:$B,0)),"")</f>
        <v/>
      </c>
      <c r="AB117">
        <f>IFERROR(INDEX('DRAFT 1'!$W:$W,MATCH($B117,'DRAFT 1'!$B:$B,0)),"")</f>
        <v/>
      </c>
      <c r="AC117">
        <f>IFERROR(INDEX('DRAFT 1'!$X:$X,MATCH($B117,'DRAFT 1'!$B:$B,0)),"")</f>
        <v/>
      </c>
      <c r="AD117">
        <f>IFERROR(INDEX('DRAFT 1'!$Y:$Y,MATCH($B117,'DRAFT 1'!$B:$B,0)),"")</f>
        <v/>
      </c>
      <c r="AE117">
        <f>IFERROR(INDEX('DRAFT 1'!$Z:$Z,MATCH($B117,'DRAFT 1'!$B:$B,0)),"")</f>
        <v/>
      </c>
      <c r="AF117">
        <f>IFERROR(INDEX('DRAFT 1'!$AA:$AA,MATCH($B117,'DRAFT 1'!$B:$B,0)),"")</f>
        <v/>
      </c>
      <c r="AG117">
        <f>IFERROR(INDEX('DRAFT 1'!$AB:$AB,MATCH($B117,'DRAFT 1'!$B:$B,0)),"")</f>
        <v/>
      </c>
      <c r="AH117">
        <f>IFERROR(INDEX('DRAFT 1'!$AC:$AC,MATCH($B117,'DRAFT 1'!$B:$B,0)),"")</f>
        <v/>
      </c>
      <c r="AI117">
        <f>IFERROR(INDEX('DRAFT 1'!$AD:$AD,MATCH($B117,'DRAFT 1'!$B:$B,0)),"")</f>
        <v/>
      </c>
      <c r="AJ117">
        <f>IFERROR(INDEX('DRAFT 1'!$AE:$AE,MATCH($B117,'DRAFT 1'!$B:$B,0)),"")</f>
        <v/>
      </c>
      <c r="AK117">
        <f>IFERROR(INDEX('DRAFT 1'!$AG:$AG,MATCH($B117,'DRAFT 1'!$B:$B,0)),"")</f>
        <v/>
      </c>
      <c r="AL117">
        <f>IFERROR(INDEX('DRAFT 1'!$AH:$AH,MATCH($B117,'DRAFT 1'!$B:$B,0)),"")</f>
        <v/>
      </c>
      <c r="AM117">
        <f>IFERROR(INDEX('DRAFT 1'!$AI:$AI,MATCH($B117,'DRAFT 1'!$B:$B,0)),"")</f>
        <v/>
      </c>
      <c r="AN117">
        <f>IFERROR(INDEX('DRAFT 1'!$AJ:$AJ,MATCH($B117,'DRAFT 1'!$B:$B,0)),"")</f>
        <v/>
      </c>
      <c r="AO117">
        <f>IFERROR(Y117/AN117,0)</f>
        <v/>
      </c>
      <c r="AP117">
        <f>IFERROR(INDEX('DRAFT 1'!$AK:$AK,MATCH($B117,'DRAFT 1'!$B:$B,0)),"")</f>
        <v/>
      </c>
      <c r="AR117" t="inlineStr">
        <is>
          <t>NUTRIÇÃO</t>
        </is>
      </c>
      <c r="AS117">
        <f>IFERROR(LOOKUP(2,1/('DRAFT 2'!$D:$D=$B117),'DRAFT 2'!$T:$T),"")</f>
        <v/>
      </c>
      <c r="AT117">
        <f>IFERROR(LOOKUP(2,1/('DRAFT 2'!$D:$D=$B117),'DRAFT 2'!$A:$A),"")</f>
        <v/>
      </c>
      <c r="AU117">
        <f>IFERROR(LOOKUP(2,1/('DRAFT 2'!$D:$D=$B117),'DRAFT 2'!$R:$R),"")</f>
        <v/>
      </c>
      <c r="AV117">
        <f>IFERROR(LOOKUP(2,1/('DRAFT 2'!$D:$D=$B117),'DRAFT 2'!$S:$S),"")</f>
        <v/>
      </c>
      <c r="AW117" t="inlineStr">
        <is>
          <t>FIDELIZADO</t>
        </is>
      </c>
      <c r="AX117">
        <f>IFERROR(LOOKUP(2,1/('DRAFT 2'!$D:$D=$B117),'DRAFT 2'!$M:$M),"")</f>
        <v/>
      </c>
      <c r="AY117">
        <f>IFERROR(LOOKUP(2,1/('DRAFT 2'!$D:$D=$B117),'DRAFT 2'!$K:$K),"")</f>
        <v/>
      </c>
      <c r="BG117">
        <f>IFERROR(LOOKUP(2,1/('DRAFT 2'!$D:$D=$B117),'DRAFT 2'!$U:$U),"")</f>
        <v/>
      </c>
      <c r="BH117">
        <f>IFERROR(LOOKUP(2,1/('DRAFT 2'!$D:$D=$B117),'DRAFT 2'!$V:$V),"")</f>
        <v/>
      </c>
      <c r="CE117">
        <f>IFERROR(AJ117,0)</f>
        <v/>
      </c>
      <c r="CF117">
        <f>IFERROR(LOOKUP(2,1/('DRAFT 2'!$D:$D=$B117)*('DRAFT 2'!$A:$A&gt;=DATE(2026,1,1))*('DRAFT 2'!$A:$A&lt;DATE(2026,IF(1=12,1+1,1+1),1)),'DRAFT 2'!$A:$A),"")</f>
        <v/>
      </c>
      <c r="CG117">
        <f>COUNTIFS('DRAFT 2'!$D:$D,$B117,'DRAFT 2'!$A:$A,"&gt;="&amp;DATE(2026,1,1),'DRAFT 2'!$A:$A,"&lt;="&amp;DATE(2026,1,7))</f>
        <v/>
      </c>
      <c r="CH117">
        <f>COUNTIFS('DRAFT 2'!$D:$D,$B117,'DRAFT 2'!$A:$A,"&gt;="&amp;DATE(2026,1,8),'DRAFT 2'!$A:$A,"&lt;="&amp;DATE(2026,1,14))</f>
        <v/>
      </c>
      <c r="CI117">
        <f>COUNTIFS('DRAFT 2'!$D:$D,$B117,'DRAFT 2'!$A:$A,"&gt;="&amp;DATE(2026,1,15),'DRAFT 2'!$A:$A,"&lt;="&amp;DATE(2026,1,21))</f>
        <v/>
      </c>
      <c r="CJ117">
        <f>COUNTIFS('DRAFT 2'!$D:$D,$B117,'DRAFT 2'!$A:$A,"&gt;="&amp;DATE(2026,1,22),'DRAFT 2'!$A:$A,"&lt;"&amp;DATE(2026,IF(1=12,1+1,1+1),1))</f>
        <v/>
      </c>
      <c r="CK117">
        <f>SUM(CG117:CJ117)</f>
        <v/>
      </c>
      <c r="CT117" t="n">
        <v>0</v>
      </c>
      <c r="CU117">
        <f>IFERROR(LOOKUP(2,1/('DRAFT 2'!$D:$D=$B117)*('DRAFT 2'!$A:$A&gt;=DATE(2026,2,1))*('DRAFT 2'!$A:$A&lt;DATE(2026,IF(2=12,2+1,2+1),1)),'DRAFT 2'!$A:$A),"")</f>
        <v/>
      </c>
      <c r="CV117">
        <f>COUNTIFS('DRAFT 2'!$D:$D,$B117,'DRAFT 2'!$A:$A,"&gt;="&amp;DATE(2026,2,1),'DRAFT 2'!$A:$A,"&lt;="&amp;DATE(2026,2,7))</f>
        <v/>
      </c>
      <c r="CW117">
        <f>COUNTIFS('DRAFT 2'!$D:$D,$B117,'DRAFT 2'!$A:$A,"&gt;="&amp;DATE(2026,2,8),'DRAFT 2'!$A:$A,"&lt;="&amp;DATE(2026,2,14))</f>
        <v/>
      </c>
      <c r="CX117">
        <f>COUNTIFS('DRAFT 2'!$D:$D,$B117,'DRAFT 2'!$A:$A,"&gt;="&amp;DATE(2026,2,15),'DRAFT 2'!$A:$A,"&lt;="&amp;DATE(2026,2,21))</f>
        <v/>
      </c>
      <c r="CY117">
        <f>COUNTIFS('DRAFT 2'!$D:$D,$B117,'DRAFT 2'!$A:$A,"&gt;="&amp;DATE(2026,2,22),'DRAFT 2'!$A:$A,"&lt;"&amp;DATE(2026,IF(2=12,2+1,2+1),1))</f>
        <v/>
      </c>
      <c r="CZ117">
        <f>SUM(CV117:CY117)</f>
        <v/>
      </c>
      <c r="DJ117">
        <f>IFERROR(LOOKUP(2,1/('DRAFT 2'!$D:$D=$B117)*('DRAFT 2'!$A:$A&gt;=DATE(2026,3,1))*('DRAFT 2'!$A:$A&lt;DATE(2026,IF(3=12,3+1,3+1),1)),'DRAFT 2'!$A:$A),"")</f>
        <v/>
      </c>
      <c r="DK117">
        <f>COUNTIFS('DRAFT 2'!$D:$D,$B117,'DRAFT 2'!$A:$A,"&gt;="&amp;DATE(2026,3,1),'DRAFT 2'!$A:$A,"&lt;="&amp;DATE(2026,3,7))</f>
        <v/>
      </c>
      <c r="DL117">
        <f>COUNTIFS('DRAFT 2'!$D:$D,$B117,'DRAFT 2'!$A:$A,"&gt;="&amp;DATE(2026,3,8),'DRAFT 2'!$A:$A,"&lt;="&amp;DATE(2026,3,14))</f>
        <v/>
      </c>
      <c r="DM117">
        <f>COUNTIFS('DRAFT 2'!$D:$D,$B117,'DRAFT 2'!$A:$A,"&gt;="&amp;DATE(2026,3,15),'DRAFT 2'!$A:$A,"&lt;="&amp;DATE(2026,3,21))</f>
        <v/>
      </c>
      <c r="DN117">
        <f>COUNTIFS('DRAFT 2'!$D:$D,$B117,'DRAFT 2'!$A:$A,"&gt;="&amp;DATE(2026,3,22),'DRAFT 2'!$A:$A,"&lt;"&amp;DATE(2026,IF(3=12,3+1,3+1),1))</f>
        <v/>
      </c>
      <c r="DO117">
        <f>SUM(DK117:DN117)</f>
        <v/>
      </c>
      <c r="DZ117">
        <f>IFERROR(LOOKUP(2,1/('DRAFT 2'!$D:$D=$B117)*('DRAFT 2'!$A:$A&gt;=DATE(2026,4,1))*('DRAFT 2'!$A:$A&lt;DATE(2026,IF(4=12,4+1,4+1),1)),'DRAFT 2'!$A:$A),"")</f>
        <v/>
      </c>
      <c r="EA117">
        <f>COUNTIFS('DRAFT 2'!$D:$D,$B117,'DRAFT 2'!$A:$A,"&gt;="&amp;DATE(2026,4,1),'DRAFT 2'!$A:$A,"&lt;="&amp;DATE(2026,4,7))</f>
        <v/>
      </c>
      <c r="EB117">
        <f>COUNTIFS('DRAFT 2'!$D:$D,$B117,'DRAFT 2'!$A:$A,"&gt;="&amp;DATE(2026,4,8),'DRAFT 2'!$A:$A,"&lt;="&amp;DATE(2026,4,14))</f>
        <v/>
      </c>
      <c r="EC117">
        <f>COUNTIFS('DRAFT 2'!$D:$D,$B117,'DRAFT 2'!$A:$A,"&gt;="&amp;DATE(2026,4,15),'DRAFT 2'!$A:$A,"&lt;="&amp;DATE(2026,4,21))</f>
        <v/>
      </c>
      <c r="ED117">
        <f>COUNTIFS('DRAFT 2'!$D:$D,$B117,'DRAFT 2'!$A:$A,"&gt;="&amp;DATE(2026,4,22),'DRAFT 2'!$A:$A,"&lt;"&amp;DATE(2026,IF(4=12,4+1,4+1),1))</f>
        <v/>
      </c>
      <c r="EE117">
        <f>SUM(EA117:ED117)</f>
        <v/>
      </c>
      <c r="EO117">
        <f>IFERROR(LOOKUP(2,1/('DRAFT 2'!$D:$D=$B117)*('DRAFT 2'!$A:$A&gt;=DATE(2026,5,1))*('DRAFT 2'!$A:$A&lt;DATE(2026,IF(5=12,5+1,5+1),1)),'DRAFT 2'!$A:$A),"")</f>
        <v/>
      </c>
      <c r="EP117">
        <f>COUNTIFS('DRAFT 2'!$D:$D,$B117,'DRAFT 2'!$A:$A,"&gt;="&amp;DATE(2026,5,1),'DRAFT 2'!$A:$A,"&lt;="&amp;DATE(2026,5,7))</f>
        <v/>
      </c>
      <c r="EQ117">
        <f>COUNTIFS('DRAFT 2'!$D:$D,$B117,'DRAFT 2'!$A:$A,"&gt;="&amp;DATE(2026,5,8),'DRAFT 2'!$A:$A,"&lt;="&amp;DATE(2026,5,14))</f>
        <v/>
      </c>
      <c r="ER117">
        <f>COUNTIFS('DRAFT 2'!$D:$D,$B117,'DRAFT 2'!$A:$A,"&gt;="&amp;DATE(2026,5,15),'DRAFT 2'!$A:$A,"&lt;="&amp;DATE(2026,5,21))</f>
        <v/>
      </c>
      <c r="ES117">
        <f>COUNTIFS('DRAFT 2'!$D:$D,$B117,'DRAFT 2'!$A:$A,"&gt;="&amp;DATE(2026,5,22),'DRAFT 2'!$A:$A,"&lt;"&amp;DATE(2026,IF(5=12,5+1,5+1),1))</f>
        <v/>
      </c>
      <c r="ET117">
        <f>SUM(EP117:ES117)</f>
        <v/>
      </c>
      <c r="FD117">
        <f>IFERROR(LOOKUP(2,1/('DRAFT 2'!$D:$D=$B117)*('DRAFT 2'!$A:$A&gt;=DATE(2026,6,1))*('DRAFT 2'!$A:$A&lt;DATE(2026,IF(6=12,6+1,6+1),1)),'DRAFT 2'!$A:$A),"")</f>
        <v/>
      </c>
      <c r="FE117">
        <f>COUNTIFS('DRAFT 2'!$D:$D,$B117,'DRAFT 2'!$A:$A,"&gt;="&amp;DATE(2026,6,1),'DRAFT 2'!$A:$A,"&lt;="&amp;DATE(2026,6,7))</f>
        <v/>
      </c>
      <c r="FF117">
        <f>COUNTIFS('DRAFT 2'!$D:$D,$B117,'DRAFT 2'!$A:$A,"&gt;="&amp;DATE(2026,6,8),'DRAFT 2'!$A:$A,"&lt;="&amp;DATE(2026,6,14))</f>
        <v/>
      </c>
      <c r="FG117">
        <f>COUNTIFS('DRAFT 2'!$D:$D,$B117,'DRAFT 2'!$A:$A,"&gt;="&amp;DATE(2026,6,15),'DRAFT 2'!$A:$A,"&lt;="&amp;DATE(2026,6,21))</f>
        <v/>
      </c>
      <c r="FH117">
        <f>COUNTIFS('DRAFT 2'!$D:$D,$B117,'DRAFT 2'!$A:$A,"&gt;="&amp;DATE(2026,6,22),'DRAFT 2'!$A:$A,"&lt;"&amp;DATE(2026,IF(6=12,6+1,6+1),1))</f>
        <v/>
      </c>
      <c r="FI117">
        <f>SUM(FE117:FH117)</f>
        <v/>
      </c>
      <c r="FT117">
        <f>IFERROR(LOOKUP(2,1/('DRAFT 2'!$D:$D=$B117)*('DRAFT 2'!$A:$A&gt;=DATE(2026,7,1))*('DRAFT 2'!$A:$A&lt;DATE(2026,IF(7=12,7+1,7+1),1)),'DRAFT 2'!$A:$A),"")</f>
        <v/>
      </c>
      <c r="FU117">
        <f>COUNTIFS('DRAFT 2'!$D:$D,$B117,'DRAFT 2'!$A:$A,"&gt;="&amp;DATE(2026,7,1),'DRAFT 2'!$A:$A,"&lt;="&amp;DATE(2026,7,7))</f>
        <v/>
      </c>
      <c r="FV117">
        <f>COUNTIFS('DRAFT 2'!$D:$D,$B117,'DRAFT 2'!$A:$A,"&gt;="&amp;DATE(2026,7,8),'DRAFT 2'!$A:$A,"&lt;="&amp;DATE(2026,7,14))</f>
        <v/>
      </c>
      <c r="FW117">
        <f>COUNTIFS('DRAFT 2'!$D:$D,$B117,'DRAFT 2'!$A:$A,"&gt;="&amp;DATE(2026,7,15),'DRAFT 2'!$A:$A,"&lt;="&amp;DATE(2026,7,21))</f>
        <v/>
      </c>
      <c r="FX117">
        <f>COUNTIFS('DRAFT 2'!$D:$D,$B117,'DRAFT 2'!$A:$A,"&gt;="&amp;DATE(2026,7,22),'DRAFT 2'!$A:$A,"&lt;"&amp;DATE(2026,IF(7=12,7+1,7+1),1))</f>
        <v/>
      </c>
      <c r="FY117">
        <f>SUM(FU117:FX117)</f>
        <v/>
      </c>
      <c r="GI117">
        <f>IFERROR(LOOKUP(2,1/('DRAFT 2'!$D:$D=$B117)*('DRAFT 2'!$A:$A&gt;=DATE(2026,8,1))*('DRAFT 2'!$A:$A&lt;DATE(2026,IF(8=12,8+1,8+1),1)),'DRAFT 2'!$A:$A),"")</f>
        <v/>
      </c>
      <c r="GJ117">
        <f>COUNTIFS('DRAFT 2'!$D:$D,$B117,'DRAFT 2'!$A:$A,"&gt;="&amp;DATE(2026,8,1),'DRAFT 2'!$A:$A,"&lt;="&amp;DATE(2026,8,7))</f>
        <v/>
      </c>
      <c r="GK117">
        <f>COUNTIFS('DRAFT 2'!$D:$D,$B117,'DRAFT 2'!$A:$A,"&gt;="&amp;DATE(2026,8,8),'DRAFT 2'!$A:$A,"&lt;="&amp;DATE(2026,8,14))</f>
        <v/>
      </c>
      <c r="GL117">
        <f>COUNTIFS('DRAFT 2'!$D:$D,$B117,'DRAFT 2'!$A:$A,"&gt;="&amp;DATE(2026,8,15),'DRAFT 2'!$A:$A,"&lt;="&amp;DATE(2026,8,21))</f>
        <v/>
      </c>
      <c r="GM117">
        <f>COUNTIFS('DRAFT 2'!$D:$D,$B117,'DRAFT 2'!$A:$A,"&gt;="&amp;DATE(2026,8,22),'DRAFT 2'!$A:$A,"&lt;"&amp;DATE(2026,IF(8=12,8+1,8+1),1))</f>
        <v/>
      </c>
      <c r="GN117">
        <f>SUM(GJ117:GM117)</f>
        <v/>
      </c>
      <c r="GX117">
        <f>IFERROR(LOOKUP(2,1/('DRAFT 2'!$D:$D=$B117)*('DRAFT 2'!$A:$A&gt;=DATE(2026,9,1))*('DRAFT 2'!$A:$A&lt;DATE(2026,IF(9=12,9+1,9+1),1)),'DRAFT 2'!$A:$A),"")</f>
        <v/>
      </c>
      <c r="GY117">
        <f>COUNTIFS('DRAFT 2'!$D:$D,$B117,'DRAFT 2'!$A:$A,"&gt;="&amp;DATE(2026,9,1),'DRAFT 2'!$A:$A,"&lt;="&amp;DATE(2026,9,7))</f>
        <v/>
      </c>
      <c r="GZ117">
        <f>COUNTIFS('DRAFT 2'!$D:$D,$B117,'DRAFT 2'!$A:$A,"&gt;="&amp;DATE(2026,9,8),'DRAFT 2'!$A:$A,"&lt;="&amp;DATE(2026,9,14))</f>
        <v/>
      </c>
      <c r="HA117">
        <f>COUNTIFS('DRAFT 2'!$D:$D,$B117,'DRAFT 2'!$A:$A,"&gt;="&amp;DATE(2026,9,15),'DRAFT 2'!$A:$A,"&lt;="&amp;DATE(2026,9,21))</f>
        <v/>
      </c>
      <c r="HB117">
        <f>COUNTIFS('DRAFT 2'!$D:$D,$B117,'DRAFT 2'!$A:$A,"&gt;="&amp;DATE(2026,9,22),'DRAFT 2'!$A:$A,"&lt;"&amp;DATE(2026,IF(9=12,9+1,9+1),1))</f>
        <v/>
      </c>
      <c r="HC117">
        <f>SUM(GY117:HB117)</f>
        <v/>
      </c>
      <c r="HN117">
        <f>IFERROR(LOOKUP(2,1/('DRAFT 2'!$D:$D=$B117)*('DRAFT 2'!$A:$A&gt;=DATE(2026,10,1))*('DRAFT 2'!$A:$A&lt;DATE(2026,IF(10=12,10+1,10+1),1)),'DRAFT 2'!$A:$A),"")</f>
        <v/>
      </c>
      <c r="HO117">
        <f>COUNTIFS('DRAFT 2'!$D:$D,$B117,'DRAFT 2'!$A:$A,"&gt;="&amp;DATE(2026,10,1),'DRAFT 2'!$A:$A,"&lt;="&amp;DATE(2026,10,7))</f>
        <v/>
      </c>
      <c r="HP117">
        <f>COUNTIFS('DRAFT 2'!$D:$D,$B117,'DRAFT 2'!$A:$A,"&gt;="&amp;DATE(2026,10,8),'DRAFT 2'!$A:$A,"&lt;="&amp;DATE(2026,10,14))</f>
        <v/>
      </c>
      <c r="HQ117">
        <f>COUNTIFS('DRAFT 2'!$D:$D,$B117,'DRAFT 2'!$A:$A,"&gt;="&amp;DATE(2026,10,15),'DRAFT 2'!$A:$A,"&lt;="&amp;DATE(2026,10,21))</f>
        <v/>
      </c>
      <c r="HR117">
        <f>COUNTIFS('DRAFT 2'!$D:$D,$B117,'DRAFT 2'!$A:$A,"&gt;="&amp;DATE(2026,10,22),'DRAFT 2'!$A:$A,"&lt;"&amp;DATE(2026,IF(10=12,10+1,10+1),1))</f>
        <v/>
      </c>
      <c r="HS117">
        <f>SUM(HO117:HR117)</f>
        <v/>
      </c>
      <c r="IC117">
        <f>IFERROR(LOOKUP(2,1/('DRAFT 2'!$D:$D=$B117)*('DRAFT 2'!$A:$A&gt;=DATE(2026,11,1))*('DRAFT 2'!$A:$A&lt;DATE(2026,IF(11=12,11+1,11+1),1)),'DRAFT 2'!$A:$A),"")</f>
        <v/>
      </c>
      <c r="ID117">
        <f>COUNTIFS('DRAFT 2'!$D:$D,$B117,'DRAFT 2'!$A:$A,"&gt;="&amp;DATE(2026,11,1),'DRAFT 2'!$A:$A,"&lt;="&amp;DATE(2026,11,7))</f>
        <v/>
      </c>
      <c r="IE117">
        <f>COUNTIFS('DRAFT 2'!$D:$D,$B117,'DRAFT 2'!$A:$A,"&gt;="&amp;DATE(2026,11,8),'DRAFT 2'!$A:$A,"&lt;="&amp;DATE(2026,11,14))</f>
        <v/>
      </c>
      <c r="IF117">
        <f>COUNTIFS('DRAFT 2'!$D:$D,$B117,'DRAFT 2'!$A:$A,"&gt;="&amp;DATE(2026,11,15),'DRAFT 2'!$A:$A,"&lt;="&amp;DATE(2026,11,21))</f>
        <v/>
      </c>
      <c r="IG117">
        <f>COUNTIFS('DRAFT 2'!$D:$D,$B117,'DRAFT 2'!$A:$A,"&gt;="&amp;DATE(2026,11,22),'DRAFT 2'!$A:$A,"&lt;"&amp;DATE(2026,IF(11=12,11+1,11+1),1))</f>
        <v/>
      </c>
      <c r="IH117">
        <f>SUM(ID117:IG117)</f>
        <v/>
      </c>
      <c r="IR117">
        <f>IFERROR(LOOKUP(2,1/('DRAFT 2'!$D:$D=$B117)*('DRAFT 2'!$A:$A&gt;=DATE(2026,12,1))*('DRAFT 2'!$A:$A&lt;DATE(2026,IF(12=12,12+1,12+1),1)),'DRAFT 2'!$A:$A),"")</f>
        <v/>
      </c>
      <c r="IS117">
        <f>COUNTIFS('DRAFT 2'!$D:$D,$B117,'DRAFT 2'!$A:$A,"&gt;="&amp;DATE(2026,12,1),'DRAFT 2'!$A:$A,"&lt;="&amp;DATE(2026,12,7))</f>
        <v/>
      </c>
      <c r="IT117">
        <f>COUNTIFS('DRAFT 2'!$D:$D,$B117,'DRAFT 2'!$A:$A,"&gt;="&amp;DATE(2026,12,8),'DRAFT 2'!$A:$A,"&lt;="&amp;DATE(2026,12,14))</f>
        <v/>
      </c>
      <c r="IU117">
        <f>COUNTIFS('DRAFT 2'!$D:$D,$B117,'DRAFT 2'!$A:$A,"&gt;="&amp;DATE(2026,12,15),'DRAFT 2'!$A:$A,"&lt;="&amp;DATE(2026,12,21))</f>
        <v/>
      </c>
      <c r="IV117">
        <f>COUNTIFS('DRAFT 2'!$D:$D,$B117,'DRAFT 2'!$A:$A,"&gt;="&amp;DATE(2026,12,22),'DRAFT 2'!$A:$A,"&lt;"&amp;DATE(2026,IF(12=12,12+1,12+1),1))</f>
        <v/>
      </c>
      <c r="IW117">
        <f>SUM(IS117:IV117)</f>
        <v/>
      </c>
    </row>
    <row r="118">
      <c r="A118">
        <f>IFERROR(INDEX('DRAFT 1'!$A:$A,MATCH($B118,'DRAFT 1'!$B:$B,0)),"")</f>
        <v/>
      </c>
      <c r="C118">
        <f>IFERROR(INDEX('DRAFT 1'!$C:$C,MATCH($B118,'DRAFT 1'!$B:$B,0)),"")</f>
        <v/>
      </c>
      <c r="D118">
        <f>IFERROR(INDEX('DRAFT 1'!$D:$D,MATCH($B118,'DRAFT 1'!$B:$B,0)),"")</f>
        <v/>
      </c>
      <c r="E118">
        <f>IFERROR(INDEX('DRAFT 1'!$E:$E,MATCH($B118,'DRAFT 1'!$B:$B,0)),"")</f>
        <v/>
      </c>
      <c r="F118">
        <f>IFERROR(INDEX('DRAFT 1'!$F:$F,MATCH($B118,'DRAFT 1'!$B:$B,0)),"")</f>
        <v/>
      </c>
      <c r="G118">
        <f>IFERROR(INDEX('DRAFT 1'!$G:$G,MATCH($B118,'DRAFT 1'!$B:$B,0)),"")</f>
        <v/>
      </c>
      <c r="H118">
        <f>IFERROR(INDEX('DRAFT 1'!$H:$H,MATCH($B118,'DRAFT 1'!$B:$B,0)),"")</f>
        <v/>
      </c>
      <c r="I118" t="inlineStr">
        <is>
          <t>DIVINA TERRA</t>
        </is>
      </c>
      <c r="K118">
        <f>IFERROR(INDEX('DRAFT 1'!$AL:$AL,MATCH($B118,'DRAFT 1'!$B:$B,0)),"")</f>
        <v/>
      </c>
      <c r="L118">
        <f>IFERROR(INDEX('DRAFT 1'!$J:$J,MATCH($B118,'DRAFT 1'!$B:$B,0)),"")</f>
        <v/>
      </c>
      <c r="M118">
        <f>IFERROR(INDEX('DRAFT 1'!$K:$K,MATCH($B118,'DRAFT 1'!$B:$B,0)),"")</f>
        <v/>
      </c>
      <c r="N118" t="inlineStr">
        <is>
          <t>EM RISCO</t>
        </is>
      </c>
      <c r="P118">
        <f>IFERROR(INDEX('DRAFT 1'!$L:$L,MATCH($B118,'DRAFT 1'!$B:$B,0)),"")</f>
        <v/>
      </c>
      <c r="Q118">
        <f>IFERROR(INDEX('DRAFT 1'!$M:$M,MATCH($B118,'DRAFT 1'!$B:$B,0)),"")</f>
        <v/>
      </c>
      <c r="R118">
        <f>IFERROR(INDEX('DRAFT 1'!$N:$N,MATCH($B118,'DRAFT 1'!$B:$B,0)),"")</f>
        <v/>
      </c>
      <c r="S118">
        <f>IFERROR(INDEX('DRAFT 1'!$O:$O,MATCH($B118,'DRAFT 1'!$B:$B,0)),"")</f>
        <v/>
      </c>
      <c r="T118">
        <f>IFERROR(INDEX('DRAFT 1'!$P:$P,MATCH($B118,'DRAFT 1'!$B:$B,0)),"")</f>
        <v/>
      </c>
      <c r="U118">
        <f>IFERROR(INDEX('DRAFT 1'!$Q:$Q,MATCH($B118,'DRAFT 1'!$B:$B,0)),"")</f>
        <v/>
      </c>
      <c r="V118">
        <f>IFERROR(INDEX('DRAFT 1'!$R:$R,MATCH($B118,'DRAFT 1'!$B:$B,0)),"")</f>
        <v/>
      </c>
      <c r="W118">
        <f>IFERROR(INDEX('DRAFT 1'!$S:$S,MATCH($B118,'DRAFT 1'!$B:$B,0)),"")</f>
        <v/>
      </c>
      <c r="X118">
        <f>IFERROR(INDEX('DRAFT 1'!$T:$T,MATCH($B118,'DRAFT 1'!$B:$B,0)),"")</f>
        <v/>
      </c>
      <c r="Z118">
        <f>IFERROR(INDEX('DRAFT 1'!$U:$U,MATCH($B118,'DRAFT 1'!$B:$B,0)),"")</f>
        <v/>
      </c>
      <c r="AA118">
        <f>IFERROR(INDEX('DRAFT 1'!$V:$V,MATCH($B118,'DRAFT 1'!$B:$B,0)),"")</f>
        <v/>
      </c>
      <c r="AB118">
        <f>IFERROR(INDEX('DRAFT 1'!$W:$W,MATCH($B118,'DRAFT 1'!$B:$B,0)),"")</f>
        <v/>
      </c>
      <c r="AC118">
        <f>IFERROR(INDEX('DRAFT 1'!$X:$X,MATCH($B118,'DRAFT 1'!$B:$B,0)),"")</f>
        <v/>
      </c>
      <c r="AD118">
        <f>IFERROR(INDEX('DRAFT 1'!$Y:$Y,MATCH($B118,'DRAFT 1'!$B:$B,0)),"")</f>
        <v/>
      </c>
      <c r="AE118">
        <f>IFERROR(INDEX('DRAFT 1'!$Z:$Z,MATCH($B118,'DRAFT 1'!$B:$B,0)),"")</f>
        <v/>
      </c>
      <c r="AF118">
        <f>IFERROR(INDEX('DRAFT 1'!$AA:$AA,MATCH($B118,'DRAFT 1'!$B:$B,0)),"")</f>
        <v/>
      </c>
      <c r="AG118">
        <f>IFERROR(INDEX('DRAFT 1'!$AB:$AB,MATCH($B118,'DRAFT 1'!$B:$B,0)),"")</f>
        <v/>
      </c>
      <c r="AH118">
        <f>IFERROR(INDEX('DRAFT 1'!$AC:$AC,MATCH($B118,'DRAFT 1'!$B:$B,0)),"")</f>
        <v/>
      </c>
      <c r="AI118">
        <f>IFERROR(INDEX('DRAFT 1'!$AD:$AD,MATCH($B118,'DRAFT 1'!$B:$B,0)),"")</f>
        <v/>
      </c>
      <c r="AJ118">
        <f>IFERROR(INDEX('DRAFT 1'!$AE:$AE,MATCH($B118,'DRAFT 1'!$B:$B,0)),"")</f>
        <v/>
      </c>
      <c r="AK118">
        <f>IFERROR(INDEX('DRAFT 1'!$AG:$AG,MATCH($B118,'DRAFT 1'!$B:$B,0)),"")</f>
        <v/>
      </c>
      <c r="AL118">
        <f>IFERROR(INDEX('DRAFT 1'!$AH:$AH,MATCH($B118,'DRAFT 1'!$B:$B,0)),"")</f>
        <v/>
      </c>
      <c r="AM118">
        <f>IFERROR(INDEX('DRAFT 1'!$AI:$AI,MATCH($B118,'DRAFT 1'!$B:$B,0)),"")</f>
        <v/>
      </c>
      <c r="AN118">
        <f>IFERROR(INDEX('DRAFT 1'!$AJ:$AJ,MATCH($B118,'DRAFT 1'!$B:$B,0)),"")</f>
        <v/>
      </c>
      <c r="AO118">
        <f>IFERROR(Y118/AN118,0)</f>
        <v/>
      </c>
      <c r="AP118">
        <f>IFERROR(INDEX('DRAFT 1'!$AK:$AK,MATCH($B118,'DRAFT 1'!$B:$B,0)),"")</f>
        <v/>
      </c>
      <c r="AR118" t="inlineStr">
        <is>
          <t>RECOMPRA</t>
        </is>
      </c>
      <c r="AS118">
        <f>IFERROR(LOOKUP(2,1/('DRAFT 2'!$D:$D=$B118),'DRAFT 2'!$T:$T),"")</f>
        <v/>
      </c>
      <c r="AT118">
        <f>IFERROR(LOOKUP(2,1/('DRAFT 2'!$D:$D=$B118),'DRAFT 2'!$A:$A),"")</f>
        <v/>
      </c>
      <c r="AU118">
        <f>IFERROR(LOOKUP(2,1/('DRAFT 2'!$D:$D=$B118),'DRAFT 2'!$R:$R),"")</f>
        <v/>
      </c>
      <c r="AV118">
        <f>IFERROR(LOOKUP(2,1/('DRAFT 2'!$D:$D=$B118),'DRAFT 2'!$S:$S),"")</f>
        <v/>
      </c>
      <c r="AW118" t="inlineStr">
        <is>
          <t>NOVO</t>
        </is>
      </c>
      <c r="AX118">
        <f>IFERROR(LOOKUP(2,1/('DRAFT 2'!$D:$D=$B118),'DRAFT 2'!$M:$M),"")</f>
        <v/>
      </c>
      <c r="AY118">
        <f>IFERROR(LOOKUP(2,1/('DRAFT 2'!$D:$D=$B118),'DRAFT 2'!$K:$K),"")</f>
        <v/>
      </c>
      <c r="BG118">
        <f>IFERROR(LOOKUP(2,1/('DRAFT 2'!$D:$D=$B118),'DRAFT 2'!$U:$U),"")</f>
        <v/>
      </c>
      <c r="BH118">
        <f>IFERROR(LOOKUP(2,1/('DRAFT 2'!$D:$D=$B118),'DRAFT 2'!$V:$V),"")</f>
        <v/>
      </c>
      <c r="CE118">
        <f>IFERROR(AJ118,0)</f>
        <v/>
      </c>
      <c r="CF118">
        <f>IFERROR(LOOKUP(2,1/('DRAFT 2'!$D:$D=$B118)*('DRAFT 2'!$A:$A&gt;=DATE(2026,1,1))*('DRAFT 2'!$A:$A&lt;DATE(2026,IF(1=12,1+1,1+1),1)),'DRAFT 2'!$A:$A),"")</f>
        <v/>
      </c>
      <c r="CG118">
        <f>COUNTIFS('DRAFT 2'!$D:$D,$B118,'DRAFT 2'!$A:$A,"&gt;="&amp;DATE(2026,1,1),'DRAFT 2'!$A:$A,"&lt;="&amp;DATE(2026,1,7))</f>
        <v/>
      </c>
      <c r="CH118">
        <f>COUNTIFS('DRAFT 2'!$D:$D,$B118,'DRAFT 2'!$A:$A,"&gt;="&amp;DATE(2026,1,8),'DRAFT 2'!$A:$A,"&lt;="&amp;DATE(2026,1,14))</f>
        <v/>
      </c>
      <c r="CI118">
        <f>COUNTIFS('DRAFT 2'!$D:$D,$B118,'DRAFT 2'!$A:$A,"&gt;="&amp;DATE(2026,1,15),'DRAFT 2'!$A:$A,"&lt;="&amp;DATE(2026,1,21))</f>
        <v/>
      </c>
      <c r="CJ118">
        <f>COUNTIFS('DRAFT 2'!$D:$D,$B118,'DRAFT 2'!$A:$A,"&gt;="&amp;DATE(2026,1,22),'DRAFT 2'!$A:$A,"&lt;"&amp;DATE(2026,IF(1=12,1+1,1+1),1))</f>
        <v/>
      </c>
      <c r="CK118">
        <f>SUM(CG118:CJ118)</f>
        <v/>
      </c>
      <c r="CT118" t="n">
        <v>0</v>
      </c>
      <c r="CU118">
        <f>IFERROR(LOOKUP(2,1/('DRAFT 2'!$D:$D=$B118)*('DRAFT 2'!$A:$A&gt;=DATE(2026,2,1))*('DRAFT 2'!$A:$A&lt;DATE(2026,IF(2=12,2+1,2+1),1)),'DRAFT 2'!$A:$A),"")</f>
        <v/>
      </c>
      <c r="CV118">
        <f>COUNTIFS('DRAFT 2'!$D:$D,$B118,'DRAFT 2'!$A:$A,"&gt;="&amp;DATE(2026,2,1),'DRAFT 2'!$A:$A,"&lt;="&amp;DATE(2026,2,7))</f>
        <v/>
      </c>
      <c r="CW118">
        <f>COUNTIFS('DRAFT 2'!$D:$D,$B118,'DRAFT 2'!$A:$A,"&gt;="&amp;DATE(2026,2,8),'DRAFT 2'!$A:$A,"&lt;="&amp;DATE(2026,2,14))</f>
        <v/>
      </c>
      <c r="CX118">
        <f>COUNTIFS('DRAFT 2'!$D:$D,$B118,'DRAFT 2'!$A:$A,"&gt;="&amp;DATE(2026,2,15),'DRAFT 2'!$A:$A,"&lt;="&amp;DATE(2026,2,21))</f>
        <v/>
      </c>
      <c r="CY118">
        <f>COUNTIFS('DRAFT 2'!$D:$D,$B118,'DRAFT 2'!$A:$A,"&gt;="&amp;DATE(2026,2,22),'DRAFT 2'!$A:$A,"&lt;"&amp;DATE(2026,IF(2=12,2+1,2+1),1))</f>
        <v/>
      </c>
      <c r="CZ118">
        <f>SUM(CV118:CY118)</f>
        <v/>
      </c>
      <c r="DJ118">
        <f>IFERROR(LOOKUP(2,1/('DRAFT 2'!$D:$D=$B118)*('DRAFT 2'!$A:$A&gt;=DATE(2026,3,1))*('DRAFT 2'!$A:$A&lt;DATE(2026,IF(3=12,3+1,3+1),1)),'DRAFT 2'!$A:$A),"")</f>
        <v/>
      </c>
      <c r="DK118">
        <f>COUNTIFS('DRAFT 2'!$D:$D,$B118,'DRAFT 2'!$A:$A,"&gt;="&amp;DATE(2026,3,1),'DRAFT 2'!$A:$A,"&lt;="&amp;DATE(2026,3,7))</f>
        <v/>
      </c>
      <c r="DL118">
        <f>COUNTIFS('DRAFT 2'!$D:$D,$B118,'DRAFT 2'!$A:$A,"&gt;="&amp;DATE(2026,3,8),'DRAFT 2'!$A:$A,"&lt;="&amp;DATE(2026,3,14))</f>
        <v/>
      </c>
      <c r="DM118">
        <f>COUNTIFS('DRAFT 2'!$D:$D,$B118,'DRAFT 2'!$A:$A,"&gt;="&amp;DATE(2026,3,15),'DRAFT 2'!$A:$A,"&lt;="&amp;DATE(2026,3,21))</f>
        <v/>
      </c>
      <c r="DN118">
        <f>COUNTIFS('DRAFT 2'!$D:$D,$B118,'DRAFT 2'!$A:$A,"&gt;="&amp;DATE(2026,3,22),'DRAFT 2'!$A:$A,"&lt;"&amp;DATE(2026,IF(3=12,3+1,3+1),1))</f>
        <v/>
      </c>
      <c r="DO118">
        <f>SUM(DK118:DN118)</f>
        <v/>
      </c>
      <c r="DZ118">
        <f>IFERROR(LOOKUP(2,1/('DRAFT 2'!$D:$D=$B118)*('DRAFT 2'!$A:$A&gt;=DATE(2026,4,1))*('DRAFT 2'!$A:$A&lt;DATE(2026,IF(4=12,4+1,4+1),1)),'DRAFT 2'!$A:$A),"")</f>
        <v/>
      </c>
      <c r="EA118">
        <f>COUNTIFS('DRAFT 2'!$D:$D,$B118,'DRAFT 2'!$A:$A,"&gt;="&amp;DATE(2026,4,1),'DRAFT 2'!$A:$A,"&lt;="&amp;DATE(2026,4,7))</f>
        <v/>
      </c>
      <c r="EB118">
        <f>COUNTIFS('DRAFT 2'!$D:$D,$B118,'DRAFT 2'!$A:$A,"&gt;="&amp;DATE(2026,4,8),'DRAFT 2'!$A:$A,"&lt;="&amp;DATE(2026,4,14))</f>
        <v/>
      </c>
      <c r="EC118">
        <f>COUNTIFS('DRAFT 2'!$D:$D,$B118,'DRAFT 2'!$A:$A,"&gt;="&amp;DATE(2026,4,15),'DRAFT 2'!$A:$A,"&lt;="&amp;DATE(2026,4,21))</f>
        <v/>
      </c>
      <c r="ED118">
        <f>COUNTIFS('DRAFT 2'!$D:$D,$B118,'DRAFT 2'!$A:$A,"&gt;="&amp;DATE(2026,4,22),'DRAFT 2'!$A:$A,"&lt;"&amp;DATE(2026,IF(4=12,4+1,4+1),1))</f>
        <v/>
      </c>
      <c r="EE118">
        <f>SUM(EA118:ED118)</f>
        <v/>
      </c>
      <c r="EO118">
        <f>IFERROR(LOOKUP(2,1/('DRAFT 2'!$D:$D=$B118)*('DRAFT 2'!$A:$A&gt;=DATE(2026,5,1))*('DRAFT 2'!$A:$A&lt;DATE(2026,IF(5=12,5+1,5+1),1)),'DRAFT 2'!$A:$A),"")</f>
        <v/>
      </c>
      <c r="EP118">
        <f>COUNTIFS('DRAFT 2'!$D:$D,$B118,'DRAFT 2'!$A:$A,"&gt;="&amp;DATE(2026,5,1),'DRAFT 2'!$A:$A,"&lt;="&amp;DATE(2026,5,7))</f>
        <v/>
      </c>
      <c r="EQ118">
        <f>COUNTIFS('DRAFT 2'!$D:$D,$B118,'DRAFT 2'!$A:$A,"&gt;="&amp;DATE(2026,5,8),'DRAFT 2'!$A:$A,"&lt;="&amp;DATE(2026,5,14))</f>
        <v/>
      </c>
      <c r="ER118">
        <f>COUNTIFS('DRAFT 2'!$D:$D,$B118,'DRAFT 2'!$A:$A,"&gt;="&amp;DATE(2026,5,15),'DRAFT 2'!$A:$A,"&lt;="&amp;DATE(2026,5,21))</f>
        <v/>
      </c>
      <c r="ES118">
        <f>COUNTIFS('DRAFT 2'!$D:$D,$B118,'DRAFT 2'!$A:$A,"&gt;="&amp;DATE(2026,5,22),'DRAFT 2'!$A:$A,"&lt;"&amp;DATE(2026,IF(5=12,5+1,5+1),1))</f>
        <v/>
      </c>
      <c r="ET118">
        <f>SUM(EP118:ES118)</f>
        <v/>
      </c>
      <c r="FD118">
        <f>IFERROR(LOOKUP(2,1/('DRAFT 2'!$D:$D=$B118)*('DRAFT 2'!$A:$A&gt;=DATE(2026,6,1))*('DRAFT 2'!$A:$A&lt;DATE(2026,IF(6=12,6+1,6+1),1)),'DRAFT 2'!$A:$A),"")</f>
        <v/>
      </c>
      <c r="FE118">
        <f>COUNTIFS('DRAFT 2'!$D:$D,$B118,'DRAFT 2'!$A:$A,"&gt;="&amp;DATE(2026,6,1),'DRAFT 2'!$A:$A,"&lt;="&amp;DATE(2026,6,7))</f>
        <v/>
      </c>
      <c r="FF118">
        <f>COUNTIFS('DRAFT 2'!$D:$D,$B118,'DRAFT 2'!$A:$A,"&gt;="&amp;DATE(2026,6,8),'DRAFT 2'!$A:$A,"&lt;="&amp;DATE(2026,6,14))</f>
        <v/>
      </c>
      <c r="FG118">
        <f>COUNTIFS('DRAFT 2'!$D:$D,$B118,'DRAFT 2'!$A:$A,"&gt;="&amp;DATE(2026,6,15),'DRAFT 2'!$A:$A,"&lt;="&amp;DATE(2026,6,21))</f>
        <v/>
      </c>
      <c r="FH118">
        <f>COUNTIFS('DRAFT 2'!$D:$D,$B118,'DRAFT 2'!$A:$A,"&gt;="&amp;DATE(2026,6,22),'DRAFT 2'!$A:$A,"&lt;"&amp;DATE(2026,IF(6=12,6+1,6+1),1))</f>
        <v/>
      </c>
      <c r="FI118">
        <f>SUM(FE118:FH118)</f>
        <v/>
      </c>
      <c r="FT118">
        <f>IFERROR(LOOKUP(2,1/('DRAFT 2'!$D:$D=$B118)*('DRAFT 2'!$A:$A&gt;=DATE(2026,7,1))*('DRAFT 2'!$A:$A&lt;DATE(2026,IF(7=12,7+1,7+1),1)),'DRAFT 2'!$A:$A),"")</f>
        <v/>
      </c>
      <c r="FU118">
        <f>COUNTIFS('DRAFT 2'!$D:$D,$B118,'DRAFT 2'!$A:$A,"&gt;="&amp;DATE(2026,7,1),'DRAFT 2'!$A:$A,"&lt;="&amp;DATE(2026,7,7))</f>
        <v/>
      </c>
      <c r="FV118">
        <f>COUNTIFS('DRAFT 2'!$D:$D,$B118,'DRAFT 2'!$A:$A,"&gt;="&amp;DATE(2026,7,8),'DRAFT 2'!$A:$A,"&lt;="&amp;DATE(2026,7,14))</f>
        <v/>
      </c>
      <c r="FW118">
        <f>COUNTIFS('DRAFT 2'!$D:$D,$B118,'DRAFT 2'!$A:$A,"&gt;="&amp;DATE(2026,7,15),'DRAFT 2'!$A:$A,"&lt;="&amp;DATE(2026,7,21))</f>
        <v/>
      </c>
      <c r="FX118">
        <f>COUNTIFS('DRAFT 2'!$D:$D,$B118,'DRAFT 2'!$A:$A,"&gt;="&amp;DATE(2026,7,22),'DRAFT 2'!$A:$A,"&lt;"&amp;DATE(2026,IF(7=12,7+1,7+1),1))</f>
        <v/>
      </c>
      <c r="FY118">
        <f>SUM(FU118:FX118)</f>
        <v/>
      </c>
      <c r="GI118">
        <f>IFERROR(LOOKUP(2,1/('DRAFT 2'!$D:$D=$B118)*('DRAFT 2'!$A:$A&gt;=DATE(2026,8,1))*('DRAFT 2'!$A:$A&lt;DATE(2026,IF(8=12,8+1,8+1),1)),'DRAFT 2'!$A:$A),"")</f>
        <v/>
      </c>
      <c r="GJ118">
        <f>COUNTIFS('DRAFT 2'!$D:$D,$B118,'DRAFT 2'!$A:$A,"&gt;="&amp;DATE(2026,8,1),'DRAFT 2'!$A:$A,"&lt;="&amp;DATE(2026,8,7))</f>
        <v/>
      </c>
      <c r="GK118">
        <f>COUNTIFS('DRAFT 2'!$D:$D,$B118,'DRAFT 2'!$A:$A,"&gt;="&amp;DATE(2026,8,8),'DRAFT 2'!$A:$A,"&lt;="&amp;DATE(2026,8,14))</f>
        <v/>
      </c>
      <c r="GL118">
        <f>COUNTIFS('DRAFT 2'!$D:$D,$B118,'DRAFT 2'!$A:$A,"&gt;="&amp;DATE(2026,8,15),'DRAFT 2'!$A:$A,"&lt;="&amp;DATE(2026,8,21))</f>
        <v/>
      </c>
      <c r="GM118">
        <f>COUNTIFS('DRAFT 2'!$D:$D,$B118,'DRAFT 2'!$A:$A,"&gt;="&amp;DATE(2026,8,22),'DRAFT 2'!$A:$A,"&lt;"&amp;DATE(2026,IF(8=12,8+1,8+1),1))</f>
        <v/>
      </c>
      <c r="GN118">
        <f>SUM(GJ118:GM118)</f>
        <v/>
      </c>
      <c r="GX118">
        <f>IFERROR(LOOKUP(2,1/('DRAFT 2'!$D:$D=$B118)*('DRAFT 2'!$A:$A&gt;=DATE(2026,9,1))*('DRAFT 2'!$A:$A&lt;DATE(2026,IF(9=12,9+1,9+1),1)),'DRAFT 2'!$A:$A),"")</f>
        <v/>
      </c>
      <c r="GY118">
        <f>COUNTIFS('DRAFT 2'!$D:$D,$B118,'DRAFT 2'!$A:$A,"&gt;="&amp;DATE(2026,9,1),'DRAFT 2'!$A:$A,"&lt;="&amp;DATE(2026,9,7))</f>
        <v/>
      </c>
      <c r="GZ118">
        <f>COUNTIFS('DRAFT 2'!$D:$D,$B118,'DRAFT 2'!$A:$A,"&gt;="&amp;DATE(2026,9,8),'DRAFT 2'!$A:$A,"&lt;="&amp;DATE(2026,9,14))</f>
        <v/>
      </c>
      <c r="HA118">
        <f>COUNTIFS('DRAFT 2'!$D:$D,$B118,'DRAFT 2'!$A:$A,"&gt;="&amp;DATE(2026,9,15),'DRAFT 2'!$A:$A,"&lt;="&amp;DATE(2026,9,21))</f>
        <v/>
      </c>
      <c r="HB118">
        <f>COUNTIFS('DRAFT 2'!$D:$D,$B118,'DRAFT 2'!$A:$A,"&gt;="&amp;DATE(2026,9,22),'DRAFT 2'!$A:$A,"&lt;"&amp;DATE(2026,IF(9=12,9+1,9+1),1))</f>
        <v/>
      </c>
      <c r="HC118">
        <f>SUM(GY118:HB118)</f>
        <v/>
      </c>
      <c r="HN118">
        <f>IFERROR(LOOKUP(2,1/('DRAFT 2'!$D:$D=$B118)*('DRAFT 2'!$A:$A&gt;=DATE(2026,10,1))*('DRAFT 2'!$A:$A&lt;DATE(2026,IF(10=12,10+1,10+1),1)),'DRAFT 2'!$A:$A),"")</f>
        <v/>
      </c>
      <c r="HO118">
        <f>COUNTIFS('DRAFT 2'!$D:$D,$B118,'DRAFT 2'!$A:$A,"&gt;="&amp;DATE(2026,10,1),'DRAFT 2'!$A:$A,"&lt;="&amp;DATE(2026,10,7))</f>
        <v/>
      </c>
      <c r="HP118">
        <f>COUNTIFS('DRAFT 2'!$D:$D,$B118,'DRAFT 2'!$A:$A,"&gt;="&amp;DATE(2026,10,8),'DRAFT 2'!$A:$A,"&lt;="&amp;DATE(2026,10,14))</f>
        <v/>
      </c>
      <c r="HQ118">
        <f>COUNTIFS('DRAFT 2'!$D:$D,$B118,'DRAFT 2'!$A:$A,"&gt;="&amp;DATE(2026,10,15),'DRAFT 2'!$A:$A,"&lt;="&amp;DATE(2026,10,21))</f>
        <v/>
      </c>
      <c r="HR118">
        <f>COUNTIFS('DRAFT 2'!$D:$D,$B118,'DRAFT 2'!$A:$A,"&gt;="&amp;DATE(2026,10,22),'DRAFT 2'!$A:$A,"&lt;"&amp;DATE(2026,IF(10=12,10+1,10+1),1))</f>
        <v/>
      </c>
      <c r="HS118">
        <f>SUM(HO118:HR118)</f>
        <v/>
      </c>
      <c r="IC118">
        <f>IFERROR(LOOKUP(2,1/('DRAFT 2'!$D:$D=$B118)*('DRAFT 2'!$A:$A&gt;=DATE(2026,11,1))*('DRAFT 2'!$A:$A&lt;DATE(2026,IF(11=12,11+1,11+1),1)),'DRAFT 2'!$A:$A),"")</f>
        <v/>
      </c>
      <c r="ID118">
        <f>COUNTIFS('DRAFT 2'!$D:$D,$B118,'DRAFT 2'!$A:$A,"&gt;="&amp;DATE(2026,11,1),'DRAFT 2'!$A:$A,"&lt;="&amp;DATE(2026,11,7))</f>
        <v/>
      </c>
      <c r="IE118">
        <f>COUNTIFS('DRAFT 2'!$D:$D,$B118,'DRAFT 2'!$A:$A,"&gt;="&amp;DATE(2026,11,8),'DRAFT 2'!$A:$A,"&lt;="&amp;DATE(2026,11,14))</f>
        <v/>
      </c>
      <c r="IF118">
        <f>COUNTIFS('DRAFT 2'!$D:$D,$B118,'DRAFT 2'!$A:$A,"&gt;="&amp;DATE(2026,11,15),'DRAFT 2'!$A:$A,"&lt;="&amp;DATE(2026,11,21))</f>
        <v/>
      </c>
      <c r="IG118">
        <f>COUNTIFS('DRAFT 2'!$D:$D,$B118,'DRAFT 2'!$A:$A,"&gt;="&amp;DATE(2026,11,22),'DRAFT 2'!$A:$A,"&lt;"&amp;DATE(2026,IF(11=12,11+1,11+1),1))</f>
        <v/>
      </c>
      <c r="IH118">
        <f>SUM(ID118:IG118)</f>
        <v/>
      </c>
      <c r="IR118">
        <f>IFERROR(LOOKUP(2,1/('DRAFT 2'!$D:$D=$B118)*('DRAFT 2'!$A:$A&gt;=DATE(2026,12,1))*('DRAFT 2'!$A:$A&lt;DATE(2026,IF(12=12,12+1,12+1),1)),'DRAFT 2'!$A:$A),"")</f>
        <v/>
      </c>
      <c r="IS118">
        <f>COUNTIFS('DRAFT 2'!$D:$D,$B118,'DRAFT 2'!$A:$A,"&gt;="&amp;DATE(2026,12,1),'DRAFT 2'!$A:$A,"&lt;="&amp;DATE(2026,12,7))</f>
        <v/>
      </c>
      <c r="IT118">
        <f>COUNTIFS('DRAFT 2'!$D:$D,$B118,'DRAFT 2'!$A:$A,"&gt;="&amp;DATE(2026,12,8),'DRAFT 2'!$A:$A,"&lt;="&amp;DATE(2026,12,14))</f>
        <v/>
      </c>
      <c r="IU118">
        <f>COUNTIFS('DRAFT 2'!$D:$D,$B118,'DRAFT 2'!$A:$A,"&gt;="&amp;DATE(2026,12,15),'DRAFT 2'!$A:$A,"&lt;="&amp;DATE(2026,12,21))</f>
        <v/>
      </c>
      <c r="IV118">
        <f>COUNTIFS('DRAFT 2'!$D:$D,$B118,'DRAFT 2'!$A:$A,"&gt;="&amp;DATE(2026,12,22),'DRAFT 2'!$A:$A,"&lt;"&amp;DATE(2026,IF(12=12,12+1,12+1),1))</f>
        <v/>
      </c>
      <c r="IW118">
        <f>SUM(IS118:IV118)</f>
        <v/>
      </c>
    </row>
    <row r="119">
      <c r="A119">
        <f>IFERROR(INDEX('DRAFT 1'!$A:$A,MATCH($B119,'DRAFT 1'!$B:$B,0)),"")</f>
        <v/>
      </c>
      <c r="C119">
        <f>IFERROR(INDEX('DRAFT 1'!$C:$C,MATCH($B119,'DRAFT 1'!$B:$B,0)),"")</f>
        <v/>
      </c>
      <c r="D119">
        <f>IFERROR(INDEX('DRAFT 1'!$D:$D,MATCH($B119,'DRAFT 1'!$B:$B,0)),"")</f>
        <v/>
      </c>
      <c r="E119">
        <f>IFERROR(INDEX('DRAFT 1'!$E:$E,MATCH($B119,'DRAFT 1'!$B:$B,0)),"")</f>
        <v/>
      </c>
      <c r="F119">
        <f>IFERROR(INDEX('DRAFT 1'!$F:$F,MATCH($B119,'DRAFT 1'!$B:$B,0)),"")</f>
        <v/>
      </c>
      <c r="G119">
        <f>IFERROR(INDEX('DRAFT 1'!$G:$G,MATCH($B119,'DRAFT 1'!$B:$B,0)),"")</f>
        <v/>
      </c>
      <c r="H119">
        <f>IFERROR(INDEX('DRAFT 1'!$H:$H,MATCH($B119,'DRAFT 1'!$B:$B,0)),"")</f>
        <v/>
      </c>
      <c r="I119" t="inlineStr">
        <is>
          <t>BIOMUNDO</t>
        </is>
      </c>
      <c r="K119">
        <f>IFERROR(INDEX('DRAFT 1'!$AL:$AL,MATCH($B119,'DRAFT 1'!$B:$B,0)),"")</f>
        <v/>
      </c>
      <c r="L119">
        <f>IFERROR(INDEX('DRAFT 1'!$J:$J,MATCH($B119,'DRAFT 1'!$B:$B,0)),"")</f>
        <v/>
      </c>
      <c r="M119">
        <f>IFERROR(INDEX('DRAFT 1'!$K:$K,MATCH($B119,'DRAFT 1'!$B:$B,0)),"")</f>
        <v/>
      </c>
      <c r="N119" t="inlineStr">
        <is>
          <t>ATIVO</t>
        </is>
      </c>
      <c r="P119">
        <f>IFERROR(INDEX('DRAFT 1'!$L:$L,MATCH($B119,'DRAFT 1'!$B:$B,0)),"")</f>
        <v/>
      </c>
      <c r="Q119">
        <f>IFERROR(INDEX('DRAFT 1'!$M:$M,MATCH($B119,'DRAFT 1'!$B:$B,0)),"")</f>
        <v/>
      </c>
      <c r="R119">
        <f>IFERROR(INDEX('DRAFT 1'!$N:$N,MATCH($B119,'DRAFT 1'!$B:$B,0)),"")</f>
        <v/>
      </c>
      <c r="S119">
        <f>IFERROR(INDEX('DRAFT 1'!$O:$O,MATCH($B119,'DRAFT 1'!$B:$B,0)),"")</f>
        <v/>
      </c>
      <c r="T119">
        <f>IFERROR(INDEX('DRAFT 1'!$P:$P,MATCH($B119,'DRAFT 1'!$B:$B,0)),"")</f>
        <v/>
      </c>
      <c r="U119">
        <f>IFERROR(INDEX('DRAFT 1'!$Q:$Q,MATCH($B119,'DRAFT 1'!$B:$B,0)),"")</f>
        <v/>
      </c>
      <c r="V119">
        <f>IFERROR(INDEX('DRAFT 1'!$R:$R,MATCH($B119,'DRAFT 1'!$B:$B,0)),"")</f>
        <v/>
      </c>
      <c r="W119">
        <f>IFERROR(INDEX('DRAFT 1'!$S:$S,MATCH($B119,'DRAFT 1'!$B:$B,0)),"")</f>
        <v/>
      </c>
      <c r="X119">
        <f>IFERROR(INDEX('DRAFT 1'!$T:$T,MATCH($B119,'DRAFT 1'!$B:$B,0)),"")</f>
        <v/>
      </c>
      <c r="Z119">
        <f>IFERROR(INDEX('DRAFT 1'!$U:$U,MATCH($B119,'DRAFT 1'!$B:$B,0)),"")</f>
        <v/>
      </c>
      <c r="AA119">
        <f>IFERROR(INDEX('DRAFT 1'!$V:$V,MATCH($B119,'DRAFT 1'!$B:$B,0)),"")</f>
        <v/>
      </c>
      <c r="AB119">
        <f>IFERROR(INDEX('DRAFT 1'!$W:$W,MATCH($B119,'DRAFT 1'!$B:$B,0)),"")</f>
        <v/>
      </c>
      <c r="AC119">
        <f>IFERROR(INDEX('DRAFT 1'!$X:$X,MATCH($B119,'DRAFT 1'!$B:$B,0)),"")</f>
        <v/>
      </c>
      <c r="AD119">
        <f>IFERROR(INDEX('DRAFT 1'!$Y:$Y,MATCH($B119,'DRAFT 1'!$B:$B,0)),"")</f>
        <v/>
      </c>
      <c r="AE119">
        <f>IFERROR(INDEX('DRAFT 1'!$Z:$Z,MATCH($B119,'DRAFT 1'!$B:$B,0)),"")</f>
        <v/>
      </c>
      <c r="AF119">
        <f>IFERROR(INDEX('DRAFT 1'!$AA:$AA,MATCH($B119,'DRAFT 1'!$B:$B,0)),"")</f>
        <v/>
      </c>
      <c r="AG119">
        <f>IFERROR(INDEX('DRAFT 1'!$AB:$AB,MATCH($B119,'DRAFT 1'!$B:$B,0)),"")</f>
        <v/>
      </c>
      <c r="AH119">
        <f>IFERROR(INDEX('DRAFT 1'!$AC:$AC,MATCH($B119,'DRAFT 1'!$B:$B,0)),"")</f>
        <v/>
      </c>
      <c r="AI119">
        <f>IFERROR(INDEX('DRAFT 1'!$AD:$AD,MATCH($B119,'DRAFT 1'!$B:$B,0)),"")</f>
        <v/>
      </c>
      <c r="AJ119">
        <f>IFERROR(INDEX('DRAFT 1'!$AE:$AE,MATCH($B119,'DRAFT 1'!$B:$B,0)),"")</f>
        <v/>
      </c>
      <c r="AK119">
        <f>IFERROR(INDEX('DRAFT 1'!$AG:$AG,MATCH($B119,'DRAFT 1'!$B:$B,0)),"")</f>
        <v/>
      </c>
      <c r="AL119">
        <f>IFERROR(INDEX('DRAFT 1'!$AH:$AH,MATCH($B119,'DRAFT 1'!$B:$B,0)),"")</f>
        <v/>
      </c>
      <c r="AM119">
        <f>IFERROR(INDEX('DRAFT 1'!$AI:$AI,MATCH($B119,'DRAFT 1'!$B:$B,0)),"")</f>
        <v/>
      </c>
      <c r="AN119">
        <f>IFERROR(INDEX('DRAFT 1'!$AJ:$AJ,MATCH($B119,'DRAFT 1'!$B:$B,0)),"")</f>
        <v/>
      </c>
      <c r="AO119">
        <f>IFERROR(Y119/AN119,0)</f>
        <v/>
      </c>
      <c r="AP119">
        <f>IFERROR(INDEX('DRAFT 1'!$AK:$AK,MATCH($B119,'DRAFT 1'!$B:$B,0)),"")</f>
        <v/>
      </c>
      <c r="AR119" t="inlineStr">
        <is>
          <t>PÓS-VENDA</t>
        </is>
      </c>
      <c r="AS119">
        <f>IFERROR(LOOKUP(2,1/('DRAFT 2'!$D:$D=$B119),'DRAFT 2'!$T:$T),"")</f>
        <v/>
      </c>
      <c r="AT119">
        <f>IFERROR(LOOKUP(2,1/('DRAFT 2'!$D:$D=$B119),'DRAFT 2'!$A:$A),"")</f>
        <v/>
      </c>
      <c r="AU119">
        <f>IFERROR(LOOKUP(2,1/('DRAFT 2'!$D:$D=$B119),'DRAFT 2'!$R:$R),"")</f>
        <v/>
      </c>
      <c r="AV119">
        <f>IFERROR(LOOKUP(2,1/('DRAFT 2'!$D:$D=$B119),'DRAFT 2'!$S:$S),"")</f>
        <v/>
      </c>
      <c r="AW119" t="inlineStr">
        <is>
          <t>FIDELIZADO</t>
        </is>
      </c>
      <c r="AX119">
        <f>IFERROR(LOOKUP(2,1/('DRAFT 2'!$D:$D=$B119),'DRAFT 2'!$M:$M),"")</f>
        <v/>
      </c>
      <c r="AY119">
        <f>IFERROR(LOOKUP(2,1/('DRAFT 2'!$D:$D=$B119),'DRAFT 2'!$K:$K),"")</f>
        <v/>
      </c>
      <c r="BG119">
        <f>IFERROR(LOOKUP(2,1/('DRAFT 2'!$D:$D=$B119),'DRAFT 2'!$U:$U),"")</f>
        <v/>
      </c>
      <c r="BH119">
        <f>IFERROR(LOOKUP(2,1/('DRAFT 2'!$D:$D=$B119),'DRAFT 2'!$V:$V),"")</f>
        <v/>
      </c>
      <c r="CE119">
        <f>IFERROR(AJ119,0)</f>
        <v/>
      </c>
      <c r="CF119">
        <f>IFERROR(LOOKUP(2,1/('DRAFT 2'!$D:$D=$B119)*('DRAFT 2'!$A:$A&gt;=DATE(2026,1,1))*('DRAFT 2'!$A:$A&lt;DATE(2026,IF(1=12,1+1,1+1),1)),'DRAFT 2'!$A:$A),"")</f>
        <v/>
      </c>
      <c r="CG119">
        <f>COUNTIFS('DRAFT 2'!$D:$D,$B119,'DRAFT 2'!$A:$A,"&gt;="&amp;DATE(2026,1,1),'DRAFT 2'!$A:$A,"&lt;="&amp;DATE(2026,1,7))</f>
        <v/>
      </c>
      <c r="CH119">
        <f>COUNTIFS('DRAFT 2'!$D:$D,$B119,'DRAFT 2'!$A:$A,"&gt;="&amp;DATE(2026,1,8),'DRAFT 2'!$A:$A,"&lt;="&amp;DATE(2026,1,14))</f>
        <v/>
      </c>
      <c r="CI119">
        <f>COUNTIFS('DRAFT 2'!$D:$D,$B119,'DRAFT 2'!$A:$A,"&gt;="&amp;DATE(2026,1,15),'DRAFT 2'!$A:$A,"&lt;="&amp;DATE(2026,1,21))</f>
        <v/>
      </c>
      <c r="CJ119">
        <f>COUNTIFS('DRAFT 2'!$D:$D,$B119,'DRAFT 2'!$A:$A,"&gt;="&amp;DATE(2026,1,22),'DRAFT 2'!$A:$A,"&lt;"&amp;DATE(2026,IF(1=12,1+1,1+1),1))</f>
        <v/>
      </c>
      <c r="CK119">
        <f>SUM(CG119:CJ119)</f>
        <v/>
      </c>
      <c r="CT119" t="n">
        <v>0</v>
      </c>
      <c r="CU119">
        <f>IFERROR(LOOKUP(2,1/('DRAFT 2'!$D:$D=$B119)*('DRAFT 2'!$A:$A&gt;=DATE(2026,2,1))*('DRAFT 2'!$A:$A&lt;DATE(2026,IF(2=12,2+1,2+1),1)),'DRAFT 2'!$A:$A),"")</f>
        <v/>
      </c>
      <c r="CV119">
        <f>COUNTIFS('DRAFT 2'!$D:$D,$B119,'DRAFT 2'!$A:$A,"&gt;="&amp;DATE(2026,2,1),'DRAFT 2'!$A:$A,"&lt;="&amp;DATE(2026,2,7))</f>
        <v/>
      </c>
      <c r="CW119">
        <f>COUNTIFS('DRAFT 2'!$D:$D,$B119,'DRAFT 2'!$A:$A,"&gt;="&amp;DATE(2026,2,8),'DRAFT 2'!$A:$A,"&lt;="&amp;DATE(2026,2,14))</f>
        <v/>
      </c>
      <c r="CX119">
        <f>COUNTIFS('DRAFT 2'!$D:$D,$B119,'DRAFT 2'!$A:$A,"&gt;="&amp;DATE(2026,2,15),'DRAFT 2'!$A:$A,"&lt;="&amp;DATE(2026,2,21))</f>
        <v/>
      </c>
      <c r="CY119">
        <f>COUNTIFS('DRAFT 2'!$D:$D,$B119,'DRAFT 2'!$A:$A,"&gt;="&amp;DATE(2026,2,22),'DRAFT 2'!$A:$A,"&lt;"&amp;DATE(2026,IF(2=12,2+1,2+1),1))</f>
        <v/>
      </c>
      <c r="CZ119">
        <f>SUM(CV119:CY119)</f>
        <v/>
      </c>
      <c r="DJ119">
        <f>IFERROR(LOOKUP(2,1/('DRAFT 2'!$D:$D=$B119)*('DRAFT 2'!$A:$A&gt;=DATE(2026,3,1))*('DRAFT 2'!$A:$A&lt;DATE(2026,IF(3=12,3+1,3+1),1)),'DRAFT 2'!$A:$A),"")</f>
        <v/>
      </c>
      <c r="DK119">
        <f>COUNTIFS('DRAFT 2'!$D:$D,$B119,'DRAFT 2'!$A:$A,"&gt;="&amp;DATE(2026,3,1),'DRAFT 2'!$A:$A,"&lt;="&amp;DATE(2026,3,7))</f>
        <v/>
      </c>
      <c r="DL119">
        <f>COUNTIFS('DRAFT 2'!$D:$D,$B119,'DRAFT 2'!$A:$A,"&gt;="&amp;DATE(2026,3,8),'DRAFT 2'!$A:$A,"&lt;="&amp;DATE(2026,3,14))</f>
        <v/>
      </c>
      <c r="DM119">
        <f>COUNTIFS('DRAFT 2'!$D:$D,$B119,'DRAFT 2'!$A:$A,"&gt;="&amp;DATE(2026,3,15),'DRAFT 2'!$A:$A,"&lt;="&amp;DATE(2026,3,21))</f>
        <v/>
      </c>
      <c r="DN119">
        <f>COUNTIFS('DRAFT 2'!$D:$D,$B119,'DRAFT 2'!$A:$A,"&gt;="&amp;DATE(2026,3,22),'DRAFT 2'!$A:$A,"&lt;"&amp;DATE(2026,IF(3=12,3+1,3+1),1))</f>
        <v/>
      </c>
      <c r="DO119">
        <f>SUM(DK119:DN119)</f>
        <v/>
      </c>
      <c r="DZ119">
        <f>IFERROR(LOOKUP(2,1/('DRAFT 2'!$D:$D=$B119)*('DRAFT 2'!$A:$A&gt;=DATE(2026,4,1))*('DRAFT 2'!$A:$A&lt;DATE(2026,IF(4=12,4+1,4+1),1)),'DRAFT 2'!$A:$A),"")</f>
        <v/>
      </c>
      <c r="EA119">
        <f>COUNTIFS('DRAFT 2'!$D:$D,$B119,'DRAFT 2'!$A:$A,"&gt;="&amp;DATE(2026,4,1),'DRAFT 2'!$A:$A,"&lt;="&amp;DATE(2026,4,7))</f>
        <v/>
      </c>
      <c r="EB119">
        <f>COUNTIFS('DRAFT 2'!$D:$D,$B119,'DRAFT 2'!$A:$A,"&gt;="&amp;DATE(2026,4,8),'DRAFT 2'!$A:$A,"&lt;="&amp;DATE(2026,4,14))</f>
        <v/>
      </c>
      <c r="EC119">
        <f>COUNTIFS('DRAFT 2'!$D:$D,$B119,'DRAFT 2'!$A:$A,"&gt;="&amp;DATE(2026,4,15),'DRAFT 2'!$A:$A,"&lt;="&amp;DATE(2026,4,21))</f>
        <v/>
      </c>
      <c r="ED119">
        <f>COUNTIFS('DRAFT 2'!$D:$D,$B119,'DRAFT 2'!$A:$A,"&gt;="&amp;DATE(2026,4,22),'DRAFT 2'!$A:$A,"&lt;"&amp;DATE(2026,IF(4=12,4+1,4+1),1))</f>
        <v/>
      </c>
      <c r="EE119">
        <f>SUM(EA119:ED119)</f>
        <v/>
      </c>
      <c r="EO119">
        <f>IFERROR(LOOKUP(2,1/('DRAFT 2'!$D:$D=$B119)*('DRAFT 2'!$A:$A&gt;=DATE(2026,5,1))*('DRAFT 2'!$A:$A&lt;DATE(2026,IF(5=12,5+1,5+1),1)),'DRAFT 2'!$A:$A),"")</f>
        <v/>
      </c>
      <c r="EP119">
        <f>COUNTIFS('DRAFT 2'!$D:$D,$B119,'DRAFT 2'!$A:$A,"&gt;="&amp;DATE(2026,5,1),'DRAFT 2'!$A:$A,"&lt;="&amp;DATE(2026,5,7))</f>
        <v/>
      </c>
      <c r="EQ119">
        <f>COUNTIFS('DRAFT 2'!$D:$D,$B119,'DRAFT 2'!$A:$A,"&gt;="&amp;DATE(2026,5,8),'DRAFT 2'!$A:$A,"&lt;="&amp;DATE(2026,5,14))</f>
        <v/>
      </c>
      <c r="ER119">
        <f>COUNTIFS('DRAFT 2'!$D:$D,$B119,'DRAFT 2'!$A:$A,"&gt;="&amp;DATE(2026,5,15),'DRAFT 2'!$A:$A,"&lt;="&amp;DATE(2026,5,21))</f>
        <v/>
      </c>
      <c r="ES119">
        <f>COUNTIFS('DRAFT 2'!$D:$D,$B119,'DRAFT 2'!$A:$A,"&gt;="&amp;DATE(2026,5,22),'DRAFT 2'!$A:$A,"&lt;"&amp;DATE(2026,IF(5=12,5+1,5+1),1))</f>
        <v/>
      </c>
      <c r="ET119">
        <f>SUM(EP119:ES119)</f>
        <v/>
      </c>
      <c r="FD119">
        <f>IFERROR(LOOKUP(2,1/('DRAFT 2'!$D:$D=$B119)*('DRAFT 2'!$A:$A&gt;=DATE(2026,6,1))*('DRAFT 2'!$A:$A&lt;DATE(2026,IF(6=12,6+1,6+1),1)),'DRAFT 2'!$A:$A),"")</f>
        <v/>
      </c>
      <c r="FE119">
        <f>COUNTIFS('DRAFT 2'!$D:$D,$B119,'DRAFT 2'!$A:$A,"&gt;="&amp;DATE(2026,6,1),'DRAFT 2'!$A:$A,"&lt;="&amp;DATE(2026,6,7))</f>
        <v/>
      </c>
      <c r="FF119">
        <f>COUNTIFS('DRAFT 2'!$D:$D,$B119,'DRAFT 2'!$A:$A,"&gt;="&amp;DATE(2026,6,8),'DRAFT 2'!$A:$A,"&lt;="&amp;DATE(2026,6,14))</f>
        <v/>
      </c>
      <c r="FG119">
        <f>COUNTIFS('DRAFT 2'!$D:$D,$B119,'DRAFT 2'!$A:$A,"&gt;="&amp;DATE(2026,6,15),'DRAFT 2'!$A:$A,"&lt;="&amp;DATE(2026,6,21))</f>
        <v/>
      </c>
      <c r="FH119">
        <f>COUNTIFS('DRAFT 2'!$D:$D,$B119,'DRAFT 2'!$A:$A,"&gt;="&amp;DATE(2026,6,22),'DRAFT 2'!$A:$A,"&lt;"&amp;DATE(2026,IF(6=12,6+1,6+1),1))</f>
        <v/>
      </c>
      <c r="FI119">
        <f>SUM(FE119:FH119)</f>
        <v/>
      </c>
      <c r="FT119">
        <f>IFERROR(LOOKUP(2,1/('DRAFT 2'!$D:$D=$B119)*('DRAFT 2'!$A:$A&gt;=DATE(2026,7,1))*('DRAFT 2'!$A:$A&lt;DATE(2026,IF(7=12,7+1,7+1),1)),'DRAFT 2'!$A:$A),"")</f>
        <v/>
      </c>
      <c r="FU119">
        <f>COUNTIFS('DRAFT 2'!$D:$D,$B119,'DRAFT 2'!$A:$A,"&gt;="&amp;DATE(2026,7,1),'DRAFT 2'!$A:$A,"&lt;="&amp;DATE(2026,7,7))</f>
        <v/>
      </c>
      <c r="FV119">
        <f>COUNTIFS('DRAFT 2'!$D:$D,$B119,'DRAFT 2'!$A:$A,"&gt;="&amp;DATE(2026,7,8),'DRAFT 2'!$A:$A,"&lt;="&amp;DATE(2026,7,14))</f>
        <v/>
      </c>
      <c r="FW119">
        <f>COUNTIFS('DRAFT 2'!$D:$D,$B119,'DRAFT 2'!$A:$A,"&gt;="&amp;DATE(2026,7,15),'DRAFT 2'!$A:$A,"&lt;="&amp;DATE(2026,7,21))</f>
        <v/>
      </c>
      <c r="FX119">
        <f>COUNTIFS('DRAFT 2'!$D:$D,$B119,'DRAFT 2'!$A:$A,"&gt;="&amp;DATE(2026,7,22),'DRAFT 2'!$A:$A,"&lt;"&amp;DATE(2026,IF(7=12,7+1,7+1),1))</f>
        <v/>
      </c>
      <c r="FY119">
        <f>SUM(FU119:FX119)</f>
        <v/>
      </c>
      <c r="GI119">
        <f>IFERROR(LOOKUP(2,1/('DRAFT 2'!$D:$D=$B119)*('DRAFT 2'!$A:$A&gt;=DATE(2026,8,1))*('DRAFT 2'!$A:$A&lt;DATE(2026,IF(8=12,8+1,8+1),1)),'DRAFT 2'!$A:$A),"")</f>
        <v/>
      </c>
      <c r="GJ119">
        <f>COUNTIFS('DRAFT 2'!$D:$D,$B119,'DRAFT 2'!$A:$A,"&gt;="&amp;DATE(2026,8,1),'DRAFT 2'!$A:$A,"&lt;="&amp;DATE(2026,8,7))</f>
        <v/>
      </c>
      <c r="GK119">
        <f>COUNTIFS('DRAFT 2'!$D:$D,$B119,'DRAFT 2'!$A:$A,"&gt;="&amp;DATE(2026,8,8),'DRAFT 2'!$A:$A,"&lt;="&amp;DATE(2026,8,14))</f>
        <v/>
      </c>
      <c r="GL119">
        <f>COUNTIFS('DRAFT 2'!$D:$D,$B119,'DRAFT 2'!$A:$A,"&gt;="&amp;DATE(2026,8,15),'DRAFT 2'!$A:$A,"&lt;="&amp;DATE(2026,8,21))</f>
        <v/>
      </c>
      <c r="GM119">
        <f>COUNTIFS('DRAFT 2'!$D:$D,$B119,'DRAFT 2'!$A:$A,"&gt;="&amp;DATE(2026,8,22),'DRAFT 2'!$A:$A,"&lt;"&amp;DATE(2026,IF(8=12,8+1,8+1),1))</f>
        <v/>
      </c>
      <c r="GN119">
        <f>SUM(GJ119:GM119)</f>
        <v/>
      </c>
      <c r="GX119">
        <f>IFERROR(LOOKUP(2,1/('DRAFT 2'!$D:$D=$B119)*('DRAFT 2'!$A:$A&gt;=DATE(2026,9,1))*('DRAFT 2'!$A:$A&lt;DATE(2026,IF(9=12,9+1,9+1),1)),'DRAFT 2'!$A:$A),"")</f>
        <v/>
      </c>
      <c r="GY119">
        <f>COUNTIFS('DRAFT 2'!$D:$D,$B119,'DRAFT 2'!$A:$A,"&gt;="&amp;DATE(2026,9,1),'DRAFT 2'!$A:$A,"&lt;="&amp;DATE(2026,9,7))</f>
        <v/>
      </c>
      <c r="GZ119">
        <f>COUNTIFS('DRAFT 2'!$D:$D,$B119,'DRAFT 2'!$A:$A,"&gt;="&amp;DATE(2026,9,8),'DRAFT 2'!$A:$A,"&lt;="&amp;DATE(2026,9,14))</f>
        <v/>
      </c>
      <c r="HA119">
        <f>COUNTIFS('DRAFT 2'!$D:$D,$B119,'DRAFT 2'!$A:$A,"&gt;="&amp;DATE(2026,9,15),'DRAFT 2'!$A:$A,"&lt;="&amp;DATE(2026,9,21))</f>
        <v/>
      </c>
      <c r="HB119">
        <f>COUNTIFS('DRAFT 2'!$D:$D,$B119,'DRAFT 2'!$A:$A,"&gt;="&amp;DATE(2026,9,22),'DRAFT 2'!$A:$A,"&lt;"&amp;DATE(2026,IF(9=12,9+1,9+1),1))</f>
        <v/>
      </c>
      <c r="HC119">
        <f>SUM(GY119:HB119)</f>
        <v/>
      </c>
      <c r="HN119">
        <f>IFERROR(LOOKUP(2,1/('DRAFT 2'!$D:$D=$B119)*('DRAFT 2'!$A:$A&gt;=DATE(2026,10,1))*('DRAFT 2'!$A:$A&lt;DATE(2026,IF(10=12,10+1,10+1),1)),'DRAFT 2'!$A:$A),"")</f>
        <v/>
      </c>
      <c r="HO119">
        <f>COUNTIFS('DRAFT 2'!$D:$D,$B119,'DRAFT 2'!$A:$A,"&gt;="&amp;DATE(2026,10,1),'DRAFT 2'!$A:$A,"&lt;="&amp;DATE(2026,10,7))</f>
        <v/>
      </c>
      <c r="HP119">
        <f>COUNTIFS('DRAFT 2'!$D:$D,$B119,'DRAFT 2'!$A:$A,"&gt;="&amp;DATE(2026,10,8),'DRAFT 2'!$A:$A,"&lt;="&amp;DATE(2026,10,14))</f>
        <v/>
      </c>
      <c r="HQ119">
        <f>COUNTIFS('DRAFT 2'!$D:$D,$B119,'DRAFT 2'!$A:$A,"&gt;="&amp;DATE(2026,10,15),'DRAFT 2'!$A:$A,"&lt;="&amp;DATE(2026,10,21))</f>
        <v/>
      </c>
      <c r="HR119">
        <f>COUNTIFS('DRAFT 2'!$D:$D,$B119,'DRAFT 2'!$A:$A,"&gt;="&amp;DATE(2026,10,22),'DRAFT 2'!$A:$A,"&lt;"&amp;DATE(2026,IF(10=12,10+1,10+1),1))</f>
        <v/>
      </c>
      <c r="HS119">
        <f>SUM(HO119:HR119)</f>
        <v/>
      </c>
      <c r="IC119">
        <f>IFERROR(LOOKUP(2,1/('DRAFT 2'!$D:$D=$B119)*('DRAFT 2'!$A:$A&gt;=DATE(2026,11,1))*('DRAFT 2'!$A:$A&lt;DATE(2026,IF(11=12,11+1,11+1),1)),'DRAFT 2'!$A:$A),"")</f>
        <v/>
      </c>
      <c r="ID119">
        <f>COUNTIFS('DRAFT 2'!$D:$D,$B119,'DRAFT 2'!$A:$A,"&gt;="&amp;DATE(2026,11,1),'DRAFT 2'!$A:$A,"&lt;="&amp;DATE(2026,11,7))</f>
        <v/>
      </c>
      <c r="IE119">
        <f>COUNTIFS('DRAFT 2'!$D:$D,$B119,'DRAFT 2'!$A:$A,"&gt;="&amp;DATE(2026,11,8),'DRAFT 2'!$A:$A,"&lt;="&amp;DATE(2026,11,14))</f>
        <v/>
      </c>
      <c r="IF119">
        <f>COUNTIFS('DRAFT 2'!$D:$D,$B119,'DRAFT 2'!$A:$A,"&gt;="&amp;DATE(2026,11,15),'DRAFT 2'!$A:$A,"&lt;="&amp;DATE(2026,11,21))</f>
        <v/>
      </c>
      <c r="IG119">
        <f>COUNTIFS('DRAFT 2'!$D:$D,$B119,'DRAFT 2'!$A:$A,"&gt;="&amp;DATE(2026,11,22),'DRAFT 2'!$A:$A,"&lt;"&amp;DATE(2026,IF(11=12,11+1,11+1),1))</f>
        <v/>
      </c>
      <c r="IH119">
        <f>SUM(ID119:IG119)</f>
        <v/>
      </c>
      <c r="IR119">
        <f>IFERROR(LOOKUP(2,1/('DRAFT 2'!$D:$D=$B119)*('DRAFT 2'!$A:$A&gt;=DATE(2026,12,1))*('DRAFT 2'!$A:$A&lt;DATE(2026,IF(12=12,12+1,12+1),1)),'DRAFT 2'!$A:$A),"")</f>
        <v/>
      </c>
      <c r="IS119">
        <f>COUNTIFS('DRAFT 2'!$D:$D,$B119,'DRAFT 2'!$A:$A,"&gt;="&amp;DATE(2026,12,1),'DRAFT 2'!$A:$A,"&lt;="&amp;DATE(2026,12,7))</f>
        <v/>
      </c>
      <c r="IT119">
        <f>COUNTIFS('DRAFT 2'!$D:$D,$B119,'DRAFT 2'!$A:$A,"&gt;="&amp;DATE(2026,12,8),'DRAFT 2'!$A:$A,"&lt;="&amp;DATE(2026,12,14))</f>
        <v/>
      </c>
      <c r="IU119">
        <f>COUNTIFS('DRAFT 2'!$D:$D,$B119,'DRAFT 2'!$A:$A,"&gt;="&amp;DATE(2026,12,15),'DRAFT 2'!$A:$A,"&lt;="&amp;DATE(2026,12,21))</f>
        <v/>
      </c>
      <c r="IV119">
        <f>COUNTIFS('DRAFT 2'!$D:$D,$B119,'DRAFT 2'!$A:$A,"&gt;="&amp;DATE(2026,12,22),'DRAFT 2'!$A:$A,"&lt;"&amp;DATE(2026,IF(12=12,12+1,12+1),1))</f>
        <v/>
      </c>
      <c r="IW119">
        <f>SUM(IS119:IV119)</f>
        <v/>
      </c>
    </row>
    <row r="120">
      <c r="A120">
        <f>IFERROR(INDEX('DRAFT 1'!$A:$A,MATCH($B120,'DRAFT 1'!$B:$B,0)),"")</f>
        <v/>
      </c>
      <c r="C120">
        <f>IFERROR(INDEX('DRAFT 1'!$C:$C,MATCH($B120,'DRAFT 1'!$B:$B,0)),"")</f>
        <v/>
      </c>
      <c r="D120">
        <f>IFERROR(INDEX('DRAFT 1'!$D:$D,MATCH($B120,'DRAFT 1'!$B:$B,0)),"")</f>
        <v/>
      </c>
      <c r="E120">
        <f>IFERROR(INDEX('DRAFT 1'!$E:$E,MATCH($B120,'DRAFT 1'!$B:$B,0)),"")</f>
        <v/>
      </c>
      <c r="F120">
        <f>IFERROR(INDEX('DRAFT 1'!$F:$F,MATCH($B120,'DRAFT 1'!$B:$B,0)),"")</f>
        <v/>
      </c>
      <c r="G120">
        <f>IFERROR(INDEX('DRAFT 1'!$G:$G,MATCH($B120,'DRAFT 1'!$B:$B,0)),"")</f>
        <v/>
      </c>
      <c r="H120">
        <f>IFERROR(INDEX('DRAFT 1'!$H:$H,MATCH($B120,'DRAFT 1'!$B:$B,0)),"")</f>
        <v/>
      </c>
      <c r="I120" t="inlineStr">
        <is>
          <t>VIDA LEVE</t>
        </is>
      </c>
      <c r="K120">
        <f>IFERROR(INDEX('DRAFT 1'!$AL:$AL,MATCH($B120,'DRAFT 1'!$B:$B,0)),"")</f>
        <v/>
      </c>
      <c r="L120">
        <f>IFERROR(INDEX('DRAFT 1'!$J:$J,MATCH($B120,'DRAFT 1'!$B:$B,0)),"")</f>
        <v/>
      </c>
      <c r="M120">
        <f>IFERROR(INDEX('DRAFT 1'!$K:$K,MATCH($B120,'DRAFT 1'!$B:$B,0)),"")</f>
        <v/>
      </c>
      <c r="N120" t="inlineStr">
        <is>
          <t>INAT.REC</t>
        </is>
      </c>
      <c r="P120">
        <f>IFERROR(INDEX('DRAFT 1'!$L:$L,MATCH($B120,'DRAFT 1'!$B:$B,0)),"")</f>
        <v/>
      </c>
      <c r="Q120">
        <f>IFERROR(INDEX('DRAFT 1'!$M:$M,MATCH($B120,'DRAFT 1'!$B:$B,0)),"")</f>
        <v/>
      </c>
      <c r="R120">
        <f>IFERROR(INDEX('DRAFT 1'!$N:$N,MATCH($B120,'DRAFT 1'!$B:$B,0)),"")</f>
        <v/>
      </c>
      <c r="S120">
        <f>IFERROR(INDEX('DRAFT 1'!$O:$O,MATCH($B120,'DRAFT 1'!$B:$B,0)),"")</f>
        <v/>
      </c>
      <c r="T120">
        <f>IFERROR(INDEX('DRAFT 1'!$P:$P,MATCH($B120,'DRAFT 1'!$B:$B,0)),"")</f>
        <v/>
      </c>
      <c r="U120">
        <f>IFERROR(INDEX('DRAFT 1'!$Q:$Q,MATCH($B120,'DRAFT 1'!$B:$B,0)),"")</f>
        <v/>
      </c>
      <c r="V120">
        <f>IFERROR(INDEX('DRAFT 1'!$R:$R,MATCH($B120,'DRAFT 1'!$B:$B,0)),"")</f>
        <v/>
      </c>
      <c r="W120">
        <f>IFERROR(INDEX('DRAFT 1'!$S:$S,MATCH($B120,'DRAFT 1'!$B:$B,0)),"")</f>
        <v/>
      </c>
      <c r="X120">
        <f>IFERROR(INDEX('DRAFT 1'!$T:$T,MATCH($B120,'DRAFT 1'!$B:$B,0)),"")</f>
        <v/>
      </c>
      <c r="Z120">
        <f>IFERROR(INDEX('DRAFT 1'!$U:$U,MATCH($B120,'DRAFT 1'!$B:$B,0)),"")</f>
        <v/>
      </c>
      <c r="AA120">
        <f>IFERROR(INDEX('DRAFT 1'!$V:$V,MATCH($B120,'DRAFT 1'!$B:$B,0)),"")</f>
        <v/>
      </c>
      <c r="AB120">
        <f>IFERROR(INDEX('DRAFT 1'!$W:$W,MATCH($B120,'DRAFT 1'!$B:$B,0)),"")</f>
        <v/>
      </c>
      <c r="AC120">
        <f>IFERROR(INDEX('DRAFT 1'!$X:$X,MATCH($B120,'DRAFT 1'!$B:$B,0)),"")</f>
        <v/>
      </c>
      <c r="AD120">
        <f>IFERROR(INDEX('DRAFT 1'!$Y:$Y,MATCH($B120,'DRAFT 1'!$B:$B,0)),"")</f>
        <v/>
      </c>
      <c r="AE120">
        <f>IFERROR(INDEX('DRAFT 1'!$Z:$Z,MATCH($B120,'DRAFT 1'!$B:$B,0)),"")</f>
        <v/>
      </c>
      <c r="AF120">
        <f>IFERROR(INDEX('DRAFT 1'!$AA:$AA,MATCH($B120,'DRAFT 1'!$B:$B,0)),"")</f>
        <v/>
      </c>
      <c r="AG120">
        <f>IFERROR(INDEX('DRAFT 1'!$AB:$AB,MATCH($B120,'DRAFT 1'!$B:$B,0)),"")</f>
        <v/>
      </c>
      <c r="AH120">
        <f>IFERROR(INDEX('DRAFT 1'!$AC:$AC,MATCH($B120,'DRAFT 1'!$B:$B,0)),"")</f>
        <v/>
      </c>
      <c r="AI120">
        <f>IFERROR(INDEX('DRAFT 1'!$AD:$AD,MATCH($B120,'DRAFT 1'!$B:$B,0)),"")</f>
        <v/>
      </c>
      <c r="AJ120">
        <f>IFERROR(INDEX('DRAFT 1'!$AE:$AE,MATCH($B120,'DRAFT 1'!$B:$B,0)),"")</f>
        <v/>
      </c>
      <c r="AK120">
        <f>IFERROR(INDEX('DRAFT 1'!$AG:$AG,MATCH($B120,'DRAFT 1'!$B:$B,0)),"")</f>
        <v/>
      </c>
      <c r="AL120">
        <f>IFERROR(INDEX('DRAFT 1'!$AH:$AH,MATCH($B120,'DRAFT 1'!$B:$B,0)),"")</f>
        <v/>
      </c>
      <c r="AM120">
        <f>IFERROR(INDEX('DRAFT 1'!$AI:$AI,MATCH($B120,'DRAFT 1'!$B:$B,0)),"")</f>
        <v/>
      </c>
      <c r="AN120">
        <f>IFERROR(INDEX('DRAFT 1'!$AJ:$AJ,MATCH($B120,'DRAFT 1'!$B:$B,0)),"")</f>
        <v/>
      </c>
      <c r="AO120">
        <f>IFERROR(Y120/AN120,0)</f>
        <v/>
      </c>
      <c r="AP120">
        <f>IFERROR(INDEX('DRAFT 1'!$AK:$AK,MATCH($B120,'DRAFT 1'!$B:$B,0)),"")</f>
        <v/>
      </c>
      <c r="AR120" t="inlineStr">
        <is>
          <t>SALVAMENTO</t>
        </is>
      </c>
      <c r="AS120">
        <f>IFERROR(LOOKUP(2,1/('DRAFT 2'!$D:$D=$B120),'DRAFT 2'!$T:$T),"")</f>
        <v/>
      </c>
      <c r="AT120">
        <f>IFERROR(LOOKUP(2,1/('DRAFT 2'!$D:$D=$B120),'DRAFT 2'!$A:$A),"")</f>
        <v/>
      </c>
      <c r="AU120">
        <f>IFERROR(LOOKUP(2,1/('DRAFT 2'!$D:$D=$B120),'DRAFT 2'!$R:$R),"")</f>
        <v/>
      </c>
      <c r="AV120">
        <f>IFERROR(LOOKUP(2,1/('DRAFT 2'!$D:$D=$B120),'DRAFT 2'!$S:$S),"")</f>
        <v/>
      </c>
      <c r="AW120" t="inlineStr">
        <is>
          <t>EM DESENVOLVIMENTO</t>
        </is>
      </c>
      <c r="AX120">
        <f>IFERROR(LOOKUP(2,1/('DRAFT 2'!$D:$D=$B120),'DRAFT 2'!$M:$M),"")</f>
        <v/>
      </c>
      <c r="AY120">
        <f>IFERROR(LOOKUP(2,1/('DRAFT 2'!$D:$D=$B120),'DRAFT 2'!$K:$K),"")</f>
        <v/>
      </c>
      <c r="BG120">
        <f>IFERROR(LOOKUP(2,1/('DRAFT 2'!$D:$D=$B120),'DRAFT 2'!$U:$U),"")</f>
        <v/>
      </c>
      <c r="BH120">
        <f>IFERROR(LOOKUP(2,1/('DRAFT 2'!$D:$D=$B120),'DRAFT 2'!$V:$V),"")</f>
        <v/>
      </c>
      <c r="CE120">
        <f>IFERROR(AJ120,0)</f>
        <v/>
      </c>
      <c r="CF120">
        <f>IFERROR(LOOKUP(2,1/('DRAFT 2'!$D:$D=$B120)*('DRAFT 2'!$A:$A&gt;=DATE(2026,1,1))*('DRAFT 2'!$A:$A&lt;DATE(2026,IF(1=12,1+1,1+1),1)),'DRAFT 2'!$A:$A),"")</f>
        <v/>
      </c>
      <c r="CG120">
        <f>COUNTIFS('DRAFT 2'!$D:$D,$B120,'DRAFT 2'!$A:$A,"&gt;="&amp;DATE(2026,1,1),'DRAFT 2'!$A:$A,"&lt;="&amp;DATE(2026,1,7))</f>
        <v/>
      </c>
      <c r="CH120">
        <f>COUNTIFS('DRAFT 2'!$D:$D,$B120,'DRAFT 2'!$A:$A,"&gt;="&amp;DATE(2026,1,8),'DRAFT 2'!$A:$A,"&lt;="&amp;DATE(2026,1,14))</f>
        <v/>
      </c>
      <c r="CI120">
        <f>COUNTIFS('DRAFT 2'!$D:$D,$B120,'DRAFT 2'!$A:$A,"&gt;="&amp;DATE(2026,1,15),'DRAFT 2'!$A:$A,"&lt;="&amp;DATE(2026,1,21))</f>
        <v/>
      </c>
      <c r="CJ120">
        <f>COUNTIFS('DRAFT 2'!$D:$D,$B120,'DRAFT 2'!$A:$A,"&gt;="&amp;DATE(2026,1,22),'DRAFT 2'!$A:$A,"&lt;"&amp;DATE(2026,IF(1=12,1+1,1+1),1))</f>
        <v/>
      </c>
      <c r="CK120">
        <f>SUM(CG120:CJ120)</f>
        <v/>
      </c>
      <c r="CT120" t="n">
        <v>0</v>
      </c>
      <c r="CU120">
        <f>IFERROR(LOOKUP(2,1/('DRAFT 2'!$D:$D=$B120)*('DRAFT 2'!$A:$A&gt;=DATE(2026,2,1))*('DRAFT 2'!$A:$A&lt;DATE(2026,IF(2=12,2+1,2+1),1)),'DRAFT 2'!$A:$A),"")</f>
        <v/>
      </c>
      <c r="CV120">
        <f>COUNTIFS('DRAFT 2'!$D:$D,$B120,'DRAFT 2'!$A:$A,"&gt;="&amp;DATE(2026,2,1),'DRAFT 2'!$A:$A,"&lt;="&amp;DATE(2026,2,7))</f>
        <v/>
      </c>
      <c r="CW120">
        <f>COUNTIFS('DRAFT 2'!$D:$D,$B120,'DRAFT 2'!$A:$A,"&gt;="&amp;DATE(2026,2,8),'DRAFT 2'!$A:$A,"&lt;="&amp;DATE(2026,2,14))</f>
        <v/>
      </c>
      <c r="CX120">
        <f>COUNTIFS('DRAFT 2'!$D:$D,$B120,'DRAFT 2'!$A:$A,"&gt;="&amp;DATE(2026,2,15),'DRAFT 2'!$A:$A,"&lt;="&amp;DATE(2026,2,21))</f>
        <v/>
      </c>
      <c r="CY120">
        <f>COUNTIFS('DRAFT 2'!$D:$D,$B120,'DRAFT 2'!$A:$A,"&gt;="&amp;DATE(2026,2,22),'DRAFT 2'!$A:$A,"&lt;"&amp;DATE(2026,IF(2=12,2+1,2+1),1))</f>
        <v/>
      </c>
      <c r="CZ120">
        <f>SUM(CV120:CY120)</f>
        <v/>
      </c>
      <c r="DJ120">
        <f>IFERROR(LOOKUP(2,1/('DRAFT 2'!$D:$D=$B120)*('DRAFT 2'!$A:$A&gt;=DATE(2026,3,1))*('DRAFT 2'!$A:$A&lt;DATE(2026,IF(3=12,3+1,3+1),1)),'DRAFT 2'!$A:$A),"")</f>
        <v/>
      </c>
      <c r="DK120">
        <f>COUNTIFS('DRAFT 2'!$D:$D,$B120,'DRAFT 2'!$A:$A,"&gt;="&amp;DATE(2026,3,1),'DRAFT 2'!$A:$A,"&lt;="&amp;DATE(2026,3,7))</f>
        <v/>
      </c>
      <c r="DL120">
        <f>COUNTIFS('DRAFT 2'!$D:$D,$B120,'DRAFT 2'!$A:$A,"&gt;="&amp;DATE(2026,3,8),'DRAFT 2'!$A:$A,"&lt;="&amp;DATE(2026,3,14))</f>
        <v/>
      </c>
      <c r="DM120">
        <f>COUNTIFS('DRAFT 2'!$D:$D,$B120,'DRAFT 2'!$A:$A,"&gt;="&amp;DATE(2026,3,15),'DRAFT 2'!$A:$A,"&lt;="&amp;DATE(2026,3,21))</f>
        <v/>
      </c>
      <c r="DN120">
        <f>COUNTIFS('DRAFT 2'!$D:$D,$B120,'DRAFT 2'!$A:$A,"&gt;="&amp;DATE(2026,3,22),'DRAFT 2'!$A:$A,"&lt;"&amp;DATE(2026,IF(3=12,3+1,3+1),1))</f>
        <v/>
      </c>
      <c r="DO120">
        <f>SUM(DK120:DN120)</f>
        <v/>
      </c>
      <c r="DZ120">
        <f>IFERROR(LOOKUP(2,1/('DRAFT 2'!$D:$D=$B120)*('DRAFT 2'!$A:$A&gt;=DATE(2026,4,1))*('DRAFT 2'!$A:$A&lt;DATE(2026,IF(4=12,4+1,4+1),1)),'DRAFT 2'!$A:$A),"")</f>
        <v/>
      </c>
      <c r="EA120">
        <f>COUNTIFS('DRAFT 2'!$D:$D,$B120,'DRAFT 2'!$A:$A,"&gt;="&amp;DATE(2026,4,1),'DRAFT 2'!$A:$A,"&lt;="&amp;DATE(2026,4,7))</f>
        <v/>
      </c>
      <c r="EB120">
        <f>COUNTIFS('DRAFT 2'!$D:$D,$B120,'DRAFT 2'!$A:$A,"&gt;="&amp;DATE(2026,4,8),'DRAFT 2'!$A:$A,"&lt;="&amp;DATE(2026,4,14))</f>
        <v/>
      </c>
      <c r="EC120">
        <f>COUNTIFS('DRAFT 2'!$D:$D,$B120,'DRAFT 2'!$A:$A,"&gt;="&amp;DATE(2026,4,15),'DRAFT 2'!$A:$A,"&lt;="&amp;DATE(2026,4,21))</f>
        <v/>
      </c>
      <c r="ED120">
        <f>COUNTIFS('DRAFT 2'!$D:$D,$B120,'DRAFT 2'!$A:$A,"&gt;="&amp;DATE(2026,4,22),'DRAFT 2'!$A:$A,"&lt;"&amp;DATE(2026,IF(4=12,4+1,4+1),1))</f>
        <v/>
      </c>
      <c r="EE120">
        <f>SUM(EA120:ED120)</f>
        <v/>
      </c>
      <c r="EO120">
        <f>IFERROR(LOOKUP(2,1/('DRAFT 2'!$D:$D=$B120)*('DRAFT 2'!$A:$A&gt;=DATE(2026,5,1))*('DRAFT 2'!$A:$A&lt;DATE(2026,IF(5=12,5+1,5+1),1)),'DRAFT 2'!$A:$A),"")</f>
        <v/>
      </c>
      <c r="EP120">
        <f>COUNTIFS('DRAFT 2'!$D:$D,$B120,'DRAFT 2'!$A:$A,"&gt;="&amp;DATE(2026,5,1),'DRAFT 2'!$A:$A,"&lt;="&amp;DATE(2026,5,7))</f>
        <v/>
      </c>
      <c r="EQ120">
        <f>COUNTIFS('DRAFT 2'!$D:$D,$B120,'DRAFT 2'!$A:$A,"&gt;="&amp;DATE(2026,5,8),'DRAFT 2'!$A:$A,"&lt;="&amp;DATE(2026,5,14))</f>
        <v/>
      </c>
      <c r="ER120">
        <f>COUNTIFS('DRAFT 2'!$D:$D,$B120,'DRAFT 2'!$A:$A,"&gt;="&amp;DATE(2026,5,15),'DRAFT 2'!$A:$A,"&lt;="&amp;DATE(2026,5,21))</f>
        <v/>
      </c>
      <c r="ES120">
        <f>COUNTIFS('DRAFT 2'!$D:$D,$B120,'DRAFT 2'!$A:$A,"&gt;="&amp;DATE(2026,5,22),'DRAFT 2'!$A:$A,"&lt;"&amp;DATE(2026,IF(5=12,5+1,5+1),1))</f>
        <v/>
      </c>
      <c r="ET120">
        <f>SUM(EP120:ES120)</f>
        <v/>
      </c>
      <c r="FD120">
        <f>IFERROR(LOOKUP(2,1/('DRAFT 2'!$D:$D=$B120)*('DRAFT 2'!$A:$A&gt;=DATE(2026,6,1))*('DRAFT 2'!$A:$A&lt;DATE(2026,IF(6=12,6+1,6+1),1)),'DRAFT 2'!$A:$A),"")</f>
        <v/>
      </c>
      <c r="FE120">
        <f>COUNTIFS('DRAFT 2'!$D:$D,$B120,'DRAFT 2'!$A:$A,"&gt;="&amp;DATE(2026,6,1),'DRAFT 2'!$A:$A,"&lt;="&amp;DATE(2026,6,7))</f>
        <v/>
      </c>
      <c r="FF120">
        <f>COUNTIFS('DRAFT 2'!$D:$D,$B120,'DRAFT 2'!$A:$A,"&gt;="&amp;DATE(2026,6,8),'DRAFT 2'!$A:$A,"&lt;="&amp;DATE(2026,6,14))</f>
        <v/>
      </c>
      <c r="FG120">
        <f>COUNTIFS('DRAFT 2'!$D:$D,$B120,'DRAFT 2'!$A:$A,"&gt;="&amp;DATE(2026,6,15),'DRAFT 2'!$A:$A,"&lt;="&amp;DATE(2026,6,21))</f>
        <v/>
      </c>
      <c r="FH120">
        <f>COUNTIFS('DRAFT 2'!$D:$D,$B120,'DRAFT 2'!$A:$A,"&gt;="&amp;DATE(2026,6,22),'DRAFT 2'!$A:$A,"&lt;"&amp;DATE(2026,IF(6=12,6+1,6+1),1))</f>
        <v/>
      </c>
      <c r="FI120">
        <f>SUM(FE120:FH120)</f>
        <v/>
      </c>
      <c r="FT120">
        <f>IFERROR(LOOKUP(2,1/('DRAFT 2'!$D:$D=$B120)*('DRAFT 2'!$A:$A&gt;=DATE(2026,7,1))*('DRAFT 2'!$A:$A&lt;DATE(2026,IF(7=12,7+1,7+1),1)),'DRAFT 2'!$A:$A),"")</f>
        <v/>
      </c>
      <c r="FU120">
        <f>COUNTIFS('DRAFT 2'!$D:$D,$B120,'DRAFT 2'!$A:$A,"&gt;="&amp;DATE(2026,7,1),'DRAFT 2'!$A:$A,"&lt;="&amp;DATE(2026,7,7))</f>
        <v/>
      </c>
      <c r="FV120">
        <f>COUNTIFS('DRAFT 2'!$D:$D,$B120,'DRAFT 2'!$A:$A,"&gt;="&amp;DATE(2026,7,8),'DRAFT 2'!$A:$A,"&lt;="&amp;DATE(2026,7,14))</f>
        <v/>
      </c>
      <c r="FW120">
        <f>COUNTIFS('DRAFT 2'!$D:$D,$B120,'DRAFT 2'!$A:$A,"&gt;="&amp;DATE(2026,7,15),'DRAFT 2'!$A:$A,"&lt;="&amp;DATE(2026,7,21))</f>
        <v/>
      </c>
      <c r="FX120">
        <f>COUNTIFS('DRAFT 2'!$D:$D,$B120,'DRAFT 2'!$A:$A,"&gt;="&amp;DATE(2026,7,22),'DRAFT 2'!$A:$A,"&lt;"&amp;DATE(2026,IF(7=12,7+1,7+1),1))</f>
        <v/>
      </c>
      <c r="FY120">
        <f>SUM(FU120:FX120)</f>
        <v/>
      </c>
      <c r="GI120">
        <f>IFERROR(LOOKUP(2,1/('DRAFT 2'!$D:$D=$B120)*('DRAFT 2'!$A:$A&gt;=DATE(2026,8,1))*('DRAFT 2'!$A:$A&lt;DATE(2026,IF(8=12,8+1,8+1),1)),'DRAFT 2'!$A:$A),"")</f>
        <v/>
      </c>
      <c r="GJ120">
        <f>COUNTIFS('DRAFT 2'!$D:$D,$B120,'DRAFT 2'!$A:$A,"&gt;="&amp;DATE(2026,8,1),'DRAFT 2'!$A:$A,"&lt;="&amp;DATE(2026,8,7))</f>
        <v/>
      </c>
      <c r="GK120">
        <f>COUNTIFS('DRAFT 2'!$D:$D,$B120,'DRAFT 2'!$A:$A,"&gt;="&amp;DATE(2026,8,8),'DRAFT 2'!$A:$A,"&lt;="&amp;DATE(2026,8,14))</f>
        <v/>
      </c>
      <c r="GL120">
        <f>COUNTIFS('DRAFT 2'!$D:$D,$B120,'DRAFT 2'!$A:$A,"&gt;="&amp;DATE(2026,8,15),'DRAFT 2'!$A:$A,"&lt;="&amp;DATE(2026,8,21))</f>
        <v/>
      </c>
      <c r="GM120">
        <f>COUNTIFS('DRAFT 2'!$D:$D,$B120,'DRAFT 2'!$A:$A,"&gt;="&amp;DATE(2026,8,22),'DRAFT 2'!$A:$A,"&lt;"&amp;DATE(2026,IF(8=12,8+1,8+1),1))</f>
        <v/>
      </c>
      <c r="GN120">
        <f>SUM(GJ120:GM120)</f>
        <v/>
      </c>
      <c r="GX120">
        <f>IFERROR(LOOKUP(2,1/('DRAFT 2'!$D:$D=$B120)*('DRAFT 2'!$A:$A&gt;=DATE(2026,9,1))*('DRAFT 2'!$A:$A&lt;DATE(2026,IF(9=12,9+1,9+1),1)),'DRAFT 2'!$A:$A),"")</f>
        <v/>
      </c>
      <c r="GY120">
        <f>COUNTIFS('DRAFT 2'!$D:$D,$B120,'DRAFT 2'!$A:$A,"&gt;="&amp;DATE(2026,9,1),'DRAFT 2'!$A:$A,"&lt;="&amp;DATE(2026,9,7))</f>
        <v/>
      </c>
      <c r="GZ120">
        <f>COUNTIFS('DRAFT 2'!$D:$D,$B120,'DRAFT 2'!$A:$A,"&gt;="&amp;DATE(2026,9,8),'DRAFT 2'!$A:$A,"&lt;="&amp;DATE(2026,9,14))</f>
        <v/>
      </c>
      <c r="HA120">
        <f>COUNTIFS('DRAFT 2'!$D:$D,$B120,'DRAFT 2'!$A:$A,"&gt;="&amp;DATE(2026,9,15),'DRAFT 2'!$A:$A,"&lt;="&amp;DATE(2026,9,21))</f>
        <v/>
      </c>
      <c r="HB120">
        <f>COUNTIFS('DRAFT 2'!$D:$D,$B120,'DRAFT 2'!$A:$A,"&gt;="&amp;DATE(2026,9,22),'DRAFT 2'!$A:$A,"&lt;"&amp;DATE(2026,IF(9=12,9+1,9+1),1))</f>
        <v/>
      </c>
      <c r="HC120">
        <f>SUM(GY120:HB120)</f>
        <v/>
      </c>
      <c r="HN120">
        <f>IFERROR(LOOKUP(2,1/('DRAFT 2'!$D:$D=$B120)*('DRAFT 2'!$A:$A&gt;=DATE(2026,10,1))*('DRAFT 2'!$A:$A&lt;DATE(2026,IF(10=12,10+1,10+1),1)),'DRAFT 2'!$A:$A),"")</f>
        <v/>
      </c>
      <c r="HO120">
        <f>COUNTIFS('DRAFT 2'!$D:$D,$B120,'DRAFT 2'!$A:$A,"&gt;="&amp;DATE(2026,10,1),'DRAFT 2'!$A:$A,"&lt;="&amp;DATE(2026,10,7))</f>
        <v/>
      </c>
      <c r="HP120">
        <f>COUNTIFS('DRAFT 2'!$D:$D,$B120,'DRAFT 2'!$A:$A,"&gt;="&amp;DATE(2026,10,8),'DRAFT 2'!$A:$A,"&lt;="&amp;DATE(2026,10,14))</f>
        <v/>
      </c>
      <c r="HQ120">
        <f>COUNTIFS('DRAFT 2'!$D:$D,$B120,'DRAFT 2'!$A:$A,"&gt;="&amp;DATE(2026,10,15),'DRAFT 2'!$A:$A,"&lt;="&amp;DATE(2026,10,21))</f>
        <v/>
      </c>
      <c r="HR120">
        <f>COUNTIFS('DRAFT 2'!$D:$D,$B120,'DRAFT 2'!$A:$A,"&gt;="&amp;DATE(2026,10,22),'DRAFT 2'!$A:$A,"&lt;"&amp;DATE(2026,IF(10=12,10+1,10+1),1))</f>
        <v/>
      </c>
      <c r="HS120">
        <f>SUM(HO120:HR120)</f>
        <v/>
      </c>
      <c r="IC120">
        <f>IFERROR(LOOKUP(2,1/('DRAFT 2'!$D:$D=$B120)*('DRAFT 2'!$A:$A&gt;=DATE(2026,11,1))*('DRAFT 2'!$A:$A&lt;DATE(2026,IF(11=12,11+1,11+1),1)),'DRAFT 2'!$A:$A),"")</f>
        <v/>
      </c>
      <c r="ID120">
        <f>COUNTIFS('DRAFT 2'!$D:$D,$B120,'DRAFT 2'!$A:$A,"&gt;="&amp;DATE(2026,11,1),'DRAFT 2'!$A:$A,"&lt;="&amp;DATE(2026,11,7))</f>
        <v/>
      </c>
      <c r="IE120">
        <f>COUNTIFS('DRAFT 2'!$D:$D,$B120,'DRAFT 2'!$A:$A,"&gt;="&amp;DATE(2026,11,8),'DRAFT 2'!$A:$A,"&lt;="&amp;DATE(2026,11,14))</f>
        <v/>
      </c>
      <c r="IF120">
        <f>COUNTIFS('DRAFT 2'!$D:$D,$B120,'DRAFT 2'!$A:$A,"&gt;="&amp;DATE(2026,11,15),'DRAFT 2'!$A:$A,"&lt;="&amp;DATE(2026,11,21))</f>
        <v/>
      </c>
      <c r="IG120">
        <f>COUNTIFS('DRAFT 2'!$D:$D,$B120,'DRAFT 2'!$A:$A,"&gt;="&amp;DATE(2026,11,22),'DRAFT 2'!$A:$A,"&lt;"&amp;DATE(2026,IF(11=12,11+1,11+1),1))</f>
        <v/>
      </c>
      <c r="IH120">
        <f>SUM(ID120:IG120)</f>
        <v/>
      </c>
      <c r="IR120">
        <f>IFERROR(LOOKUP(2,1/('DRAFT 2'!$D:$D=$B120)*('DRAFT 2'!$A:$A&gt;=DATE(2026,12,1))*('DRAFT 2'!$A:$A&lt;DATE(2026,IF(12=12,12+1,12+1),1)),'DRAFT 2'!$A:$A),"")</f>
        <v/>
      </c>
      <c r="IS120">
        <f>COUNTIFS('DRAFT 2'!$D:$D,$B120,'DRAFT 2'!$A:$A,"&gt;="&amp;DATE(2026,12,1),'DRAFT 2'!$A:$A,"&lt;="&amp;DATE(2026,12,7))</f>
        <v/>
      </c>
      <c r="IT120">
        <f>COUNTIFS('DRAFT 2'!$D:$D,$B120,'DRAFT 2'!$A:$A,"&gt;="&amp;DATE(2026,12,8),'DRAFT 2'!$A:$A,"&lt;="&amp;DATE(2026,12,14))</f>
        <v/>
      </c>
      <c r="IU120">
        <f>COUNTIFS('DRAFT 2'!$D:$D,$B120,'DRAFT 2'!$A:$A,"&gt;="&amp;DATE(2026,12,15),'DRAFT 2'!$A:$A,"&lt;="&amp;DATE(2026,12,21))</f>
        <v/>
      </c>
      <c r="IV120">
        <f>COUNTIFS('DRAFT 2'!$D:$D,$B120,'DRAFT 2'!$A:$A,"&gt;="&amp;DATE(2026,12,22),'DRAFT 2'!$A:$A,"&lt;"&amp;DATE(2026,IF(12=12,12+1,12+1),1))</f>
        <v/>
      </c>
      <c r="IW120">
        <f>SUM(IS120:IV120)</f>
        <v/>
      </c>
    </row>
    <row r="121">
      <c r="A121">
        <f>IFERROR(INDEX('DRAFT 1'!$A:$A,MATCH($B121,'DRAFT 1'!$B:$B,0)),"")</f>
        <v/>
      </c>
      <c r="C121">
        <f>IFERROR(INDEX('DRAFT 1'!$C:$C,MATCH($B121,'DRAFT 1'!$B:$B,0)),"")</f>
        <v/>
      </c>
      <c r="D121">
        <f>IFERROR(INDEX('DRAFT 1'!$D:$D,MATCH($B121,'DRAFT 1'!$B:$B,0)),"")</f>
        <v/>
      </c>
      <c r="E121">
        <f>IFERROR(INDEX('DRAFT 1'!$E:$E,MATCH($B121,'DRAFT 1'!$B:$B,0)),"")</f>
        <v/>
      </c>
      <c r="F121">
        <f>IFERROR(INDEX('DRAFT 1'!$F:$F,MATCH($B121,'DRAFT 1'!$B:$B,0)),"")</f>
        <v/>
      </c>
      <c r="G121">
        <f>IFERROR(INDEX('DRAFT 1'!$G:$G,MATCH($B121,'DRAFT 1'!$B:$B,0)),"")</f>
        <v/>
      </c>
      <c r="H121">
        <f>IFERROR(INDEX('DRAFT 1'!$H:$H,MATCH($B121,'DRAFT 1'!$B:$B,0)),"")</f>
        <v/>
      </c>
      <c r="I121" t="inlineStr">
        <is>
          <t>VIDA LEVE</t>
        </is>
      </c>
      <c r="K121">
        <f>IFERROR(INDEX('DRAFT 1'!$AL:$AL,MATCH($B121,'DRAFT 1'!$B:$B,0)),"")</f>
        <v/>
      </c>
      <c r="L121">
        <f>IFERROR(INDEX('DRAFT 1'!$J:$J,MATCH($B121,'DRAFT 1'!$B:$B,0)),"")</f>
        <v/>
      </c>
      <c r="M121">
        <f>IFERROR(INDEX('DRAFT 1'!$K:$K,MATCH($B121,'DRAFT 1'!$B:$B,0)),"")</f>
        <v/>
      </c>
      <c r="N121" t="inlineStr">
        <is>
          <t>INAT.REC</t>
        </is>
      </c>
      <c r="P121">
        <f>IFERROR(INDEX('DRAFT 1'!$L:$L,MATCH($B121,'DRAFT 1'!$B:$B,0)),"")</f>
        <v/>
      </c>
      <c r="Q121">
        <f>IFERROR(INDEX('DRAFT 1'!$M:$M,MATCH($B121,'DRAFT 1'!$B:$B,0)),"")</f>
        <v/>
      </c>
      <c r="R121">
        <f>IFERROR(INDEX('DRAFT 1'!$N:$N,MATCH($B121,'DRAFT 1'!$B:$B,0)),"")</f>
        <v/>
      </c>
      <c r="S121">
        <f>IFERROR(INDEX('DRAFT 1'!$O:$O,MATCH($B121,'DRAFT 1'!$B:$B,0)),"")</f>
        <v/>
      </c>
      <c r="T121">
        <f>IFERROR(INDEX('DRAFT 1'!$P:$P,MATCH($B121,'DRAFT 1'!$B:$B,0)),"")</f>
        <v/>
      </c>
      <c r="U121">
        <f>IFERROR(INDEX('DRAFT 1'!$Q:$Q,MATCH($B121,'DRAFT 1'!$B:$B,0)),"")</f>
        <v/>
      </c>
      <c r="V121">
        <f>IFERROR(INDEX('DRAFT 1'!$R:$R,MATCH($B121,'DRAFT 1'!$B:$B,0)),"")</f>
        <v/>
      </c>
      <c r="W121">
        <f>IFERROR(INDEX('DRAFT 1'!$S:$S,MATCH($B121,'DRAFT 1'!$B:$B,0)),"")</f>
        <v/>
      </c>
      <c r="X121">
        <f>IFERROR(INDEX('DRAFT 1'!$T:$T,MATCH($B121,'DRAFT 1'!$B:$B,0)),"")</f>
        <v/>
      </c>
      <c r="Z121">
        <f>IFERROR(INDEX('DRAFT 1'!$U:$U,MATCH($B121,'DRAFT 1'!$B:$B,0)),"")</f>
        <v/>
      </c>
      <c r="AA121">
        <f>IFERROR(INDEX('DRAFT 1'!$V:$V,MATCH($B121,'DRAFT 1'!$B:$B,0)),"")</f>
        <v/>
      </c>
      <c r="AB121">
        <f>IFERROR(INDEX('DRAFT 1'!$W:$W,MATCH($B121,'DRAFT 1'!$B:$B,0)),"")</f>
        <v/>
      </c>
      <c r="AC121">
        <f>IFERROR(INDEX('DRAFT 1'!$X:$X,MATCH($B121,'DRAFT 1'!$B:$B,0)),"")</f>
        <v/>
      </c>
      <c r="AD121">
        <f>IFERROR(INDEX('DRAFT 1'!$Y:$Y,MATCH($B121,'DRAFT 1'!$B:$B,0)),"")</f>
        <v/>
      </c>
      <c r="AE121">
        <f>IFERROR(INDEX('DRAFT 1'!$Z:$Z,MATCH($B121,'DRAFT 1'!$B:$B,0)),"")</f>
        <v/>
      </c>
      <c r="AF121">
        <f>IFERROR(INDEX('DRAFT 1'!$AA:$AA,MATCH($B121,'DRAFT 1'!$B:$B,0)),"")</f>
        <v/>
      </c>
      <c r="AG121">
        <f>IFERROR(INDEX('DRAFT 1'!$AB:$AB,MATCH($B121,'DRAFT 1'!$B:$B,0)),"")</f>
        <v/>
      </c>
      <c r="AH121">
        <f>IFERROR(INDEX('DRAFT 1'!$AC:$AC,MATCH($B121,'DRAFT 1'!$B:$B,0)),"")</f>
        <v/>
      </c>
      <c r="AI121">
        <f>IFERROR(INDEX('DRAFT 1'!$AD:$AD,MATCH($B121,'DRAFT 1'!$B:$B,0)),"")</f>
        <v/>
      </c>
      <c r="AJ121">
        <f>IFERROR(INDEX('DRAFT 1'!$AE:$AE,MATCH($B121,'DRAFT 1'!$B:$B,0)),"")</f>
        <v/>
      </c>
      <c r="AK121">
        <f>IFERROR(INDEX('DRAFT 1'!$AG:$AG,MATCH($B121,'DRAFT 1'!$B:$B,0)),"")</f>
        <v/>
      </c>
      <c r="AL121">
        <f>IFERROR(INDEX('DRAFT 1'!$AH:$AH,MATCH($B121,'DRAFT 1'!$B:$B,0)),"")</f>
        <v/>
      </c>
      <c r="AM121">
        <f>IFERROR(INDEX('DRAFT 1'!$AI:$AI,MATCH($B121,'DRAFT 1'!$B:$B,0)),"")</f>
        <v/>
      </c>
      <c r="AN121">
        <f>IFERROR(INDEX('DRAFT 1'!$AJ:$AJ,MATCH($B121,'DRAFT 1'!$B:$B,0)),"")</f>
        <v/>
      </c>
      <c r="AO121">
        <f>IFERROR(Y121/AN121,0)</f>
        <v/>
      </c>
      <c r="AP121">
        <f>IFERROR(INDEX('DRAFT 1'!$AK:$AK,MATCH($B121,'DRAFT 1'!$B:$B,0)),"")</f>
        <v/>
      </c>
      <c r="AR121" t="inlineStr">
        <is>
          <t>PÓS-VENDA</t>
        </is>
      </c>
      <c r="AS121">
        <f>IFERROR(LOOKUP(2,1/('DRAFT 2'!$D:$D=$B121),'DRAFT 2'!$T:$T),"")</f>
        <v/>
      </c>
      <c r="AT121">
        <f>IFERROR(LOOKUP(2,1/('DRAFT 2'!$D:$D=$B121),'DRAFT 2'!$A:$A),"")</f>
        <v/>
      </c>
      <c r="AU121">
        <f>IFERROR(LOOKUP(2,1/('DRAFT 2'!$D:$D=$B121),'DRAFT 2'!$R:$R),"")</f>
        <v/>
      </c>
      <c r="AV121">
        <f>IFERROR(LOOKUP(2,1/('DRAFT 2'!$D:$D=$B121),'DRAFT 2'!$S:$S),"")</f>
        <v/>
      </c>
      <c r="AW121" t="inlineStr">
        <is>
          <t>EM DESENVOLVIMENTO</t>
        </is>
      </c>
      <c r="AX121">
        <f>IFERROR(LOOKUP(2,1/('DRAFT 2'!$D:$D=$B121),'DRAFT 2'!$M:$M),"")</f>
        <v/>
      </c>
      <c r="AY121">
        <f>IFERROR(LOOKUP(2,1/('DRAFT 2'!$D:$D=$B121),'DRAFT 2'!$K:$K),"")</f>
        <v/>
      </c>
      <c r="BG121">
        <f>IFERROR(LOOKUP(2,1/('DRAFT 2'!$D:$D=$B121),'DRAFT 2'!$U:$U),"")</f>
        <v/>
      </c>
      <c r="BH121">
        <f>IFERROR(LOOKUP(2,1/('DRAFT 2'!$D:$D=$B121),'DRAFT 2'!$V:$V),"")</f>
        <v/>
      </c>
      <c r="CE121">
        <f>IFERROR(AJ121,0)</f>
        <v/>
      </c>
      <c r="CF121">
        <f>IFERROR(LOOKUP(2,1/('DRAFT 2'!$D:$D=$B121)*('DRAFT 2'!$A:$A&gt;=DATE(2026,1,1))*('DRAFT 2'!$A:$A&lt;DATE(2026,IF(1=12,1+1,1+1),1)),'DRAFT 2'!$A:$A),"")</f>
        <v/>
      </c>
      <c r="CG121">
        <f>COUNTIFS('DRAFT 2'!$D:$D,$B121,'DRAFT 2'!$A:$A,"&gt;="&amp;DATE(2026,1,1),'DRAFT 2'!$A:$A,"&lt;="&amp;DATE(2026,1,7))</f>
        <v/>
      </c>
      <c r="CH121">
        <f>COUNTIFS('DRAFT 2'!$D:$D,$B121,'DRAFT 2'!$A:$A,"&gt;="&amp;DATE(2026,1,8),'DRAFT 2'!$A:$A,"&lt;="&amp;DATE(2026,1,14))</f>
        <v/>
      </c>
      <c r="CI121">
        <f>COUNTIFS('DRAFT 2'!$D:$D,$B121,'DRAFT 2'!$A:$A,"&gt;="&amp;DATE(2026,1,15),'DRAFT 2'!$A:$A,"&lt;="&amp;DATE(2026,1,21))</f>
        <v/>
      </c>
      <c r="CJ121">
        <f>COUNTIFS('DRAFT 2'!$D:$D,$B121,'DRAFT 2'!$A:$A,"&gt;="&amp;DATE(2026,1,22),'DRAFT 2'!$A:$A,"&lt;"&amp;DATE(2026,IF(1=12,1+1,1+1),1))</f>
        <v/>
      </c>
      <c r="CK121">
        <f>SUM(CG121:CJ121)</f>
        <v/>
      </c>
      <c r="CT121" t="n">
        <v>0</v>
      </c>
      <c r="CU121">
        <f>IFERROR(LOOKUP(2,1/('DRAFT 2'!$D:$D=$B121)*('DRAFT 2'!$A:$A&gt;=DATE(2026,2,1))*('DRAFT 2'!$A:$A&lt;DATE(2026,IF(2=12,2+1,2+1),1)),'DRAFT 2'!$A:$A),"")</f>
        <v/>
      </c>
      <c r="CV121">
        <f>COUNTIFS('DRAFT 2'!$D:$D,$B121,'DRAFT 2'!$A:$A,"&gt;="&amp;DATE(2026,2,1),'DRAFT 2'!$A:$A,"&lt;="&amp;DATE(2026,2,7))</f>
        <v/>
      </c>
      <c r="CW121">
        <f>COUNTIFS('DRAFT 2'!$D:$D,$B121,'DRAFT 2'!$A:$A,"&gt;="&amp;DATE(2026,2,8),'DRAFT 2'!$A:$A,"&lt;="&amp;DATE(2026,2,14))</f>
        <v/>
      </c>
      <c r="CX121">
        <f>COUNTIFS('DRAFT 2'!$D:$D,$B121,'DRAFT 2'!$A:$A,"&gt;="&amp;DATE(2026,2,15),'DRAFT 2'!$A:$A,"&lt;="&amp;DATE(2026,2,21))</f>
        <v/>
      </c>
      <c r="CY121">
        <f>COUNTIFS('DRAFT 2'!$D:$D,$B121,'DRAFT 2'!$A:$A,"&gt;="&amp;DATE(2026,2,22),'DRAFT 2'!$A:$A,"&lt;"&amp;DATE(2026,IF(2=12,2+1,2+1),1))</f>
        <v/>
      </c>
      <c r="CZ121">
        <f>SUM(CV121:CY121)</f>
        <v/>
      </c>
      <c r="DJ121">
        <f>IFERROR(LOOKUP(2,1/('DRAFT 2'!$D:$D=$B121)*('DRAFT 2'!$A:$A&gt;=DATE(2026,3,1))*('DRAFT 2'!$A:$A&lt;DATE(2026,IF(3=12,3+1,3+1),1)),'DRAFT 2'!$A:$A),"")</f>
        <v/>
      </c>
      <c r="DK121">
        <f>COUNTIFS('DRAFT 2'!$D:$D,$B121,'DRAFT 2'!$A:$A,"&gt;="&amp;DATE(2026,3,1),'DRAFT 2'!$A:$A,"&lt;="&amp;DATE(2026,3,7))</f>
        <v/>
      </c>
      <c r="DL121">
        <f>COUNTIFS('DRAFT 2'!$D:$D,$B121,'DRAFT 2'!$A:$A,"&gt;="&amp;DATE(2026,3,8),'DRAFT 2'!$A:$A,"&lt;="&amp;DATE(2026,3,14))</f>
        <v/>
      </c>
      <c r="DM121">
        <f>COUNTIFS('DRAFT 2'!$D:$D,$B121,'DRAFT 2'!$A:$A,"&gt;="&amp;DATE(2026,3,15),'DRAFT 2'!$A:$A,"&lt;="&amp;DATE(2026,3,21))</f>
        <v/>
      </c>
      <c r="DN121">
        <f>COUNTIFS('DRAFT 2'!$D:$D,$B121,'DRAFT 2'!$A:$A,"&gt;="&amp;DATE(2026,3,22),'DRAFT 2'!$A:$A,"&lt;"&amp;DATE(2026,IF(3=12,3+1,3+1),1))</f>
        <v/>
      </c>
      <c r="DO121">
        <f>SUM(DK121:DN121)</f>
        <v/>
      </c>
      <c r="DZ121">
        <f>IFERROR(LOOKUP(2,1/('DRAFT 2'!$D:$D=$B121)*('DRAFT 2'!$A:$A&gt;=DATE(2026,4,1))*('DRAFT 2'!$A:$A&lt;DATE(2026,IF(4=12,4+1,4+1),1)),'DRAFT 2'!$A:$A),"")</f>
        <v/>
      </c>
      <c r="EA121">
        <f>COUNTIFS('DRAFT 2'!$D:$D,$B121,'DRAFT 2'!$A:$A,"&gt;="&amp;DATE(2026,4,1),'DRAFT 2'!$A:$A,"&lt;="&amp;DATE(2026,4,7))</f>
        <v/>
      </c>
      <c r="EB121">
        <f>COUNTIFS('DRAFT 2'!$D:$D,$B121,'DRAFT 2'!$A:$A,"&gt;="&amp;DATE(2026,4,8),'DRAFT 2'!$A:$A,"&lt;="&amp;DATE(2026,4,14))</f>
        <v/>
      </c>
      <c r="EC121">
        <f>COUNTIFS('DRAFT 2'!$D:$D,$B121,'DRAFT 2'!$A:$A,"&gt;="&amp;DATE(2026,4,15),'DRAFT 2'!$A:$A,"&lt;="&amp;DATE(2026,4,21))</f>
        <v/>
      </c>
      <c r="ED121">
        <f>COUNTIFS('DRAFT 2'!$D:$D,$B121,'DRAFT 2'!$A:$A,"&gt;="&amp;DATE(2026,4,22),'DRAFT 2'!$A:$A,"&lt;"&amp;DATE(2026,IF(4=12,4+1,4+1),1))</f>
        <v/>
      </c>
      <c r="EE121">
        <f>SUM(EA121:ED121)</f>
        <v/>
      </c>
      <c r="EO121">
        <f>IFERROR(LOOKUP(2,1/('DRAFT 2'!$D:$D=$B121)*('DRAFT 2'!$A:$A&gt;=DATE(2026,5,1))*('DRAFT 2'!$A:$A&lt;DATE(2026,IF(5=12,5+1,5+1),1)),'DRAFT 2'!$A:$A),"")</f>
        <v/>
      </c>
      <c r="EP121">
        <f>COUNTIFS('DRAFT 2'!$D:$D,$B121,'DRAFT 2'!$A:$A,"&gt;="&amp;DATE(2026,5,1),'DRAFT 2'!$A:$A,"&lt;="&amp;DATE(2026,5,7))</f>
        <v/>
      </c>
      <c r="EQ121">
        <f>COUNTIFS('DRAFT 2'!$D:$D,$B121,'DRAFT 2'!$A:$A,"&gt;="&amp;DATE(2026,5,8),'DRAFT 2'!$A:$A,"&lt;="&amp;DATE(2026,5,14))</f>
        <v/>
      </c>
      <c r="ER121">
        <f>COUNTIFS('DRAFT 2'!$D:$D,$B121,'DRAFT 2'!$A:$A,"&gt;="&amp;DATE(2026,5,15),'DRAFT 2'!$A:$A,"&lt;="&amp;DATE(2026,5,21))</f>
        <v/>
      </c>
      <c r="ES121">
        <f>COUNTIFS('DRAFT 2'!$D:$D,$B121,'DRAFT 2'!$A:$A,"&gt;="&amp;DATE(2026,5,22),'DRAFT 2'!$A:$A,"&lt;"&amp;DATE(2026,IF(5=12,5+1,5+1),1))</f>
        <v/>
      </c>
      <c r="ET121">
        <f>SUM(EP121:ES121)</f>
        <v/>
      </c>
      <c r="FD121">
        <f>IFERROR(LOOKUP(2,1/('DRAFT 2'!$D:$D=$B121)*('DRAFT 2'!$A:$A&gt;=DATE(2026,6,1))*('DRAFT 2'!$A:$A&lt;DATE(2026,IF(6=12,6+1,6+1),1)),'DRAFT 2'!$A:$A),"")</f>
        <v/>
      </c>
      <c r="FE121">
        <f>COUNTIFS('DRAFT 2'!$D:$D,$B121,'DRAFT 2'!$A:$A,"&gt;="&amp;DATE(2026,6,1),'DRAFT 2'!$A:$A,"&lt;="&amp;DATE(2026,6,7))</f>
        <v/>
      </c>
      <c r="FF121">
        <f>COUNTIFS('DRAFT 2'!$D:$D,$B121,'DRAFT 2'!$A:$A,"&gt;="&amp;DATE(2026,6,8),'DRAFT 2'!$A:$A,"&lt;="&amp;DATE(2026,6,14))</f>
        <v/>
      </c>
      <c r="FG121">
        <f>COUNTIFS('DRAFT 2'!$D:$D,$B121,'DRAFT 2'!$A:$A,"&gt;="&amp;DATE(2026,6,15),'DRAFT 2'!$A:$A,"&lt;="&amp;DATE(2026,6,21))</f>
        <v/>
      </c>
      <c r="FH121">
        <f>COUNTIFS('DRAFT 2'!$D:$D,$B121,'DRAFT 2'!$A:$A,"&gt;="&amp;DATE(2026,6,22),'DRAFT 2'!$A:$A,"&lt;"&amp;DATE(2026,IF(6=12,6+1,6+1),1))</f>
        <v/>
      </c>
      <c r="FI121">
        <f>SUM(FE121:FH121)</f>
        <v/>
      </c>
      <c r="FT121">
        <f>IFERROR(LOOKUP(2,1/('DRAFT 2'!$D:$D=$B121)*('DRAFT 2'!$A:$A&gt;=DATE(2026,7,1))*('DRAFT 2'!$A:$A&lt;DATE(2026,IF(7=12,7+1,7+1),1)),'DRAFT 2'!$A:$A),"")</f>
        <v/>
      </c>
      <c r="FU121">
        <f>COUNTIFS('DRAFT 2'!$D:$D,$B121,'DRAFT 2'!$A:$A,"&gt;="&amp;DATE(2026,7,1),'DRAFT 2'!$A:$A,"&lt;="&amp;DATE(2026,7,7))</f>
        <v/>
      </c>
      <c r="FV121">
        <f>COUNTIFS('DRAFT 2'!$D:$D,$B121,'DRAFT 2'!$A:$A,"&gt;="&amp;DATE(2026,7,8),'DRAFT 2'!$A:$A,"&lt;="&amp;DATE(2026,7,14))</f>
        <v/>
      </c>
      <c r="FW121">
        <f>COUNTIFS('DRAFT 2'!$D:$D,$B121,'DRAFT 2'!$A:$A,"&gt;="&amp;DATE(2026,7,15),'DRAFT 2'!$A:$A,"&lt;="&amp;DATE(2026,7,21))</f>
        <v/>
      </c>
      <c r="FX121">
        <f>COUNTIFS('DRAFT 2'!$D:$D,$B121,'DRAFT 2'!$A:$A,"&gt;="&amp;DATE(2026,7,22),'DRAFT 2'!$A:$A,"&lt;"&amp;DATE(2026,IF(7=12,7+1,7+1),1))</f>
        <v/>
      </c>
      <c r="FY121">
        <f>SUM(FU121:FX121)</f>
        <v/>
      </c>
      <c r="GI121">
        <f>IFERROR(LOOKUP(2,1/('DRAFT 2'!$D:$D=$B121)*('DRAFT 2'!$A:$A&gt;=DATE(2026,8,1))*('DRAFT 2'!$A:$A&lt;DATE(2026,IF(8=12,8+1,8+1),1)),'DRAFT 2'!$A:$A),"")</f>
        <v/>
      </c>
      <c r="GJ121">
        <f>COUNTIFS('DRAFT 2'!$D:$D,$B121,'DRAFT 2'!$A:$A,"&gt;="&amp;DATE(2026,8,1),'DRAFT 2'!$A:$A,"&lt;="&amp;DATE(2026,8,7))</f>
        <v/>
      </c>
      <c r="GK121">
        <f>COUNTIFS('DRAFT 2'!$D:$D,$B121,'DRAFT 2'!$A:$A,"&gt;="&amp;DATE(2026,8,8),'DRAFT 2'!$A:$A,"&lt;="&amp;DATE(2026,8,14))</f>
        <v/>
      </c>
      <c r="GL121">
        <f>COUNTIFS('DRAFT 2'!$D:$D,$B121,'DRAFT 2'!$A:$A,"&gt;="&amp;DATE(2026,8,15),'DRAFT 2'!$A:$A,"&lt;="&amp;DATE(2026,8,21))</f>
        <v/>
      </c>
      <c r="GM121">
        <f>COUNTIFS('DRAFT 2'!$D:$D,$B121,'DRAFT 2'!$A:$A,"&gt;="&amp;DATE(2026,8,22),'DRAFT 2'!$A:$A,"&lt;"&amp;DATE(2026,IF(8=12,8+1,8+1),1))</f>
        <v/>
      </c>
      <c r="GN121">
        <f>SUM(GJ121:GM121)</f>
        <v/>
      </c>
      <c r="GX121">
        <f>IFERROR(LOOKUP(2,1/('DRAFT 2'!$D:$D=$B121)*('DRAFT 2'!$A:$A&gt;=DATE(2026,9,1))*('DRAFT 2'!$A:$A&lt;DATE(2026,IF(9=12,9+1,9+1),1)),'DRAFT 2'!$A:$A),"")</f>
        <v/>
      </c>
      <c r="GY121">
        <f>COUNTIFS('DRAFT 2'!$D:$D,$B121,'DRAFT 2'!$A:$A,"&gt;="&amp;DATE(2026,9,1),'DRAFT 2'!$A:$A,"&lt;="&amp;DATE(2026,9,7))</f>
        <v/>
      </c>
      <c r="GZ121">
        <f>COUNTIFS('DRAFT 2'!$D:$D,$B121,'DRAFT 2'!$A:$A,"&gt;="&amp;DATE(2026,9,8),'DRAFT 2'!$A:$A,"&lt;="&amp;DATE(2026,9,14))</f>
        <v/>
      </c>
      <c r="HA121">
        <f>COUNTIFS('DRAFT 2'!$D:$D,$B121,'DRAFT 2'!$A:$A,"&gt;="&amp;DATE(2026,9,15),'DRAFT 2'!$A:$A,"&lt;="&amp;DATE(2026,9,21))</f>
        <v/>
      </c>
      <c r="HB121">
        <f>COUNTIFS('DRAFT 2'!$D:$D,$B121,'DRAFT 2'!$A:$A,"&gt;="&amp;DATE(2026,9,22),'DRAFT 2'!$A:$A,"&lt;"&amp;DATE(2026,IF(9=12,9+1,9+1),1))</f>
        <v/>
      </c>
      <c r="HC121">
        <f>SUM(GY121:HB121)</f>
        <v/>
      </c>
      <c r="HN121">
        <f>IFERROR(LOOKUP(2,1/('DRAFT 2'!$D:$D=$B121)*('DRAFT 2'!$A:$A&gt;=DATE(2026,10,1))*('DRAFT 2'!$A:$A&lt;DATE(2026,IF(10=12,10+1,10+1),1)),'DRAFT 2'!$A:$A),"")</f>
        <v/>
      </c>
      <c r="HO121">
        <f>COUNTIFS('DRAFT 2'!$D:$D,$B121,'DRAFT 2'!$A:$A,"&gt;="&amp;DATE(2026,10,1),'DRAFT 2'!$A:$A,"&lt;="&amp;DATE(2026,10,7))</f>
        <v/>
      </c>
      <c r="HP121">
        <f>COUNTIFS('DRAFT 2'!$D:$D,$B121,'DRAFT 2'!$A:$A,"&gt;="&amp;DATE(2026,10,8),'DRAFT 2'!$A:$A,"&lt;="&amp;DATE(2026,10,14))</f>
        <v/>
      </c>
      <c r="HQ121">
        <f>COUNTIFS('DRAFT 2'!$D:$D,$B121,'DRAFT 2'!$A:$A,"&gt;="&amp;DATE(2026,10,15),'DRAFT 2'!$A:$A,"&lt;="&amp;DATE(2026,10,21))</f>
        <v/>
      </c>
      <c r="HR121">
        <f>COUNTIFS('DRAFT 2'!$D:$D,$B121,'DRAFT 2'!$A:$A,"&gt;="&amp;DATE(2026,10,22),'DRAFT 2'!$A:$A,"&lt;"&amp;DATE(2026,IF(10=12,10+1,10+1),1))</f>
        <v/>
      </c>
      <c r="HS121">
        <f>SUM(HO121:HR121)</f>
        <v/>
      </c>
      <c r="IC121">
        <f>IFERROR(LOOKUP(2,1/('DRAFT 2'!$D:$D=$B121)*('DRAFT 2'!$A:$A&gt;=DATE(2026,11,1))*('DRAFT 2'!$A:$A&lt;DATE(2026,IF(11=12,11+1,11+1),1)),'DRAFT 2'!$A:$A),"")</f>
        <v/>
      </c>
      <c r="ID121">
        <f>COUNTIFS('DRAFT 2'!$D:$D,$B121,'DRAFT 2'!$A:$A,"&gt;="&amp;DATE(2026,11,1),'DRAFT 2'!$A:$A,"&lt;="&amp;DATE(2026,11,7))</f>
        <v/>
      </c>
      <c r="IE121">
        <f>COUNTIFS('DRAFT 2'!$D:$D,$B121,'DRAFT 2'!$A:$A,"&gt;="&amp;DATE(2026,11,8),'DRAFT 2'!$A:$A,"&lt;="&amp;DATE(2026,11,14))</f>
        <v/>
      </c>
      <c r="IF121">
        <f>COUNTIFS('DRAFT 2'!$D:$D,$B121,'DRAFT 2'!$A:$A,"&gt;="&amp;DATE(2026,11,15),'DRAFT 2'!$A:$A,"&lt;="&amp;DATE(2026,11,21))</f>
        <v/>
      </c>
      <c r="IG121">
        <f>COUNTIFS('DRAFT 2'!$D:$D,$B121,'DRAFT 2'!$A:$A,"&gt;="&amp;DATE(2026,11,22),'DRAFT 2'!$A:$A,"&lt;"&amp;DATE(2026,IF(11=12,11+1,11+1),1))</f>
        <v/>
      </c>
      <c r="IH121">
        <f>SUM(ID121:IG121)</f>
        <v/>
      </c>
      <c r="IR121">
        <f>IFERROR(LOOKUP(2,1/('DRAFT 2'!$D:$D=$B121)*('DRAFT 2'!$A:$A&gt;=DATE(2026,12,1))*('DRAFT 2'!$A:$A&lt;DATE(2026,IF(12=12,12+1,12+1),1)),'DRAFT 2'!$A:$A),"")</f>
        <v/>
      </c>
      <c r="IS121">
        <f>COUNTIFS('DRAFT 2'!$D:$D,$B121,'DRAFT 2'!$A:$A,"&gt;="&amp;DATE(2026,12,1),'DRAFT 2'!$A:$A,"&lt;="&amp;DATE(2026,12,7))</f>
        <v/>
      </c>
      <c r="IT121">
        <f>COUNTIFS('DRAFT 2'!$D:$D,$B121,'DRAFT 2'!$A:$A,"&gt;="&amp;DATE(2026,12,8),'DRAFT 2'!$A:$A,"&lt;="&amp;DATE(2026,12,14))</f>
        <v/>
      </c>
      <c r="IU121">
        <f>COUNTIFS('DRAFT 2'!$D:$D,$B121,'DRAFT 2'!$A:$A,"&gt;="&amp;DATE(2026,12,15),'DRAFT 2'!$A:$A,"&lt;="&amp;DATE(2026,12,21))</f>
        <v/>
      </c>
      <c r="IV121">
        <f>COUNTIFS('DRAFT 2'!$D:$D,$B121,'DRAFT 2'!$A:$A,"&gt;="&amp;DATE(2026,12,22),'DRAFT 2'!$A:$A,"&lt;"&amp;DATE(2026,IF(12=12,12+1,12+1),1))</f>
        <v/>
      </c>
      <c r="IW121">
        <f>SUM(IS121:IV121)</f>
        <v/>
      </c>
    </row>
    <row r="122">
      <c r="A122">
        <f>IFERROR(INDEX('DRAFT 1'!$A:$A,MATCH($B122,'DRAFT 1'!$B:$B,0)),"")</f>
        <v/>
      </c>
      <c r="C122">
        <f>IFERROR(INDEX('DRAFT 1'!$C:$C,MATCH($B122,'DRAFT 1'!$B:$B,0)),"")</f>
        <v/>
      </c>
      <c r="D122">
        <f>IFERROR(INDEX('DRAFT 1'!$D:$D,MATCH($B122,'DRAFT 1'!$B:$B,0)),"")</f>
        <v/>
      </c>
      <c r="E122">
        <f>IFERROR(INDEX('DRAFT 1'!$E:$E,MATCH($B122,'DRAFT 1'!$B:$B,0)),"")</f>
        <v/>
      </c>
      <c r="F122">
        <f>IFERROR(INDEX('DRAFT 1'!$F:$F,MATCH($B122,'DRAFT 1'!$B:$B,0)),"")</f>
        <v/>
      </c>
      <c r="G122">
        <f>IFERROR(INDEX('DRAFT 1'!$G:$G,MATCH($B122,'DRAFT 1'!$B:$B,0)),"")</f>
        <v/>
      </c>
      <c r="H122">
        <f>IFERROR(INDEX('DRAFT 1'!$H:$H,MATCH($B122,'DRAFT 1'!$B:$B,0)),"")</f>
        <v/>
      </c>
      <c r="I122" t="inlineStr">
        <is>
          <t>VIDA LEVE</t>
        </is>
      </c>
      <c r="K122">
        <f>IFERROR(INDEX('DRAFT 1'!$AL:$AL,MATCH($B122,'DRAFT 1'!$B:$B,0)),"")</f>
        <v/>
      </c>
      <c r="L122">
        <f>IFERROR(INDEX('DRAFT 1'!$J:$J,MATCH($B122,'DRAFT 1'!$B:$B,0)),"")</f>
        <v/>
      </c>
      <c r="M122">
        <f>IFERROR(INDEX('DRAFT 1'!$K:$K,MATCH($B122,'DRAFT 1'!$B:$B,0)),"")</f>
        <v/>
      </c>
      <c r="N122" t="inlineStr">
        <is>
          <t>ATIVO</t>
        </is>
      </c>
      <c r="P122">
        <f>IFERROR(INDEX('DRAFT 1'!$L:$L,MATCH($B122,'DRAFT 1'!$B:$B,0)),"")</f>
        <v/>
      </c>
      <c r="Q122">
        <f>IFERROR(INDEX('DRAFT 1'!$M:$M,MATCH($B122,'DRAFT 1'!$B:$B,0)),"")</f>
        <v/>
      </c>
      <c r="R122">
        <f>IFERROR(INDEX('DRAFT 1'!$N:$N,MATCH($B122,'DRAFT 1'!$B:$B,0)),"")</f>
        <v/>
      </c>
      <c r="S122">
        <f>IFERROR(INDEX('DRAFT 1'!$O:$O,MATCH($B122,'DRAFT 1'!$B:$B,0)),"")</f>
        <v/>
      </c>
      <c r="T122">
        <f>IFERROR(INDEX('DRAFT 1'!$P:$P,MATCH($B122,'DRAFT 1'!$B:$B,0)),"")</f>
        <v/>
      </c>
      <c r="U122">
        <f>IFERROR(INDEX('DRAFT 1'!$Q:$Q,MATCH($B122,'DRAFT 1'!$B:$B,0)),"")</f>
        <v/>
      </c>
      <c r="V122">
        <f>IFERROR(INDEX('DRAFT 1'!$R:$R,MATCH($B122,'DRAFT 1'!$B:$B,0)),"")</f>
        <v/>
      </c>
      <c r="W122">
        <f>IFERROR(INDEX('DRAFT 1'!$S:$S,MATCH($B122,'DRAFT 1'!$B:$B,0)),"")</f>
        <v/>
      </c>
      <c r="X122">
        <f>IFERROR(INDEX('DRAFT 1'!$T:$T,MATCH($B122,'DRAFT 1'!$B:$B,0)),"")</f>
        <v/>
      </c>
      <c r="Z122">
        <f>IFERROR(INDEX('DRAFT 1'!$U:$U,MATCH($B122,'DRAFT 1'!$B:$B,0)),"")</f>
        <v/>
      </c>
      <c r="AA122">
        <f>IFERROR(INDEX('DRAFT 1'!$V:$V,MATCH($B122,'DRAFT 1'!$B:$B,0)),"")</f>
        <v/>
      </c>
      <c r="AB122">
        <f>IFERROR(INDEX('DRAFT 1'!$W:$W,MATCH($B122,'DRAFT 1'!$B:$B,0)),"")</f>
        <v/>
      </c>
      <c r="AC122">
        <f>IFERROR(INDEX('DRAFT 1'!$X:$X,MATCH($B122,'DRAFT 1'!$B:$B,0)),"")</f>
        <v/>
      </c>
      <c r="AD122">
        <f>IFERROR(INDEX('DRAFT 1'!$Y:$Y,MATCH($B122,'DRAFT 1'!$B:$B,0)),"")</f>
        <v/>
      </c>
      <c r="AE122">
        <f>IFERROR(INDEX('DRAFT 1'!$Z:$Z,MATCH($B122,'DRAFT 1'!$B:$B,0)),"")</f>
        <v/>
      </c>
      <c r="AF122">
        <f>IFERROR(INDEX('DRAFT 1'!$AA:$AA,MATCH($B122,'DRAFT 1'!$B:$B,0)),"")</f>
        <v/>
      </c>
      <c r="AG122">
        <f>IFERROR(INDEX('DRAFT 1'!$AB:$AB,MATCH($B122,'DRAFT 1'!$B:$B,0)),"")</f>
        <v/>
      </c>
      <c r="AH122">
        <f>IFERROR(INDEX('DRAFT 1'!$AC:$AC,MATCH($B122,'DRAFT 1'!$B:$B,0)),"")</f>
        <v/>
      </c>
      <c r="AI122">
        <f>IFERROR(INDEX('DRAFT 1'!$AD:$AD,MATCH($B122,'DRAFT 1'!$B:$B,0)),"")</f>
        <v/>
      </c>
      <c r="AJ122">
        <f>IFERROR(INDEX('DRAFT 1'!$AE:$AE,MATCH($B122,'DRAFT 1'!$B:$B,0)),"")</f>
        <v/>
      </c>
      <c r="AK122">
        <f>IFERROR(INDEX('DRAFT 1'!$AG:$AG,MATCH($B122,'DRAFT 1'!$B:$B,0)),"")</f>
        <v/>
      </c>
      <c r="AL122">
        <f>IFERROR(INDEX('DRAFT 1'!$AH:$AH,MATCH($B122,'DRAFT 1'!$B:$B,0)),"")</f>
        <v/>
      </c>
      <c r="AM122">
        <f>IFERROR(INDEX('DRAFT 1'!$AI:$AI,MATCH($B122,'DRAFT 1'!$B:$B,0)),"")</f>
        <v/>
      </c>
      <c r="AN122">
        <f>IFERROR(INDEX('DRAFT 1'!$AJ:$AJ,MATCH($B122,'DRAFT 1'!$B:$B,0)),"")</f>
        <v/>
      </c>
      <c r="AO122">
        <f>IFERROR(Y122/AN122,0)</f>
        <v/>
      </c>
      <c r="AP122">
        <f>IFERROR(INDEX('DRAFT 1'!$AK:$AK,MATCH($B122,'DRAFT 1'!$B:$B,0)),"")</f>
        <v/>
      </c>
      <c r="AR122" t="inlineStr">
        <is>
          <t>EM ATENDIMENTO</t>
        </is>
      </c>
      <c r="AS122">
        <f>IFERROR(LOOKUP(2,1/('DRAFT 2'!$D:$D=$B122),'DRAFT 2'!$T:$T),"")</f>
        <v/>
      </c>
      <c r="AT122">
        <f>IFERROR(LOOKUP(2,1/('DRAFT 2'!$D:$D=$B122),'DRAFT 2'!$A:$A),"")</f>
        <v/>
      </c>
      <c r="AU122">
        <f>IFERROR(LOOKUP(2,1/('DRAFT 2'!$D:$D=$B122),'DRAFT 2'!$R:$R),"")</f>
        <v/>
      </c>
      <c r="AV122">
        <f>IFERROR(LOOKUP(2,1/('DRAFT 2'!$D:$D=$B122),'DRAFT 2'!$S:$S),"")</f>
        <v/>
      </c>
      <c r="AW122" t="inlineStr">
        <is>
          <t>EM DESENVOLVIMENTO</t>
        </is>
      </c>
      <c r="AX122">
        <f>IFERROR(LOOKUP(2,1/('DRAFT 2'!$D:$D=$B122),'DRAFT 2'!$M:$M),"")</f>
        <v/>
      </c>
      <c r="AY122">
        <f>IFERROR(LOOKUP(2,1/('DRAFT 2'!$D:$D=$B122),'DRAFT 2'!$K:$K),"")</f>
        <v/>
      </c>
      <c r="BG122">
        <f>IFERROR(LOOKUP(2,1/('DRAFT 2'!$D:$D=$B122),'DRAFT 2'!$U:$U),"")</f>
        <v/>
      </c>
      <c r="BH122">
        <f>IFERROR(LOOKUP(2,1/('DRAFT 2'!$D:$D=$B122),'DRAFT 2'!$V:$V),"")</f>
        <v/>
      </c>
      <c r="CE122">
        <f>IFERROR(AJ122,0)</f>
        <v/>
      </c>
      <c r="CF122">
        <f>IFERROR(LOOKUP(2,1/('DRAFT 2'!$D:$D=$B122)*('DRAFT 2'!$A:$A&gt;=DATE(2026,1,1))*('DRAFT 2'!$A:$A&lt;DATE(2026,IF(1=12,1+1,1+1),1)),'DRAFT 2'!$A:$A),"")</f>
        <v/>
      </c>
      <c r="CG122">
        <f>COUNTIFS('DRAFT 2'!$D:$D,$B122,'DRAFT 2'!$A:$A,"&gt;="&amp;DATE(2026,1,1),'DRAFT 2'!$A:$A,"&lt;="&amp;DATE(2026,1,7))</f>
        <v/>
      </c>
      <c r="CH122">
        <f>COUNTIFS('DRAFT 2'!$D:$D,$B122,'DRAFT 2'!$A:$A,"&gt;="&amp;DATE(2026,1,8),'DRAFT 2'!$A:$A,"&lt;="&amp;DATE(2026,1,14))</f>
        <v/>
      </c>
      <c r="CI122">
        <f>COUNTIFS('DRAFT 2'!$D:$D,$B122,'DRAFT 2'!$A:$A,"&gt;="&amp;DATE(2026,1,15),'DRAFT 2'!$A:$A,"&lt;="&amp;DATE(2026,1,21))</f>
        <v/>
      </c>
      <c r="CJ122">
        <f>COUNTIFS('DRAFT 2'!$D:$D,$B122,'DRAFT 2'!$A:$A,"&gt;="&amp;DATE(2026,1,22),'DRAFT 2'!$A:$A,"&lt;"&amp;DATE(2026,IF(1=12,1+1,1+1),1))</f>
        <v/>
      </c>
      <c r="CK122">
        <f>SUM(CG122:CJ122)</f>
        <v/>
      </c>
      <c r="CT122" t="n">
        <v>0</v>
      </c>
      <c r="CU122">
        <f>IFERROR(LOOKUP(2,1/('DRAFT 2'!$D:$D=$B122)*('DRAFT 2'!$A:$A&gt;=DATE(2026,2,1))*('DRAFT 2'!$A:$A&lt;DATE(2026,IF(2=12,2+1,2+1),1)),'DRAFT 2'!$A:$A),"")</f>
        <v/>
      </c>
      <c r="CV122">
        <f>COUNTIFS('DRAFT 2'!$D:$D,$B122,'DRAFT 2'!$A:$A,"&gt;="&amp;DATE(2026,2,1),'DRAFT 2'!$A:$A,"&lt;="&amp;DATE(2026,2,7))</f>
        <v/>
      </c>
      <c r="CW122">
        <f>COUNTIFS('DRAFT 2'!$D:$D,$B122,'DRAFT 2'!$A:$A,"&gt;="&amp;DATE(2026,2,8),'DRAFT 2'!$A:$A,"&lt;="&amp;DATE(2026,2,14))</f>
        <v/>
      </c>
      <c r="CX122">
        <f>COUNTIFS('DRAFT 2'!$D:$D,$B122,'DRAFT 2'!$A:$A,"&gt;="&amp;DATE(2026,2,15),'DRAFT 2'!$A:$A,"&lt;="&amp;DATE(2026,2,21))</f>
        <v/>
      </c>
      <c r="CY122">
        <f>COUNTIFS('DRAFT 2'!$D:$D,$B122,'DRAFT 2'!$A:$A,"&gt;="&amp;DATE(2026,2,22),'DRAFT 2'!$A:$A,"&lt;"&amp;DATE(2026,IF(2=12,2+1,2+1),1))</f>
        <v/>
      </c>
      <c r="CZ122">
        <f>SUM(CV122:CY122)</f>
        <v/>
      </c>
      <c r="DJ122">
        <f>IFERROR(LOOKUP(2,1/('DRAFT 2'!$D:$D=$B122)*('DRAFT 2'!$A:$A&gt;=DATE(2026,3,1))*('DRAFT 2'!$A:$A&lt;DATE(2026,IF(3=12,3+1,3+1),1)),'DRAFT 2'!$A:$A),"")</f>
        <v/>
      </c>
      <c r="DK122">
        <f>COUNTIFS('DRAFT 2'!$D:$D,$B122,'DRAFT 2'!$A:$A,"&gt;="&amp;DATE(2026,3,1),'DRAFT 2'!$A:$A,"&lt;="&amp;DATE(2026,3,7))</f>
        <v/>
      </c>
      <c r="DL122">
        <f>COUNTIFS('DRAFT 2'!$D:$D,$B122,'DRAFT 2'!$A:$A,"&gt;="&amp;DATE(2026,3,8),'DRAFT 2'!$A:$A,"&lt;="&amp;DATE(2026,3,14))</f>
        <v/>
      </c>
      <c r="DM122">
        <f>COUNTIFS('DRAFT 2'!$D:$D,$B122,'DRAFT 2'!$A:$A,"&gt;="&amp;DATE(2026,3,15),'DRAFT 2'!$A:$A,"&lt;="&amp;DATE(2026,3,21))</f>
        <v/>
      </c>
      <c r="DN122">
        <f>COUNTIFS('DRAFT 2'!$D:$D,$B122,'DRAFT 2'!$A:$A,"&gt;="&amp;DATE(2026,3,22),'DRAFT 2'!$A:$A,"&lt;"&amp;DATE(2026,IF(3=12,3+1,3+1),1))</f>
        <v/>
      </c>
      <c r="DO122">
        <f>SUM(DK122:DN122)</f>
        <v/>
      </c>
      <c r="DZ122">
        <f>IFERROR(LOOKUP(2,1/('DRAFT 2'!$D:$D=$B122)*('DRAFT 2'!$A:$A&gt;=DATE(2026,4,1))*('DRAFT 2'!$A:$A&lt;DATE(2026,IF(4=12,4+1,4+1),1)),'DRAFT 2'!$A:$A),"")</f>
        <v/>
      </c>
      <c r="EA122">
        <f>COUNTIFS('DRAFT 2'!$D:$D,$B122,'DRAFT 2'!$A:$A,"&gt;="&amp;DATE(2026,4,1),'DRAFT 2'!$A:$A,"&lt;="&amp;DATE(2026,4,7))</f>
        <v/>
      </c>
      <c r="EB122">
        <f>COUNTIFS('DRAFT 2'!$D:$D,$B122,'DRAFT 2'!$A:$A,"&gt;="&amp;DATE(2026,4,8),'DRAFT 2'!$A:$A,"&lt;="&amp;DATE(2026,4,14))</f>
        <v/>
      </c>
      <c r="EC122">
        <f>COUNTIFS('DRAFT 2'!$D:$D,$B122,'DRAFT 2'!$A:$A,"&gt;="&amp;DATE(2026,4,15),'DRAFT 2'!$A:$A,"&lt;="&amp;DATE(2026,4,21))</f>
        <v/>
      </c>
      <c r="ED122">
        <f>COUNTIFS('DRAFT 2'!$D:$D,$B122,'DRAFT 2'!$A:$A,"&gt;="&amp;DATE(2026,4,22),'DRAFT 2'!$A:$A,"&lt;"&amp;DATE(2026,IF(4=12,4+1,4+1),1))</f>
        <v/>
      </c>
      <c r="EE122">
        <f>SUM(EA122:ED122)</f>
        <v/>
      </c>
      <c r="EO122">
        <f>IFERROR(LOOKUP(2,1/('DRAFT 2'!$D:$D=$B122)*('DRAFT 2'!$A:$A&gt;=DATE(2026,5,1))*('DRAFT 2'!$A:$A&lt;DATE(2026,IF(5=12,5+1,5+1),1)),'DRAFT 2'!$A:$A),"")</f>
        <v/>
      </c>
      <c r="EP122">
        <f>COUNTIFS('DRAFT 2'!$D:$D,$B122,'DRAFT 2'!$A:$A,"&gt;="&amp;DATE(2026,5,1),'DRAFT 2'!$A:$A,"&lt;="&amp;DATE(2026,5,7))</f>
        <v/>
      </c>
      <c r="EQ122">
        <f>COUNTIFS('DRAFT 2'!$D:$D,$B122,'DRAFT 2'!$A:$A,"&gt;="&amp;DATE(2026,5,8),'DRAFT 2'!$A:$A,"&lt;="&amp;DATE(2026,5,14))</f>
        <v/>
      </c>
      <c r="ER122">
        <f>COUNTIFS('DRAFT 2'!$D:$D,$B122,'DRAFT 2'!$A:$A,"&gt;="&amp;DATE(2026,5,15),'DRAFT 2'!$A:$A,"&lt;="&amp;DATE(2026,5,21))</f>
        <v/>
      </c>
      <c r="ES122">
        <f>COUNTIFS('DRAFT 2'!$D:$D,$B122,'DRAFT 2'!$A:$A,"&gt;="&amp;DATE(2026,5,22),'DRAFT 2'!$A:$A,"&lt;"&amp;DATE(2026,IF(5=12,5+1,5+1),1))</f>
        <v/>
      </c>
      <c r="ET122">
        <f>SUM(EP122:ES122)</f>
        <v/>
      </c>
      <c r="FD122">
        <f>IFERROR(LOOKUP(2,1/('DRAFT 2'!$D:$D=$B122)*('DRAFT 2'!$A:$A&gt;=DATE(2026,6,1))*('DRAFT 2'!$A:$A&lt;DATE(2026,IF(6=12,6+1,6+1),1)),'DRAFT 2'!$A:$A),"")</f>
        <v/>
      </c>
      <c r="FE122">
        <f>COUNTIFS('DRAFT 2'!$D:$D,$B122,'DRAFT 2'!$A:$A,"&gt;="&amp;DATE(2026,6,1),'DRAFT 2'!$A:$A,"&lt;="&amp;DATE(2026,6,7))</f>
        <v/>
      </c>
      <c r="FF122">
        <f>COUNTIFS('DRAFT 2'!$D:$D,$B122,'DRAFT 2'!$A:$A,"&gt;="&amp;DATE(2026,6,8),'DRAFT 2'!$A:$A,"&lt;="&amp;DATE(2026,6,14))</f>
        <v/>
      </c>
      <c r="FG122">
        <f>COUNTIFS('DRAFT 2'!$D:$D,$B122,'DRAFT 2'!$A:$A,"&gt;="&amp;DATE(2026,6,15),'DRAFT 2'!$A:$A,"&lt;="&amp;DATE(2026,6,21))</f>
        <v/>
      </c>
      <c r="FH122">
        <f>COUNTIFS('DRAFT 2'!$D:$D,$B122,'DRAFT 2'!$A:$A,"&gt;="&amp;DATE(2026,6,22),'DRAFT 2'!$A:$A,"&lt;"&amp;DATE(2026,IF(6=12,6+1,6+1),1))</f>
        <v/>
      </c>
      <c r="FI122">
        <f>SUM(FE122:FH122)</f>
        <v/>
      </c>
      <c r="FT122">
        <f>IFERROR(LOOKUP(2,1/('DRAFT 2'!$D:$D=$B122)*('DRAFT 2'!$A:$A&gt;=DATE(2026,7,1))*('DRAFT 2'!$A:$A&lt;DATE(2026,IF(7=12,7+1,7+1),1)),'DRAFT 2'!$A:$A),"")</f>
        <v/>
      </c>
      <c r="FU122">
        <f>COUNTIFS('DRAFT 2'!$D:$D,$B122,'DRAFT 2'!$A:$A,"&gt;="&amp;DATE(2026,7,1),'DRAFT 2'!$A:$A,"&lt;="&amp;DATE(2026,7,7))</f>
        <v/>
      </c>
      <c r="FV122">
        <f>COUNTIFS('DRAFT 2'!$D:$D,$B122,'DRAFT 2'!$A:$A,"&gt;="&amp;DATE(2026,7,8),'DRAFT 2'!$A:$A,"&lt;="&amp;DATE(2026,7,14))</f>
        <v/>
      </c>
      <c r="FW122">
        <f>COUNTIFS('DRAFT 2'!$D:$D,$B122,'DRAFT 2'!$A:$A,"&gt;="&amp;DATE(2026,7,15),'DRAFT 2'!$A:$A,"&lt;="&amp;DATE(2026,7,21))</f>
        <v/>
      </c>
      <c r="FX122">
        <f>COUNTIFS('DRAFT 2'!$D:$D,$B122,'DRAFT 2'!$A:$A,"&gt;="&amp;DATE(2026,7,22),'DRAFT 2'!$A:$A,"&lt;"&amp;DATE(2026,IF(7=12,7+1,7+1),1))</f>
        <v/>
      </c>
      <c r="FY122">
        <f>SUM(FU122:FX122)</f>
        <v/>
      </c>
      <c r="GI122">
        <f>IFERROR(LOOKUP(2,1/('DRAFT 2'!$D:$D=$B122)*('DRAFT 2'!$A:$A&gt;=DATE(2026,8,1))*('DRAFT 2'!$A:$A&lt;DATE(2026,IF(8=12,8+1,8+1),1)),'DRAFT 2'!$A:$A),"")</f>
        <v/>
      </c>
      <c r="GJ122">
        <f>COUNTIFS('DRAFT 2'!$D:$D,$B122,'DRAFT 2'!$A:$A,"&gt;="&amp;DATE(2026,8,1),'DRAFT 2'!$A:$A,"&lt;="&amp;DATE(2026,8,7))</f>
        <v/>
      </c>
      <c r="GK122">
        <f>COUNTIFS('DRAFT 2'!$D:$D,$B122,'DRAFT 2'!$A:$A,"&gt;="&amp;DATE(2026,8,8),'DRAFT 2'!$A:$A,"&lt;="&amp;DATE(2026,8,14))</f>
        <v/>
      </c>
      <c r="GL122">
        <f>COUNTIFS('DRAFT 2'!$D:$D,$B122,'DRAFT 2'!$A:$A,"&gt;="&amp;DATE(2026,8,15),'DRAFT 2'!$A:$A,"&lt;="&amp;DATE(2026,8,21))</f>
        <v/>
      </c>
      <c r="GM122">
        <f>COUNTIFS('DRAFT 2'!$D:$D,$B122,'DRAFT 2'!$A:$A,"&gt;="&amp;DATE(2026,8,22),'DRAFT 2'!$A:$A,"&lt;"&amp;DATE(2026,IF(8=12,8+1,8+1),1))</f>
        <v/>
      </c>
      <c r="GN122">
        <f>SUM(GJ122:GM122)</f>
        <v/>
      </c>
      <c r="GX122">
        <f>IFERROR(LOOKUP(2,1/('DRAFT 2'!$D:$D=$B122)*('DRAFT 2'!$A:$A&gt;=DATE(2026,9,1))*('DRAFT 2'!$A:$A&lt;DATE(2026,IF(9=12,9+1,9+1),1)),'DRAFT 2'!$A:$A),"")</f>
        <v/>
      </c>
      <c r="GY122">
        <f>COUNTIFS('DRAFT 2'!$D:$D,$B122,'DRAFT 2'!$A:$A,"&gt;="&amp;DATE(2026,9,1),'DRAFT 2'!$A:$A,"&lt;="&amp;DATE(2026,9,7))</f>
        <v/>
      </c>
      <c r="GZ122">
        <f>COUNTIFS('DRAFT 2'!$D:$D,$B122,'DRAFT 2'!$A:$A,"&gt;="&amp;DATE(2026,9,8),'DRAFT 2'!$A:$A,"&lt;="&amp;DATE(2026,9,14))</f>
        <v/>
      </c>
      <c r="HA122">
        <f>COUNTIFS('DRAFT 2'!$D:$D,$B122,'DRAFT 2'!$A:$A,"&gt;="&amp;DATE(2026,9,15),'DRAFT 2'!$A:$A,"&lt;="&amp;DATE(2026,9,21))</f>
        <v/>
      </c>
      <c r="HB122">
        <f>COUNTIFS('DRAFT 2'!$D:$D,$B122,'DRAFT 2'!$A:$A,"&gt;="&amp;DATE(2026,9,22),'DRAFT 2'!$A:$A,"&lt;"&amp;DATE(2026,IF(9=12,9+1,9+1),1))</f>
        <v/>
      </c>
      <c r="HC122">
        <f>SUM(GY122:HB122)</f>
        <v/>
      </c>
      <c r="HN122">
        <f>IFERROR(LOOKUP(2,1/('DRAFT 2'!$D:$D=$B122)*('DRAFT 2'!$A:$A&gt;=DATE(2026,10,1))*('DRAFT 2'!$A:$A&lt;DATE(2026,IF(10=12,10+1,10+1),1)),'DRAFT 2'!$A:$A),"")</f>
        <v/>
      </c>
      <c r="HO122">
        <f>COUNTIFS('DRAFT 2'!$D:$D,$B122,'DRAFT 2'!$A:$A,"&gt;="&amp;DATE(2026,10,1),'DRAFT 2'!$A:$A,"&lt;="&amp;DATE(2026,10,7))</f>
        <v/>
      </c>
      <c r="HP122">
        <f>COUNTIFS('DRAFT 2'!$D:$D,$B122,'DRAFT 2'!$A:$A,"&gt;="&amp;DATE(2026,10,8),'DRAFT 2'!$A:$A,"&lt;="&amp;DATE(2026,10,14))</f>
        <v/>
      </c>
      <c r="HQ122">
        <f>COUNTIFS('DRAFT 2'!$D:$D,$B122,'DRAFT 2'!$A:$A,"&gt;="&amp;DATE(2026,10,15),'DRAFT 2'!$A:$A,"&lt;="&amp;DATE(2026,10,21))</f>
        <v/>
      </c>
      <c r="HR122">
        <f>COUNTIFS('DRAFT 2'!$D:$D,$B122,'DRAFT 2'!$A:$A,"&gt;="&amp;DATE(2026,10,22),'DRAFT 2'!$A:$A,"&lt;"&amp;DATE(2026,IF(10=12,10+1,10+1),1))</f>
        <v/>
      </c>
      <c r="HS122">
        <f>SUM(HO122:HR122)</f>
        <v/>
      </c>
      <c r="IC122">
        <f>IFERROR(LOOKUP(2,1/('DRAFT 2'!$D:$D=$B122)*('DRAFT 2'!$A:$A&gt;=DATE(2026,11,1))*('DRAFT 2'!$A:$A&lt;DATE(2026,IF(11=12,11+1,11+1),1)),'DRAFT 2'!$A:$A),"")</f>
        <v/>
      </c>
      <c r="ID122">
        <f>COUNTIFS('DRAFT 2'!$D:$D,$B122,'DRAFT 2'!$A:$A,"&gt;="&amp;DATE(2026,11,1),'DRAFT 2'!$A:$A,"&lt;="&amp;DATE(2026,11,7))</f>
        <v/>
      </c>
      <c r="IE122">
        <f>COUNTIFS('DRAFT 2'!$D:$D,$B122,'DRAFT 2'!$A:$A,"&gt;="&amp;DATE(2026,11,8),'DRAFT 2'!$A:$A,"&lt;="&amp;DATE(2026,11,14))</f>
        <v/>
      </c>
      <c r="IF122">
        <f>COUNTIFS('DRAFT 2'!$D:$D,$B122,'DRAFT 2'!$A:$A,"&gt;="&amp;DATE(2026,11,15),'DRAFT 2'!$A:$A,"&lt;="&amp;DATE(2026,11,21))</f>
        <v/>
      </c>
      <c r="IG122">
        <f>COUNTIFS('DRAFT 2'!$D:$D,$B122,'DRAFT 2'!$A:$A,"&gt;="&amp;DATE(2026,11,22),'DRAFT 2'!$A:$A,"&lt;"&amp;DATE(2026,IF(11=12,11+1,11+1),1))</f>
        <v/>
      </c>
      <c r="IH122">
        <f>SUM(ID122:IG122)</f>
        <v/>
      </c>
      <c r="IR122">
        <f>IFERROR(LOOKUP(2,1/('DRAFT 2'!$D:$D=$B122)*('DRAFT 2'!$A:$A&gt;=DATE(2026,12,1))*('DRAFT 2'!$A:$A&lt;DATE(2026,IF(12=12,12+1,12+1),1)),'DRAFT 2'!$A:$A),"")</f>
        <v/>
      </c>
      <c r="IS122">
        <f>COUNTIFS('DRAFT 2'!$D:$D,$B122,'DRAFT 2'!$A:$A,"&gt;="&amp;DATE(2026,12,1),'DRAFT 2'!$A:$A,"&lt;="&amp;DATE(2026,12,7))</f>
        <v/>
      </c>
      <c r="IT122">
        <f>COUNTIFS('DRAFT 2'!$D:$D,$B122,'DRAFT 2'!$A:$A,"&gt;="&amp;DATE(2026,12,8),'DRAFT 2'!$A:$A,"&lt;="&amp;DATE(2026,12,14))</f>
        <v/>
      </c>
      <c r="IU122">
        <f>COUNTIFS('DRAFT 2'!$D:$D,$B122,'DRAFT 2'!$A:$A,"&gt;="&amp;DATE(2026,12,15),'DRAFT 2'!$A:$A,"&lt;="&amp;DATE(2026,12,21))</f>
        <v/>
      </c>
      <c r="IV122">
        <f>COUNTIFS('DRAFT 2'!$D:$D,$B122,'DRAFT 2'!$A:$A,"&gt;="&amp;DATE(2026,12,22),'DRAFT 2'!$A:$A,"&lt;"&amp;DATE(2026,IF(12=12,12+1,12+1),1))</f>
        <v/>
      </c>
      <c r="IW122">
        <f>SUM(IS122:IV122)</f>
        <v/>
      </c>
    </row>
    <row r="123">
      <c r="A123">
        <f>IFERROR(INDEX('DRAFT 1'!$A:$A,MATCH($B123,'DRAFT 1'!$B:$B,0)),"")</f>
        <v/>
      </c>
      <c r="C123">
        <f>IFERROR(INDEX('DRAFT 1'!$C:$C,MATCH($B123,'DRAFT 1'!$B:$B,0)),"")</f>
        <v/>
      </c>
      <c r="D123">
        <f>IFERROR(INDEX('DRAFT 1'!$D:$D,MATCH($B123,'DRAFT 1'!$B:$B,0)),"")</f>
        <v/>
      </c>
      <c r="E123">
        <f>IFERROR(INDEX('DRAFT 1'!$E:$E,MATCH($B123,'DRAFT 1'!$B:$B,0)),"")</f>
        <v/>
      </c>
      <c r="F123">
        <f>IFERROR(INDEX('DRAFT 1'!$F:$F,MATCH($B123,'DRAFT 1'!$B:$B,0)),"")</f>
        <v/>
      </c>
      <c r="G123">
        <f>IFERROR(INDEX('DRAFT 1'!$G:$G,MATCH($B123,'DRAFT 1'!$B:$B,0)),"")</f>
        <v/>
      </c>
      <c r="H123">
        <f>IFERROR(INDEX('DRAFT 1'!$H:$H,MATCH($B123,'DRAFT 1'!$B:$B,0)),"")</f>
        <v/>
      </c>
      <c r="I123" t="inlineStr">
        <is>
          <t>TUDO EM GRAOS</t>
        </is>
      </c>
      <c r="K123">
        <f>IFERROR(INDEX('DRAFT 1'!$AL:$AL,MATCH($B123,'DRAFT 1'!$B:$B,0)),"")</f>
        <v/>
      </c>
      <c r="L123">
        <f>IFERROR(INDEX('DRAFT 1'!$J:$J,MATCH($B123,'DRAFT 1'!$B:$B,0)),"")</f>
        <v/>
      </c>
      <c r="M123">
        <f>IFERROR(INDEX('DRAFT 1'!$K:$K,MATCH($B123,'DRAFT 1'!$B:$B,0)),"")</f>
        <v/>
      </c>
      <c r="N123" t="inlineStr">
        <is>
          <t>ATIVO</t>
        </is>
      </c>
      <c r="P123">
        <f>IFERROR(INDEX('DRAFT 1'!$L:$L,MATCH($B123,'DRAFT 1'!$B:$B,0)),"")</f>
        <v/>
      </c>
      <c r="Q123">
        <f>IFERROR(INDEX('DRAFT 1'!$M:$M,MATCH($B123,'DRAFT 1'!$B:$B,0)),"")</f>
        <v/>
      </c>
      <c r="R123">
        <f>IFERROR(INDEX('DRAFT 1'!$N:$N,MATCH($B123,'DRAFT 1'!$B:$B,0)),"")</f>
        <v/>
      </c>
      <c r="S123">
        <f>IFERROR(INDEX('DRAFT 1'!$O:$O,MATCH($B123,'DRAFT 1'!$B:$B,0)),"")</f>
        <v/>
      </c>
      <c r="T123">
        <f>IFERROR(INDEX('DRAFT 1'!$P:$P,MATCH($B123,'DRAFT 1'!$B:$B,0)),"")</f>
        <v/>
      </c>
      <c r="U123">
        <f>IFERROR(INDEX('DRAFT 1'!$Q:$Q,MATCH($B123,'DRAFT 1'!$B:$B,0)),"")</f>
        <v/>
      </c>
      <c r="V123">
        <f>IFERROR(INDEX('DRAFT 1'!$R:$R,MATCH($B123,'DRAFT 1'!$B:$B,0)),"")</f>
        <v/>
      </c>
      <c r="W123">
        <f>IFERROR(INDEX('DRAFT 1'!$S:$S,MATCH($B123,'DRAFT 1'!$B:$B,0)),"")</f>
        <v/>
      </c>
      <c r="X123">
        <f>IFERROR(INDEX('DRAFT 1'!$T:$T,MATCH($B123,'DRAFT 1'!$B:$B,0)),"")</f>
        <v/>
      </c>
      <c r="Z123">
        <f>IFERROR(INDEX('DRAFT 1'!$U:$U,MATCH($B123,'DRAFT 1'!$B:$B,0)),"")</f>
        <v/>
      </c>
      <c r="AA123">
        <f>IFERROR(INDEX('DRAFT 1'!$V:$V,MATCH($B123,'DRAFT 1'!$B:$B,0)),"")</f>
        <v/>
      </c>
      <c r="AB123">
        <f>IFERROR(INDEX('DRAFT 1'!$W:$W,MATCH($B123,'DRAFT 1'!$B:$B,0)),"")</f>
        <v/>
      </c>
      <c r="AC123">
        <f>IFERROR(INDEX('DRAFT 1'!$X:$X,MATCH($B123,'DRAFT 1'!$B:$B,0)),"")</f>
        <v/>
      </c>
      <c r="AD123">
        <f>IFERROR(INDEX('DRAFT 1'!$Y:$Y,MATCH($B123,'DRAFT 1'!$B:$B,0)),"")</f>
        <v/>
      </c>
      <c r="AE123">
        <f>IFERROR(INDEX('DRAFT 1'!$Z:$Z,MATCH($B123,'DRAFT 1'!$B:$B,0)),"")</f>
        <v/>
      </c>
      <c r="AF123">
        <f>IFERROR(INDEX('DRAFT 1'!$AA:$AA,MATCH($B123,'DRAFT 1'!$B:$B,0)),"")</f>
        <v/>
      </c>
      <c r="AG123">
        <f>IFERROR(INDEX('DRAFT 1'!$AB:$AB,MATCH($B123,'DRAFT 1'!$B:$B,0)),"")</f>
        <v/>
      </c>
      <c r="AH123">
        <f>IFERROR(INDEX('DRAFT 1'!$AC:$AC,MATCH($B123,'DRAFT 1'!$B:$B,0)),"")</f>
        <v/>
      </c>
      <c r="AI123">
        <f>IFERROR(INDEX('DRAFT 1'!$AD:$AD,MATCH($B123,'DRAFT 1'!$B:$B,0)),"")</f>
        <v/>
      </c>
      <c r="AJ123">
        <f>IFERROR(INDEX('DRAFT 1'!$AE:$AE,MATCH($B123,'DRAFT 1'!$B:$B,0)),"")</f>
        <v/>
      </c>
      <c r="AK123">
        <f>IFERROR(INDEX('DRAFT 1'!$AG:$AG,MATCH($B123,'DRAFT 1'!$B:$B,0)),"")</f>
        <v/>
      </c>
      <c r="AL123">
        <f>IFERROR(INDEX('DRAFT 1'!$AH:$AH,MATCH($B123,'DRAFT 1'!$B:$B,0)),"")</f>
        <v/>
      </c>
      <c r="AM123">
        <f>IFERROR(INDEX('DRAFT 1'!$AI:$AI,MATCH($B123,'DRAFT 1'!$B:$B,0)),"")</f>
        <v/>
      </c>
      <c r="AN123">
        <f>IFERROR(INDEX('DRAFT 1'!$AJ:$AJ,MATCH($B123,'DRAFT 1'!$B:$B,0)),"")</f>
        <v/>
      </c>
      <c r="AO123">
        <f>IFERROR(Y123/AN123,0)</f>
        <v/>
      </c>
      <c r="AP123">
        <f>IFERROR(INDEX('DRAFT 1'!$AK:$AK,MATCH($B123,'DRAFT 1'!$B:$B,0)),"")</f>
        <v/>
      </c>
      <c r="AR123" t="inlineStr">
        <is>
          <t>CS</t>
        </is>
      </c>
      <c r="AS123">
        <f>IFERROR(LOOKUP(2,1/('DRAFT 2'!$D:$D=$B123),'DRAFT 2'!$T:$T),"")</f>
        <v/>
      </c>
      <c r="AT123">
        <f>IFERROR(LOOKUP(2,1/('DRAFT 2'!$D:$D=$B123),'DRAFT 2'!$A:$A),"")</f>
        <v/>
      </c>
      <c r="AU123">
        <f>IFERROR(LOOKUP(2,1/('DRAFT 2'!$D:$D=$B123),'DRAFT 2'!$R:$R),"")</f>
        <v/>
      </c>
      <c r="AV123">
        <f>IFERROR(LOOKUP(2,1/('DRAFT 2'!$D:$D=$B123),'DRAFT 2'!$S:$S),"")</f>
        <v/>
      </c>
      <c r="AW123" t="inlineStr">
        <is>
          <t>PROSPECT</t>
        </is>
      </c>
      <c r="AX123">
        <f>IFERROR(LOOKUP(2,1/('DRAFT 2'!$D:$D=$B123),'DRAFT 2'!$M:$M),"")</f>
        <v/>
      </c>
      <c r="AY123">
        <f>IFERROR(LOOKUP(2,1/('DRAFT 2'!$D:$D=$B123),'DRAFT 2'!$K:$K),"")</f>
        <v/>
      </c>
      <c r="BG123">
        <f>IFERROR(LOOKUP(2,1/('DRAFT 2'!$D:$D=$B123),'DRAFT 2'!$U:$U),"")</f>
        <v/>
      </c>
      <c r="BH123">
        <f>IFERROR(LOOKUP(2,1/('DRAFT 2'!$D:$D=$B123),'DRAFT 2'!$V:$V),"")</f>
        <v/>
      </c>
      <c r="CE123">
        <f>IFERROR(AJ123,0)</f>
        <v/>
      </c>
      <c r="CF123">
        <f>IFERROR(LOOKUP(2,1/('DRAFT 2'!$D:$D=$B123)*('DRAFT 2'!$A:$A&gt;=DATE(2026,1,1))*('DRAFT 2'!$A:$A&lt;DATE(2026,IF(1=12,1+1,1+1),1)),'DRAFT 2'!$A:$A),"")</f>
        <v/>
      </c>
      <c r="CG123">
        <f>COUNTIFS('DRAFT 2'!$D:$D,$B123,'DRAFT 2'!$A:$A,"&gt;="&amp;DATE(2026,1,1),'DRAFT 2'!$A:$A,"&lt;="&amp;DATE(2026,1,7))</f>
        <v/>
      </c>
      <c r="CH123">
        <f>COUNTIFS('DRAFT 2'!$D:$D,$B123,'DRAFT 2'!$A:$A,"&gt;="&amp;DATE(2026,1,8),'DRAFT 2'!$A:$A,"&lt;="&amp;DATE(2026,1,14))</f>
        <v/>
      </c>
      <c r="CI123">
        <f>COUNTIFS('DRAFT 2'!$D:$D,$B123,'DRAFT 2'!$A:$A,"&gt;="&amp;DATE(2026,1,15),'DRAFT 2'!$A:$A,"&lt;="&amp;DATE(2026,1,21))</f>
        <v/>
      </c>
      <c r="CJ123">
        <f>COUNTIFS('DRAFT 2'!$D:$D,$B123,'DRAFT 2'!$A:$A,"&gt;="&amp;DATE(2026,1,22),'DRAFT 2'!$A:$A,"&lt;"&amp;DATE(2026,IF(1=12,1+1,1+1),1))</f>
        <v/>
      </c>
      <c r="CK123">
        <f>SUM(CG123:CJ123)</f>
        <v/>
      </c>
      <c r="CT123" t="n">
        <v>0</v>
      </c>
      <c r="CU123">
        <f>IFERROR(LOOKUP(2,1/('DRAFT 2'!$D:$D=$B123)*('DRAFT 2'!$A:$A&gt;=DATE(2026,2,1))*('DRAFT 2'!$A:$A&lt;DATE(2026,IF(2=12,2+1,2+1),1)),'DRAFT 2'!$A:$A),"")</f>
        <v/>
      </c>
      <c r="CV123">
        <f>COUNTIFS('DRAFT 2'!$D:$D,$B123,'DRAFT 2'!$A:$A,"&gt;="&amp;DATE(2026,2,1),'DRAFT 2'!$A:$A,"&lt;="&amp;DATE(2026,2,7))</f>
        <v/>
      </c>
      <c r="CW123">
        <f>COUNTIFS('DRAFT 2'!$D:$D,$B123,'DRAFT 2'!$A:$A,"&gt;="&amp;DATE(2026,2,8),'DRAFT 2'!$A:$A,"&lt;="&amp;DATE(2026,2,14))</f>
        <v/>
      </c>
      <c r="CX123">
        <f>COUNTIFS('DRAFT 2'!$D:$D,$B123,'DRAFT 2'!$A:$A,"&gt;="&amp;DATE(2026,2,15),'DRAFT 2'!$A:$A,"&lt;="&amp;DATE(2026,2,21))</f>
        <v/>
      </c>
      <c r="CY123">
        <f>COUNTIFS('DRAFT 2'!$D:$D,$B123,'DRAFT 2'!$A:$A,"&gt;="&amp;DATE(2026,2,22),'DRAFT 2'!$A:$A,"&lt;"&amp;DATE(2026,IF(2=12,2+1,2+1),1))</f>
        <v/>
      </c>
      <c r="CZ123">
        <f>SUM(CV123:CY123)</f>
        <v/>
      </c>
      <c r="DJ123">
        <f>IFERROR(LOOKUP(2,1/('DRAFT 2'!$D:$D=$B123)*('DRAFT 2'!$A:$A&gt;=DATE(2026,3,1))*('DRAFT 2'!$A:$A&lt;DATE(2026,IF(3=12,3+1,3+1),1)),'DRAFT 2'!$A:$A),"")</f>
        <v/>
      </c>
      <c r="DK123">
        <f>COUNTIFS('DRAFT 2'!$D:$D,$B123,'DRAFT 2'!$A:$A,"&gt;="&amp;DATE(2026,3,1),'DRAFT 2'!$A:$A,"&lt;="&amp;DATE(2026,3,7))</f>
        <v/>
      </c>
      <c r="DL123">
        <f>COUNTIFS('DRAFT 2'!$D:$D,$B123,'DRAFT 2'!$A:$A,"&gt;="&amp;DATE(2026,3,8),'DRAFT 2'!$A:$A,"&lt;="&amp;DATE(2026,3,14))</f>
        <v/>
      </c>
      <c r="DM123">
        <f>COUNTIFS('DRAFT 2'!$D:$D,$B123,'DRAFT 2'!$A:$A,"&gt;="&amp;DATE(2026,3,15),'DRAFT 2'!$A:$A,"&lt;="&amp;DATE(2026,3,21))</f>
        <v/>
      </c>
      <c r="DN123">
        <f>COUNTIFS('DRAFT 2'!$D:$D,$B123,'DRAFT 2'!$A:$A,"&gt;="&amp;DATE(2026,3,22),'DRAFT 2'!$A:$A,"&lt;"&amp;DATE(2026,IF(3=12,3+1,3+1),1))</f>
        <v/>
      </c>
      <c r="DO123">
        <f>SUM(DK123:DN123)</f>
        <v/>
      </c>
      <c r="DZ123">
        <f>IFERROR(LOOKUP(2,1/('DRAFT 2'!$D:$D=$B123)*('DRAFT 2'!$A:$A&gt;=DATE(2026,4,1))*('DRAFT 2'!$A:$A&lt;DATE(2026,IF(4=12,4+1,4+1),1)),'DRAFT 2'!$A:$A),"")</f>
        <v/>
      </c>
      <c r="EA123">
        <f>COUNTIFS('DRAFT 2'!$D:$D,$B123,'DRAFT 2'!$A:$A,"&gt;="&amp;DATE(2026,4,1),'DRAFT 2'!$A:$A,"&lt;="&amp;DATE(2026,4,7))</f>
        <v/>
      </c>
      <c r="EB123">
        <f>COUNTIFS('DRAFT 2'!$D:$D,$B123,'DRAFT 2'!$A:$A,"&gt;="&amp;DATE(2026,4,8),'DRAFT 2'!$A:$A,"&lt;="&amp;DATE(2026,4,14))</f>
        <v/>
      </c>
      <c r="EC123">
        <f>COUNTIFS('DRAFT 2'!$D:$D,$B123,'DRAFT 2'!$A:$A,"&gt;="&amp;DATE(2026,4,15),'DRAFT 2'!$A:$A,"&lt;="&amp;DATE(2026,4,21))</f>
        <v/>
      </c>
      <c r="ED123">
        <f>COUNTIFS('DRAFT 2'!$D:$D,$B123,'DRAFT 2'!$A:$A,"&gt;="&amp;DATE(2026,4,22),'DRAFT 2'!$A:$A,"&lt;"&amp;DATE(2026,IF(4=12,4+1,4+1),1))</f>
        <v/>
      </c>
      <c r="EE123">
        <f>SUM(EA123:ED123)</f>
        <v/>
      </c>
      <c r="EO123">
        <f>IFERROR(LOOKUP(2,1/('DRAFT 2'!$D:$D=$B123)*('DRAFT 2'!$A:$A&gt;=DATE(2026,5,1))*('DRAFT 2'!$A:$A&lt;DATE(2026,IF(5=12,5+1,5+1),1)),'DRAFT 2'!$A:$A),"")</f>
        <v/>
      </c>
      <c r="EP123">
        <f>COUNTIFS('DRAFT 2'!$D:$D,$B123,'DRAFT 2'!$A:$A,"&gt;="&amp;DATE(2026,5,1),'DRAFT 2'!$A:$A,"&lt;="&amp;DATE(2026,5,7))</f>
        <v/>
      </c>
      <c r="EQ123">
        <f>COUNTIFS('DRAFT 2'!$D:$D,$B123,'DRAFT 2'!$A:$A,"&gt;="&amp;DATE(2026,5,8),'DRAFT 2'!$A:$A,"&lt;="&amp;DATE(2026,5,14))</f>
        <v/>
      </c>
      <c r="ER123">
        <f>COUNTIFS('DRAFT 2'!$D:$D,$B123,'DRAFT 2'!$A:$A,"&gt;="&amp;DATE(2026,5,15),'DRAFT 2'!$A:$A,"&lt;="&amp;DATE(2026,5,21))</f>
        <v/>
      </c>
      <c r="ES123">
        <f>COUNTIFS('DRAFT 2'!$D:$D,$B123,'DRAFT 2'!$A:$A,"&gt;="&amp;DATE(2026,5,22),'DRAFT 2'!$A:$A,"&lt;"&amp;DATE(2026,IF(5=12,5+1,5+1),1))</f>
        <v/>
      </c>
      <c r="ET123">
        <f>SUM(EP123:ES123)</f>
        <v/>
      </c>
      <c r="FD123">
        <f>IFERROR(LOOKUP(2,1/('DRAFT 2'!$D:$D=$B123)*('DRAFT 2'!$A:$A&gt;=DATE(2026,6,1))*('DRAFT 2'!$A:$A&lt;DATE(2026,IF(6=12,6+1,6+1),1)),'DRAFT 2'!$A:$A),"")</f>
        <v/>
      </c>
      <c r="FE123">
        <f>COUNTIFS('DRAFT 2'!$D:$D,$B123,'DRAFT 2'!$A:$A,"&gt;="&amp;DATE(2026,6,1),'DRAFT 2'!$A:$A,"&lt;="&amp;DATE(2026,6,7))</f>
        <v/>
      </c>
      <c r="FF123">
        <f>COUNTIFS('DRAFT 2'!$D:$D,$B123,'DRAFT 2'!$A:$A,"&gt;="&amp;DATE(2026,6,8),'DRAFT 2'!$A:$A,"&lt;="&amp;DATE(2026,6,14))</f>
        <v/>
      </c>
      <c r="FG123">
        <f>COUNTIFS('DRAFT 2'!$D:$D,$B123,'DRAFT 2'!$A:$A,"&gt;="&amp;DATE(2026,6,15),'DRAFT 2'!$A:$A,"&lt;="&amp;DATE(2026,6,21))</f>
        <v/>
      </c>
      <c r="FH123">
        <f>COUNTIFS('DRAFT 2'!$D:$D,$B123,'DRAFT 2'!$A:$A,"&gt;="&amp;DATE(2026,6,22),'DRAFT 2'!$A:$A,"&lt;"&amp;DATE(2026,IF(6=12,6+1,6+1),1))</f>
        <v/>
      </c>
      <c r="FI123">
        <f>SUM(FE123:FH123)</f>
        <v/>
      </c>
      <c r="FT123">
        <f>IFERROR(LOOKUP(2,1/('DRAFT 2'!$D:$D=$B123)*('DRAFT 2'!$A:$A&gt;=DATE(2026,7,1))*('DRAFT 2'!$A:$A&lt;DATE(2026,IF(7=12,7+1,7+1),1)),'DRAFT 2'!$A:$A),"")</f>
        <v/>
      </c>
      <c r="FU123">
        <f>COUNTIFS('DRAFT 2'!$D:$D,$B123,'DRAFT 2'!$A:$A,"&gt;="&amp;DATE(2026,7,1),'DRAFT 2'!$A:$A,"&lt;="&amp;DATE(2026,7,7))</f>
        <v/>
      </c>
      <c r="FV123">
        <f>COUNTIFS('DRAFT 2'!$D:$D,$B123,'DRAFT 2'!$A:$A,"&gt;="&amp;DATE(2026,7,8),'DRAFT 2'!$A:$A,"&lt;="&amp;DATE(2026,7,14))</f>
        <v/>
      </c>
      <c r="FW123">
        <f>COUNTIFS('DRAFT 2'!$D:$D,$B123,'DRAFT 2'!$A:$A,"&gt;="&amp;DATE(2026,7,15),'DRAFT 2'!$A:$A,"&lt;="&amp;DATE(2026,7,21))</f>
        <v/>
      </c>
      <c r="FX123">
        <f>COUNTIFS('DRAFT 2'!$D:$D,$B123,'DRAFT 2'!$A:$A,"&gt;="&amp;DATE(2026,7,22),'DRAFT 2'!$A:$A,"&lt;"&amp;DATE(2026,IF(7=12,7+1,7+1),1))</f>
        <v/>
      </c>
      <c r="FY123">
        <f>SUM(FU123:FX123)</f>
        <v/>
      </c>
      <c r="GI123">
        <f>IFERROR(LOOKUP(2,1/('DRAFT 2'!$D:$D=$B123)*('DRAFT 2'!$A:$A&gt;=DATE(2026,8,1))*('DRAFT 2'!$A:$A&lt;DATE(2026,IF(8=12,8+1,8+1),1)),'DRAFT 2'!$A:$A),"")</f>
        <v/>
      </c>
      <c r="GJ123">
        <f>COUNTIFS('DRAFT 2'!$D:$D,$B123,'DRAFT 2'!$A:$A,"&gt;="&amp;DATE(2026,8,1),'DRAFT 2'!$A:$A,"&lt;="&amp;DATE(2026,8,7))</f>
        <v/>
      </c>
      <c r="GK123">
        <f>COUNTIFS('DRAFT 2'!$D:$D,$B123,'DRAFT 2'!$A:$A,"&gt;="&amp;DATE(2026,8,8),'DRAFT 2'!$A:$A,"&lt;="&amp;DATE(2026,8,14))</f>
        <v/>
      </c>
      <c r="GL123">
        <f>COUNTIFS('DRAFT 2'!$D:$D,$B123,'DRAFT 2'!$A:$A,"&gt;="&amp;DATE(2026,8,15),'DRAFT 2'!$A:$A,"&lt;="&amp;DATE(2026,8,21))</f>
        <v/>
      </c>
      <c r="GM123">
        <f>COUNTIFS('DRAFT 2'!$D:$D,$B123,'DRAFT 2'!$A:$A,"&gt;="&amp;DATE(2026,8,22),'DRAFT 2'!$A:$A,"&lt;"&amp;DATE(2026,IF(8=12,8+1,8+1),1))</f>
        <v/>
      </c>
      <c r="GN123">
        <f>SUM(GJ123:GM123)</f>
        <v/>
      </c>
      <c r="GX123">
        <f>IFERROR(LOOKUP(2,1/('DRAFT 2'!$D:$D=$B123)*('DRAFT 2'!$A:$A&gt;=DATE(2026,9,1))*('DRAFT 2'!$A:$A&lt;DATE(2026,IF(9=12,9+1,9+1),1)),'DRAFT 2'!$A:$A),"")</f>
        <v/>
      </c>
      <c r="GY123">
        <f>COUNTIFS('DRAFT 2'!$D:$D,$B123,'DRAFT 2'!$A:$A,"&gt;="&amp;DATE(2026,9,1),'DRAFT 2'!$A:$A,"&lt;="&amp;DATE(2026,9,7))</f>
        <v/>
      </c>
      <c r="GZ123">
        <f>COUNTIFS('DRAFT 2'!$D:$D,$B123,'DRAFT 2'!$A:$A,"&gt;="&amp;DATE(2026,9,8),'DRAFT 2'!$A:$A,"&lt;="&amp;DATE(2026,9,14))</f>
        <v/>
      </c>
      <c r="HA123">
        <f>COUNTIFS('DRAFT 2'!$D:$D,$B123,'DRAFT 2'!$A:$A,"&gt;="&amp;DATE(2026,9,15),'DRAFT 2'!$A:$A,"&lt;="&amp;DATE(2026,9,21))</f>
        <v/>
      </c>
      <c r="HB123">
        <f>COUNTIFS('DRAFT 2'!$D:$D,$B123,'DRAFT 2'!$A:$A,"&gt;="&amp;DATE(2026,9,22),'DRAFT 2'!$A:$A,"&lt;"&amp;DATE(2026,IF(9=12,9+1,9+1),1))</f>
        <v/>
      </c>
      <c r="HC123">
        <f>SUM(GY123:HB123)</f>
        <v/>
      </c>
      <c r="HN123">
        <f>IFERROR(LOOKUP(2,1/('DRAFT 2'!$D:$D=$B123)*('DRAFT 2'!$A:$A&gt;=DATE(2026,10,1))*('DRAFT 2'!$A:$A&lt;DATE(2026,IF(10=12,10+1,10+1),1)),'DRAFT 2'!$A:$A),"")</f>
        <v/>
      </c>
      <c r="HO123">
        <f>COUNTIFS('DRAFT 2'!$D:$D,$B123,'DRAFT 2'!$A:$A,"&gt;="&amp;DATE(2026,10,1),'DRAFT 2'!$A:$A,"&lt;="&amp;DATE(2026,10,7))</f>
        <v/>
      </c>
      <c r="HP123">
        <f>COUNTIFS('DRAFT 2'!$D:$D,$B123,'DRAFT 2'!$A:$A,"&gt;="&amp;DATE(2026,10,8),'DRAFT 2'!$A:$A,"&lt;="&amp;DATE(2026,10,14))</f>
        <v/>
      </c>
      <c r="HQ123">
        <f>COUNTIFS('DRAFT 2'!$D:$D,$B123,'DRAFT 2'!$A:$A,"&gt;="&amp;DATE(2026,10,15),'DRAFT 2'!$A:$A,"&lt;="&amp;DATE(2026,10,21))</f>
        <v/>
      </c>
      <c r="HR123">
        <f>COUNTIFS('DRAFT 2'!$D:$D,$B123,'DRAFT 2'!$A:$A,"&gt;="&amp;DATE(2026,10,22),'DRAFT 2'!$A:$A,"&lt;"&amp;DATE(2026,IF(10=12,10+1,10+1),1))</f>
        <v/>
      </c>
      <c r="HS123">
        <f>SUM(HO123:HR123)</f>
        <v/>
      </c>
      <c r="IC123">
        <f>IFERROR(LOOKUP(2,1/('DRAFT 2'!$D:$D=$B123)*('DRAFT 2'!$A:$A&gt;=DATE(2026,11,1))*('DRAFT 2'!$A:$A&lt;DATE(2026,IF(11=12,11+1,11+1),1)),'DRAFT 2'!$A:$A),"")</f>
        <v/>
      </c>
      <c r="ID123">
        <f>COUNTIFS('DRAFT 2'!$D:$D,$B123,'DRAFT 2'!$A:$A,"&gt;="&amp;DATE(2026,11,1),'DRAFT 2'!$A:$A,"&lt;="&amp;DATE(2026,11,7))</f>
        <v/>
      </c>
      <c r="IE123">
        <f>COUNTIFS('DRAFT 2'!$D:$D,$B123,'DRAFT 2'!$A:$A,"&gt;="&amp;DATE(2026,11,8),'DRAFT 2'!$A:$A,"&lt;="&amp;DATE(2026,11,14))</f>
        <v/>
      </c>
      <c r="IF123">
        <f>COUNTIFS('DRAFT 2'!$D:$D,$B123,'DRAFT 2'!$A:$A,"&gt;="&amp;DATE(2026,11,15),'DRAFT 2'!$A:$A,"&lt;="&amp;DATE(2026,11,21))</f>
        <v/>
      </c>
      <c r="IG123">
        <f>COUNTIFS('DRAFT 2'!$D:$D,$B123,'DRAFT 2'!$A:$A,"&gt;="&amp;DATE(2026,11,22),'DRAFT 2'!$A:$A,"&lt;"&amp;DATE(2026,IF(11=12,11+1,11+1),1))</f>
        <v/>
      </c>
      <c r="IH123">
        <f>SUM(ID123:IG123)</f>
        <v/>
      </c>
      <c r="IR123">
        <f>IFERROR(LOOKUP(2,1/('DRAFT 2'!$D:$D=$B123)*('DRAFT 2'!$A:$A&gt;=DATE(2026,12,1))*('DRAFT 2'!$A:$A&lt;DATE(2026,IF(12=12,12+1,12+1),1)),'DRAFT 2'!$A:$A),"")</f>
        <v/>
      </c>
      <c r="IS123">
        <f>COUNTIFS('DRAFT 2'!$D:$D,$B123,'DRAFT 2'!$A:$A,"&gt;="&amp;DATE(2026,12,1),'DRAFT 2'!$A:$A,"&lt;="&amp;DATE(2026,12,7))</f>
        <v/>
      </c>
      <c r="IT123">
        <f>COUNTIFS('DRAFT 2'!$D:$D,$B123,'DRAFT 2'!$A:$A,"&gt;="&amp;DATE(2026,12,8),'DRAFT 2'!$A:$A,"&lt;="&amp;DATE(2026,12,14))</f>
        <v/>
      </c>
      <c r="IU123">
        <f>COUNTIFS('DRAFT 2'!$D:$D,$B123,'DRAFT 2'!$A:$A,"&gt;="&amp;DATE(2026,12,15),'DRAFT 2'!$A:$A,"&lt;="&amp;DATE(2026,12,21))</f>
        <v/>
      </c>
      <c r="IV123">
        <f>COUNTIFS('DRAFT 2'!$D:$D,$B123,'DRAFT 2'!$A:$A,"&gt;="&amp;DATE(2026,12,22),'DRAFT 2'!$A:$A,"&lt;"&amp;DATE(2026,IF(12=12,12+1,12+1),1))</f>
        <v/>
      </c>
      <c r="IW123">
        <f>SUM(IS123:IV123)</f>
        <v/>
      </c>
    </row>
    <row r="124">
      <c r="A124">
        <f>IFERROR(INDEX('DRAFT 1'!$A:$A,MATCH($B124,'DRAFT 1'!$B:$B,0)),"")</f>
        <v/>
      </c>
      <c r="C124">
        <f>IFERROR(INDEX('DRAFT 1'!$C:$C,MATCH($B124,'DRAFT 1'!$B:$B,0)),"")</f>
        <v/>
      </c>
      <c r="D124">
        <f>IFERROR(INDEX('DRAFT 1'!$D:$D,MATCH($B124,'DRAFT 1'!$B:$B,0)),"")</f>
        <v/>
      </c>
      <c r="E124">
        <f>IFERROR(INDEX('DRAFT 1'!$E:$E,MATCH($B124,'DRAFT 1'!$B:$B,0)),"")</f>
        <v/>
      </c>
      <c r="F124">
        <f>IFERROR(INDEX('DRAFT 1'!$F:$F,MATCH($B124,'DRAFT 1'!$B:$B,0)),"")</f>
        <v/>
      </c>
      <c r="G124">
        <f>IFERROR(INDEX('DRAFT 1'!$G:$G,MATCH($B124,'DRAFT 1'!$B:$B,0)),"")</f>
        <v/>
      </c>
      <c r="H124">
        <f>IFERROR(INDEX('DRAFT 1'!$H:$H,MATCH($B124,'DRAFT 1'!$B:$B,0)),"")</f>
        <v/>
      </c>
      <c r="I124">
        <f>IFERROR(INDEX('DRAFT 1'!$I:$I,MATCH($B124,'DRAFT 1'!$B:$B,0)),"")</f>
        <v/>
      </c>
      <c r="K124">
        <f>IFERROR(INDEX('DRAFT 1'!$AL:$AL,MATCH($B124,'DRAFT 1'!$B:$B,0)),"")</f>
        <v/>
      </c>
      <c r="L124">
        <f>IFERROR(INDEX('DRAFT 1'!$J:$J,MATCH($B124,'DRAFT 1'!$B:$B,0)),"")</f>
        <v/>
      </c>
      <c r="M124">
        <f>IFERROR(INDEX('DRAFT 1'!$K:$K,MATCH($B124,'DRAFT 1'!$B:$B,0)),"")</f>
        <v/>
      </c>
      <c r="P124">
        <f>IFERROR(INDEX('DRAFT 1'!$L:$L,MATCH($B124,'DRAFT 1'!$B:$B,0)),"")</f>
        <v/>
      </c>
      <c r="Q124">
        <f>IFERROR(INDEX('DRAFT 1'!$M:$M,MATCH($B124,'DRAFT 1'!$B:$B,0)),"")</f>
        <v/>
      </c>
      <c r="R124">
        <f>IFERROR(INDEX('DRAFT 1'!$N:$N,MATCH($B124,'DRAFT 1'!$B:$B,0)),"")</f>
        <v/>
      </c>
      <c r="S124">
        <f>IFERROR(INDEX('DRAFT 1'!$O:$O,MATCH($B124,'DRAFT 1'!$B:$B,0)),"")</f>
        <v/>
      </c>
      <c r="T124">
        <f>IFERROR(INDEX('DRAFT 1'!$P:$P,MATCH($B124,'DRAFT 1'!$B:$B,0)),"")</f>
        <v/>
      </c>
      <c r="U124">
        <f>IFERROR(INDEX('DRAFT 1'!$Q:$Q,MATCH($B124,'DRAFT 1'!$B:$B,0)),"")</f>
        <v/>
      </c>
      <c r="V124">
        <f>IFERROR(INDEX('DRAFT 1'!$R:$R,MATCH($B124,'DRAFT 1'!$B:$B,0)),"")</f>
        <v/>
      </c>
      <c r="W124">
        <f>IFERROR(INDEX('DRAFT 1'!$S:$S,MATCH($B124,'DRAFT 1'!$B:$B,0)),"")</f>
        <v/>
      </c>
      <c r="X124">
        <f>IFERROR(INDEX('DRAFT 1'!$T:$T,MATCH($B124,'DRAFT 1'!$B:$B,0)),"")</f>
        <v/>
      </c>
      <c r="Z124">
        <f>IFERROR(INDEX('DRAFT 1'!$U:$U,MATCH($B124,'DRAFT 1'!$B:$B,0)),"")</f>
        <v/>
      </c>
      <c r="AA124">
        <f>IFERROR(INDEX('DRAFT 1'!$V:$V,MATCH($B124,'DRAFT 1'!$B:$B,0)),"")</f>
        <v/>
      </c>
      <c r="AB124">
        <f>IFERROR(INDEX('DRAFT 1'!$W:$W,MATCH($B124,'DRAFT 1'!$B:$B,0)),"")</f>
        <v/>
      </c>
      <c r="AC124">
        <f>IFERROR(INDEX('DRAFT 1'!$X:$X,MATCH($B124,'DRAFT 1'!$B:$B,0)),"")</f>
        <v/>
      </c>
      <c r="AD124">
        <f>IFERROR(INDEX('DRAFT 1'!$Y:$Y,MATCH($B124,'DRAFT 1'!$B:$B,0)),"")</f>
        <v/>
      </c>
      <c r="AE124">
        <f>IFERROR(INDEX('DRAFT 1'!$Z:$Z,MATCH($B124,'DRAFT 1'!$B:$B,0)),"")</f>
        <v/>
      </c>
      <c r="AF124">
        <f>IFERROR(INDEX('DRAFT 1'!$AA:$AA,MATCH($B124,'DRAFT 1'!$B:$B,0)),"")</f>
        <v/>
      </c>
      <c r="AG124">
        <f>IFERROR(INDEX('DRAFT 1'!$AB:$AB,MATCH($B124,'DRAFT 1'!$B:$B,0)),"")</f>
        <v/>
      </c>
      <c r="AH124">
        <f>IFERROR(INDEX('DRAFT 1'!$AC:$AC,MATCH($B124,'DRAFT 1'!$B:$B,0)),"")</f>
        <v/>
      </c>
      <c r="AI124">
        <f>IFERROR(INDEX('DRAFT 1'!$AD:$AD,MATCH($B124,'DRAFT 1'!$B:$B,0)),"")</f>
        <v/>
      </c>
      <c r="AJ124">
        <f>IFERROR(INDEX('DRAFT 1'!$AE:$AE,MATCH($B124,'DRAFT 1'!$B:$B,0)),"")</f>
        <v/>
      </c>
      <c r="AK124">
        <f>IFERROR(INDEX('DRAFT 1'!$AG:$AG,MATCH($B124,'DRAFT 1'!$B:$B,0)),"")</f>
        <v/>
      </c>
      <c r="AL124">
        <f>IFERROR(INDEX('DRAFT 1'!$AH:$AH,MATCH($B124,'DRAFT 1'!$B:$B,0)),"")</f>
        <v/>
      </c>
      <c r="AM124">
        <f>IFERROR(INDEX('DRAFT 1'!$AI:$AI,MATCH($B124,'DRAFT 1'!$B:$B,0)),"")</f>
        <v/>
      </c>
      <c r="AN124">
        <f>IFERROR(INDEX('DRAFT 1'!$AJ:$AJ,MATCH($B124,'DRAFT 1'!$B:$B,0)),"")</f>
        <v/>
      </c>
      <c r="AO124">
        <f>IFERROR(Y124/AN124,0)</f>
        <v/>
      </c>
      <c r="AP124">
        <f>IFERROR(INDEX('DRAFT 1'!$AK:$AK,MATCH($B124,'DRAFT 1'!$B:$B,0)),"")</f>
        <v/>
      </c>
      <c r="AR124">
        <f>IFERROR(LOOKUP(2,1/('DRAFT 2'!$D:$D=$B124),'DRAFT 2'!$I:$I),"")</f>
        <v/>
      </c>
      <c r="AS124">
        <f>IFERROR(LOOKUP(2,1/('DRAFT 2'!$D:$D=$B124),'DRAFT 2'!$T:$T),"")</f>
        <v/>
      </c>
      <c r="AT124">
        <f>IFERROR(LOOKUP(2,1/('DRAFT 2'!$D:$D=$B124),'DRAFT 2'!$A:$A),"")</f>
        <v/>
      </c>
      <c r="AU124">
        <f>IFERROR(LOOKUP(2,1/('DRAFT 2'!$D:$D=$B124),'DRAFT 2'!$R:$R),"")</f>
        <v/>
      </c>
      <c r="AV124">
        <f>IFERROR(LOOKUP(2,1/('DRAFT 2'!$D:$D=$B124),'DRAFT 2'!$S:$S),"")</f>
        <v/>
      </c>
      <c r="AX124">
        <f>IFERROR(LOOKUP(2,1/('DRAFT 2'!$D:$D=$B124),'DRAFT 2'!$M:$M),"")</f>
        <v/>
      </c>
      <c r="AY124">
        <f>IFERROR(LOOKUP(2,1/('DRAFT 2'!$D:$D=$B124),'DRAFT 2'!$K:$K),"")</f>
        <v/>
      </c>
      <c r="BG124">
        <f>IFERROR(LOOKUP(2,1/('DRAFT 2'!$D:$D=$B124),'DRAFT 2'!$U:$U),"")</f>
        <v/>
      </c>
      <c r="BH124">
        <f>IFERROR(LOOKUP(2,1/('DRAFT 2'!$D:$D=$B124),'DRAFT 2'!$V:$V),"")</f>
        <v/>
      </c>
      <c r="CE124">
        <f>IFERROR(AJ124,0)</f>
        <v/>
      </c>
      <c r="CF124">
        <f>IFERROR(LOOKUP(2,1/('DRAFT 2'!$D:$D=$B124)*('DRAFT 2'!$A:$A&gt;=DATE(2026,1,1))*('DRAFT 2'!$A:$A&lt;DATE(2026,IF(1=12,1+1,1+1),1)),'DRAFT 2'!$A:$A),"")</f>
        <v/>
      </c>
      <c r="CG124">
        <f>COUNTIFS('DRAFT 2'!$D:$D,$B124,'DRAFT 2'!$A:$A,"&gt;="&amp;DATE(2026,1,1),'DRAFT 2'!$A:$A,"&lt;="&amp;DATE(2026,1,7))</f>
        <v/>
      </c>
      <c r="CH124">
        <f>COUNTIFS('DRAFT 2'!$D:$D,$B124,'DRAFT 2'!$A:$A,"&gt;="&amp;DATE(2026,1,8),'DRAFT 2'!$A:$A,"&lt;="&amp;DATE(2026,1,14))</f>
        <v/>
      </c>
      <c r="CI124">
        <f>COUNTIFS('DRAFT 2'!$D:$D,$B124,'DRAFT 2'!$A:$A,"&gt;="&amp;DATE(2026,1,15),'DRAFT 2'!$A:$A,"&lt;="&amp;DATE(2026,1,21))</f>
        <v/>
      </c>
      <c r="CJ124">
        <f>COUNTIFS('DRAFT 2'!$D:$D,$B124,'DRAFT 2'!$A:$A,"&gt;="&amp;DATE(2026,1,22),'DRAFT 2'!$A:$A,"&lt;"&amp;DATE(2026,IF(1=12,1+1,1+1),1))</f>
        <v/>
      </c>
      <c r="CK124">
        <f>SUM(CG124:CJ124)</f>
        <v/>
      </c>
      <c r="CT124" t="n">
        <v>0</v>
      </c>
      <c r="CU124">
        <f>IFERROR(LOOKUP(2,1/('DRAFT 2'!$D:$D=$B124)*('DRAFT 2'!$A:$A&gt;=DATE(2026,2,1))*('DRAFT 2'!$A:$A&lt;DATE(2026,IF(2=12,2+1,2+1),1)),'DRAFT 2'!$A:$A),"")</f>
        <v/>
      </c>
      <c r="CV124">
        <f>COUNTIFS('DRAFT 2'!$D:$D,$B124,'DRAFT 2'!$A:$A,"&gt;="&amp;DATE(2026,2,1),'DRAFT 2'!$A:$A,"&lt;="&amp;DATE(2026,2,7))</f>
        <v/>
      </c>
      <c r="CW124">
        <f>COUNTIFS('DRAFT 2'!$D:$D,$B124,'DRAFT 2'!$A:$A,"&gt;="&amp;DATE(2026,2,8),'DRAFT 2'!$A:$A,"&lt;="&amp;DATE(2026,2,14))</f>
        <v/>
      </c>
      <c r="CX124">
        <f>COUNTIFS('DRAFT 2'!$D:$D,$B124,'DRAFT 2'!$A:$A,"&gt;="&amp;DATE(2026,2,15),'DRAFT 2'!$A:$A,"&lt;="&amp;DATE(2026,2,21))</f>
        <v/>
      </c>
      <c r="CY124">
        <f>COUNTIFS('DRAFT 2'!$D:$D,$B124,'DRAFT 2'!$A:$A,"&gt;="&amp;DATE(2026,2,22),'DRAFT 2'!$A:$A,"&lt;"&amp;DATE(2026,IF(2=12,2+1,2+1),1))</f>
        <v/>
      </c>
      <c r="CZ124">
        <f>SUM(CV124:CY124)</f>
        <v/>
      </c>
      <c r="DJ124">
        <f>IFERROR(LOOKUP(2,1/('DRAFT 2'!$D:$D=$B124)*('DRAFT 2'!$A:$A&gt;=DATE(2026,3,1))*('DRAFT 2'!$A:$A&lt;DATE(2026,IF(3=12,3+1,3+1),1)),'DRAFT 2'!$A:$A),"")</f>
        <v/>
      </c>
      <c r="DK124">
        <f>COUNTIFS('DRAFT 2'!$D:$D,$B124,'DRAFT 2'!$A:$A,"&gt;="&amp;DATE(2026,3,1),'DRAFT 2'!$A:$A,"&lt;="&amp;DATE(2026,3,7))</f>
        <v/>
      </c>
      <c r="DL124">
        <f>COUNTIFS('DRAFT 2'!$D:$D,$B124,'DRAFT 2'!$A:$A,"&gt;="&amp;DATE(2026,3,8),'DRAFT 2'!$A:$A,"&lt;="&amp;DATE(2026,3,14))</f>
        <v/>
      </c>
      <c r="DM124">
        <f>COUNTIFS('DRAFT 2'!$D:$D,$B124,'DRAFT 2'!$A:$A,"&gt;="&amp;DATE(2026,3,15),'DRAFT 2'!$A:$A,"&lt;="&amp;DATE(2026,3,21))</f>
        <v/>
      </c>
      <c r="DN124">
        <f>COUNTIFS('DRAFT 2'!$D:$D,$B124,'DRAFT 2'!$A:$A,"&gt;="&amp;DATE(2026,3,22),'DRAFT 2'!$A:$A,"&lt;"&amp;DATE(2026,IF(3=12,3+1,3+1),1))</f>
        <v/>
      </c>
      <c r="DO124">
        <f>SUM(DK124:DN124)</f>
        <v/>
      </c>
      <c r="DZ124">
        <f>IFERROR(LOOKUP(2,1/('DRAFT 2'!$D:$D=$B124)*('DRAFT 2'!$A:$A&gt;=DATE(2026,4,1))*('DRAFT 2'!$A:$A&lt;DATE(2026,IF(4=12,4+1,4+1),1)),'DRAFT 2'!$A:$A),"")</f>
        <v/>
      </c>
      <c r="EA124">
        <f>COUNTIFS('DRAFT 2'!$D:$D,$B124,'DRAFT 2'!$A:$A,"&gt;="&amp;DATE(2026,4,1),'DRAFT 2'!$A:$A,"&lt;="&amp;DATE(2026,4,7))</f>
        <v/>
      </c>
      <c r="EB124">
        <f>COUNTIFS('DRAFT 2'!$D:$D,$B124,'DRAFT 2'!$A:$A,"&gt;="&amp;DATE(2026,4,8),'DRAFT 2'!$A:$A,"&lt;="&amp;DATE(2026,4,14))</f>
        <v/>
      </c>
      <c r="EC124">
        <f>COUNTIFS('DRAFT 2'!$D:$D,$B124,'DRAFT 2'!$A:$A,"&gt;="&amp;DATE(2026,4,15),'DRAFT 2'!$A:$A,"&lt;="&amp;DATE(2026,4,21))</f>
        <v/>
      </c>
      <c r="ED124">
        <f>COUNTIFS('DRAFT 2'!$D:$D,$B124,'DRAFT 2'!$A:$A,"&gt;="&amp;DATE(2026,4,22),'DRAFT 2'!$A:$A,"&lt;"&amp;DATE(2026,IF(4=12,4+1,4+1),1))</f>
        <v/>
      </c>
      <c r="EE124">
        <f>SUM(EA124:ED124)</f>
        <v/>
      </c>
      <c r="EO124">
        <f>IFERROR(LOOKUP(2,1/('DRAFT 2'!$D:$D=$B124)*('DRAFT 2'!$A:$A&gt;=DATE(2026,5,1))*('DRAFT 2'!$A:$A&lt;DATE(2026,IF(5=12,5+1,5+1),1)),'DRAFT 2'!$A:$A),"")</f>
        <v/>
      </c>
      <c r="EP124">
        <f>COUNTIFS('DRAFT 2'!$D:$D,$B124,'DRAFT 2'!$A:$A,"&gt;="&amp;DATE(2026,5,1),'DRAFT 2'!$A:$A,"&lt;="&amp;DATE(2026,5,7))</f>
        <v/>
      </c>
      <c r="EQ124">
        <f>COUNTIFS('DRAFT 2'!$D:$D,$B124,'DRAFT 2'!$A:$A,"&gt;="&amp;DATE(2026,5,8),'DRAFT 2'!$A:$A,"&lt;="&amp;DATE(2026,5,14))</f>
        <v/>
      </c>
      <c r="ER124">
        <f>COUNTIFS('DRAFT 2'!$D:$D,$B124,'DRAFT 2'!$A:$A,"&gt;="&amp;DATE(2026,5,15),'DRAFT 2'!$A:$A,"&lt;="&amp;DATE(2026,5,21))</f>
        <v/>
      </c>
      <c r="ES124">
        <f>COUNTIFS('DRAFT 2'!$D:$D,$B124,'DRAFT 2'!$A:$A,"&gt;="&amp;DATE(2026,5,22),'DRAFT 2'!$A:$A,"&lt;"&amp;DATE(2026,IF(5=12,5+1,5+1),1))</f>
        <v/>
      </c>
      <c r="ET124">
        <f>SUM(EP124:ES124)</f>
        <v/>
      </c>
      <c r="FD124">
        <f>IFERROR(LOOKUP(2,1/('DRAFT 2'!$D:$D=$B124)*('DRAFT 2'!$A:$A&gt;=DATE(2026,6,1))*('DRAFT 2'!$A:$A&lt;DATE(2026,IF(6=12,6+1,6+1),1)),'DRAFT 2'!$A:$A),"")</f>
        <v/>
      </c>
      <c r="FE124">
        <f>COUNTIFS('DRAFT 2'!$D:$D,$B124,'DRAFT 2'!$A:$A,"&gt;="&amp;DATE(2026,6,1),'DRAFT 2'!$A:$A,"&lt;="&amp;DATE(2026,6,7))</f>
        <v/>
      </c>
      <c r="FF124">
        <f>COUNTIFS('DRAFT 2'!$D:$D,$B124,'DRAFT 2'!$A:$A,"&gt;="&amp;DATE(2026,6,8),'DRAFT 2'!$A:$A,"&lt;="&amp;DATE(2026,6,14))</f>
        <v/>
      </c>
      <c r="FG124">
        <f>COUNTIFS('DRAFT 2'!$D:$D,$B124,'DRAFT 2'!$A:$A,"&gt;="&amp;DATE(2026,6,15),'DRAFT 2'!$A:$A,"&lt;="&amp;DATE(2026,6,21))</f>
        <v/>
      </c>
      <c r="FH124">
        <f>COUNTIFS('DRAFT 2'!$D:$D,$B124,'DRAFT 2'!$A:$A,"&gt;="&amp;DATE(2026,6,22),'DRAFT 2'!$A:$A,"&lt;"&amp;DATE(2026,IF(6=12,6+1,6+1),1))</f>
        <v/>
      </c>
      <c r="FI124">
        <f>SUM(FE124:FH124)</f>
        <v/>
      </c>
      <c r="FT124">
        <f>IFERROR(LOOKUP(2,1/('DRAFT 2'!$D:$D=$B124)*('DRAFT 2'!$A:$A&gt;=DATE(2026,7,1))*('DRAFT 2'!$A:$A&lt;DATE(2026,IF(7=12,7+1,7+1),1)),'DRAFT 2'!$A:$A),"")</f>
        <v/>
      </c>
      <c r="FU124">
        <f>COUNTIFS('DRAFT 2'!$D:$D,$B124,'DRAFT 2'!$A:$A,"&gt;="&amp;DATE(2026,7,1),'DRAFT 2'!$A:$A,"&lt;="&amp;DATE(2026,7,7))</f>
        <v/>
      </c>
      <c r="FV124">
        <f>COUNTIFS('DRAFT 2'!$D:$D,$B124,'DRAFT 2'!$A:$A,"&gt;="&amp;DATE(2026,7,8),'DRAFT 2'!$A:$A,"&lt;="&amp;DATE(2026,7,14))</f>
        <v/>
      </c>
      <c r="FW124">
        <f>COUNTIFS('DRAFT 2'!$D:$D,$B124,'DRAFT 2'!$A:$A,"&gt;="&amp;DATE(2026,7,15),'DRAFT 2'!$A:$A,"&lt;="&amp;DATE(2026,7,21))</f>
        <v/>
      </c>
      <c r="FX124">
        <f>COUNTIFS('DRAFT 2'!$D:$D,$B124,'DRAFT 2'!$A:$A,"&gt;="&amp;DATE(2026,7,22),'DRAFT 2'!$A:$A,"&lt;"&amp;DATE(2026,IF(7=12,7+1,7+1),1))</f>
        <v/>
      </c>
      <c r="FY124">
        <f>SUM(FU124:FX124)</f>
        <v/>
      </c>
      <c r="GI124">
        <f>IFERROR(LOOKUP(2,1/('DRAFT 2'!$D:$D=$B124)*('DRAFT 2'!$A:$A&gt;=DATE(2026,8,1))*('DRAFT 2'!$A:$A&lt;DATE(2026,IF(8=12,8+1,8+1),1)),'DRAFT 2'!$A:$A),"")</f>
        <v/>
      </c>
      <c r="GJ124">
        <f>COUNTIFS('DRAFT 2'!$D:$D,$B124,'DRAFT 2'!$A:$A,"&gt;="&amp;DATE(2026,8,1),'DRAFT 2'!$A:$A,"&lt;="&amp;DATE(2026,8,7))</f>
        <v/>
      </c>
      <c r="GK124">
        <f>COUNTIFS('DRAFT 2'!$D:$D,$B124,'DRAFT 2'!$A:$A,"&gt;="&amp;DATE(2026,8,8),'DRAFT 2'!$A:$A,"&lt;="&amp;DATE(2026,8,14))</f>
        <v/>
      </c>
      <c r="GL124">
        <f>COUNTIFS('DRAFT 2'!$D:$D,$B124,'DRAFT 2'!$A:$A,"&gt;="&amp;DATE(2026,8,15),'DRAFT 2'!$A:$A,"&lt;="&amp;DATE(2026,8,21))</f>
        <v/>
      </c>
      <c r="GM124">
        <f>COUNTIFS('DRAFT 2'!$D:$D,$B124,'DRAFT 2'!$A:$A,"&gt;="&amp;DATE(2026,8,22),'DRAFT 2'!$A:$A,"&lt;"&amp;DATE(2026,IF(8=12,8+1,8+1),1))</f>
        <v/>
      </c>
      <c r="GN124">
        <f>SUM(GJ124:GM124)</f>
        <v/>
      </c>
      <c r="GX124">
        <f>IFERROR(LOOKUP(2,1/('DRAFT 2'!$D:$D=$B124)*('DRAFT 2'!$A:$A&gt;=DATE(2026,9,1))*('DRAFT 2'!$A:$A&lt;DATE(2026,IF(9=12,9+1,9+1),1)),'DRAFT 2'!$A:$A),"")</f>
        <v/>
      </c>
      <c r="GY124">
        <f>COUNTIFS('DRAFT 2'!$D:$D,$B124,'DRAFT 2'!$A:$A,"&gt;="&amp;DATE(2026,9,1),'DRAFT 2'!$A:$A,"&lt;="&amp;DATE(2026,9,7))</f>
        <v/>
      </c>
      <c r="GZ124">
        <f>COUNTIFS('DRAFT 2'!$D:$D,$B124,'DRAFT 2'!$A:$A,"&gt;="&amp;DATE(2026,9,8),'DRAFT 2'!$A:$A,"&lt;="&amp;DATE(2026,9,14))</f>
        <v/>
      </c>
      <c r="HA124">
        <f>COUNTIFS('DRAFT 2'!$D:$D,$B124,'DRAFT 2'!$A:$A,"&gt;="&amp;DATE(2026,9,15),'DRAFT 2'!$A:$A,"&lt;="&amp;DATE(2026,9,21))</f>
        <v/>
      </c>
      <c r="HB124">
        <f>COUNTIFS('DRAFT 2'!$D:$D,$B124,'DRAFT 2'!$A:$A,"&gt;="&amp;DATE(2026,9,22),'DRAFT 2'!$A:$A,"&lt;"&amp;DATE(2026,IF(9=12,9+1,9+1),1))</f>
        <v/>
      </c>
      <c r="HC124">
        <f>SUM(GY124:HB124)</f>
        <v/>
      </c>
      <c r="HN124">
        <f>IFERROR(LOOKUP(2,1/('DRAFT 2'!$D:$D=$B124)*('DRAFT 2'!$A:$A&gt;=DATE(2026,10,1))*('DRAFT 2'!$A:$A&lt;DATE(2026,IF(10=12,10+1,10+1),1)),'DRAFT 2'!$A:$A),"")</f>
        <v/>
      </c>
      <c r="HO124">
        <f>COUNTIFS('DRAFT 2'!$D:$D,$B124,'DRAFT 2'!$A:$A,"&gt;="&amp;DATE(2026,10,1),'DRAFT 2'!$A:$A,"&lt;="&amp;DATE(2026,10,7))</f>
        <v/>
      </c>
      <c r="HP124">
        <f>COUNTIFS('DRAFT 2'!$D:$D,$B124,'DRAFT 2'!$A:$A,"&gt;="&amp;DATE(2026,10,8),'DRAFT 2'!$A:$A,"&lt;="&amp;DATE(2026,10,14))</f>
        <v/>
      </c>
      <c r="HQ124">
        <f>COUNTIFS('DRAFT 2'!$D:$D,$B124,'DRAFT 2'!$A:$A,"&gt;="&amp;DATE(2026,10,15),'DRAFT 2'!$A:$A,"&lt;="&amp;DATE(2026,10,21))</f>
        <v/>
      </c>
      <c r="HR124">
        <f>COUNTIFS('DRAFT 2'!$D:$D,$B124,'DRAFT 2'!$A:$A,"&gt;="&amp;DATE(2026,10,22),'DRAFT 2'!$A:$A,"&lt;"&amp;DATE(2026,IF(10=12,10+1,10+1),1))</f>
        <v/>
      </c>
      <c r="HS124">
        <f>SUM(HO124:HR124)</f>
        <v/>
      </c>
      <c r="IC124">
        <f>IFERROR(LOOKUP(2,1/('DRAFT 2'!$D:$D=$B124)*('DRAFT 2'!$A:$A&gt;=DATE(2026,11,1))*('DRAFT 2'!$A:$A&lt;DATE(2026,IF(11=12,11+1,11+1),1)),'DRAFT 2'!$A:$A),"")</f>
        <v/>
      </c>
      <c r="ID124">
        <f>COUNTIFS('DRAFT 2'!$D:$D,$B124,'DRAFT 2'!$A:$A,"&gt;="&amp;DATE(2026,11,1),'DRAFT 2'!$A:$A,"&lt;="&amp;DATE(2026,11,7))</f>
        <v/>
      </c>
      <c r="IE124">
        <f>COUNTIFS('DRAFT 2'!$D:$D,$B124,'DRAFT 2'!$A:$A,"&gt;="&amp;DATE(2026,11,8),'DRAFT 2'!$A:$A,"&lt;="&amp;DATE(2026,11,14))</f>
        <v/>
      </c>
      <c r="IF124">
        <f>COUNTIFS('DRAFT 2'!$D:$D,$B124,'DRAFT 2'!$A:$A,"&gt;="&amp;DATE(2026,11,15),'DRAFT 2'!$A:$A,"&lt;="&amp;DATE(2026,11,21))</f>
        <v/>
      </c>
      <c r="IG124">
        <f>COUNTIFS('DRAFT 2'!$D:$D,$B124,'DRAFT 2'!$A:$A,"&gt;="&amp;DATE(2026,11,22),'DRAFT 2'!$A:$A,"&lt;"&amp;DATE(2026,IF(11=12,11+1,11+1),1))</f>
        <v/>
      </c>
      <c r="IH124">
        <f>SUM(ID124:IG124)</f>
        <v/>
      </c>
      <c r="IR124">
        <f>IFERROR(LOOKUP(2,1/('DRAFT 2'!$D:$D=$B124)*('DRAFT 2'!$A:$A&gt;=DATE(2026,12,1))*('DRAFT 2'!$A:$A&lt;DATE(2026,IF(12=12,12+1,12+1),1)),'DRAFT 2'!$A:$A),"")</f>
        <v/>
      </c>
      <c r="IS124">
        <f>COUNTIFS('DRAFT 2'!$D:$D,$B124,'DRAFT 2'!$A:$A,"&gt;="&amp;DATE(2026,12,1),'DRAFT 2'!$A:$A,"&lt;="&amp;DATE(2026,12,7))</f>
        <v/>
      </c>
      <c r="IT124">
        <f>COUNTIFS('DRAFT 2'!$D:$D,$B124,'DRAFT 2'!$A:$A,"&gt;="&amp;DATE(2026,12,8),'DRAFT 2'!$A:$A,"&lt;="&amp;DATE(2026,12,14))</f>
        <v/>
      </c>
      <c r="IU124">
        <f>COUNTIFS('DRAFT 2'!$D:$D,$B124,'DRAFT 2'!$A:$A,"&gt;="&amp;DATE(2026,12,15),'DRAFT 2'!$A:$A,"&lt;="&amp;DATE(2026,12,21))</f>
        <v/>
      </c>
      <c r="IV124">
        <f>COUNTIFS('DRAFT 2'!$D:$D,$B124,'DRAFT 2'!$A:$A,"&gt;="&amp;DATE(2026,12,22),'DRAFT 2'!$A:$A,"&lt;"&amp;DATE(2026,IF(12=12,12+1,12+1),1))</f>
        <v/>
      </c>
      <c r="IW124">
        <f>SUM(IS124:IV124)</f>
        <v/>
      </c>
    </row>
    <row r="125">
      <c r="A125">
        <f>IFERROR(INDEX('DRAFT 1'!$A:$A,MATCH($B125,'DRAFT 1'!$B:$B,0)),"")</f>
        <v/>
      </c>
      <c r="C125">
        <f>IFERROR(INDEX('DRAFT 1'!$C:$C,MATCH($B125,'DRAFT 1'!$B:$B,0)),"")</f>
        <v/>
      </c>
      <c r="D125">
        <f>IFERROR(INDEX('DRAFT 1'!$D:$D,MATCH($B125,'DRAFT 1'!$B:$B,0)),"")</f>
        <v/>
      </c>
      <c r="E125">
        <f>IFERROR(INDEX('DRAFT 1'!$E:$E,MATCH($B125,'DRAFT 1'!$B:$B,0)),"")</f>
        <v/>
      </c>
      <c r="F125">
        <f>IFERROR(INDEX('DRAFT 1'!$F:$F,MATCH($B125,'DRAFT 1'!$B:$B,0)),"")</f>
        <v/>
      </c>
      <c r="G125">
        <f>IFERROR(INDEX('DRAFT 1'!$G:$G,MATCH($B125,'DRAFT 1'!$B:$B,0)),"")</f>
        <v/>
      </c>
      <c r="H125">
        <f>IFERROR(INDEX('DRAFT 1'!$H:$H,MATCH($B125,'DRAFT 1'!$B:$B,0)),"")</f>
        <v/>
      </c>
      <c r="I125">
        <f>IFERROR(INDEX('DRAFT 1'!$I:$I,MATCH($B125,'DRAFT 1'!$B:$B,0)),"")</f>
        <v/>
      </c>
      <c r="K125">
        <f>IFERROR(INDEX('DRAFT 1'!$AL:$AL,MATCH($B125,'DRAFT 1'!$B:$B,0)),"")</f>
        <v/>
      </c>
      <c r="L125">
        <f>IFERROR(INDEX('DRAFT 1'!$J:$J,MATCH($B125,'DRAFT 1'!$B:$B,0)),"")</f>
        <v/>
      </c>
      <c r="M125">
        <f>IFERROR(INDEX('DRAFT 1'!$K:$K,MATCH($B125,'DRAFT 1'!$B:$B,0)),"")</f>
        <v/>
      </c>
      <c r="P125">
        <f>IFERROR(INDEX('DRAFT 1'!$L:$L,MATCH($B125,'DRAFT 1'!$B:$B,0)),"")</f>
        <v/>
      </c>
      <c r="Q125">
        <f>IFERROR(INDEX('DRAFT 1'!$M:$M,MATCH($B125,'DRAFT 1'!$B:$B,0)),"")</f>
        <v/>
      </c>
      <c r="R125">
        <f>IFERROR(INDEX('DRAFT 1'!$N:$N,MATCH($B125,'DRAFT 1'!$B:$B,0)),"")</f>
        <v/>
      </c>
      <c r="S125">
        <f>IFERROR(INDEX('DRAFT 1'!$O:$O,MATCH($B125,'DRAFT 1'!$B:$B,0)),"")</f>
        <v/>
      </c>
      <c r="T125">
        <f>IFERROR(INDEX('DRAFT 1'!$P:$P,MATCH($B125,'DRAFT 1'!$B:$B,0)),"")</f>
        <v/>
      </c>
      <c r="U125">
        <f>IFERROR(INDEX('DRAFT 1'!$Q:$Q,MATCH($B125,'DRAFT 1'!$B:$B,0)),"")</f>
        <v/>
      </c>
      <c r="V125">
        <f>IFERROR(INDEX('DRAFT 1'!$R:$R,MATCH($B125,'DRAFT 1'!$B:$B,0)),"")</f>
        <v/>
      </c>
      <c r="W125">
        <f>IFERROR(INDEX('DRAFT 1'!$S:$S,MATCH($B125,'DRAFT 1'!$B:$B,0)),"")</f>
        <v/>
      </c>
      <c r="X125">
        <f>IFERROR(INDEX('DRAFT 1'!$T:$T,MATCH($B125,'DRAFT 1'!$B:$B,0)),"")</f>
        <v/>
      </c>
      <c r="Z125">
        <f>IFERROR(INDEX('DRAFT 1'!$U:$U,MATCH($B125,'DRAFT 1'!$B:$B,0)),"")</f>
        <v/>
      </c>
      <c r="AA125">
        <f>IFERROR(INDEX('DRAFT 1'!$V:$V,MATCH($B125,'DRAFT 1'!$B:$B,0)),"")</f>
        <v/>
      </c>
      <c r="AB125">
        <f>IFERROR(INDEX('DRAFT 1'!$W:$W,MATCH($B125,'DRAFT 1'!$B:$B,0)),"")</f>
        <v/>
      </c>
      <c r="AC125">
        <f>IFERROR(INDEX('DRAFT 1'!$X:$X,MATCH($B125,'DRAFT 1'!$B:$B,0)),"")</f>
        <v/>
      </c>
      <c r="AD125">
        <f>IFERROR(INDEX('DRAFT 1'!$Y:$Y,MATCH($B125,'DRAFT 1'!$B:$B,0)),"")</f>
        <v/>
      </c>
      <c r="AE125">
        <f>IFERROR(INDEX('DRAFT 1'!$Z:$Z,MATCH($B125,'DRAFT 1'!$B:$B,0)),"")</f>
        <v/>
      </c>
      <c r="AF125">
        <f>IFERROR(INDEX('DRAFT 1'!$AA:$AA,MATCH($B125,'DRAFT 1'!$B:$B,0)),"")</f>
        <v/>
      </c>
      <c r="AG125">
        <f>IFERROR(INDEX('DRAFT 1'!$AB:$AB,MATCH($B125,'DRAFT 1'!$B:$B,0)),"")</f>
        <v/>
      </c>
      <c r="AH125">
        <f>IFERROR(INDEX('DRAFT 1'!$AC:$AC,MATCH($B125,'DRAFT 1'!$B:$B,0)),"")</f>
        <v/>
      </c>
      <c r="AI125">
        <f>IFERROR(INDEX('DRAFT 1'!$AD:$AD,MATCH($B125,'DRAFT 1'!$B:$B,0)),"")</f>
        <v/>
      </c>
      <c r="AJ125">
        <f>IFERROR(INDEX('DRAFT 1'!$AE:$AE,MATCH($B125,'DRAFT 1'!$B:$B,0)),"")</f>
        <v/>
      </c>
      <c r="AK125">
        <f>IFERROR(INDEX('DRAFT 1'!$AG:$AG,MATCH($B125,'DRAFT 1'!$B:$B,0)),"")</f>
        <v/>
      </c>
      <c r="AL125">
        <f>IFERROR(INDEX('DRAFT 1'!$AH:$AH,MATCH($B125,'DRAFT 1'!$B:$B,0)),"")</f>
        <v/>
      </c>
      <c r="AM125">
        <f>IFERROR(INDEX('DRAFT 1'!$AI:$AI,MATCH($B125,'DRAFT 1'!$B:$B,0)),"")</f>
        <v/>
      </c>
      <c r="AN125">
        <f>IFERROR(INDEX('DRAFT 1'!$AJ:$AJ,MATCH($B125,'DRAFT 1'!$B:$B,0)),"")</f>
        <v/>
      </c>
      <c r="AO125">
        <f>IFERROR(Y125/AN125,0)</f>
        <v/>
      </c>
      <c r="AP125">
        <f>IFERROR(INDEX('DRAFT 1'!$AK:$AK,MATCH($B125,'DRAFT 1'!$B:$B,0)),"")</f>
        <v/>
      </c>
      <c r="AR125">
        <f>IFERROR(LOOKUP(2,1/('DRAFT 2'!$D:$D=$B125),'DRAFT 2'!$I:$I),"")</f>
        <v/>
      </c>
      <c r="AS125">
        <f>IFERROR(LOOKUP(2,1/('DRAFT 2'!$D:$D=$B125),'DRAFT 2'!$T:$T),"")</f>
        <v/>
      </c>
      <c r="AT125">
        <f>IFERROR(LOOKUP(2,1/('DRAFT 2'!$D:$D=$B125),'DRAFT 2'!$A:$A),"")</f>
        <v/>
      </c>
      <c r="AU125">
        <f>IFERROR(LOOKUP(2,1/('DRAFT 2'!$D:$D=$B125),'DRAFT 2'!$R:$R),"")</f>
        <v/>
      </c>
      <c r="AV125">
        <f>IFERROR(LOOKUP(2,1/('DRAFT 2'!$D:$D=$B125),'DRAFT 2'!$S:$S),"")</f>
        <v/>
      </c>
      <c r="AX125">
        <f>IFERROR(LOOKUP(2,1/('DRAFT 2'!$D:$D=$B125),'DRAFT 2'!$M:$M),"")</f>
        <v/>
      </c>
      <c r="AY125">
        <f>IFERROR(LOOKUP(2,1/('DRAFT 2'!$D:$D=$B125),'DRAFT 2'!$K:$K),"")</f>
        <v/>
      </c>
      <c r="BG125">
        <f>IFERROR(LOOKUP(2,1/('DRAFT 2'!$D:$D=$B125),'DRAFT 2'!$U:$U),"")</f>
        <v/>
      </c>
      <c r="BH125">
        <f>IFERROR(LOOKUP(2,1/('DRAFT 2'!$D:$D=$B125),'DRAFT 2'!$V:$V),"")</f>
        <v/>
      </c>
      <c r="CE125">
        <f>IFERROR(AJ125,0)</f>
        <v/>
      </c>
      <c r="CF125">
        <f>IFERROR(LOOKUP(2,1/('DRAFT 2'!$D:$D=$B125)*('DRAFT 2'!$A:$A&gt;=DATE(2026,1,1))*('DRAFT 2'!$A:$A&lt;DATE(2026,IF(1=12,1+1,1+1),1)),'DRAFT 2'!$A:$A),"")</f>
        <v/>
      </c>
      <c r="CG125">
        <f>COUNTIFS('DRAFT 2'!$D:$D,$B125,'DRAFT 2'!$A:$A,"&gt;="&amp;DATE(2026,1,1),'DRAFT 2'!$A:$A,"&lt;="&amp;DATE(2026,1,7))</f>
        <v/>
      </c>
      <c r="CH125">
        <f>COUNTIFS('DRAFT 2'!$D:$D,$B125,'DRAFT 2'!$A:$A,"&gt;="&amp;DATE(2026,1,8),'DRAFT 2'!$A:$A,"&lt;="&amp;DATE(2026,1,14))</f>
        <v/>
      </c>
      <c r="CI125">
        <f>COUNTIFS('DRAFT 2'!$D:$D,$B125,'DRAFT 2'!$A:$A,"&gt;="&amp;DATE(2026,1,15),'DRAFT 2'!$A:$A,"&lt;="&amp;DATE(2026,1,21))</f>
        <v/>
      </c>
      <c r="CJ125">
        <f>COUNTIFS('DRAFT 2'!$D:$D,$B125,'DRAFT 2'!$A:$A,"&gt;="&amp;DATE(2026,1,22),'DRAFT 2'!$A:$A,"&lt;"&amp;DATE(2026,IF(1=12,1+1,1+1),1))</f>
        <v/>
      </c>
      <c r="CK125">
        <f>SUM(CG125:CJ125)</f>
        <v/>
      </c>
      <c r="CT125" t="n">
        <v>0</v>
      </c>
      <c r="CU125">
        <f>IFERROR(LOOKUP(2,1/('DRAFT 2'!$D:$D=$B125)*('DRAFT 2'!$A:$A&gt;=DATE(2026,2,1))*('DRAFT 2'!$A:$A&lt;DATE(2026,IF(2=12,2+1,2+1),1)),'DRAFT 2'!$A:$A),"")</f>
        <v/>
      </c>
      <c r="CV125">
        <f>COUNTIFS('DRAFT 2'!$D:$D,$B125,'DRAFT 2'!$A:$A,"&gt;="&amp;DATE(2026,2,1),'DRAFT 2'!$A:$A,"&lt;="&amp;DATE(2026,2,7))</f>
        <v/>
      </c>
      <c r="CW125">
        <f>COUNTIFS('DRAFT 2'!$D:$D,$B125,'DRAFT 2'!$A:$A,"&gt;="&amp;DATE(2026,2,8),'DRAFT 2'!$A:$A,"&lt;="&amp;DATE(2026,2,14))</f>
        <v/>
      </c>
      <c r="CX125">
        <f>COUNTIFS('DRAFT 2'!$D:$D,$B125,'DRAFT 2'!$A:$A,"&gt;="&amp;DATE(2026,2,15),'DRAFT 2'!$A:$A,"&lt;="&amp;DATE(2026,2,21))</f>
        <v/>
      </c>
      <c r="CY125">
        <f>COUNTIFS('DRAFT 2'!$D:$D,$B125,'DRAFT 2'!$A:$A,"&gt;="&amp;DATE(2026,2,22),'DRAFT 2'!$A:$A,"&lt;"&amp;DATE(2026,IF(2=12,2+1,2+1),1))</f>
        <v/>
      </c>
      <c r="CZ125">
        <f>SUM(CV125:CY125)</f>
        <v/>
      </c>
      <c r="DJ125">
        <f>IFERROR(LOOKUP(2,1/('DRAFT 2'!$D:$D=$B125)*('DRAFT 2'!$A:$A&gt;=DATE(2026,3,1))*('DRAFT 2'!$A:$A&lt;DATE(2026,IF(3=12,3+1,3+1),1)),'DRAFT 2'!$A:$A),"")</f>
        <v/>
      </c>
      <c r="DK125">
        <f>COUNTIFS('DRAFT 2'!$D:$D,$B125,'DRAFT 2'!$A:$A,"&gt;="&amp;DATE(2026,3,1),'DRAFT 2'!$A:$A,"&lt;="&amp;DATE(2026,3,7))</f>
        <v/>
      </c>
      <c r="DL125">
        <f>COUNTIFS('DRAFT 2'!$D:$D,$B125,'DRAFT 2'!$A:$A,"&gt;="&amp;DATE(2026,3,8),'DRAFT 2'!$A:$A,"&lt;="&amp;DATE(2026,3,14))</f>
        <v/>
      </c>
      <c r="DM125">
        <f>COUNTIFS('DRAFT 2'!$D:$D,$B125,'DRAFT 2'!$A:$A,"&gt;="&amp;DATE(2026,3,15),'DRAFT 2'!$A:$A,"&lt;="&amp;DATE(2026,3,21))</f>
        <v/>
      </c>
      <c r="DN125">
        <f>COUNTIFS('DRAFT 2'!$D:$D,$B125,'DRAFT 2'!$A:$A,"&gt;="&amp;DATE(2026,3,22),'DRAFT 2'!$A:$A,"&lt;"&amp;DATE(2026,IF(3=12,3+1,3+1),1))</f>
        <v/>
      </c>
      <c r="DO125">
        <f>SUM(DK125:DN125)</f>
        <v/>
      </c>
      <c r="DZ125">
        <f>IFERROR(LOOKUP(2,1/('DRAFT 2'!$D:$D=$B125)*('DRAFT 2'!$A:$A&gt;=DATE(2026,4,1))*('DRAFT 2'!$A:$A&lt;DATE(2026,IF(4=12,4+1,4+1),1)),'DRAFT 2'!$A:$A),"")</f>
        <v/>
      </c>
      <c r="EA125">
        <f>COUNTIFS('DRAFT 2'!$D:$D,$B125,'DRAFT 2'!$A:$A,"&gt;="&amp;DATE(2026,4,1),'DRAFT 2'!$A:$A,"&lt;="&amp;DATE(2026,4,7))</f>
        <v/>
      </c>
      <c r="EB125">
        <f>COUNTIFS('DRAFT 2'!$D:$D,$B125,'DRAFT 2'!$A:$A,"&gt;="&amp;DATE(2026,4,8),'DRAFT 2'!$A:$A,"&lt;="&amp;DATE(2026,4,14))</f>
        <v/>
      </c>
      <c r="EC125">
        <f>COUNTIFS('DRAFT 2'!$D:$D,$B125,'DRAFT 2'!$A:$A,"&gt;="&amp;DATE(2026,4,15),'DRAFT 2'!$A:$A,"&lt;="&amp;DATE(2026,4,21))</f>
        <v/>
      </c>
      <c r="ED125">
        <f>COUNTIFS('DRAFT 2'!$D:$D,$B125,'DRAFT 2'!$A:$A,"&gt;="&amp;DATE(2026,4,22),'DRAFT 2'!$A:$A,"&lt;"&amp;DATE(2026,IF(4=12,4+1,4+1),1))</f>
        <v/>
      </c>
      <c r="EE125">
        <f>SUM(EA125:ED125)</f>
        <v/>
      </c>
      <c r="EO125">
        <f>IFERROR(LOOKUP(2,1/('DRAFT 2'!$D:$D=$B125)*('DRAFT 2'!$A:$A&gt;=DATE(2026,5,1))*('DRAFT 2'!$A:$A&lt;DATE(2026,IF(5=12,5+1,5+1),1)),'DRAFT 2'!$A:$A),"")</f>
        <v/>
      </c>
      <c r="EP125">
        <f>COUNTIFS('DRAFT 2'!$D:$D,$B125,'DRAFT 2'!$A:$A,"&gt;="&amp;DATE(2026,5,1),'DRAFT 2'!$A:$A,"&lt;="&amp;DATE(2026,5,7))</f>
        <v/>
      </c>
      <c r="EQ125">
        <f>COUNTIFS('DRAFT 2'!$D:$D,$B125,'DRAFT 2'!$A:$A,"&gt;="&amp;DATE(2026,5,8),'DRAFT 2'!$A:$A,"&lt;="&amp;DATE(2026,5,14))</f>
        <v/>
      </c>
      <c r="ER125">
        <f>COUNTIFS('DRAFT 2'!$D:$D,$B125,'DRAFT 2'!$A:$A,"&gt;="&amp;DATE(2026,5,15),'DRAFT 2'!$A:$A,"&lt;="&amp;DATE(2026,5,21))</f>
        <v/>
      </c>
      <c r="ES125">
        <f>COUNTIFS('DRAFT 2'!$D:$D,$B125,'DRAFT 2'!$A:$A,"&gt;="&amp;DATE(2026,5,22),'DRAFT 2'!$A:$A,"&lt;"&amp;DATE(2026,IF(5=12,5+1,5+1),1))</f>
        <v/>
      </c>
      <c r="ET125">
        <f>SUM(EP125:ES125)</f>
        <v/>
      </c>
      <c r="FD125">
        <f>IFERROR(LOOKUP(2,1/('DRAFT 2'!$D:$D=$B125)*('DRAFT 2'!$A:$A&gt;=DATE(2026,6,1))*('DRAFT 2'!$A:$A&lt;DATE(2026,IF(6=12,6+1,6+1),1)),'DRAFT 2'!$A:$A),"")</f>
        <v/>
      </c>
      <c r="FE125">
        <f>COUNTIFS('DRAFT 2'!$D:$D,$B125,'DRAFT 2'!$A:$A,"&gt;="&amp;DATE(2026,6,1),'DRAFT 2'!$A:$A,"&lt;="&amp;DATE(2026,6,7))</f>
        <v/>
      </c>
      <c r="FF125">
        <f>COUNTIFS('DRAFT 2'!$D:$D,$B125,'DRAFT 2'!$A:$A,"&gt;="&amp;DATE(2026,6,8),'DRAFT 2'!$A:$A,"&lt;="&amp;DATE(2026,6,14))</f>
        <v/>
      </c>
      <c r="FG125">
        <f>COUNTIFS('DRAFT 2'!$D:$D,$B125,'DRAFT 2'!$A:$A,"&gt;="&amp;DATE(2026,6,15),'DRAFT 2'!$A:$A,"&lt;="&amp;DATE(2026,6,21))</f>
        <v/>
      </c>
      <c r="FH125">
        <f>COUNTIFS('DRAFT 2'!$D:$D,$B125,'DRAFT 2'!$A:$A,"&gt;="&amp;DATE(2026,6,22),'DRAFT 2'!$A:$A,"&lt;"&amp;DATE(2026,IF(6=12,6+1,6+1),1))</f>
        <v/>
      </c>
      <c r="FI125">
        <f>SUM(FE125:FH125)</f>
        <v/>
      </c>
      <c r="FT125">
        <f>IFERROR(LOOKUP(2,1/('DRAFT 2'!$D:$D=$B125)*('DRAFT 2'!$A:$A&gt;=DATE(2026,7,1))*('DRAFT 2'!$A:$A&lt;DATE(2026,IF(7=12,7+1,7+1),1)),'DRAFT 2'!$A:$A),"")</f>
        <v/>
      </c>
      <c r="FU125">
        <f>COUNTIFS('DRAFT 2'!$D:$D,$B125,'DRAFT 2'!$A:$A,"&gt;="&amp;DATE(2026,7,1),'DRAFT 2'!$A:$A,"&lt;="&amp;DATE(2026,7,7))</f>
        <v/>
      </c>
      <c r="FV125">
        <f>COUNTIFS('DRAFT 2'!$D:$D,$B125,'DRAFT 2'!$A:$A,"&gt;="&amp;DATE(2026,7,8),'DRAFT 2'!$A:$A,"&lt;="&amp;DATE(2026,7,14))</f>
        <v/>
      </c>
      <c r="FW125">
        <f>COUNTIFS('DRAFT 2'!$D:$D,$B125,'DRAFT 2'!$A:$A,"&gt;="&amp;DATE(2026,7,15),'DRAFT 2'!$A:$A,"&lt;="&amp;DATE(2026,7,21))</f>
        <v/>
      </c>
      <c r="FX125">
        <f>COUNTIFS('DRAFT 2'!$D:$D,$B125,'DRAFT 2'!$A:$A,"&gt;="&amp;DATE(2026,7,22),'DRAFT 2'!$A:$A,"&lt;"&amp;DATE(2026,IF(7=12,7+1,7+1),1))</f>
        <v/>
      </c>
      <c r="FY125">
        <f>SUM(FU125:FX125)</f>
        <v/>
      </c>
      <c r="GI125">
        <f>IFERROR(LOOKUP(2,1/('DRAFT 2'!$D:$D=$B125)*('DRAFT 2'!$A:$A&gt;=DATE(2026,8,1))*('DRAFT 2'!$A:$A&lt;DATE(2026,IF(8=12,8+1,8+1),1)),'DRAFT 2'!$A:$A),"")</f>
        <v/>
      </c>
      <c r="GJ125">
        <f>COUNTIFS('DRAFT 2'!$D:$D,$B125,'DRAFT 2'!$A:$A,"&gt;="&amp;DATE(2026,8,1),'DRAFT 2'!$A:$A,"&lt;="&amp;DATE(2026,8,7))</f>
        <v/>
      </c>
      <c r="GK125">
        <f>COUNTIFS('DRAFT 2'!$D:$D,$B125,'DRAFT 2'!$A:$A,"&gt;="&amp;DATE(2026,8,8),'DRAFT 2'!$A:$A,"&lt;="&amp;DATE(2026,8,14))</f>
        <v/>
      </c>
      <c r="GL125">
        <f>COUNTIFS('DRAFT 2'!$D:$D,$B125,'DRAFT 2'!$A:$A,"&gt;="&amp;DATE(2026,8,15),'DRAFT 2'!$A:$A,"&lt;="&amp;DATE(2026,8,21))</f>
        <v/>
      </c>
      <c r="GM125">
        <f>COUNTIFS('DRAFT 2'!$D:$D,$B125,'DRAFT 2'!$A:$A,"&gt;="&amp;DATE(2026,8,22),'DRAFT 2'!$A:$A,"&lt;"&amp;DATE(2026,IF(8=12,8+1,8+1),1))</f>
        <v/>
      </c>
      <c r="GN125">
        <f>SUM(GJ125:GM125)</f>
        <v/>
      </c>
      <c r="GX125">
        <f>IFERROR(LOOKUP(2,1/('DRAFT 2'!$D:$D=$B125)*('DRAFT 2'!$A:$A&gt;=DATE(2026,9,1))*('DRAFT 2'!$A:$A&lt;DATE(2026,IF(9=12,9+1,9+1),1)),'DRAFT 2'!$A:$A),"")</f>
        <v/>
      </c>
      <c r="GY125">
        <f>COUNTIFS('DRAFT 2'!$D:$D,$B125,'DRAFT 2'!$A:$A,"&gt;="&amp;DATE(2026,9,1),'DRAFT 2'!$A:$A,"&lt;="&amp;DATE(2026,9,7))</f>
        <v/>
      </c>
      <c r="GZ125">
        <f>COUNTIFS('DRAFT 2'!$D:$D,$B125,'DRAFT 2'!$A:$A,"&gt;="&amp;DATE(2026,9,8),'DRAFT 2'!$A:$A,"&lt;="&amp;DATE(2026,9,14))</f>
        <v/>
      </c>
      <c r="HA125">
        <f>COUNTIFS('DRAFT 2'!$D:$D,$B125,'DRAFT 2'!$A:$A,"&gt;="&amp;DATE(2026,9,15),'DRAFT 2'!$A:$A,"&lt;="&amp;DATE(2026,9,21))</f>
        <v/>
      </c>
      <c r="HB125">
        <f>COUNTIFS('DRAFT 2'!$D:$D,$B125,'DRAFT 2'!$A:$A,"&gt;="&amp;DATE(2026,9,22),'DRAFT 2'!$A:$A,"&lt;"&amp;DATE(2026,IF(9=12,9+1,9+1),1))</f>
        <v/>
      </c>
      <c r="HC125">
        <f>SUM(GY125:HB125)</f>
        <v/>
      </c>
      <c r="HN125">
        <f>IFERROR(LOOKUP(2,1/('DRAFT 2'!$D:$D=$B125)*('DRAFT 2'!$A:$A&gt;=DATE(2026,10,1))*('DRAFT 2'!$A:$A&lt;DATE(2026,IF(10=12,10+1,10+1),1)),'DRAFT 2'!$A:$A),"")</f>
        <v/>
      </c>
      <c r="HO125">
        <f>COUNTIFS('DRAFT 2'!$D:$D,$B125,'DRAFT 2'!$A:$A,"&gt;="&amp;DATE(2026,10,1),'DRAFT 2'!$A:$A,"&lt;="&amp;DATE(2026,10,7))</f>
        <v/>
      </c>
      <c r="HP125">
        <f>COUNTIFS('DRAFT 2'!$D:$D,$B125,'DRAFT 2'!$A:$A,"&gt;="&amp;DATE(2026,10,8),'DRAFT 2'!$A:$A,"&lt;="&amp;DATE(2026,10,14))</f>
        <v/>
      </c>
      <c r="HQ125">
        <f>COUNTIFS('DRAFT 2'!$D:$D,$B125,'DRAFT 2'!$A:$A,"&gt;="&amp;DATE(2026,10,15),'DRAFT 2'!$A:$A,"&lt;="&amp;DATE(2026,10,21))</f>
        <v/>
      </c>
      <c r="HR125">
        <f>COUNTIFS('DRAFT 2'!$D:$D,$B125,'DRAFT 2'!$A:$A,"&gt;="&amp;DATE(2026,10,22),'DRAFT 2'!$A:$A,"&lt;"&amp;DATE(2026,IF(10=12,10+1,10+1),1))</f>
        <v/>
      </c>
      <c r="HS125">
        <f>SUM(HO125:HR125)</f>
        <v/>
      </c>
      <c r="IC125">
        <f>IFERROR(LOOKUP(2,1/('DRAFT 2'!$D:$D=$B125)*('DRAFT 2'!$A:$A&gt;=DATE(2026,11,1))*('DRAFT 2'!$A:$A&lt;DATE(2026,IF(11=12,11+1,11+1),1)),'DRAFT 2'!$A:$A),"")</f>
        <v/>
      </c>
      <c r="ID125">
        <f>COUNTIFS('DRAFT 2'!$D:$D,$B125,'DRAFT 2'!$A:$A,"&gt;="&amp;DATE(2026,11,1),'DRAFT 2'!$A:$A,"&lt;="&amp;DATE(2026,11,7))</f>
        <v/>
      </c>
      <c r="IE125">
        <f>COUNTIFS('DRAFT 2'!$D:$D,$B125,'DRAFT 2'!$A:$A,"&gt;="&amp;DATE(2026,11,8),'DRAFT 2'!$A:$A,"&lt;="&amp;DATE(2026,11,14))</f>
        <v/>
      </c>
      <c r="IF125">
        <f>COUNTIFS('DRAFT 2'!$D:$D,$B125,'DRAFT 2'!$A:$A,"&gt;="&amp;DATE(2026,11,15),'DRAFT 2'!$A:$A,"&lt;="&amp;DATE(2026,11,21))</f>
        <v/>
      </c>
      <c r="IG125">
        <f>COUNTIFS('DRAFT 2'!$D:$D,$B125,'DRAFT 2'!$A:$A,"&gt;="&amp;DATE(2026,11,22),'DRAFT 2'!$A:$A,"&lt;"&amp;DATE(2026,IF(11=12,11+1,11+1),1))</f>
        <v/>
      </c>
      <c r="IH125">
        <f>SUM(ID125:IG125)</f>
        <v/>
      </c>
      <c r="IR125">
        <f>IFERROR(LOOKUP(2,1/('DRAFT 2'!$D:$D=$B125)*('DRAFT 2'!$A:$A&gt;=DATE(2026,12,1))*('DRAFT 2'!$A:$A&lt;DATE(2026,IF(12=12,12+1,12+1),1)),'DRAFT 2'!$A:$A),"")</f>
        <v/>
      </c>
      <c r="IS125">
        <f>COUNTIFS('DRAFT 2'!$D:$D,$B125,'DRAFT 2'!$A:$A,"&gt;="&amp;DATE(2026,12,1),'DRAFT 2'!$A:$A,"&lt;="&amp;DATE(2026,12,7))</f>
        <v/>
      </c>
      <c r="IT125">
        <f>COUNTIFS('DRAFT 2'!$D:$D,$B125,'DRAFT 2'!$A:$A,"&gt;="&amp;DATE(2026,12,8),'DRAFT 2'!$A:$A,"&lt;="&amp;DATE(2026,12,14))</f>
        <v/>
      </c>
      <c r="IU125">
        <f>COUNTIFS('DRAFT 2'!$D:$D,$B125,'DRAFT 2'!$A:$A,"&gt;="&amp;DATE(2026,12,15),'DRAFT 2'!$A:$A,"&lt;="&amp;DATE(2026,12,21))</f>
        <v/>
      </c>
      <c r="IV125">
        <f>COUNTIFS('DRAFT 2'!$D:$D,$B125,'DRAFT 2'!$A:$A,"&gt;="&amp;DATE(2026,12,22),'DRAFT 2'!$A:$A,"&lt;"&amp;DATE(2026,IF(12=12,12+1,12+1),1))</f>
        <v/>
      </c>
      <c r="IW125">
        <f>SUM(IS125:IV125)</f>
        <v/>
      </c>
    </row>
    <row r="126">
      <c r="A126">
        <f>IFERROR(INDEX('DRAFT 1'!$A:$A,MATCH($B126,'DRAFT 1'!$B:$B,0)),"")</f>
        <v/>
      </c>
      <c r="C126">
        <f>IFERROR(INDEX('DRAFT 1'!$C:$C,MATCH($B126,'DRAFT 1'!$B:$B,0)),"")</f>
        <v/>
      </c>
      <c r="D126">
        <f>IFERROR(INDEX('DRAFT 1'!$D:$D,MATCH($B126,'DRAFT 1'!$B:$B,0)),"")</f>
        <v/>
      </c>
      <c r="E126">
        <f>IFERROR(INDEX('DRAFT 1'!$E:$E,MATCH($B126,'DRAFT 1'!$B:$B,0)),"")</f>
        <v/>
      </c>
      <c r="F126">
        <f>IFERROR(INDEX('DRAFT 1'!$F:$F,MATCH($B126,'DRAFT 1'!$B:$B,0)),"")</f>
        <v/>
      </c>
      <c r="G126">
        <f>IFERROR(INDEX('DRAFT 1'!$G:$G,MATCH($B126,'DRAFT 1'!$B:$B,0)),"")</f>
        <v/>
      </c>
      <c r="H126">
        <f>IFERROR(INDEX('DRAFT 1'!$H:$H,MATCH($B126,'DRAFT 1'!$B:$B,0)),"")</f>
        <v/>
      </c>
      <c r="I126">
        <f>IFERROR(INDEX('DRAFT 1'!$I:$I,MATCH($B126,'DRAFT 1'!$B:$B,0)),"")</f>
        <v/>
      </c>
      <c r="K126">
        <f>IFERROR(INDEX('DRAFT 1'!$AL:$AL,MATCH($B126,'DRAFT 1'!$B:$B,0)),"")</f>
        <v/>
      </c>
      <c r="L126">
        <f>IFERROR(INDEX('DRAFT 1'!$J:$J,MATCH($B126,'DRAFT 1'!$B:$B,0)),"")</f>
        <v/>
      </c>
      <c r="M126">
        <f>IFERROR(INDEX('DRAFT 1'!$K:$K,MATCH($B126,'DRAFT 1'!$B:$B,0)),"")</f>
        <v/>
      </c>
      <c r="P126">
        <f>IFERROR(INDEX('DRAFT 1'!$L:$L,MATCH($B126,'DRAFT 1'!$B:$B,0)),"")</f>
        <v/>
      </c>
      <c r="Q126">
        <f>IFERROR(INDEX('DRAFT 1'!$M:$M,MATCH($B126,'DRAFT 1'!$B:$B,0)),"")</f>
        <v/>
      </c>
      <c r="R126">
        <f>IFERROR(INDEX('DRAFT 1'!$N:$N,MATCH($B126,'DRAFT 1'!$B:$B,0)),"")</f>
        <v/>
      </c>
      <c r="S126">
        <f>IFERROR(INDEX('DRAFT 1'!$O:$O,MATCH($B126,'DRAFT 1'!$B:$B,0)),"")</f>
        <v/>
      </c>
      <c r="T126">
        <f>IFERROR(INDEX('DRAFT 1'!$P:$P,MATCH($B126,'DRAFT 1'!$B:$B,0)),"")</f>
        <v/>
      </c>
      <c r="U126">
        <f>IFERROR(INDEX('DRAFT 1'!$Q:$Q,MATCH($B126,'DRAFT 1'!$B:$B,0)),"")</f>
        <v/>
      </c>
      <c r="V126">
        <f>IFERROR(INDEX('DRAFT 1'!$R:$R,MATCH($B126,'DRAFT 1'!$B:$B,0)),"")</f>
        <v/>
      </c>
      <c r="W126">
        <f>IFERROR(INDEX('DRAFT 1'!$S:$S,MATCH($B126,'DRAFT 1'!$B:$B,0)),"")</f>
        <v/>
      </c>
      <c r="X126">
        <f>IFERROR(INDEX('DRAFT 1'!$T:$T,MATCH($B126,'DRAFT 1'!$B:$B,0)),"")</f>
        <v/>
      </c>
      <c r="Z126">
        <f>IFERROR(INDEX('DRAFT 1'!$U:$U,MATCH($B126,'DRAFT 1'!$B:$B,0)),"")</f>
        <v/>
      </c>
      <c r="AA126">
        <f>IFERROR(INDEX('DRAFT 1'!$V:$V,MATCH($B126,'DRAFT 1'!$B:$B,0)),"")</f>
        <v/>
      </c>
      <c r="AB126">
        <f>IFERROR(INDEX('DRAFT 1'!$W:$W,MATCH($B126,'DRAFT 1'!$B:$B,0)),"")</f>
        <v/>
      </c>
      <c r="AC126">
        <f>IFERROR(INDEX('DRAFT 1'!$X:$X,MATCH($B126,'DRAFT 1'!$B:$B,0)),"")</f>
        <v/>
      </c>
      <c r="AD126">
        <f>IFERROR(INDEX('DRAFT 1'!$Y:$Y,MATCH($B126,'DRAFT 1'!$B:$B,0)),"")</f>
        <v/>
      </c>
      <c r="AE126">
        <f>IFERROR(INDEX('DRAFT 1'!$Z:$Z,MATCH($B126,'DRAFT 1'!$B:$B,0)),"")</f>
        <v/>
      </c>
      <c r="AF126">
        <f>IFERROR(INDEX('DRAFT 1'!$AA:$AA,MATCH($B126,'DRAFT 1'!$B:$B,0)),"")</f>
        <v/>
      </c>
      <c r="AG126">
        <f>IFERROR(INDEX('DRAFT 1'!$AB:$AB,MATCH($B126,'DRAFT 1'!$B:$B,0)),"")</f>
        <v/>
      </c>
      <c r="AH126">
        <f>IFERROR(INDEX('DRAFT 1'!$AC:$AC,MATCH($B126,'DRAFT 1'!$B:$B,0)),"")</f>
        <v/>
      </c>
      <c r="AI126">
        <f>IFERROR(INDEX('DRAFT 1'!$AD:$AD,MATCH($B126,'DRAFT 1'!$B:$B,0)),"")</f>
        <v/>
      </c>
      <c r="AJ126">
        <f>IFERROR(INDEX('DRAFT 1'!$AE:$AE,MATCH($B126,'DRAFT 1'!$B:$B,0)),"")</f>
        <v/>
      </c>
      <c r="AK126">
        <f>IFERROR(INDEX('DRAFT 1'!$AG:$AG,MATCH($B126,'DRAFT 1'!$B:$B,0)),"")</f>
        <v/>
      </c>
      <c r="AL126">
        <f>IFERROR(INDEX('DRAFT 1'!$AH:$AH,MATCH($B126,'DRAFT 1'!$B:$B,0)),"")</f>
        <v/>
      </c>
      <c r="AM126">
        <f>IFERROR(INDEX('DRAFT 1'!$AI:$AI,MATCH($B126,'DRAFT 1'!$B:$B,0)),"")</f>
        <v/>
      </c>
      <c r="AN126">
        <f>IFERROR(INDEX('DRAFT 1'!$AJ:$AJ,MATCH($B126,'DRAFT 1'!$B:$B,0)),"")</f>
        <v/>
      </c>
      <c r="AO126">
        <f>IFERROR(Y126/AN126,0)</f>
        <v/>
      </c>
      <c r="AP126">
        <f>IFERROR(INDEX('DRAFT 1'!$AK:$AK,MATCH($B126,'DRAFT 1'!$B:$B,0)),"")</f>
        <v/>
      </c>
      <c r="AR126">
        <f>IFERROR(LOOKUP(2,1/('DRAFT 2'!$D:$D=$B126),'DRAFT 2'!$I:$I),"")</f>
        <v/>
      </c>
      <c r="AS126">
        <f>IFERROR(LOOKUP(2,1/('DRAFT 2'!$D:$D=$B126),'DRAFT 2'!$T:$T),"")</f>
        <v/>
      </c>
      <c r="AT126">
        <f>IFERROR(LOOKUP(2,1/('DRAFT 2'!$D:$D=$B126),'DRAFT 2'!$A:$A),"")</f>
        <v/>
      </c>
      <c r="AU126">
        <f>IFERROR(LOOKUP(2,1/('DRAFT 2'!$D:$D=$B126),'DRAFT 2'!$R:$R),"")</f>
        <v/>
      </c>
      <c r="AV126">
        <f>IFERROR(LOOKUP(2,1/('DRAFT 2'!$D:$D=$B126),'DRAFT 2'!$S:$S),"")</f>
        <v/>
      </c>
      <c r="AX126">
        <f>IFERROR(LOOKUP(2,1/('DRAFT 2'!$D:$D=$B126),'DRAFT 2'!$M:$M),"")</f>
        <v/>
      </c>
      <c r="AY126">
        <f>IFERROR(LOOKUP(2,1/('DRAFT 2'!$D:$D=$B126),'DRAFT 2'!$K:$K),"")</f>
        <v/>
      </c>
      <c r="BG126">
        <f>IFERROR(LOOKUP(2,1/('DRAFT 2'!$D:$D=$B126),'DRAFT 2'!$U:$U),"")</f>
        <v/>
      </c>
      <c r="BH126">
        <f>IFERROR(LOOKUP(2,1/('DRAFT 2'!$D:$D=$B126),'DRAFT 2'!$V:$V),"")</f>
        <v/>
      </c>
      <c r="CE126">
        <f>IFERROR(AJ126,0)</f>
        <v/>
      </c>
      <c r="CF126">
        <f>IFERROR(LOOKUP(2,1/('DRAFT 2'!$D:$D=$B126)*('DRAFT 2'!$A:$A&gt;=DATE(2026,1,1))*('DRAFT 2'!$A:$A&lt;DATE(2026,IF(1=12,1+1,1+1),1)),'DRAFT 2'!$A:$A),"")</f>
        <v/>
      </c>
      <c r="CG126">
        <f>COUNTIFS('DRAFT 2'!$D:$D,$B126,'DRAFT 2'!$A:$A,"&gt;="&amp;DATE(2026,1,1),'DRAFT 2'!$A:$A,"&lt;="&amp;DATE(2026,1,7))</f>
        <v/>
      </c>
      <c r="CH126">
        <f>COUNTIFS('DRAFT 2'!$D:$D,$B126,'DRAFT 2'!$A:$A,"&gt;="&amp;DATE(2026,1,8),'DRAFT 2'!$A:$A,"&lt;="&amp;DATE(2026,1,14))</f>
        <v/>
      </c>
      <c r="CI126">
        <f>COUNTIFS('DRAFT 2'!$D:$D,$B126,'DRAFT 2'!$A:$A,"&gt;="&amp;DATE(2026,1,15),'DRAFT 2'!$A:$A,"&lt;="&amp;DATE(2026,1,21))</f>
        <v/>
      </c>
      <c r="CJ126">
        <f>COUNTIFS('DRAFT 2'!$D:$D,$B126,'DRAFT 2'!$A:$A,"&gt;="&amp;DATE(2026,1,22),'DRAFT 2'!$A:$A,"&lt;"&amp;DATE(2026,IF(1=12,1+1,1+1),1))</f>
        <v/>
      </c>
      <c r="CK126">
        <f>SUM(CG126:CJ126)</f>
        <v/>
      </c>
      <c r="CT126" t="n">
        <v>0</v>
      </c>
      <c r="CU126">
        <f>IFERROR(LOOKUP(2,1/('DRAFT 2'!$D:$D=$B126)*('DRAFT 2'!$A:$A&gt;=DATE(2026,2,1))*('DRAFT 2'!$A:$A&lt;DATE(2026,IF(2=12,2+1,2+1),1)),'DRAFT 2'!$A:$A),"")</f>
        <v/>
      </c>
      <c r="CV126">
        <f>COUNTIFS('DRAFT 2'!$D:$D,$B126,'DRAFT 2'!$A:$A,"&gt;="&amp;DATE(2026,2,1),'DRAFT 2'!$A:$A,"&lt;="&amp;DATE(2026,2,7))</f>
        <v/>
      </c>
      <c r="CW126">
        <f>COUNTIFS('DRAFT 2'!$D:$D,$B126,'DRAFT 2'!$A:$A,"&gt;="&amp;DATE(2026,2,8),'DRAFT 2'!$A:$A,"&lt;="&amp;DATE(2026,2,14))</f>
        <v/>
      </c>
      <c r="CX126">
        <f>COUNTIFS('DRAFT 2'!$D:$D,$B126,'DRAFT 2'!$A:$A,"&gt;="&amp;DATE(2026,2,15),'DRAFT 2'!$A:$A,"&lt;="&amp;DATE(2026,2,21))</f>
        <v/>
      </c>
      <c r="CY126">
        <f>COUNTIFS('DRAFT 2'!$D:$D,$B126,'DRAFT 2'!$A:$A,"&gt;="&amp;DATE(2026,2,22),'DRAFT 2'!$A:$A,"&lt;"&amp;DATE(2026,IF(2=12,2+1,2+1),1))</f>
        <v/>
      </c>
      <c r="CZ126">
        <f>SUM(CV126:CY126)</f>
        <v/>
      </c>
      <c r="DJ126">
        <f>IFERROR(LOOKUP(2,1/('DRAFT 2'!$D:$D=$B126)*('DRAFT 2'!$A:$A&gt;=DATE(2026,3,1))*('DRAFT 2'!$A:$A&lt;DATE(2026,IF(3=12,3+1,3+1),1)),'DRAFT 2'!$A:$A),"")</f>
        <v/>
      </c>
      <c r="DK126">
        <f>COUNTIFS('DRAFT 2'!$D:$D,$B126,'DRAFT 2'!$A:$A,"&gt;="&amp;DATE(2026,3,1),'DRAFT 2'!$A:$A,"&lt;="&amp;DATE(2026,3,7))</f>
        <v/>
      </c>
      <c r="DL126">
        <f>COUNTIFS('DRAFT 2'!$D:$D,$B126,'DRAFT 2'!$A:$A,"&gt;="&amp;DATE(2026,3,8),'DRAFT 2'!$A:$A,"&lt;="&amp;DATE(2026,3,14))</f>
        <v/>
      </c>
      <c r="DM126">
        <f>COUNTIFS('DRAFT 2'!$D:$D,$B126,'DRAFT 2'!$A:$A,"&gt;="&amp;DATE(2026,3,15),'DRAFT 2'!$A:$A,"&lt;="&amp;DATE(2026,3,21))</f>
        <v/>
      </c>
      <c r="DN126">
        <f>COUNTIFS('DRAFT 2'!$D:$D,$B126,'DRAFT 2'!$A:$A,"&gt;="&amp;DATE(2026,3,22),'DRAFT 2'!$A:$A,"&lt;"&amp;DATE(2026,IF(3=12,3+1,3+1),1))</f>
        <v/>
      </c>
      <c r="DO126">
        <f>SUM(DK126:DN126)</f>
        <v/>
      </c>
      <c r="DZ126">
        <f>IFERROR(LOOKUP(2,1/('DRAFT 2'!$D:$D=$B126)*('DRAFT 2'!$A:$A&gt;=DATE(2026,4,1))*('DRAFT 2'!$A:$A&lt;DATE(2026,IF(4=12,4+1,4+1),1)),'DRAFT 2'!$A:$A),"")</f>
        <v/>
      </c>
      <c r="EA126">
        <f>COUNTIFS('DRAFT 2'!$D:$D,$B126,'DRAFT 2'!$A:$A,"&gt;="&amp;DATE(2026,4,1),'DRAFT 2'!$A:$A,"&lt;="&amp;DATE(2026,4,7))</f>
        <v/>
      </c>
      <c r="EB126">
        <f>COUNTIFS('DRAFT 2'!$D:$D,$B126,'DRAFT 2'!$A:$A,"&gt;="&amp;DATE(2026,4,8),'DRAFT 2'!$A:$A,"&lt;="&amp;DATE(2026,4,14))</f>
        <v/>
      </c>
      <c r="EC126">
        <f>COUNTIFS('DRAFT 2'!$D:$D,$B126,'DRAFT 2'!$A:$A,"&gt;="&amp;DATE(2026,4,15),'DRAFT 2'!$A:$A,"&lt;="&amp;DATE(2026,4,21))</f>
        <v/>
      </c>
      <c r="ED126">
        <f>COUNTIFS('DRAFT 2'!$D:$D,$B126,'DRAFT 2'!$A:$A,"&gt;="&amp;DATE(2026,4,22),'DRAFT 2'!$A:$A,"&lt;"&amp;DATE(2026,IF(4=12,4+1,4+1),1))</f>
        <v/>
      </c>
      <c r="EE126">
        <f>SUM(EA126:ED126)</f>
        <v/>
      </c>
      <c r="EO126">
        <f>IFERROR(LOOKUP(2,1/('DRAFT 2'!$D:$D=$B126)*('DRAFT 2'!$A:$A&gt;=DATE(2026,5,1))*('DRAFT 2'!$A:$A&lt;DATE(2026,IF(5=12,5+1,5+1),1)),'DRAFT 2'!$A:$A),"")</f>
        <v/>
      </c>
      <c r="EP126">
        <f>COUNTIFS('DRAFT 2'!$D:$D,$B126,'DRAFT 2'!$A:$A,"&gt;="&amp;DATE(2026,5,1),'DRAFT 2'!$A:$A,"&lt;="&amp;DATE(2026,5,7))</f>
        <v/>
      </c>
      <c r="EQ126">
        <f>COUNTIFS('DRAFT 2'!$D:$D,$B126,'DRAFT 2'!$A:$A,"&gt;="&amp;DATE(2026,5,8),'DRAFT 2'!$A:$A,"&lt;="&amp;DATE(2026,5,14))</f>
        <v/>
      </c>
      <c r="ER126">
        <f>COUNTIFS('DRAFT 2'!$D:$D,$B126,'DRAFT 2'!$A:$A,"&gt;="&amp;DATE(2026,5,15),'DRAFT 2'!$A:$A,"&lt;="&amp;DATE(2026,5,21))</f>
        <v/>
      </c>
      <c r="ES126">
        <f>COUNTIFS('DRAFT 2'!$D:$D,$B126,'DRAFT 2'!$A:$A,"&gt;="&amp;DATE(2026,5,22),'DRAFT 2'!$A:$A,"&lt;"&amp;DATE(2026,IF(5=12,5+1,5+1),1))</f>
        <v/>
      </c>
      <c r="ET126">
        <f>SUM(EP126:ES126)</f>
        <v/>
      </c>
      <c r="FD126">
        <f>IFERROR(LOOKUP(2,1/('DRAFT 2'!$D:$D=$B126)*('DRAFT 2'!$A:$A&gt;=DATE(2026,6,1))*('DRAFT 2'!$A:$A&lt;DATE(2026,IF(6=12,6+1,6+1),1)),'DRAFT 2'!$A:$A),"")</f>
        <v/>
      </c>
      <c r="FE126">
        <f>COUNTIFS('DRAFT 2'!$D:$D,$B126,'DRAFT 2'!$A:$A,"&gt;="&amp;DATE(2026,6,1),'DRAFT 2'!$A:$A,"&lt;="&amp;DATE(2026,6,7))</f>
        <v/>
      </c>
      <c r="FF126">
        <f>COUNTIFS('DRAFT 2'!$D:$D,$B126,'DRAFT 2'!$A:$A,"&gt;="&amp;DATE(2026,6,8),'DRAFT 2'!$A:$A,"&lt;="&amp;DATE(2026,6,14))</f>
        <v/>
      </c>
      <c r="FG126">
        <f>COUNTIFS('DRAFT 2'!$D:$D,$B126,'DRAFT 2'!$A:$A,"&gt;="&amp;DATE(2026,6,15),'DRAFT 2'!$A:$A,"&lt;="&amp;DATE(2026,6,21))</f>
        <v/>
      </c>
      <c r="FH126">
        <f>COUNTIFS('DRAFT 2'!$D:$D,$B126,'DRAFT 2'!$A:$A,"&gt;="&amp;DATE(2026,6,22),'DRAFT 2'!$A:$A,"&lt;"&amp;DATE(2026,IF(6=12,6+1,6+1),1))</f>
        <v/>
      </c>
      <c r="FI126">
        <f>SUM(FE126:FH126)</f>
        <v/>
      </c>
      <c r="FT126">
        <f>IFERROR(LOOKUP(2,1/('DRAFT 2'!$D:$D=$B126)*('DRAFT 2'!$A:$A&gt;=DATE(2026,7,1))*('DRAFT 2'!$A:$A&lt;DATE(2026,IF(7=12,7+1,7+1),1)),'DRAFT 2'!$A:$A),"")</f>
        <v/>
      </c>
      <c r="FU126">
        <f>COUNTIFS('DRAFT 2'!$D:$D,$B126,'DRAFT 2'!$A:$A,"&gt;="&amp;DATE(2026,7,1),'DRAFT 2'!$A:$A,"&lt;="&amp;DATE(2026,7,7))</f>
        <v/>
      </c>
      <c r="FV126">
        <f>COUNTIFS('DRAFT 2'!$D:$D,$B126,'DRAFT 2'!$A:$A,"&gt;="&amp;DATE(2026,7,8),'DRAFT 2'!$A:$A,"&lt;="&amp;DATE(2026,7,14))</f>
        <v/>
      </c>
      <c r="FW126">
        <f>COUNTIFS('DRAFT 2'!$D:$D,$B126,'DRAFT 2'!$A:$A,"&gt;="&amp;DATE(2026,7,15),'DRAFT 2'!$A:$A,"&lt;="&amp;DATE(2026,7,21))</f>
        <v/>
      </c>
      <c r="FX126">
        <f>COUNTIFS('DRAFT 2'!$D:$D,$B126,'DRAFT 2'!$A:$A,"&gt;="&amp;DATE(2026,7,22),'DRAFT 2'!$A:$A,"&lt;"&amp;DATE(2026,IF(7=12,7+1,7+1),1))</f>
        <v/>
      </c>
      <c r="FY126">
        <f>SUM(FU126:FX126)</f>
        <v/>
      </c>
      <c r="GI126">
        <f>IFERROR(LOOKUP(2,1/('DRAFT 2'!$D:$D=$B126)*('DRAFT 2'!$A:$A&gt;=DATE(2026,8,1))*('DRAFT 2'!$A:$A&lt;DATE(2026,IF(8=12,8+1,8+1),1)),'DRAFT 2'!$A:$A),"")</f>
        <v/>
      </c>
      <c r="GJ126">
        <f>COUNTIFS('DRAFT 2'!$D:$D,$B126,'DRAFT 2'!$A:$A,"&gt;="&amp;DATE(2026,8,1),'DRAFT 2'!$A:$A,"&lt;="&amp;DATE(2026,8,7))</f>
        <v/>
      </c>
      <c r="GK126">
        <f>COUNTIFS('DRAFT 2'!$D:$D,$B126,'DRAFT 2'!$A:$A,"&gt;="&amp;DATE(2026,8,8),'DRAFT 2'!$A:$A,"&lt;="&amp;DATE(2026,8,14))</f>
        <v/>
      </c>
      <c r="GL126">
        <f>COUNTIFS('DRAFT 2'!$D:$D,$B126,'DRAFT 2'!$A:$A,"&gt;="&amp;DATE(2026,8,15),'DRAFT 2'!$A:$A,"&lt;="&amp;DATE(2026,8,21))</f>
        <v/>
      </c>
      <c r="GM126">
        <f>COUNTIFS('DRAFT 2'!$D:$D,$B126,'DRAFT 2'!$A:$A,"&gt;="&amp;DATE(2026,8,22),'DRAFT 2'!$A:$A,"&lt;"&amp;DATE(2026,IF(8=12,8+1,8+1),1))</f>
        <v/>
      </c>
      <c r="GN126">
        <f>SUM(GJ126:GM126)</f>
        <v/>
      </c>
      <c r="GX126">
        <f>IFERROR(LOOKUP(2,1/('DRAFT 2'!$D:$D=$B126)*('DRAFT 2'!$A:$A&gt;=DATE(2026,9,1))*('DRAFT 2'!$A:$A&lt;DATE(2026,IF(9=12,9+1,9+1),1)),'DRAFT 2'!$A:$A),"")</f>
        <v/>
      </c>
      <c r="GY126">
        <f>COUNTIFS('DRAFT 2'!$D:$D,$B126,'DRAFT 2'!$A:$A,"&gt;="&amp;DATE(2026,9,1),'DRAFT 2'!$A:$A,"&lt;="&amp;DATE(2026,9,7))</f>
        <v/>
      </c>
      <c r="GZ126">
        <f>COUNTIFS('DRAFT 2'!$D:$D,$B126,'DRAFT 2'!$A:$A,"&gt;="&amp;DATE(2026,9,8),'DRAFT 2'!$A:$A,"&lt;="&amp;DATE(2026,9,14))</f>
        <v/>
      </c>
      <c r="HA126">
        <f>COUNTIFS('DRAFT 2'!$D:$D,$B126,'DRAFT 2'!$A:$A,"&gt;="&amp;DATE(2026,9,15),'DRAFT 2'!$A:$A,"&lt;="&amp;DATE(2026,9,21))</f>
        <v/>
      </c>
      <c r="HB126">
        <f>COUNTIFS('DRAFT 2'!$D:$D,$B126,'DRAFT 2'!$A:$A,"&gt;="&amp;DATE(2026,9,22),'DRAFT 2'!$A:$A,"&lt;"&amp;DATE(2026,IF(9=12,9+1,9+1),1))</f>
        <v/>
      </c>
      <c r="HC126">
        <f>SUM(GY126:HB126)</f>
        <v/>
      </c>
      <c r="HN126">
        <f>IFERROR(LOOKUP(2,1/('DRAFT 2'!$D:$D=$B126)*('DRAFT 2'!$A:$A&gt;=DATE(2026,10,1))*('DRAFT 2'!$A:$A&lt;DATE(2026,IF(10=12,10+1,10+1),1)),'DRAFT 2'!$A:$A),"")</f>
        <v/>
      </c>
      <c r="HO126">
        <f>COUNTIFS('DRAFT 2'!$D:$D,$B126,'DRAFT 2'!$A:$A,"&gt;="&amp;DATE(2026,10,1),'DRAFT 2'!$A:$A,"&lt;="&amp;DATE(2026,10,7))</f>
        <v/>
      </c>
      <c r="HP126">
        <f>COUNTIFS('DRAFT 2'!$D:$D,$B126,'DRAFT 2'!$A:$A,"&gt;="&amp;DATE(2026,10,8),'DRAFT 2'!$A:$A,"&lt;="&amp;DATE(2026,10,14))</f>
        <v/>
      </c>
      <c r="HQ126">
        <f>COUNTIFS('DRAFT 2'!$D:$D,$B126,'DRAFT 2'!$A:$A,"&gt;="&amp;DATE(2026,10,15),'DRAFT 2'!$A:$A,"&lt;="&amp;DATE(2026,10,21))</f>
        <v/>
      </c>
      <c r="HR126">
        <f>COUNTIFS('DRAFT 2'!$D:$D,$B126,'DRAFT 2'!$A:$A,"&gt;="&amp;DATE(2026,10,22),'DRAFT 2'!$A:$A,"&lt;"&amp;DATE(2026,IF(10=12,10+1,10+1),1))</f>
        <v/>
      </c>
      <c r="HS126">
        <f>SUM(HO126:HR126)</f>
        <v/>
      </c>
      <c r="IC126">
        <f>IFERROR(LOOKUP(2,1/('DRAFT 2'!$D:$D=$B126)*('DRAFT 2'!$A:$A&gt;=DATE(2026,11,1))*('DRAFT 2'!$A:$A&lt;DATE(2026,IF(11=12,11+1,11+1),1)),'DRAFT 2'!$A:$A),"")</f>
        <v/>
      </c>
      <c r="ID126">
        <f>COUNTIFS('DRAFT 2'!$D:$D,$B126,'DRAFT 2'!$A:$A,"&gt;="&amp;DATE(2026,11,1),'DRAFT 2'!$A:$A,"&lt;="&amp;DATE(2026,11,7))</f>
        <v/>
      </c>
      <c r="IE126">
        <f>COUNTIFS('DRAFT 2'!$D:$D,$B126,'DRAFT 2'!$A:$A,"&gt;="&amp;DATE(2026,11,8),'DRAFT 2'!$A:$A,"&lt;="&amp;DATE(2026,11,14))</f>
        <v/>
      </c>
      <c r="IF126">
        <f>COUNTIFS('DRAFT 2'!$D:$D,$B126,'DRAFT 2'!$A:$A,"&gt;="&amp;DATE(2026,11,15),'DRAFT 2'!$A:$A,"&lt;="&amp;DATE(2026,11,21))</f>
        <v/>
      </c>
      <c r="IG126">
        <f>COUNTIFS('DRAFT 2'!$D:$D,$B126,'DRAFT 2'!$A:$A,"&gt;="&amp;DATE(2026,11,22),'DRAFT 2'!$A:$A,"&lt;"&amp;DATE(2026,IF(11=12,11+1,11+1),1))</f>
        <v/>
      </c>
      <c r="IH126">
        <f>SUM(ID126:IG126)</f>
        <v/>
      </c>
      <c r="IR126">
        <f>IFERROR(LOOKUP(2,1/('DRAFT 2'!$D:$D=$B126)*('DRAFT 2'!$A:$A&gt;=DATE(2026,12,1))*('DRAFT 2'!$A:$A&lt;DATE(2026,IF(12=12,12+1,12+1),1)),'DRAFT 2'!$A:$A),"")</f>
        <v/>
      </c>
      <c r="IS126">
        <f>COUNTIFS('DRAFT 2'!$D:$D,$B126,'DRAFT 2'!$A:$A,"&gt;="&amp;DATE(2026,12,1),'DRAFT 2'!$A:$A,"&lt;="&amp;DATE(2026,12,7))</f>
        <v/>
      </c>
      <c r="IT126">
        <f>COUNTIFS('DRAFT 2'!$D:$D,$B126,'DRAFT 2'!$A:$A,"&gt;="&amp;DATE(2026,12,8),'DRAFT 2'!$A:$A,"&lt;="&amp;DATE(2026,12,14))</f>
        <v/>
      </c>
      <c r="IU126">
        <f>COUNTIFS('DRAFT 2'!$D:$D,$B126,'DRAFT 2'!$A:$A,"&gt;="&amp;DATE(2026,12,15),'DRAFT 2'!$A:$A,"&lt;="&amp;DATE(2026,12,21))</f>
        <v/>
      </c>
      <c r="IV126">
        <f>COUNTIFS('DRAFT 2'!$D:$D,$B126,'DRAFT 2'!$A:$A,"&gt;="&amp;DATE(2026,12,22),'DRAFT 2'!$A:$A,"&lt;"&amp;DATE(2026,IF(12=12,12+1,12+1),1))</f>
        <v/>
      </c>
      <c r="IW126">
        <f>SUM(IS126:IV126)</f>
        <v/>
      </c>
    </row>
    <row r="127">
      <c r="A127">
        <f>IFERROR(INDEX('DRAFT 1'!$A:$A,MATCH($B127,'DRAFT 1'!$B:$B,0)),"")</f>
        <v/>
      </c>
      <c r="C127">
        <f>IFERROR(INDEX('DRAFT 1'!$C:$C,MATCH($B127,'DRAFT 1'!$B:$B,0)),"")</f>
        <v/>
      </c>
      <c r="D127">
        <f>IFERROR(INDEX('DRAFT 1'!$D:$D,MATCH($B127,'DRAFT 1'!$B:$B,0)),"")</f>
        <v/>
      </c>
      <c r="E127">
        <f>IFERROR(INDEX('DRAFT 1'!$E:$E,MATCH($B127,'DRAFT 1'!$B:$B,0)),"")</f>
        <v/>
      </c>
      <c r="F127">
        <f>IFERROR(INDEX('DRAFT 1'!$F:$F,MATCH($B127,'DRAFT 1'!$B:$B,0)),"")</f>
        <v/>
      </c>
      <c r="G127">
        <f>IFERROR(INDEX('DRAFT 1'!$G:$G,MATCH($B127,'DRAFT 1'!$B:$B,0)),"")</f>
        <v/>
      </c>
      <c r="H127">
        <f>IFERROR(INDEX('DRAFT 1'!$H:$H,MATCH($B127,'DRAFT 1'!$B:$B,0)),"")</f>
        <v/>
      </c>
      <c r="I127">
        <f>IFERROR(INDEX('DRAFT 1'!$I:$I,MATCH($B127,'DRAFT 1'!$B:$B,0)),"")</f>
        <v/>
      </c>
      <c r="K127">
        <f>IFERROR(INDEX('DRAFT 1'!$AL:$AL,MATCH($B127,'DRAFT 1'!$B:$B,0)),"")</f>
        <v/>
      </c>
      <c r="L127">
        <f>IFERROR(INDEX('DRAFT 1'!$J:$J,MATCH($B127,'DRAFT 1'!$B:$B,0)),"")</f>
        <v/>
      </c>
      <c r="M127">
        <f>IFERROR(INDEX('DRAFT 1'!$K:$K,MATCH($B127,'DRAFT 1'!$B:$B,0)),"")</f>
        <v/>
      </c>
      <c r="P127">
        <f>IFERROR(INDEX('DRAFT 1'!$L:$L,MATCH($B127,'DRAFT 1'!$B:$B,0)),"")</f>
        <v/>
      </c>
      <c r="Q127">
        <f>IFERROR(INDEX('DRAFT 1'!$M:$M,MATCH($B127,'DRAFT 1'!$B:$B,0)),"")</f>
        <v/>
      </c>
      <c r="R127">
        <f>IFERROR(INDEX('DRAFT 1'!$N:$N,MATCH($B127,'DRAFT 1'!$B:$B,0)),"")</f>
        <v/>
      </c>
      <c r="S127">
        <f>IFERROR(INDEX('DRAFT 1'!$O:$O,MATCH($B127,'DRAFT 1'!$B:$B,0)),"")</f>
        <v/>
      </c>
      <c r="T127">
        <f>IFERROR(INDEX('DRAFT 1'!$P:$P,MATCH($B127,'DRAFT 1'!$B:$B,0)),"")</f>
        <v/>
      </c>
      <c r="U127">
        <f>IFERROR(INDEX('DRAFT 1'!$Q:$Q,MATCH($B127,'DRAFT 1'!$B:$B,0)),"")</f>
        <v/>
      </c>
      <c r="V127">
        <f>IFERROR(INDEX('DRAFT 1'!$R:$R,MATCH($B127,'DRAFT 1'!$B:$B,0)),"")</f>
        <v/>
      </c>
      <c r="W127">
        <f>IFERROR(INDEX('DRAFT 1'!$S:$S,MATCH($B127,'DRAFT 1'!$B:$B,0)),"")</f>
        <v/>
      </c>
      <c r="X127">
        <f>IFERROR(INDEX('DRAFT 1'!$T:$T,MATCH($B127,'DRAFT 1'!$B:$B,0)),"")</f>
        <v/>
      </c>
      <c r="Z127">
        <f>IFERROR(INDEX('DRAFT 1'!$U:$U,MATCH($B127,'DRAFT 1'!$B:$B,0)),"")</f>
        <v/>
      </c>
      <c r="AA127">
        <f>IFERROR(INDEX('DRAFT 1'!$V:$V,MATCH($B127,'DRAFT 1'!$B:$B,0)),"")</f>
        <v/>
      </c>
      <c r="AB127">
        <f>IFERROR(INDEX('DRAFT 1'!$W:$W,MATCH($B127,'DRAFT 1'!$B:$B,0)),"")</f>
        <v/>
      </c>
      <c r="AC127">
        <f>IFERROR(INDEX('DRAFT 1'!$X:$X,MATCH($B127,'DRAFT 1'!$B:$B,0)),"")</f>
        <v/>
      </c>
      <c r="AD127">
        <f>IFERROR(INDEX('DRAFT 1'!$Y:$Y,MATCH($B127,'DRAFT 1'!$B:$B,0)),"")</f>
        <v/>
      </c>
      <c r="AE127">
        <f>IFERROR(INDEX('DRAFT 1'!$Z:$Z,MATCH($B127,'DRAFT 1'!$B:$B,0)),"")</f>
        <v/>
      </c>
      <c r="AF127">
        <f>IFERROR(INDEX('DRAFT 1'!$AA:$AA,MATCH($B127,'DRAFT 1'!$B:$B,0)),"")</f>
        <v/>
      </c>
      <c r="AG127">
        <f>IFERROR(INDEX('DRAFT 1'!$AB:$AB,MATCH($B127,'DRAFT 1'!$B:$B,0)),"")</f>
        <v/>
      </c>
      <c r="AH127">
        <f>IFERROR(INDEX('DRAFT 1'!$AC:$AC,MATCH($B127,'DRAFT 1'!$B:$B,0)),"")</f>
        <v/>
      </c>
      <c r="AI127">
        <f>IFERROR(INDEX('DRAFT 1'!$AD:$AD,MATCH($B127,'DRAFT 1'!$B:$B,0)),"")</f>
        <v/>
      </c>
      <c r="AJ127">
        <f>IFERROR(INDEX('DRAFT 1'!$AE:$AE,MATCH($B127,'DRAFT 1'!$B:$B,0)),"")</f>
        <v/>
      </c>
      <c r="AK127">
        <f>IFERROR(INDEX('DRAFT 1'!$AG:$AG,MATCH($B127,'DRAFT 1'!$B:$B,0)),"")</f>
        <v/>
      </c>
      <c r="AL127">
        <f>IFERROR(INDEX('DRAFT 1'!$AH:$AH,MATCH($B127,'DRAFT 1'!$B:$B,0)),"")</f>
        <v/>
      </c>
      <c r="AM127">
        <f>IFERROR(INDEX('DRAFT 1'!$AI:$AI,MATCH($B127,'DRAFT 1'!$B:$B,0)),"")</f>
        <v/>
      </c>
      <c r="AN127">
        <f>IFERROR(INDEX('DRAFT 1'!$AJ:$AJ,MATCH($B127,'DRAFT 1'!$B:$B,0)),"")</f>
        <v/>
      </c>
      <c r="AO127">
        <f>IFERROR(Y127/AN127,0)</f>
        <v/>
      </c>
      <c r="AP127">
        <f>IFERROR(INDEX('DRAFT 1'!$AK:$AK,MATCH($B127,'DRAFT 1'!$B:$B,0)),"")</f>
        <v/>
      </c>
      <c r="AR127">
        <f>IFERROR(LOOKUP(2,1/('DRAFT 2'!$D:$D=$B127),'DRAFT 2'!$I:$I),"")</f>
        <v/>
      </c>
      <c r="AS127">
        <f>IFERROR(LOOKUP(2,1/('DRAFT 2'!$D:$D=$B127),'DRAFT 2'!$T:$T),"")</f>
        <v/>
      </c>
      <c r="AT127">
        <f>IFERROR(LOOKUP(2,1/('DRAFT 2'!$D:$D=$B127),'DRAFT 2'!$A:$A),"")</f>
        <v/>
      </c>
      <c r="AU127">
        <f>IFERROR(LOOKUP(2,1/('DRAFT 2'!$D:$D=$B127),'DRAFT 2'!$R:$R),"")</f>
        <v/>
      </c>
      <c r="AV127">
        <f>IFERROR(LOOKUP(2,1/('DRAFT 2'!$D:$D=$B127),'DRAFT 2'!$S:$S),"")</f>
        <v/>
      </c>
      <c r="AX127">
        <f>IFERROR(LOOKUP(2,1/('DRAFT 2'!$D:$D=$B127),'DRAFT 2'!$M:$M),"")</f>
        <v/>
      </c>
      <c r="AY127">
        <f>IFERROR(LOOKUP(2,1/('DRAFT 2'!$D:$D=$B127),'DRAFT 2'!$K:$K),"")</f>
        <v/>
      </c>
      <c r="BG127">
        <f>IFERROR(LOOKUP(2,1/('DRAFT 2'!$D:$D=$B127),'DRAFT 2'!$U:$U),"")</f>
        <v/>
      </c>
      <c r="BH127">
        <f>IFERROR(LOOKUP(2,1/('DRAFT 2'!$D:$D=$B127),'DRAFT 2'!$V:$V),"")</f>
        <v/>
      </c>
      <c r="CE127">
        <f>IFERROR(AJ127,0)</f>
        <v/>
      </c>
      <c r="CF127">
        <f>IFERROR(LOOKUP(2,1/('DRAFT 2'!$D:$D=$B127)*('DRAFT 2'!$A:$A&gt;=DATE(2026,1,1))*('DRAFT 2'!$A:$A&lt;DATE(2026,IF(1=12,1+1,1+1),1)),'DRAFT 2'!$A:$A),"")</f>
        <v/>
      </c>
      <c r="CG127">
        <f>COUNTIFS('DRAFT 2'!$D:$D,$B127,'DRAFT 2'!$A:$A,"&gt;="&amp;DATE(2026,1,1),'DRAFT 2'!$A:$A,"&lt;="&amp;DATE(2026,1,7))</f>
        <v/>
      </c>
      <c r="CH127">
        <f>COUNTIFS('DRAFT 2'!$D:$D,$B127,'DRAFT 2'!$A:$A,"&gt;="&amp;DATE(2026,1,8),'DRAFT 2'!$A:$A,"&lt;="&amp;DATE(2026,1,14))</f>
        <v/>
      </c>
      <c r="CI127">
        <f>COUNTIFS('DRAFT 2'!$D:$D,$B127,'DRAFT 2'!$A:$A,"&gt;="&amp;DATE(2026,1,15),'DRAFT 2'!$A:$A,"&lt;="&amp;DATE(2026,1,21))</f>
        <v/>
      </c>
      <c r="CJ127">
        <f>COUNTIFS('DRAFT 2'!$D:$D,$B127,'DRAFT 2'!$A:$A,"&gt;="&amp;DATE(2026,1,22),'DRAFT 2'!$A:$A,"&lt;"&amp;DATE(2026,IF(1=12,1+1,1+1),1))</f>
        <v/>
      </c>
      <c r="CK127">
        <f>SUM(CG127:CJ127)</f>
        <v/>
      </c>
      <c r="CT127" t="n">
        <v>0</v>
      </c>
      <c r="CU127">
        <f>IFERROR(LOOKUP(2,1/('DRAFT 2'!$D:$D=$B127)*('DRAFT 2'!$A:$A&gt;=DATE(2026,2,1))*('DRAFT 2'!$A:$A&lt;DATE(2026,IF(2=12,2+1,2+1),1)),'DRAFT 2'!$A:$A),"")</f>
        <v/>
      </c>
      <c r="CV127">
        <f>COUNTIFS('DRAFT 2'!$D:$D,$B127,'DRAFT 2'!$A:$A,"&gt;="&amp;DATE(2026,2,1),'DRAFT 2'!$A:$A,"&lt;="&amp;DATE(2026,2,7))</f>
        <v/>
      </c>
      <c r="CW127">
        <f>COUNTIFS('DRAFT 2'!$D:$D,$B127,'DRAFT 2'!$A:$A,"&gt;="&amp;DATE(2026,2,8),'DRAFT 2'!$A:$A,"&lt;="&amp;DATE(2026,2,14))</f>
        <v/>
      </c>
      <c r="CX127">
        <f>COUNTIFS('DRAFT 2'!$D:$D,$B127,'DRAFT 2'!$A:$A,"&gt;="&amp;DATE(2026,2,15),'DRAFT 2'!$A:$A,"&lt;="&amp;DATE(2026,2,21))</f>
        <v/>
      </c>
      <c r="CY127">
        <f>COUNTIFS('DRAFT 2'!$D:$D,$B127,'DRAFT 2'!$A:$A,"&gt;="&amp;DATE(2026,2,22),'DRAFT 2'!$A:$A,"&lt;"&amp;DATE(2026,IF(2=12,2+1,2+1),1))</f>
        <v/>
      </c>
      <c r="CZ127">
        <f>SUM(CV127:CY127)</f>
        <v/>
      </c>
      <c r="DJ127">
        <f>IFERROR(LOOKUP(2,1/('DRAFT 2'!$D:$D=$B127)*('DRAFT 2'!$A:$A&gt;=DATE(2026,3,1))*('DRAFT 2'!$A:$A&lt;DATE(2026,IF(3=12,3+1,3+1),1)),'DRAFT 2'!$A:$A),"")</f>
        <v/>
      </c>
      <c r="DK127">
        <f>COUNTIFS('DRAFT 2'!$D:$D,$B127,'DRAFT 2'!$A:$A,"&gt;="&amp;DATE(2026,3,1),'DRAFT 2'!$A:$A,"&lt;="&amp;DATE(2026,3,7))</f>
        <v/>
      </c>
      <c r="DL127">
        <f>COUNTIFS('DRAFT 2'!$D:$D,$B127,'DRAFT 2'!$A:$A,"&gt;="&amp;DATE(2026,3,8),'DRAFT 2'!$A:$A,"&lt;="&amp;DATE(2026,3,14))</f>
        <v/>
      </c>
      <c r="DM127">
        <f>COUNTIFS('DRAFT 2'!$D:$D,$B127,'DRAFT 2'!$A:$A,"&gt;="&amp;DATE(2026,3,15),'DRAFT 2'!$A:$A,"&lt;="&amp;DATE(2026,3,21))</f>
        <v/>
      </c>
      <c r="DN127">
        <f>COUNTIFS('DRAFT 2'!$D:$D,$B127,'DRAFT 2'!$A:$A,"&gt;="&amp;DATE(2026,3,22),'DRAFT 2'!$A:$A,"&lt;"&amp;DATE(2026,IF(3=12,3+1,3+1),1))</f>
        <v/>
      </c>
      <c r="DO127">
        <f>SUM(DK127:DN127)</f>
        <v/>
      </c>
      <c r="DZ127">
        <f>IFERROR(LOOKUP(2,1/('DRAFT 2'!$D:$D=$B127)*('DRAFT 2'!$A:$A&gt;=DATE(2026,4,1))*('DRAFT 2'!$A:$A&lt;DATE(2026,IF(4=12,4+1,4+1),1)),'DRAFT 2'!$A:$A),"")</f>
        <v/>
      </c>
      <c r="EA127">
        <f>COUNTIFS('DRAFT 2'!$D:$D,$B127,'DRAFT 2'!$A:$A,"&gt;="&amp;DATE(2026,4,1),'DRAFT 2'!$A:$A,"&lt;="&amp;DATE(2026,4,7))</f>
        <v/>
      </c>
      <c r="EB127">
        <f>COUNTIFS('DRAFT 2'!$D:$D,$B127,'DRAFT 2'!$A:$A,"&gt;="&amp;DATE(2026,4,8),'DRAFT 2'!$A:$A,"&lt;="&amp;DATE(2026,4,14))</f>
        <v/>
      </c>
      <c r="EC127">
        <f>COUNTIFS('DRAFT 2'!$D:$D,$B127,'DRAFT 2'!$A:$A,"&gt;="&amp;DATE(2026,4,15),'DRAFT 2'!$A:$A,"&lt;="&amp;DATE(2026,4,21))</f>
        <v/>
      </c>
      <c r="ED127">
        <f>COUNTIFS('DRAFT 2'!$D:$D,$B127,'DRAFT 2'!$A:$A,"&gt;="&amp;DATE(2026,4,22),'DRAFT 2'!$A:$A,"&lt;"&amp;DATE(2026,IF(4=12,4+1,4+1),1))</f>
        <v/>
      </c>
      <c r="EE127">
        <f>SUM(EA127:ED127)</f>
        <v/>
      </c>
      <c r="EO127">
        <f>IFERROR(LOOKUP(2,1/('DRAFT 2'!$D:$D=$B127)*('DRAFT 2'!$A:$A&gt;=DATE(2026,5,1))*('DRAFT 2'!$A:$A&lt;DATE(2026,IF(5=12,5+1,5+1),1)),'DRAFT 2'!$A:$A),"")</f>
        <v/>
      </c>
      <c r="EP127">
        <f>COUNTIFS('DRAFT 2'!$D:$D,$B127,'DRAFT 2'!$A:$A,"&gt;="&amp;DATE(2026,5,1),'DRAFT 2'!$A:$A,"&lt;="&amp;DATE(2026,5,7))</f>
        <v/>
      </c>
      <c r="EQ127">
        <f>COUNTIFS('DRAFT 2'!$D:$D,$B127,'DRAFT 2'!$A:$A,"&gt;="&amp;DATE(2026,5,8),'DRAFT 2'!$A:$A,"&lt;="&amp;DATE(2026,5,14))</f>
        <v/>
      </c>
      <c r="ER127">
        <f>COUNTIFS('DRAFT 2'!$D:$D,$B127,'DRAFT 2'!$A:$A,"&gt;="&amp;DATE(2026,5,15),'DRAFT 2'!$A:$A,"&lt;="&amp;DATE(2026,5,21))</f>
        <v/>
      </c>
      <c r="ES127">
        <f>COUNTIFS('DRAFT 2'!$D:$D,$B127,'DRAFT 2'!$A:$A,"&gt;="&amp;DATE(2026,5,22),'DRAFT 2'!$A:$A,"&lt;"&amp;DATE(2026,IF(5=12,5+1,5+1),1))</f>
        <v/>
      </c>
      <c r="ET127">
        <f>SUM(EP127:ES127)</f>
        <v/>
      </c>
      <c r="FD127">
        <f>IFERROR(LOOKUP(2,1/('DRAFT 2'!$D:$D=$B127)*('DRAFT 2'!$A:$A&gt;=DATE(2026,6,1))*('DRAFT 2'!$A:$A&lt;DATE(2026,IF(6=12,6+1,6+1),1)),'DRAFT 2'!$A:$A),"")</f>
        <v/>
      </c>
      <c r="FE127">
        <f>COUNTIFS('DRAFT 2'!$D:$D,$B127,'DRAFT 2'!$A:$A,"&gt;="&amp;DATE(2026,6,1),'DRAFT 2'!$A:$A,"&lt;="&amp;DATE(2026,6,7))</f>
        <v/>
      </c>
      <c r="FF127">
        <f>COUNTIFS('DRAFT 2'!$D:$D,$B127,'DRAFT 2'!$A:$A,"&gt;="&amp;DATE(2026,6,8),'DRAFT 2'!$A:$A,"&lt;="&amp;DATE(2026,6,14))</f>
        <v/>
      </c>
      <c r="FG127">
        <f>COUNTIFS('DRAFT 2'!$D:$D,$B127,'DRAFT 2'!$A:$A,"&gt;="&amp;DATE(2026,6,15),'DRAFT 2'!$A:$A,"&lt;="&amp;DATE(2026,6,21))</f>
        <v/>
      </c>
      <c r="FH127">
        <f>COUNTIFS('DRAFT 2'!$D:$D,$B127,'DRAFT 2'!$A:$A,"&gt;="&amp;DATE(2026,6,22),'DRAFT 2'!$A:$A,"&lt;"&amp;DATE(2026,IF(6=12,6+1,6+1),1))</f>
        <v/>
      </c>
      <c r="FI127">
        <f>SUM(FE127:FH127)</f>
        <v/>
      </c>
      <c r="FT127">
        <f>IFERROR(LOOKUP(2,1/('DRAFT 2'!$D:$D=$B127)*('DRAFT 2'!$A:$A&gt;=DATE(2026,7,1))*('DRAFT 2'!$A:$A&lt;DATE(2026,IF(7=12,7+1,7+1),1)),'DRAFT 2'!$A:$A),"")</f>
        <v/>
      </c>
      <c r="FU127">
        <f>COUNTIFS('DRAFT 2'!$D:$D,$B127,'DRAFT 2'!$A:$A,"&gt;="&amp;DATE(2026,7,1),'DRAFT 2'!$A:$A,"&lt;="&amp;DATE(2026,7,7))</f>
        <v/>
      </c>
      <c r="FV127">
        <f>COUNTIFS('DRAFT 2'!$D:$D,$B127,'DRAFT 2'!$A:$A,"&gt;="&amp;DATE(2026,7,8),'DRAFT 2'!$A:$A,"&lt;="&amp;DATE(2026,7,14))</f>
        <v/>
      </c>
      <c r="FW127">
        <f>COUNTIFS('DRAFT 2'!$D:$D,$B127,'DRAFT 2'!$A:$A,"&gt;="&amp;DATE(2026,7,15),'DRAFT 2'!$A:$A,"&lt;="&amp;DATE(2026,7,21))</f>
        <v/>
      </c>
      <c r="FX127">
        <f>COUNTIFS('DRAFT 2'!$D:$D,$B127,'DRAFT 2'!$A:$A,"&gt;="&amp;DATE(2026,7,22),'DRAFT 2'!$A:$A,"&lt;"&amp;DATE(2026,IF(7=12,7+1,7+1),1))</f>
        <v/>
      </c>
      <c r="FY127">
        <f>SUM(FU127:FX127)</f>
        <v/>
      </c>
      <c r="GI127">
        <f>IFERROR(LOOKUP(2,1/('DRAFT 2'!$D:$D=$B127)*('DRAFT 2'!$A:$A&gt;=DATE(2026,8,1))*('DRAFT 2'!$A:$A&lt;DATE(2026,IF(8=12,8+1,8+1),1)),'DRAFT 2'!$A:$A),"")</f>
        <v/>
      </c>
      <c r="GJ127">
        <f>COUNTIFS('DRAFT 2'!$D:$D,$B127,'DRAFT 2'!$A:$A,"&gt;="&amp;DATE(2026,8,1),'DRAFT 2'!$A:$A,"&lt;="&amp;DATE(2026,8,7))</f>
        <v/>
      </c>
      <c r="GK127">
        <f>COUNTIFS('DRAFT 2'!$D:$D,$B127,'DRAFT 2'!$A:$A,"&gt;="&amp;DATE(2026,8,8),'DRAFT 2'!$A:$A,"&lt;="&amp;DATE(2026,8,14))</f>
        <v/>
      </c>
      <c r="GL127">
        <f>COUNTIFS('DRAFT 2'!$D:$D,$B127,'DRAFT 2'!$A:$A,"&gt;="&amp;DATE(2026,8,15),'DRAFT 2'!$A:$A,"&lt;="&amp;DATE(2026,8,21))</f>
        <v/>
      </c>
      <c r="GM127">
        <f>COUNTIFS('DRAFT 2'!$D:$D,$B127,'DRAFT 2'!$A:$A,"&gt;="&amp;DATE(2026,8,22),'DRAFT 2'!$A:$A,"&lt;"&amp;DATE(2026,IF(8=12,8+1,8+1),1))</f>
        <v/>
      </c>
      <c r="GN127">
        <f>SUM(GJ127:GM127)</f>
        <v/>
      </c>
      <c r="GX127">
        <f>IFERROR(LOOKUP(2,1/('DRAFT 2'!$D:$D=$B127)*('DRAFT 2'!$A:$A&gt;=DATE(2026,9,1))*('DRAFT 2'!$A:$A&lt;DATE(2026,IF(9=12,9+1,9+1),1)),'DRAFT 2'!$A:$A),"")</f>
        <v/>
      </c>
      <c r="GY127">
        <f>COUNTIFS('DRAFT 2'!$D:$D,$B127,'DRAFT 2'!$A:$A,"&gt;="&amp;DATE(2026,9,1),'DRAFT 2'!$A:$A,"&lt;="&amp;DATE(2026,9,7))</f>
        <v/>
      </c>
      <c r="GZ127">
        <f>COUNTIFS('DRAFT 2'!$D:$D,$B127,'DRAFT 2'!$A:$A,"&gt;="&amp;DATE(2026,9,8),'DRAFT 2'!$A:$A,"&lt;="&amp;DATE(2026,9,14))</f>
        <v/>
      </c>
      <c r="HA127">
        <f>COUNTIFS('DRAFT 2'!$D:$D,$B127,'DRAFT 2'!$A:$A,"&gt;="&amp;DATE(2026,9,15),'DRAFT 2'!$A:$A,"&lt;="&amp;DATE(2026,9,21))</f>
        <v/>
      </c>
      <c r="HB127">
        <f>COUNTIFS('DRAFT 2'!$D:$D,$B127,'DRAFT 2'!$A:$A,"&gt;="&amp;DATE(2026,9,22),'DRAFT 2'!$A:$A,"&lt;"&amp;DATE(2026,IF(9=12,9+1,9+1),1))</f>
        <v/>
      </c>
      <c r="HC127">
        <f>SUM(GY127:HB127)</f>
        <v/>
      </c>
      <c r="HN127">
        <f>IFERROR(LOOKUP(2,1/('DRAFT 2'!$D:$D=$B127)*('DRAFT 2'!$A:$A&gt;=DATE(2026,10,1))*('DRAFT 2'!$A:$A&lt;DATE(2026,IF(10=12,10+1,10+1),1)),'DRAFT 2'!$A:$A),"")</f>
        <v/>
      </c>
      <c r="HO127">
        <f>COUNTIFS('DRAFT 2'!$D:$D,$B127,'DRAFT 2'!$A:$A,"&gt;="&amp;DATE(2026,10,1),'DRAFT 2'!$A:$A,"&lt;="&amp;DATE(2026,10,7))</f>
        <v/>
      </c>
      <c r="HP127">
        <f>COUNTIFS('DRAFT 2'!$D:$D,$B127,'DRAFT 2'!$A:$A,"&gt;="&amp;DATE(2026,10,8),'DRAFT 2'!$A:$A,"&lt;="&amp;DATE(2026,10,14))</f>
        <v/>
      </c>
      <c r="HQ127">
        <f>COUNTIFS('DRAFT 2'!$D:$D,$B127,'DRAFT 2'!$A:$A,"&gt;="&amp;DATE(2026,10,15),'DRAFT 2'!$A:$A,"&lt;="&amp;DATE(2026,10,21))</f>
        <v/>
      </c>
      <c r="HR127">
        <f>COUNTIFS('DRAFT 2'!$D:$D,$B127,'DRAFT 2'!$A:$A,"&gt;="&amp;DATE(2026,10,22),'DRAFT 2'!$A:$A,"&lt;"&amp;DATE(2026,IF(10=12,10+1,10+1),1))</f>
        <v/>
      </c>
      <c r="HS127">
        <f>SUM(HO127:HR127)</f>
        <v/>
      </c>
      <c r="IC127">
        <f>IFERROR(LOOKUP(2,1/('DRAFT 2'!$D:$D=$B127)*('DRAFT 2'!$A:$A&gt;=DATE(2026,11,1))*('DRAFT 2'!$A:$A&lt;DATE(2026,IF(11=12,11+1,11+1),1)),'DRAFT 2'!$A:$A),"")</f>
        <v/>
      </c>
      <c r="ID127">
        <f>COUNTIFS('DRAFT 2'!$D:$D,$B127,'DRAFT 2'!$A:$A,"&gt;="&amp;DATE(2026,11,1),'DRAFT 2'!$A:$A,"&lt;="&amp;DATE(2026,11,7))</f>
        <v/>
      </c>
      <c r="IE127">
        <f>COUNTIFS('DRAFT 2'!$D:$D,$B127,'DRAFT 2'!$A:$A,"&gt;="&amp;DATE(2026,11,8),'DRAFT 2'!$A:$A,"&lt;="&amp;DATE(2026,11,14))</f>
        <v/>
      </c>
      <c r="IF127">
        <f>COUNTIFS('DRAFT 2'!$D:$D,$B127,'DRAFT 2'!$A:$A,"&gt;="&amp;DATE(2026,11,15),'DRAFT 2'!$A:$A,"&lt;="&amp;DATE(2026,11,21))</f>
        <v/>
      </c>
      <c r="IG127">
        <f>COUNTIFS('DRAFT 2'!$D:$D,$B127,'DRAFT 2'!$A:$A,"&gt;="&amp;DATE(2026,11,22),'DRAFT 2'!$A:$A,"&lt;"&amp;DATE(2026,IF(11=12,11+1,11+1),1))</f>
        <v/>
      </c>
      <c r="IH127">
        <f>SUM(ID127:IG127)</f>
        <v/>
      </c>
      <c r="IR127">
        <f>IFERROR(LOOKUP(2,1/('DRAFT 2'!$D:$D=$B127)*('DRAFT 2'!$A:$A&gt;=DATE(2026,12,1))*('DRAFT 2'!$A:$A&lt;DATE(2026,IF(12=12,12+1,12+1),1)),'DRAFT 2'!$A:$A),"")</f>
        <v/>
      </c>
      <c r="IS127">
        <f>COUNTIFS('DRAFT 2'!$D:$D,$B127,'DRAFT 2'!$A:$A,"&gt;="&amp;DATE(2026,12,1),'DRAFT 2'!$A:$A,"&lt;="&amp;DATE(2026,12,7))</f>
        <v/>
      </c>
      <c r="IT127">
        <f>COUNTIFS('DRAFT 2'!$D:$D,$B127,'DRAFT 2'!$A:$A,"&gt;="&amp;DATE(2026,12,8),'DRAFT 2'!$A:$A,"&lt;="&amp;DATE(2026,12,14))</f>
        <v/>
      </c>
      <c r="IU127">
        <f>COUNTIFS('DRAFT 2'!$D:$D,$B127,'DRAFT 2'!$A:$A,"&gt;="&amp;DATE(2026,12,15),'DRAFT 2'!$A:$A,"&lt;="&amp;DATE(2026,12,21))</f>
        <v/>
      </c>
      <c r="IV127">
        <f>COUNTIFS('DRAFT 2'!$D:$D,$B127,'DRAFT 2'!$A:$A,"&gt;="&amp;DATE(2026,12,22),'DRAFT 2'!$A:$A,"&lt;"&amp;DATE(2026,IF(12=12,12+1,12+1),1))</f>
        <v/>
      </c>
      <c r="IW127">
        <f>SUM(IS127:IV127)</f>
        <v/>
      </c>
    </row>
    <row r="128">
      <c r="A128">
        <f>IFERROR(INDEX('DRAFT 1'!$A:$A,MATCH($B128,'DRAFT 1'!$B:$B,0)),"")</f>
        <v/>
      </c>
      <c r="C128">
        <f>IFERROR(INDEX('DRAFT 1'!$C:$C,MATCH($B128,'DRAFT 1'!$B:$B,0)),"")</f>
        <v/>
      </c>
      <c r="D128">
        <f>IFERROR(INDEX('DRAFT 1'!$D:$D,MATCH($B128,'DRAFT 1'!$B:$B,0)),"")</f>
        <v/>
      </c>
      <c r="E128">
        <f>IFERROR(INDEX('DRAFT 1'!$E:$E,MATCH($B128,'DRAFT 1'!$B:$B,0)),"")</f>
        <v/>
      </c>
      <c r="F128">
        <f>IFERROR(INDEX('DRAFT 1'!$F:$F,MATCH($B128,'DRAFT 1'!$B:$B,0)),"")</f>
        <v/>
      </c>
      <c r="G128">
        <f>IFERROR(INDEX('DRAFT 1'!$G:$G,MATCH($B128,'DRAFT 1'!$B:$B,0)),"")</f>
        <v/>
      </c>
      <c r="H128">
        <f>IFERROR(INDEX('DRAFT 1'!$H:$H,MATCH($B128,'DRAFT 1'!$B:$B,0)),"")</f>
        <v/>
      </c>
      <c r="I128">
        <f>IFERROR(INDEX('DRAFT 1'!$I:$I,MATCH($B128,'DRAFT 1'!$B:$B,0)),"")</f>
        <v/>
      </c>
      <c r="K128">
        <f>IFERROR(INDEX('DRAFT 1'!$AL:$AL,MATCH($B128,'DRAFT 1'!$B:$B,0)),"")</f>
        <v/>
      </c>
      <c r="L128">
        <f>IFERROR(INDEX('DRAFT 1'!$J:$J,MATCH($B128,'DRAFT 1'!$B:$B,0)),"")</f>
        <v/>
      </c>
      <c r="M128">
        <f>IFERROR(INDEX('DRAFT 1'!$K:$K,MATCH($B128,'DRAFT 1'!$B:$B,0)),"")</f>
        <v/>
      </c>
      <c r="P128">
        <f>IFERROR(INDEX('DRAFT 1'!$L:$L,MATCH($B128,'DRAFT 1'!$B:$B,0)),"")</f>
        <v/>
      </c>
      <c r="Q128">
        <f>IFERROR(INDEX('DRAFT 1'!$M:$M,MATCH($B128,'DRAFT 1'!$B:$B,0)),"")</f>
        <v/>
      </c>
      <c r="R128">
        <f>IFERROR(INDEX('DRAFT 1'!$N:$N,MATCH($B128,'DRAFT 1'!$B:$B,0)),"")</f>
        <v/>
      </c>
      <c r="S128">
        <f>IFERROR(INDEX('DRAFT 1'!$O:$O,MATCH($B128,'DRAFT 1'!$B:$B,0)),"")</f>
        <v/>
      </c>
      <c r="T128">
        <f>IFERROR(INDEX('DRAFT 1'!$P:$P,MATCH($B128,'DRAFT 1'!$B:$B,0)),"")</f>
        <v/>
      </c>
      <c r="U128">
        <f>IFERROR(INDEX('DRAFT 1'!$Q:$Q,MATCH($B128,'DRAFT 1'!$B:$B,0)),"")</f>
        <v/>
      </c>
      <c r="V128">
        <f>IFERROR(INDEX('DRAFT 1'!$R:$R,MATCH($B128,'DRAFT 1'!$B:$B,0)),"")</f>
        <v/>
      </c>
      <c r="W128">
        <f>IFERROR(INDEX('DRAFT 1'!$S:$S,MATCH($B128,'DRAFT 1'!$B:$B,0)),"")</f>
        <v/>
      </c>
      <c r="X128">
        <f>IFERROR(INDEX('DRAFT 1'!$T:$T,MATCH($B128,'DRAFT 1'!$B:$B,0)),"")</f>
        <v/>
      </c>
      <c r="Z128">
        <f>IFERROR(INDEX('DRAFT 1'!$U:$U,MATCH($B128,'DRAFT 1'!$B:$B,0)),"")</f>
        <v/>
      </c>
      <c r="AA128">
        <f>IFERROR(INDEX('DRAFT 1'!$V:$V,MATCH($B128,'DRAFT 1'!$B:$B,0)),"")</f>
        <v/>
      </c>
      <c r="AB128">
        <f>IFERROR(INDEX('DRAFT 1'!$W:$W,MATCH($B128,'DRAFT 1'!$B:$B,0)),"")</f>
        <v/>
      </c>
      <c r="AC128">
        <f>IFERROR(INDEX('DRAFT 1'!$X:$X,MATCH($B128,'DRAFT 1'!$B:$B,0)),"")</f>
        <v/>
      </c>
      <c r="AD128">
        <f>IFERROR(INDEX('DRAFT 1'!$Y:$Y,MATCH($B128,'DRAFT 1'!$B:$B,0)),"")</f>
        <v/>
      </c>
      <c r="AE128">
        <f>IFERROR(INDEX('DRAFT 1'!$Z:$Z,MATCH($B128,'DRAFT 1'!$B:$B,0)),"")</f>
        <v/>
      </c>
      <c r="AF128">
        <f>IFERROR(INDEX('DRAFT 1'!$AA:$AA,MATCH($B128,'DRAFT 1'!$B:$B,0)),"")</f>
        <v/>
      </c>
      <c r="AG128">
        <f>IFERROR(INDEX('DRAFT 1'!$AB:$AB,MATCH($B128,'DRAFT 1'!$B:$B,0)),"")</f>
        <v/>
      </c>
      <c r="AH128">
        <f>IFERROR(INDEX('DRAFT 1'!$AC:$AC,MATCH($B128,'DRAFT 1'!$B:$B,0)),"")</f>
        <v/>
      </c>
      <c r="AI128">
        <f>IFERROR(INDEX('DRAFT 1'!$AD:$AD,MATCH($B128,'DRAFT 1'!$B:$B,0)),"")</f>
        <v/>
      </c>
      <c r="AJ128">
        <f>IFERROR(INDEX('DRAFT 1'!$AE:$AE,MATCH($B128,'DRAFT 1'!$B:$B,0)),"")</f>
        <v/>
      </c>
      <c r="AK128">
        <f>IFERROR(INDEX('DRAFT 1'!$AG:$AG,MATCH($B128,'DRAFT 1'!$B:$B,0)),"")</f>
        <v/>
      </c>
      <c r="AL128">
        <f>IFERROR(INDEX('DRAFT 1'!$AH:$AH,MATCH($B128,'DRAFT 1'!$B:$B,0)),"")</f>
        <v/>
      </c>
      <c r="AM128">
        <f>IFERROR(INDEX('DRAFT 1'!$AI:$AI,MATCH($B128,'DRAFT 1'!$B:$B,0)),"")</f>
        <v/>
      </c>
      <c r="AN128">
        <f>IFERROR(INDEX('DRAFT 1'!$AJ:$AJ,MATCH($B128,'DRAFT 1'!$B:$B,0)),"")</f>
        <v/>
      </c>
      <c r="AO128">
        <f>IFERROR(Y128/AN128,0)</f>
        <v/>
      </c>
      <c r="AP128">
        <f>IFERROR(INDEX('DRAFT 1'!$AK:$AK,MATCH($B128,'DRAFT 1'!$B:$B,0)),"")</f>
        <v/>
      </c>
      <c r="AR128">
        <f>IFERROR(LOOKUP(2,1/('DRAFT 2'!$D:$D=$B128),'DRAFT 2'!$I:$I),"")</f>
        <v/>
      </c>
      <c r="AS128">
        <f>IFERROR(LOOKUP(2,1/('DRAFT 2'!$D:$D=$B128),'DRAFT 2'!$T:$T),"")</f>
        <v/>
      </c>
      <c r="AT128">
        <f>IFERROR(LOOKUP(2,1/('DRAFT 2'!$D:$D=$B128),'DRAFT 2'!$A:$A),"")</f>
        <v/>
      </c>
      <c r="AU128">
        <f>IFERROR(LOOKUP(2,1/('DRAFT 2'!$D:$D=$B128),'DRAFT 2'!$R:$R),"")</f>
        <v/>
      </c>
      <c r="AV128">
        <f>IFERROR(LOOKUP(2,1/('DRAFT 2'!$D:$D=$B128),'DRAFT 2'!$S:$S),"")</f>
        <v/>
      </c>
      <c r="AX128">
        <f>IFERROR(LOOKUP(2,1/('DRAFT 2'!$D:$D=$B128),'DRAFT 2'!$M:$M),"")</f>
        <v/>
      </c>
      <c r="AY128">
        <f>IFERROR(LOOKUP(2,1/('DRAFT 2'!$D:$D=$B128),'DRAFT 2'!$K:$K),"")</f>
        <v/>
      </c>
      <c r="BG128">
        <f>IFERROR(LOOKUP(2,1/('DRAFT 2'!$D:$D=$B128),'DRAFT 2'!$U:$U),"")</f>
        <v/>
      </c>
      <c r="BH128">
        <f>IFERROR(LOOKUP(2,1/('DRAFT 2'!$D:$D=$B128),'DRAFT 2'!$V:$V),"")</f>
        <v/>
      </c>
      <c r="CE128">
        <f>IFERROR(AJ128,0)</f>
        <v/>
      </c>
      <c r="CF128">
        <f>IFERROR(LOOKUP(2,1/('DRAFT 2'!$D:$D=$B128)*('DRAFT 2'!$A:$A&gt;=DATE(2026,1,1))*('DRAFT 2'!$A:$A&lt;DATE(2026,IF(1=12,1+1,1+1),1)),'DRAFT 2'!$A:$A),"")</f>
        <v/>
      </c>
      <c r="CG128">
        <f>COUNTIFS('DRAFT 2'!$D:$D,$B128,'DRAFT 2'!$A:$A,"&gt;="&amp;DATE(2026,1,1),'DRAFT 2'!$A:$A,"&lt;="&amp;DATE(2026,1,7))</f>
        <v/>
      </c>
      <c r="CH128">
        <f>COUNTIFS('DRAFT 2'!$D:$D,$B128,'DRAFT 2'!$A:$A,"&gt;="&amp;DATE(2026,1,8),'DRAFT 2'!$A:$A,"&lt;="&amp;DATE(2026,1,14))</f>
        <v/>
      </c>
      <c r="CI128">
        <f>COUNTIFS('DRAFT 2'!$D:$D,$B128,'DRAFT 2'!$A:$A,"&gt;="&amp;DATE(2026,1,15),'DRAFT 2'!$A:$A,"&lt;="&amp;DATE(2026,1,21))</f>
        <v/>
      </c>
      <c r="CJ128">
        <f>COUNTIFS('DRAFT 2'!$D:$D,$B128,'DRAFT 2'!$A:$A,"&gt;="&amp;DATE(2026,1,22),'DRAFT 2'!$A:$A,"&lt;"&amp;DATE(2026,IF(1=12,1+1,1+1),1))</f>
        <v/>
      </c>
      <c r="CK128">
        <f>SUM(CG128:CJ128)</f>
        <v/>
      </c>
      <c r="CT128" t="n">
        <v>0</v>
      </c>
      <c r="CU128">
        <f>IFERROR(LOOKUP(2,1/('DRAFT 2'!$D:$D=$B128)*('DRAFT 2'!$A:$A&gt;=DATE(2026,2,1))*('DRAFT 2'!$A:$A&lt;DATE(2026,IF(2=12,2+1,2+1),1)),'DRAFT 2'!$A:$A),"")</f>
        <v/>
      </c>
      <c r="CV128">
        <f>COUNTIFS('DRAFT 2'!$D:$D,$B128,'DRAFT 2'!$A:$A,"&gt;="&amp;DATE(2026,2,1),'DRAFT 2'!$A:$A,"&lt;="&amp;DATE(2026,2,7))</f>
        <v/>
      </c>
      <c r="CW128">
        <f>COUNTIFS('DRAFT 2'!$D:$D,$B128,'DRAFT 2'!$A:$A,"&gt;="&amp;DATE(2026,2,8),'DRAFT 2'!$A:$A,"&lt;="&amp;DATE(2026,2,14))</f>
        <v/>
      </c>
      <c r="CX128">
        <f>COUNTIFS('DRAFT 2'!$D:$D,$B128,'DRAFT 2'!$A:$A,"&gt;="&amp;DATE(2026,2,15),'DRAFT 2'!$A:$A,"&lt;="&amp;DATE(2026,2,21))</f>
        <v/>
      </c>
      <c r="CY128">
        <f>COUNTIFS('DRAFT 2'!$D:$D,$B128,'DRAFT 2'!$A:$A,"&gt;="&amp;DATE(2026,2,22),'DRAFT 2'!$A:$A,"&lt;"&amp;DATE(2026,IF(2=12,2+1,2+1),1))</f>
        <v/>
      </c>
      <c r="CZ128">
        <f>SUM(CV128:CY128)</f>
        <v/>
      </c>
      <c r="DJ128">
        <f>IFERROR(LOOKUP(2,1/('DRAFT 2'!$D:$D=$B128)*('DRAFT 2'!$A:$A&gt;=DATE(2026,3,1))*('DRAFT 2'!$A:$A&lt;DATE(2026,IF(3=12,3+1,3+1),1)),'DRAFT 2'!$A:$A),"")</f>
        <v/>
      </c>
      <c r="DK128">
        <f>COUNTIFS('DRAFT 2'!$D:$D,$B128,'DRAFT 2'!$A:$A,"&gt;="&amp;DATE(2026,3,1),'DRAFT 2'!$A:$A,"&lt;="&amp;DATE(2026,3,7))</f>
        <v/>
      </c>
      <c r="DL128">
        <f>COUNTIFS('DRAFT 2'!$D:$D,$B128,'DRAFT 2'!$A:$A,"&gt;="&amp;DATE(2026,3,8),'DRAFT 2'!$A:$A,"&lt;="&amp;DATE(2026,3,14))</f>
        <v/>
      </c>
      <c r="DM128">
        <f>COUNTIFS('DRAFT 2'!$D:$D,$B128,'DRAFT 2'!$A:$A,"&gt;="&amp;DATE(2026,3,15),'DRAFT 2'!$A:$A,"&lt;="&amp;DATE(2026,3,21))</f>
        <v/>
      </c>
      <c r="DN128">
        <f>COUNTIFS('DRAFT 2'!$D:$D,$B128,'DRAFT 2'!$A:$A,"&gt;="&amp;DATE(2026,3,22),'DRAFT 2'!$A:$A,"&lt;"&amp;DATE(2026,IF(3=12,3+1,3+1),1))</f>
        <v/>
      </c>
      <c r="DO128">
        <f>SUM(DK128:DN128)</f>
        <v/>
      </c>
      <c r="DZ128">
        <f>IFERROR(LOOKUP(2,1/('DRAFT 2'!$D:$D=$B128)*('DRAFT 2'!$A:$A&gt;=DATE(2026,4,1))*('DRAFT 2'!$A:$A&lt;DATE(2026,IF(4=12,4+1,4+1),1)),'DRAFT 2'!$A:$A),"")</f>
        <v/>
      </c>
      <c r="EA128">
        <f>COUNTIFS('DRAFT 2'!$D:$D,$B128,'DRAFT 2'!$A:$A,"&gt;="&amp;DATE(2026,4,1),'DRAFT 2'!$A:$A,"&lt;="&amp;DATE(2026,4,7))</f>
        <v/>
      </c>
      <c r="EB128">
        <f>COUNTIFS('DRAFT 2'!$D:$D,$B128,'DRAFT 2'!$A:$A,"&gt;="&amp;DATE(2026,4,8),'DRAFT 2'!$A:$A,"&lt;="&amp;DATE(2026,4,14))</f>
        <v/>
      </c>
      <c r="EC128">
        <f>COUNTIFS('DRAFT 2'!$D:$D,$B128,'DRAFT 2'!$A:$A,"&gt;="&amp;DATE(2026,4,15),'DRAFT 2'!$A:$A,"&lt;="&amp;DATE(2026,4,21))</f>
        <v/>
      </c>
      <c r="ED128">
        <f>COUNTIFS('DRAFT 2'!$D:$D,$B128,'DRAFT 2'!$A:$A,"&gt;="&amp;DATE(2026,4,22),'DRAFT 2'!$A:$A,"&lt;"&amp;DATE(2026,IF(4=12,4+1,4+1),1))</f>
        <v/>
      </c>
      <c r="EE128">
        <f>SUM(EA128:ED128)</f>
        <v/>
      </c>
      <c r="EO128">
        <f>IFERROR(LOOKUP(2,1/('DRAFT 2'!$D:$D=$B128)*('DRAFT 2'!$A:$A&gt;=DATE(2026,5,1))*('DRAFT 2'!$A:$A&lt;DATE(2026,IF(5=12,5+1,5+1),1)),'DRAFT 2'!$A:$A),"")</f>
        <v/>
      </c>
      <c r="EP128">
        <f>COUNTIFS('DRAFT 2'!$D:$D,$B128,'DRAFT 2'!$A:$A,"&gt;="&amp;DATE(2026,5,1),'DRAFT 2'!$A:$A,"&lt;="&amp;DATE(2026,5,7))</f>
        <v/>
      </c>
      <c r="EQ128">
        <f>COUNTIFS('DRAFT 2'!$D:$D,$B128,'DRAFT 2'!$A:$A,"&gt;="&amp;DATE(2026,5,8),'DRAFT 2'!$A:$A,"&lt;="&amp;DATE(2026,5,14))</f>
        <v/>
      </c>
      <c r="ER128">
        <f>COUNTIFS('DRAFT 2'!$D:$D,$B128,'DRAFT 2'!$A:$A,"&gt;="&amp;DATE(2026,5,15),'DRAFT 2'!$A:$A,"&lt;="&amp;DATE(2026,5,21))</f>
        <v/>
      </c>
      <c r="ES128">
        <f>COUNTIFS('DRAFT 2'!$D:$D,$B128,'DRAFT 2'!$A:$A,"&gt;="&amp;DATE(2026,5,22),'DRAFT 2'!$A:$A,"&lt;"&amp;DATE(2026,IF(5=12,5+1,5+1),1))</f>
        <v/>
      </c>
      <c r="ET128">
        <f>SUM(EP128:ES128)</f>
        <v/>
      </c>
      <c r="FD128">
        <f>IFERROR(LOOKUP(2,1/('DRAFT 2'!$D:$D=$B128)*('DRAFT 2'!$A:$A&gt;=DATE(2026,6,1))*('DRAFT 2'!$A:$A&lt;DATE(2026,IF(6=12,6+1,6+1),1)),'DRAFT 2'!$A:$A),"")</f>
        <v/>
      </c>
      <c r="FE128">
        <f>COUNTIFS('DRAFT 2'!$D:$D,$B128,'DRAFT 2'!$A:$A,"&gt;="&amp;DATE(2026,6,1),'DRAFT 2'!$A:$A,"&lt;="&amp;DATE(2026,6,7))</f>
        <v/>
      </c>
      <c r="FF128">
        <f>COUNTIFS('DRAFT 2'!$D:$D,$B128,'DRAFT 2'!$A:$A,"&gt;="&amp;DATE(2026,6,8),'DRAFT 2'!$A:$A,"&lt;="&amp;DATE(2026,6,14))</f>
        <v/>
      </c>
      <c r="FG128">
        <f>COUNTIFS('DRAFT 2'!$D:$D,$B128,'DRAFT 2'!$A:$A,"&gt;="&amp;DATE(2026,6,15),'DRAFT 2'!$A:$A,"&lt;="&amp;DATE(2026,6,21))</f>
        <v/>
      </c>
      <c r="FH128">
        <f>COUNTIFS('DRAFT 2'!$D:$D,$B128,'DRAFT 2'!$A:$A,"&gt;="&amp;DATE(2026,6,22),'DRAFT 2'!$A:$A,"&lt;"&amp;DATE(2026,IF(6=12,6+1,6+1),1))</f>
        <v/>
      </c>
      <c r="FI128">
        <f>SUM(FE128:FH128)</f>
        <v/>
      </c>
      <c r="FT128">
        <f>IFERROR(LOOKUP(2,1/('DRAFT 2'!$D:$D=$B128)*('DRAFT 2'!$A:$A&gt;=DATE(2026,7,1))*('DRAFT 2'!$A:$A&lt;DATE(2026,IF(7=12,7+1,7+1),1)),'DRAFT 2'!$A:$A),"")</f>
        <v/>
      </c>
      <c r="FU128">
        <f>COUNTIFS('DRAFT 2'!$D:$D,$B128,'DRAFT 2'!$A:$A,"&gt;="&amp;DATE(2026,7,1),'DRAFT 2'!$A:$A,"&lt;="&amp;DATE(2026,7,7))</f>
        <v/>
      </c>
      <c r="FV128">
        <f>COUNTIFS('DRAFT 2'!$D:$D,$B128,'DRAFT 2'!$A:$A,"&gt;="&amp;DATE(2026,7,8),'DRAFT 2'!$A:$A,"&lt;="&amp;DATE(2026,7,14))</f>
        <v/>
      </c>
      <c r="FW128">
        <f>COUNTIFS('DRAFT 2'!$D:$D,$B128,'DRAFT 2'!$A:$A,"&gt;="&amp;DATE(2026,7,15),'DRAFT 2'!$A:$A,"&lt;="&amp;DATE(2026,7,21))</f>
        <v/>
      </c>
      <c r="FX128">
        <f>COUNTIFS('DRAFT 2'!$D:$D,$B128,'DRAFT 2'!$A:$A,"&gt;="&amp;DATE(2026,7,22),'DRAFT 2'!$A:$A,"&lt;"&amp;DATE(2026,IF(7=12,7+1,7+1),1))</f>
        <v/>
      </c>
      <c r="FY128">
        <f>SUM(FU128:FX128)</f>
        <v/>
      </c>
      <c r="GI128">
        <f>IFERROR(LOOKUP(2,1/('DRAFT 2'!$D:$D=$B128)*('DRAFT 2'!$A:$A&gt;=DATE(2026,8,1))*('DRAFT 2'!$A:$A&lt;DATE(2026,IF(8=12,8+1,8+1),1)),'DRAFT 2'!$A:$A),"")</f>
        <v/>
      </c>
      <c r="GJ128">
        <f>COUNTIFS('DRAFT 2'!$D:$D,$B128,'DRAFT 2'!$A:$A,"&gt;="&amp;DATE(2026,8,1),'DRAFT 2'!$A:$A,"&lt;="&amp;DATE(2026,8,7))</f>
        <v/>
      </c>
      <c r="GK128">
        <f>COUNTIFS('DRAFT 2'!$D:$D,$B128,'DRAFT 2'!$A:$A,"&gt;="&amp;DATE(2026,8,8),'DRAFT 2'!$A:$A,"&lt;="&amp;DATE(2026,8,14))</f>
        <v/>
      </c>
      <c r="GL128">
        <f>COUNTIFS('DRAFT 2'!$D:$D,$B128,'DRAFT 2'!$A:$A,"&gt;="&amp;DATE(2026,8,15),'DRAFT 2'!$A:$A,"&lt;="&amp;DATE(2026,8,21))</f>
        <v/>
      </c>
      <c r="GM128">
        <f>COUNTIFS('DRAFT 2'!$D:$D,$B128,'DRAFT 2'!$A:$A,"&gt;="&amp;DATE(2026,8,22),'DRAFT 2'!$A:$A,"&lt;"&amp;DATE(2026,IF(8=12,8+1,8+1),1))</f>
        <v/>
      </c>
      <c r="GN128">
        <f>SUM(GJ128:GM128)</f>
        <v/>
      </c>
      <c r="GX128">
        <f>IFERROR(LOOKUP(2,1/('DRAFT 2'!$D:$D=$B128)*('DRAFT 2'!$A:$A&gt;=DATE(2026,9,1))*('DRAFT 2'!$A:$A&lt;DATE(2026,IF(9=12,9+1,9+1),1)),'DRAFT 2'!$A:$A),"")</f>
        <v/>
      </c>
      <c r="GY128">
        <f>COUNTIFS('DRAFT 2'!$D:$D,$B128,'DRAFT 2'!$A:$A,"&gt;="&amp;DATE(2026,9,1),'DRAFT 2'!$A:$A,"&lt;="&amp;DATE(2026,9,7))</f>
        <v/>
      </c>
      <c r="GZ128">
        <f>COUNTIFS('DRAFT 2'!$D:$D,$B128,'DRAFT 2'!$A:$A,"&gt;="&amp;DATE(2026,9,8),'DRAFT 2'!$A:$A,"&lt;="&amp;DATE(2026,9,14))</f>
        <v/>
      </c>
      <c r="HA128">
        <f>COUNTIFS('DRAFT 2'!$D:$D,$B128,'DRAFT 2'!$A:$A,"&gt;="&amp;DATE(2026,9,15),'DRAFT 2'!$A:$A,"&lt;="&amp;DATE(2026,9,21))</f>
        <v/>
      </c>
      <c r="HB128">
        <f>COUNTIFS('DRAFT 2'!$D:$D,$B128,'DRAFT 2'!$A:$A,"&gt;="&amp;DATE(2026,9,22),'DRAFT 2'!$A:$A,"&lt;"&amp;DATE(2026,IF(9=12,9+1,9+1),1))</f>
        <v/>
      </c>
      <c r="HC128">
        <f>SUM(GY128:HB128)</f>
        <v/>
      </c>
      <c r="HN128">
        <f>IFERROR(LOOKUP(2,1/('DRAFT 2'!$D:$D=$B128)*('DRAFT 2'!$A:$A&gt;=DATE(2026,10,1))*('DRAFT 2'!$A:$A&lt;DATE(2026,IF(10=12,10+1,10+1),1)),'DRAFT 2'!$A:$A),"")</f>
        <v/>
      </c>
      <c r="HO128">
        <f>COUNTIFS('DRAFT 2'!$D:$D,$B128,'DRAFT 2'!$A:$A,"&gt;="&amp;DATE(2026,10,1),'DRAFT 2'!$A:$A,"&lt;="&amp;DATE(2026,10,7))</f>
        <v/>
      </c>
      <c r="HP128">
        <f>COUNTIFS('DRAFT 2'!$D:$D,$B128,'DRAFT 2'!$A:$A,"&gt;="&amp;DATE(2026,10,8),'DRAFT 2'!$A:$A,"&lt;="&amp;DATE(2026,10,14))</f>
        <v/>
      </c>
      <c r="HQ128">
        <f>COUNTIFS('DRAFT 2'!$D:$D,$B128,'DRAFT 2'!$A:$A,"&gt;="&amp;DATE(2026,10,15),'DRAFT 2'!$A:$A,"&lt;="&amp;DATE(2026,10,21))</f>
        <v/>
      </c>
      <c r="HR128">
        <f>COUNTIFS('DRAFT 2'!$D:$D,$B128,'DRAFT 2'!$A:$A,"&gt;="&amp;DATE(2026,10,22),'DRAFT 2'!$A:$A,"&lt;"&amp;DATE(2026,IF(10=12,10+1,10+1),1))</f>
        <v/>
      </c>
      <c r="HS128">
        <f>SUM(HO128:HR128)</f>
        <v/>
      </c>
      <c r="IC128">
        <f>IFERROR(LOOKUP(2,1/('DRAFT 2'!$D:$D=$B128)*('DRAFT 2'!$A:$A&gt;=DATE(2026,11,1))*('DRAFT 2'!$A:$A&lt;DATE(2026,IF(11=12,11+1,11+1),1)),'DRAFT 2'!$A:$A),"")</f>
        <v/>
      </c>
      <c r="ID128">
        <f>COUNTIFS('DRAFT 2'!$D:$D,$B128,'DRAFT 2'!$A:$A,"&gt;="&amp;DATE(2026,11,1),'DRAFT 2'!$A:$A,"&lt;="&amp;DATE(2026,11,7))</f>
        <v/>
      </c>
      <c r="IE128">
        <f>COUNTIFS('DRAFT 2'!$D:$D,$B128,'DRAFT 2'!$A:$A,"&gt;="&amp;DATE(2026,11,8),'DRAFT 2'!$A:$A,"&lt;="&amp;DATE(2026,11,14))</f>
        <v/>
      </c>
      <c r="IF128">
        <f>COUNTIFS('DRAFT 2'!$D:$D,$B128,'DRAFT 2'!$A:$A,"&gt;="&amp;DATE(2026,11,15),'DRAFT 2'!$A:$A,"&lt;="&amp;DATE(2026,11,21))</f>
        <v/>
      </c>
      <c r="IG128">
        <f>COUNTIFS('DRAFT 2'!$D:$D,$B128,'DRAFT 2'!$A:$A,"&gt;="&amp;DATE(2026,11,22),'DRAFT 2'!$A:$A,"&lt;"&amp;DATE(2026,IF(11=12,11+1,11+1),1))</f>
        <v/>
      </c>
      <c r="IH128">
        <f>SUM(ID128:IG128)</f>
        <v/>
      </c>
      <c r="IR128">
        <f>IFERROR(LOOKUP(2,1/('DRAFT 2'!$D:$D=$B128)*('DRAFT 2'!$A:$A&gt;=DATE(2026,12,1))*('DRAFT 2'!$A:$A&lt;DATE(2026,IF(12=12,12+1,12+1),1)),'DRAFT 2'!$A:$A),"")</f>
        <v/>
      </c>
      <c r="IS128">
        <f>COUNTIFS('DRAFT 2'!$D:$D,$B128,'DRAFT 2'!$A:$A,"&gt;="&amp;DATE(2026,12,1),'DRAFT 2'!$A:$A,"&lt;="&amp;DATE(2026,12,7))</f>
        <v/>
      </c>
      <c r="IT128">
        <f>COUNTIFS('DRAFT 2'!$D:$D,$B128,'DRAFT 2'!$A:$A,"&gt;="&amp;DATE(2026,12,8),'DRAFT 2'!$A:$A,"&lt;="&amp;DATE(2026,12,14))</f>
        <v/>
      </c>
      <c r="IU128">
        <f>COUNTIFS('DRAFT 2'!$D:$D,$B128,'DRAFT 2'!$A:$A,"&gt;="&amp;DATE(2026,12,15),'DRAFT 2'!$A:$A,"&lt;="&amp;DATE(2026,12,21))</f>
        <v/>
      </c>
      <c r="IV128">
        <f>COUNTIFS('DRAFT 2'!$D:$D,$B128,'DRAFT 2'!$A:$A,"&gt;="&amp;DATE(2026,12,22),'DRAFT 2'!$A:$A,"&lt;"&amp;DATE(2026,IF(12=12,12+1,12+1),1))</f>
        <v/>
      </c>
      <c r="IW128">
        <f>SUM(IS128:IV128)</f>
        <v/>
      </c>
    </row>
    <row r="129">
      <c r="A129">
        <f>IFERROR(INDEX('DRAFT 1'!$A:$A,MATCH($B129,'DRAFT 1'!$B:$B,0)),"")</f>
        <v/>
      </c>
      <c r="C129">
        <f>IFERROR(INDEX('DRAFT 1'!$C:$C,MATCH($B129,'DRAFT 1'!$B:$B,0)),"")</f>
        <v/>
      </c>
      <c r="D129">
        <f>IFERROR(INDEX('DRAFT 1'!$D:$D,MATCH($B129,'DRAFT 1'!$B:$B,0)),"")</f>
        <v/>
      </c>
      <c r="E129">
        <f>IFERROR(INDEX('DRAFT 1'!$E:$E,MATCH($B129,'DRAFT 1'!$B:$B,0)),"")</f>
        <v/>
      </c>
      <c r="F129">
        <f>IFERROR(INDEX('DRAFT 1'!$F:$F,MATCH($B129,'DRAFT 1'!$B:$B,0)),"")</f>
        <v/>
      </c>
      <c r="G129">
        <f>IFERROR(INDEX('DRAFT 1'!$G:$G,MATCH($B129,'DRAFT 1'!$B:$B,0)),"")</f>
        <v/>
      </c>
      <c r="H129">
        <f>IFERROR(INDEX('DRAFT 1'!$H:$H,MATCH($B129,'DRAFT 1'!$B:$B,0)),"")</f>
        <v/>
      </c>
      <c r="I129">
        <f>IFERROR(INDEX('DRAFT 1'!$I:$I,MATCH($B129,'DRAFT 1'!$B:$B,0)),"")</f>
        <v/>
      </c>
      <c r="K129">
        <f>IFERROR(INDEX('DRAFT 1'!$AL:$AL,MATCH($B129,'DRAFT 1'!$B:$B,0)),"")</f>
        <v/>
      </c>
      <c r="L129">
        <f>IFERROR(INDEX('DRAFT 1'!$J:$J,MATCH($B129,'DRAFT 1'!$B:$B,0)),"")</f>
        <v/>
      </c>
      <c r="M129">
        <f>IFERROR(INDEX('DRAFT 1'!$K:$K,MATCH($B129,'DRAFT 1'!$B:$B,0)),"")</f>
        <v/>
      </c>
      <c r="P129">
        <f>IFERROR(INDEX('DRAFT 1'!$L:$L,MATCH($B129,'DRAFT 1'!$B:$B,0)),"")</f>
        <v/>
      </c>
      <c r="Q129">
        <f>IFERROR(INDEX('DRAFT 1'!$M:$M,MATCH($B129,'DRAFT 1'!$B:$B,0)),"")</f>
        <v/>
      </c>
      <c r="R129">
        <f>IFERROR(INDEX('DRAFT 1'!$N:$N,MATCH($B129,'DRAFT 1'!$B:$B,0)),"")</f>
        <v/>
      </c>
      <c r="S129">
        <f>IFERROR(INDEX('DRAFT 1'!$O:$O,MATCH($B129,'DRAFT 1'!$B:$B,0)),"")</f>
        <v/>
      </c>
      <c r="T129">
        <f>IFERROR(INDEX('DRAFT 1'!$P:$P,MATCH($B129,'DRAFT 1'!$B:$B,0)),"")</f>
        <v/>
      </c>
      <c r="U129">
        <f>IFERROR(INDEX('DRAFT 1'!$Q:$Q,MATCH($B129,'DRAFT 1'!$B:$B,0)),"")</f>
        <v/>
      </c>
      <c r="V129">
        <f>IFERROR(INDEX('DRAFT 1'!$R:$R,MATCH($B129,'DRAFT 1'!$B:$B,0)),"")</f>
        <v/>
      </c>
      <c r="W129">
        <f>IFERROR(INDEX('DRAFT 1'!$S:$S,MATCH($B129,'DRAFT 1'!$B:$B,0)),"")</f>
        <v/>
      </c>
      <c r="X129">
        <f>IFERROR(INDEX('DRAFT 1'!$T:$T,MATCH($B129,'DRAFT 1'!$B:$B,0)),"")</f>
        <v/>
      </c>
      <c r="Z129">
        <f>IFERROR(INDEX('DRAFT 1'!$U:$U,MATCH($B129,'DRAFT 1'!$B:$B,0)),"")</f>
        <v/>
      </c>
      <c r="AA129">
        <f>IFERROR(INDEX('DRAFT 1'!$V:$V,MATCH($B129,'DRAFT 1'!$B:$B,0)),"")</f>
        <v/>
      </c>
      <c r="AB129">
        <f>IFERROR(INDEX('DRAFT 1'!$W:$W,MATCH($B129,'DRAFT 1'!$B:$B,0)),"")</f>
        <v/>
      </c>
      <c r="AC129">
        <f>IFERROR(INDEX('DRAFT 1'!$X:$X,MATCH($B129,'DRAFT 1'!$B:$B,0)),"")</f>
        <v/>
      </c>
      <c r="AD129">
        <f>IFERROR(INDEX('DRAFT 1'!$Y:$Y,MATCH($B129,'DRAFT 1'!$B:$B,0)),"")</f>
        <v/>
      </c>
      <c r="AE129">
        <f>IFERROR(INDEX('DRAFT 1'!$Z:$Z,MATCH($B129,'DRAFT 1'!$B:$B,0)),"")</f>
        <v/>
      </c>
      <c r="AF129">
        <f>IFERROR(INDEX('DRAFT 1'!$AA:$AA,MATCH($B129,'DRAFT 1'!$B:$B,0)),"")</f>
        <v/>
      </c>
      <c r="AG129">
        <f>IFERROR(INDEX('DRAFT 1'!$AB:$AB,MATCH($B129,'DRAFT 1'!$B:$B,0)),"")</f>
        <v/>
      </c>
      <c r="AH129">
        <f>IFERROR(INDEX('DRAFT 1'!$AC:$AC,MATCH($B129,'DRAFT 1'!$B:$B,0)),"")</f>
        <v/>
      </c>
      <c r="AI129">
        <f>IFERROR(INDEX('DRAFT 1'!$AD:$AD,MATCH($B129,'DRAFT 1'!$B:$B,0)),"")</f>
        <v/>
      </c>
      <c r="AJ129">
        <f>IFERROR(INDEX('DRAFT 1'!$AE:$AE,MATCH($B129,'DRAFT 1'!$B:$B,0)),"")</f>
        <v/>
      </c>
      <c r="AK129">
        <f>IFERROR(INDEX('DRAFT 1'!$AG:$AG,MATCH($B129,'DRAFT 1'!$B:$B,0)),"")</f>
        <v/>
      </c>
      <c r="AL129">
        <f>IFERROR(INDEX('DRAFT 1'!$AH:$AH,MATCH($B129,'DRAFT 1'!$B:$B,0)),"")</f>
        <v/>
      </c>
      <c r="AM129">
        <f>IFERROR(INDEX('DRAFT 1'!$AI:$AI,MATCH($B129,'DRAFT 1'!$B:$B,0)),"")</f>
        <v/>
      </c>
      <c r="AN129">
        <f>IFERROR(INDEX('DRAFT 1'!$AJ:$AJ,MATCH($B129,'DRAFT 1'!$B:$B,0)),"")</f>
        <v/>
      </c>
      <c r="AO129">
        <f>IFERROR(Y129/AN129,0)</f>
        <v/>
      </c>
      <c r="AP129">
        <f>IFERROR(INDEX('DRAFT 1'!$AK:$AK,MATCH($B129,'DRAFT 1'!$B:$B,0)),"")</f>
        <v/>
      </c>
      <c r="AR129">
        <f>IFERROR(LOOKUP(2,1/('DRAFT 2'!$D:$D=$B129),'DRAFT 2'!$I:$I),"")</f>
        <v/>
      </c>
      <c r="AS129">
        <f>IFERROR(LOOKUP(2,1/('DRAFT 2'!$D:$D=$B129),'DRAFT 2'!$T:$T),"")</f>
        <v/>
      </c>
      <c r="AT129">
        <f>IFERROR(LOOKUP(2,1/('DRAFT 2'!$D:$D=$B129),'DRAFT 2'!$A:$A),"")</f>
        <v/>
      </c>
      <c r="AU129">
        <f>IFERROR(LOOKUP(2,1/('DRAFT 2'!$D:$D=$B129),'DRAFT 2'!$R:$R),"")</f>
        <v/>
      </c>
      <c r="AV129">
        <f>IFERROR(LOOKUP(2,1/('DRAFT 2'!$D:$D=$B129),'DRAFT 2'!$S:$S),"")</f>
        <v/>
      </c>
      <c r="AX129">
        <f>IFERROR(LOOKUP(2,1/('DRAFT 2'!$D:$D=$B129),'DRAFT 2'!$M:$M),"")</f>
        <v/>
      </c>
      <c r="AY129">
        <f>IFERROR(LOOKUP(2,1/('DRAFT 2'!$D:$D=$B129),'DRAFT 2'!$K:$K),"")</f>
        <v/>
      </c>
      <c r="BG129">
        <f>IFERROR(LOOKUP(2,1/('DRAFT 2'!$D:$D=$B129),'DRAFT 2'!$U:$U),"")</f>
        <v/>
      </c>
      <c r="BH129">
        <f>IFERROR(LOOKUP(2,1/('DRAFT 2'!$D:$D=$B129),'DRAFT 2'!$V:$V),"")</f>
        <v/>
      </c>
      <c r="CE129">
        <f>IFERROR(AJ129,0)</f>
        <v/>
      </c>
      <c r="CF129">
        <f>IFERROR(LOOKUP(2,1/('DRAFT 2'!$D:$D=$B129)*('DRAFT 2'!$A:$A&gt;=DATE(2026,1,1))*('DRAFT 2'!$A:$A&lt;DATE(2026,IF(1=12,1+1,1+1),1)),'DRAFT 2'!$A:$A),"")</f>
        <v/>
      </c>
      <c r="CG129">
        <f>COUNTIFS('DRAFT 2'!$D:$D,$B129,'DRAFT 2'!$A:$A,"&gt;="&amp;DATE(2026,1,1),'DRAFT 2'!$A:$A,"&lt;="&amp;DATE(2026,1,7))</f>
        <v/>
      </c>
      <c r="CH129">
        <f>COUNTIFS('DRAFT 2'!$D:$D,$B129,'DRAFT 2'!$A:$A,"&gt;="&amp;DATE(2026,1,8),'DRAFT 2'!$A:$A,"&lt;="&amp;DATE(2026,1,14))</f>
        <v/>
      </c>
      <c r="CI129">
        <f>COUNTIFS('DRAFT 2'!$D:$D,$B129,'DRAFT 2'!$A:$A,"&gt;="&amp;DATE(2026,1,15),'DRAFT 2'!$A:$A,"&lt;="&amp;DATE(2026,1,21))</f>
        <v/>
      </c>
      <c r="CJ129">
        <f>COUNTIFS('DRAFT 2'!$D:$D,$B129,'DRAFT 2'!$A:$A,"&gt;="&amp;DATE(2026,1,22),'DRAFT 2'!$A:$A,"&lt;"&amp;DATE(2026,IF(1=12,1+1,1+1),1))</f>
        <v/>
      </c>
      <c r="CK129">
        <f>SUM(CG129:CJ129)</f>
        <v/>
      </c>
      <c r="CT129" t="n">
        <v>0</v>
      </c>
      <c r="CU129">
        <f>IFERROR(LOOKUP(2,1/('DRAFT 2'!$D:$D=$B129)*('DRAFT 2'!$A:$A&gt;=DATE(2026,2,1))*('DRAFT 2'!$A:$A&lt;DATE(2026,IF(2=12,2+1,2+1),1)),'DRAFT 2'!$A:$A),"")</f>
        <v/>
      </c>
      <c r="CV129">
        <f>COUNTIFS('DRAFT 2'!$D:$D,$B129,'DRAFT 2'!$A:$A,"&gt;="&amp;DATE(2026,2,1),'DRAFT 2'!$A:$A,"&lt;="&amp;DATE(2026,2,7))</f>
        <v/>
      </c>
      <c r="CW129">
        <f>COUNTIFS('DRAFT 2'!$D:$D,$B129,'DRAFT 2'!$A:$A,"&gt;="&amp;DATE(2026,2,8),'DRAFT 2'!$A:$A,"&lt;="&amp;DATE(2026,2,14))</f>
        <v/>
      </c>
      <c r="CX129">
        <f>COUNTIFS('DRAFT 2'!$D:$D,$B129,'DRAFT 2'!$A:$A,"&gt;="&amp;DATE(2026,2,15),'DRAFT 2'!$A:$A,"&lt;="&amp;DATE(2026,2,21))</f>
        <v/>
      </c>
      <c r="CY129">
        <f>COUNTIFS('DRAFT 2'!$D:$D,$B129,'DRAFT 2'!$A:$A,"&gt;="&amp;DATE(2026,2,22),'DRAFT 2'!$A:$A,"&lt;"&amp;DATE(2026,IF(2=12,2+1,2+1),1))</f>
        <v/>
      </c>
      <c r="CZ129">
        <f>SUM(CV129:CY129)</f>
        <v/>
      </c>
      <c r="DJ129">
        <f>IFERROR(LOOKUP(2,1/('DRAFT 2'!$D:$D=$B129)*('DRAFT 2'!$A:$A&gt;=DATE(2026,3,1))*('DRAFT 2'!$A:$A&lt;DATE(2026,IF(3=12,3+1,3+1),1)),'DRAFT 2'!$A:$A),"")</f>
        <v/>
      </c>
      <c r="DK129">
        <f>COUNTIFS('DRAFT 2'!$D:$D,$B129,'DRAFT 2'!$A:$A,"&gt;="&amp;DATE(2026,3,1),'DRAFT 2'!$A:$A,"&lt;="&amp;DATE(2026,3,7))</f>
        <v/>
      </c>
      <c r="DL129">
        <f>COUNTIFS('DRAFT 2'!$D:$D,$B129,'DRAFT 2'!$A:$A,"&gt;="&amp;DATE(2026,3,8),'DRAFT 2'!$A:$A,"&lt;="&amp;DATE(2026,3,14))</f>
        <v/>
      </c>
      <c r="DM129">
        <f>COUNTIFS('DRAFT 2'!$D:$D,$B129,'DRAFT 2'!$A:$A,"&gt;="&amp;DATE(2026,3,15),'DRAFT 2'!$A:$A,"&lt;="&amp;DATE(2026,3,21))</f>
        <v/>
      </c>
      <c r="DN129">
        <f>COUNTIFS('DRAFT 2'!$D:$D,$B129,'DRAFT 2'!$A:$A,"&gt;="&amp;DATE(2026,3,22),'DRAFT 2'!$A:$A,"&lt;"&amp;DATE(2026,IF(3=12,3+1,3+1),1))</f>
        <v/>
      </c>
      <c r="DO129">
        <f>SUM(DK129:DN129)</f>
        <v/>
      </c>
      <c r="DZ129">
        <f>IFERROR(LOOKUP(2,1/('DRAFT 2'!$D:$D=$B129)*('DRAFT 2'!$A:$A&gt;=DATE(2026,4,1))*('DRAFT 2'!$A:$A&lt;DATE(2026,IF(4=12,4+1,4+1),1)),'DRAFT 2'!$A:$A),"")</f>
        <v/>
      </c>
      <c r="EA129">
        <f>COUNTIFS('DRAFT 2'!$D:$D,$B129,'DRAFT 2'!$A:$A,"&gt;="&amp;DATE(2026,4,1),'DRAFT 2'!$A:$A,"&lt;="&amp;DATE(2026,4,7))</f>
        <v/>
      </c>
      <c r="EB129">
        <f>COUNTIFS('DRAFT 2'!$D:$D,$B129,'DRAFT 2'!$A:$A,"&gt;="&amp;DATE(2026,4,8),'DRAFT 2'!$A:$A,"&lt;="&amp;DATE(2026,4,14))</f>
        <v/>
      </c>
      <c r="EC129">
        <f>COUNTIFS('DRAFT 2'!$D:$D,$B129,'DRAFT 2'!$A:$A,"&gt;="&amp;DATE(2026,4,15),'DRAFT 2'!$A:$A,"&lt;="&amp;DATE(2026,4,21))</f>
        <v/>
      </c>
      <c r="ED129">
        <f>COUNTIFS('DRAFT 2'!$D:$D,$B129,'DRAFT 2'!$A:$A,"&gt;="&amp;DATE(2026,4,22),'DRAFT 2'!$A:$A,"&lt;"&amp;DATE(2026,IF(4=12,4+1,4+1),1))</f>
        <v/>
      </c>
      <c r="EE129">
        <f>SUM(EA129:ED129)</f>
        <v/>
      </c>
      <c r="EO129">
        <f>IFERROR(LOOKUP(2,1/('DRAFT 2'!$D:$D=$B129)*('DRAFT 2'!$A:$A&gt;=DATE(2026,5,1))*('DRAFT 2'!$A:$A&lt;DATE(2026,IF(5=12,5+1,5+1),1)),'DRAFT 2'!$A:$A),"")</f>
        <v/>
      </c>
      <c r="EP129">
        <f>COUNTIFS('DRAFT 2'!$D:$D,$B129,'DRAFT 2'!$A:$A,"&gt;="&amp;DATE(2026,5,1),'DRAFT 2'!$A:$A,"&lt;="&amp;DATE(2026,5,7))</f>
        <v/>
      </c>
      <c r="EQ129">
        <f>COUNTIFS('DRAFT 2'!$D:$D,$B129,'DRAFT 2'!$A:$A,"&gt;="&amp;DATE(2026,5,8),'DRAFT 2'!$A:$A,"&lt;="&amp;DATE(2026,5,14))</f>
        <v/>
      </c>
      <c r="ER129">
        <f>COUNTIFS('DRAFT 2'!$D:$D,$B129,'DRAFT 2'!$A:$A,"&gt;="&amp;DATE(2026,5,15),'DRAFT 2'!$A:$A,"&lt;="&amp;DATE(2026,5,21))</f>
        <v/>
      </c>
      <c r="ES129">
        <f>COUNTIFS('DRAFT 2'!$D:$D,$B129,'DRAFT 2'!$A:$A,"&gt;="&amp;DATE(2026,5,22),'DRAFT 2'!$A:$A,"&lt;"&amp;DATE(2026,IF(5=12,5+1,5+1),1))</f>
        <v/>
      </c>
      <c r="ET129">
        <f>SUM(EP129:ES129)</f>
        <v/>
      </c>
      <c r="FD129">
        <f>IFERROR(LOOKUP(2,1/('DRAFT 2'!$D:$D=$B129)*('DRAFT 2'!$A:$A&gt;=DATE(2026,6,1))*('DRAFT 2'!$A:$A&lt;DATE(2026,IF(6=12,6+1,6+1),1)),'DRAFT 2'!$A:$A),"")</f>
        <v/>
      </c>
      <c r="FE129">
        <f>COUNTIFS('DRAFT 2'!$D:$D,$B129,'DRAFT 2'!$A:$A,"&gt;="&amp;DATE(2026,6,1),'DRAFT 2'!$A:$A,"&lt;="&amp;DATE(2026,6,7))</f>
        <v/>
      </c>
      <c r="FF129">
        <f>COUNTIFS('DRAFT 2'!$D:$D,$B129,'DRAFT 2'!$A:$A,"&gt;="&amp;DATE(2026,6,8),'DRAFT 2'!$A:$A,"&lt;="&amp;DATE(2026,6,14))</f>
        <v/>
      </c>
      <c r="FG129">
        <f>COUNTIFS('DRAFT 2'!$D:$D,$B129,'DRAFT 2'!$A:$A,"&gt;="&amp;DATE(2026,6,15),'DRAFT 2'!$A:$A,"&lt;="&amp;DATE(2026,6,21))</f>
        <v/>
      </c>
      <c r="FH129">
        <f>COUNTIFS('DRAFT 2'!$D:$D,$B129,'DRAFT 2'!$A:$A,"&gt;="&amp;DATE(2026,6,22),'DRAFT 2'!$A:$A,"&lt;"&amp;DATE(2026,IF(6=12,6+1,6+1),1))</f>
        <v/>
      </c>
      <c r="FI129">
        <f>SUM(FE129:FH129)</f>
        <v/>
      </c>
      <c r="FT129">
        <f>IFERROR(LOOKUP(2,1/('DRAFT 2'!$D:$D=$B129)*('DRAFT 2'!$A:$A&gt;=DATE(2026,7,1))*('DRAFT 2'!$A:$A&lt;DATE(2026,IF(7=12,7+1,7+1),1)),'DRAFT 2'!$A:$A),"")</f>
        <v/>
      </c>
      <c r="FU129">
        <f>COUNTIFS('DRAFT 2'!$D:$D,$B129,'DRAFT 2'!$A:$A,"&gt;="&amp;DATE(2026,7,1),'DRAFT 2'!$A:$A,"&lt;="&amp;DATE(2026,7,7))</f>
        <v/>
      </c>
      <c r="FV129">
        <f>COUNTIFS('DRAFT 2'!$D:$D,$B129,'DRAFT 2'!$A:$A,"&gt;="&amp;DATE(2026,7,8),'DRAFT 2'!$A:$A,"&lt;="&amp;DATE(2026,7,14))</f>
        <v/>
      </c>
      <c r="FW129">
        <f>COUNTIFS('DRAFT 2'!$D:$D,$B129,'DRAFT 2'!$A:$A,"&gt;="&amp;DATE(2026,7,15),'DRAFT 2'!$A:$A,"&lt;="&amp;DATE(2026,7,21))</f>
        <v/>
      </c>
      <c r="FX129">
        <f>COUNTIFS('DRAFT 2'!$D:$D,$B129,'DRAFT 2'!$A:$A,"&gt;="&amp;DATE(2026,7,22),'DRAFT 2'!$A:$A,"&lt;"&amp;DATE(2026,IF(7=12,7+1,7+1),1))</f>
        <v/>
      </c>
      <c r="FY129">
        <f>SUM(FU129:FX129)</f>
        <v/>
      </c>
      <c r="GI129">
        <f>IFERROR(LOOKUP(2,1/('DRAFT 2'!$D:$D=$B129)*('DRAFT 2'!$A:$A&gt;=DATE(2026,8,1))*('DRAFT 2'!$A:$A&lt;DATE(2026,IF(8=12,8+1,8+1),1)),'DRAFT 2'!$A:$A),"")</f>
        <v/>
      </c>
      <c r="GJ129">
        <f>COUNTIFS('DRAFT 2'!$D:$D,$B129,'DRAFT 2'!$A:$A,"&gt;="&amp;DATE(2026,8,1),'DRAFT 2'!$A:$A,"&lt;="&amp;DATE(2026,8,7))</f>
        <v/>
      </c>
      <c r="GK129">
        <f>COUNTIFS('DRAFT 2'!$D:$D,$B129,'DRAFT 2'!$A:$A,"&gt;="&amp;DATE(2026,8,8),'DRAFT 2'!$A:$A,"&lt;="&amp;DATE(2026,8,14))</f>
        <v/>
      </c>
      <c r="GL129">
        <f>COUNTIFS('DRAFT 2'!$D:$D,$B129,'DRAFT 2'!$A:$A,"&gt;="&amp;DATE(2026,8,15),'DRAFT 2'!$A:$A,"&lt;="&amp;DATE(2026,8,21))</f>
        <v/>
      </c>
      <c r="GM129">
        <f>COUNTIFS('DRAFT 2'!$D:$D,$B129,'DRAFT 2'!$A:$A,"&gt;="&amp;DATE(2026,8,22),'DRAFT 2'!$A:$A,"&lt;"&amp;DATE(2026,IF(8=12,8+1,8+1),1))</f>
        <v/>
      </c>
      <c r="GN129">
        <f>SUM(GJ129:GM129)</f>
        <v/>
      </c>
      <c r="GX129">
        <f>IFERROR(LOOKUP(2,1/('DRAFT 2'!$D:$D=$B129)*('DRAFT 2'!$A:$A&gt;=DATE(2026,9,1))*('DRAFT 2'!$A:$A&lt;DATE(2026,IF(9=12,9+1,9+1),1)),'DRAFT 2'!$A:$A),"")</f>
        <v/>
      </c>
      <c r="GY129">
        <f>COUNTIFS('DRAFT 2'!$D:$D,$B129,'DRAFT 2'!$A:$A,"&gt;="&amp;DATE(2026,9,1),'DRAFT 2'!$A:$A,"&lt;="&amp;DATE(2026,9,7))</f>
        <v/>
      </c>
      <c r="GZ129">
        <f>COUNTIFS('DRAFT 2'!$D:$D,$B129,'DRAFT 2'!$A:$A,"&gt;="&amp;DATE(2026,9,8),'DRAFT 2'!$A:$A,"&lt;="&amp;DATE(2026,9,14))</f>
        <v/>
      </c>
      <c r="HA129">
        <f>COUNTIFS('DRAFT 2'!$D:$D,$B129,'DRAFT 2'!$A:$A,"&gt;="&amp;DATE(2026,9,15),'DRAFT 2'!$A:$A,"&lt;="&amp;DATE(2026,9,21))</f>
        <v/>
      </c>
      <c r="HB129">
        <f>COUNTIFS('DRAFT 2'!$D:$D,$B129,'DRAFT 2'!$A:$A,"&gt;="&amp;DATE(2026,9,22),'DRAFT 2'!$A:$A,"&lt;"&amp;DATE(2026,IF(9=12,9+1,9+1),1))</f>
        <v/>
      </c>
      <c r="HC129">
        <f>SUM(GY129:HB129)</f>
        <v/>
      </c>
      <c r="HN129">
        <f>IFERROR(LOOKUP(2,1/('DRAFT 2'!$D:$D=$B129)*('DRAFT 2'!$A:$A&gt;=DATE(2026,10,1))*('DRAFT 2'!$A:$A&lt;DATE(2026,IF(10=12,10+1,10+1),1)),'DRAFT 2'!$A:$A),"")</f>
        <v/>
      </c>
      <c r="HO129">
        <f>COUNTIFS('DRAFT 2'!$D:$D,$B129,'DRAFT 2'!$A:$A,"&gt;="&amp;DATE(2026,10,1),'DRAFT 2'!$A:$A,"&lt;="&amp;DATE(2026,10,7))</f>
        <v/>
      </c>
      <c r="HP129">
        <f>COUNTIFS('DRAFT 2'!$D:$D,$B129,'DRAFT 2'!$A:$A,"&gt;="&amp;DATE(2026,10,8),'DRAFT 2'!$A:$A,"&lt;="&amp;DATE(2026,10,14))</f>
        <v/>
      </c>
      <c r="HQ129">
        <f>COUNTIFS('DRAFT 2'!$D:$D,$B129,'DRAFT 2'!$A:$A,"&gt;="&amp;DATE(2026,10,15),'DRAFT 2'!$A:$A,"&lt;="&amp;DATE(2026,10,21))</f>
        <v/>
      </c>
      <c r="HR129">
        <f>COUNTIFS('DRAFT 2'!$D:$D,$B129,'DRAFT 2'!$A:$A,"&gt;="&amp;DATE(2026,10,22),'DRAFT 2'!$A:$A,"&lt;"&amp;DATE(2026,IF(10=12,10+1,10+1),1))</f>
        <v/>
      </c>
      <c r="HS129">
        <f>SUM(HO129:HR129)</f>
        <v/>
      </c>
      <c r="IC129">
        <f>IFERROR(LOOKUP(2,1/('DRAFT 2'!$D:$D=$B129)*('DRAFT 2'!$A:$A&gt;=DATE(2026,11,1))*('DRAFT 2'!$A:$A&lt;DATE(2026,IF(11=12,11+1,11+1),1)),'DRAFT 2'!$A:$A),"")</f>
        <v/>
      </c>
      <c r="ID129">
        <f>COUNTIFS('DRAFT 2'!$D:$D,$B129,'DRAFT 2'!$A:$A,"&gt;="&amp;DATE(2026,11,1),'DRAFT 2'!$A:$A,"&lt;="&amp;DATE(2026,11,7))</f>
        <v/>
      </c>
      <c r="IE129">
        <f>COUNTIFS('DRAFT 2'!$D:$D,$B129,'DRAFT 2'!$A:$A,"&gt;="&amp;DATE(2026,11,8),'DRAFT 2'!$A:$A,"&lt;="&amp;DATE(2026,11,14))</f>
        <v/>
      </c>
      <c r="IF129">
        <f>COUNTIFS('DRAFT 2'!$D:$D,$B129,'DRAFT 2'!$A:$A,"&gt;="&amp;DATE(2026,11,15),'DRAFT 2'!$A:$A,"&lt;="&amp;DATE(2026,11,21))</f>
        <v/>
      </c>
      <c r="IG129">
        <f>COUNTIFS('DRAFT 2'!$D:$D,$B129,'DRAFT 2'!$A:$A,"&gt;="&amp;DATE(2026,11,22),'DRAFT 2'!$A:$A,"&lt;"&amp;DATE(2026,IF(11=12,11+1,11+1),1))</f>
        <v/>
      </c>
      <c r="IH129">
        <f>SUM(ID129:IG129)</f>
        <v/>
      </c>
      <c r="IR129">
        <f>IFERROR(LOOKUP(2,1/('DRAFT 2'!$D:$D=$B129)*('DRAFT 2'!$A:$A&gt;=DATE(2026,12,1))*('DRAFT 2'!$A:$A&lt;DATE(2026,IF(12=12,12+1,12+1),1)),'DRAFT 2'!$A:$A),"")</f>
        <v/>
      </c>
      <c r="IS129">
        <f>COUNTIFS('DRAFT 2'!$D:$D,$B129,'DRAFT 2'!$A:$A,"&gt;="&amp;DATE(2026,12,1),'DRAFT 2'!$A:$A,"&lt;="&amp;DATE(2026,12,7))</f>
        <v/>
      </c>
      <c r="IT129">
        <f>COUNTIFS('DRAFT 2'!$D:$D,$B129,'DRAFT 2'!$A:$A,"&gt;="&amp;DATE(2026,12,8),'DRAFT 2'!$A:$A,"&lt;="&amp;DATE(2026,12,14))</f>
        <v/>
      </c>
      <c r="IU129">
        <f>COUNTIFS('DRAFT 2'!$D:$D,$B129,'DRAFT 2'!$A:$A,"&gt;="&amp;DATE(2026,12,15),'DRAFT 2'!$A:$A,"&lt;="&amp;DATE(2026,12,21))</f>
        <v/>
      </c>
      <c r="IV129">
        <f>COUNTIFS('DRAFT 2'!$D:$D,$B129,'DRAFT 2'!$A:$A,"&gt;="&amp;DATE(2026,12,22),'DRAFT 2'!$A:$A,"&lt;"&amp;DATE(2026,IF(12=12,12+1,12+1),1))</f>
        <v/>
      </c>
      <c r="IW129">
        <f>SUM(IS129:IV129)</f>
        <v/>
      </c>
    </row>
    <row r="130">
      <c r="A130">
        <f>IFERROR(INDEX('DRAFT 1'!$A:$A,MATCH($B130,'DRAFT 1'!$B:$B,0)),"")</f>
        <v/>
      </c>
      <c r="C130">
        <f>IFERROR(INDEX('DRAFT 1'!$C:$C,MATCH($B130,'DRAFT 1'!$B:$B,0)),"")</f>
        <v/>
      </c>
      <c r="D130">
        <f>IFERROR(INDEX('DRAFT 1'!$D:$D,MATCH($B130,'DRAFT 1'!$B:$B,0)),"")</f>
        <v/>
      </c>
      <c r="E130">
        <f>IFERROR(INDEX('DRAFT 1'!$E:$E,MATCH($B130,'DRAFT 1'!$B:$B,0)),"")</f>
        <v/>
      </c>
      <c r="F130">
        <f>IFERROR(INDEX('DRAFT 1'!$F:$F,MATCH($B130,'DRAFT 1'!$B:$B,0)),"")</f>
        <v/>
      </c>
      <c r="G130">
        <f>IFERROR(INDEX('DRAFT 1'!$G:$G,MATCH($B130,'DRAFT 1'!$B:$B,0)),"")</f>
        <v/>
      </c>
      <c r="H130">
        <f>IFERROR(INDEX('DRAFT 1'!$H:$H,MATCH($B130,'DRAFT 1'!$B:$B,0)),"")</f>
        <v/>
      </c>
      <c r="I130">
        <f>IFERROR(INDEX('DRAFT 1'!$I:$I,MATCH($B130,'DRAFT 1'!$B:$B,0)),"")</f>
        <v/>
      </c>
      <c r="K130">
        <f>IFERROR(INDEX('DRAFT 1'!$AL:$AL,MATCH($B130,'DRAFT 1'!$B:$B,0)),"")</f>
        <v/>
      </c>
      <c r="L130">
        <f>IFERROR(INDEX('DRAFT 1'!$J:$J,MATCH($B130,'DRAFT 1'!$B:$B,0)),"")</f>
        <v/>
      </c>
      <c r="M130">
        <f>IFERROR(INDEX('DRAFT 1'!$K:$K,MATCH($B130,'DRAFT 1'!$B:$B,0)),"")</f>
        <v/>
      </c>
      <c r="P130">
        <f>IFERROR(INDEX('DRAFT 1'!$L:$L,MATCH($B130,'DRAFT 1'!$B:$B,0)),"")</f>
        <v/>
      </c>
      <c r="Q130">
        <f>IFERROR(INDEX('DRAFT 1'!$M:$M,MATCH($B130,'DRAFT 1'!$B:$B,0)),"")</f>
        <v/>
      </c>
      <c r="R130">
        <f>IFERROR(INDEX('DRAFT 1'!$N:$N,MATCH($B130,'DRAFT 1'!$B:$B,0)),"")</f>
        <v/>
      </c>
      <c r="S130">
        <f>IFERROR(INDEX('DRAFT 1'!$O:$O,MATCH($B130,'DRAFT 1'!$B:$B,0)),"")</f>
        <v/>
      </c>
      <c r="T130">
        <f>IFERROR(INDEX('DRAFT 1'!$P:$P,MATCH($B130,'DRAFT 1'!$B:$B,0)),"")</f>
        <v/>
      </c>
      <c r="U130">
        <f>IFERROR(INDEX('DRAFT 1'!$Q:$Q,MATCH($B130,'DRAFT 1'!$B:$B,0)),"")</f>
        <v/>
      </c>
      <c r="V130">
        <f>IFERROR(INDEX('DRAFT 1'!$R:$R,MATCH($B130,'DRAFT 1'!$B:$B,0)),"")</f>
        <v/>
      </c>
      <c r="W130">
        <f>IFERROR(INDEX('DRAFT 1'!$S:$S,MATCH($B130,'DRAFT 1'!$B:$B,0)),"")</f>
        <v/>
      </c>
      <c r="X130">
        <f>IFERROR(INDEX('DRAFT 1'!$T:$T,MATCH($B130,'DRAFT 1'!$B:$B,0)),"")</f>
        <v/>
      </c>
      <c r="Z130">
        <f>IFERROR(INDEX('DRAFT 1'!$U:$U,MATCH($B130,'DRAFT 1'!$B:$B,0)),"")</f>
        <v/>
      </c>
      <c r="AA130">
        <f>IFERROR(INDEX('DRAFT 1'!$V:$V,MATCH($B130,'DRAFT 1'!$B:$B,0)),"")</f>
        <v/>
      </c>
      <c r="AB130">
        <f>IFERROR(INDEX('DRAFT 1'!$W:$W,MATCH($B130,'DRAFT 1'!$B:$B,0)),"")</f>
        <v/>
      </c>
      <c r="AC130">
        <f>IFERROR(INDEX('DRAFT 1'!$X:$X,MATCH($B130,'DRAFT 1'!$B:$B,0)),"")</f>
        <v/>
      </c>
      <c r="AD130">
        <f>IFERROR(INDEX('DRAFT 1'!$Y:$Y,MATCH($B130,'DRAFT 1'!$B:$B,0)),"")</f>
        <v/>
      </c>
      <c r="AE130">
        <f>IFERROR(INDEX('DRAFT 1'!$Z:$Z,MATCH($B130,'DRAFT 1'!$B:$B,0)),"")</f>
        <v/>
      </c>
      <c r="AF130">
        <f>IFERROR(INDEX('DRAFT 1'!$AA:$AA,MATCH($B130,'DRAFT 1'!$B:$B,0)),"")</f>
        <v/>
      </c>
      <c r="AG130">
        <f>IFERROR(INDEX('DRAFT 1'!$AB:$AB,MATCH($B130,'DRAFT 1'!$B:$B,0)),"")</f>
        <v/>
      </c>
      <c r="AH130">
        <f>IFERROR(INDEX('DRAFT 1'!$AC:$AC,MATCH($B130,'DRAFT 1'!$B:$B,0)),"")</f>
        <v/>
      </c>
      <c r="AI130">
        <f>IFERROR(INDEX('DRAFT 1'!$AD:$AD,MATCH($B130,'DRAFT 1'!$B:$B,0)),"")</f>
        <v/>
      </c>
      <c r="AJ130">
        <f>IFERROR(INDEX('DRAFT 1'!$AE:$AE,MATCH($B130,'DRAFT 1'!$B:$B,0)),"")</f>
        <v/>
      </c>
      <c r="AK130">
        <f>IFERROR(INDEX('DRAFT 1'!$AG:$AG,MATCH($B130,'DRAFT 1'!$B:$B,0)),"")</f>
        <v/>
      </c>
      <c r="AL130">
        <f>IFERROR(INDEX('DRAFT 1'!$AH:$AH,MATCH($B130,'DRAFT 1'!$B:$B,0)),"")</f>
        <v/>
      </c>
      <c r="AM130">
        <f>IFERROR(INDEX('DRAFT 1'!$AI:$AI,MATCH($B130,'DRAFT 1'!$B:$B,0)),"")</f>
        <v/>
      </c>
      <c r="AN130">
        <f>IFERROR(INDEX('DRAFT 1'!$AJ:$AJ,MATCH($B130,'DRAFT 1'!$B:$B,0)),"")</f>
        <v/>
      </c>
      <c r="AO130">
        <f>IFERROR(Y130/AN130,0)</f>
        <v/>
      </c>
      <c r="AP130">
        <f>IFERROR(INDEX('DRAFT 1'!$AK:$AK,MATCH($B130,'DRAFT 1'!$B:$B,0)),"")</f>
        <v/>
      </c>
      <c r="AR130">
        <f>IFERROR(LOOKUP(2,1/('DRAFT 2'!$D:$D=$B130),'DRAFT 2'!$I:$I),"")</f>
        <v/>
      </c>
      <c r="AS130">
        <f>IFERROR(LOOKUP(2,1/('DRAFT 2'!$D:$D=$B130),'DRAFT 2'!$T:$T),"")</f>
        <v/>
      </c>
      <c r="AT130">
        <f>IFERROR(LOOKUP(2,1/('DRAFT 2'!$D:$D=$B130),'DRAFT 2'!$A:$A),"")</f>
        <v/>
      </c>
      <c r="AU130">
        <f>IFERROR(LOOKUP(2,1/('DRAFT 2'!$D:$D=$B130),'DRAFT 2'!$R:$R),"")</f>
        <v/>
      </c>
      <c r="AV130">
        <f>IFERROR(LOOKUP(2,1/('DRAFT 2'!$D:$D=$B130),'DRAFT 2'!$S:$S),"")</f>
        <v/>
      </c>
      <c r="AX130">
        <f>IFERROR(LOOKUP(2,1/('DRAFT 2'!$D:$D=$B130),'DRAFT 2'!$M:$M),"")</f>
        <v/>
      </c>
      <c r="AY130">
        <f>IFERROR(LOOKUP(2,1/('DRAFT 2'!$D:$D=$B130),'DRAFT 2'!$K:$K),"")</f>
        <v/>
      </c>
      <c r="BG130">
        <f>IFERROR(LOOKUP(2,1/('DRAFT 2'!$D:$D=$B130),'DRAFT 2'!$U:$U),"")</f>
        <v/>
      </c>
      <c r="BH130">
        <f>IFERROR(LOOKUP(2,1/('DRAFT 2'!$D:$D=$B130),'DRAFT 2'!$V:$V),"")</f>
        <v/>
      </c>
      <c r="CE130">
        <f>IFERROR(AJ130,0)</f>
        <v/>
      </c>
      <c r="CF130">
        <f>IFERROR(LOOKUP(2,1/('DRAFT 2'!$D:$D=$B130)*('DRAFT 2'!$A:$A&gt;=DATE(2026,1,1))*('DRAFT 2'!$A:$A&lt;DATE(2026,IF(1=12,1+1,1+1),1)),'DRAFT 2'!$A:$A),"")</f>
        <v/>
      </c>
      <c r="CG130">
        <f>COUNTIFS('DRAFT 2'!$D:$D,$B130,'DRAFT 2'!$A:$A,"&gt;="&amp;DATE(2026,1,1),'DRAFT 2'!$A:$A,"&lt;="&amp;DATE(2026,1,7))</f>
        <v/>
      </c>
      <c r="CH130">
        <f>COUNTIFS('DRAFT 2'!$D:$D,$B130,'DRAFT 2'!$A:$A,"&gt;="&amp;DATE(2026,1,8),'DRAFT 2'!$A:$A,"&lt;="&amp;DATE(2026,1,14))</f>
        <v/>
      </c>
      <c r="CI130">
        <f>COUNTIFS('DRAFT 2'!$D:$D,$B130,'DRAFT 2'!$A:$A,"&gt;="&amp;DATE(2026,1,15),'DRAFT 2'!$A:$A,"&lt;="&amp;DATE(2026,1,21))</f>
        <v/>
      </c>
      <c r="CJ130">
        <f>COUNTIFS('DRAFT 2'!$D:$D,$B130,'DRAFT 2'!$A:$A,"&gt;="&amp;DATE(2026,1,22),'DRAFT 2'!$A:$A,"&lt;"&amp;DATE(2026,IF(1=12,1+1,1+1),1))</f>
        <v/>
      </c>
      <c r="CK130">
        <f>SUM(CG130:CJ130)</f>
        <v/>
      </c>
      <c r="CT130" t="n">
        <v>0</v>
      </c>
      <c r="CU130">
        <f>IFERROR(LOOKUP(2,1/('DRAFT 2'!$D:$D=$B130)*('DRAFT 2'!$A:$A&gt;=DATE(2026,2,1))*('DRAFT 2'!$A:$A&lt;DATE(2026,IF(2=12,2+1,2+1),1)),'DRAFT 2'!$A:$A),"")</f>
        <v/>
      </c>
      <c r="CV130">
        <f>COUNTIFS('DRAFT 2'!$D:$D,$B130,'DRAFT 2'!$A:$A,"&gt;="&amp;DATE(2026,2,1),'DRAFT 2'!$A:$A,"&lt;="&amp;DATE(2026,2,7))</f>
        <v/>
      </c>
      <c r="CW130">
        <f>COUNTIFS('DRAFT 2'!$D:$D,$B130,'DRAFT 2'!$A:$A,"&gt;="&amp;DATE(2026,2,8),'DRAFT 2'!$A:$A,"&lt;="&amp;DATE(2026,2,14))</f>
        <v/>
      </c>
      <c r="CX130">
        <f>COUNTIFS('DRAFT 2'!$D:$D,$B130,'DRAFT 2'!$A:$A,"&gt;="&amp;DATE(2026,2,15),'DRAFT 2'!$A:$A,"&lt;="&amp;DATE(2026,2,21))</f>
        <v/>
      </c>
      <c r="CY130">
        <f>COUNTIFS('DRAFT 2'!$D:$D,$B130,'DRAFT 2'!$A:$A,"&gt;="&amp;DATE(2026,2,22),'DRAFT 2'!$A:$A,"&lt;"&amp;DATE(2026,IF(2=12,2+1,2+1),1))</f>
        <v/>
      </c>
      <c r="CZ130">
        <f>SUM(CV130:CY130)</f>
        <v/>
      </c>
      <c r="DJ130">
        <f>IFERROR(LOOKUP(2,1/('DRAFT 2'!$D:$D=$B130)*('DRAFT 2'!$A:$A&gt;=DATE(2026,3,1))*('DRAFT 2'!$A:$A&lt;DATE(2026,IF(3=12,3+1,3+1),1)),'DRAFT 2'!$A:$A),"")</f>
        <v/>
      </c>
      <c r="DK130">
        <f>COUNTIFS('DRAFT 2'!$D:$D,$B130,'DRAFT 2'!$A:$A,"&gt;="&amp;DATE(2026,3,1),'DRAFT 2'!$A:$A,"&lt;="&amp;DATE(2026,3,7))</f>
        <v/>
      </c>
      <c r="DL130">
        <f>COUNTIFS('DRAFT 2'!$D:$D,$B130,'DRAFT 2'!$A:$A,"&gt;="&amp;DATE(2026,3,8),'DRAFT 2'!$A:$A,"&lt;="&amp;DATE(2026,3,14))</f>
        <v/>
      </c>
      <c r="DM130">
        <f>COUNTIFS('DRAFT 2'!$D:$D,$B130,'DRAFT 2'!$A:$A,"&gt;="&amp;DATE(2026,3,15),'DRAFT 2'!$A:$A,"&lt;="&amp;DATE(2026,3,21))</f>
        <v/>
      </c>
      <c r="DN130">
        <f>COUNTIFS('DRAFT 2'!$D:$D,$B130,'DRAFT 2'!$A:$A,"&gt;="&amp;DATE(2026,3,22),'DRAFT 2'!$A:$A,"&lt;"&amp;DATE(2026,IF(3=12,3+1,3+1),1))</f>
        <v/>
      </c>
      <c r="DO130">
        <f>SUM(DK130:DN130)</f>
        <v/>
      </c>
      <c r="DZ130">
        <f>IFERROR(LOOKUP(2,1/('DRAFT 2'!$D:$D=$B130)*('DRAFT 2'!$A:$A&gt;=DATE(2026,4,1))*('DRAFT 2'!$A:$A&lt;DATE(2026,IF(4=12,4+1,4+1),1)),'DRAFT 2'!$A:$A),"")</f>
        <v/>
      </c>
      <c r="EA130">
        <f>COUNTIFS('DRAFT 2'!$D:$D,$B130,'DRAFT 2'!$A:$A,"&gt;="&amp;DATE(2026,4,1),'DRAFT 2'!$A:$A,"&lt;="&amp;DATE(2026,4,7))</f>
        <v/>
      </c>
      <c r="EB130">
        <f>COUNTIFS('DRAFT 2'!$D:$D,$B130,'DRAFT 2'!$A:$A,"&gt;="&amp;DATE(2026,4,8),'DRAFT 2'!$A:$A,"&lt;="&amp;DATE(2026,4,14))</f>
        <v/>
      </c>
      <c r="EC130">
        <f>COUNTIFS('DRAFT 2'!$D:$D,$B130,'DRAFT 2'!$A:$A,"&gt;="&amp;DATE(2026,4,15),'DRAFT 2'!$A:$A,"&lt;="&amp;DATE(2026,4,21))</f>
        <v/>
      </c>
      <c r="ED130">
        <f>COUNTIFS('DRAFT 2'!$D:$D,$B130,'DRAFT 2'!$A:$A,"&gt;="&amp;DATE(2026,4,22),'DRAFT 2'!$A:$A,"&lt;"&amp;DATE(2026,IF(4=12,4+1,4+1),1))</f>
        <v/>
      </c>
      <c r="EE130">
        <f>SUM(EA130:ED130)</f>
        <v/>
      </c>
      <c r="EO130">
        <f>IFERROR(LOOKUP(2,1/('DRAFT 2'!$D:$D=$B130)*('DRAFT 2'!$A:$A&gt;=DATE(2026,5,1))*('DRAFT 2'!$A:$A&lt;DATE(2026,IF(5=12,5+1,5+1),1)),'DRAFT 2'!$A:$A),"")</f>
        <v/>
      </c>
      <c r="EP130">
        <f>COUNTIFS('DRAFT 2'!$D:$D,$B130,'DRAFT 2'!$A:$A,"&gt;="&amp;DATE(2026,5,1),'DRAFT 2'!$A:$A,"&lt;="&amp;DATE(2026,5,7))</f>
        <v/>
      </c>
      <c r="EQ130">
        <f>COUNTIFS('DRAFT 2'!$D:$D,$B130,'DRAFT 2'!$A:$A,"&gt;="&amp;DATE(2026,5,8),'DRAFT 2'!$A:$A,"&lt;="&amp;DATE(2026,5,14))</f>
        <v/>
      </c>
      <c r="ER130">
        <f>COUNTIFS('DRAFT 2'!$D:$D,$B130,'DRAFT 2'!$A:$A,"&gt;="&amp;DATE(2026,5,15),'DRAFT 2'!$A:$A,"&lt;="&amp;DATE(2026,5,21))</f>
        <v/>
      </c>
      <c r="ES130">
        <f>COUNTIFS('DRAFT 2'!$D:$D,$B130,'DRAFT 2'!$A:$A,"&gt;="&amp;DATE(2026,5,22),'DRAFT 2'!$A:$A,"&lt;"&amp;DATE(2026,IF(5=12,5+1,5+1),1))</f>
        <v/>
      </c>
      <c r="ET130">
        <f>SUM(EP130:ES130)</f>
        <v/>
      </c>
      <c r="FD130">
        <f>IFERROR(LOOKUP(2,1/('DRAFT 2'!$D:$D=$B130)*('DRAFT 2'!$A:$A&gt;=DATE(2026,6,1))*('DRAFT 2'!$A:$A&lt;DATE(2026,IF(6=12,6+1,6+1),1)),'DRAFT 2'!$A:$A),"")</f>
        <v/>
      </c>
      <c r="FE130">
        <f>COUNTIFS('DRAFT 2'!$D:$D,$B130,'DRAFT 2'!$A:$A,"&gt;="&amp;DATE(2026,6,1),'DRAFT 2'!$A:$A,"&lt;="&amp;DATE(2026,6,7))</f>
        <v/>
      </c>
      <c r="FF130">
        <f>COUNTIFS('DRAFT 2'!$D:$D,$B130,'DRAFT 2'!$A:$A,"&gt;="&amp;DATE(2026,6,8),'DRAFT 2'!$A:$A,"&lt;="&amp;DATE(2026,6,14))</f>
        <v/>
      </c>
      <c r="FG130">
        <f>COUNTIFS('DRAFT 2'!$D:$D,$B130,'DRAFT 2'!$A:$A,"&gt;="&amp;DATE(2026,6,15),'DRAFT 2'!$A:$A,"&lt;="&amp;DATE(2026,6,21))</f>
        <v/>
      </c>
      <c r="FH130">
        <f>COUNTIFS('DRAFT 2'!$D:$D,$B130,'DRAFT 2'!$A:$A,"&gt;="&amp;DATE(2026,6,22),'DRAFT 2'!$A:$A,"&lt;"&amp;DATE(2026,IF(6=12,6+1,6+1),1))</f>
        <v/>
      </c>
      <c r="FI130">
        <f>SUM(FE130:FH130)</f>
        <v/>
      </c>
      <c r="FT130">
        <f>IFERROR(LOOKUP(2,1/('DRAFT 2'!$D:$D=$B130)*('DRAFT 2'!$A:$A&gt;=DATE(2026,7,1))*('DRAFT 2'!$A:$A&lt;DATE(2026,IF(7=12,7+1,7+1),1)),'DRAFT 2'!$A:$A),"")</f>
        <v/>
      </c>
      <c r="FU130">
        <f>COUNTIFS('DRAFT 2'!$D:$D,$B130,'DRAFT 2'!$A:$A,"&gt;="&amp;DATE(2026,7,1),'DRAFT 2'!$A:$A,"&lt;="&amp;DATE(2026,7,7))</f>
        <v/>
      </c>
      <c r="FV130">
        <f>COUNTIFS('DRAFT 2'!$D:$D,$B130,'DRAFT 2'!$A:$A,"&gt;="&amp;DATE(2026,7,8),'DRAFT 2'!$A:$A,"&lt;="&amp;DATE(2026,7,14))</f>
        <v/>
      </c>
      <c r="FW130">
        <f>COUNTIFS('DRAFT 2'!$D:$D,$B130,'DRAFT 2'!$A:$A,"&gt;="&amp;DATE(2026,7,15),'DRAFT 2'!$A:$A,"&lt;="&amp;DATE(2026,7,21))</f>
        <v/>
      </c>
      <c r="FX130">
        <f>COUNTIFS('DRAFT 2'!$D:$D,$B130,'DRAFT 2'!$A:$A,"&gt;="&amp;DATE(2026,7,22),'DRAFT 2'!$A:$A,"&lt;"&amp;DATE(2026,IF(7=12,7+1,7+1),1))</f>
        <v/>
      </c>
      <c r="FY130">
        <f>SUM(FU130:FX130)</f>
        <v/>
      </c>
      <c r="GI130">
        <f>IFERROR(LOOKUP(2,1/('DRAFT 2'!$D:$D=$B130)*('DRAFT 2'!$A:$A&gt;=DATE(2026,8,1))*('DRAFT 2'!$A:$A&lt;DATE(2026,IF(8=12,8+1,8+1),1)),'DRAFT 2'!$A:$A),"")</f>
        <v/>
      </c>
      <c r="GJ130">
        <f>COUNTIFS('DRAFT 2'!$D:$D,$B130,'DRAFT 2'!$A:$A,"&gt;="&amp;DATE(2026,8,1),'DRAFT 2'!$A:$A,"&lt;="&amp;DATE(2026,8,7))</f>
        <v/>
      </c>
      <c r="GK130">
        <f>COUNTIFS('DRAFT 2'!$D:$D,$B130,'DRAFT 2'!$A:$A,"&gt;="&amp;DATE(2026,8,8),'DRAFT 2'!$A:$A,"&lt;="&amp;DATE(2026,8,14))</f>
        <v/>
      </c>
      <c r="GL130">
        <f>COUNTIFS('DRAFT 2'!$D:$D,$B130,'DRAFT 2'!$A:$A,"&gt;="&amp;DATE(2026,8,15),'DRAFT 2'!$A:$A,"&lt;="&amp;DATE(2026,8,21))</f>
        <v/>
      </c>
      <c r="GM130">
        <f>COUNTIFS('DRAFT 2'!$D:$D,$B130,'DRAFT 2'!$A:$A,"&gt;="&amp;DATE(2026,8,22),'DRAFT 2'!$A:$A,"&lt;"&amp;DATE(2026,IF(8=12,8+1,8+1),1))</f>
        <v/>
      </c>
      <c r="GN130">
        <f>SUM(GJ130:GM130)</f>
        <v/>
      </c>
      <c r="GX130">
        <f>IFERROR(LOOKUP(2,1/('DRAFT 2'!$D:$D=$B130)*('DRAFT 2'!$A:$A&gt;=DATE(2026,9,1))*('DRAFT 2'!$A:$A&lt;DATE(2026,IF(9=12,9+1,9+1),1)),'DRAFT 2'!$A:$A),"")</f>
        <v/>
      </c>
      <c r="GY130">
        <f>COUNTIFS('DRAFT 2'!$D:$D,$B130,'DRAFT 2'!$A:$A,"&gt;="&amp;DATE(2026,9,1),'DRAFT 2'!$A:$A,"&lt;="&amp;DATE(2026,9,7))</f>
        <v/>
      </c>
      <c r="GZ130">
        <f>COUNTIFS('DRAFT 2'!$D:$D,$B130,'DRAFT 2'!$A:$A,"&gt;="&amp;DATE(2026,9,8),'DRAFT 2'!$A:$A,"&lt;="&amp;DATE(2026,9,14))</f>
        <v/>
      </c>
      <c r="HA130">
        <f>COUNTIFS('DRAFT 2'!$D:$D,$B130,'DRAFT 2'!$A:$A,"&gt;="&amp;DATE(2026,9,15),'DRAFT 2'!$A:$A,"&lt;="&amp;DATE(2026,9,21))</f>
        <v/>
      </c>
      <c r="HB130">
        <f>COUNTIFS('DRAFT 2'!$D:$D,$B130,'DRAFT 2'!$A:$A,"&gt;="&amp;DATE(2026,9,22),'DRAFT 2'!$A:$A,"&lt;"&amp;DATE(2026,IF(9=12,9+1,9+1),1))</f>
        <v/>
      </c>
      <c r="HC130">
        <f>SUM(GY130:HB130)</f>
        <v/>
      </c>
      <c r="HN130">
        <f>IFERROR(LOOKUP(2,1/('DRAFT 2'!$D:$D=$B130)*('DRAFT 2'!$A:$A&gt;=DATE(2026,10,1))*('DRAFT 2'!$A:$A&lt;DATE(2026,IF(10=12,10+1,10+1),1)),'DRAFT 2'!$A:$A),"")</f>
        <v/>
      </c>
      <c r="HO130">
        <f>COUNTIFS('DRAFT 2'!$D:$D,$B130,'DRAFT 2'!$A:$A,"&gt;="&amp;DATE(2026,10,1),'DRAFT 2'!$A:$A,"&lt;="&amp;DATE(2026,10,7))</f>
        <v/>
      </c>
      <c r="HP130">
        <f>COUNTIFS('DRAFT 2'!$D:$D,$B130,'DRAFT 2'!$A:$A,"&gt;="&amp;DATE(2026,10,8),'DRAFT 2'!$A:$A,"&lt;="&amp;DATE(2026,10,14))</f>
        <v/>
      </c>
      <c r="HQ130">
        <f>COUNTIFS('DRAFT 2'!$D:$D,$B130,'DRAFT 2'!$A:$A,"&gt;="&amp;DATE(2026,10,15),'DRAFT 2'!$A:$A,"&lt;="&amp;DATE(2026,10,21))</f>
        <v/>
      </c>
      <c r="HR130">
        <f>COUNTIFS('DRAFT 2'!$D:$D,$B130,'DRAFT 2'!$A:$A,"&gt;="&amp;DATE(2026,10,22),'DRAFT 2'!$A:$A,"&lt;"&amp;DATE(2026,IF(10=12,10+1,10+1),1))</f>
        <v/>
      </c>
      <c r="HS130">
        <f>SUM(HO130:HR130)</f>
        <v/>
      </c>
      <c r="IC130">
        <f>IFERROR(LOOKUP(2,1/('DRAFT 2'!$D:$D=$B130)*('DRAFT 2'!$A:$A&gt;=DATE(2026,11,1))*('DRAFT 2'!$A:$A&lt;DATE(2026,IF(11=12,11+1,11+1),1)),'DRAFT 2'!$A:$A),"")</f>
        <v/>
      </c>
      <c r="ID130">
        <f>COUNTIFS('DRAFT 2'!$D:$D,$B130,'DRAFT 2'!$A:$A,"&gt;="&amp;DATE(2026,11,1),'DRAFT 2'!$A:$A,"&lt;="&amp;DATE(2026,11,7))</f>
        <v/>
      </c>
      <c r="IE130">
        <f>COUNTIFS('DRAFT 2'!$D:$D,$B130,'DRAFT 2'!$A:$A,"&gt;="&amp;DATE(2026,11,8),'DRAFT 2'!$A:$A,"&lt;="&amp;DATE(2026,11,14))</f>
        <v/>
      </c>
      <c r="IF130">
        <f>COUNTIFS('DRAFT 2'!$D:$D,$B130,'DRAFT 2'!$A:$A,"&gt;="&amp;DATE(2026,11,15),'DRAFT 2'!$A:$A,"&lt;="&amp;DATE(2026,11,21))</f>
        <v/>
      </c>
      <c r="IG130">
        <f>COUNTIFS('DRAFT 2'!$D:$D,$B130,'DRAFT 2'!$A:$A,"&gt;="&amp;DATE(2026,11,22),'DRAFT 2'!$A:$A,"&lt;"&amp;DATE(2026,IF(11=12,11+1,11+1),1))</f>
        <v/>
      </c>
      <c r="IH130">
        <f>SUM(ID130:IG130)</f>
        <v/>
      </c>
      <c r="IR130">
        <f>IFERROR(LOOKUP(2,1/('DRAFT 2'!$D:$D=$B130)*('DRAFT 2'!$A:$A&gt;=DATE(2026,12,1))*('DRAFT 2'!$A:$A&lt;DATE(2026,IF(12=12,12+1,12+1),1)),'DRAFT 2'!$A:$A),"")</f>
        <v/>
      </c>
      <c r="IS130">
        <f>COUNTIFS('DRAFT 2'!$D:$D,$B130,'DRAFT 2'!$A:$A,"&gt;="&amp;DATE(2026,12,1),'DRAFT 2'!$A:$A,"&lt;="&amp;DATE(2026,12,7))</f>
        <v/>
      </c>
      <c r="IT130">
        <f>COUNTIFS('DRAFT 2'!$D:$D,$B130,'DRAFT 2'!$A:$A,"&gt;="&amp;DATE(2026,12,8),'DRAFT 2'!$A:$A,"&lt;="&amp;DATE(2026,12,14))</f>
        <v/>
      </c>
      <c r="IU130">
        <f>COUNTIFS('DRAFT 2'!$D:$D,$B130,'DRAFT 2'!$A:$A,"&gt;="&amp;DATE(2026,12,15),'DRAFT 2'!$A:$A,"&lt;="&amp;DATE(2026,12,21))</f>
        <v/>
      </c>
      <c r="IV130">
        <f>COUNTIFS('DRAFT 2'!$D:$D,$B130,'DRAFT 2'!$A:$A,"&gt;="&amp;DATE(2026,12,22),'DRAFT 2'!$A:$A,"&lt;"&amp;DATE(2026,IF(12=12,12+1,12+1),1))</f>
        <v/>
      </c>
      <c r="IW130">
        <f>SUM(IS130:IV130)</f>
        <v/>
      </c>
    </row>
    <row r="131">
      <c r="A131">
        <f>IFERROR(INDEX('DRAFT 1'!$A:$A,MATCH($B131,'DRAFT 1'!$B:$B,0)),"")</f>
        <v/>
      </c>
      <c r="C131">
        <f>IFERROR(INDEX('DRAFT 1'!$C:$C,MATCH($B131,'DRAFT 1'!$B:$B,0)),"")</f>
        <v/>
      </c>
      <c r="D131">
        <f>IFERROR(INDEX('DRAFT 1'!$D:$D,MATCH($B131,'DRAFT 1'!$B:$B,0)),"")</f>
        <v/>
      </c>
      <c r="E131">
        <f>IFERROR(INDEX('DRAFT 1'!$E:$E,MATCH($B131,'DRAFT 1'!$B:$B,0)),"")</f>
        <v/>
      </c>
      <c r="F131">
        <f>IFERROR(INDEX('DRAFT 1'!$F:$F,MATCH($B131,'DRAFT 1'!$B:$B,0)),"")</f>
        <v/>
      </c>
      <c r="G131">
        <f>IFERROR(INDEX('DRAFT 1'!$G:$G,MATCH($B131,'DRAFT 1'!$B:$B,0)),"")</f>
        <v/>
      </c>
      <c r="H131">
        <f>IFERROR(INDEX('DRAFT 1'!$H:$H,MATCH($B131,'DRAFT 1'!$B:$B,0)),"")</f>
        <v/>
      </c>
      <c r="I131">
        <f>IFERROR(INDEX('DRAFT 1'!$I:$I,MATCH($B131,'DRAFT 1'!$B:$B,0)),"")</f>
        <v/>
      </c>
      <c r="K131">
        <f>IFERROR(INDEX('DRAFT 1'!$AL:$AL,MATCH($B131,'DRAFT 1'!$B:$B,0)),"")</f>
        <v/>
      </c>
      <c r="L131">
        <f>IFERROR(INDEX('DRAFT 1'!$J:$J,MATCH($B131,'DRAFT 1'!$B:$B,0)),"")</f>
        <v/>
      </c>
      <c r="M131">
        <f>IFERROR(INDEX('DRAFT 1'!$K:$K,MATCH($B131,'DRAFT 1'!$B:$B,0)),"")</f>
        <v/>
      </c>
      <c r="P131">
        <f>IFERROR(INDEX('DRAFT 1'!$L:$L,MATCH($B131,'DRAFT 1'!$B:$B,0)),"")</f>
        <v/>
      </c>
      <c r="Q131">
        <f>IFERROR(INDEX('DRAFT 1'!$M:$M,MATCH($B131,'DRAFT 1'!$B:$B,0)),"")</f>
        <v/>
      </c>
      <c r="R131">
        <f>IFERROR(INDEX('DRAFT 1'!$N:$N,MATCH($B131,'DRAFT 1'!$B:$B,0)),"")</f>
        <v/>
      </c>
      <c r="S131">
        <f>IFERROR(INDEX('DRAFT 1'!$O:$O,MATCH($B131,'DRAFT 1'!$B:$B,0)),"")</f>
        <v/>
      </c>
      <c r="T131">
        <f>IFERROR(INDEX('DRAFT 1'!$P:$P,MATCH($B131,'DRAFT 1'!$B:$B,0)),"")</f>
        <v/>
      </c>
      <c r="U131">
        <f>IFERROR(INDEX('DRAFT 1'!$Q:$Q,MATCH($B131,'DRAFT 1'!$B:$B,0)),"")</f>
        <v/>
      </c>
      <c r="V131">
        <f>IFERROR(INDEX('DRAFT 1'!$R:$R,MATCH($B131,'DRAFT 1'!$B:$B,0)),"")</f>
        <v/>
      </c>
      <c r="W131">
        <f>IFERROR(INDEX('DRAFT 1'!$S:$S,MATCH($B131,'DRAFT 1'!$B:$B,0)),"")</f>
        <v/>
      </c>
      <c r="X131">
        <f>IFERROR(INDEX('DRAFT 1'!$T:$T,MATCH($B131,'DRAFT 1'!$B:$B,0)),"")</f>
        <v/>
      </c>
      <c r="Z131">
        <f>IFERROR(INDEX('DRAFT 1'!$U:$U,MATCH($B131,'DRAFT 1'!$B:$B,0)),"")</f>
        <v/>
      </c>
      <c r="AA131">
        <f>IFERROR(INDEX('DRAFT 1'!$V:$V,MATCH($B131,'DRAFT 1'!$B:$B,0)),"")</f>
        <v/>
      </c>
      <c r="AB131">
        <f>IFERROR(INDEX('DRAFT 1'!$W:$W,MATCH($B131,'DRAFT 1'!$B:$B,0)),"")</f>
        <v/>
      </c>
      <c r="AC131">
        <f>IFERROR(INDEX('DRAFT 1'!$X:$X,MATCH($B131,'DRAFT 1'!$B:$B,0)),"")</f>
        <v/>
      </c>
      <c r="AD131">
        <f>IFERROR(INDEX('DRAFT 1'!$Y:$Y,MATCH($B131,'DRAFT 1'!$B:$B,0)),"")</f>
        <v/>
      </c>
      <c r="AE131">
        <f>IFERROR(INDEX('DRAFT 1'!$Z:$Z,MATCH($B131,'DRAFT 1'!$B:$B,0)),"")</f>
        <v/>
      </c>
      <c r="AF131">
        <f>IFERROR(INDEX('DRAFT 1'!$AA:$AA,MATCH($B131,'DRAFT 1'!$B:$B,0)),"")</f>
        <v/>
      </c>
      <c r="AG131">
        <f>IFERROR(INDEX('DRAFT 1'!$AB:$AB,MATCH($B131,'DRAFT 1'!$B:$B,0)),"")</f>
        <v/>
      </c>
      <c r="AH131">
        <f>IFERROR(INDEX('DRAFT 1'!$AC:$AC,MATCH($B131,'DRAFT 1'!$B:$B,0)),"")</f>
        <v/>
      </c>
      <c r="AI131">
        <f>IFERROR(INDEX('DRAFT 1'!$AD:$AD,MATCH($B131,'DRAFT 1'!$B:$B,0)),"")</f>
        <v/>
      </c>
      <c r="AJ131">
        <f>IFERROR(INDEX('DRAFT 1'!$AE:$AE,MATCH($B131,'DRAFT 1'!$B:$B,0)),"")</f>
        <v/>
      </c>
      <c r="AK131">
        <f>IFERROR(INDEX('DRAFT 1'!$AG:$AG,MATCH($B131,'DRAFT 1'!$B:$B,0)),"")</f>
        <v/>
      </c>
      <c r="AL131">
        <f>IFERROR(INDEX('DRAFT 1'!$AH:$AH,MATCH($B131,'DRAFT 1'!$B:$B,0)),"")</f>
        <v/>
      </c>
      <c r="AM131">
        <f>IFERROR(INDEX('DRAFT 1'!$AI:$AI,MATCH($B131,'DRAFT 1'!$B:$B,0)),"")</f>
        <v/>
      </c>
      <c r="AN131">
        <f>IFERROR(INDEX('DRAFT 1'!$AJ:$AJ,MATCH($B131,'DRAFT 1'!$B:$B,0)),"")</f>
        <v/>
      </c>
      <c r="AO131">
        <f>IFERROR(Y131/AN131,0)</f>
        <v/>
      </c>
      <c r="AP131">
        <f>IFERROR(INDEX('DRAFT 1'!$AK:$AK,MATCH($B131,'DRAFT 1'!$B:$B,0)),"")</f>
        <v/>
      </c>
      <c r="AR131">
        <f>IFERROR(LOOKUP(2,1/('DRAFT 2'!$D:$D=$B131),'DRAFT 2'!$I:$I),"")</f>
        <v/>
      </c>
      <c r="AS131">
        <f>IFERROR(LOOKUP(2,1/('DRAFT 2'!$D:$D=$B131),'DRAFT 2'!$T:$T),"")</f>
        <v/>
      </c>
      <c r="AT131">
        <f>IFERROR(LOOKUP(2,1/('DRAFT 2'!$D:$D=$B131),'DRAFT 2'!$A:$A),"")</f>
        <v/>
      </c>
      <c r="AU131">
        <f>IFERROR(LOOKUP(2,1/('DRAFT 2'!$D:$D=$B131),'DRAFT 2'!$R:$R),"")</f>
        <v/>
      </c>
      <c r="AV131">
        <f>IFERROR(LOOKUP(2,1/('DRAFT 2'!$D:$D=$B131),'DRAFT 2'!$S:$S),"")</f>
        <v/>
      </c>
      <c r="AX131">
        <f>IFERROR(LOOKUP(2,1/('DRAFT 2'!$D:$D=$B131),'DRAFT 2'!$M:$M),"")</f>
        <v/>
      </c>
      <c r="AY131">
        <f>IFERROR(LOOKUP(2,1/('DRAFT 2'!$D:$D=$B131),'DRAFT 2'!$K:$K),"")</f>
        <v/>
      </c>
      <c r="BG131">
        <f>IFERROR(LOOKUP(2,1/('DRAFT 2'!$D:$D=$B131),'DRAFT 2'!$U:$U),"")</f>
        <v/>
      </c>
      <c r="BH131">
        <f>IFERROR(LOOKUP(2,1/('DRAFT 2'!$D:$D=$B131),'DRAFT 2'!$V:$V),"")</f>
        <v/>
      </c>
      <c r="CE131">
        <f>IFERROR(AJ131,0)</f>
        <v/>
      </c>
      <c r="CF131">
        <f>IFERROR(LOOKUP(2,1/('DRAFT 2'!$D:$D=$B131)*('DRAFT 2'!$A:$A&gt;=DATE(2026,1,1))*('DRAFT 2'!$A:$A&lt;DATE(2026,IF(1=12,1+1,1+1),1)),'DRAFT 2'!$A:$A),"")</f>
        <v/>
      </c>
      <c r="CG131">
        <f>COUNTIFS('DRAFT 2'!$D:$D,$B131,'DRAFT 2'!$A:$A,"&gt;="&amp;DATE(2026,1,1),'DRAFT 2'!$A:$A,"&lt;="&amp;DATE(2026,1,7))</f>
        <v/>
      </c>
      <c r="CH131">
        <f>COUNTIFS('DRAFT 2'!$D:$D,$B131,'DRAFT 2'!$A:$A,"&gt;="&amp;DATE(2026,1,8),'DRAFT 2'!$A:$A,"&lt;="&amp;DATE(2026,1,14))</f>
        <v/>
      </c>
      <c r="CI131">
        <f>COUNTIFS('DRAFT 2'!$D:$D,$B131,'DRAFT 2'!$A:$A,"&gt;="&amp;DATE(2026,1,15),'DRAFT 2'!$A:$A,"&lt;="&amp;DATE(2026,1,21))</f>
        <v/>
      </c>
      <c r="CJ131">
        <f>COUNTIFS('DRAFT 2'!$D:$D,$B131,'DRAFT 2'!$A:$A,"&gt;="&amp;DATE(2026,1,22),'DRAFT 2'!$A:$A,"&lt;"&amp;DATE(2026,IF(1=12,1+1,1+1),1))</f>
        <v/>
      </c>
      <c r="CK131">
        <f>SUM(CG131:CJ131)</f>
        <v/>
      </c>
      <c r="CT131" t="n">
        <v>0</v>
      </c>
      <c r="CU131">
        <f>IFERROR(LOOKUP(2,1/('DRAFT 2'!$D:$D=$B131)*('DRAFT 2'!$A:$A&gt;=DATE(2026,2,1))*('DRAFT 2'!$A:$A&lt;DATE(2026,IF(2=12,2+1,2+1),1)),'DRAFT 2'!$A:$A),"")</f>
        <v/>
      </c>
      <c r="CV131">
        <f>COUNTIFS('DRAFT 2'!$D:$D,$B131,'DRAFT 2'!$A:$A,"&gt;="&amp;DATE(2026,2,1),'DRAFT 2'!$A:$A,"&lt;="&amp;DATE(2026,2,7))</f>
        <v/>
      </c>
      <c r="CW131">
        <f>COUNTIFS('DRAFT 2'!$D:$D,$B131,'DRAFT 2'!$A:$A,"&gt;="&amp;DATE(2026,2,8),'DRAFT 2'!$A:$A,"&lt;="&amp;DATE(2026,2,14))</f>
        <v/>
      </c>
      <c r="CX131">
        <f>COUNTIFS('DRAFT 2'!$D:$D,$B131,'DRAFT 2'!$A:$A,"&gt;="&amp;DATE(2026,2,15),'DRAFT 2'!$A:$A,"&lt;="&amp;DATE(2026,2,21))</f>
        <v/>
      </c>
      <c r="CY131">
        <f>COUNTIFS('DRAFT 2'!$D:$D,$B131,'DRAFT 2'!$A:$A,"&gt;="&amp;DATE(2026,2,22),'DRAFT 2'!$A:$A,"&lt;"&amp;DATE(2026,IF(2=12,2+1,2+1),1))</f>
        <v/>
      </c>
      <c r="CZ131">
        <f>SUM(CV131:CY131)</f>
        <v/>
      </c>
      <c r="DJ131">
        <f>IFERROR(LOOKUP(2,1/('DRAFT 2'!$D:$D=$B131)*('DRAFT 2'!$A:$A&gt;=DATE(2026,3,1))*('DRAFT 2'!$A:$A&lt;DATE(2026,IF(3=12,3+1,3+1),1)),'DRAFT 2'!$A:$A),"")</f>
        <v/>
      </c>
      <c r="DK131">
        <f>COUNTIFS('DRAFT 2'!$D:$D,$B131,'DRAFT 2'!$A:$A,"&gt;="&amp;DATE(2026,3,1),'DRAFT 2'!$A:$A,"&lt;="&amp;DATE(2026,3,7))</f>
        <v/>
      </c>
      <c r="DL131">
        <f>COUNTIFS('DRAFT 2'!$D:$D,$B131,'DRAFT 2'!$A:$A,"&gt;="&amp;DATE(2026,3,8),'DRAFT 2'!$A:$A,"&lt;="&amp;DATE(2026,3,14))</f>
        <v/>
      </c>
      <c r="DM131">
        <f>COUNTIFS('DRAFT 2'!$D:$D,$B131,'DRAFT 2'!$A:$A,"&gt;="&amp;DATE(2026,3,15),'DRAFT 2'!$A:$A,"&lt;="&amp;DATE(2026,3,21))</f>
        <v/>
      </c>
      <c r="DN131">
        <f>COUNTIFS('DRAFT 2'!$D:$D,$B131,'DRAFT 2'!$A:$A,"&gt;="&amp;DATE(2026,3,22),'DRAFT 2'!$A:$A,"&lt;"&amp;DATE(2026,IF(3=12,3+1,3+1),1))</f>
        <v/>
      </c>
      <c r="DO131">
        <f>SUM(DK131:DN131)</f>
        <v/>
      </c>
      <c r="DZ131">
        <f>IFERROR(LOOKUP(2,1/('DRAFT 2'!$D:$D=$B131)*('DRAFT 2'!$A:$A&gt;=DATE(2026,4,1))*('DRAFT 2'!$A:$A&lt;DATE(2026,IF(4=12,4+1,4+1),1)),'DRAFT 2'!$A:$A),"")</f>
        <v/>
      </c>
      <c r="EA131">
        <f>COUNTIFS('DRAFT 2'!$D:$D,$B131,'DRAFT 2'!$A:$A,"&gt;="&amp;DATE(2026,4,1),'DRAFT 2'!$A:$A,"&lt;="&amp;DATE(2026,4,7))</f>
        <v/>
      </c>
      <c r="EB131">
        <f>COUNTIFS('DRAFT 2'!$D:$D,$B131,'DRAFT 2'!$A:$A,"&gt;="&amp;DATE(2026,4,8),'DRAFT 2'!$A:$A,"&lt;="&amp;DATE(2026,4,14))</f>
        <v/>
      </c>
      <c r="EC131">
        <f>COUNTIFS('DRAFT 2'!$D:$D,$B131,'DRAFT 2'!$A:$A,"&gt;="&amp;DATE(2026,4,15),'DRAFT 2'!$A:$A,"&lt;="&amp;DATE(2026,4,21))</f>
        <v/>
      </c>
      <c r="ED131">
        <f>COUNTIFS('DRAFT 2'!$D:$D,$B131,'DRAFT 2'!$A:$A,"&gt;="&amp;DATE(2026,4,22),'DRAFT 2'!$A:$A,"&lt;"&amp;DATE(2026,IF(4=12,4+1,4+1),1))</f>
        <v/>
      </c>
      <c r="EE131">
        <f>SUM(EA131:ED131)</f>
        <v/>
      </c>
      <c r="EO131">
        <f>IFERROR(LOOKUP(2,1/('DRAFT 2'!$D:$D=$B131)*('DRAFT 2'!$A:$A&gt;=DATE(2026,5,1))*('DRAFT 2'!$A:$A&lt;DATE(2026,IF(5=12,5+1,5+1),1)),'DRAFT 2'!$A:$A),"")</f>
        <v/>
      </c>
      <c r="EP131">
        <f>COUNTIFS('DRAFT 2'!$D:$D,$B131,'DRAFT 2'!$A:$A,"&gt;="&amp;DATE(2026,5,1),'DRAFT 2'!$A:$A,"&lt;="&amp;DATE(2026,5,7))</f>
        <v/>
      </c>
      <c r="EQ131">
        <f>COUNTIFS('DRAFT 2'!$D:$D,$B131,'DRAFT 2'!$A:$A,"&gt;="&amp;DATE(2026,5,8),'DRAFT 2'!$A:$A,"&lt;="&amp;DATE(2026,5,14))</f>
        <v/>
      </c>
      <c r="ER131">
        <f>COUNTIFS('DRAFT 2'!$D:$D,$B131,'DRAFT 2'!$A:$A,"&gt;="&amp;DATE(2026,5,15),'DRAFT 2'!$A:$A,"&lt;="&amp;DATE(2026,5,21))</f>
        <v/>
      </c>
      <c r="ES131">
        <f>COUNTIFS('DRAFT 2'!$D:$D,$B131,'DRAFT 2'!$A:$A,"&gt;="&amp;DATE(2026,5,22),'DRAFT 2'!$A:$A,"&lt;"&amp;DATE(2026,IF(5=12,5+1,5+1),1))</f>
        <v/>
      </c>
      <c r="ET131">
        <f>SUM(EP131:ES131)</f>
        <v/>
      </c>
      <c r="FD131">
        <f>IFERROR(LOOKUP(2,1/('DRAFT 2'!$D:$D=$B131)*('DRAFT 2'!$A:$A&gt;=DATE(2026,6,1))*('DRAFT 2'!$A:$A&lt;DATE(2026,IF(6=12,6+1,6+1),1)),'DRAFT 2'!$A:$A),"")</f>
        <v/>
      </c>
      <c r="FE131">
        <f>COUNTIFS('DRAFT 2'!$D:$D,$B131,'DRAFT 2'!$A:$A,"&gt;="&amp;DATE(2026,6,1),'DRAFT 2'!$A:$A,"&lt;="&amp;DATE(2026,6,7))</f>
        <v/>
      </c>
      <c r="FF131">
        <f>COUNTIFS('DRAFT 2'!$D:$D,$B131,'DRAFT 2'!$A:$A,"&gt;="&amp;DATE(2026,6,8),'DRAFT 2'!$A:$A,"&lt;="&amp;DATE(2026,6,14))</f>
        <v/>
      </c>
      <c r="FG131">
        <f>COUNTIFS('DRAFT 2'!$D:$D,$B131,'DRAFT 2'!$A:$A,"&gt;="&amp;DATE(2026,6,15),'DRAFT 2'!$A:$A,"&lt;="&amp;DATE(2026,6,21))</f>
        <v/>
      </c>
      <c r="FH131">
        <f>COUNTIFS('DRAFT 2'!$D:$D,$B131,'DRAFT 2'!$A:$A,"&gt;="&amp;DATE(2026,6,22),'DRAFT 2'!$A:$A,"&lt;"&amp;DATE(2026,IF(6=12,6+1,6+1),1))</f>
        <v/>
      </c>
      <c r="FI131">
        <f>SUM(FE131:FH131)</f>
        <v/>
      </c>
      <c r="FT131">
        <f>IFERROR(LOOKUP(2,1/('DRAFT 2'!$D:$D=$B131)*('DRAFT 2'!$A:$A&gt;=DATE(2026,7,1))*('DRAFT 2'!$A:$A&lt;DATE(2026,IF(7=12,7+1,7+1),1)),'DRAFT 2'!$A:$A),"")</f>
        <v/>
      </c>
      <c r="FU131">
        <f>COUNTIFS('DRAFT 2'!$D:$D,$B131,'DRAFT 2'!$A:$A,"&gt;="&amp;DATE(2026,7,1),'DRAFT 2'!$A:$A,"&lt;="&amp;DATE(2026,7,7))</f>
        <v/>
      </c>
      <c r="FV131">
        <f>COUNTIFS('DRAFT 2'!$D:$D,$B131,'DRAFT 2'!$A:$A,"&gt;="&amp;DATE(2026,7,8),'DRAFT 2'!$A:$A,"&lt;="&amp;DATE(2026,7,14))</f>
        <v/>
      </c>
      <c r="FW131">
        <f>COUNTIFS('DRAFT 2'!$D:$D,$B131,'DRAFT 2'!$A:$A,"&gt;="&amp;DATE(2026,7,15),'DRAFT 2'!$A:$A,"&lt;="&amp;DATE(2026,7,21))</f>
        <v/>
      </c>
      <c r="FX131">
        <f>COUNTIFS('DRAFT 2'!$D:$D,$B131,'DRAFT 2'!$A:$A,"&gt;="&amp;DATE(2026,7,22),'DRAFT 2'!$A:$A,"&lt;"&amp;DATE(2026,IF(7=12,7+1,7+1),1))</f>
        <v/>
      </c>
      <c r="FY131">
        <f>SUM(FU131:FX131)</f>
        <v/>
      </c>
      <c r="GI131">
        <f>IFERROR(LOOKUP(2,1/('DRAFT 2'!$D:$D=$B131)*('DRAFT 2'!$A:$A&gt;=DATE(2026,8,1))*('DRAFT 2'!$A:$A&lt;DATE(2026,IF(8=12,8+1,8+1),1)),'DRAFT 2'!$A:$A),"")</f>
        <v/>
      </c>
      <c r="GJ131">
        <f>COUNTIFS('DRAFT 2'!$D:$D,$B131,'DRAFT 2'!$A:$A,"&gt;="&amp;DATE(2026,8,1),'DRAFT 2'!$A:$A,"&lt;="&amp;DATE(2026,8,7))</f>
        <v/>
      </c>
      <c r="GK131">
        <f>COUNTIFS('DRAFT 2'!$D:$D,$B131,'DRAFT 2'!$A:$A,"&gt;="&amp;DATE(2026,8,8),'DRAFT 2'!$A:$A,"&lt;="&amp;DATE(2026,8,14))</f>
        <v/>
      </c>
      <c r="GL131">
        <f>COUNTIFS('DRAFT 2'!$D:$D,$B131,'DRAFT 2'!$A:$A,"&gt;="&amp;DATE(2026,8,15),'DRAFT 2'!$A:$A,"&lt;="&amp;DATE(2026,8,21))</f>
        <v/>
      </c>
      <c r="GM131">
        <f>COUNTIFS('DRAFT 2'!$D:$D,$B131,'DRAFT 2'!$A:$A,"&gt;="&amp;DATE(2026,8,22),'DRAFT 2'!$A:$A,"&lt;"&amp;DATE(2026,IF(8=12,8+1,8+1),1))</f>
        <v/>
      </c>
      <c r="GN131">
        <f>SUM(GJ131:GM131)</f>
        <v/>
      </c>
      <c r="GX131">
        <f>IFERROR(LOOKUP(2,1/('DRAFT 2'!$D:$D=$B131)*('DRAFT 2'!$A:$A&gt;=DATE(2026,9,1))*('DRAFT 2'!$A:$A&lt;DATE(2026,IF(9=12,9+1,9+1),1)),'DRAFT 2'!$A:$A),"")</f>
        <v/>
      </c>
      <c r="GY131">
        <f>COUNTIFS('DRAFT 2'!$D:$D,$B131,'DRAFT 2'!$A:$A,"&gt;="&amp;DATE(2026,9,1),'DRAFT 2'!$A:$A,"&lt;="&amp;DATE(2026,9,7))</f>
        <v/>
      </c>
      <c r="GZ131">
        <f>COUNTIFS('DRAFT 2'!$D:$D,$B131,'DRAFT 2'!$A:$A,"&gt;="&amp;DATE(2026,9,8),'DRAFT 2'!$A:$A,"&lt;="&amp;DATE(2026,9,14))</f>
        <v/>
      </c>
      <c r="HA131">
        <f>COUNTIFS('DRAFT 2'!$D:$D,$B131,'DRAFT 2'!$A:$A,"&gt;="&amp;DATE(2026,9,15),'DRAFT 2'!$A:$A,"&lt;="&amp;DATE(2026,9,21))</f>
        <v/>
      </c>
      <c r="HB131">
        <f>COUNTIFS('DRAFT 2'!$D:$D,$B131,'DRAFT 2'!$A:$A,"&gt;="&amp;DATE(2026,9,22),'DRAFT 2'!$A:$A,"&lt;"&amp;DATE(2026,IF(9=12,9+1,9+1),1))</f>
        <v/>
      </c>
      <c r="HC131">
        <f>SUM(GY131:HB131)</f>
        <v/>
      </c>
      <c r="HN131">
        <f>IFERROR(LOOKUP(2,1/('DRAFT 2'!$D:$D=$B131)*('DRAFT 2'!$A:$A&gt;=DATE(2026,10,1))*('DRAFT 2'!$A:$A&lt;DATE(2026,IF(10=12,10+1,10+1),1)),'DRAFT 2'!$A:$A),"")</f>
        <v/>
      </c>
      <c r="HO131">
        <f>COUNTIFS('DRAFT 2'!$D:$D,$B131,'DRAFT 2'!$A:$A,"&gt;="&amp;DATE(2026,10,1),'DRAFT 2'!$A:$A,"&lt;="&amp;DATE(2026,10,7))</f>
        <v/>
      </c>
      <c r="HP131">
        <f>COUNTIFS('DRAFT 2'!$D:$D,$B131,'DRAFT 2'!$A:$A,"&gt;="&amp;DATE(2026,10,8),'DRAFT 2'!$A:$A,"&lt;="&amp;DATE(2026,10,14))</f>
        <v/>
      </c>
      <c r="HQ131">
        <f>COUNTIFS('DRAFT 2'!$D:$D,$B131,'DRAFT 2'!$A:$A,"&gt;="&amp;DATE(2026,10,15),'DRAFT 2'!$A:$A,"&lt;="&amp;DATE(2026,10,21))</f>
        <v/>
      </c>
      <c r="HR131">
        <f>COUNTIFS('DRAFT 2'!$D:$D,$B131,'DRAFT 2'!$A:$A,"&gt;="&amp;DATE(2026,10,22),'DRAFT 2'!$A:$A,"&lt;"&amp;DATE(2026,IF(10=12,10+1,10+1),1))</f>
        <v/>
      </c>
      <c r="HS131">
        <f>SUM(HO131:HR131)</f>
        <v/>
      </c>
      <c r="IC131">
        <f>IFERROR(LOOKUP(2,1/('DRAFT 2'!$D:$D=$B131)*('DRAFT 2'!$A:$A&gt;=DATE(2026,11,1))*('DRAFT 2'!$A:$A&lt;DATE(2026,IF(11=12,11+1,11+1),1)),'DRAFT 2'!$A:$A),"")</f>
        <v/>
      </c>
      <c r="ID131">
        <f>COUNTIFS('DRAFT 2'!$D:$D,$B131,'DRAFT 2'!$A:$A,"&gt;="&amp;DATE(2026,11,1),'DRAFT 2'!$A:$A,"&lt;="&amp;DATE(2026,11,7))</f>
        <v/>
      </c>
      <c r="IE131">
        <f>COUNTIFS('DRAFT 2'!$D:$D,$B131,'DRAFT 2'!$A:$A,"&gt;="&amp;DATE(2026,11,8),'DRAFT 2'!$A:$A,"&lt;="&amp;DATE(2026,11,14))</f>
        <v/>
      </c>
      <c r="IF131">
        <f>COUNTIFS('DRAFT 2'!$D:$D,$B131,'DRAFT 2'!$A:$A,"&gt;="&amp;DATE(2026,11,15),'DRAFT 2'!$A:$A,"&lt;="&amp;DATE(2026,11,21))</f>
        <v/>
      </c>
      <c r="IG131">
        <f>COUNTIFS('DRAFT 2'!$D:$D,$B131,'DRAFT 2'!$A:$A,"&gt;="&amp;DATE(2026,11,22),'DRAFT 2'!$A:$A,"&lt;"&amp;DATE(2026,IF(11=12,11+1,11+1),1))</f>
        <v/>
      </c>
      <c r="IH131">
        <f>SUM(ID131:IG131)</f>
        <v/>
      </c>
      <c r="IR131">
        <f>IFERROR(LOOKUP(2,1/('DRAFT 2'!$D:$D=$B131)*('DRAFT 2'!$A:$A&gt;=DATE(2026,12,1))*('DRAFT 2'!$A:$A&lt;DATE(2026,IF(12=12,12+1,12+1),1)),'DRAFT 2'!$A:$A),"")</f>
        <v/>
      </c>
      <c r="IS131">
        <f>COUNTIFS('DRAFT 2'!$D:$D,$B131,'DRAFT 2'!$A:$A,"&gt;="&amp;DATE(2026,12,1),'DRAFT 2'!$A:$A,"&lt;="&amp;DATE(2026,12,7))</f>
        <v/>
      </c>
      <c r="IT131">
        <f>COUNTIFS('DRAFT 2'!$D:$D,$B131,'DRAFT 2'!$A:$A,"&gt;="&amp;DATE(2026,12,8),'DRAFT 2'!$A:$A,"&lt;="&amp;DATE(2026,12,14))</f>
        <v/>
      </c>
      <c r="IU131">
        <f>COUNTIFS('DRAFT 2'!$D:$D,$B131,'DRAFT 2'!$A:$A,"&gt;="&amp;DATE(2026,12,15),'DRAFT 2'!$A:$A,"&lt;="&amp;DATE(2026,12,21))</f>
        <v/>
      </c>
      <c r="IV131">
        <f>COUNTIFS('DRAFT 2'!$D:$D,$B131,'DRAFT 2'!$A:$A,"&gt;="&amp;DATE(2026,12,22),'DRAFT 2'!$A:$A,"&lt;"&amp;DATE(2026,IF(12=12,12+1,12+1),1))</f>
        <v/>
      </c>
      <c r="IW131">
        <f>SUM(IS131:IV131)</f>
        <v/>
      </c>
    </row>
    <row r="132">
      <c r="A132">
        <f>IFERROR(INDEX('DRAFT 1'!$A:$A,MATCH($B132,'DRAFT 1'!$B:$B,0)),"")</f>
        <v/>
      </c>
      <c r="C132">
        <f>IFERROR(INDEX('DRAFT 1'!$C:$C,MATCH($B132,'DRAFT 1'!$B:$B,0)),"")</f>
        <v/>
      </c>
      <c r="D132">
        <f>IFERROR(INDEX('DRAFT 1'!$D:$D,MATCH($B132,'DRAFT 1'!$B:$B,0)),"")</f>
        <v/>
      </c>
      <c r="E132">
        <f>IFERROR(INDEX('DRAFT 1'!$E:$E,MATCH($B132,'DRAFT 1'!$B:$B,0)),"")</f>
        <v/>
      </c>
      <c r="F132">
        <f>IFERROR(INDEX('DRAFT 1'!$F:$F,MATCH($B132,'DRAFT 1'!$B:$B,0)),"")</f>
        <v/>
      </c>
      <c r="G132">
        <f>IFERROR(INDEX('DRAFT 1'!$G:$G,MATCH($B132,'DRAFT 1'!$B:$B,0)),"")</f>
        <v/>
      </c>
      <c r="H132">
        <f>IFERROR(INDEX('DRAFT 1'!$H:$H,MATCH($B132,'DRAFT 1'!$B:$B,0)),"")</f>
        <v/>
      </c>
      <c r="I132">
        <f>IFERROR(INDEX('DRAFT 1'!$I:$I,MATCH($B132,'DRAFT 1'!$B:$B,0)),"")</f>
        <v/>
      </c>
      <c r="K132">
        <f>IFERROR(INDEX('DRAFT 1'!$AL:$AL,MATCH($B132,'DRAFT 1'!$B:$B,0)),"")</f>
        <v/>
      </c>
      <c r="L132">
        <f>IFERROR(INDEX('DRAFT 1'!$J:$J,MATCH($B132,'DRAFT 1'!$B:$B,0)),"")</f>
        <v/>
      </c>
      <c r="M132">
        <f>IFERROR(INDEX('DRAFT 1'!$K:$K,MATCH($B132,'DRAFT 1'!$B:$B,0)),"")</f>
        <v/>
      </c>
      <c r="P132">
        <f>IFERROR(INDEX('DRAFT 1'!$L:$L,MATCH($B132,'DRAFT 1'!$B:$B,0)),"")</f>
        <v/>
      </c>
      <c r="Q132">
        <f>IFERROR(INDEX('DRAFT 1'!$M:$M,MATCH($B132,'DRAFT 1'!$B:$B,0)),"")</f>
        <v/>
      </c>
      <c r="R132">
        <f>IFERROR(INDEX('DRAFT 1'!$N:$N,MATCH($B132,'DRAFT 1'!$B:$B,0)),"")</f>
        <v/>
      </c>
      <c r="S132">
        <f>IFERROR(INDEX('DRAFT 1'!$O:$O,MATCH($B132,'DRAFT 1'!$B:$B,0)),"")</f>
        <v/>
      </c>
      <c r="T132">
        <f>IFERROR(INDEX('DRAFT 1'!$P:$P,MATCH($B132,'DRAFT 1'!$B:$B,0)),"")</f>
        <v/>
      </c>
      <c r="U132">
        <f>IFERROR(INDEX('DRAFT 1'!$Q:$Q,MATCH($B132,'DRAFT 1'!$B:$B,0)),"")</f>
        <v/>
      </c>
      <c r="V132">
        <f>IFERROR(INDEX('DRAFT 1'!$R:$R,MATCH($B132,'DRAFT 1'!$B:$B,0)),"")</f>
        <v/>
      </c>
      <c r="W132">
        <f>IFERROR(INDEX('DRAFT 1'!$S:$S,MATCH($B132,'DRAFT 1'!$B:$B,0)),"")</f>
        <v/>
      </c>
      <c r="X132">
        <f>IFERROR(INDEX('DRAFT 1'!$T:$T,MATCH($B132,'DRAFT 1'!$B:$B,0)),"")</f>
        <v/>
      </c>
      <c r="Z132">
        <f>IFERROR(INDEX('DRAFT 1'!$U:$U,MATCH($B132,'DRAFT 1'!$B:$B,0)),"")</f>
        <v/>
      </c>
      <c r="AA132">
        <f>IFERROR(INDEX('DRAFT 1'!$V:$V,MATCH($B132,'DRAFT 1'!$B:$B,0)),"")</f>
        <v/>
      </c>
      <c r="AB132">
        <f>IFERROR(INDEX('DRAFT 1'!$W:$W,MATCH($B132,'DRAFT 1'!$B:$B,0)),"")</f>
        <v/>
      </c>
      <c r="AC132">
        <f>IFERROR(INDEX('DRAFT 1'!$X:$X,MATCH($B132,'DRAFT 1'!$B:$B,0)),"")</f>
        <v/>
      </c>
      <c r="AD132">
        <f>IFERROR(INDEX('DRAFT 1'!$Y:$Y,MATCH($B132,'DRAFT 1'!$B:$B,0)),"")</f>
        <v/>
      </c>
      <c r="AE132">
        <f>IFERROR(INDEX('DRAFT 1'!$Z:$Z,MATCH($B132,'DRAFT 1'!$B:$B,0)),"")</f>
        <v/>
      </c>
      <c r="AF132">
        <f>IFERROR(INDEX('DRAFT 1'!$AA:$AA,MATCH($B132,'DRAFT 1'!$B:$B,0)),"")</f>
        <v/>
      </c>
      <c r="AG132">
        <f>IFERROR(INDEX('DRAFT 1'!$AB:$AB,MATCH($B132,'DRAFT 1'!$B:$B,0)),"")</f>
        <v/>
      </c>
      <c r="AH132">
        <f>IFERROR(INDEX('DRAFT 1'!$AC:$AC,MATCH($B132,'DRAFT 1'!$B:$B,0)),"")</f>
        <v/>
      </c>
      <c r="AI132">
        <f>IFERROR(INDEX('DRAFT 1'!$AD:$AD,MATCH($B132,'DRAFT 1'!$B:$B,0)),"")</f>
        <v/>
      </c>
      <c r="AJ132">
        <f>IFERROR(INDEX('DRAFT 1'!$AE:$AE,MATCH($B132,'DRAFT 1'!$B:$B,0)),"")</f>
        <v/>
      </c>
      <c r="AK132">
        <f>IFERROR(INDEX('DRAFT 1'!$AG:$AG,MATCH($B132,'DRAFT 1'!$B:$B,0)),"")</f>
        <v/>
      </c>
      <c r="AL132">
        <f>IFERROR(INDEX('DRAFT 1'!$AH:$AH,MATCH($B132,'DRAFT 1'!$B:$B,0)),"")</f>
        <v/>
      </c>
      <c r="AM132">
        <f>IFERROR(INDEX('DRAFT 1'!$AI:$AI,MATCH($B132,'DRAFT 1'!$B:$B,0)),"")</f>
        <v/>
      </c>
      <c r="AN132">
        <f>IFERROR(INDEX('DRAFT 1'!$AJ:$AJ,MATCH($B132,'DRAFT 1'!$B:$B,0)),"")</f>
        <v/>
      </c>
      <c r="AO132">
        <f>IFERROR(Y132/AN132,0)</f>
        <v/>
      </c>
      <c r="AP132">
        <f>IFERROR(INDEX('DRAFT 1'!$AK:$AK,MATCH($B132,'DRAFT 1'!$B:$B,0)),"")</f>
        <v/>
      </c>
      <c r="AR132">
        <f>IFERROR(LOOKUP(2,1/('DRAFT 2'!$D:$D=$B132),'DRAFT 2'!$I:$I),"")</f>
        <v/>
      </c>
      <c r="AS132">
        <f>IFERROR(LOOKUP(2,1/('DRAFT 2'!$D:$D=$B132),'DRAFT 2'!$T:$T),"")</f>
        <v/>
      </c>
      <c r="AT132">
        <f>IFERROR(LOOKUP(2,1/('DRAFT 2'!$D:$D=$B132),'DRAFT 2'!$A:$A),"")</f>
        <v/>
      </c>
      <c r="AU132">
        <f>IFERROR(LOOKUP(2,1/('DRAFT 2'!$D:$D=$B132),'DRAFT 2'!$R:$R),"")</f>
        <v/>
      </c>
      <c r="AV132">
        <f>IFERROR(LOOKUP(2,1/('DRAFT 2'!$D:$D=$B132),'DRAFT 2'!$S:$S),"")</f>
        <v/>
      </c>
      <c r="AX132">
        <f>IFERROR(LOOKUP(2,1/('DRAFT 2'!$D:$D=$B132),'DRAFT 2'!$M:$M),"")</f>
        <v/>
      </c>
      <c r="AY132">
        <f>IFERROR(LOOKUP(2,1/('DRAFT 2'!$D:$D=$B132),'DRAFT 2'!$K:$K),"")</f>
        <v/>
      </c>
      <c r="BG132">
        <f>IFERROR(LOOKUP(2,1/('DRAFT 2'!$D:$D=$B132),'DRAFT 2'!$U:$U),"")</f>
        <v/>
      </c>
      <c r="BH132">
        <f>IFERROR(LOOKUP(2,1/('DRAFT 2'!$D:$D=$B132),'DRAFT 2'!$V:$V),"")</f>
        <v/>
      </c>
      <c r="CE132">
        <f>IFERROR(AJ132,0)</f>
        <v/>
      </c>
      <c r="CF132">
        <f>IFERROR(LOOKUP(2,1/('DRAFT 2'!$D:$D=$B132)*('DRAFT 2'!$A:$A&gt;=DATE(2026,1,1))*('DRAFT 2'!$A:$A&lt;DATE(2026,IF(1=12,1+1,1+1),1)),'DRAFT 2'!$A:$A),"")</f>
        <v/>
      </c>
      <c r="CG132">
        <f>COUNTIFS('DRAFT 2'!$D:$D,$B132,'DRAFT 2'!$A:$A,"&gt;="&amp;DATE(2026,1,1),'DRAFT 2'!$A:$A,"&lt;="&amp;DATE(2026,1,7))</f>
        <v/>
      </c>
      <c r="CH132">
        <f>COUNTIFS('DRAFT 2'!$D:$D,$B132,'DRAFT 2'!$A:$A,"&gt;="&amp;DATE(2026,1,8),'DRAFT 2'!$A:$A,"&lt;="&amp;DATE(2026,1,14))</f>
        <v/>
      </c>
      <c r="CI132">
        <f>COUNTIFS('DRAFT 2'!$D:$D,$B132,'DRAFT 2'!$A:$A,"&gt;="&amp;DATE(2026,1,15),'DRAFT 2'!$A:$A,"&lt;="&amp;DATE(2026,1,21))</f>
        <v/>
      </c>
      <c r="CJ132">
        <f>COUNTIFS('DRAFT 2'!$D:$D,$B132,'DRAFT 2'!$A:$A,"&gt;="&amp;DATE(2026,1,22),'DRAFT 2'!$A:$A,"&lt;"&amp;DATE(2026,IF(1=12,1+1,1+1),1))</f>
        <v/>
      </c>
      <c r="CK132">
        <f>SUM(CG132:CJ132)</f>
        <v/>
      </c>
      <c r="CT132" t="n">
        <v>0</v>
      </c>
      <c r="CU132">
        <f>IFERROR(LOOKUP(2,1/('DRAFT 2'!$D:$D=$B132)*('DRAFT 2'!$A:$A&gt;=DATE(2026,2,1))*('DRAFT 2'!$A:$A&lt;DATE(2026,IF(2=12,2+1,2+1),1)),'DRAFT 2'!$A:$A),"")</f>
        <v/>
      </c>
      <c r="CV132">
        <f>COUNTIFS('DRAFT 2'!$D:$D,$B132,'DRAFT 2'!$A:$A,"&gt;="&amp;DATE(2026,2,1),'DRAFT 2'!$A:$A,"&lt;="&amp;DATE(2026,2,7))</f>
        <v/>
      </c>
      <c r="CW132">
        <f>COUNTIFS('DRAFT 2'!$D:$D,$B132,'DRAFT 2'!$A:$A,"&gt;="&amp;DATE(2026,2,8),'DRAFT 2'!$A:$A,"&lt;="&amp;DATE(2026,2,14))</f>
        <v/>
      </c>
      <c r="CX132">
        <f>COUNTIFS('DRAFT 2'!$D:$D,$B132,'DRAFT 2'!$A:$A,"&gt;="&amp;DATE(2026,2,15),'DRAFT 2'!$A:$A,"&lt;="&amp;DATE(2026,2,21))</f>
        <v/>
      </c>
      <c r="CY132">
        <f>COUNTIFS('DRAFT 2'!$D:$D,$B132,'DRAFT 2'!$A:$A,"&gt;="&amp;DATE(2026,2,22),'DRAFT 2'!$A:$A,"&lt;"&amp;DATE(2026,IF(2=12,2+1,2+1),1))</f>
        <v/>
      </c>
      <c r="CZ132">
        <f>SUM(CV132:CY132)</f>
        <v/>
      </c>
      <c r="DJ132">
        <f>IFERROR(LOOKUP(2,1/('DRAFT 2'!$D:$D=$B132)*('DRAFT 2'!$A:$A&gt;=DATE(2026,3,1))*('DRAFT 2'!$A:$A&lt;DATE(2026,IF(3=12,3+1,3+1),1)),'DRAFT 2'!$A:$A),"")</f>
        <v/>
      </c>
      <c r="DK132">
        <f>COUNTIFS('DRAFT 2'!$D:$D,$B132,'DRAFT 2'!$A:$A,"&gt;="&amp;DATE(2026,3,1),'DRAFT 2'!$A:$A,"&lt;="&amp;DATE(2026,3,7))</f>
        <v/>
      </c>
      <c r="DL132">
        <f>COUNTIFS('DRAFT 2'!$D:$D,$B132,'DRAFT 2'!$A:$A,"&gt;="&amp;DATE(2026,3,8),'DRAFT 2'!$A:$A,"&lt;="&amp;DATE(2026,3,14))</f>
        <v/>
      </c>
      <c r="DM132">
        <f>COUNTIFS('DRAFT 2'!$D:$D,$B132,'DRAFT 2'!$A:$A,"&gt;="&amp;DATE(2026,3,15),'DRAFT 2'!$A:$A,"&lt;="&amp;DATE(2026,3,21))</f>
        <v/>
      </c>
      <c r="DN132">
        <f>COUNTIFS('DRAFT 2'!$D:$D,$B132,'DRAFT 2'!$A:$A,"&gt;="&amp;DATE(2026,3,22),'DRAFT 2'!$A:$A,"&lt;"&amp;DATE(2026,IF(3=12,3+1,3+1),1))</f>
        <v/>
      </c>
      <c r="DO132">
        <f>SUM(DK132:DN132)</f>
        <v/>
      </c>
      <c r="DZ132">
        <f>IFERROR(LOOKUP(2,1/('DRAFT 2'!$D:$D=$B132)*('DRAFT 2'!$A:$A&gt;=DATE(2026,4,1))*('DRAFT 2'!$A:$A&lt;DATE(2026,IF(4=12,4+1,4+1),1)),'DRAFT 2'!$A:$A),"")</f>
        <v/>
      </c>
      <c r="EA132">
        <f>COUNTIFS('DRAFT 2'!$D:$D,$B132,'DRAFT 2'!$A:$A,"&gt;="&amp;DATE(2026,4,1),'DRAFT 2'!$A:$A,"&lt;="&amp;DATE(2026,4,7))</f>
        <v/>
      </c>
      <c r="EB132">
        <f>COUNTIFS('DRAFT 2'!$D:$D,$B132,'DRAFT 2'!$A:$A,"&gt;="&amp;DATE(2026,4,8),'DRAFT 2'!$A:$A,"&lt;="&amp;DATE(2026,4,14))</f>
        <v/>
      </c>
      <c r="EC132">
        <f>COUNTIFS('DRAFT 2'!$D:$D,$B132,'DRAFT 2'!$A:$A,"&gt;="&amp;DATE(2026,4,15),'DRAFT 2'!$A:$A,"&lt;="&amp;DATE(2026,4,21))</f>
        <v/>
      </c>
      <c r="ED132">
        <f>COUNTIFS('DRAFT 2'!$D:$D,$B132,'DRAFT 2'!$A:$A,"&gt;="&amp;DATE(2026,4,22),'DRAFT 2'!$A:$A,"&lt;"&amp;DATE(2026,IF(4=12,4+1,4+1),1))</f>
        <v/>
      </c>
      <c r="EE132">
        <f>SUM(EA132:ED132)</f>
        <v/>
      </c>
      <c r="EO132">
        <f>IFERROR(LOOKUP(2,1/('DRAFT 2'!$D:$D=$B132)*('DRAFT 2'!$A:$A&gt;=DATE(2026,5,1))*('DRAFT 2'!$A:$A&lt;DATE(2026,IF(5=12,5+1,5+1),1)),'DRAFT 2'!$A:$A),"")</f>
        <v/>
      </c>
      <c r="EP132">
        <f>COUNTIFS('DRAFT 2'!$D:$D,$B132,'DRAFT 2'!$A:$A,"&gt;="&amp;DATE(2026,5,1),'DRAFT 2'!$A:$A,"&lt;="&amp;DATE(2026,5,7))</f>
        <v/>
      </c>
      <c r="EQ132">
        <f>COUNTIFS('DRAFT 2'!$D:$D,$B132,'DRAFT 2'!$A:$A,"&gt;="&amp;DATE(2026,5,8),'DRAFT 2'!$A:$A,"&lt;="&amp;DATE(2026,5,14))</f>
        <v/>
      </c>
      <c r="ER132">
        <f>COUNTIFS('DRAFT 2'!$D:$D,$B132,'DRAFT 2'!$A:$A,"&gt;="&amp;DATE(2026,5,15),'DRAFT 2'!$A:$A,"&lt;="&amp;DATE(2026,5,21))</f>
        <v/>
      </c>
      <c r="ES132">
        <f>COUNTIFS('DRAFT 2'!$D:$D,$B132,'DRAFT 2'!$A:$A,"&gt;="&amp;DATE(2026,5,22),'DRAFT 2'!$A:$A,"&lt;"&amp;DATE(2026,IF(5=12,5+1,5+1),1))</f>
        <v/>
      </c>
      <c r="ET132">
        <f>SUM(EP132:ES132)</f>
        <v/>
      </c>
      <c r="FD132">
        <f>IFERROR(LOOKUP(2,1/('DRAFT 2'!$D:$D=$B132)*('DRAFT 2'!$A:$A&gt;=DATE(2026,6,1))*('DRAFT 2'!$A:$A&lt;DATE(2026,IF(6=12,6+1,6+1),1)),'DRAFT 2'!$A:$A),"")</f>
        <v/>
      </c>
      <c r="FE132">
        <f>COUNTIFS('DRAFT 2'!$D:$D,$B132,'DRAFT 2'!$A:$A,"&gt;="&amp;DATE(2026,6,1),'DRAFT 2'!$A:$A,"&lt;="&amp;DATE(2026,6,7))</f>
        <v/>
      </c>
      <c r="FF132">
        <f>COUNTIFS('DRAFT 2'!$D:$D,$B132,'DRAFT 2'!$A:$A,"&gt;="&amp;DATE(2026,6,8),'DRAFT 2'!$A:$A,"&lt;="&amp;DATE(2026,6,14))</f>
        <v/>
      </c>
      <c r="FG132">
        <f>COUNTIFS('DRAFT 2'!$D:$D,$B132,'DRAFT 2'!$A:$A,"&gt;="&amp;DATE(2026,6,15),'DRAFT 2'!$A:$A,"&lt;="&amp;DATE(2026,6,21))</f>
        <v/>
      </c>
      <c r="FH132">
        <f>COUNTIFS('DRAFT 2'!$D:$D,$B132,'DRAFT 2'!$A:$A,"&gt;="&amp;DATE(2026,6,22),'DRAFT 2'!$A:$A,"&lt;"&amp;DATE(2026,IF(6=12,6+1,6+1),1))</f>
        <v/>
      </c>
      <c r="FI132">
        <f>SUM(FE132:FH132)</f>
        <v/>
      </c>
      <c r="FT132">
        <f>IFERROR(LOOKUP(2,1/('DRAFT 2'!$D:$D=$B132)*('DRAFT 2'!$A:$A&gt;=DATE(2026,7,1))*('DRAFT 2'!$A:$A&lt;DATE(2026,IF(7=12,7+1,7+1),1)),'DRAFT 2'!$A:$A),"")</f>
        <v/>
      </c>
      <c r="FU132">
        <f>COUNTIFS('DRAFT 2'!$D:$D,$B132,'DRAFT 2'!$A:$A,"&gt;="&amp;DATE(2026,7,1),'DRAFT 2'!$A:$A,"&lt;="&amp;DATE(2026,7,7))</f>
        <v/>
      </c>
      <c r="FV132">
        <f>COUNTIFS('DRAFT 2'!$D:$D,$B132,'DRAFT 2'!$A:$A,"&gt;="&amp;DATE(2026,7,8),'DRAFT 2'!$A:$A,"&lt;="&amp;DATE(2026,7,14))</f>
        <v/>
      </c>
      <c r="FW132">
        <f>COUNTIFS('DRAFT 2'!$D:$D,$B132,'DRAFT 2'!$A:$A,"&gt;="&amp;DATE(2026,7,15),'DRAFT 2'!$A:$A,"&lt;="&amp;DATE(2026,7,21))</f>
        <v/>
      </c>
      <c r="FX132">
        <f>COUNTIFS('DRAFT 2'!$D:$D,$B132,'DRAFT 2'!$A:$A,"&gt;="&amp;DATE(2026,7,22),'DRAFT 2'!$A:$A,"&lt;"&amp;DATE(2026,IF(7=12,7+1,7+1),1))</f>
        <v/>
      </c>
      <c r="FY132">
        <f>SUM(FU132:FX132)</f>
        <v/>
      </c>
      <c r="GI132">
        <f>IFERROR(LOOKUP(2,1/('DRAFT 2'!$D:$D=$B132)*('DRAFT 2'!$A:$A&gt;=DATE(2026,8,1))*('DRAFT 2'!$A:$A&lt;DATE(2026,IF(8=12,8+1,8+1),1)),'DRAFT 2'!$A:$A),"")</f>
        <v/>
      </c>
      <c r="GJ132">
        <f>COUNTIFS('DRAFT 2'!$D:$D,$B132,'DRAFT 2'!$A:$A,"&gt;="&amp;DATE(2026,8,1),'DRAFT 2'!$A:$A,"&lt;="&amp;DATE(2026,8,7))</f>
        <v/>
      </c>
      <c r="GK132">
        <f>COUNTIFS('DRAFT 2'!$D:$D,$B132,'DRAFT 2'!$A:$A,"&gt;="&amp;DATE(2026,8,8),'DRAFT 2'!$A:$A,"&lt;="&amp;DATE(2026,8,14))</f>
        <v/>
      </c>
      <c r="GL132">
        <f>COUNTIFS('DRAFT 2'!$D:$D,$B132,'DRAFT 2'!$A:$A,"&gt;="&amp;DATE(2026,8,15),'DRAFT 2'!$A:$A,"&lt;="&amp;DATE(2026,8,21))</f>
        <v/>
      </c>
      <c r="GM132">
        <f>COUNTIFS('DRAFT 2'!$D:$D,$B132,'DRAFT 2'!$A:$A,"&gt;="&amp;DATE(2026,8,22),'DRAFT 2'!$A:$A,"&lt;"&amp;DATE(2026,IF(8=12,8+1,8+1),1))</f>
        <v/>
      </c>
      <c r="GN132">
        <f>SUM(GJ132:GM132)</f>
        <v/>
      </c>
      <c r="GX132">
        <f>IFERROR(LOOKUP(2,1/('DRAFT 2'!$D:$D=$B132)*('DRAFT 2'!$A:$A&gt;=DATE(2026,9,1))*('DRAFT 2'!$A:$A&lt;DATE(2026,IF(9=12,9+1,9+1),1)),'DRAFT 2'!$A:$A),"")</f>
        <v/>
      </c>
      <c r="GY132">
        <f>COUNTIFS('DRAFT 2'!$D:$D,$B132,'DRAFT 2'!$A:$A,"&gt;="&amp;DATE(2026,9,1),'DRAFT 2'!$A:$A,"&lt;="&amp;DATE(2026,9,7))</f>
        <v/>
      </c>
      <c r="GZ132">
        <f>COUNTIFS('DRAFT 2'!$D:$D,$B132,'DRAFT 2'!$A:$A,"&gt;="&amp;DATE(2026,9,8),'DRAFT 2'!$A:$A,"&lt;="&amp;DATE(2026,9,14))</f>
        <v/>
      </c>
      <c r="HA132">
        <f>COUNTIFS('DRAFT 2'!$D:$D,$B132,'DRAFT 2'!$A:$A,"&gt;="&amp;DATE(2026,9,15),'DRAFT 2'!$A:$A,"&lt;="&amp;DATE(2026,9,21))</f>
        <v/>
      </c>
      <c r="HB132">
        <f>COUNTIFS('DRAFT 2'!$D:$D,$B132,'DRAFT 2'!$A:$A,"&gt;="&amp;DATE(2026,9,22),'DRAFT 2'!$A:$A,"&lt;"&amp;DATE(2026,IF(9=12,9+1,9+1),1))</f>
        <v/>
      </c>
      <c r="HC132">
        <f>SUM(GY132:HB132)</f>
        <v/>
      </c>
      <c r="HN132">
        <f>IFERROR(LOOKUP(2,1/('DRAFT 2'!$D:$D=$B132)*('DRAFT 2'!$A:$A&gt;=DATE(2026,10,1))*('DRAFT 2'!$A:$A&lt;DATE(2026,IF(10=12,10+1,10+1),1)),'DRAFT 2'!$A:$A),"")</f>
        <v/>
      </c>
      <c r="HO132">
        <f>COUNTIFS('DRAFT 2'!$D:$D,$B132,'DRAFT 2'!$A:$A,"&gt;="&amp;DATE(2026,10,1),'DRAFT 2'!$A:$A,"&lt;="&amp;DATE(2026,10,7))</f>
        <v/>
      </c>
      <c r="HP132">
        <f>COUNTIFS('DRAFT 2'!$D:$D,$B132,'DRAFT 2'!$A:$A,"&gt;="&amp;DATE(2026,10,8),'DRAFT 2'!$A:$A,"&lt;="&amp;DATE(2026,10,14))</f>
        <v/>
      </c>
      <c r="HQ132">
        <f>COUNTIFS('DRAFT 2'!$D:$D,$B132,'DRAFT 2'!$A:$A,"&gt;="&amp;DATE(2026,10,15),'DRAFT 2'!$A:$A,"&lt;="&amp;DATE(2026,10,21))</f>
        <v/>
      </c>
      <c r="HR132">
        <f>COUNTIFS('DRAFT 2'!$D:$D,$B132,'DRAFT 2'!$A:$A,"&gt;="&amp;DATE(2026,10,22),'DRAFT 2'!$A:$A,"&lt;"&amp;DATE(2026,IF(10=12,10+1,10+1),1))</f>
        <v/>
      </c>
      <c r="HS132">
        <f>SUM(HO132:HR132)</f>
        <v/>
      </c>
      <c r="IC132">
        <f>IFERROR(LOOKUP(2,1/('DRAFT 2'!$D:$D=$B132)*('DRAFT 2'!$A:$A&gt;=DATE(2026,11,1))*('DRAFT 2'!$A:$A&lt;DATE(2026,IF(11=12,11+1,11+1),1)),'DRAFT 2'!$A:$A),"")</f>
        <v/>
      </c>
      <c r="ID132">
        <f>COUNTIFS('DRAFT 2'!$D:$D,$B132,'DRAFT 2'!$A:$A,"&gt;="&amp;DATE(2026,11,1),'DRAFT 2'!$A:$A,"&lt;="&amp;DATE(2026,11,7))</f>
        <v/>
      </c>
      <c r="IE132">
        <f>COUNTIFS('DRAFT 2'!$D:$D,$B132,'DRAFT 2'!$A:$A,"&gt;="&amp;DATE(2026,11,8),'DRAFT 2'!$A:$A,"&lt;="&amp;DATE(2026,11,14))</f>
        <v/>
      </c>
      <c r="IF132">
        <f>COUNTIFS('DRAFT 2'!$D:$D,$B132,'DRAFT 2'!$A:$A,"&gt;="&amp;DATE(2026,11,15),'DRAFT 2'!$A:$A,"&lt;="&amp;DATE(2026,11,21))</f>
        <v/>
      </c>
      <c r="IG132">
        <f>COUNTIFS('DRAFT 2'!$D:$D,$B132,'DRAFT 2'!$A:$A,"&gt;="&amp;DATE(2026,11,22),'DRAFT 2'!$A:$A,"&lt;"&amp;DATE(2026,IF(11=12,11+1,11+1),1))</f>
        <v/>
      </c>
      <c r="IH132">
        <f>SUM(ID132:IG132)</f>
        <v/>
      </c>
      <c r="IR132">
        <f>IFERROR(LOOKUP(2,1/('DRAFT 2'!$D:$D=$B132)*('DRAFT 2'!$A:$A&gt;=DATE(2026,12,1))*('DRAFT 2'!$A:$A&lt;DATE(2026,IF(12=12,12+1,12+1),1)),'DRAFT 2'!$A:$A),"")</f>
        <v/>
      </c>
      <c r="IS132">
        <f>COUNTIFS('DRAFT 2'!$D:$D,$B132,'DRAFT 2'!$A:$A,"&gt;="&amp;DATE(2026,12,1),'DRAFT 2'!$A:$A,"&lt;="&amp;DATE(2026,12,7))</f>
        <v/>
      </c>
      <c r="IT132">
        <f>COUNTIFS('DRAFT 2'!$D:$D,$B132,'DRAFT 2'!$A:$A,"&gt;="&amp;DATE(2026,12,8),'DRAFT 2'!$A:$A,"&lt;="&amp;DATE(2026,12,14))</f>
        <v/>
      </c>
      <c r="IU132">
        <f>COUNTIFS('DRAFT 2'!$D:$D,$B132,'DRAFT 2'!$A:$A,"&gt;="&amp;DATE(2026,12,15),'DRAFT 2'!$A:$A,"&lt;="&amp;DATE(2026,12,21))</f>
        <v/>
      </c>
      <c r="IV132">
        <f>COUNTIFS('DRAFT 2'!$D:$D,$B132,'DRAFT 2'!$A:$A,"&gt;="&amp;DATE(2026,12,22),'DRAFT 2'!$A:$A,"&lt;"&amp;DATE(2026,IF(12=12,12+1,12+1),1))</f>
        <v/>
      </c>
      <c r="IW132">
        <f>SUM(IS132:IV132)</f>
        <v/>
      </c>
    </row>
    <row r="133">
      <c r="A133">
        <f>IFERROR(INDEX('DRAFT 1'!$A:$A,MATCH($B133,'DRAFT 1'!$B:$B,0)),"")</f>
        <v/>
      </c>
      <c r="C133">
        <f>IFERROR(INDEX('DRAFT 1'!$C:$C,MATCH($B133,'DRAFT 1'!$B:$B,0)),"")</f>
        <v/>
      </c>
      <c r="D133">
        <f>IFERROR(INDEX('DRAFT 1'!$D:$D,MATCH($B133,'DRAFT 1'!$B:$B,0)),"")</f>
        <v/>
      </c>
      <c r="E133">
        <f>IFERROR(INDEX('DRAFT 1'!$E:$E,MATCH($B133,'DRAFT 1'!$B:$B,0)),"")</f>
        <v/>
      </c>
      <c r="F133">
        <f>IFERROR(INDEX('DRAFT 1'!$F:$F,MATCH($B133,'DRAFT 1'!$B:$B,0)),"")</f>
        <v/>
      </c>
      <c r="G133">
        <f>IFERROR(INDEX('DRAFT 1'!$G:$G,MATCH($B133,'DRAFT 1'!$B:$B,0)),"")</f>
        <v/>
      </c>
      <c r="H133">
        <f>IFERROR(INDEX('DRAFT 1'!$H:$H,MATCH($B133,'DRAFT 1'!$B:$B,0)),"")</f>
        <v/>
      </c>
      <c r="I133">
        <f>IFERROR(INDEX('DRAFT 1'!$I:$I,MATCH($B133,'DRAFT 1'!$B:$B,0)),"")</f>
        <v/>
      </c>
      <c r="K133">
        <f>IFERROR(INDEX('DRAFT 1'!$AL:$AL,MATCH($B133,'DRAFT 1'!$B:$B,0)),"")</f>
        <v/>
      </c>
      <c r="L133">
        <f>IFERROR(INDEX('DRAFT 1'!$J:$J,MATCH($B133,'DRAFT 1'!$B:$B,0)),"")</f>
        <v/>
      </c>
      <c r="M133">
        <f>IFERROR(INDEX('DRAFT 1'!$K:$K,MATCH($B133,'DRAFT 1'!$B:$B,0)),"")</f>
        <v/>
      </c>
      <c r="P133">
        <f>IFERROR(INDEX('DRAFT 1'!$L:$L,MATCH($B133,'DRAFT 1'!$B:$B,0)),"")</f>
        <v/>
      </c>
      <c r="Q133">
        <f>IFERROR(INDEX('DRAFT 1'!$M:$M,MATCH($B133,'DRAFT 1'!$B:$B,0)),"")</f>
        <v/>
      </c>
      <c r="R133">
        <f>IFERROR(INDEX('DRAFT 1'!$N:$N,MATCH($B133,'DRAFT 1'!$B:$B,0)),"")</f>
        <v/>
      </c>
      <c r="S133">
        <f>IFERROR(INDEX('DRAFT 1'!$O:$O,MATCH($B133,'DRAFT 1'!$B:$B,0)),"")</f>
        <v/>
      </c>
      <c r="T133">
        <f>IFERROR(INDEX('DRAFT 1'!$P:$P,MATCH($B133,'DRAFT 1'!$B:$B,0)),"")</f>
        <v/>
      </c>
      <c r="U133">
        <f>IFERROR(INDEX('DRAFT 1'!$Q:$Q,MATCH($B133,'DRAFT 1'!$B:$B,0)),"")</f>
        <v/>
      </c>
      <c r="V133">
        <f>IFERROR(INDEX('DRAFT 1'!$R:$R,MATCH($B133,'DRAFT 1'!$B:$B,0)),"")</f>
        <v/>
      </c>
      <c r="W133">
        <f>IFERROR(INDEX('DRAFT 1'!$S:$S,MATCH($B133,'DRAFT 1'!$B:$B,0)),"")</f>
        <v/>
      </c>
      <c r="X133">
        <f>IFERROR(INDEX('DRAFT 1'!$T:$T,MATCH($B133,'DRAFT 1'!$B:$B,0)),"")</f>
        <v/>
      </c>
      <c r="Z133">
        <f>IFERROR(INDEX('DRAFT 1'!$U:$U,MATCH($B133,'DRAFT 1'!$B:$B,0)),"")</f>
        <v/>
      </c>
      <c r="AA133">
        <f>IFERROR(INDEX('DRAFT 1'!$V:$V,MATCH($B133,'DRAFT 1'!$B:$B,0)),"")</f>
        <v/>
      </c>
      <c r="AB133">
        <f>IFERROR(INDEX('DRAFT 1'!$W:$W,MATCH($B133,'DRAFT 1'!$B:$B,0)),"")</f>
        <v/>
      </c>
      <c r="AC133">
        <f>IFERROR(INDEX('DRAFT 1'!$X:$X,MATCH($B133,'DRAFT 1'!$B:$B,0)),"")</f>
        <v/>
      </c>
      <c r="AD133">
        <f>IFERROR(INDEX('DRAFT 1'!$Y:$Y,MATCH($B133,'DRAFT 1'!$B:$B,0)),"")</f>
        <v/>
      </c>
      <c r="AE133">
        <f>IFERROR(INDEX('DRAFT 1'!$Z:$Z,MATCH($B133,'DRAFT 1'!$B:$B,0)),"")</f>
        <v/>
      </c>
      <c r="AF133">
        <f>IFERROR(INDEX('DRAFT 1'!$AA:$AA,MATCH($B133,'DRAFT 1'!$B:$B,0)),"")</f>
        <v/>
      </c>
      <c r="AG133">
        <f>IFERROR(INDEX('DRAFT 1'!$AB:$AB,MATCH($B133,'DRAFT 1'!$B:$B,0)),"")</f>
        <v/>
      </c>
      <c r="AH133">
        <f>IFERROR(INDEX('DRAFT 1'!$AC:$AC,MATCH($B133,'DRAFT 1'!$B:$B,0)),"")</f>
        <v/>
      </c>
      <c r="AI133">
        <f>IFERROR(INDEX('DRAFT 1'!$AD:$AD,MATCH($B133,'DRAFT 1'!$B:$B,0)),"")</f>
        <v/>
      </c>
      <c r="AJ133">
        <f>IFERROR(INDEX('DRAFT 1'!$AE:$AE,MATCH($B133,'DRAFT 1'!$B:$B,0)),"")</f>
        <v/>
      </c>
      <c r="AK133">
        <f>IFERROR(INDEX('DRAFT 1'!$AG:$AG,MATCH($B133,'DRAFT 1'!$B:$B,0)),"")</f>
        <v/>
      </c>
      <c r="AL133">
        <f>IFERROR(INDEX('DRAFT 1'!$AH:$AH,MATCH($B133,'DRAFT 1'!$B:$B,0)),"")</f>
        <v/>
      </c>
      <c r="AM133">
        <f>IFERROR(INDEX('DRAFT 1'!$AI:$AI,MATCH($B133,'DRAFT 1'!$B:$B,0)),"")</f>
        <v/>
      </c>
      <c r="AN133">
        <f>IFERROR(INDEX('DRAFT 1'!$AJ:$AJ,MATCH($B133,'DRAFT 1'!$B:$B,0)),"")</f>
        <v/>
      </c>
      <c r="AO133">
        <f>IFERROR(Y133/AN133,0)</f>
        <v/>
      </c>
      <c r="AP133">
        <f>IFERROR(INDEX('DRAFT 1'!$AK:$AK,MATCH($B133,'DRAFT 1'!$B:$B,0)),"")</f>
        <v/>
      </c>
      <c r="AR133">
        <f>IFERROR(LOOKUP(2,1/('DRAFT 2'!$D:$D=$B133),'DRAFT 2'!$I:$I),"")</f>
        <v/>
      </c>
      <c r="AS133">
        <f>IFERROR(LOOKUP(2,1/('DRAFT 2'!$D:$D=$B133),'DRAFT 2'!$T:$T),"")</f>
        <v/>
      </c>
      <c r="AT133">
        <f>IFERROR(LOOKUP(2,1/('DRAFT 2'!$D:$D=$B133),'DRAFT 2'!$A:$A),"")</f>
        <v/>
      </c>
      <c r="AU133">
        <f>IFERROR(LOOKUP(2,1/('DRAFT 2'!$D:$D=$B133),'DRAFT 2'!$R:$R),"")</f>
        <v/>
      </c>
      <c r="AV133">
        <f>IFERROR(LOOKUP(2,1/('DRAFT 2'!$D:$D=$B133),'DRAFT 2'!$S:$S),"")</f>
        <v/>
      </c>
      <c r="AX133">
        <f>IFERROR(LOOKUP(2,1/('DRAFT 2'!$D:$D=$B133),'DRAFT 2'!$M:$M),"")</f>
        <v/>
      </c>
      <c r="AY133">
        <f>IFERROR(LOOKUP(2,1/('DRAFT 2'!$D:$D=$B133),'DRAFT 2'!$K:$K),"")</f>
        <v/>
      </c>
      <c r="BG133">
        <f>IFERROR(LOOKUP(2,1/('DRAFT 2'!$D:$D=$B133),'DRAFT 2'!$U:$U),"")</f>
        <v/>
      </c>
      <c r="BH133">
        <f>IFERROR(LOOKUP(2,1/('DRAFT 2'!$D:$D=$B133),'DRAFT 2'!$V:$V),"")</f>
        <v/>
      </c>
      <c r="CE133">
        <f>IFERROR(AJ133,0)</f>
        <v/>
      </c>
      <c r="CF133">
        <f>IFERROR(LOOKUP(2,1/('DRAFT 2'!$D:$D=$B133)*('DRAFT 2'!$A:$A&gt;=DATE(2026,1,1))*('DRAFT 2'!$A:$A&lt;DATE(2026,IF(1=12,1+1,1+1),1)),'DRAFT 2'!$A:$A),"")</f>
        <v/>
      </c>
      <c r="CG133">
        <f>COUNTIFS('DRAFT 2'!$D:$D,$B133,'DRAFT 2'!$A:$A,"&gt;="&amp;DATE(2026,1,1),'DRAFT 2'!$A:$A,"&lt;="&amp;DATE(2026,1,7))</f>
        <v/>
      </c>
      <c r="CH133">
        <f>COUNTIFS('DRAFT 2'!$D:$D,$B133,'DRAFT 2'!$A:$A,"&gt;="&amp;DATE(2026,1,8),'DRAFT 2'!$A:$A,"&lt;="&amp;DATE(2026,1,14))</f>
        <v/>
      </c>
      <c r="CI133">
        <f>COUNTIFS('DRAFT 2'!$D:$D,$B133,'DRAFT 2'!$A:$A,"&gt;="&amp;DATE(2026,1,15),'DRAFT 2'!$A:$A,"&lt;="&amp;DATE(2026,1,21))</f>
        <v/>
      </c>
      <c r="CJ133">
        <f>COUNTIFS('DRAFT 2'!$D:$D,$B133,'DRAFT 2'!$A:$A,"&gt;="&amp;DATE(2026,1,22),'DRAFT 2'!$A:$A,"&lt;"&amp;DATE(2026,IF(1=12,1+1,1+1),1))</f>
        <v/>
      </c>
      <c r="CK133">
        <f>SUM(CG133:CJ133)</f>
        <v/>
      </c>
      <c r="CT133" t="n">
        <v>0</v>
      </c>
      <c r="CU133">
        <f>IFERROR(LOOKUP(2,1/('DRAFT 2'!$D:$D=$B133)*('DRAFT 2'!$A:$A&gt;=DATE(2026,2,1))*('DRAFT 2'!$A:$A&lt;DATE(2026,IF(2=12,2+1,2+1),1)),'DRAFT 2'!$A:$A),"")</f>
        <v/>
      </c>
      <c r="CV133">
        <f>COUNTIFS('DRAFT 2'!$D:$D,$B133,'DRAFT 2'!$A:$A,"&gt;="&amp;DATE(2026,2,1),'DRAFT 2'!$A:$A,"&lt;="&amp;DATE(2026,2,7))</f>
        <v/>
      </c>
      <c r="CW133">
        <f>COUNTIFS('DRAFT 2'!$D:$D,$B133,'DRAFT 2'!$A:$A,"&gt;="&amp;DATE(2026,2,8),'DRAFT 2'!$A:$A,"&lt;="&amp;DATE(2026,2,14))</f>
        <v/>
      </c>
      <c r="CX133">
        <f>COUNTIFS('DRAFT 2'!$D:$D,$B133,'DRAFT 2'!$A:$A,"&gt;="&amp;DATE(2026,2,15),'DRAFT 2'!$A:$A,"&lt;="&amp;DATE(2026,2,21))</f>
        <v/>
      </c>
      <c r="CY133">
        <f>COUNTIFS('DRAFT 2'!$D:$D,$B133,'DRAFT 2'!$A:$A,"&gt;="&amp;DATE(2026,2,22),'DRAFT 2'!$A:$A,"&lt;"&amp;DATE(2026,IF(2=12,2+1,2+1),1))</f>
        <v/>
      </c>
      <c r="CZ133">
        <f>SUM(CV133:CY133)</f>
        <v/>
      </c>
      <c r="DJ133">
        <f>IFERROR(LOOKUP(2,1/('DRAFT 2'!$D:$D=$B133)*('DRAFT 2'!$A:$A&gt;=DATE(2026,3,1))*('DRAFT 2'!$A:$A&lt;DATE(2026,IF(3=12,3+1,3+1),1)),'DRAFT 2'!$A:$A),"")</f>
        <v/>
      </c>
      <c r="DK133">
        <f>COUNTIFS('DRAFT 2'!$D:$D,$B133,'DRAFT 2'!$A:$A,"&gt;="&amp;DATE(2026,3,1),'DRAFT 2'!$A:$A,"&lt;="&amp;DATE(2026,3,7))</f>
        <v/>
      </c>
      <c r="DL133">
        <f>COUNTIFS('DRAFT 2'!$D:$D,$B133,'DRAFT 2'!$A:$A,"&gt;="&amp;DATE(2026,3,8),'DRAFT 2'!$A:$A,"&lt;="&amp;DATE(2026,3,14))</f>
        <v/>
      </c>
      <c r="DM133">
        <f>COUNTIFS('DRAFT 2'!$D:$D,$B133,'DRAFT 2'!$A:$A,"&gt;="&amp;DATE(2026,3,15),'DRAFT 2'!$A:$A,"&lt;="&amp;DATE(2026,3,21))</f>
        <v/>
      </c>
      <c r="DN133">
        <f>COUNTIFS('DRAFT 2'!$D:$D,$B133,'DRAFT 2'!$A:$A,"&gt;="&amp;DATE(2026,3,22),'DRAFT 2'!$A:$A,"&lt;"&amp;DATE(2026,IF(3=12,3+1,3+1),1))</f>
        <v/>
      </c>
      <c r="DO133">
        <f>SUM(DK133:DN133)</f>
        <v/>
      </c>
      <c r="DZ133">
        <f>IFERROR(LOOKUP(2,1/('DRAFT 2'!$D:$D=$B133)*('DRAFT 2'!$A:$A&gt;=DATE(2026,4,1))*('DRAFT 2'!$A:$A&lt;DATE(2026,IF(4=12,4+1,4+1),1)),'DRAFT 2'!$A:$A),"")</f>
        <v/>
      </c>
      <c r="EA133">
        <f>COUNTIFS('DRAFT 2'!$D:$D,$B133,'DRAFT 2'!$A:$A,"&gt;="&amp;DATE(2026,4,1),'DRAFT 2'!$A:$A,"&lt;="&amp;DATE(2026,4,7))</f>
        <v/>
      </c>
      <c r="EB133">
        <f>COUNTIFS('DRAFT 2'!$D:$D,$B133,'DRAFT 2'!$A:$A,"&gt;="&amp;DATE(2026,4,8),'DRAFT 2'!$A:$A,"&lt;="&amp;DATE(2026,4,14))</f>
        <v/>
      </c>
      <c r="EC133">
        <f>COUNTIFS('DRAFT 2'!$D:$D,$B133,'DRAFT 2'!$A:$A,"&gt;="&amp;DATE(2026,4,15),'DRAFT 2'!$A:$A,"&lt;="&amp;DATE(2026,4,21))</f>
        <v/>
      </c>
      <c r="ED133">
        <f>COUNTIFS('DRAFT 2'!$D:$D,$B133,'DRAFT 2'!$A:$A,"&gt;="&amp;DATE(2026,4,22),'DRAFT 2'!$A:$A,"&lt;"&amp;DATE(2026,IF(4=12,4+1,4+1),1))</f>
        <v/>
      </c>
      <c r="EE133">
        <f>SUM(EA133:ED133)</f>
        <v/>
      </c>
      <c r="EO133">
        <f>IFERROR(LOOKUP(2,1/('DRAFT 2'!$D:$D=$B133)*('DRAFT 2'!$A:$A&gt;=DATE(2026,5,1))*('DRAFT 2'!$A:$A&lt;DATE(2026,IF(5=12,5+1,5+1),1)),'DRAFT 2'!$A:$A),"")</f>
        <v/>
      </c>
      <c r="EP133">
        <f>COUNTIFS('DRAFT 2'!$D:$D,$B133,'DRAFT 2'!$A:$A,"&gt;="&amp;DATE(2026,5,1),'DRAFT 2'!$A:$A,"&lt;="&amp;DATE(2026,5,7))</f>
        <v/>
      </c>
      <c r="EQ133">
        <f>COUNTIFS('DRAFT 2'!$D:$D,$B133,'DRAFT 2'!$A:$A,"&gt;="&amp;DATE(2026,5,8),'DRAFT 2'!$A:$A,"&lt;="&amp;DATE(2026,5,14))</f>
        <v/>
      </c>
      <c r="ER133">
        <f>COUNTIFS('DRAFT 2'!$D:$D,$B133,'DRAFT 2'!$A:$A,"&gt;="&amp;DATE(2026,5,15),'DRAFT 2'!$A:$A,"&lt;="&amp;DATE(2026,5,21))</f>
        <v/>
      </c>
      <c r="ES133">
        <f>COUNTIFS('DRAFT 2'!$D:$D,$B133,'DRAFT 2'!$A:$A,"&gt;="&amp;DATE(2026,5,22),'DRAFT 2'!$A:$A,"&lt;"&amp;DATE(2026,IF(5=12,5+1,5+1),1))</f>
        <v/>
      </c>
      <c r="ET133">
        <f>SUM(EP133:ES133)</f>
        <v/>
      </c>
      <c r="FD133">
        <f>IFERROR(LOOKUP(2,1/('DRAFT 2'!$D:$D=$B133)*('DRAFT 2'!$A:$A&gt;=DATE(2026,6,1))*('DRAFT 2'!$A:$A&lt;DATE(2026,IF(6=12,6+1,6+1),1)),'DRAFT 2'!$A:$A),"")</f>
        <v/>
      </c>
      <c r="FE133">
        <f>COUNTIFS('DRAFT 2'!$D:$D,$B133,'DRAFT 2'!$A:$A,"&gt;="&amp;DATE(2026,6,1),'DRAFT 2'!$A:$A,"&lt;="&amp;DATE(2026,6,7))</f>
        <v/>
      </c>
      <c r="FF133">
        <f>COUNTIFS('DRAFT 2'!$D:$D,$B133,'DRAFT 2'!$A:$A,"&gt;="&amp;DATE(2026,6,8),'DRAFT 2'!$A:$A,"&lt;="&amp;DATE(2026,6,14))</f>
        <v/>
      </c>
      <c r="FG133">
        <f>COUNTIFS('DRAFT 2'!$D:$D,$B133,'DRAFT 2'!$A:$A,"&gt;="&amp;DATE(2026,6,15),'DRAFT 2'!$A:$A,"&lt;="&amp;DATE(2026,6,21))</f>
        <v/>
      </c>
      <c r="FH133">
        <f>COUNTIFS('DRAFT 2'!$D:$D,$B133,'DRAFT 2'!$A:$A,"&gt;="&amp;DATE(2026,6,22),'DRAFT 2'!$A:$A,"&lt;"&amp;DATE(2026,IF(6=12,6+1,6+1),1))</f>
        <v/>
      </c>
      <c r="FI133">
        <f>SUM(FE133:FH133)</f>
        <v/>
      </c>
      <c r="FT133">
        <f>IFERROR(LOOKUP(2,1/('DRAFT 2'!$D:$D=$B133)*('DRAFT 2'!$A:$A&gt;=DATE(2026,7,1))*('DRAFT 2'!$A:$A&lt;DATE(2026,IF(7=12,7+1,7+1),1)),'DRAFT 2'!$A:$A),"")</f>
        <v/>
      </c>
      <c r="FU133">
        <f>COUNTIFS('DRAFT 2'!$D:$D,$B133,'DRAFT 2'!$A:$A,"&gt;="&amp;DATE(2026,7,1),'DRAFT 2'!$A:$A,"&lt;="&amp;DATE(2026,7,7))</f>
        <v/>
      </c>
      <c r="FV133">
        <f>COUNTIFS('DRAFT 2'!$D:$D,$B133,'DRAFT 2'!$A:$A,"&gt;="&amp;DATE(2026,7,8),'DRAFT 2'!$A:$A,"&lt;="&amp;DATE(2026,7,14))</f>
        <v/>
      </c>
      <c r="FW133">
        <f>COUNTIFS('DRAFT 2'!$D:$D,$B133,'DRAFT 2'!$A:$A,"&gt;="&amp;DATE(2026,7,15),'DRAFT 2'!$A:$A,"&lt;="&amp;DATE(2026,7,21))</f>
        <v/>
      </c>
      <c r="FX133">
        <f>COUNTIFS('DRAFT 2'!$D:$D,$B133,'DRAFT 2'!$A:$A,"&gt;="&amp;DATE(2026,7,22),'DRAFT 2'!$A:$A,"&lt;"&amp;DATE(2026,IF(7=12,7+1,7+1),1))</f>
        <v/>
      </c>
      <c r="FY133">
        <f>SUM(FU133:FX133)</f>
        <v/>
      </c>
      <c r="GI133">
        <f>IFERROR(LOOKUP(2,1/('DRAFT 2'!$D:$D=$B133)*('DRAFT 2'!$A:$A&gt;=DATE(2026,8,1))*('DRAFT 2'!$A:$A&lt;DATE(2026,IF(8=12,8+1,8+1),1)),'DRAFT 2'!$A:$A),"")</f>
        <v/>
      </c>
      <c r="GJ133">
        <f>COUNTIFS('DRAFT 2'!$D:$D,$B133,'DRAFT 2'!$A:$A,"&gt;="&amp;DATE(2026,8,1),'DRAFT 2'!$A:$A,"&lt;="&amp;DATE(2026,8,7))</f>
        <v/>
      </c>
      <c r="GK133">
        <f>COUNTIFS('DRAFT 2'!$D:$D,$B133,'DRAFT 2'!$A:$A,"&gt;="&amp;DATE(2026,8,8),'DRAFT 2'!$A:$A,"&lt;="&amp;DATE(2026,8,14))</f>
        <v/>
      </c>
      <c r="GL133">
        <f>COUNTIFS('DRAFT 2'!$D:$D,$B133,'DRAFT 2'!$A:$A,"&gt;="&amp;DATE(2026,8,15),'DRAFT 2'!$A:$A,"&lt;="&amp;DATE(2026,8,21))</f>
        <v/>
      </c>
      <c r="GM133">
        <f>COUNTIFS('DRAFT 2'!$D:$D,$B133,'DRAFT 2'!$A:$A,"&gt;="&amp;DATE(2026,8,22),'DRAFT 2'!$A:$A,"&lt;"&amp;DATE(2026,IF(8=12,8+1,8+1),1))</f>
        <v/>
      </c>
      <c r="GN133">
        <f>SUM(GJ133:GM133)</f>
        <v/>
      </c>
      <c r="GX133">
        <f>IFERROR(LOOKUP(2,1/('DRAFT 2'!$D:$D=$B133)*('DRAFT 2'!$A:$A&gt;=DATE(2026,9,1))*('DRAFT 2'!$A:$A&lt;DATE(2026,IF(9=12,9+1,9+1),1)),'DRAFT 2'!$A:$A),"")</f>
        <v/>
      </c>
      <c r="GY133">
        <f>COUNTIFS('DRAFT 2'!$D:$D,$B133,'DRAFT 2'!$A:$A,"&gt;="&amp;DATE(2026,9,1),'DRAFT 2'!$A:$A,"&lt;="&amp;DATE(2026,9,7))</f>
        <v/>
      </c>
      <c r="GZ133">
        <f>COUNTIFS('DRAFT 2'!$D:$D,$B133,'DRAFT 2'!$A:$A,"&gt;="&amp;DATE(2026,9,8),'DRAFT 2'!$A:$A,"&lt;="&amp;DATE(2026,9,14))</f>
        <v/>
      </c>
      <c r="HA133">
        <f>COUNTIFS('DRAFT 2'!$D:$D,$B133,'DRAFT 2'!$A:$A,"&gt;="&amp;DATE(2026,9,15),'DRAFT 2'!$A:$A,"&lt;="&amp;DATE(2026,9,21))</f>
        <v/>
      </c>
      <c r="HB133">
        <f>COUNTIFS('DRAFT 2'!$D:$D,$B133,'DRAFT 2'!$A:$A,"&gt;="&amp;DATE(2026,9,22),'DRAFT 2'!$A:$A,"&lt;"&amp;DATE(2026,IF(9=12,9+1,9+1),1))</f>
        <v/>
      </c>
      <c r="HC133">
        <f>SUM(GY133:HB133)</f>
        <v/>
      </c>
      <c r="HN133">
        <f>IFERROR(LOOKUP(2,1/('DRAFT 2'!$D:$D=$B133)*('DRAFT 2'!$A:$A&gt;=DATE(2026,10,1))*('DRAFT 2'!$A:$A&lt;DATE(2026,IF(10=12,10+1,10+1),1)),'DRAFT 2'!$A:$A),"")</f>
        <v/>
      </c>
      <c r="HO133">
        <f>COUNTIFS('DRAFT 2'!$D:$D,$B133,'DRAFT 2'!$A:$A,"&gt;="&amp;DATE(2026,10,1),'DRAFT 2'!$A:$A,"&lt;="&amp;DATE(2026,10,7))</f>
        <v/>
      </c>
      <c r="HP133">
        <f>COUNTIFS('DRAFT 2'!$D:$D,$B133,'DRAFT 2'!$A:$A,"&gt;="&amp;DATE(2026,10,8),'DRAFT 2'!$A:$A,"&lt;="&amp;DATE(2026,10,14))</f>
        <v/>
      </c>
      <c r="HQ133">
        <f>COUNTIFS('DRAFT 2'!$D:$D,$B133,'DRAFT 2'!$A:$A,"&gt;="&amp;DATE(2026,10,15),'DRAFT 2'!$A:$A,"&lt;="&amp;DATE(2026,10,21))</f>
        <v/>
      </c>
      <c r="HR133">
        <f>COUNTIFS('DRAFT 2'!$D:$D,$B133,'DRAFT 2'!$A:$A,"&gt;="&amp;DATE(2026,10,22),'DRAFT 2'!$A:$A,"&lt;"&amp;DATE(2026,IF(10=12,10+1,10+1),1))</f>
        <v/>
      </c>
      <c r="HS133">
        <f>SUM(HO133:HR133)</f>
        <v/>
      </c>
      <c r="IC133">
        <f>IFERROR(LOOKUP(2,1/('DRAFT 2'!$D:$D=$B133)*('DRAFT 2'!$A:$A&gt;=DATE(2026,11,1))*('DRAFT 2'!$A:$A&lt;DATE(2026,IF(11=12,11+1,11+1),1)),'DRAFT 2'!$A:$A),"")</f>
        <v/>
      </c>
      <c r="ID133">
        <f>COUNTIFS('DRAFT 2'!$D:$D,$B133,'DRAFT 2'!$A:$A,"&gt;="&amp;DATE(2026,11,1),'DRAFT 2'!$A:$A,"&lt;="&amp;DATE(2026,11,7))</f>
        <v/>
      </c>
      <c r="IE133">
        <f>COUNTIFS('DRAFT 2'!$D:$D,$B133,'DRAFT 2'!$A:$A,"&gt;="&amp;DATE(2026,11,8),'DRAFT 2'!$A:$A,"&lt;="&amp;DATE(2026,11,14))</f>
        <v/>
      </c>
      <c r="IF133">
        <f>COUNTIFS('DRAFT 2'!$D:$D,$B133,'DRAFT 2'!$A:$A,"&gt;="&amp;DATE(2026,11,15),'DRAFT 2'!$A:$A,"&lt;="&amp;DATE(2026,11,21))</f>
        <v/>
      </c>
      <c r="IG133">
        <f>COUNTIFS('DRAFT 2'!$D:$D,$B133,'DRAFT 2'!$A:$A,"&gt;="&amp;DATE(2026,11,22),'DRAFT 2'!$A:$A,"&lt;"&amp;DATE(2026,IF(11=12,11+1,11+1),1))</f>
        <v/>
      </c>
      <c r="IH133">
        <f>SUM(ID133:IG133)</f>
        <v/>
      </c>
      <c r="IR133">
        <f>IFERROR(LOOKUP(2,1/('DRAFT 2'!$D:$D=$B133)*('DRAFT 2'!$A:$A&gt;=DATE(2026,12,1))*('DRAFT 2'!$A:$A&lt;DATE(2026,IF(12=12,12+1,12+1),1)),'DRAFT 2'!$A:$A),"")</f>
        <v/>
      </c>
      <c r="IS133">
        <f>COUNTIFS('DRAFT 2'!$D:$D,$B133,'DRAFT 2'!$A:$A,"&gt;="&amp;DATE(2026,12,1),'DRAFT 2'!$A:$A,"&lt;="&amp;DATE(2026,12,7))</f>
        <v/>
      </c>
      <c r="IT133">
        <f>COUNTIFS('DRAFT 2'!$D:$D,$B133,'DRAFT 2'!$A:$A,"&gt;="&amp;DATE(2026,12,8),'DRAFT 2'!$A:$A,"&lt;="&amp;DATE(2026,12,14))</f>
        <v/>
      </c>
      <c r="IU133">
        <f>COUNTIFS('DRAFT 2'!$D:$D,$B133,'DRAFT 2'!$A:$A,"&gt;="&amp;DATE(2026,12,15),'DRAFT 2'!$A:$A,"&lt;="&amp;DATE(2026,12,21))</f>
        <v/>
      </c>
      <c r="IV133">
        <f>COUNTIFS('DRAFT 2'!$D:$D,$B133,'DRAFT 2'!$A:$A,"&gt;="&amp;DATE(2026,12,22),'DRAFT 2'!$A:$A,"&lt;"&amp;DATE(2026,IF(12=12,12+1,12+1),1))</f>
        <v/>
      </c>
      <c r="IW133">
        <f>SUM(IS133:IV133)</f>
        <v/>
      </c>
    </row>
    <row r="134">
      <c r="A134">
        <f>IFERROR(INDEX('DRAFT 1'!$A:$A,MATCH($B134,'DRAFT 1'!$B:$B,0)),"")</f>
        <v/>
      </c>
      <c r="C134">
        <f>IFERROR(INDEX('DRAFT 1'!$C:$C,MATCH($B134,'DRAFT 1'!$B:$B,0)),"")</f>
        <v/>
      </c>
      <c r="D134">
        <f>IFERROR(INDEX('DRAFT 1'!$D:$D,MATCH($B134,'DRAFT 1'!$B:$B,0)),"")</f>
        <v/>
      </c>
      <c r="E134">
        <f>IFERROR(INDEX('DRAFT 1'!$E:$E,MATCH($B134,'DRAFT 1'!$B:$B,0)),"")</f>
        <v/>
      </c>
      <c r="F134">
        <f>IFERROR(INDEX('DRAFT 1'!$F:$F,MATCH($B134,'DRAFT 1'!$B:$B,0)),"")</f>
        <v/>
      </c>
      <c r="G134">
        <f>IFERROR(INDEX('DRAFT 1'!$G:$G,MATCH($B134,'DRAFT 1'!$B:$B,0)),"")</f>
        <v/>
      </c>
      <c r="H134">
        <f>IFERROR(INDEX('DRAFT 1'!$H:$H,MATCH($B134,'DRAFT 1'!$B:$B,0)),"")</f>
        <v/>
      </c>
      <c r="I134">
        <f>IFERROR(INDEX('DRAFT 1'!$I:$I,MATCH($B134,'DRAFT 1'!$B:$B,0)),"")</f>
        <v/>
      </c>
      <c r="K134">
        <f>IFERROR(INDEX('DRAFT 1'!$AL:$AL,MATCH($B134,'DRAFT 1'!$B:$B,0)),"")</f>
        <v/>
      </c>
      <c r="L134">
        <f>IFERROR(INDEX('DRAFT 1'!$J:$J,MATCH($B134,'DRAFT 1'!$B:$B,0)),"")</f>
        <v/>
      </c>
      <c r="M134">
        <f>IFERROR(INDEX('DRAFT 1'!$K:$K,MATCH($B134,'DRAFT 1'!$B:$B,0)),"")</f>
        <v/>
      </c>
      <c r="P134">
        <f>IFERROR(INDEX('DRAFT 1'!$L:$L,MATCH($B134,'DRAFT 1'!$B:$B,0)),"")</f>
        <v/>
      </c>
      <c r="Q134">
        <f>IFERROR(INDEX('DRAFT 1'!$M:$M,MATCH($B134,'DRAFT 1'!$B:$B,0)),"")</f>
        <v/>
      </c>
      <c r="R134">
        <f>IFERROR(INDEX('DRAFT 1'!$N:$N,MATCH($B134,'DRAFT 1'!$B:$B,0)),"")</f>
        <v/>
      </c>
      <c r="S134">
        <f>IFERROR(INDEX('DRAFT 1'!$O:$O,MATCH($B134,'DRAFT 1'!$B:$B,0)),"")</f>
        <v/>
      </c>
      <c r="T134">
        <f>IFERROR(INDEX('DRAFT 1'!$P:$P,MATCH($B134,'DRAFT 1'!$B:$B,0)),"")</f>
        <v/>
      </c>
      <c r="U134">
        <f>IFERROR(INDEX('DRAFT 1'!$Q:$Q,MATCH($B134,'DRAFT 1'!$B:$B,0)),"")</f>
        <v/>
      </c>
      <c r="V134">
        <f>IFERROR(INDEX('DRAFT 1'!$R:$R,MATCH($B134,'DRAFT 1'!$B:$B,0)),"")</f>
        <v/>
      </c>
      <c r="W134">
        <f>IFERROR(INDEX('DRAFT 1'!$S:$S,MATCH($B134,'DRAFT 1'!$B:$B,0)),"")</f>
        <v/>
      </c>
      <c r="X134">
        <f>IFERROR(INDEX('DRAFT 1'!$T:$T,MATCH($B134,'DRAFT 1'!$B:$B,0)),"")</f>
        <v/>
      </c>
      <c r="Z134">
        <f>IFERROR(INDEX('DRAFT 1'!$U:$U,MATCH($B134,'DRAFT 1'!$B:$B,0)),"")</f>
        <v/>
      </c>
      <c r="AA134">
        <f>IFERROR(INDEX('DRAFT 1'!$V:$V,MATCH($B134,'DRAFT 1'!$B:$B,0)),"")</f>
        <v/>
      </c>
      <c r="AB134">
        <f>IFERROR(INDEX('DRAFT 1'!$W:$W,MATCH($B134,'DRAFT 1'!$B:$B,0)),"")</f>
        <v/>
      </c>
      <c r="AC134">
        <f>IFERROR(INDEX('DRAFT 1'!$X:$X,MATCH($B134,'DRAFT 1'!$B:$B,0)),"")</f>
        <v/>
      </c>
      <c r="AD134">
        <f>IFERROR(INDEX('DRAFT 1'!$Y:$Y,MATCH($B134,'DRAFT 1'!$B:$B,0)),"")</f>
        <v/>
      </c>
      <c r="AE134">
        <f>IFERROR(INDEX('DRAFT 1'!$Z:$Z,MATCH($B134,'DRAFT 1'!$B:$B,0)),"")</f>
        <v/>
      </c>
      <c r="AF134">
        <f>IFERROR(INDEX('DRAFT 1'!$AA:$AA,MATCH($B134,'DRAFT 1'!$B:$B,0)),"")</f>
        <v/>
      </c>
      <c r="AG134">
        <f>IFERROR(INDEX('DRAFT 1'!$AB:$AB,MATCH($B134,'DRAFT 1'!$B:$B,0)),"")</f>
        <v/>
      </c>
      <c r="AH134">
        <f>IFERROR(INDEX('DRAFT 1'!$AC:$AC,MATCH($B134,'DRAFT 1'!$B:$B,0)),"")</f>
        <v/>
      </c>
      <c r="AI134">
        <f>IFERROR(INDEX('DRAFT 1'!$AD:$AD,MATCH($B134,'DRAFT 1'!$B:$B,0)),"")</f>
        <v/>
      </c>
      <c r="AJ134">
        <f>IFERROR(INDEX('DRAFT 1'!$AE:$AE,MATCH($B134,'DRAFT 1'!$B:$B,0)),"")</f>
        <v/>
      </c>
      <c r="AK134">
        <f>IFERROR(INDEX('DRAFT 1'!$AG:$AG,MATCH($B134,'DRAFT 1'!$B:$B,0)),"")</f>
        <v/>
      </c>
      <c r="AL134">
        <f>IFERROR(INDEX('DRAFT 1'!$AH:$AH,MATCH($B134,'DRAFT 1'!$B:$B,0)),"")</f>
        <v/>
      </c>
      <c r="AM134">
        <f>IFERROR(INDEX('DRAFT 1'!$AI:$AI,MATCH($B134,'DRAFT 1'!$B:$B,0)),"")</f>
        <v/>
      </c>
      <c r="AN134">
        <f>IFERROR(INDEX('DRAFT 1'!$AJ:$AJ,MATCH($B134,'DRAFT 1'!$B:$B,0)),"")</f>
        <v/>
      </c>
      <c r="AO134">
        <f>IFERROR(Y134/AN134,0)</f>
        <v/>
      </c>
      <c r="AP134">
        <f>IFERROR(INDEX('DRAFT 1'!$AK:$AK,MATCH($B134,'DRAFT 1'!$B:$B,0)),"")</f>
        <v/>
      </c>
      <c r="AR134">
        <f>IFERROR(LOOKUP(2,1/('DRAFT 2'!$D:$D=$B134),'DRAFT 2'!$I:$I),"")</f>
        <v/>
      </c>
      <c r="AS134">
        <f>IFERROR(LOOKUP(2,1/('DRAFT 2'!$D:$D=$B134),'DRAFT 2'!$T:$T),"")</f>
        <v/>
      </c>
      <c r="AT134">
        <f>IFERROR(LOOKUP(2,1/('DRAFT 2'!$D:$D=$B134),'DRAFT 2'!$A:$A),"")</f>
        <v/>
      </c>
      <c r="AU134">
        <f>IFERROR(LOOKUP(2,1/('DRAFT 2'!$D:$D=$B134),'DRAFT 2'!$R:$R),"")</f>
        <v/>
      </c>
      <c r="AV134">
        <f>IFERROR(LOOKUP(2,1/('DRAFT 2'!$D:$D=$B134),'DRAFT 2'!$S:$S),"")</f>
        <v/>
      </c>
      <c r="AX134">
        <f>IFERROR(LOOKUP(2,1/('DRAFT 2'!$D:$D=$B134),'DRAFT 2'!$M:$M),"")</f>
        <v/>
      </c>
      <c r="AY134">
        <f>IFERROR(LOOKUP(2,1/('DRAFT 2'!$D:$D=$B134),'DRAFT 2'!$K:$K),"")</f>
        <v/>
      </c>
      <c r="BG134">
        <f>IFERROR(LOOKUP(2,1/('DRAFT 2'!$D:$D=$B134),'DRAFT 2'!$U:$U),"")</f>
        <v/>
      </c>
      <c r="BH134">
        <f>IFERROR(LOOKUP(2,1/('DRAFT 2'!$D:$D=$B134),'DRAFT 2'!$V:$V),"")</f>
        <v/>
      </c>
      <c r="CE134">
        <f>IFERROR(AJ134,0)</f>
        <v/>
      </c>
      <c r="CF134">
        <f>IFERROR(LOOKUP(2,1/('DRAFT 2'!$D:$D=$B134)*('DRAFT 2'!$A:$A&gt;=DATE(2026,1,1))*('DRAFT 2'!$A:$A&lt;DATE(2026,IF(1=12,1+1,1+1),1)),'DRAFT 2'!$A:$A),"")</f>
        <v/>
      </c>
      <c r="CG134">
        <f>COUNTIFS('DRAFT 2'!$D:$D,$B134,'DRAFT 2'!$A:$A,"&gt;="&amp;DATE(2026,1,1),'DRAFT 2'!$A:$A,"&lt;="&amp;DATE(2026,1,7))</f>
        <v/>
      </c>
      <c r="CH134">
        <f>COUNTIFS('DRAFT 2'!$D:$D,$B134,'DRAFT 2'!$A:$A,"&gt;="&amp;DATE(2026,1,8),'DRAFT 2'!$A:$A,"&lt;="&amp;DATE(2026,1,14))</f>
        <v/>
      </c>
      <c r="CI134">
        <f>COUNTIFS('DRAFT 2'!$D:$D,$B134,'DRAFT 2'!$A:$A,"&gt;="&amp;DATE(2026,1,15),'DRAFT 2'!$A:$A,"&lt;="&amp;DATE(2026,1,21))</f>
        <v/>
      </c>
      <c r="CJ134">
        <f>COUNTIFS('DRAFT 2'!$D:$D,$B134,'DRAFT 2'!$A:$A,"&gt;="&amp;DATE(2026,1,22),'DRAFT 2'!$A:$A,"&lt;"&amp;DATE(2026,IF(1=12,1+1,1+1),1))</f>
        <v/>
      </c>
      <c r="CK134">
        <f>SUM(CG134:CJ134)</f>
        <v/>
      </c>
      <c r="CT134" t="n">
        <v>0</v>
      </c>
      <c r="CU134">
        <f>IFERROR(LOOKUP(2,1/('DRAFT 2'!$D:$D=$B134)*('DRAFT 2'!$A:$A&gt;=DATE(2026,2,1))*('DRAFT 2'!$A:$A&lt;DATE(2026,IF(2=12,2+1,2+1),1)),'DRAFT 2'!$A:$A),"")</f>
        <v/>
      </c>
      <c r="CV134">
        <f>COUNTIFS('DRAFT 2'!$D:$D,$B134,'DRAFT 2'!$A:$A,"&gt;="&amp;DATE(2026,2,1),'DRAFT 2'!$A:$A,"&lt;="&amp;DATE(2026,2,7))</f>
        <v/>
      </c>
      <c r="CW134">
        <f>COUNTIFS('DRAFT 2'!$D:$D,$B134,'DRAFT 2'!$A:$A,"&gt;="&amp;DATE(2026,2,8),'DRAFT 2'!$A:$A,"&lt;="&amp;DATE(2026,2,14))</f>
        <v/>
      </c>
      <c r="CX134">
        <f>COUNTIFS('DRAFT 2'!$D:$D,$B134,'DRAFT 2'!$A:$A,"&gt;="&amp;DATE(2026,2,15),'DRAFT 2'!$A:$A,"&lt;="&amp;DATE(2026,2,21))</f>
        <v/>
      </c>
      <c r="CY134">
        <f>COUNTIFS('DRAFT 2'!$D:$D,$B134,'DRAFT 2'!$A:$A,"&gt;="&amp;DATE(2026,2,22),'DRAFT 2'!$A:$A,"&lt;"&amp;DATE(2026,IF(2=12,2+1,2+1),1))</f>
        <v/>
      </c>
      <c r="CZ134">
        <f>SUM(CV134:CY134)</f>
        <v/>
      </c>
      <c r="DJ134">
        <f>IFERROR(LOOKUP(2,1/('DRAFT 2'!$D:$D=$B134)*('DRAFT 2'!$A:$A&gt;=DATE(2026,3,1))*('DRAFT 2'!$A:$A&lt;DATE(2026,IF(3=12,3+1,3+1),1)),'DRAFT 2'!$A:$A),"")</f>
        <v/>
      </c>
      <c r="DK134">
        <f>COUNTIFS('DRAFT 2'!$D:$D,$B134,'DRAFT 2'!$A:$A,"&gt;="&amp;DATE(2026,3,1),'DRAFT 2'!$A:$A,"&lt;="&amp;DATE(2026,3,7))</f>
        <v/>
      </c>
      <c r="DL134">
        <f>COUNTIFS('DRAFT 2'!$D:$D,$B134,'DRAFT 2'!$A:$A,"&gt;="&amp;DATE(2026,3,8),'DRAFT 2'!$A:$A,"&lt;="&amp;DATE(2026,3,14))</f>
        <v/>
      </c>
      <c r="DM134">
        <f>COUNTIFS('DRAFT 2'!$D:$D,$B134,'DRAFT 2'!$A:$A,"&gt;="&amp;DATE(2026,3,15),'DRAFT 2'!$A:$A,"&lt;="&amp;DATE(2026,3,21))</f>
        <v/>
      </c>
      <c r="DN134">
        <f>COUNTIFS('DRAFT 2'!$D:$D,$B134,'DRAFT 2'!$A:$A,"&gt;="&amp;DATE(2026,3,22),'DRAFT 2'!$A:$A,"&lt;"&amp;DATE(2026,IF(3=12,3+1,3+1),1))</f>
        <v/>
      </c>
      <c r="DO134">
        <f>SUM(DK134:DN134)</f>
        <v/>
      </c>
      <c r="DZ134">
        <f>IFERROR(LOOKUP(2,1/('DRAFT 2'!$D:$D=$B134)*('DRAFT 2'!$A:$A&gt;=DATE(2026,4,1))*('DRAFT 2'!$A:$A&lt;DATE(2026,IF(4=12,4+1,4+1),1)),'DRAFT 2'!$A:$A),"")</f>
        <v/>
      </c>
      <c r="EA134">
        <f>COUNTIFS('DRAFT 2'!$D:$D,$B134,'DRAFT 2'!$A:$A,"&gt;="&amp;DATE(2026,4,1),'DRAFT 2'!$A:$A,"&lt;="&amp;DATE(2026,4,7))</f>
        <v/>
      </c>
      <c r="EB134">
        <f>COUNTIFS('DRAFT 2'!$D:$D,$B134,'DRAFT 2'!$A:$A,"&gt;="&amp;DATE(2026,4,8),'DRAFT 2'!$A:$A,"&lt;="&amp;DATE(2026,4,14))</f>
        <v/>
      </c>
      <c r="EC134">
        <f>COUNTIFS('DRAFT 2'!$D:$D,$B134,'DRAFT 2'!$A:$A,"&gt;="&amp;DATE(2026,4,15),'DRAFT 2'!$A:$A,"&lt;="&amp;DATE(2026,4,21))</f>
        <v/>
      </c>
      <c r="ED134">
        <f>COUNTIFS('DRAFT 2'!$D:$D,$B134,'DRAFT 2'!$A:$A,"&gt;="&amp;DATE(2026,4,22),'DRAFT 2'!$A:$A,"&lt;"&amp;DATE(2026,IF(4=12,4+1,4+1),1))</f>
        <v/>
      </c>
      <c r="EE134">
        <f>SUM(EA134:ED134)</f>
        <v/>
      </c>
      <c r="EO134">
        <f>IFERROR(LOOKUP(2,1/('DRAFT 2'!$D:$D=$B134)*('DRAFT 2'!$A:$A&gt;=DATE(2026,5,1))*('DRAFT 2'!$A:$A&lt;DATE(2026,IF(5=12,5+1,5+1),1)),'DRAFT 2'!$A:$A),"")</f>
        <v/>
      </c>
      <c r="EP134">
        <f>COUNTIFS('DRAFT 2'!$D:$D,$B134,'DRAFT 2'!$A:$A,"&gt;="&amp;DATE(2026,5,1),'DRAFT 2'!$A:$A,"&lt;="&amp;DATE(2026,5,7))</f>
        <v/>
      </c>
      <c r="EQ134">
        <f>COUNTIFS('DRAFT 2'!$D:$D,$B134,'DRAFT 2'!$A:$A,"&gt;="&amp;DATE(2026,5,8),'DRAFT 2'!$A:$A,"&lt;="&amp;DATE(2026,5,14))</f>
        <v/>
      </c>
      <c r="ER134">
        <f>COUNTIFS('DRAFT 2'!$D:$D,$B134,'DRAFT 2'!$A:$A,"&gt;="&amp;DATE(2026,5,15),'DRAFT 2'!$A:$A,"&lt;="&amp;DATE(2026,5,21))</f>
        <v/>
      </c>
      <c r="ES134">
        <f>COUNTIFS('DRAFT 2'!$D:$D,$B134,'DRAFT 2'!$A:$A,"&gt;="&amp;DATE(2026,5,22),'DRAFT 2'!$A:$A,"&lt;"&amp;DATE(2026,IF(5=12,5+1,5+1),1))</f>
        <v/>
      </c>
      <c r="ET134">
        <f>SUM(EP134:ES134)</f>
        <v/>
      </c>
      <c r="FD134">
        <f>IFERROR(LOOKUP(2,1/('DRAFT 2'!$D:$D=$B134)*('DRAFT 2'!$A:$A&gt;=DATE(2026,6,1))*('DRAFT 2'!$A:$A&lt;DATE(2026,IF(6=12,6+1,6+1),1)),'DRAFT 2'!$A:$A),"")</f>
        <v/>
      </c>
      <c r="FE134">
        <f>COUNTIFS('DRAFT 2'!$D:$D,$B134,'DRAFT 2'!$A:$A,"&gt;="&amp;DATE(2026,6,1),'DRAFT 2'!$A:$A,"&lt;="&amp;DATE(2026,6,7))</f>
        <v/>
      </c>
      <c r="FF134">
        <f>COUNTIFS('DRAFT 2'!$D:$D,$B134,'DRAFT 2'!$A:$A,"&gt;="&amp;DATE(2026,6,8),'DRAFT 2'!$A:$A,"&lt;="&amp;DATE(2026,6,14))</f>
        <v/>
      </c>
      <c r="FG134">
        <f>COUNTIFS('DRAFT 2'!$D:$D,$B134,'DRAFT 2'!$A:$A,"&gt;="&amp;DATE(2026,6,15),'DRAFT 2'!$A:$A,"&lt;="&amp;DATE(2026,6,21))</f>
        <v/>
      </c>
      <c r="FH134">
        <f>COUNTIFS('DRAFT 2'!$D:$D,$B134,'DRAFT 2'!$A:$A,"&gt;="&amp;DATE(2026,6,22),'DRAFT 2'!$A:$A,"&lt;"&amp;DATE(2026,IF(6=12,6+1,6+1),1))</f>
        <v/>
      </c>
      <c r="FI134">
        <f>SUM(FE134:FH134)</f>
        <v/>
      </c>
      <c r="FT134">
        <f>IFERROR(LOOKUP(2,1/('DRAFT 2'!$D:$D=$B134)*('DRAFT 2'!$A:$A&gt;=DATE(2026,7,1))*('DRAFT 2'!$A:$A&lt;DATE(2026,IF(7=12,7+1,7+1),1)),'DRAFT 2'!$A:$A),"")</f>
        <v/>
      </c>
      <c r="FU134">
        <f>COUNTIFS('DRAFT 2'!$D:$D,$B134,'DRAFT 2'!$A:$A,"&gt;="&amp;DATE(2026,7,1),'DRAFT 2'!$A:$A,"&lt;="&amp;DATE(2026,7,7))</f>
        <v/>
      </c>
      <c r="FV134">
        <f>COUNTIFS('DRAFT 2'!$D:$D,$B134,'DRAFT 2'!$A:$A,"&gt;="&amp;DATE(2026,7,8),'DRAFT 2'!$A:$A,"&lt;="&amp;DATE(2026,7,14))</f>
        <v/>
      </c>
      <c r="FW134">
        <f>COUNTIFS('DRAFT 2'!$D:$D,$B134,'DRAFT 2'!$A:$A,"&gt;="&amp;DATE(2026,7,15),'DRAFT 2'!$A:$A,"&lt;="&amp;DATE(2026,7,21))</f>
        <v/>
      </c>
      <c r="FX134">
        <f>COUNTIFS('DRAFT 2'!$D:$D,$B134,'DRAFT 2'!$A:$A,"&gt;="&amp;DATE(2026,7,22),'DRAFT 2'!$A:$A,"&lt;"&amp;DATE(2026,IF(7=12,7+1,7+1),1))</f>
        <v/>
      </c>
      <c r="FY134">
        <f>SUM(FU134:FX134)</f>
        <v/>
      </c>
      <c r="GI134">
        <f>IFERROR(LOOKUP(2,1/('DRAFT 2'!$D:$D=$B134)*('DRAFT 2'!$A:$A&gt;=DATE(2026,8,1))*('DRAFT 2'!$A:$A&lt;DATE(2026,IF(8=12,8+1,8+1),1)),'DRAFT 2'!$A:$A),"")</f>
        <v/>
      </c>
      <c r="GJ134">
        <f>COUNTIFS('DRAFT 2'!$D:$D,$B134,'DRAFT 2'!$A:$A,"&gt;="&amp;DATE(2026,8,1),'DRAFT 2'!$A:$A,"&lt;="&amp;DATE(2026,8,7))</f>
        <v/>
      </c>
      <c r="GK134">
        <f>COUNTIFS('DRAFT 2'!$D:$D,$B134,'DRAFT 2'!$A:$A,"&gt;="&amp;DATE(2026,8,8),'DRAFT 2'!$A:$A,"&lt;="&amp;DATE(2026,8,14))</f>
        <v/>
      </c>
      <c r="GL134">
        <f>COUNTIFS('DRAFT 2'!$D:$D,$B134,'DRAFT 2'!$A:$A,"&gt;="&amp;DATE(2026,8,15),'DRAFT 2'!$A:$A,"&lt;="&amp;DATE(2026,8,21))</f>
        <v/>
      </c>
      <c r="GM134">
        <f>COUNTIFS('DRAFT 2'!$D:$D,$B134,'DRAFT 2'!$A:$A,"&gt;="&amp;DATE(2026,8,22),'DRAFT 2'!$A:$A,"&lt;"&amp;DATE(2026,IF(8=12,8+1,8+1),1))</f>
        <v/>
      </c>
      <c r="GN134">
        <f>SUM(GJ134:GM134)</f>
        <v/>
      </c>
      <c r="GX134">
        <f>IFERROR(LOOKUP(2,1/('DRAFT 2'!$D:$D=$B134)*('DRAFT 2'!$A:$A&gt;=DATE(2026,9,1))*('DRAFT 2'!$A:$A&lt;DATE(2026,IF(9=12,9+1,9+1),1)),'DRAFT 2'!$A:$A),"")</f>
        <v/>
      </c>
      <c r="GY134">
        <f>COUNTIFS('DRAFT 2'!$D:$D,$B134,'DRAFT 2'!$A:$A,"&gt;="&amp;DATE(2026,9,1),'DRAFT 2'!$A:$A,"&lt;="&amp;DATE(2026,9,7))</f>
        <v/>
      </c>
      <c r="GZ134">
        <f>COUNTIFS('DRAFT 2'!$D:$D,$B134,'DRAFT 2'!$A:$A,"&gt;="&amp;DATE(2026,9,8),'DRAFT 2'!$A:$A,"&lt;="&amp;DATE(2026,9,14))</f>
        <v/>
      </c>
      <c r="HA134">
        <f>COUNTIFS('DRAFT 2'!$D:$D,$B134,'DRAFT 2'!$A:$A,"&gt;="&amp;DATE(2026,9,15),'DRAFT 2'!$A:$A,"&lt;="&amp;DATE(2026,9,21))</f>
        <v/>
      </c>
      <c r="HB134">
        <f>COUNTIFS('DRAFT 2'!$D:$D,$B134,'DRAFT 2'!$A:$A,"&gt;="&amp;DATE(2026,9,22),'DRAFT 2'!$A:$A,"&lt;"&amp;DATE(2026,IF(9=12,9+1,9+1),1))</f>
        <v/>
      </c>
      <c r="HC134">
        <f>SUM(GY134:HB134)</f>
        <v/>
      </c>
      <c r="HN134">
        <f>IFERROR(LOOKUP(2,1/('DRAFT 2'!$D:$D=$B134)*('DRAFT 2'!$A:$A&gt;=DATE(2026,10,1))*('DRAFT 2'!$A:$A&lt;DATE(2026,IF(10=12,10+1,10+1),1)),'DRAFT 2'!$A:$A),"")</f>
        <v/>
      </c>
      <c r="HO134">
        <f>COUNTIFS('DRAFT 2'!$D:$D,$B134,'DRAFT 2'!$A:$A,"&gt;="&amp;DATE(2026,10,1),'DRAFT 2'!$A:$A,"&lt;="&amp;DATE(2026,10,7))</f>
        <v/>
      </c>
      <c r="HP134">
        <f>COUNTIFS('DRAFT 2'!$D:$D,$B134,'DRAFT 2'!$A:$A,"&gt;="&amp;DATE(2026,10,8),'DRAFT 2'!$A:$A,"&lt;="&amp;DATE(2026,10,14))</f>
        <v/>
      </c>
      <c r="HQ134">
        <f>COUNTIFS('DRAFT 2'!$D:$D,$B134,'DRAFT 2'!$A:$A,"&gt;="&amp;DATE(2026,10,15),'DRAFT 2'!$A:$A,"&lt;="&amp;DATE(2026,10,21))</f>
        <v/>
      </c>
      <c r="HR134">
        <f>COUNTIFS('DRAFT 2'!$D:$D,$B134,'DRAFT 2'!$A:$A,"&gt;="&amp;DATE(2026,10,22),'DRAFT 2'!$A:$A,"&lt;"&amp;DATE(2026,IF(10=12,10+1,10+1),1))</f>
        <v/>
      </c>
      <c r="HS134">
        <f>SUM(HO134:HR134)</f>
        <v/>
      </c>
      <c r="IC134">
        <f>IFERROR(LOOKUP(2,1/('DRAFT 2'!$D:$D=$B134)*('DRAFT 2'!$A:$A&gt;=DATE(2026,11,1))*('DRAFT 2'!$A:$A&lt;DATE(2026,IF(11=12,11+1,11+1),1)),'DRAFT 2'!$A:$A),"")</f>
        <v/>
      </c>
      <c r="ID134">
        <f>COUNTIFS('DRAFT 2'!$D:$D,$B134,'DRAFT 2'!$A:$A,"&gt;="&amp;DATE(2026,11,1),'DRAFT 2'!$A:$A,"&lt;="&amp;DATE(2026,11,7))</f>
        <v/>
      </c>
      <c r="IE134">
        <f>COUNTIFS('DRAFT 2'!$D:$D,$B134,'DRAFT 2'!$A:$A,"&gt;="&amp;DATE(2026,11,8),'DRAFT 2'!$A:$A,"&lt;="&amp;DATE(2026,11,14))</f>
        <v/>
      </c>
      <c r="IF134">
        <f>COUNTIFS('DRAFT 2'!$D:$D,$B134,'DRAFT 2'!$A:$A,"&gt;="&amp;DATE(2026,11,15),'DRAFT 2'!$A:$A,"&lt;="&amp;DATE(2026,11,21))</f>
        <v/>
      </c>
      <c r="IG134">
        <f>COUNTIFS('DRAFT 2'!$D:$D,$B134,'DRAFT 2'!$A:$A,"&gt;="&amp;DATE(2026,11,22),'DRAFT 2'!$A:$A,"&lt;"&amp;DATE(2026,IF(11=12,11+1,11+1),1))</f>
        <v/>
      </c>
      <c r="IH134">
        <f>SUM(ID134:IG134)</f>
        <v/>
      </c>
      <c r="IR134">
        <f>IFERROR(LOOKUP(2,1/('DRAFT 2'!$D:$D=$B134)*('DRAFT 2'!$A:$A&gt;=DATE(2026,12,1))*('DRAFT 2'!$A:$A&lt;DATE(2026,IF(12=12,12+1,12+1),1)),'DRAFT 2'!$A:$A),"")</f>
        <v/>
      </c>
      <c r="IS134">
        <f>COUNTIFS('DRAFT 2'!$D:$D,$B134,'DRAFT 2'!$A:$A,"&gt;="&amp;DATE(2026,12,1),'DRAFT 2'!$A:$A,"&lt;="&amp;DATE(2026,12,7))</f>
        <v/>
      </c>
      <c r="IT134">
        <f>COUNTIFS('DRAFT 2'!$D:$D,$B134,'DRAFT 2'!$A:$A,"&gt;="&amp;DATE(2026,12,8),'DRAFT 2'!$A:$A,"&lt;="&amp;DATE(2026,12,14))</f>
        <v/>
      </c>
      <c r="IU134">
        <f>COUNTIFS('DRAFT 2'!$D:$D,$B134,'DRAFT 2'!$A:$A,"&gt;="&amp;DATE(2026,12,15),'DRAFT 2'!$A:$A,"&lt;="&amp;DATE(2026,12,21))</f>
        <v/>
      </c>
      <c r="IV134">
        <f>COUNTIFS('DRAFT 2'!$D:$D,$B134,'DRAFT 2'!$A:$A,"&gt;="&amp;DATE(2026,12,22),'DRAFT 2'!$A:$A,"&lt;"&amp;DATE(2026,IF(12=12,12+1,12+1),1))</f>
        <v/>
      </c>
      <c r="IW134">
        <f>SUM(IS134:IV134)</f>
        <v/>
      </c>
    </row>
    <row r="135">
      <c r="A135">
        <f>IFERROR(INDEX('DRAFT 1'!$A:$A,MATCH($B135,'DRAFT 1'!$B:$B,0)),"")</f>
        <v/>
      </c>
      <c r="C135">
        <f>IFERROR(INDEX('DRAFT 1'!$C:$C,MATCH($B135,'DRAFT 1'!$B:$B,0)),"")</f>
        <v/>
      </c>
      <c r="D135">
        <f>IFERROR(INDEX('DRAFT 1'!$D:$D,MATCH($B135,'DRAFT 1'!$B:$B,0)),"")</f>
        <v/>
      </c>
      <c r="E135">
        <f>IFERROR(INDEX('DRAFT 1'!$E:$E,MATCH($B135,'DRAFT 1'!$B:$B,0)),"")</f>
        <v/>
      </c>
      <c r="F135">
        <f>IFERROR(INDEX('DRAFT 1'!$F:$F,MATCH($B135,'DRAFT 1'!$B:$B,0)),"")</f>
        <v/>
      </c>
      <c r="G135">
        <f>IFERROR(INDEX('DRAFT 1'!$G:$G,MATCH($B135,'DRAFT 1'!$B:$B,0)),"")</f>
        <v/>
      </c>
      <c r="H135">
        <f>IFERROR(INDEX('DRAFT 1'!$H:$H,MATCH($B135,'DRAFT 1'!$B:$B,0)),"")</f>
        <v/>
      </c>
      <c r="I135">
        <f>IFERROR(INDEX('DRAFT 1'!$I:$I,MATCH($B135,'DRAFT 1'!$B:$B,0)),"")</f>
        <v/>
      </c>
      <c r="K135">
        <f>IFERROR(INDEX('DRAFT 1'!$AL:$AL,MATCH($B135,'DRAFT 1'!$B:$B,0)),"")</f>
        <v/>
      </c>
      <c r="L135">
        <f>IFERROR(INDEX('DRAFT 1'!$J:$J,MATCH($B135,'DRAFT 1'!$B:$B,0)),"")</f>
        <v/>
      </c>
      <c r="M135">
        <f>IFERROR(INDEX('DRAFT 1'!$K:$K,MATCH($B135,'DRAFT 1'!$B:$B,0)),"")</f>
        <v/>
      </c>
      <c r="P135">
        <f>IFERROR(INDEX('DRAFT 1'!$L:$L,MATCH($B135,'DRAFT 1'!$B:$B,0)),"")</f>
        <v/>
      </c>
      <c r="Q135">
        <f>IFERROR(INDEX('DRAFT 1'!$M:$M,MATCH($B135,'DRAFT 1'!$B:$B,0)),"")</f>
        <v/>
      </c>
      <c r="R135">
        <f>IFERROR(INDEX('DRAFT 1'!$N:$N,MATCH($B135,'DRAFT 1'!$B:$B,0)),"")</f>
        <v/>
      </c>
      <c r="S135">
        <f>IFERROR(INDEX('DRAFT 1'!$O:$O,MATCH($B135,'DRAFT 1'!$B:$B,0)),"")</f>
        <v/>
      </c>
      <c r="T135">
        <f>IFERROR(INDEX('DRAFT 1'!$P:$P,MATCH($B135,'DRAFT 1'!$B:$B,0)),"")</f>
        <v/>
      </c>
      <c r="U135">
        <f>IFERROR(INDEX('DRAFT 1'!$Q:$Q,MATCH($B135,'DRAFT 1'!$B:$B,0)),"")</f>
        <v/>
      </c>
      <c r="V135">
        <f>IFERROR(INDEX('DRAFT 1'!$R:$R,MATCH($B135,'DRAFT 1'!$B:$B,0)),"")</f>
        <v/>
      </c>
      <c r="W135">
        <f>IFERROR(INDEX('DRAFT 1'!$S:$S,MATCH($B135,'DRAFT 1'!$B:$B,0)),"")</f>
        <v/>
      </c>
      <c r="X135">
        <f>IFERROR(INDEX('DRAFT 1'!$T:$T,MATCH($B135,'DRAFT 1'!$B:$B,0)),"")</f>
        <v/>
      </c>
      <c r="Z135">
        <f>IFERROR(INDEX('DRAFT 1'!$U:$U,MATCH($B135,'DRAFT 1'!$B:$B,0)),"")</f>
        <v/>
      </c>
      <c r="AA135">
        <f>IFERROR(INDEX('DRAFT 1'!$V:$V,MATCH($B135,'DRAFT 1'!$B:$B,0)),"")</f>
        <v/>
      </c>
      <c r="AB135">
        <f>IFERROR(INDEX('DRAFT 1'!$W:$W,MATCH($B135,'DRAFT 1'!$B:$B,0)),"")</f>
        <v/>
      </c>
      <c r="AC135">
        <f>IFERROR(INDEX('DRAFT 1'!$X:$X,MATCH($B135,'DRAFT 1'!$B:$B,0)),"")</f>
        <v/>
      </c>
      <c r="AD135">
        <f>IFERROR(INDEX('DRAFT 1'!$Y:$Y,MATCH($B135,'DRAFT 1'!$B:$B,0)),"")</f>
        <v/>
      </c>
      <c r="AE135">
        <f>IFERROR(INDEX('DRAFT 1'!$Z:$Z,MATCH($B135,'DRAFT 1'!$B:$B,0)),"")</f>
        <v/>
      </c>
      <c r="AF135">
        <f>IFERROR(INDEX('DRAFT 1'!$AA:$AA,MATCH($B135,'DRAFT 1'!$B:$B,0)),"")</f>
        <v/>
      </c>
      <c r="AG135">
        <f>IFERROR(INDEX('DRAFT 1'!$AB:$AB,MATCH($B135,'DRAFT 1'!$B:$B,0)),"")</f>
        <v/>
      </c>
      <c r="AH135">
        <f>IFERROR(INDEX('DRAFT 1'!$AC:$AC,MATCH($B135,'DRAFT 1'!$B:$B,0)),"")</f>
        <v/>
      </c>
      <c r="AI135">
        <f>IFERROR(INDEX('DRAFT 1'!$AD:$AD,MATCH($B135,'DRAFT 1'!$B:$B,0)),"")</f>
        <v/>
      </c>
      <c r="AJ135">
        <f>IFERROR(INDEX('DRAFT 1'!$AE:$AE,MATCH($B135,'DRAFT 1'!$B:$B,0)),"")</f>
        <v/>
      </c>
      <c r="AK135">
        <f>IFERROR(INDEX('DRAFT 1'!$AG:$AG,MATCH($B135,'DRAFT 1'!$B:$B,0)),"")</f>
        <v/>
      </c>
      <c r="AL135">
        <f>IFERROR(INDEX('DRAFT 1'!$AH:$AH,MATCH($B135,'DRAFT 1'!$B:$B,0)),"")</f>
        <v/>
      </c>
      <c r="AM135">
        <f>IFERROR(INDEX('DRAFT 1'!$AI:$AI,MATCH($B135,'DRAFT 1'!$B:$B,0)),"")</f>
        <v/>
      </c>
      <c r="AN135">
        <f>IFERROR(INDEX('DRAFT 1'!$AJ:$AJ,MATCH($B135,'DRAFT 1'!$B:$B,0)),"")</f>
        <v/>
      </c>
      <c r="AO135">
        <f>IFERROR(Y135/AN135,0)</f>
        <v/>
      </c>
      <c r="AP135">
        <f>IFERROR(INDEX('DRAFT 1'!$AK:$AK,MATCH($B135,'DRAFT 1'!$B:$B,0)),"")</f>
        <v/>
      </c>
      <c r="AR135">
        <f>IFERROR(LOOKUP(2,1/('DRAFT 2'!$D:$D=$B135),'DRAFT 2'!$I:$I),"")</f>
        <v/>
      </c>
      <c r="AS135">
        <f>IFERROR(LOOKUP(2,1/('DRAFT 2'!$D:$D=$B135),'DRAFT 2'!$T:$T),"")</f>
        <v/>
      </c>
      <c r="AT135">
        <f>IFERROR(LOOKUP(2,1/('DRAFT 2'!$D:$D=$B135),'DRAFT 2'!$A:$A),"")</f>
        <v/>
      </c>
      <c r="AU135">
        <f>IFERROR(LOOKUP(2,1/('DRAFT 2'!$D:$D=$B135),'DRAFT 2'!$R:$R),"")</f>
        <v/>
      </c>
      <c r="AV135">
        <f>IFERROR(LOOKUP(2,1/('DRAFT 2'!$D:$D=$B135),'DRAFT 2'!$S:$S),"")</f>
        <v/>
      </c>
      <c r="AX135">
        <f>IFERROR(LOOKUP(2,1/('DRAFT 2'!$D:$D=$B135),'DRAFT 2'!$M:$M),"")</f>
        <v/>
      </c>
      <c r="AY135">
        <f>IFERROR(LOOKUP(2,1/('DRAFT 2'!$D:$D=$B135),'DRAFT 2'!$K:$K),"")</f>
        <v/>
      </c>
      <c r="BG135">
        <f>IFERROR(LOOKUP(2,1/('DRAFT 2'!$D:$D=$B135),'DRAFT 2'!$U:$U),"")</f>
        <v/>
      </c>
      <c r="BH135">
        <f>IFERROR(LOOKUP(2,1/('DRAFT 2'!$D:$D=$B135),'DRAFT 2'!$V:$V),"")</f>
        <v/>
      </c>
      <c r="CE135">
        <f>IFERROR(AJ135,0)</f>
        <v/>
      </c>
      <c r="CF135">
        <f>IFERROR(LOOKUP(2,1/('DRAFT 2'!$D:$D=$B135)*('DRAFT 2'!$A:$A&gt;=DATE(2026,1,1))*('DRAFT 2'!$A:$A&lt;DATE(2026,IF(1=12,1+1,1+1),1)),'DRAFT 2'!$A:$A),"")</f>
        <v/>
      </c>
      <c r="CG135">
        <f>COUNTIFS('DRAFT 2'!$D:$D,$B135,'DRAFT 2'!$A:$A,"&gt;="&amp;DATE(2026,1,1),'DRAFT 2'!$A:$A,"&lt;="&amp;DATE(2026,1,7))</f>
        <v/>
      </c>
      <c r="CH135">
        <f>COUNTIFS('DRAFT 2'!$D:$D,$B135,'DRAFT 2'!$A:$A,"&gt;="&amp;DATE(2026,1,8),'DRAFT 2'!$A:$A,"&lt;="&amp;DATE(2026,1,14))</f>
        <v/>
      </c>
      <c r="CI135">
        <f>COUNTIFS('DRAFT 2'!$D:$D,$B135,'DRAFT 2'!$A:$A,"&gt;="&amp;DATE(2026,1,15),'DRAFT 2'!$A:$A,"&lt;="&amp;DATE(2026,1,21))</f>
        <v/>
      </c>
      <c r="CJ135">
        <f>COUNTIFS('DRAFT 2'!$D:$D,$B135,'DRAFT 2'!$A:$A,"&gt;="&amp;DATE(2026,1,22),'DRAFT 2'!$A:$A,"&lt;"&amp;DATE(2026,IF(1=12,1+1,1+1),1))</f>
        <v/>
      </c>
      <c r="CK135">
        <f>SUM(CG135:CJ135)</f>
        <v/>
      </c>
      <c r="CT135" t="n">
        <v>0</v>
      </c>
      <c r="CU135">
        <f>IFERROR(LOOKUP(2,1/('DRAFT 2'!$D:$D=$B135)*('DRAFT 2'!$A:$A&gt;=DATE(2026,2,1))*('DRAFT 2'!$A:$A&lt;DATE(2026,IF(2=12,2+1,2+1),1)),'DRAFT 2'!$A:$A),"")</f>
        <v/>
      </c>
      <c r="CV135">
        <f>COUNTIFS('DRAFT 2'!$D:$D,$B135,'DRAFT 2'!$A:$A,"&gt;="&amp;DATE(2026,2,1),'DRAFT 2'!$A:$A,"&lt;="&amp;DATE(2026,2,7))</f>
        <v/>
      </c>
      <c r="CW135">
        <f>COUNTIFS('DRAFT 2'!$D:$D,$B135,'DRAFT 2'!$A:$A,"&gt;="&amp;DATE(2026,2,8),'DRAFT 2'!$A:$A,"&lt;="&amp;DATE(2026,2,14))</f>
        <v/>
      </c>
      <c r="CX135">
        <f>COUNTIFS('DRAFT 2'!$D:$D,$B135,'DRAFT 2'!$A:$A,"&gt;="&amp;DATE(2026,2,15),'DRAFT 2'!$A:$A,"&lt;="&amp;DATE(2026,2,21))</f>
        <v/>
      </c>
      <c r="CY135">
        <f>COUNTIFS('DRAFT 2'!$D:$D,$B135,'DRAFT 2'!$A:$A,"&gt;="&amp;DATE(2026,2,22),'DRAFT 2'!$A:$A,"&lt;"&amp;DATE(2026,IF(2=12,2+1,2+1),1))</f>
        <v/>
      </c>
      <c r="CZ135">
        <f>SUM(CV135:CY135)</f>
        <v/>
      </c>
      <c r="DJ135">
        <f>IFERROR(LOOKUP(2,1/('DRAFT 2'!$D:$D=$B135)*('DRAFT 2'!$A:$A&gt;=DATE(2026,3,1))*('DRAFT 2'!$A:$A&lt;DATE(2026,IF(3=12,3+1,3+1),1)),'DRAFT 2'!$A:$A),"")</f>
        <v/>
      </c>
      <c r="DK135">
        <f>COUNTIFS('DRAFT 2'!$D:$D,$B135,'DRAFT 2'!$A:$A,"&gt;="&amp;DATE(2026,3,1),'DRAFT 2'!$A:$A,"&lt;="&amp;DATE(2026,3,7))</f>
        <v/>
      </c>
      <c r="DL135">
        <f>COUNTIFS('DRAFT 2'!$D:$D,$B135,'DRAFT 2'!$A:$A,"&gt;="&amp;DATE(2026,3,8),'DRAFT 2'!$A:$A,"&lt;="&amp;DATE(2026,3,14))</f>
        <v/>
      </c>
      <c r="DM135">
        <f>COUNTIFS('DRAFT 2'!$D:$D,$B135,'DRAFT 2'!$A:$A,"&gt;="&amp;DATE(2026,3,15),'DRAFT 2'!$A:$A,"&lt;="&amp;DATE(2026,3,21))</f>
        <v/>
      </c>
      <c r="DN135">
        <f>COUNTIFS('DRAFT 2'!$D:$D,$B135,'DRAFT 2'!$A:$A,"&gt;="&amp;DATE(2026,3,22),'DRAFT 2'!$A:$A,"&lt;"&amp;DATE(2026,IF(3=12,3+1,3+1),1))</f>
        <v/>
      </c>
      <c r="DO135">
        <f>SUM(DK135:DN135)</f>
        <v/>
      </c>
      <c r="DZ135">
        <f>IFERROR(LOOKUP(2,1/('DRAFT 2'!$D:$D=$B135)*('DRAFT 2'!$A:$A&gt;=DATE(2026,4,1))*('DRAFT 2'!$A:$A&lt;DATE(2026,IF(4=12,4+1,4+1),1)),'DRAFT 2'!$A:$A),"")</f>
        <v/>
      </c>
      <c r="EA135">
        <f>COUNTIFS('DRAFT 2'!$D:$D,$B135,'DRAFT 2'!$A:$A,"&gt;="&amp;DATE(2026,4,1),'DRAFT 2'!$A:$A,"&lt;="&amp;DATE(2026,4,7))</f>
        <v/>
      </c>
      <c r="EB135">
        <f>COUNTIFS('DRAFT 2'!$D:$D,$B135,'DRAFT 2'!$A:$A,"&gt;="&amp;DATE(2026,4,8),'DRAFT 2'!$A:$A,"&lt;="&amp;DATE(2026,4,14))</f>
        <v/>
      </c>
      <c r="EC135">
        <f>COUNTIFS('DRAFT 2'!$D:$D,$B135,'DRAFT 2'!$A:$A,"&gt;="&amp;DATE(2026,4,15),'DRAFT 2'!$A:$A,"&lt;="&amp;DATE(2026,4,21))</f>
        <v/>
      </c>
      <c r="ED135">
        <f>COUNTIFS('DRAFT 2'!$D:$D,$B135,'DRAFT 2'!$A:$A,"&gt;="&amp;DATE(2026,4,22),'DRAFT 2'!$A:$A,"&lt;"&amp;DATE(2026,IF(4=12,4+1,4+1),1))</f>
        <v/>
      </c>
      <c r="EE135">
        <f>SUM(EA135:ED135)</f>
        <v/>
      </c>
      <c r="EO135">
        <f>IFERROR(LOOKUP(2,1/('DRAFT 2'!$D:$D=$B135)*('DRAFT 2'!$A:$A&gt;=DATE(2026,5,1))*('DRAFT 2'!$A:$A&lt;DATE(2026,IF(5=12,5+1,5+1),1)),'DRAFT 2'!$A:$A),"")</f>
        <v/>
      </c>
      <c r="EP135">
        <f>COUNTIFS('DRAFT 2'!$D:$D,$B135,'DRAFT 2'!$A:$A,"&gt;="&amp;DATE(2026,5,1),'DRAFT 2'!$A:$A,"&lt;="&amp;DATE(2026,5,7))</f>
        <v/>
      </c>
      <c r="EQ135">
        <f>COUNTIFS('DRAFT 2'!$D:$D,$B135,'DRAFT 2'!$A:$A,"&gt;="&amp;DATE(2026,5,8),'DRAFT 2'!$A:$A,"&lt;="&amp;DATE(2026,5,14))</f>
        <v/>
      </c>
      <c r="ER135">
        <f>COUNTIFS('DRAFT 2'!$D:$D,$B135,'DRAFT 2'!$A:$A,"&gt;="&amp;DATE(2026,5,15),'DRAFT 2'!$A:$A,"&lt;="&amp;DATE(2026,5,21))</f>
        <v/>
      </c>
      <c r="ES135">
        <f>COUNTIFS('DRAFT 2'!$D:$D,$B135,'DRAFT 2'!$A:$A,"&gt;="&amp;DATE(2026,5,22),'DRAFT 2'!$A:$A,"&lt;"&amp;DATE(2026,IF(5=12,5+1,5+1),1))</f>
        <v/>
      </c>
      <c r="ET135">
        <f>SUM(EP135:ES135)</f>
        <v/>
      </c>
      <c r="FD135">
        <f>IFERROR(LOOKUP(2,1/('DRAFT 2'!$D:$D=$B135)*('DRAFT 2'!$A:$A&gt;=DATE(2026,6,1))*('DRAFT 2'!$A:$A&lt;DATE(2026,IF(6=12,6+1,6+1),1)),'DRAFT 2'!$A:$A),"")</f>
        <v/>
      </c>
      <c r="FE135">
        <f>COUNTIFS('DRAFT 2'!$D:$D,$B135,'DRAFT 2'!$A:$A,"&gt;="&amp;DATE(2026,6,1),'DRAFT 2'!$A:$A,"&lt;="&amp;DATE(2026,6,7))</f>
        <v/>
      </c>
      <c r="FF135">
        <f>COUNTIFS('DRAFT 2'!$D:$D,$B135,'DRAFT 2'!$A:$A,"&gt;="&amp;DATE(2026,6,8),'DRAFT 2'!$A:$A,"&lt;="&amp;DATE(2026,6,14))</f>
        <v/>
      </c>
      <c r="FG135">
        <f>COUNTIFS('DRAFT 2'!$D:$D,$B135,'DRAFT 2'!$A:$A,"&gt;="&amp;DATE(2026,6,15),'DRAFT 2'!$A:$A,"&lt;="&amp;DATE(2026,6,21))</f>
        <v/>
      </c>
      <c r="FH135">
        <f>COUNTIFS('DRAFT 2'!$D:$D,$B135,'DRAFT 2'!$A:$A,"&gt;="&amp;DATE(2026,6,22),'DRAFT 2'!$A:$A,"&lt;"&amp;DATE(2026,IF(6=12,6+1,6+1),1))</f>
        <v/>
      </c>
      <c r="FI135">
        <f>SUM(FE135:FH135)</f>
        <v/>
      </c>
      <c r="FT135">
        <f>IFERROR(LOOKUP(2,1/('DRAFT 2'!$D:$D=$B135)*('DRAFT 2'!$A:$A&gt;=DATE(2026,7,1))*('DRAFT 2'!$A:$A&lt;DATE(2026,IF(7=12,7+1,7+1),1)),'DRAFT 2'!$A:$A),"")</f>
        <v/>
      </c>
      <c r="FU135">
        <f>COUNTIFS('DRAFT 2'!$D:$D,$B135,'DRAFT 2'!$A:$A,"&gt;="&amp;DATE(2026,7,1),'DRAFT 2'!$A:$A,"&lt;="&amp;DATE(2026,7,7))</f>
        <v/>
      </c>
      <c r="FV135">
        <f>COUNTIFS('DRAFT 2'!$D:$D,$B135,'DRAFT 2'!$A:$A,"&gt;="&amp;DATE(2026,7,8),'DRAFT 2'!$A:$A,"&lt;="&amp;DATE(2026,7,14))</f>
        <v/>
      </c>
      <c r="FW135">
        <f>COUNTIFS('DRAFT 2'!$D:$D,$B135,'DRAFT 2'!$A:$A,"&gt;="&amp;DATE(2026,7,15),'DRAFT 2'!$A:$A,"&lt;="&amp;DATE(2026,7,21))</f>
        <v/>
      </c>
      <c r="FX135">
        <f>COUNTIFS('DRAFT 2'!$D:$D,$B135,'DRAFT 2'!$A:$A,"&gt;="&amp;DATE(2026,7,22),'DRAFT 2'!$A:$A,"&lt;"&amp;DATE(2026,IF(7=12,7+1,7+1),1))</f>
        <v/>
      </c>
      <c r="FY135">
        <f>SUM(FU135:FX135)</f>
        <v/>
      </c>
      <c r="GI135">
        <f>IFERROR(LOOKUP(2,1/('DRAFT 2'!$D:$D=$B135)*('DRAFT 2'!$A:$A&gt;=DATE(2026,8,1))*('DRAFT 2'!$A:$A&lt;DATE(2026,IF(8=12,8+1,8+1),1)),'DRAFT 2'!$A:$A),"")</f>
        <v/>
      </c>
      <c r="GJ135">
        <f>COUNTIFS('DRAFT 2'!$D:$D,$B135,'DRAFT 2'!$A:$A,"&gt;="&amp;DATE(2026,8,1),'DRAFT 2'!$A:$A,"&lt;="&amp;DATE(2026,8,7))</f>
        <v/>
      </c>
      <c r="GK135">
        <f>COUNTIFS('DRAFT 2'!$D:$D,$B135,'DRAFT 2'!$A:$A,"&gt;="&amp;DATE(2026,8,8),'DRAFT 2'!$A:$A,"&lt;="&amp;DATE(2026,8,14))</f>
        <v/>
      </c>
      <c r="GL135">
        <f>COUNTIFS('DRAFT 2'!$D:$D,$B135,'DRAFT 2'!$A:$A,"&gt;="&amp;DATE(2026,8,15),'DRAFT 2'!$A:$A,"&lt;="&amp;DATE(2026,8,21))</f>
        <v/>
      </c>
      <c r="GM135">
        <f>COUNTIFS('DRAFT 2'!$D:$D,$B135,'DRAFT 2'!$A:$A,"&gt;="&amp;DATE(2026,8,22),'DRAFT 2'!$A:$A,"&lt;"&amp;DATE(2026,IF(8=12,8+1,8+1),1))</f>
        <v/>
      </c>
      <c r="GN135">
        <f>SUM(GJ135:GM135)</f>
        <v/>
      </c>
      <c r="GX135">
        <f>IFERROR(LOOKUP(2,1/('DRAFT 2'!$D:$D=$B135)*('DRAFT 2'!$A:$A&gt;=DATE(2026,9,1))*('DRAFT 2'!$A:$A&lt;DATE(2026,IF(9=12,9+1,9+1),1)),'DRAFT 2'!$A:$A),"")</f>
        <v/>
      </c>
      <c r="GY135">
        <f>COUNTIFS('DRAFT 2'!$D:$D,$B135,'DRAFT 2'!$A:$A,"&gt;="&amp;DATE(2026,9,1),'DRAFT 2'!$A:$A,"&lt;="&amp;DATE(2026,9,7))</f>
        <v/>
      </c>
      <c r="GZ135">
        <f>COUNTIFS('DRAFT 2'!$D:$D,$B135,'DRAFT 2'!$A:$A,"&gt;="&amp;DATE(2026,9,8),'DRAFT 2'!$A:$A,"&lt;="&amp;DATE(2026,9,14))</f>
        <v/>
      </c>
      <c r="HA135">
        <f>COUNTIFS('DRAFT 2'!$D:$D,$B135,'DRAFT 2'!$A:$A,"&gt;="&amp;DATE(2026,9,15),'DRAFT 2'!$A:$A,"&lt;="&amp;DATE(2026,9,21))</f>
        <v/>
      </c>
      <c r="HB135">
        <f>COUNTIFS('DRAFT 2'!$D:$D,$B135,'DRAFT 2'!$A:$A,"&gt;="&amp;DATE(2026,9,22),'DRAFT 2'!$A:$A,"&lt;"&amp;DATE(2026,IF(9=12,9+1,9+1),1))</f>
        <v/>
      </c>
      <c r="HC135">
        <f>SUM(GY135:HB135)</f>
        <v/>
      </c>
      <c r="HN135">
        <f>IFERROR(LOOKUP(2,1/('DRAFT 2'!$D:$D=$B135)*('DRAFT 2'!$A:$A&gt;=DATE(2026,10,1))*('DRAFT 2'!$A:$A&lt;DATE(2026,IF(10=12,10+1,10+1),1)),'DRAFT 2'!$A:$A),"")</f>
        <v/>
      </c>
      <c r="HO135">
        <f>COUNTIFS('DRAFT 2'!$D:$D,$B135,'DRAFT 2'!$A:$A,"&gt;="&amp;DATE(2026,10,1),'DRAFT 2'!$A:$A,"&lt;="&amp;DATE(2026,10,7))</f>
        <v/>
      </c>
      <c r="HP135">
        <f>COUNTIFS('DRAFT 2'!$D:$D,$B135,'DRAFT 2'!$A:$A,"&gt;="&amp;DATE(2026,10,8),'DRAFT 2'!$A:$A,"&lt;="&amp;DATE(2026,10,14))</f>
        <v/>
      </c>
      <c r="HQ135">
        <f>COUNTIFS('DRAFT 2'!$D:$D,$B135,'DRAFT 2'!$A:$A,"&gt;="&amp;DATE(2026,10,15),'DRAFT 2'!$A:$A,"&lt;="&amp;DATE(2026,10,21))</f>
        <v/>
      </c>
      <c r="HR135">
        <f>COUNTIFS('DRAFT 2'!$D:$D,$B135,'DRAFT 2'!$A:$A,"&gt;="&amp;DATE(2026,10,22),'DRAFT 2'!$A:$A,"&lt;"&amp;DATE(2026,IF(10=12,10+1,10+1),1))</f>
        <v/>
      </c>
      <c r="HS135">
        <f>SUM(HO135:HR135)</f>
        <v/>
      </c>
      <c r="IC135">
        <f>IFERROR(LOOKUP(2,1/('DRAFT 2'!$D:$D=$B135)*('DRAFT 2'!$A:$A&gt;=DATE(2026,11,1))*('DRAFT 2'!$A:$A&lt;DATE(2026,IF(11=12,11+1,11+1),1)),'DRAFT 2'!$A:$A),"")</f>
        <v/>
      </c>
      <c r="ID135">
        <f>COUNTIFS('DRAFT 2'!$D:$D,$B135,'DRAFT 2'!$A:$A,"&gt;="&amp;DATE(2026,11,1),'DRAFT 2'!$A:$A,"&lt;="&amp;DATE(2026,11,7))</f>
        <v/>
      </c>
      <c r="IE135">
        <f>COUNTIFS('DRAFT 2'!$D:$D,$B135,'DRAFT 2'!$A:$A,"&gt;="&amp;DATE(2026,11,8),'DRAFT 2'!$A:$A,"&lt;="&amp;DATE(2026,11,14))</f>
        <v/>
      </c>
      <c r="IF135">
        <f>COUNTIFS('DRAFT 2'!$D:$D,$B135,'DRAFT 2'!$A:$A,"&gt;="&amp;DATE(2026,11,15),'DRAFT 2'!$A:$A,"&lt;="&amp;DATE(2026,11,21))</f>
        <v/>
      </c>
      <c r="IG135">
        <f>COUNTIFS('DRAFT 2'!$D:$D,$B135,'DRAFT 2'!$A:$A,"&gt;="&amp;DATE(2026,11,22),'DRAFT 2'!$A:$A,"&lt;"&amp;DATE(2026,IF(11=12,11+1,11+1),1))</f>
        <v/>
      </c>
      <c r="IH135">
        <f>SUM(ID135:IG135)</f>
        <v/>
      </c>
      <c r="IR135">
        <f>IFERROR(LOOKUP(2,1/('DRAFT 2'!$D:$D=$B135)*('DRAFT 2'!$A:$A&gt;=DATE(2026,12,1))*('DRAFT 2'!$A:$A&lt;DATE(2026,IF(12=12,12+1,12+1),1)),'DRAFT 2'!$A:$A),"")</f>
        <v/>
      </c>
      <c r="IS135">
        <f>COUNTIFS('DRAFT 2'!$D:$D,$B135,'DRAFT 2'!$A:$A,"&gt;="&amp;DATE(2026,12,1),'DRAFT 2'!$A:$A,"&lt;="&amp;DATE(2026,12,7))</f>
        <v/>
      </c>
      <c r="IT135">
        <f>COUNTIFS('DRAFT 2'!$D:$D,$B135,'DRAFT 2'!$A:$A,"&gt;="&amp;DATE(2026,12,8),'DRAFT 2'!$A:$A,"&lt;="&amp;DATE(2026,12,14))</f>
        <v/>
      </c>
      <c r="IU135">
        <f>COUNTIFS('DRAFT 2'!$D:$D,$B135,'DRAFT 2'!$A:$A,"&gt;="&amp;DATE(2026,12,15),'DRAFT 2'!$A:$A,"&lt;="&amp;DATE(2026,12,21))</f>
        <v/>
      </c>
      <c r="IV135">
        <f>COUNTIFS('DRAFT 2'!$D:$D,$B135,'DRAFT 2'!$A:$A,"&gt;="&amp;DATE(2026,12,22),'DRAFT 2'!$A:$A,"&lt;"&amp;DATE(2026,IF(12=12,12+1,12+1),1))</f>
        <v/>
      </c>
      <c r="IW135">
        <f>SUM(IS135:IV135)</f>
        <v/>
      </c>
    </row>
    <row r="136">
      <c r="A136">
        <f>IFERROR(INDEX('DRAFT 1'!$A:$A,MATCH($B136,'DRAFT 1'!$B:$B,0)),"")</f>
        <v/>
      </c>
      <c r="C136">
        <f>IFERROR(INDEX('DRAFT 1'!$C:$C,MATCH($B136,'DRAFT 1'!$B:$B,0)),"")</f>
        <v/>
      </c>
      <c r="D136">
        <f>IFERROR(INDEX('DRAFT 1'!$D:$D,MATCH($B136,'DRAFT 1'!$B:$B,0)),"")</f>
        <v/>
      </c>
      <c r="E136">
        <f>IFERROR(INDEX('DRAFT 1'!$E:$E,MATCH($B136,'DRAFT 1'!$B:$B,0)),"")</f>
        <v/>
      </c>
      <c r="F136">
        <f>IFERROR(INDEX('DRAFT 1'!$F:$F,MATCH($B136,'DRAFT 1'!$B:$B,0)),"")</f>
        <v/>
      </c>
      <c r="G136">
        <f>IFERROR(INDEX('DRAFT 1'!$G:$G,MATCH($B136,'DRAFT 1'!$B:$B,0)),"")</f>
        <v/>
      </c>
      <c r="H136">
        <f>IFERROR(INDEX('DRAFT 1'!$H:$H,MATCH($B136,'DRAFT 1'!$B:$B,0)),"")</f>
        <v/>
      </c>
      <c r="I136">
        <f>IFERROR(INDEX('DRAFT 1'!$I:$I,MATCH($B136,'DRAFT 1'!$B:$B,0)),"")</f>
        <v/>
      </c>
      <c r="K136">
        <f>IFERROR(INDEX('DRAFT 1'!$AL:$AL,MATCH($B136,'DRAFT 1'!$B:$B,0)),"")</f>
        <v/>
      </c>
      <c r="L136">
        <f>IFERROR(INDEX('DRAFT 1'!$J:$J,MATCH($B136,'DRAFT 1'!$B:$B,0)),"")</f>
        <v/>
      </c>
      <c r="M136">
        <f>IFERROR(INDEX('DRAFT 1'!$K:$K,MATCH($B136,'DRAFT 1'!$B:$B,0)),"")</f>
        <v/>
      </c>
      <c r="P136">
        <f>IFERROR(INDEX('DRAFT 1'!$L:$L,MATCH($B136,'DRAFT 1'!$B:$B,0)),"")</f>
        <v/>
      </c>
      <c r="Q136">
        <f>IFERROR(INDEX('DRAFT 1'!$M:$M,MATCH($B136,'DRAFT 1'!$B:$B,0)),"")</f>
        <v/>
      </c>
      <c r="R136">
        <f>IFERROR(INDEX('DRAFT 1'!$N:$N,MATCH($B136,'DRAFT 1'!$B:$B,0)),"")</f>
        <v/>
      </c>
      <c r="S136">
        <f>IFERROR(INDEX('DRAFT 1'!$O:$O,MATCH($B136,'DRAFT 1'!$B:$B,0)),"")</f>
        <v/>
      </c>
      <c r="T136">
        <f>IFERROR(INDEX('DRAFT 1'!$P:$P,MATCH($B136,'DRAFT 1'!$B:$B,0)),"")</f>
        <v/>
      </c>
      <c r="U136">
        <f>IFERROR(INDEX('DRAFT 1'!$Q:$Q,MATCH($B136,'DRAFT 1'!$B:$B,0)),"")</f>
        <v/>
      </c>
      <c r="V136">
        <f>IFERROR(INDEX('DRAFT 1'!$R:$R,MATCH($B136,'DRAFT 1'!$B:$B,0)),"")</f>
        <v/>
      </c>
      <c r="W136">
        <f>IFERROR(INDEX('DRAFT 1'!$S:$S,MATCH($B136,'DRAFT 1'!$B:$B,0)),"")</f>
        <v/>
      </c>
      <c r="X136">
        <f>IFERROR(INDEX('DRAFT 1'!$T:$T,MATCH($B136,'DRAFT 1'!$B:$B,0)),"")</f>
        <v/>
      </c>
      <c r="Z136">
        <f>IFERROR(INDEX('DRAFT 1'!$U:$U,MATCH($B136,'DRAFT 1'!$B:$B,0)),"")</f>
        <v/>
      </c>
      <c r="AA136">
        <f>IFERROR(INDEX('DRAFT 1'!$V:$V,MATCH($B136,'DRAFT 1'!$B:$B,0)),"")</f>
        <v/>
      </c>
      <c r="AB136">
        <f>IFERROR(INDEX('DRAFT 1'!$W:$W,MATCH($B136,'DRAFT 1'!$B:$B,0)),"")</f>
        <v/>
      </c>
      <c r="AC136">
        <f>IFERROR(INDEX('DRAFT 1'!$X:$X,MATCH($B136,'DRAFT 1'!$B:$B,0)),"")</f>
        <v/>
      </c>
      <c r="AD136">
        <f>IFERROR(INDEX('DRAFT 1'!$Y:$Y,MATCH($B136,'DRAFT 1'!$B:$B,0)),"")</f>
        <v/>
      </c>
      <c r="AE136">
        <f>IFERROR(INDEX('DRAFT 1'!$Z:$Z,MATCH($B136,'DRAFT 1'!$B:$B,0)),"")</f>
        <v/>
      </c>
      <c r="AF136">
        <f>IFERROR(INDEX('DRAFT 1'!$AA:$AA,MATCH($B136,'DRAFT 1'!$B:$B,0)),"")</f>
        <v/>
      </c>
      <c r="AG136">
        <f>IFERROR(INDEX('DRAFT 1'!$AB:$AB,MATCH($B136,'DRAFT 1'!$B:$B,0)),"")</f>
        <v/>
      </c>
      <c r="AH136">
        <f>IFERROR(INDEX('DRAFT 1'!$AC:$AC,MATCH($B136,'DRAFT 1'!$B:$B,0)),"")</f>
        <v/>
      </c>
      <c r="AI136">
        <f>IFERROR(INDEX('DRAFT 1'!$AD:$AD,MATCH($B136,'DRAFT 1'!$B:$B,0)),"")</f>
        <v/>
      </c>
      <c r="AJ136">
        <f>IFERROR(INDEX('DRAFT 1'!$AE:$AE,MATCH($B136,'DRAFT 1'!$B:$B,0)),"")</f>
        <v/>
      </c>
      <c r="AK136">
        <f>IFERROR(INDEX('DRAFT 1'!$AG:$AG,MATCH($B136,'DRAFT 1'!$B:$B,0)),"")</f>
        <v/>
      </c>
      <c r="AL136">
        <f>IFERROR(INDEX('DRAFT 1'!$AH:$AH,MATCH($B136,'DRAFT 1'!$B:$B,0)),"")</f>
        <v/>
      </c>
      <c r="AM136">
        <f>IFERROR(INDEX('DRAFT 1'!$AI:$AI,MATCH($B136,'DRAFT 1'!$B:$B,0)),"")</f>
        <v/>
      </c>
      <c r="AN136">
        <f>IFERROR(INDEX('DRAFT 1'!$AJ:$AJ,MATCH($B136,'DRAFT 1'!$B:$B,0)),"")</f>
        <v/>
      </c>
      <c r="AO136">
        <f>IFERROR(Y136/AN136,0)</f>
        <v/>
      </c>
      <c r="AP136">
        <f>IFERROR(INDEX('DRAFT 1'!$AK:$AK,MATCH($B136,'DRAFT 1'!$B:$B,0)),"")</f>
        <v/>
      </c>
      <c r="AR136">
        <f>IFERROR(LOOKUP(2,1/('DRAFT 2'!$D:$D=$B136),'DRAFT 2'!$I:$I),"")</f>
        <v/>
      </c>
      <c r="AS136">
        <f>IFERROR(LOOKUP(2,1/('DRAFT 2'!$D:$D=$B136),'DRAFT 2'!$T:$T),"")</f>
        <v/>
      </c>
      <c r="AT136">
        <f>IFERROR(LOOKUP(2,1/('DRAFT 2'!$D:$D=$B136),'DRAFT 2'!$A:$A),"")</f>
        <v/>
      </c>
      <c r="AU136">
        <f>IFERROR(LOOKUP(2,1/('DRAFT 2'!$D:$D=$B136),'DRAFT 2'!$R:$R),"")</f>
        <v/>
      </c>
      <c r="AV136">
        <f>IFERROR(LOOKUP(2,1/('DRAFT 2'!$D:$D=$B136),'DRAFT 2'!$S:$S),"")</f>
        <v/>
      </c>
      <c r="AX136">
        <f>IFERROR(LOOKUP(2,1/('DRAFT 2'!$D:$D=$B136),'DRAFT 2'!$M:$M),"")</f>
        <v/>
      </c>
      <c r="AY136">
        <f>IFERROR(LOOKUP(2,1/('DRAFT 2'!$D:$D=$B136),'DRAFT 2'!$K:$K),"")</f>
        <v/>
      </c>
      <c r="BG136">
        <f>IFERROR(LOOKUP(2,1/('DRAFT 2'!$D:$D=$B136),'DRAFT 2'!$U:$U),"")</f>
        <v/>
      </c>
      <c r="BH136">
        <f>IFERROR(LOOKUP(2,1/('DRAFT 2'!$D:$D=$B136),'DRAFT 2'!$V:$V),"")</f>
        <v/>
      </c>
      <c r="CE136">
        <f>IFERROR(AJ136,0)</f>
        <v/>
      </c>
      <c r="CF136">
        <f>IFERROR(LOOKUP(2,1/('DRAFT 2'!$D:$D=$B136)*('DRAFT 2'!$A:$A&gt;=DATE(2026,1,1))*('DRAFT 2'!$A:$A&lt;DATE(2026,IF(1=12,1+1,1+1),1)),'DRAFT 2'!$A:$A),"")</f>
        <v/>
      </c>
      <c r="CG136">
        <f>COUNTIFS('DRAFT 2'!$D:$D,$B136,'DRAFT 2'!$A:$A,"&gt;="&amp;DATE(2026,1,1),'DRAFT 2'!$A:$A,"&lt;="&amp;DATE(2026,1,7))</f>
        <v/>
      </c>
      <c r="CH136">
        <f>COUNTIFS('DRAFT 2'!$D:$D,$B136,'DRAFT 2'!$A:$A,"&gt;="&amp;DATE(2026,1,8),'DRAFT 2'!$A:$A,"&lt;="&amp;DATE(2026,1,14))</f>
        <v/>
      </c>
      <c r="CI136">
        <f>COUNTIFS('DRAFT 2'!$D:$D,$B136,'DRAFT 2'!$A:$A,"&gt;="&amp;DATE(2026,1,15),'DRAFT 2'!$A:$A,"&lt;="&amp;DATE(2026,1,21))</f>
        <v/>
      </c>
      <c r="CJ136">
        <f>COUNTIFS('DRAFT 2'!$D:$D,$B136,'DRAFT 2'!$A:$A,"&gt;="&amp;DATE(2026,1,22),'DRAFT 2'!$A:$A,"&lt;"&amp;DATE(2026,IF(1=12,1+1,1+1),1))</f>
        <v/>
      </c>
      <c r="CK136">
        <f>SUM(CG136:CJ136)</f>
        <v/>
      </c>
      <c r="CT136" t="n">
        <v>0</v>
      </c>
      <c r="CU136">
        <f>IFERROR(LOOKUP(2,1/('DRAFT 2'!$D:$D=$B136)*('DRAFT 2'!$A:$A&gt;=DATE(2026,2,1))*('DRAFT 2'!$A:$A&lt;DATE(2026,IF(2=12,2+1,2+1),1)),'DRAFT 2'!$A:$A),"")</f>
        <v/>
      </c>
      <c r="CV136">
        <f>COUNTIFS('DRAFT 2'!$D:$D,$B136,'DRAFT 2'!$A:$A,"&gt;="&amp;DATE(2026,2,1),'DRAFT 2'!$A:$A,"&lt;="&amp;DATE(2026,2,7))</f>
        <v/>
      </c>
      <c r="CW136">
        <f>COUNTIFS('DRAFT 2'!$D:$D,$B136,'DRAFT 2'!$A:$A,"&gt;="&amp;DATE(2026,2,8),'DRAFT 2'!$A:$A,"&lt;="&amp;DATE(2026,2,14))</f>
        <v/>
      </c>
      <c r="CX136">
        <f>COUNTIFS('DRAFT 2'!$D:$D,$B136,'DRAFT 2'!$A:$A,"&gt;="&amp;DATE(2026,2,15),'DRAFT 2'!$A:$A,"&lt;="&amp;DATE(2026,2,21))</f>
        <v/>
      </c>
      <c r="CY136">
        <f>COUNTIFS('DRAFT 2'!$D:$D,$B136,'DRAFT 2'!$A:$A,"&gt;="&amp;DATE(2026,2,22),'DRAFT 2'!$A:$A,"&lt;"&amp;DATE(2026,IF(2=12,2+1,2+1),1))</f>
        <v/>
      </c>
      <c r="CZ136">
        <f>SUM(CV136:CY136)</f>
        <v/>
      </c>
      <c r="DJ136">
        <f>IFERROR(LOOKUP(2,1/('DRAFT 2'!$D:$D=$B136)*('DRAFT 2'!$A:$A&gt;=DATE(2026,3,1))*('DRAFT 2'!$A:$A&lt;DATE(2026,IF(3=12,3+1,3+1),1)),'DRAFT 2'!$A:$A),"")</f>
        <v/>
      </c>
      <c r="DK136">
        <f>COUNTIFS('DRAFT 2'!$D:$D,$B136,'DRAFT 2'!$A:$A,"&gt;="&amp;DATE(2026,3,1),'DRAFT 2'!$A:$A,"&lt;="&amp;DATE(2026,3,7))</f>
        <v/>
      </c>
      <c r="DL136">
        <f>COUNTIFS('DRAFT 2'!$D:$D,$B136,'DRAFT 2'!$A:$A,"&gt;="&amp;DATE(2026,3,8),'DRAFT 2'!$A:$A,"&lt;="&amp;DATE(2026,3,14))</f>
        <v/>
      </c>
      <c r="DM136">
        <f>COUNTIFS('DRAFT 2'!$D:$D,$B136,'DRAFT 2'!$A:$A,"&gt;="&amp;DATE(2026,3,15),'DRAFT 2'!$A:$A,"&lt;="&amp;DATE(2026,3,21))</f>
        <v/>
      </c>
      <c r="DN136">
        <f>COUNTIFS('DRAFT 2'!$D:$D,$B136,'DRAFT 2'!$A:$A,"&gt;="&amp;DATE(2026,3,22),'DRAFT 2'!$A:$A,"&lt;"&amp;DATE(2026,IF(3=12,3+1,3+1),1))</f>
        <v/>
      </c>
      <c r="DO136">
        <f>SUM(DK136:DN136)</f>
        <v/>
      </c>
      <c r="DZ136">
        <f>IFERROR(LOOKUP(2,1/('DRAFT 2'!$D:$D=$B136)*('DRAFT 2'!$A:$A&gt;=DATE(2026,4,1))*('DRAFT 2'!$A:$A&lt;DATE(2026,IF(4=12,4+1,4+1),1)),'DRAFT 2'!$A:$A),"")</f>
        <v/>
      </c>
      <c r="EA136">
        <f>COUNTIFS('DRAFT 2'!$D:$D,$B136,'DRAFT 2'!$A:$A,"&gt;="&amp;DATE(2026,4,1),'DRAFT 2'!$A:$A,"&lt;="&amp;DATE(2026,4,7))</f>
        <v/>
      </c>
      <c r="EB136">
        <f>COUNTIFS('DRAFT 2'!$D:$D,$B136,'DRAFT 2'!$A:$A,"&gt;="&amp;DATE(2026,4,8),'DRAFT 2'!$A:$A,"&lt;="&amp;DATE(2026,4,14))</f>
        <v/>
      </c>
      <c r="EC136">
        <f>COUNTIFS('DRAFT 2'!$D:$D,$B136,'DRAFT 2'!$A:$A,"&gt;="&amp;DATE(2026,4,15),'DRAFT 2'!$A:$A,"&lt;="&amp;DATE(2026,4,21))</f>
        <v/>
      </c>
      <c r="ED136">
        <f>COUNTIFS('DRAFT 2'!$D:$D,$B136,'DRAFT 2'!$A:$A,"&gt;="&amp;DATE(2026,4,22),'DRAFT 2'!$A:$A,"&lt;"&amp;DATE(2026,IF(4=12,4+1,4+1),1))</f>
        <v/>
      </c>
      <c r="EE136">
        <f>SUM(EA136:ED136)</f>
        <v/>
      </c>
      <c r="EO136">
        <f>IFERROR(LOOKUP(2,1/('DRAFT 2'!$D:$D=$B136)*('DRAFT 2'!$A:$A&gt;=DATE(2026,5,1))*('DRAFT 2'!$A:$A&lt;DATE(2026,IF(5=12,5+1,5+1),1)),'DRAFT 2'!$A:$A),"")</f>
        <v/>
      </c>
      <c r="EP136">
        <f>COUNTIFS('DRAFT 2'!$D:$D,$B136,'DRAFT 2'!$A:$A,"&gt;="&amp;DATE(2026,5,1),'DRAFT 2'!$A:$A,"&lt;="&amp;DATE(2026,5,7))</f>
        <v/>
      </c>
      <c r="EQ136">
        <f>COUNTIFS('DRAFT 2'!$D:$D,$B136,'DRAFT 2'!$A:$A,"&gt;="&amp;DATE(2026,5,8),'DRAFT 2'!$A:$A,"&lt;="&amp;DATE(2026,5,14))</f>
        <v/>
      </c>
      <c r="ER136">
        <f>COUNTIFS('DRAFT 2'!$D:$D,$B136,'DRAFT 2'!$A:$A,"&gt;="&amp;DATE(2026,5,15),'DRAFT 2'!$A:$A,"&lt;="&amp;DATE(2026,5,21))</f>
        <v/>
      </c>
      <c r="ES136">
        <f>COUNTIFS('DRAFT 2'!$D:$D,$B136,'DRAFT 2'!$A:$A,"&gt;="&amp;DATE(2026,5,22),'DRAFT 2'!$A:$A,"&lt;"&amp;DATE(2026,IF(5=12,5+1,5+1),1))</f>
        <v/>
      </c>
      <c r="ET136">
        <f>SUM(EP136:ES136)</f>
        <v/>
      </c>
      <c r="FD136">
        <f>IFERROR(LOOKUP(2,1/('DRAFT 2'!$D:$D=$B136)*('DRAFT 2'!$A:$A&gt;=DATE(2026,6,1))*('DRAFT 2'!$A:$A&lt;DATE(2026,IF(6=12,6+1,6+1),1)),'DRAFT 2'!$A:$A),"")</f>
        <v/>
      </c>
      <c r="FE136">
        <f>COUNTIFS('DRAFT 2'!$D:$D,$B136,'DRAFT 2'!$A:$A,"&gt;="&amp;DATE(2026,6,1),'DRAFT 2'!$A:$A,"&lt;="&amp;DATE(2026,6,7))</f>
        <v/>
      </c>
      <c r="FF136">
        <f>COUNTIFS('DRAFT 2'!$D:$D,$B136,'DRAFT 2'!$A:$A,"&gt;="&amp;DATE(2026,6,8),'DRAFT 2'!$A:$A,"&lt;="&amp;DATE(2026,6,14))</f>
        <v/>
      </c>
      <c r="FG136">
        <f>COUNTIFS('DRAFT 2'!$D:$D,$B136,'DRAFT 2'!$A:$A,"&gt;="&amp;DATE(2026,6,15),'DRAFT 2'!$A:$A,"&lt;="&amp;DATE(2026,6,21))</f>
        <v/>
      </c>
      <c r="FH136">
        <f>COUNTIFS('DRAFT 2'!$D:$D,$B136,'DRAFT 2'!$A:$A,"&gt;="&amp;DATE(2026,6,22),'DRAFT 2'!$A:$A,"&lt;"&amp;DATE(2026,IF(6=12,6+1,6+1),1))</f>
        <v/>
      </c>
      <c r="FI136">
        <f>SUM(FE136:FH136)</f>
        <v/>
      </c>
      <c r="FT136">
        <f>IFERROR(LOOKUP(2,1/('DRAFT 2'!$D:$D=$B136)*('DRAFT 2'!$A:$A&gt;=DATE(2026,7,1))*('DRAFT 2'!$A:$A&lt;DATE(2026,IF(7=12,7+1,7+1),1)),'DRAFT 2'!$A:$A),"")</f>
        <v/>
      </c>
      <c r="FU136">
        <f>COUNTIFS('DRAFT 2'!$D:$D,$B136,'DRAFT 2'!$A:$A,"&gt;="&amp;DATE(2026,7,1),'DRAFT 2'!$A:$A,"&lt;="&amp;DATE(2026,7,7))</f>
        <v/>
      </c>
      <c r="FV136">
        <f>COUNTIFS('DRAFT 2'!$D:$D,$B136,'DRAFT 2'!$A:$A,"&gt;="&amp;DATE(2026,7,8),'DRAFT 2'!$A:$A,"&lt;="&amp;DATE(2026,7,14))</f>
        <v/>
      </c>
      <c r="FW136">
        <f>COUNTIFS('DRAFT 2'!$D:$D,$B136,'DRAFT 2'!$A:$A,"&gt;="&amp;DATE(2026,7,15),'DRAFT 2'!$A:$A,"&lt;="&amp;DATE(2026,7,21))</f>
        <v/>
      </c>
      <c r="FX136">
        <f>COUNTIFS('DRAFT 2'!$D:$D,$B136,'DRAFT 2'!$A:$A,"&gt;="&amp;DATE(2026,7,22),'DRAFT 2'!$A:$A,"&lt;"&amp;DATE(2026,IF(7=12,7+1,7+1),1))</f>
        <v/>
      </c>
      <c r="FY136">
        <f>SUM(FU136:FX136)</f>
        <v/>
      </c>
      <c r="GI136">
        <f>IFERROR(LOOKUP(2,1/('DRAFT 2'!$D:$D=$B136)*('DRAFT 2'!$A:$A&gt;=DATE(2026,8,1))*('DRAFT 2'!$A:$A&lt;DATE(2026,IF(8=12,8+1,8+1),1)),'DRAFT 2'!$A:$A),"")</f>
        <v/>
      </c>
      <c r="GJ136">
        <f>COUNTIFS('DRAFT 2'!$D:$D,$B136,'DRAFT 2'!$A:$A,"&gt;="&amp;DATE(2026,8,1),'DRAFT 2'!$A:$A,"&lt;="&amp;DATE(2026,8,7))</f>
        <v/>
      </c>
      <c r="GK136">
        <f>COUNTIFS('DRAFT 2'!$D:$D,$B136,'DRAFT 2'!$A:$A,"&gt;="&amp;DATE(2026,8,8),'DRAFT 2'!$A:$A,"&lt;="&amp;DATE(2026,8,14))</f>
        <v/>
      </c>
      <c r="GL136">
        <f>COUNTIFS('DRAFT 2'!$D:$D,$B136,'DRAFT 2'!$A:$A,"&gt;="&amp;DATE(2026,8,15),'DRAFT 2'!$A:$A,"&lt;="&amp;DATE(2026,8,21))</f>
        <v/>
      </c>
      <c r="GM136">
        <f>COUNTIFS('DRAFT 2'!$D:$D,$B136,'DRAFT 2'!$A:$A,"&gt;="&amp;DATE(2026,8,22),'DRAFT 2'!$A:$A,"&lt;"&amp;DATE(2026,IF(8=12,8+1,8+1),1))</f>
        <v/>
      </c>
      <c r="GN136">
        <f>SUM(GJ136:GM136)</f>
        <v/>
      </c>
      <c r="GX136">
        <f>IFERROR(LOOKUP(2,1/('DRAFT 2'!$D:$D=$B136)*('DRAFT 2'!$A:$A&gt;=DATE(2026,9,1))*('DRAFT 2'!$A:$A&lt;DATE(2026,IF(9=12,9+1,9+1),1)),'DRAFT 2'!$A:$A),"")</f>
        <v/>
      </c>
      <c r="GY136">
        <f>COUNTIFS('DRAFT 2'!$D:$D,$B136,'DRAFT 2'!$A:$A,"&gt;="&amp;DATE(2026,9,1),'DRAFT 2'!$A:$A,"&lt;="&amp;DATE(2026,9,7))</f>
        <v/>
      </c>
      <c r="GZ136">
        <f>COUNTIFS('DRAFT 2'!$D:$D,$B136,'DRAFT 2'!$A:$A,"&gt;="&amp;DATE(2026,9,8),'DRAFT 2'!$A:$A,"&lt;="&amp;DATE(2026,9,14))</f>
        <v/>
      </c>
      <c r="HA136">
        <f>COUNTIFS('DRAFT 2'!$D:$D,$B136,'DRAFT 2'!$A:$A,"&gt;="&amp;DATE(2026,9,15),'DRAFT 2'!$A:$A,"&lt;="&amp;DATE(2026,9,21))</f>
        <v/>
      </c>
      <c r="HB136">
        <f>COUNTIFS('DRAFT 2'!$D:$D,$B136,'DRAFT 2'!$A:$A,"&gt;="&amp;DATE(2026,9,22),'DRAFT 2'!$A:$A,"&lt;"&amp;DATE(2026,IF(9=12,9+1,9+1),1))</f>
        <v/>
      </c>
      <c r="HC136">
        <f>SUM(GY136:HB136)</f>
        <v/>
      </c>
      <c r="HN136">
        <f>IFERROR(LOOKUP(2,1/('DRAFT 2'!$D:$D=$B136)*('DRAFT 2'!$A:$A&gt;=DATE(2026,10,1))*('DRAFT 2'!$A:$A&lt;DATE(2026,IF(10=12,10+1,10+1),1)),'DRAFT 2'!$A:$A),"")</f>
        <v/>
      </c>
      <c r="HO136">
        <f>COUNTIFS('DRAFT 2'!$D:$D,$B136,'DRAFT 2'!$A:$A,"&gt;="&amp;DATE(2026,10,1),'DRAFT 2'!$A:$A,"&lt;="&amp;DATE(2026,10,7))</f>
        <v/>
      </c>
      <c r="HP136">
        <f>COUNTIFS('DRAFT 2'!$D:$D,$B136,'DRAFT 2'!$A:$A,"&gt;="&amp;DATE(2026,10,8),'DRAFT 2'!$A:$A,"&lt;="&amp;DATE(2026,10,14))</f>
        <v/>
      </c>
      <c r="HQ136">
        <f>COUNTIFS('DRAFT 2'!$D:$D,$B136,'DRAFT 2'!$A:$A,"&gt;="&amp;DATE(2026,10,15),'DRAFT 2'!$A:$A,"&lt;="&amp;DATE(2026,10,21))</f>
        <v/>
      </c>
      <c r="HR136">
        <f>COUNTIFS('DRAFT 2'!$D:$D,$B136,'DRAFT 2'!$A:$A,"&gt;="&amp;DATE(2026,10,22),'DRAFT 2'!$A:$A,"&lt;"&amp;DATE(2026,IF(10=12,10+1,10+1),1))</f>
        <v/>
      </c>
      <c r="HS136">
        <f>SUM(HO136:HR136)</f>
        <v/>
      </c>
      <c r="IC136">
        <f>IFERROR(LOOKUP(2,1/('DRAFT 2'!$D:$D=$B136)*('DRAFT 2'!$A:$A&gt;=DATE(2026,11,1))*('DRAFT 2'!$A:$A&lt;DATE(2026,IF(11=12,11+1,11+1),1)),'DRAFT 2'!$A:$A),"")</f>
        <v/>
      </c>
      <c r="ID136">
        <f>COUNTIFS('DRAFT 2'!$D:$D,$B136,'DRAFT 2'!$A:$A,"&gt;="&amp;DATE(2026,11,1),'DRAFT 2'!$A:$A,"&lt;="&amp;DATE(2026,11,7))</f>
        <v/>
      </c>
      <c r="IE136">
        <f>COUNTIFS('DRAFT 2'!$D:$D,$B136,'DRAFT 2'!$A:$A,"&gt;="&amp;DATE(2026,11,8),'DRAFT 2'!$A:$A,"&lt;="&amp;DATE(2026,11,14))</f>
        <v/>
      </c>
      <c r="IF136">
        <f>COUNTIFS('DRAFT 2'!$D:$D,$B136,'DRAFT 2'!$A:$A,"&gt;="&amp;DATE(2026,11,15),'DRAFT 2'!$A:$A,"&lt;="&amp;DATE(2026,11,21))</f>
        <v/>
      </c>
      <c r="IG136">
        <f>COUNTIFS('DRAFT 2'!$D:$D,$B136,'DRAFT 2'!$A:$A,"&gt;="&amp;DATE(2026,11,22),'DRAFT 2'!$A:$A,"&lt;"&amp;DATE(2026,IF(11=12,11+1,11+1),1))</f>
        <v/>
      </c>
      <c r="IH136">
        <f>SUM(ID136:IG136)</f>
        <v/>
      </c>
      <c r="IR136">
        <f>IFERROR(LOOKUP(2,1/('DRAFT 2'!$D:$D=$B136)*('DRAFT 2'!$A:$A&gt;=DATE(2026,12,1))*('DRAFT 2'!$A:$A&lt;DATE(2026,IF(12=12,12+1,12+1),1)),'DRAFT 2'!$A:$A),"")</f>
        <v/>
      </c>
      <c r="IS136">
        <f>COUNTIFS('DRAFT 2'!$D:$D,$B136,'DRAFT 2'!$A:$A,"&gt;="&amp;DATE(2026,12,1),'DRAFT 2'!$A:$A,"&lt;="&amp;DATE(2026,12,7))</f>
        <v/>
      </c>
      <c r="IT136">
        <f>COUNTIFS('DRAFT 2'!$D:$D,$B136,'DRAFT 2'!$A:$A,"&gt;="&amp;DATE(2026,12,8),'DRAFT 2'!$A:$A,"&lt;="&amp;DATE(2026,12,14))</f>
        <v/>
      </c>
      <c r="IU136">
        <f>COUNTIFS('DRAFT 2'!$D:$D,$B136,'DRAFT 2'!$A:$A,"&gt;="&amp;DATE(2026,12,15),'DRAFT 2'!$A:$A,"&lt;="&amp;DATE(2026,12,21))</f>
        <v/>
      </c>
      <c r="IV136">
        <f>COUNTIFS('DRAFT 2'!$D:$D,$B136,'DRAFT 2'!$A:$A,"&gt;="&amp;DATE(2026,12,22),'DRAFT 2'!$A:$A,"&lt;"&amp;DATE(2026,IF(12=12,12+1,12+1),1))</f>
        <v/>
      </c>
      <c r="IW136">
        <f>SUM(IS136:IV136)</f>
        <v/>
      </c>
    </row>
    <row r="137">
      <c r="A137">
        <f>IFERROR(INDEX('DRAFT 1'!$A:$A,MATCH($B137,'DRAFT 1'!$B:$B,0)),"")</f>
        <v/>
      </c>
      <c r="C137">
        <f>IFERROR(INDEX('DRAFT 1'!$C:$C,MATCH($B137,'DRAFT 1'!$B:$B,0)),"")</f>
        <v/>
      </c>
      <c r="D137">
        <f>IFERROR(INDEX('DRAFT 1'!$D:$D,MATCH($B137,'DRAFT 1'!$B:$B,0)),"")</f>
        <v/>
      </c>
      <c r="E137">
        <f>IFERROR(INDEX('DRAFT 1'!$E:$E,MATCH($B137,'DRAFT 1'!$B:$B,0)),"")</f>
        <v/>
      </c>
      <c r="F137">
        <f>IFERROR(INDEX('DRAFT 1'!$F:$F,MATCH($B137,'DRAFT 1'!$B:$B,0)),"")</f>
        <v/>
      </c>
      <c r="G137">
        <f>IFERROR(INDEX('DRAFT 1'!$G:$G,MATCH($B137,'DRAFT 1'!$B:$B,0)),"")</f>
        <v/>
      </c>
      <c r="H137">
        <f>IFERROR(INDEX('DRAFT 1'!$H:$H,MATCH($B137,'DRAFT 1'!$B:$B,0)),"")</f>
        <v/>
      </c>
      <c r="I137">
        <f>IFERROR(INDEX('DRAFT 1'!$I:$I,MATCH($B137,'DRAFT 1'!$B:$B,0)),"")</f>
        <v/>
      </c>
      <c r="K137">
        <f>IFERROR(INDEX('DRAFT 1'!$AL:$AL,MATCH($B137,'DRAFT 1'!$B:$B,0)),"")</f>
        <v/>
      </c>
      <c r="L137">
        <f>IFERROR(INDEX('DRAFT 1'!$J:$J,MATCH($B137,'DRAFT 1'!$B:$B,0)),"")</f>
        <v/>
      </c>
      <c r="M137">
        <f>IFERROR(INDEX('DRAFT 1'!$K:$K,MATCH($B137,'DRAFT 1'!$B:$B,0)),"")</f>
        <v/>
      </c>
      <c r="P137">
        <f>IFERROR(INDEX('DRAFT 1'!$L:$L,MATCH($B137,'DRAFT 1'!$B:$B,0)),"")</f>
        <v/>
      </c>
      <c r="Q137">
        <f>IFERROR(INDEX('DRAFT 1'!$M:$M,MATCH($B137,'DRAFT 1'!$B:$B,0)),"")</f>
        <v/>
      </c>
      <c r="R137">
        <f>IFERROR(INDEX('DRAFT 1'!$N:$N,MATCH($B137,'DRAFT 1'!$B:$B,0)),"")</f>
        <v/>
      </c>
      <c r="S137">
        <f>IFERROR(INDEX('DRAFT 1'!$O:$O,MATCH($B137,'DRAFT 1'!$B:$B,0)),"")</f>
        <v/>
      </c>
      <c r="T137">
        <f>IFERROR(INDEX('DRAFT 1'!$P:$P,MATCH($B137,'DRAFT 1'!$B:$B,0)),"")</f>
        <v/>
      </c>
      <c r="U137">
        <f>IFERROR(INDEX('DRAFT 1'!$Q:$Q,MATCH($B137,'DRAFT 1'!$B:$B,0)),"")</f>
        <v/>
      </c>
      <c r="V137">
        <f>IFERROR(INDEX('DRAFT 1'!$R:$R,MATCH($B137,'DRAFT 1'!$B:$B,0)),"")</f>
        <v/>
      </c>
      <c r="W137">
        <f>IFERROR(INDEX('DRAFT 1'!$S:$S,MATCH($B137,'DRAFT 1'!$B:$B,0)),"")</f>
        <v/>
      </c>
      <c r="X137">
        <f>IFERROR(INDEX('DRAFT 1'!$T:$T,MATCH($B137,'DRAFT 1'!$B:$B,0)),"")</f>
        <v/>
      </c>
      <c r="Z137">
        <f>IFERROR(INDEX('DRAFT 1'!$U:$U,MATCH($B137,'DRAFT 1'!$B:$B,0)),"")</f>
        <v/>
      </c>
      <c r="AA137">
        <f>IFERROR(INDEX('DRAFT 1'!$V:$V,MATCH($B137,'DRAFT 1'!$B:$B,0)),"")</f>
        <v/>
      </c>
      <c r="AB137">
        <f>IFERROR(INDEX('DRAFT 1'!$W:$W,MATCH($B137,'DRAFT 1'!$B:$B,0)),"")</f>
        <v/>
      </c>
      <c r="AC137">
        <f>IFERROR(INDEX('DRAFT 1'!$X:$X,MATCH($B137,'DRAFT 1'!$B:$B,0)),"")</f>
        <v/>
      </c>
      <c r="AD137">
        <f>IFERROR(INDEX('DRAFT 1'!$Y:$Y,MATCH($B137,'DRAFT 1'!$B:$B,0)),"")</f>
        <v/>
      </c>
      <c r="AE137">
        <f>IFERROR(INDEX('DRAFT 1'!$Z:$Z,MATCH($B137,'DRAFT 1'!$B:$B,0)),"")</f>
        <v/>
      </c>
      <c r="AF137">
        <f>IFERROR(INDEX('DRAFT 1'!$AA:$AA,MATCH($B137,'DRAFT 1'!$B:$B,0)),"")</f>
        <v/>
      </c>
      <c r="AG137">
        <f>IFERROR(INDEX('DRAFT 1'!$AB:$AB,MATCH($B137,'DRAFT 1'!$B:$B,0)),"")</f>
        <v/>
      </c>
      <c r="AH137">
        <f>IFERROR(INDEX('DRAFT 1'!$AC:$AC,MATCH($B137,'DRAFT 1'!$B:$B,0)),"")</f>
        <v/>
      </c>
      <c r="AI137">
        <f>IFERROR(INDEX('DRAFT 1'!$AD:$AD,MATCH($B137,'DRAFT 1'!$B:$B,0)),"")</f>
        <v/>
      </c>
      <c r="AJ137">
        <f>IFERROR(INDEX('DRAFT 1'!$AE:$AE,MATCH($B137,'DRAFT 1'!$B:$B,0)),"")</f>
        <v/>
      </c>
      <c r="AK137">
        <f>IFERROR(INDEX('DRAFT 1'!$AG:$AG,MATCH($B137,'DRAFT 1'!$B:$B,0)),"")</f>
        <v/>
      </c>
      <c r="AL137">
        <f>IFERROR(INDEX('DRAFT 1'!$AH:$AH,MATCH($B137,'DRAFT 1'!$B:$B,0)),"")</f>
        <v/>
      </c>
      <c r="AM137">
        <f>IFERROR(INDEX('DRAFT 1'!$AI:$AI,MATCH($B137,'DRAFT 1'!$B:$B,0)),"")</f>
        <v/>
      </c>
      <c r="AN137">
        <f>IFERROR(INDEX('DRAFT 1'!$AJ:$AJ,MATCH($B137,'DRAFT 1'!$B:$B,0)),"")</f>
        <v/>
      </c>
      <c r="AO137">
        <f>IFERROR(Y137/AN137,0)</f>
        <v/>
      </c>
      <c r="AP137">
        <f>IFERROR(INDEX('DRAFT 1'!$AK:$AK,MATCH($B137,'DRAFT 1'!$B:$B,0)),"")</f>
        <v/>
      </c>
      <c r="AR137">
        <f>IFERROR(LOOKUP(2,1/('DRAFT 2'!$D:$D=$B137),'DRAFT 2'!$I:$I),"")</f>
        <v/>
      </c>
      <c r="AS137">
        <f>IFERROR(LOOKUP(2,1/('DRAFT 2'!$D:$D=$B137),'DRAFT 2'!$T:$T),"")</f>
        <v/>
      </c>
      <c r="AT137">
        <f>IFERROR(LOOKUP(2,1/('DRAFT 2'!$D:$D=$B137),'DRAFT 2'!$A:$A),"")</f>
        <v/>
      </c>
      <c r="AU137">
        <f>IFERROR(LOOKUP(2,1/('DRAFT 2'!$D:$D=$B137),'DRAFT 2'!$R:$R),"")</f>
        <v/>
      </c>
      <c r="AV137">
        <f>IFERROR(LOOKUP(2,1/('DRAFT 2'!$D:$D=$B137),'DRAFT 2'!$S:$S),"")</f>
        <v/>
      </c>
      <c r="AX137">
        <f>IFERROR(LOOKUP(2,1/('DRAFT 2'!$D:$D=$B137),'DRAFT 2'!$M:$M),"")</f>
        <v/>
      </c>
      <c r="AY137">
        <f>IFERROR(LOOKUP(2,1/('DRAFT 2'!$D:$D=$B137),'DRAFT 2'!$K:$K),"")</f>
        <v/>
      </c>
      <c r="BG137">
        <f>IFERROR(LOOKUP(2,1/('DRAFT 2'!$D:$D=$B137),'DRAFT 2'!$U:$U),"")</f>
        <v/>
      </c>
      <c r="BH137">
        <f>IFERROR(LOOKUP(2,1/('DRAFT 2'!$D:$D=$B137),'DRAFT 2'!$V:$V),"")</f>
        <v/>
      </c>
      <c r="CE137">
        <f>IFERROR(AJ137,0)</f>
        <v/>
      </c>
      <c r="CF137">
        <f>IFERROR(LOOKUP(2,1/('DRAFT 2'!$D:$D=$B137)*('DRAFT 2'!$A:$A&gt;=DATE(2026,1,1))*('DRAFT 2'!$A:$A&lt;DATE(2026,IF(1=12,1+1,1+1),1)),'DRAFT 2'!$A:$A),"")</f>
        <v/>
      </c>
      <c r="CG137">
        <f>COUNTIFS('DRAFT 2'!$D:$D,$B137,'DRAFT 2'!$A:$A,"&gt;="&amp;DATE(2026,1,1),'DRAFT 2'!$A:$A,"&lt;="&amp;DATE(2026,1,7))</f>
        <v/>
      </c>
      <c r="CH137">
        <f>COUNTIFS('DRAFT 2'!$D:$D,$B137,'DRAFT 2'!$A:$A,"&gt;="&amp;DATE(2026,1,8),'DRAFT 2'!$A:$A,"&lt;="&amp;DATE(2026,1,14))</f>
        <v/>
      </c>
      <c r="CI137">
        <f>COUNTIFS('DRAFT 2'!$D:$D,$B137,'DRAFT 2'!$A:$A,"&gt;="&amp;DATE(2026,1,15),'DRAFT 2'!$A:$A,"&lt;="&amp;DATE(2026,1,21))</f>
        <v/>
      </c>
      <c r="CJ137">
        <f>COUNTIFS('DRAFT 2'!$D:$D,$B137,'DRAFT 2'!$A:$A,"&gt;="&amp;DATE(2026,1,22),'DRAFT 2'!$A:$A,"&lt;"&amp;DATE(2026,IF(1=12,1+1,1+1),1))</f>
        <v/>
      </c>
      <c r="CK137">
        <f>SUM(CG137:CJ137)</f>
        <v/>
      </c>
      <c r="CT137" t="n">
        <v>0</v>
      </c>
      <c r="CU137">
        <f>IFERROR(LOOKUP(2,1/('DRAFT 2'!$D:$D=$B137)*('DRAFT 2'!$A:$A&gt;=DATE(2026,2,1))*('DRAFT 2'!$A:$A&lt;DATE(2026,IF(2=12,2+1,2+1),1)),'DRAFT 2'!$A:$A),"")</f>
        <v/>
      </c>
      <c r="CV137">
        <f>COUNTIFS('DRAFT 2'!$D:$D,$B137,'DRAFT 2'!$A:$A,"&gt;="&amp;DATE(2026,2,1),'DRAFT 2'!$A:$A,"&lt;="&amp;DATE(2026,2,7))</f>
        <v/>
      </c>
      <c r="CW137">
        <f>COUNTIFS('DRAFT 2'!$D:$D,$B137,'DRAFT 2'!$A:$A,"&gt;="&amp;DATE(2026,2,8),'DRAFT 2'!$A:$A,"&lt;="&amp;DATE(2026,2,14))</f>
        <v/>
      </c>
      <c r="CX137">
        <f>COUNTIFS('DRAFT 2'!$D:$D,$B137,'DRAFT 2'!$A:$A,"&gt;="&amp;DATE(2026,2,15),'DRAFT 2'!$A:$A,"&lt;="&amp;DATE(2026,2,21))</f>
        <v/>
      </c>
      <c r="CY137">
        <f>COUNTIFS('DRAFT 2'!$D:$D,$B137,'DRAFT 2'!$A:$A,"&gt;="&amp;DATE(2026,2,22),'DRAFT 2'!$A:$A,"&lt;"&amp;DATE(2026,IF(2=12,2+1,2+1),1))</f>
        <v/>
      </c>
      <c r="CZ137">
        <f>SUM(CV137:CY137)</f>
        <v/>
      </c>
      <c r="DJ137">
        <f>IFERROR(LOOKUP(2,1/('DRAFT 2'!$D:$D=$B137)*('DRAFT 2'!$A:$A&gt;=DATE(2026,3,1))*('DRAFT 2'!$A:$A&lt;DATE(2026,IF(3=12,3+1,3+1),1)),'DRAFT 2'!$A:$A),"")</f>
        <v/>
      </c>
      <c r="DK137">
        <f>COUNTIFS('DRAFT 2'!$D:$D,$B137,'DRAFT 2'!$A:$A,"&gt;="&amp;DATE(2026,3,1),'DRAFT 2'!$A:$A,"&lt;="&amp;DATE(2026,3,7))</f>
        <v/>
      </c>
      <c r="DL137">
        <f>COUNTIFS('DRAFT 2'!$D:$D,$B137,'DRAFT 2'!$A:$A,"&gt;="&amp;DATE(2026,3,8),'DRAFT 2'!$A:$A,"&lt;="&amp;DATE(2026,3,14))</f>
        <v/>
      </c>
      <c r="DM137">
        <f>COUNTIFS('DRAFT 2'!$D:$D,$B137,'DRAFT 2'!$A:$A,"&gt;="&amp;DATE(2026,3,15),'DRAFT 2'!$A:$A,"&lt;="&amp;DATE(2026,3,21))</f>
        <v/>
      </c>
      <c r="DN137">
        <f>COUNTIFS('DRAFT 2'!$D:$D,$B137,'DRAFT 2'!$A:$A,"&gt;="&amp;DATE(2026,3,22),'DRAFT 2'!$A:$A,"&lt;"&amp;DATE(2026,IF(3=12,3+1,3+1),1))</f>
        <v/>
      </c>
      <c r="DO137">
        <f>SUM(DK137:DN137)</f>
        <v/>
      </c>
      <c r="DZ137">
        <f>IFERROR(LOOKUP(2,1/('DRAFT 2'!$D:$D=$B137)*('DRAFT 2'!$A:$A&gt;=DATE(2026,4,1))*('DRAFT 2'!$A:$A&lt;DATE(2026,IF(4=12,4+1,4+1),1)),'DRAFT 2'!$A:$A),"")</f>
        <v/>
      </c>
      <c r="EA137">
        <f>COUNTIFS('DRAFT 2'!$D:$D,$B137,'DRAFT 2'!$A:$A,"&gt;="&amp;DATE(2026,4,1),'DRAFT 2'!$A:$A,"&lt;="&amp;DATE(2026,4,7))</f>
        <v/>
      </c>
      <c r="EB137">
        <f>COUNTIFS('DRAFT 2'!$D:$D,$B137,'DRAFT 2'!$A:$A,"&gt;="&amp;DATE(2026,4,8),'DRAFT 2'!$A:$A,"&lt;="&amp;DATE(2026,4,14))</f>
        <v/>
      </c>
      <c r="EC137">
        <f>COUNTIFS('DRAFT 2'!$D:$D,$B137,'DRAFT 2'!$A:$A,"&gt;="&amp;DATE(2026,4,15),'DRAFT 2'!$A:$A,"&lt;="&amp;DATE(2026,4,21))</f>
        <v/>
      </c>
      <c r="ED137">
        <f>COUNTIFS('DRAFT 2'!$D:$D,$B137,'DRAFT 2'!$A:$A,"&gt;="&amp;DATE(2026,4,22),'DRAFT 2'!$A:$A,"&lt;"&amp;DATE(2026,IF(4=12,4+1,4+1),1))</f>
        <v/>
      </c>
      <c r="EE137">
        <f>SUM(EA137:ED137)</f>
        <v/>
      </c>
      <c r="EO137">
        <f>IFERROR(LOOKUP(2,1/('DRAFT 2'!$D:$D=$B137)*('DRAFT 2'!$A:$A&gt;=DATE(2026,5,1))*('DRAFT 2'!$A:$A&lt;DATE(2026,IF(5=12,5+1,5+1),1)),'DRAFT 2'!$A:$A),"")</f>
        <v/>
      </c>
      <c r="EP137">
        <f>COUNTIFS('DRAFT 2'!$D:$D,$B137,'DRAFT 2'!$A:$A,"&gt;="&amp;DATE(2026,5,1),'DRAFT 2'!$A:$A,"&lt;="&amp;DATE(2026,5,7))</f>
        <v/>
      </c>
      <c r="EQ137">
        <f>COUNTIFS('DRAFT 2'!$D:$D,$B137,'DRAFT 2'!$A:$A,"&gt;="&amp;DATE(2026,5,8),'DRAFT 2'!$A:$A,"&lt;="&amp;DATE(2026,5,14))</f>
        <v/>
      </c>
      <c r="ER137">
        <f>COUNTIFS('DRAFT 2'!$D:$D,$B137,'DRAFT 2'!$A:$A,"&gt;="&amp;DATE(2026,5,15),'DRAFT 2'!$A:$A,"&lt;="&amp;DATE(2026,5,21))</f>
        <v/>
      </c>
      <c r="ES137">
        <f>COUNTIFS('DRAFT 2'!$D:$D,$B137,'DRAFT 2'!$A:$A,"&gt;="&amp;DATE(2026,5,22),'DRAFT 2'!$A:$A,"&lt;"&amp;DATE(2026,IF(5=12,5+1,5+1),1))</f>
        <v/>
      </c>
      <c r="ET137">
        <f>SUM(EP137:ES137)</f>
        <v/>
      </c>
      <c r="FD137">
        <f>IFERROR(LOOKUP(2,1/('DRAFT 2'!$D:$D=$B137)*('DRAFT 2'!$A:$A&gt;=DATE(2026,6,1))*('DRAFT 2'!$A:$A&lt;DATE(2026,IF(6=12,6+1,6+1),1)),'DRAFT 2'!$A:$A),"")</f>
        <v/>
      </c>
      <c r="FE137">
        <f>COUNTIFS('DRAFT 2'!$D:$D,$B137,'DRAFT 2'!$A:$A,"&gt;="&amp;DATE(2026,6,1),'DRAFT 2'!$A:$A,"&lt;="&amp;DATE(2026,6,7))</f>
        <v/>
      </c>
      <c r="FF137">
        <f>COUNTIFS('DRAFT 2'!$D:$D,$B137,'DRAFT 2'!$A:$A,"&gt;="&amp;DATE(2026,6,8),'DRAFT 2'!$A:$A,"&lt;="&amp;DATE(2026,6,14))</f>
        <v/>
      </c>
      <c r="FG137">
        <f>COUNTIFS('DRAFT 2'!$D:$D,$B137,'DRAFT 2'!$A:$A,"&gt;="&amp;DATE(2026,6,15),'DRAFT 2'!$A:$A,"&lt;="&amp;DATE(2026,6,21))</f>
        <v/>
      </c>
      <c r="FH137">
        <f>COUNTIFS('DRAFT 2'!$D:$D,$B137,'DRAFT 2'!$A:$A,"&gt;="&amp;DATE(2026,6,22),'DRAFT 2'!$A:$A,"&lt;"&amp;DATE(2026,IF(6=12,6+1,6+1),1))</f>
        <v/>
      </c>
      <c r="FI137">
        <f>SUM(FE137:FH137)</f>
        <v/>
      </c>
      <c r="FT137">
        <f>IFERROR(LOOKUP(2,1/('DRAFT 2'!$D:$D=$B137)*('DRAFT 2'!$A:$A&gt;=DATE(2026,7,1))*('DRAFT 2'!$A:$A&lt;DATE(2026,IF(7=12,7+1,7+1),1)),'DRAFT 2'!$A:$A),"")</f>
        <v/>
      </c>
      <c r="FU137">
        <f>COUNTIFS('DRAFT 2'!$D:$D,$B137,'DRAFT 2'!$A:$A,"&gt;="&amp;DATE(2026,7,1),'DRAFT 2'!$A:$A,"&lt;="&amp;DATE(2026,7,7))</f>
        <v/>
      </c>
      <c r="FV137">
        <f>COUNTIFS('DRAFT 2'!$D:$D,$B137,'DRAFT 2'!$A:$A,"&gt;="&amp;DATE(2026,7,8),'DRAFT 2'!$A:$A,"&lt;="&amp;DATE(2026,7,14))</f>
        <v/>
      </c>
      <c r="FW137">
        <f>COUNTIFS('DRAFT 2'!$D:$D,$B137,'DRAFT 2'!$A:$A,"&gt;="&amp;DATE(2026,7,15),'DRAFT 2'!$A:$A,"&lt;="&amp;DATE(2026,7,21))</f>
        <v/>
      </c>
      <c r="FX137">
        <f>COUNTIFS('DRAFT 2'!$D:$D,$B137,'DRAFT 2'!$A:$A,"&gt;="&amp;DATE(2026,7,22),'DRAFT 2'!$A:$A,"&lt;"&amp;DATE(2026,IF(7=12,7+1,7+1),1))</f>
        <v/>
      </c>
      <c r="FY137">
        <f>SUM(FU137:FX137)</f>
        <v/>
      </c>
      <c r="GI137">
        <f>IFERROR(LOOKUP(2,1/('DRAFT 2'!$D:$D=$B137)*('DRAFT 2'!$A:$A&gt;=DATE(2026,8,1))*('DRAFT 2'!$A:$A&lt;DATE(2026,IF(8=12,8+1,8+1),1)),'DRAFT 2'!$A:$A),"")</f>
        <v/>
      </c>
      <c r="GJ137">
        <f>COUNTIFS('DRAFT 2'!$D:$D,$B137,'DRAFT 2'!$A:$A,"&gt;="&amp;DATE(2026,8,1),'DRAFT 2'!$A:$A,"&lt;="&amp;DATE(2026,8,7))</f>
        <v/>
      </c>
      <c r="GK137">
        <f>COUNTIFS('DRAFT 2'!$D:$D,$B137,'DRAFT 2'!$A:$A,"&gt;="&amp;DATE(2026,8,8),'DRAFT 2'!$A:$A,"&lt;="&amp;DATE(2026,8,14))</f>
        <v/>
      </c>
      <c r="GL137">
        <f>COUNTIFS('DRAFT 2'!$D:$D,$B137,'DRAFT 2'!$A:$A,"&gt;="&amp;DATE(2026,8,15),'DRAFT 2'!$A:$A,"&lt;="&amp;DATE(2026,8,21))</f>
        <v/>
      </c>
      <c r="GM137">
        <f>COUNTIFS('DRAFT 2'!$D:$D,$B137,'DRAFT 2'!$A:$A,"&gt;="&amp;DATE(2026,8,22),'DRAFT 2'!$A:$A,"&lt;"&amp;DATE(2026,IF(8=12,8+1,8+1),1))</f>
        <v/>
      </c>
      <c r="GN137">
        <f>SUM(GJ137:GM137)</f>
        <v/>
      </c>
      <c r="GX137">
        <f>IFERROR(LOOKUP(2,1/('DRAFT 2'!$D:$D=$B137)*('DRAFT 2'!$A:$A&gt;=DATE(2026,9,1))*('DRAFT 2'!$A:$A&lt;DATE(2026,IF(9=12,9+1,9+1),1)),'DRAFT 2'!$A:$A),"")</f>
        <v/>
      </c>
      <c r="GY137">
        <f>COUNTIFS('DRAFT 2'!$D:$D,$B137,'DRAFT 2'!$A:$A,"&gt;="&amp;DATE(2026,9,1),'DRAFT 2'!$A:$A,"&lt;="&amp;DATE(2026,9,7))</f>
        <v/>
      </c>
      <c r="GZ137">
        <f>COUNTIFS('DRAFT 2'!$D:$D,$B137,'DRAFT 2'!$A:$A,"&gt;="&amp;DATE(2026,9,8),'DRAFT 2'!$A:$A,"&lt;="&amp;DATE(2026,9,14))</f>
        <v/>
      </c>
      <c r="HA137">
        <f>COUNTIFS('DRAFT 2'!$D:$D,$B137,'DRAFT 2'!$A:$A,"&gt;="&amp;DATE(2026,9,15),'DRAFT 2'!$A:$A,"&lt;="&amp;DATE(2026,9,21))</f>
        <v/>
      </c>
      <c r="HB137">
        <f>COUNTIFS('DRAFT 2'!$D:$D,$B137,'DRAFT 2'!$A:$A,"&gt;="&amp;DATE(2026,9,22),'DRAFT 2'!$A:$A,"&lt;"&amp;DATE(2026,IF(9=12,9+1,9+1),1))</f>
        <v/>
      </c>
      <c r="HC137">
        <f>SUM(GY137:HB137)</f>
        <v/>
      </c>
      <c r="HN137">
        <f>IFERROR(LOOKUP(2,1/('DRAFT 2'!$D:$D=$B137)*('DRAFT 2'!$A:$A&gt;=DATE(2026,10,1))*('DRAFT 2'!$A:$A&lt;DATE(2026,IF(10=12,10+1,10+1),1)),'DRAFT 2'!$A:$A),"")</f>
        <v/>
      </c>
      <c r="HO137">
        <f>COUNTIFS('DRAFT 2'!$D:$D,$B137,'DRAFT 2'!$A:$A,"&gt;="&amp;DATE(2026,10,1),'DRAFT 2'!$A:$A,"&lt;="&amp;DATE(2026,10,7))</f>
        <v/>
      </c>
      <c r="HP137">
        <f>COUNTIFS('DRAFT 2'!$D:$D,$B137,'DRAFT 2'!$A:$A,"&gt;="&amp;DATE(2026,10,8),'DRAFT 2'!$A:$A,"&lt;="&amp;DATE(2026,10,14))</f>
        <v/>
      </c>
      <c r="HQ137">
        <f>COUNTIFS('DRAFT 2'!$D:$D,$B137,'DRAFT 2'!$A:$A,"&gt;="&amp;DATE(2026,10,15),'DRAFT 2'!$A:$A,"&lt;="&amp;DATE(2026,10,21))</f>
        <v/>
      </c>
      <c r="HR137">
        <f>COUNTIFS('DRAFT 2'!$D:$D,$B137,'DRAFT 2'!$A:$A,"&gt;="&amp;DATE(2026,10,22),'DRAFT 2'!$A:$A,"&lt;"&amp;DATE(2026,IF(10=12,10+1,10+1),1))</f>
        <v/>
      </c>
      <c r="HS137">
        <f>SUM(HO137:HR137)</f>
        <v/>
      </c>
      <c r="IC137">
        <f>IFERROR(LOOKUP(2,1/('DRAFT 2'!$D:$D=$B137)*('DRAFT 2'!$A:$A&gt;=DATE(2026,11,1))*('DRAFT 2'!$A:$A&lt;DATE(2026,IF(11=12,11+1,11+1),1)),'DRAFT 2'!$A:$A),"")</f>
        <v/>
      </c>
      <c r="ID137">
        <f>COUNTIFS('DRAFT 2'!$D:$D,$B137,'DRAFT 2'!$A:$A,"&gt;="&amp;DATE(2026,11,1),'DRAFT 2'!$A:$A,"&lt;="&amp;DATE(2026,11,7))</f>
        <v/>
      </c>
      <c r="IE137">
        <f>COUNTIFS('DRAFT 2'!$D:$D,$B137,'DRAFT 2'!$A:$A,"&gt;="&amp;DATE(2026,11,8),'DRAFT 2'!$A:$A,"&lt;="&amp;DATE(2026,11,14))</f>
        <v/>
      </c>
      <c r="IF137">
        <f>COUNTIFS('DRAFT 2'!$D:$D,$B137,'DRAFT 2'!$A:$A,"&gt;="&amp;DATE(2026,11,15),'DRAFT 2'!$A:$A,"&lt;="&amp;DATE(2026,11,21))</f>
        <v/>
      </c>
      <c r="IG137">
        <f>COUNTIFS('DRAFT 2'!$D:$D,$B137,'DRAFT 2'!$A:$A,"&gt;="&amp;DATE(2026,11,22),'DRAFT 2'!$A:$A,"&lt;"&amp;DATE(2026,IF(11=12,11+1,11+1),1))</f>
        <v/>
      </c>
      <c r="IH137">
        <f>SUM(ID137:IG137)</f>
        <v/>
      </c>
      <c r="IR137">
        <f>IFERROR(LOOKUP(2,1/('DRAFT 2'!$D:$D=$B137)*('DRAFT 2'!$A:$A&gt;=DATE(2026,12,1))*('DRAFT 2'!$A:$A&lt;DATE(2026,IF(12=12,12+1,12+1),1)),'DRAFT 2'!$A:$A),"")</f>
        <v/>
      </c>
      <c r="IS137">
        <f>COUNTIFS('DRAFT 2'!$D:$D,$B137,'DRAFT 2'!$A:$A,"&gt;="&amp;DATE(2026,12,1),'DRAFT 2'!$A:$A,"&lt;="&amp;DATE(2026,12,7))</f>
        <v/>
      </c>
      <c r="IT137">
        <f>COUNTIFS('DRAFT 2'!$D:$D,$B137,'DRAFT 2'!$A:$A,"&gt;="&amp;DATE(2026,12,8),'DRAFT 2'!$A:$A,"&lt;="&amp;DATE(2026,12,14))</f>
        <v/>
      </c>
      <c r="IU137">
        <f>COUNTIFS('DRAFT 2'!$D:$D,$B137,'DRAFT 2'!$A:$A,"&gt;="&amp;DATE(2026,12,15),'DRAFT 2'!$A:$A,"&lt;="&amp;DATE(2026,12,21))</f>
        <v/>
      </c>
      <c r="IV137">
        <f>COUNTIFS('DRAFT 2'!$D:$D,$B137,'DRAFT 2'!$A:$A,"&gt;="&amp;DATE(2026,12,22),'DRAFT 2'!$A:$A,"&lt;"&amp;DATE(2026,IF(12=12,12+1,12+1),1))</f>
        <v/>
      </c>
      <c r="IW137">
        <f>SUM(IS137:IV137)</f>
        <v/>
      </c>
    </row>
    <row r="138">
      <c r="A138">
        <f>IFERROR(INDEX('DRAFT 1'!$A:$A,MATCH($B138,'DRAFT 1'!$B:$B,0)),"")</f>
        <v/>
      </c>
      <c r="C138">
        <f>IFERROR(INDEX('DRAFT 1'!$C:$C,MATCH($B138,'DRAFT 1'!$B:$B,0)),"")</f>
        <v/>
      </c>
      <c r="D138">
        <f>IFERROR(INDEX('DRAFT 1'!$D:$D,MATCH($B138,'DRAFT 1'!$B:$B,0)),"")</f>
        <v/>
      </c>
      <c r="E138">
        <f>IFERROR(INDEX('DRAFT 1'!$E:$E,MATCH($B138,'DRAFT 1'!$B:$B,0)),"")</f>
        <v/>
      </c>
      <c r="F138">
        <f>IFERROR(INDEX('DRAFT 1'!$F:$F,MATCH($B138,'DRAFT 1'!$B:$B,0)),"")</f>
        <v/>
      </c>
      <c r="G138">
        <f>IFERROR(INDEX('DRAFT 1'!$G:$G,MATCH($B138,'DRAFT 1'!$B:$B,0)),"")</f>
        <v/>
      </c>
      <c r="H138">
        <f>IFERROR(INDEX('DRAFT 1'!$H:$H,MATCH($B138,'DRAFT 1'!$B:$B,0)),"")</f>
        <v/>
      </c>
      <c r="I138">
        <f>IFERROR(INDEX('DRAFT 1'!$I:$I,MATCH($B138,'DRAFT 1'!$B:$B,0)),"")</f>
        <v/>
      </c>
      <c r="K138">
        <f>IFERROR(INDEX('DRAFT 1'!$AL:$AL,MATCH($B138,'DRAFT 1'!$B:$B,0)),"")</f>
        <v/>
      </c>
      <c r="L138">
        <f>IFERROR(INDEX('DRAFT 1'!$J:$J,MATCH($B138,'DRAFT 1'!$B:$B,0)),"")</f>
        <v/>
      </c>
      <c r="M138">
        <f>IFERROR(INDEX('DRAFT 1'!$K:$K,MATCH($B138,'DRAFT 1'!$B:$B,0)),"")</f>
        <v/>
      </c>
      <c r="P138">
        <f>IFERROR(INDEX('DRAFT 1'!$L:$L,MATCH($B138,'DRAFT 1'!$B:$B,0)),"")</f>
        <v/>
      </c>
      <c r="Q138">
        <f>IFERROR(INDEX('DRAFT 1'!$M:$M,MATCH($B138,'DRAFT 1'!$B:$B,0)),"")</f>
        <v/>
      </c>
      <c r="R138">
        <f>IFERROR(INDEX('DRAFT 1'!$N:$N,MATCH($B138,'DRAFT 1'!$B:$B,0)),"")</f>
        <v/>
      </c>
      <c r="S138">
        <f>IFERROR(INDEX('DRAFT 1'!$O:$O,MATCH($B138,'DRAFT 1'!$B:$B,0)),"")</f>
        <v/>
      </c>
      <c r="T138">
        <f>IFERROR(INDEX('DRAFT 1'!$P:$P,MATCH($B138,'DRAFT 1'!$B:$B,0)),"")</f>
        <v/>
      </c>
      <c r="U138">
        <f>IFERROR(INDEX('DRAFT 1'!$Q:$Q,MATCH($B138,'DRAFT 1'!$B:$B,0)),"")</f>
        <v/>
      </c>
      <c r="V138">
        <f>IFERROR(INDEX('DRAFT 1'!$R:$R,MATCH($B138,'DRAFT 1'!$B:$B,0)),"")</f>
        <v/>
      </c>
      <c r="W138">
        <f>IFERROR(INDEX('DRAFT 1'!$S:$S,MATCH($B138,'DRAFT 1'!$B:$B,0)),"")</f>
        <v/>
      </c>
      <c r="X138">
        <f>IFERROR(INDEX('DRAFT 1'!$T:$T,MATCH($B138,'DRAFT 1'!$B:$B,0)),"")</f>
        <v/>
      </c>
      <c r="Z138">
        <f>IFERROR(INDEX('DRAFT 1'!$U:$U,MATCH($B138,'DRAFT 1'!$B:$B,0)),"")</f>
        <v/>
      </c>
      <c r="AA138">
        <f>IFERROR(INDEX('DRAFT 1'!$V:$V,MATCH($B138,'DRAFT 1'!$B:$B,0)),"")</f>
        <v/>
      </c>
      <c r="AB138">
        <f>IFERROR(INDEX('DRAFT 1'!$W:$W,MATCH($B138,'DRAFT 1'!$B:$B,0)),"")</f>
        <v/>
      </c>
      <c r="AC138">
        <f>IFERROR(INDEX('DRAFT 1'!$X:$X,MATCH($B138,'DRAFT 1'!$B:$B,0)),"")</f>
        <v/>
      </c>
      <c r="AD138">
        <f>IFERROR(INDEX('DRAFT 1'!$Y:$Y,MATCH($B138,'DRAFT 1'!$B:$B,0)),"")</f>
        <v/>
      </c>
      <c r="AE138">
        <f>IFERROR(INDEX('DRAFT 1'!$Z:$Z,MATCH($B138,'DRAFT 1'!$B:$B,0)),"")</f>
        <v/>
      </c>
      <c r="AF138">
        <f>IFERROR(INDEX('DRAFT 1'!$AA:$AA,MATCH($B138,'DRAFT 1'!$B:$B,0)),"")</f>
        <v/>
      </c>
      <c r="AG138">
        <f>IFERROR(INDEX('DRAFT 1'!$AB:$AB,MATCH($B138,'DRAFT 1'!$B:$B,0)),"")</f>
        <v/>
      </c>
      <c r="AH138">
        <f>IFERROR(INDEX('DRAFT 1'!$AC:$AC,MATCH($B138,'DRAFT 1'!$B:$B,0)),"")</f>
        <v/>
      </c>
      <c r="AI138">
        <f>IFERROR(INDEX('DRAFT 1'!$AD:$AD,MATCH($B138,'DRAFT 1'!$B:$B,0)),"")</f>
        <v/>
      </c>
      <c r="AJ138">
        <f>IFERROR(INDEX('DRAFT 1'!$AE:$AE,MATCH($B138,'DRAFT 1'!$B:$B,0)),"")</f>
        <v/>
      </c>
      <c r="AK138">
        <f>IFERROR(INDEX('DRAFT 1'!$AG:$AG,MATCH($B138,'DRAFT 1'!$B:$B,0)),"")</f>
        <v/>
      </c>
      <c r="AL138">
        <f>IFERROR(INDEX('DRAFT 1'!$AH:$AH,MATCH($B138,'DRAFT 1'!$B:$B,0)),"")</f>
        <v/>
      </c>
      <c r="AM138">
        <f>IFERROR(INDEX('DRAFT 1'!$AI:$AI,MATCH($B138,'DRAFT 1'!$B:$B,0)),"")</f>
        <v/>
      </c>
      <c r="AN138">
        <f>IFERROR(INDEX('DRAFT 1'!$AJ:$AJ,MATCH($B138,'DRAFT 1'!$B:$B,0)),"")</f>
        <v/>
      </c>
      <c r="AO138">
        <f>IFERROR(Y138/AN138,0)</f>
        <v/>
      </c>
      <c r="AP138">
        <f>IFERROR(INDEX('DRAFT 1'!$AK:$AK,MATCH($B138,'DRAFT 1'!$B:$B,0)),"")</f>
        <v/>
      </c>
      <c r="AR138">
        <f>IFERROR(LOOKUP(2,1/('DRAFT 2'!$D:$D=$B138),'DRAFT 2'!$I:$I),"")</f>
        <v/>
      </c>
      <c r="AS138">
        <f>IFERROR(LOOKUP(2,1/('DRAFT 2'!$D:$D=$B138),'DRAFT 2'!$T:$T),"")</f>
        <v/>
      </c>
      <c r="AT138">
        <f>IFERROR(LOOKUP(2,1/('DRAFT 2'!$D:$D=$B138),'DRAFT 2'!$A:$A),"")</f>
        <v/>
      </c>
      <c r="AU138">
        <f>IFERROR(LOOKUP(2,1/('DRAFT 2'!$D:$D=$B138),'DRAFT 2'!$R:$R),"")</f>
        <v/>
      </c>
      <c r="AV138">
        <f>IFERROR(LOOKUP(2,1/('DRAFT 2'!$D:$D=$B138),'DRAFT 2'!$S:$S),"")</f>
        <v/>
      </c>
      <c r="AX138">
        <f>IFERROR(LOOKUP(2,1/('DRAFT 2'!$D:$D=$B138),'DRAFT 2'!$M:$M),"")</f>
        <v/>
      </c>
      <c r="AY138">
        <f>IFERROR(LOOKUP(2,1/('DRAFT 2'!$D:$D=$B138),'DRAFT 2'!$K:$K),"")</f>
        <v/>
      </c>
      <c r="BG138">
        <f>IFERROR(LOOKUP(2,1/('DRAFT 2'!$D:$D=$B138),'DRAFT 2'!$U:$U),"")</f>
        <v/>
      </c>
      <c r="BH138">
        <f>IFERROR(LOOKUP(2,1/('DRAFT 2'!$D:$D=$B138),'DRAFT 2'!$V:$V),"")</f>
        <v/>
      </c>
      <c r="CE138">
        <f>IFERROR(AJ138,0)</f>
        <v/>
      </c>
      <c r="CF138">
        <f>IFERROR(LOOKUP(2,1/('DRAFT 2'!$D:$D=$B138)*('DRAFT 2'!$A:$A&gt;=DATE(2026,1,1))*('DRAFT 2'!$A:$A&lt;DATE(2026,IF(1=12,1+1,1+1),1)),'DRAFT 2'!$A:$A),"")</f>
        <v/>
      </c>
      <c r="CG138">
        <f>COUNTIFS('DRAFT 2'!$D:$D,$B138,'DRAFT 2'!$A:$A,"&gt;="&amp;DATE(2026,1,1),'DRAFT 2'!$A:$A,"&lt;="&amp;DATE(2026,1,7))</f>
        <v/>
      </c>
      <c r="CH138">
        <f>COUNTIFS('DRAFT 2'!$D:$D,$B138,'DRAFT 2'!$A:$A,"&gt;="&amp;DATE(2026,1,8),'DRAFT 2'!$A:$A,"&lt;="&amp;DATE(2026,1,14))</f>
        <v/>
      </c>
      <c r="CI138">
        <f>COUNTIFS('DRAFT 2'!$D:$D,$B138,'DRAFT 2'!$A:$A,"&gt;="&amp;DATE(2026,1,15),'DRAFT 2'!$A:$A,"&lt;="&amp;DATE(2026,1,21))</f>
        <v/>
      </c>
      <c r="CJ138">
        <f>COUNTIFS('DRAFT 2'!$D:$D,$B138,'DRAFT 2'!$A:$A,"&gt;="&amp;DATE(2026,1,22),'DRAFT 2'!$A:$A,"&lt;"&amp;DATE(2026,IF(1=12,1+1,1+1),1))</f>
        <v/>
      </c>
      <c r="CK138">
        <f>SUM(CG138:CJ138)</f>
        <v/>
      </c>
      <c r="CT138" t="n">
        <v>0</v>
      </c>
      <c r="CU138">
        <f>IFERROR(LOOKUP(2,1/('DRAFT 2'!$D:$D=$B138)*('DRAFT 2'!$A:$A&gt;=DATE(2026,2,1))*('DRAFT 2'!$A:$A&lt;DATE(2026,IF(2=12,2+1,2+1),1)),'DRAFT 2'!$A:$A),"")</f>
        <v/>
      </c>
      <c r="CV138">
        <f>COUNTIFS('DRAFT 2'!$D:$D,$B138,'DRAFT 2'!$A:$A,"&gt;="&amp;DATE(2026,2,1),'DRAFT 2'!$A:$A,"&lt;="&amp;DATE(2026,2,7))</f>
        <v/>
      </c>
      <c r="CW138">
        <f>COUNTIFS('DRAFT 2'!$D:$D,$B138,'DRAFT 2'!$A:$A,"&gt;="&amp;DATE(2026,2,8),'DRAFT 2'!$A:$A,"&lt;="&amp;DATE(2026,2,14))</f>
        <v/>
      </c>
      <c r="CX138">
        <f>COUNTIFS('DRAFT 2'!$D:$D,$B138,'DRAFT 2'!$A:$A,"&gt;="&amp;DATE(2026,2,15),'DRAFT 2'!$A:$A,"&lt;="&amp;DATE(2026,2,21))</f>
        <v/>
      </c>
      <c r="CY138">
        <f>COUNTIFS('DRAFT 2'!$D:$D,$B138,'DRAFT 2'!$A:$A,"&gt;="&amp;DATE(2026,2,22),'DRAFT 2'!$A:$A,"&lt;"&amp;DATE(2026,IF(2=12,2+1,2+1),1))</f>
        <v/>
      </c>
      <c r="CZ138">
        <f>SUM(CV138:CY138)</f>
        <v/>
      </c>
      <c r="DJ138">
        <f>IFERROR(LOOKUP(2,1/('DRAFT 2'!$D:$D=$B138)*('DRAFT 2'!$A:$A&gt;=DATE(2026,3,1))*('DRAFT 2'!$A:$A&lt;DATE(2026,IF(3=12,3+1,3+1),1)),'DRAFT 2'!$A:$A),"")</f>
        <v/>
      </c>
      <c r="DK138">
        <f>COUNTIFS('DRAFT 2'!$D:$D,$B138,'DRAFT 2'!$A:$A,"&gt;="&amp;DATE(2026,3,1),'DRAFT 2'!$A:$A,"&lt;="&amp;DATE(2026,3,7))</f>
        <v/>
      </c>
      <c r="DL138">
        <f>COUNTIFS('DRAFT 2'!$D:$D,$B138,'DRAFT 2'!$A:$A,"&gt;="&amp;DATE(2026,3,8),'DRAFT 2'!$A:$A,"&lt;="&amp;DATE(2026,3,14))</f>
        <v/>
      </c>
      <c r="DM138">
        <f>COUNTIFS('DRAFT 2'!$D:$D,$B138,'DRAFT 2'!$A:$A,"&gt;="&amp;DATE(2026,3,15),'DRAFT 2'!$A:$A,"&lt;="&amp;DATE(2026,3,21))</f>
        <v/>
      </c>
      <c r="DN138">
        <f>COUNTIFS('DRAFT 2'!$D:$D,$B138,'DRAFT 2'!$A:$A,"&gt;="&amp;DATE(2026,3,22),'DRAFT 2'!$A:$A,"&lt;"&amp;DATE(2026,IF(3=12,3+1,3+1),1))</f>
        <v/>
      </c>
      <c r="DO138">
        <f>SUM(DK138:DN138)</f>
        <v/>
      </c>
      <c r="DZ138">
        <f>IFERROR(LOOKUP(2,1/('DRAFT 2'!$D:$D=$B138)*('DRAFT 2'!$A:$A&gt;=DATE(2026,4,1))*('DRAFT 2'!$A:$A&lt;DATE(2026,IF(4=12,4+1,4+1),1)),'DRAFT 2'!$A:$A),"")</f>
        <v/>
      </c>
      <c r="EA138">
        <f>COUNTIFS('DRAFT 2'!$D:$D,$B138,'DRAFT 2'!$A:$A,"&gt;="&amp;DATE(2026,4,1),'DRAFT 2'!$A:$A,"&lt;="&amp;DATE(2026,4,7))</f>
        <v/>
      </c>
      <c r="EB138">
        <f>COUNTIFS('DRAFT 2'!$D:$D,$B138,'DRAFT 2'!$A:$A,"&gt;="&amp;DATE(2026,4,8),'DRAFT 2'!$A:$A,"&lt;="&amp;DATE(2026,4,14))</f>
        <v/>
      </c>
      <c r="EC138">
        <f>COUNTIFS('DRAFT 2'!$D:$D,$B138,'DRAFT 2'!$A:$A,"&gt;="&amp;DATE(2026,4,15),'DRAFT 2'!$A:$A,"&lt;="&amp;DATE(2026,4,21))</f>
        <v/>
      </c>
      <c r="ED138">
        <f>COUNTIFS('DRAFT 2'!$D:$D,$B138,'DRAFT 2'!$A:$A,"&gt;="&amp;DATE(2026,4,22),'DRAFT 2'!$A:$A,"&lt;"&amp;DATE(2026,IF(4=12,4+1,4+1),1))</f>
        <v/>
      </c>
      <c r="EE138">
        <f>SUM(EA138:ED138)</f>
        <v/>
      </c>
      <c r="EO138">
        <f>IFERROR(LOOKUP(2,1/('DRAFT 2'!$D:$D=$B138)*('DRAFT 2'!$A:$A&gt;=DATE(2026,5,1))*('DRAFT 2'!$A:$A&lt;DATE(2026,IF(5=12,5+1,5+1),1)),'DRAFT 2'!$A:$A),"")</f>
        <v/>
      </c>
      <c r="EP138">
        <f>COUNTIFS('DRAFT 2'!$D:$D,$B138,'DRAFT 2'!$A:$A,"&gt;="&amp;DATE(2026,5,1),'DRAFT 2'!$A:$A,"&lt;="&amp;DATE(2026,5,7))</f>
        <v/>
      </c>
      <c r="EQ138">
        <f>COUNTIFS('DRAFT 2'!$D:$D,$B138,'DRAFT 2'!$A:$A,"&gt;="&amp;DATE(2026,5,8),'DRAFT 2'!$A:$A,"&lt;="&amp;DATE(2026,5,14))</f>
        <v/>
      </c>
      <c r="ER138">
        <f>COUNTIFS('DRAFT 2'!$D:$D,$B138,'DRAFT 2'!$A:$A,"&gt;="&amp;DATE(2026,5,15),'DRAFT 2'!$A:$A,"&lt;="&amp;DATE(2026,5,21))</f>
        <v/>
      </c>
      <c r="ES138">
        <f>COUNTIFS('DRAFT 2'!$D:$D,$B138,'DRAFT 2'!$A:$A,"&gt;="&amp;DATE(2026,5,22),'DRAFT 2'!$A:$A,"&lt;"&amp;DATE(2026,IF(5=12,5+1,5+1),1))</f>
        <v/>
      </c>
      <c r="ET138">
        <f>SUM(EP138:ES138)</f>
        <v/>
      </c>
      <c r="FD138">
        <f>IFERROR(LOOKUP(2,1/('DRAFT 2'!$D:$D=$B138)*('DRAFT 2'!$A:$A&gt;=DATE(2026,6,1))*('DRAFT 2'!$A:$A&lt;DATE(2026,IF(6=12,6+1,6+1),1)),'DRAFT 2'!$A:$A),"")</f>
        <v/>
      </c>
      <c r="FE138">
        <f>COUNTIFS('DRAFT 2'!$D:$D,$B138,'DRAFT 2'!$A:$A,"&gt;="&amp;DATE(2026,6,1),'DRAFT 2'!$A:$A,"&lt;="&amp;DATE(2026,6,7))</f>
        <v/>
      </c>
      <c r="FF138">
        <f>COUNTIFS('DRAFT 2'!$D:$D,$B138,'DRAFT 2'!$A:$A,"&gt;="&amp;DATE(2026,6,8),'DRAFT 2'!$A:$A,"&lt;="&amp;DATE(2026,6,14))</f>
        <v/>
      </c>
      <c r="FG138">
        <f>COUNTIFS('DRAFT 2'!$D:$D,$B138,'DRAFT 2'!$A:$A,"&gt;="&amp;DATE(2026,6,15),'DRAFT 2'!$A:$A,"&lt;="&amp;DATE(2026,6,21))</f>
        <v/>
      </c>
      <c r="FH138">
        <f>COUNTIFS('DRAFT 2'!$D:$D,$B138,'DRAFT 2'!$A:$A,"&gt;="&amp;DATE(2026,6,22),'DRAFT 2'!$A:$A,"&lt;"&amp;DATE(2026,IF(6=12,6+1,6+1),1))</f>
        <v/>
      </c>
      <c r="FI138">
        <f>SUM(FE138:FH138)</f>
        <v/>
      </c>
      <c r="FT138">
        <f>IFERROR(LOOKUP(2,1/('DRAFT 2'!$D:$D=$B138)*('DRAFT 2'!$A:$A&gt;=DATE(2026,7,1))*('DRAFT 2'!$A:$A&lt;DATE(2026,IF(7=12,7+1,7+1),1)),'DRAFT 2'!$A:$A),"")</f>
        <v/>
      </c>
      <c r="FU138">
        <f>COUNTIFS('DRAFT 2'!$D:$D,$B138,'DRAFT 2'!$A:$A,"&gt;="&amp;DATE(2026,7,1),'DRAFT 2'!$A:$A,"&lt;="&amp;DATE(2026,7,7))</f>
        <v/>
      </c>
      <c r="FV138">
        <f>COUNTIFS('DRAFT 2'!$D:$D,$B138,'DRAFT 2'!$A:$A,"&gt;="&amp;DATE(2026,7,8),'DRAFT 2'!$A:$A,"&lt;="&amp;DATE(2026,7,14))</f>
        <v/>
      </c>
      <c r="FW138">
        <f>COUNTIFS('DRAFT 2'!$D:$D,$B138,'DRAFT 2'!$A:$A,"&gt;="&amp;DATE(2026,7,15),'DRAFT 2'!$A:$A,"&lt;="&amp;DATE(2026,7,21))</f>
        <v/>
      </c>
      <c r="FX138">
        <f>COUNTIFS('DRAFT 2'!$D:$D,$B138,'DRAFT 2'!$A:$A,"&gt;="&amp;DATE(2026,7,22),'DRAFT 2'!$A:$A,"&lt;"&amp;DATE(2026,IF(7=12,7+1,7+1),1))</f>
        <v/>
      </c>
      <c r="FY138">
        <f>SUM(FU138:FX138)</f>
        <v/>
      </c>
      <c r="GI138">
        <f>IFERROR(LOOKUP(2,1/('DRAFT 2'!$D:$D=$B138)*('DRAFT 2'!$A:$A&gt;=DATE(2026,8,1))*('DRAFT 2'!$A:$A&lt;DATE(2026,IF(8=12,8+1,8+1),1)),'DRAFT 2'!$A:$A),"")</f>
        <v/>
      </c>
      <c r="GJ138">
        <f>COUNTIFS('DRAFT 2'!$D:$D,$B138,'DRAFT 2'!$A:$A,"&gt;="&amp;DATE(2026,8,1),'DRAFT 2'!$A:$A,"&lt;="&amp;DATE(2026,8,7))</f>
        <v/>
      </c>
      <c r="GK138">
        <f>COUNTIFS('DRAFT 2'!$D:$D,$B138,'DRAFT 2'!$A:$A,"&gt;="&amp;DATE(2026,8,8),'DRAFT 2'!$A:$A,"&lt;="&amp;DATE(2026,8,14))</f>
        <v/>
      </c>
      <c r="GL138">
        <f>COUNTIFS('DRAFT 2'!$D:$D,$B138,'DRAFT 2'!$A:$A,"&gt;="&amp;DATE(2026,8,15),'DRAFT 2'!$A:$A,"&lt;="&amp;DATE(2026,8,21))</f>
        <v/>
      </c>
      <c r="GM138">
        <f>COUNTIFS('DRAFT 2'!$D:$D,$B138,'DRAFT 2'!$A:$A,"&gt;="&amp;DATE(2026,8,22),'DRAFT 2'!$A:$A,"&lt;"&amp;DATE(2026,IF(8=12,8+1,8+1),1))</f>
        <v/>
      </c>
      <c r="GN138">
        <f>SUM(GJ138:GM138)</f>
        <v/>
      </c>
      <c r="GX138">
        <f>IFERROR(LOOKUP(2,1/('DRAFT 2'!$D:$D=$B138)*('DRAFT 2'!$A:$A&gt;=DATE(2026,9,1))*('DRAFT 2'!$A:$A&lt;DATE(2026,IF(9=12,9+1,9+1),1)),'DRAFT 2'!$A:$A),"")</f>
        <v/>
      </c>
      <c r="GY138">
        <f>COUNTIFS('DRAFT 2'!$D:$D,$B138,'DRAFT 2'!$A:$A,"&gt;="&amp;DATE(2026,9,1),'DRAFT 2'!$A:$A,"&lt;="&amp;DATE(2026,9,7))</f>
        <v/>
      </c>
      <c r="GZ138">
        <f>COUNTIFS('DRAFT 2'!$D:$D,$B138,'DRAFT 2'!$A:$A,"&gt;="&amp;DATE(2026,9,8),'DRAFT 2'!$A:$A,"&lt;="&amp;DATE(2026,9,14))</f>
        <v/>
      </c>
      <c r="HA138">
        <f>COUNTIFS('DRAFT 2'!$D:$D,$B138,'DRAFT 2'!$A:$A,"&gt;="&amp;DATE(2026,9,15),'DRAFT 2'!$A:$A,"&lt;="&amp;DATE(2026,9,21))</f>
        <v/>
      </c>
      <c r="HB138">
        <f>COUNTIFS('DRAFT 2'!$D:$D,$B138,'DRAFT 2'!$A:$A,"&gt;="&amp;DATE(2026,9,22),'DRAFT 2'!$A:$A,"&lt;"&amp;DATE(2026,IF(9=12,9+1,9+1),1))</f>
        <v/>
      </c>
      <c r="HC138">
        <f>SUM(GY138:HB138)</f>
        <v/>
      </c>
      <c r="HN138">
        <f>IFERROR(LOOKUP(2,1/('DRAFT 2'!$D:$D=$B138)*('DRAFT 2'!$A:$A&gt;=DATE(2026,10,1))*('DRAFT 2'!$A:$A&lt;DATE(2026,IF(10=12,10+1,10+1),1)),'DRAFT 2'!$A:$A),"")</f>
        <v/>
      </c>
      <c r="HO138">
        <f>COUNTIFS('DRAFT 2'!$D:$D,$B138,'DRAFT 2'!$A:$A,"&gt;="&amp;DATE(2026,10,1),'DRAFT 2'!$A:$A,"&lt;="&amp;DATE(2026,10,7))</f>
        <v/>
      </c>
      <c r="HP138">
        <f>COUNTIFS('DRAFT 2'!$D:$D,$B138,'DRAFT 2'!$A:$A,"&gt;="&amp;DATE(2026,10,8),'DRAFT 2'!$A:$A,"&lt;="&amp;DATE(2026,10,14))</f>
        <v/>
      </c>
      <c r="HQ138">
        <f>COUNTIFS('DRAFT 2'!$D:$D,$B138,'DRAFT 2'!$A:$A,"&gt;="&amp;DATE(2026,10,15),'DRAFT 2'!$A:$A,"&lt;="&amp;DATE(2026,10,21))</f>
        <v/>
      </c>
      <c r="HR138">
        <f>COUNTIFS('DRAFT 2'!$D:$D,$B138,'DRAFT 2'!$A:$A,"&gt;="&amp;DATE(2026,10,22),'DRAFT 2'!$A:$A,"&lt;"&amp;DATE(2026,IF(10=12,10+1,10+1),1))</f>
        <v/>
      </c>
      <c r="HS138">
        <f>SUM(HO138:HR138)</f>
        <v/>
      </c>
      <c r="IC138">
        <f>IFERROR(LOOKUP(2,1/('DRAFT 2'!$D:$D=$B138)*('DRAFT 2'!$A:$A&gt;=DATE(2026,11,1))*('DRAFT 2'!$A:$A&lt;DATE(2026,IF(11=12,11+1,11+1),1)),'DRAFT 2'!$A:$A),"")</f>
        <v/>
      </c>
      <c r="ID138">
        <f>COUNTIFS('DRAFT 2'!$D:$D,$B138,'DRAFT 2'!$A:$A,"&gt;="&amp;DATE(2026,11,1),'DRAFT 2'!$A:$A,"&lt;="&amp;DATE(2026,11,7))</f>
        <v/>
      </c>
      <c r="IE138">
        <f>COUNTIFS('DRAFT 2'!$D:$D,$B138,'DRAFT 2'!$A:$A,"&gt;="&amp;DATE(2026,11,8),'DRAFT 2'!$A:$A,"&lt;="&amp;DATE(2026,11,14))</f>
        <v/>
      </c>
      <c r="IF138">
        <f>COUNTIFS('DRAFT 2'!$D:$D,$B138,'DRAFT 2'!$A:$A,"&gt;="&amp;DATE(2026,11,15),'DRAFT 2'!$A:$A,"&lt;="&amp;DATE(2026,11,21))</f>
        <v/>
      </c>
      <c r="IG138">
        <f>COUNTIFS('DRAFT 2'!$D:$D,$B138,'DRAFT 2'!$A:$A,"&gt;="&amp;DATE(2026,11,22),'DRAFT 2'!$A:$A,"&lt;"&amp;DATE(2026,IF(11=12,11+1,11+1),1))</f>
        <v/>
      </c>
      <c r="IH138">
        <f>SUM(ID138:IG138)</f>
        <v/>
      </c>
      <c r="IR138">
        <f>IFERROR(LOOKUP(2,1/('DRAFT 2'!$D:$D=$B138)*('DRAFT 2'!$A:$A&gt;=DATE(2026,12,1))*('DRAFT 2'!$A:$A&lt;DATE(2026,IF(12=12,12+1,12+1),1)),'DRAFT 2'!$A:$A),"")</f>
        <v/>
      </c>
      <c r="IS138">
        <f>COUNTIFS('DRAFT 2'!$D:$D,$B138,'DRAFT 2'!$A:$A,"&gt;="&amp;DATE(2026,12,1),'DRAFT 2'!$A:$A,"&lt;="&amp;DATE(2026,12,7))</f>
        <v/>
      </c>
      <c r="IT138">
        <f>COUNTIFS('DRAFT 2'!$D:$D,$B138,'DRAFT 2'!$A:$A,"&gt;="&amp;DATE(2026,12,8),'DRAFT 2'!$A:$A,"&lt;="&amp;DATE(2026,12,14))</f>
        <v/>
      </c>
      <c r="IU138">
        <f>COUNTIFS('DRAFT 2'!$D:$D,$B138,'DRAFT 2'!$A:$A,"&gt;="&amp;DATE(2026,12,15),'DRAFT 2'!$A:$A,"&lt;="&amp;DATE(2026,12,21))</f>
        <v/>
      </c>
      <c r="IV138">
        <f>COUNTIFS('DRAFT 2'!$D:$D,$B138,'DRAFT 2'!$A:$A,"&gt;="&amp;DATE(2026,12,22),'DRAFT 2'!$A:$A,"&lt;"&amp;DATE(2026,IF(12=12,12+1,12+1),1))</f>
        <v/>
      </c>
      <c r="IW138">
        <f>SUM(IS138:IV138)</f>
        <v/>
      </c>
    </row>
    <row r="139">
      <c r="A139">
        <f>IFERROR(INDEX('DRAFT 1'!$A:$A,MATCH($B139,'DRAFT 1'!$B:$B,0)),"")</f>
        <v/>
      </c>
      <c r="C139">
        <f>IFERROR(INDEX('DRAFT 1'!$C:$C,MATCH($B139,'DRAFT 1'!$B:$B,0)),"")</f>
        <v/>
      </c>
      <c r="D139">
        <f>IFERROR(INDEX('DRAFT 1'!$D:$D,MATCH($B139,'DRAFT 1'!$B:$B,0)),"")</f>
        <v/>
      </c>
      <c r="E139">
        <f>IFERROR(INDEX('DRAFT 1'!$E:$E,MATCH($B139,'DRAFT 1'!$B:$B,0)),"")</f>
        <v/>
      </c>
      <c r="F139">
        <f>IFERROR(INDEX('DRAFT 1'!$F:$F,MATCH($B139,'DRAFT 1'!$B:$B,0)),"")</f>
        <v/>
      </c>
      <c r="G139">
        <f>IFERROR(INDEX('DRAFT 1'!$G:$G,MATCH($B139,'DRAFT 1'!$B:$B,0)),"")</f>
        <v/>
      </c>
      <c r="H139">
        <f>IFERROR(INDEX('DRAFT 1'!$H:$H,MATCH($B139,'DRAFT 1'!$B:$B,0)),"")</f>
        <v/>
      </c>
      <c r="I139">
        <f>IFERROR(INDEX('DRAFT 1'!$I:$I,MATCH($B139,'DRAFT 1'!$B:$B,0)),"")</f>
        <v/>
      </c>
      <c r="K139">
        <f>IFERROR(INDEX('DRAFT 1'!$AL:$AL,MATCH($B139,'DRAFT 1'!$B:$B,0)),"")</f>
        <v/>
      </c>
      <c r="L139">
        <f>IFERROR(INDEX('DRAFT 1'!$J:$J,MATCH($B139,'DRAFT 1'!$B:$B,0)),"")</f>
        <v/>
      </c>
      <c r="M139">
        <f>IFERROR(INDEX('DRAFT 1'!$K:$K,MATCH($B139,'DRAFT 1'!$B:$B,0)),"")</f>
        <v/>
      </c>
      <c r="P139">
        <f>IFERROR(INDEX('DRAFT 1'!$L:$L,MATCH($B139,'DRAFT 1'!$B:$B,0)),"")</f>
        <v/>
      </c>
      <c r="Q139">
        <f>IFERROR(INDEX('DRAFT 1'!$M:$M,MATCH($B139,'DRAFT 1'!$B:$B,0)),"")</f>
        <v/>
      </c>
      <c r="R139">
        <f>IFERROR(INDEX('DRAFT 1'!$N:$N,MATCH($B139,'DRAFT 1'!$B:$B,0)),"")</f>
        <v/>
      </c>
      <c r="S139">
        <f>IFERROR(INDEX('DRAFT 1'!$O:$O,MATCH($B139,'DRAFT 1'!$B:$B,0)),"")</f>
        <v/>
      </c>
      <c r="T139">
        <f>IFERROR(INDEX('DRAFT 1'!$P:$P,MATCH($B139,'DRAFT 1'!$B:$B,0)),"")</f>
        <v/>
      </c>
      <c r="U139">
        <f>IFERROR(INDEX('DRAFT 1'!$Q:$Q,MATCH($B139,'DRAFT 1'!$B:$B,0)),"")</f>
        <v/>
      </c>
      <c r="V139">
        <f>IFERROR(INDEX('DRAFT 1'!$R:$R,MATCH($B139,'DRAFT 1'!$B:$B,0)),"")</f>
        <v/>
      </c>
      <c r="W139">
        <f>IFERROR(INDEX('DRAFT 1'!$S:$S,MATCH($B139,'DRAFT 1'!$B:$B,0)),"")</f>
        <v/>
      </c>
      <c r="X139">
        <f>IFERROR(INDEX('DRAFT 1'!$T:$T,MATCH($B139,'DRAFT 1'!$B:$B,0)),"")</f>
        <v/>
      </c>
      <c r="Z139">
        <f>IFERROR(INDEX('DRAFT 1'!$U:$U,MATCH($B139,'DRAFT 1'!$B:$B,0)),"")</f>
        <v/>
      </c>
      <c r="AA139">
        <f>IFERROR(INDEX('DRAFT 1'!$V:$V,MATCH($B139,'DRAFT 1'!$B:$B,0)),"")</f>
        <v/>
      </c>
      <c r="AB139">
        <f>IFERROR(INDEX('DRAFT 1'!$W:$W,MATCH($B139,'DRAFT 1'!$B:$B,0)),"")</f>
        <v/>
      </c>
      <c r="AC139">
        <f>IFERROR(INDEX('DRAFT 1'!$X:$X,MATCH($B139,'DRAFT 1'!$B:$B,0)),"")</f>
        <v/>
      </c>
      <c r="AD139">
        <f>IFERROR(INDEX('DRAFT 1'!$Y:$Y,MATCH($B139,'DRAFT 1'!$B:$B,0)),"")</f>
        <v/>
      </c>
      <c r="AE139">
        <f>IFERROR(INDEX('DRAFT 1'!$Z:$Z,MATCH($B139,'DRAFT 1'!$B:$B,0)),"")</f>
        <v/>
      </c>
      <c r="AF139">
        <f>IFERROR(INDEX('DRAFT 1'!$AA:$AA,MATCH($B139,'DRAFT 1'!$B:$B,0)),"")</f>
        <v/>
      </c>
      <c r="AG139">
        <f>IFERROR(INDEX('DRAFT 1'!$AB:$AB,MATCH($B139,'DRAFT 1'!$B:$B,0)),"")</f>
        <v/>
      </c>
      <c r="AH139">
        <f>IFERROR(INDEX('DRAFT 1'!$AC:$AC,MATCH($B139,'DRAFT 1'!$B:$B,0)),"")</f>
        <v/>
      </c>
      <c r="AI139">
        <f>IFERROR(INDEX('DRAFT 1'!$AD:$AD,MATCH($B139,'DRAFT 1'!$B:$B,0)),"")</f>
        <v/>
      </c>
      <c r="AJ139">
        <f>IFERROR(INDEX('DRAFT 1'!$AE:$AE,MATCH($B139,'DRAFT 1'!$B:$B,0)),"")</f>
        <v/>
      </c>
      <c r="AK139">
        <f>IFERROR(INDEX('DRAFT 1'!$AG:$AG,MATCH($B139,'DRAFT 1'!$B:$B,0)),"")</f>
        <v/>
      </c>
      <c r="AL139">
        <f>IFERROR(INDEX('DRAFT 1'!$AH:$AH,MATCH($B139,'DRAFT 1'!$B:$B,0)),"")</f>
        <v/>
      </c>
      <c r="AM139">
        <f>IFERROR(INDEX('DRAFT 1'!$AI:$AI,MATCH($B139,'DRAFT 1'!$B:$B,0)),"")</f>
        <v/>
      </c>
      <c r="AN139">
        <f>IFERROR(INDEX('DRAFT 1'!$AJ:$AJ,MATCH($B139,'DRAFT 1'!$B:$B,0)),"")</f>
        <v/>
      </c>
      <c r="AO139">
        <f>IFERROR(Y139/AN139,0)</f>
        <v/>
      </c>
      <c r="AP139">
        <f>IFERROR(INDEX('DRAFT 1'!$AK:$AK,MATCH($B139,'DRAFT 1'!$B:$B,0)),"")</f>
        <v/>
      </c>
      <c r="AR139">
        <f>IFERROR(LOOKUP(2,1/('DRAFT 2'!$D:$D=$B139),'DRAFT 2'!$I:$I),"")</f>
        <v/>
      </c>
      <c r="AS139">
        <f>IFERROR(LOOKUP(2,1/('DRAFT 2'!$D:$D=$B139),'DRAFT 2'!$T:$T),"")</f>
        <v/>
      </c>
      <c r="AT139">
        <f>IFERROR(LOOKUP(2,1/('DRAFT 2'!$D:$D=$B139),'DRAFT 2'!$A:$A),"")</f>
        <v/>
      </c>
      <c r="AU139">
        <f>IFERROR(LOOKUP(2,1/('DRAFT 2'!$D:$D=$B139),'DRAFT 2'!$R:$R),"")</f>
        <v/>
      </c>
      <c r="AV139">
        <f>IFERROR(LOOKUP(2,1/('DRAFT 2'!$D:$D=$B139),'DRAFT 2'!$S:$S),"")</f>
        <v/>
      </c>
      <c r="AX139">
        <f>IFERROR(LOOKUP(2,1/('DRAFT 2'!$D:$D=$B139),'DRAFT 2'!$M:$M),"")</f>
        <v/>
      </c>
      <c r="AY139">
        <f>IFERROR(LOOKUP(2,1/('DRAFT 2'!$D:$D=$B139),'DRAFT 2'!$K:$K),"")</f>
        <v/>
      </c>
      <c r="BG139">
        <f>IFERROR(LOOKUP(2,1/('DRAFT 2'!$D:$D=$B139),'DRAFT 2'!$U:$U),"")</f>
        <v/>
      </c>
      <c r="BH139">
        <f>IFERROR(LOOKUP(2,1/('DRAFT 2'!$D:$D=$B139),'DRAFT 2'!$V:$V),"")</f>
        <v/>
      </c>
      <c r="CE139">
        <f>IFERROR(AJ139,0)</f>
        <v/>
      </c>
      <c r="CF139">
        <f>IFERROR(LOOKUP(2,1/('DRAFT 2'!$D:$D=$B139)*('DRAFT 2'!$A:$A&gt;=DATE(2026,1,1))*('DRAFT 2'!$A:$A&lt;DATE(2026,IF(1=12,1+1,1+1),1)),'DRAFT 2'!$A:$A),"")</f>
        <v/>
      </c>
      <c r="CG139">
        <f>COUNTIFS('DRAFT 2'!$D:$D,$B139,'DRAFT 2'!$A:$A,"&gt;="&amp;DATE(2026,1,1),'DRAFT 2'!$A:$A,"&lt;="&amp;DATE(2026,1,7))</f>
        <v/>
      </c>
      <c r="CH139">
        <f>COUNTIFS('DRAFT 2'!$D:$D,$B139,'DRAFT 2'!$A:$A,"&gt;="&amp;DATE(2026,1,8),'DRAFT 2'!$A:$A,"&lt;="&amp;DATE(2026,1,14))</f>
        <v/>
      </c>
      <c r="CI139">
        <f>COUNTIFS('DRAFT 2'!$D:$D,$B139,'DRAFT 2'!$A:$A,"&gt;="&amp;DATE(2026,1,15),'DRAFT 2'!$A:$A,"&lt;="&amp;DATE(2026,1,21))</f>
        <v/>
      </c>
      <c r="CJ139">
        <f>COUNTIFS('DRAFT 2'!$D:$D,$B139,'DRAFT 2'!$A:$A,"&gt;="&amp;DATE(2026,1,22),'DRAFT 2'!$A:$A,"&lt;"&amp;DATE(2026,IF(1=12,1+1,1+1),1))</f>
        <v/>
      </c>
      <c r="CK139">
        <f>SUM(CG139:CJ139)</f>
        <v/>
      </c>
      <c r="CT139" t="n">
        <v>0</v>
      </c>
      <c r="CU139">
        <f>IFERROR(LOOKUP(2,1/('DRAFT 2'!$D:$D=$B139)*('DRAFT 2'!$A:$A&gt;=DATE(2026,2,1))*('DRAFT 2'!$A:$A&lt;DATE(2026,IF(2=12,2+1,2+1),1)),'DRAFT 2'!$A:$A),"")</f>
        <v/>
      </c>
      <c r="CV139">
        <f>COUNTIFS('DRAFT 2'!$D:$D,$B139,'DRAFT 2'!$A:$A,"&gt;="&amp;DATE(2026,2,1),'DRAFT 2'!$A:$A,"&lt;="&amp;DATE(2026,2,7))</f>
        <v/>
      </c>
      <c r="CW139">
        <f>COUNTIFS('DRAFT 2'!$D:$D,$B139,'DRAFT 2'!$A:$A,"&gt;="&amp;DATE(2026,2,8),'DRAFT 2'!$A:$A,"&lt;="&amp;DATE(2026,2,14))</f>
        <v/>
      </c>
      <c r="CX139">
        <f>COUNTIFS('DRAFT 2'!$D:$D,$B139,'DRAFT 2'!$A:$A,"&gt;="&amp;DATE(2026,2,15),'DRAFT 2'!$A:$A,"&lt;="&amp;DATE(2026,2,21))</f>
        <v/>
      </c>
      <c r="CY139">
        <f>COUNTIFS('DRAFT 2'!$D:$D,$B139,'DRAFT 2'!$A:$A,"&gt;="&amp;DATE(2026,2,22),'DRAFT 2'!$A:$A,"&lt;"&amp;DATE(2026,IF(2=12,2+1,2+1),1))</f>
        <v/>
      </c>
      <c r="CZ139">
        <f>SUM(CV139:CY139)</f>
        <v/>
      </c>
      <c r="DJ139">
        <f>IFERROR(LOOKUP(2,1/('DRAFT 2'!$D:$D=$B139)*('DRAFT 2'!$A:$A&gt;=DATE(2026,3,1))*('DRAFT 2'!$A:$A&lt;DATE(2026,IF(3=12,3+1,3+1),1)),'DRAFT 2'!$A:$A),"")</f>
        <v/>
      </c>
      <c r="DK139">
        <f>COUNTIFS('DRAFT 2'!$D:$D,$B139,'DRAFT 2'!$A:$A,"&gt;="&amp;DATE(2026,3,1),'DRAFT 2'!$A:$A,"&lt;="&amp;DATE(2026,3,7))</f>
        <v/>
      </c>
      <c r="DL139">
        <f>COUNTIFS('DRAFT 2'!$D:$D,$B139,'DRAFT 2'!$A:$A,"&gt;="&amp;DATE(2026,3,8),'DRAFT 2'!$A:$A,"&lt;="&amp;DATE(2026,3,14))</f>
        <v/>
      </c>
      <c r="DM139">
        <f>COUNTIFS('DRAFT 2'!$D:$D,$B139,'DRAFT 2'!$A:$A,"&gt;="&amp;DATE(2026,3,15),'DRAFT 2'!$A:$A,"&lt;="&amp;DATE(2026,3,21))</f>
        <v/>
      </c>
      <c r="DN139">
        <f>COUNTIFS('DRAFT 2'!$D:$D,$B139,'DRAFT 2'!$A:$A,"&gt;="&amp;DATE(2026,3,22),'DRAFT 2'!$A:$A,"&lt;"&amp;DATE(2026,IF(3=12,3+1,3+1),1))</f>
        <v/>
      </c>
      <c r="DO139">
        <f>SUM(DK139:DN139)</f>
        <v/>
      </c>
      <c r="DZ139">
        <f>IFERROR(LOOKUP(2,1/('DRAFT 2'!$D:$D=$B139)*('DRAFT 2'!$A:$A&gt;=DATE(2026,4,1))*('DRAFT 2'!$A:$A&lt;DATE(2026,IF(4=12,4+1,4+1),1)),'DRAFT 2'!$A:$A),"")</f>
        <v/>
      </c>
      <c r="EA139">
        <f>COUNTIFS('DRAFT 2'!$D:$D,$B139,'DRAFT 2'!$A:$A,"&gt;="&amp;DATE(2026,4,1),'DRAFT 2'!$A:$A,"&lt;="&amp;DATE(2026,4,7))</f>
        <v/>
      </c>
      <c r="EB139">
        <f>COUNTIFS('DRAFT 2'!$D:$D,$B139,'DRAFT 2'!$A:$A,"&gt;="&amp;DATE(2026,4,8),'DRAFT 2'!$A:$A,"&lt;="&amp;DATE(2026,4,14))</f>
        <v/>
      </c>
      <c r="EC139">
        <f>COUNTIFS('DRAFT 2'!$D:$D,$B139,'DRAFT 2'!$A:$A,"&gt;="&amp;DATE(2026,4,15),'DRAFT 2'!$A:$A,"&lt;="&amp;DATE(2026,4,21))</f>
        <v/>
      </c>
      <c r="ED139">
        <f>COUNTIFS('DRAFT 2'!$D:$D,$B139,'DRAFT 2'!$A:$A,"&gt;="&amp;DATE(2026,4,22),'DRAFT 2'!$A:$A,"&lt;"&amp;DATE(2026,IF(4=12,4+1,4+1),1))</f>
        <v/>
      </c>
      <c r="EE139">
        <f>SUM(EA139:ED139)</f>
        <v/>
      </c>
      <c r="EO139">
        <f>IFERROR(LOOKUP(2,1/('DRAFT 2'!$D:$D=$B139)*('DRAFT 2'!$A:$A&gt;=DATE(2026,5,1))*('DRAFT 2'!$A:$A&lt;DATE(2026,IF(5=12,5+1,5+1),1)),'DRAFT 2'!$A:$A),"")</f>
        <v/>
      </c>
      <c r="EP139">
        <f>COUNTIFS('DRAFT 2'!$D:$D,$B139,'DRAFT 2'!$A:$A,"&gt;="&amp;DATE(2026,5,1),'DRAFT 2'!$A:$A,"&lt;="&amp;DATE(2026,5,7))</f>
        <v/>
      </c>
      <c r="EQ139">
        <f>COUNTIFS('DRAFT 2'!$D:$D,$B139,'DRAFT 2'!$A:$A,"&gt;="&amp;DATE(2026,5,8),'DRAFT 2'!$A:$A,"&lt;="&amp;DATE(2026,5,14))</f>
        <v/>
      </c>
      <c r="ER139">
        <f>COUNTIFS('DRAFT 2'!$D:$D,$B139,'DRAFT 2'!$A:$A,"&gt;="&amp;DATE(2026,5,15),'DRAFT 2'!$A:$A,"&lt;="&amp;DATE(2026,5,21))</f>
        <v/>
      </c>
      <c r="ES139">
        <f>COUNTIFS('DRAFT 2'!$D:$D,$B139,'DRAFT 2'!$A:$A,"&gt;="&amp;DATE(2026,5,22),'DRAFT 2'!$A:$A,"&lt;"&amp;DATE(2026,IF(5=12,5+1,5+1),1))</f>
        <v/>
      </c>
      <c r="ET139">
        <f>SUM(EP139:ES139)</f>
        <v/>
      </c>
      <c r="FD139">
        <f>IFERROR(LOOKUP(2,1/('DRAFT 2'!$D:$D=$B139)*('DRAFT 2'!$A:$A&gt;=DATE(2026,6,1))*('DRAFT 2'!$A:$A&lt;DATE(2026,IF(6=12,6+1,6+1),1)),'DRAFT 2'!$A:$A),"")</f>
        <v/>
      </c>
      <c r="FE139">
        <f>COUNTIFS('DRAFT 2'!$D:$D,$B139,'DRAFT 2'!$A:$A,"&gt;="&amp;DATE(2026,6,1),'DRAFT 2'!$A:$A,"&lt;="&amp;DATE(2026,6,7))</f>
        <v/>
      </c>
      <c r="FF139">
        <f>COUNTIFS('DRAFT 2'!$D:$D,$B139,'DRAFT 2'!$A:$A,"&gt;="&amp;DATE(2026,6,8),'DRAFT 2'!$A:$A,"&lt;="&amp;DATE(2026,6,14))</f>
        <v/>
      </c>
      <c r="FG139">
        <f>COUNTIFS('DRAFT 2'!$D:$D,$B139,'DRAFT 2'!$A:$A,"&gt;="&amp;DATE(2026,6,15),'DRAFT 2'!$A:$A,"&lt;="&amp;DATE(2026,6,21))</f>
        <v/>
      </c>
      <c r="FH139">
        <f>COUNTIFS('DRAFT 2'!$D:$D,$B139,'DRAFT 2'!$A:$A,"&gt;="&amp;DATE(2026,6,22),'DRAFT 2'!$A:$A,"&lt;"&amp;DATE(2026,IF(6=12,6+1,6+1),1))</f>
        <v/>
      </c>
      <c r="FI139">
        <f>SUM(FE139:FH139)</f>
        <v/>
      </c>
      <c r="FT139">
        <f>IFERROR(LOOKUP(2,1/('DRAFT 2'!$D:$D=$B139)*('DRAFT 2'!$A:$A&gt;=DATE(2026,7,1))*('DRAFT 2'!$A:$A&lt;DATE(2026,IF(7=12,7+1,7+1),1)),'DRAFT 2'!$A:$A),"")</f>
        <v/>
      </c>
      <c r="FU139">
        <f>COUNTIFS('DRAFT 2'!$D:$D,$B139,'DRAFT 2'!$A:$A,"&gt;="&amp;DATE(2026,7,1),'DRAFT 2'!$A:$A,"&lt;="&amp;DATE(2026,7,7))</f>
        <v/>
      </c>
      <c r="FV139">
        <f>COUNTIFS('DRAFT 2'!$D:$D,$B139,'DRAFT 2'!$A:$A,"&gt;="&amp;DATE(2026,7,8),'DRAFT 2'!$A:$A,"&lt;="&amp;DATE(2026,7,14))</f>
        <v/>
      </c>
      <c r="FW139">
        <f>COUNTIFS('DRAFT 2'!$D:$D,$B139,'DRAFT 2'!$A:$A,"&gt;="&amp;DATE(2026,7,15),'DRAFT 2'!$A:$A,"&lt;="&amp;DATE(2026,7,21))</f>
        <v/>
      </c>
      <c r="FX139">
        <f>COUNTIFS('DRAFT 2'!$D:$D,$B139,'DRAFT 2'!$A:$A,"&gt;="&amp;DATE(2026,7,22),'DRAFT 2'!$A:$A,"&lt;"&amp;DATE(2026,IF(7=12,7+1,7+1),1))</f>
        <v/>
      </c>
      <c r="FY139">
        <f>SUM(FU139:FX139)</f>
        <v/>
      </c>
      <c r="GI139">
        <f>IFERROR(LOOKUP(2,1/('DRAFT 2'!$D:$D=$B139)*('DRAFT 2'!$A:$A&gt;=DATE(2026,8,1))*('DRAFT 2'!$A:$A&lt;DATE(2026,IF(8=12,8+1,8+1),1)),'DRAFT 2'!$A:$A),"")</f>
        <v/>
      </c>
      <c r="GJ139">
        <f>COUNTIFS('DRAFT 2'!$D:$D,$B139,'DRAFT 2'!$A:$A,"&gt;="&amp;DATE(2026,8,1),'DRAFT 2'!$A:$A,"&lt;="&amp;DATE(2026,8,7))</f>
        <v/>
      </c>
      <c r="GK139">
        <f>COUNTIFS('DRAFT 2'!$D:$D,$B139,'DRAFT 2'!$A:$A,"&gt;="&amp;DATE(2026,8,8),'DRAFT 2'!$A:$A,"&lt;="&amp;DATE(2026,8,14))</f>
        <v/>
      </c>
      <c r="GL139">
        <f>COUNTIFS('DRAFT 2'!$D:$D,$B139,'DRAFT 2'!$A:$A,"&gt;="&amp;DATE(2026,8,15),'DRAFT 2'!$A:$A,"&lt;="&amp;DATE(2026,8,21))</f>
        <v/>
      </c>
      <c r="GM139">
        <f>COUNTIFS('DRAFT 2'!$D:$D,$B139,'DRAFT 2'!$A:$A,"&gt;="&amp;DATE(2026,8,22),'DRAFT 2'!$A:$A,"&lt;"&amp;DATE(2026,IF(8=12,8+1,8+1),1))</f>
        <v/>
      </c>
      <c r="GN139">
        <f>SUM(GJ139:GM139)</f>
        <v/>
      </c>
      <c r="GX139">
        <f>IFERROR(LOOKUP(2,1/('DRAFT 2'!$D:$D=$B139)*('DRAFT 2'!$A:$A&gt;=DATE(2026,9,1))*('DRAFT 2'!$A:$A&lt;DATE(2026,IF(9=12,9+1,9+1),1)),'DRAFT 2'!$A:$A),"")</f>
        <v/>
      </c>
      <c r="GY139">
        <f>COUNTIFS('DRAFT 2'!$D:$D,$B139,'DRAFT 2'!$A:$A,"&gt;="&amp;DATE(2026,9,1),'DRAFT 2'!$A:$A,"&lt;="&amp;DATE(2026,9,7))</f>
        <v/>
      </c>
      <c r="GZ139">
        <f>COUNTIFS('DRAFT 2'!$D:$D,$B139,'DRAFT 2'!$A:$A,"&gt;="&amp;DATE(2026,9,8),'DRAFT 2'!$A:$A,"&lt;="&amp;DATE(2026,9,14))</f>
        <v/>
      </c>
      <c r="HA139">
        <f>COUNTIFS('DRAFT 2'!$D:$D,$B139,'DRAFT 2'!$A:$A,"&gt;="&amp;DATE(2026,9,15),'DRAFT 2'!$A:$A,"&lt;="&amp;DATE(2026,9,21))</f>
        <v/>
      </c>
      <c r="HB139">
        <f>COUNTIFS('DRAFT 2'!$D:$D,$B139,'DRAFT 2'!$A:$A,"&gt;="&amp;DATE(2026,9,22),'DRAFT 2'!$A:$A,"&lt;"&amp;DATE(2026,IF(9=12,9+1,9+1),1))</f>
        <v/>
      </c>
      <c r="HC139">
        <f>SUM(GY139:HB139)</f>
        <v/>
      </c>
      <c r="HN139">
        <f>IFERROR(LOOKUP(2,1/('DRAFT 2'!$D:$D=$B139)*('DRAFT 2'!$A:$A&gt;=DATE(2026,10,1))*('DRAFT 2'!$A:$A&lt;DATE(2026,IF(10=12,10+1,10+1),1)),'DRAFT 2'!$A:$A),"")</f>
        <v/>
      </c>
      <c r="HO139">
        <f>COUNTIFS('DRAFT 2'!$D:$D,$B139,'DRAFT 2'!$A:$A,"&gt;="&amp;DATE(2026,10,1),'DRAFT 2'!$A:$A,"&lt;="&amp;DATE(2026,10,7))</f>
        <v/>
      </c>
      <c r="HP139">
        <f>COUNTIFS('DRAFT 2'!$D:$D,$B139,'DRAFT 2'!$A:$A,"&gt;="&amp;DATE(2026,10,8),'DRAFT 2'!$A:$A,"&lt;="&amp;DATE(2026,10,14))</f>
        <v/>
      </c>
      <c r="HQ139">
        <f>COUNTIFS('DRAFT 2'!$D:$D,$B139,'DRAFT 2'!$A:$A,"&gt;="&amp;DATE(2026,10,15),'DRAFT 2'!$A:$A,"&lt;="&amp;DATE(2026,10,21))</f>
        <v/>
      </c>
      <c r="HR139">
        <f>COUNTIFS('DRAFT 2'!$D:$D,$B139,'DRAFT 2'!$A:$A,"&gt;="&amp;DATE(2026,10,22),'DRAFT 2'!$A:$A,"&lt;"&amp;DATE(2026,IF(10=12,10+1,10+1),1))</f>
        <v/>
      </c>
      <c r="HS139">
        <f>SUM(HO139:HR139)</f>
        <v/>
      </c>
      <c r="IC139">
        <f>IFERROR(LOOKUP(2,1/('DRAFT 2'!$D:$D=$B139)*('DRAFT 2'!$A:$A&gt;=DATE(2026,11,1))*('DRAFT 2'!$A:$A&lt;DATE(2026,IF(11=12,11+1,11+1),1)),'DRAFT 2'!$A:$A),"")</f>
        <v/>
      </c>
      <c r="ID139">
        <f>COUNTIFS('DRAFT 2'!$D:$D,$B139,'DRAFT 2'!$A:$A,"&gt;="&amp;DATE(2026,11,1),'DRAFT 2'!$A:$A,"&lt;="&amp;DATE(2026,11,7))</f>
        <v/>
      </c>
      <c r="IE139">
        <f>COUNTIFS('DRAFT 2'!$D:$D,$B139,'DRAFT 2'!$A:$A,"&gt;="&amp;DATE(2026,11,8),'DRAFT 2'!$A:$A,"&lt;="&amp;DATE(2026,11,14))</f>
        <v/>
      </c>
      <c r="IF139">
        <f>COUNTIFS('DRAFT 2'!$D:$D,$B139,'DRAFT 2'!$A:$A,"&gt;="&amp;DATE(2026,11,15),'DRAFT 2'!$A:$A,"&lt;="&amp;DATE(2026,11,21))</f>
        <v/>
      </c>
      <c r="IG139">
        <f>COUNTIFS('DRAFT 2'!$D:$D,$B139,'DRAFT 2'!$A:$A,"&gt;="&amp;DATE(2026,11,22),'DRAFT 2'!$A:$A,"&lt;"&amp;DATE(2026,IF(11=12,11+1,11+1),1))</f>
        <v/>
      </c>
      <c r="IH139">
        <f>SUM(ID139:IG139)</f>
        <v/>
      </c>
      <c r="IR139">
        <f>IFERROR(LOOKUP(2,1/('DRAFT 2'!$D:$D=$B139)*('DRAFT 2'!$A:$A&gt;=DATE(2026,12,1))*('DRAFT 2'!$A:$A&lt;DATE(2026,IF(12=12,12+1,12+1),1)),'DRAFT 2'!$A:$A),"")</f>
        <v/>
      </c>
      <c r="IS139">
        <f>COUNTIFS('DRAFT 2'!$D:$D,$B139,'DRAFT 2'!$A:$A,"&gt;="&amp;DATE(2026,12,1),'DRAFT 2'!$A:$A,"&lt;="&amp;DATE(2026,12,7))</f>
        <v/>
      </c>
      <c r="IT139">
        <f>COUNTIFS('DRAFT 2'!$D:$D,$B139,'DRAFT 2'!$A:$A,"&gt;="&amp;DATE(2026,12,8),'DRAFT 2'!$A:$A,"&lt;="&amp;DATE(2026,12,14))</f>
        <v/>
      </c>
      <c r="IU139">
        <f>COUNTIFS('DRAFT 2'!$D:$D,$B139,'DRAFT 2'!$A:$A,"&gt;="&amp;DATE(2026,12,15),'DRAFT 2'!$A:$A,"&lt;="&amp;DATE(2026,12,21))</f>
        <v/>
      </c>
      <c r="IV139">
        <f>COUNTIFS('DRAFT 2'!$D:$D,$B139,'DRAFT 2'!$A:$A,"&gt;="&amp;DATE(2026,12,22),'DRAFT 2'!$A:$A,"&lt;"&amp;DATE(2026,IF(12=12,12+1,12+1),1))</f>
        <v/>
      </c>
      <c r="IW139">
        <f>SUM(IS139:IV139)</f>
        <v/>
      </c>
    </row>
    <row r="140">
      <c r="A140">
        <f>IFERROR(INDEX('DRAFT 1'!$A:$A,MATCH($B140,'DRAFT 1'!$B:$B,0)),"")</f>
        <v/>
      </c>
      <c r="C140">
        <f>IFERROR(INDEX('DRAFT 1'!$C:$C,MATCH($B140,'DRAFT 1'!$B:$B,0)),"")</f>
        <v/>
      </c>
      <c r="D140">
        <f>IFERROR(INDEX('DRAFT 1'!$D:$D,MATCH($B140,'DRAFT 1'!$B:$B,0)),"")</f>
        <v/>
      </c>
      <c r="E140">
        <f>IFERROR(INDEX('DRAFT 1'!$E:$E,MATCH($B140,'DRAFT 1'!$B:$B,0)),"")</f>
        <v/>
      </c>
      <c r="F140">
        <f>IFERROR(INDEX('DRAFT 1'!$F:$F,MATCH($B140,'DRAFT 1'!$B:$B,0)),"")</f>
        <v/>
      </c>
      <c r="G140">
        <f>IFERROR(INDEX('DRAFT 1'!$G:$G,MATCH($B140,'DRAFT 1'!$B:$B,0)),"")</f>
        <v/>
      </c>
      <c r="H140">
        <f>IFERROR(INDEX('DRAFT 1'!$H:$H,MATCH($B140,'DRAFT 1'!$B:$B,0)),"")</f>
        <v/>
      </c>
      <c r="I140">
        <f>IFERROR(INDEX('DRAFT 1'!$I:$I,MATCH($B140,'DRAFT 1'!$B:$B,0)),"")</f>
        <v/>
      </c>
      <c r="K140">
        <f>IFERROR(INDEX('DRAFT 1'!$AL:$AL,MATCH($B140,'DRAFT 1'!$B:$B,0)),"")</f>
        <v/>
      </c>
      <c r="L140">
        <f>IFERROR(INDEX('DRAFT 1'!$J:$J,MATCH($B140,'DRAFT 1'!$B:$B,0)),"")</f>
        <v/>
      </c>
      <c r="M140">
        <f>IFERROR(INDEX('DRAFT 1'!$K:$K,MATCH($B140,'DRAFT 1'!$B:$B,0)),"")</f>
        <v/>
      </c>
      <c r="P140">
        <f>IFERROR(INDEX('DRAFT 1'!$L:$L,MATCH($B140,'DRAFT 1'!$B:$B,0)),"")</f>
        <v/>
      </c>
      <c r="Q140">
        <f>IFERROR(INDEX('DRAFT 1'!$M:$M,MATCH($B140,'DRAFT 1'!$B:$B,0)),"")</f>
        <v/>
      </c>
      <c r="R140">
        <f>IFERROR(INDEX('DRAFT 1'!$N:$N,MATCH($B140,'DRAFT 1'!$B:$B,0)),"")</f>
        <v/>
      </c>
      <c r="S140">
        <f>IFERROR(INDEX('DRAFT 1'!$O:$O,MATCH($B140,'DRAFT 1'!$B:$B,0)),"")</f>
        <v/>
      </c>
      <c r="T140">
        <f>IFERROR(INDEX('DRAFT 1'!$P:$P,MATCH($B140,'DRAFT 1'!$B:$B,0)),"")</f>
        <v/>
      </c>
      <c r="U140">
        <f>IFERROR(INDEX('DRAFT 1'!$Q:$Q,MATCH($B140,'DRAFT 1'!$B:$B,0)),"")</f>
        <v/>
      </c>
      <c r="V140">
        <f>IFERROR(INDEX('DRAFT 1'!$R:$R,MATCH($B140,'DRAFT 1'!$B:$B,0)),"")</f>
        <v/>
      </c>
      <c r="W140">
        <f>IFERROR(INDEX('DRAFT 1'!$S:$S,MATCH($B140,'DRAFT 1'!$B:$B,0)),"")</f>
        <v/>
      </c>
      <c r="X140">
        <f>IFERROR(INDEX('DRAFT 1'!$T:$T,MATCH($B140,'DRAFT 1'!$B:$B,0)),"")</f>
        <v/>
      </c>
      <c r="Z140">
        <f>IFERROR(INDEX('DRAFT 1'!$U:$U,MATCH($B140,'DRAFT 1'!$B:$B,0)),"")</f>
        <v/>
      </c>
      <c r="AA140">
        <f>IFERROR(INDEX('DRAFT 1'!$V:$V,MATCH($B140,'DRAFT 1'!$B:$B,0)),"")</f>
        <v/>
      </c>
      <c r="AB140">
        <f>IFERROR(INDEX('DRAFT 1'!$W:$W,MATCH($B140,'DRAFT 1'!$B:$B,0)),"")</f>
        <v/>
      </c>
      <c r="AC140">
        <f>IFERROR(INDEX('DRAFT 1'!$X:$X,MATCH($B140,'DRAFT 1'!$B:$B,0)),"")</f>
        <v/>
      </c>
      <c r="AD140">
        <f>IFERROR(INDEX('DRAFT 1'!$Y:$Y,MATCH($B140,'DRAFT 1'!$B:$B,0)),"")</f>
        <v/>
      </c>
      <c r="AE140">
        <f>IFERROR(INDEX('DRAFT 1'!$Z:$Z,MATCH($B140,'DRAFT 1'!$B:$B,0)),"")</f>
        <v/>
      </c>
      <c r="AF140">
        <f>IFERROR(INDEX('DRAFT 1'!$AA:$AA,MATCH($B140,'DRAFT 1'!$B:$B,0)),"")</f>
        <v/>
      </c>
      <c r="AG140">
        <f>IFERROR(INDEX('DRAFT 1'!$AB:$AB,MATCH($B140,'DRAFT 1'!$B:$B,0)),"")</f>
        <v/>
      </c>
      <c r="AH140">
        <f>IFERROR(INDEX('DRAFT 1'!$AC:$AC,MATCH($B140,'DRAFT 1'!$B:$B,0)),"")</f>
        <v/>
      </c>
      <c r="AI140">
        <f>IFERROR(INDEX('DRAFT 1'!$AD:$AD,MATCH($B140,'DRAFT 1'!$B:$B,0)),"")</f>
        <v/>
      </c>
      <c r="AJ140">
        <f>IFERROR(INDEX('DRAFT 1'!$AE:$AE,MATCH($B140,'DRAFT 1'!$B:$B,0)),"")</f>
        <v/>
      </c>
      <c r="AK140">
        <f>IFERROR(INDEX('DRAFT 1'!$AG:$AG,MATCH($B140,'DRAFT 1'!$B:$B,0)),"")</f>
        <v/>
      </c>
      <c r="AL140">
        <f>IFERROR(INDEX('DRAFT 1'!$AH:$AH,MATCH($B140,'DRAFT 1'!$B:$B,0)),"")</f>
        <v/>
      </c>
      <c r="AM140">
        <f>IFERROR(INDEX('DRAFT 1'!$AI:$AI,MATCH($B140,'DRAFT 1'!$B:$B,0)),"")</f>
        <v/>
      </c>
      <c r="AN140">
        <f>IFERROR(INDEX('DRAFT 1'!$AJ:$AJ,MATCH($B140,'DRAFT 1'!$B:$B,0)),"")</f>
        <v/>
      </c>
      <c r="AO140">
        <f>IFERROR(Y140/AN140,0)</f>
        <v/>
      </c>
      <c r="AP140">
        <f>IFERROR(INDEX('DRAFT 1'!$AK:$AK,MATCH($B140,'DRAFT 1'!$B:$B,0)),"")</f>
        <v/>
      </c>
      <c r="AR140">
        <f>IFERROR(LOOKUP(2,1/('DRAFT 2'!$D:$D=$B140),'DRAFT 2'!$I:$I),"")</f>
        <v/>
      </c>
      <c r="AS140">
        <f>IFERROR(LOOKUP(2,1/('DRAFT 2'!$D:$D=$B140),'DRAFT 2'!$T:$T),"")</f>
        <v/>
      </c>
      <c r="AT140">
        <f>IFERROR(LOOKUP(2,1/('DRAFT 2'!$D:$D=$B140),'DRAFT 2'!$A:$A),"")</f>
        <v/>
      </c>
      <c r="AU140">
        <f>IFERROR(LOOKUP(2,1/('DRAFT 2'!$D:$D=$B140),'DRAFT 2'!$R:$R),"")</f>
        <v/>
      </c>
      <c r="AV140">
        <f>IFERROR(LOOKUP(2,1/('DRAFT 2'!$D:$D=$B140),'DRAFT 2'!$S:$S),"")</f>
        <v/>
      </c>
      <c r="AX140">
        <f>IFERROR(LOOKUP(2,1/('DRAFT 2'!$D:$D=$B140),'DRAFT 2'!$M:$M),"")</f>
        <v/>
      </c>
      <c r="AY140">
        <f>IFERROR(LOOKUP(2,1/('DRAFT 2'!$D:$D=$B140),'DRAFT 2'!$K:$K),"")</f>
        <v/>
      </c>
      <c r="BG140">
        <f>IFERROR(LOOKUP(2,1/('DRAFT 2'!$D:$D=$B140),'DRAFT 2'!$U:$U),"")</f>
        <v/>
      </c>
      <c r="BH140">
        <f>IFERROR(LOOKUP(2,1/('DRAFT 2'!$D:$D=$B140),'DRAFT 2'!$V:$V),"")</f>
        <v/>
      </c>
      <c r="CE140">
        <f>IFERROR(AJ140,0)</f>
        <v/>
      </c>
      <c r="CF140">
        <f>IFERROR(LOOKUP(2,1/('DRAFT 2'!$D:$D=$B140)*('DRAFT 2'!$A:$A&gt;=DATE(2026,1,1))*('DRAFT 2'!$A:$A&lt;DATE(2026,IF(1=12,1+1,1+1),1)),'DRAFT 2'!$A:$A),"")</f>
        <v/>
      </c>
      <c r="CG140">
        <f>COUNTIFS('DRAFT 2'!$D:$D,$B140,'DRAFT 2'!$A:$A,"&gt;="&amp;DATE(2026,1,1),'DRAFT 2'!$A:$A,"&lt;="&amp;DATE(2026,1,7))</f>
        <v/>
      </c>
      <c r="CH140">
        <f>COUNTIFS('DRAFT 2'!$D:$D,$B140,'DRAFT 2'!$A:$A,"&gt;="&amp;DATE(2026,1,8),'DRAFT 2'!$A:$A,"&lt;="&amp;DATE(2026,1,14))</f>
        <v/>
      </c>
      <c r="CI140">
        <f>COUNTIFS('DRAFT 2'!$D:$D,$B140,'DRAFT 2'!$A:$A,"&gt;="&amp;DATE(2026,1,15),'DRAFT 2'!$A:$A,"&lt;="&amp;DATE(2026,1,21))</f>
        <v/>
      </c>
      <c r="CJ140">
        <f>COUNTIFS('DRAFT 2'!$D:$D,$B140,'DRAFT 2'!$A:$A,"&gt;="&amp;DATE(2026,1,22),'DRAFT 2'!$A:$A,"&lt;"&amp;DATE(2026,IF(1=12,1+1,1+1),1))</f>
        <v/>
      </c>
      <c r="CK140">
        <f>SUM(CG140:CJ140)</f>
        <v/>
      </c>
      <c r="CT140" t="n">
        <v>0</v>
      </c>
      <c r="CU140">
        <f>IFERROR(LOOKUP(2,1/('DRAFT 2'!$D:$D=$B140)*('DRAFT 2'!$A:$A&gt;=DATE(2026,2,1))*('DRAFT 2'!$A:$A&lt;DATE(2026,IF(2=12,2+1,2+1),1)),'DRAFT 2'!$A:$A),"")</f>
        <v/>
      </c>
      <c r="CV140">
        <f>COUNTIFS('DRAFT 2'!$D:$D,$B140,'DRAFT 2'!$A:$A,"&gt;="&amp;DATE(2026,2,1),'DRAFT 2'!$A:$A,"&lt;="&amp;DATE(2026,2,7))</f>
        <v/>
      </c>
      <c r="CW140">
        <f>COUNTIFS('DRAFT 2'!$D:$D,$B140,'DRAFT 2'!$A:$A,"&gt;="&amp;DATE(2026,2,8),'DRAFT 2'!$A:$A,"&lt;="&amp;DATE(2026,2,14))</f>
        <v/>
      </c>
      <c r="CX140">
        <f>COUNTIFS('DRAFT 2'!$D:$D,$B140,'DRAFT 2'!$A:$A,"&gt;="&amp;DATE(2026,2,15),'DRAFT 2'!$A:$A,"&lt;="&amp;DATE(2026,2,21))</f>
        <v/>
      </c>
      <c r="CY140">
        <f>COUNTIFS('DRAFT 2'!$D:$D,$B140,'DRAFT 2'!$A:$A,"&gt;="&amp;DATE(2026,2,22),'DRAFT 2'!$A:$A,"&lt;"&amp;DATE(2026,IF(2=12,2+1,2+1),1))</f>
        <v/>
      </c>
      <c r="CZ140">
        <f>SUM(CV140:CY140)</f>
        <v/>
      </c>
      <c r="DJ140">
        <f>IFERROR(LOOKUP(2,1/('DRAFT 2'!$D:$D=$B140)*('DRAFT 2'!$A:$A&gt;=DATE(2026,3,1))*('DRAFT 2'!$A:$A&lt;DATE(2026,IF(3=12,3+1,3+1),1)),'DRAFT 2'!$A:$A),"")</f>
        <v/>
      </c>
      <c r="DK140">
        <f>COUNTIFS('DRAFT 2'!$D:$D,$B140,'DRAFT 2'!$A:$A,"&gt;="&amp;DATE(2026,3,1),'DRAFT 2'!$A:$A,"&lt;="&amp;DATE(2026,3,7))</f>
        <v/>
      </c>
      <c r="DL140">
        <f>COUNTIFS('DRAFT 2'!$D:$D,$B140,'DRAFT 2'!$A:$A,"&gt;="&amp;DATE(2026,3,8),'DRAFT 2'!$A:$A,"&lt;="&amp;DATE(2026,3,14))</f>
        <v/>
      </c>
      <c r="DM140">
        <f>COUNTIFS('DRAFT 2'!$D:$D,$B140,'DRAFT 2'!$A:$A,"&gt;="&amp;DATE(2026,3,15),'DRAFT 2'!$A:$A,"&lt;="&amp;DATE(2026,3,21))</f>
        <v/>
      </c>
      <c r="DN140">
        <f>COUNTIFS('DRAFT 2'!$D:$D,$B140,'DRAFT 2'!$A:$A,"&gt;="&amp;DATE(2026,3,22),'DRAFT 2'!$A:$A,"&lt;"&amp;DATE(2026,IF(3=12,3+1,3+1),1))</f>
        <v/>
      </c>
      <c r="DO140">
        <f>SUM(DK140:DN140)</f>
        <v/>
      </c>
      <c r="DZ140">
        <f>IFERROR(LOOKUP(2,1/('DRAFT 2'!$D:$D=$B140)*('DRAFT 2'!$A:$A&gt;=DATE(2026,4,1))*('DRAFT 2'!$A:$A&lt;DATE(2026,IF(4=12,4+1,4+1),1)),'DRAFT 2'!$A:$A),"")</f>
        <v/>
      </c>
      <c r="EA140">
        <f>COUNTIFS('DRAFT 2'!$D:$D,$B140,'DRAFT 2'!$A:$A,"&gt;="&amp;DATE(2026,4,1),'DRAFT 2'!$A:$A,"&lt;="&amp;DATE(2026,4,7))</f>
        <v/>
      </c>
      <c r="EB140">
        <f>COUNTIFS('DRAFT 2'!$D:$D,$B140,'DRAFT 2'!$A:$A,"&gt;="&amp;DATE(2026,4,8),'DRAFT 2'!$A:$A,"&lt;="&amp;DATE(2026,4,14))</f>
        <v/>
      </c>
      <c r="EC140">
        <f>COUNTIFS('DRAFT 2'!$D:$D,$B140,'DRAFT 2'!$A:$A,"&gt;="&amp;DATE(2026,4,15),'DRAFT 2'!$A:$A,"&lt;="&amp;DATE(2026,4,21))</f>
        <v/>
      </c>
      <c r="ED140">
        <f>COUNTIFS('DRAFT 2'!$D:$D,$B140,'DRAFT 2'!$A:$A,"&gt;="&amp;DATE(2026,4,22),'DRAFT 2'!$A:$A,"&lt;"&amp;DATE(2026,IF(4=12,4+1,4+1),1))</f>
        <v/>
      </c>
      <c r="EE140">
        <f>SUM(EA140:ED140)</f>
        <v/>
      </c>
      <c r="EO140">
        <f>IFERROR(LOOKUP(2,1/('DRAFT 2'!$D:$D=$B140)*('DRAFT 2'!$A:$A&gt;=DATE(2026,5,1))*('DRAFT 2'!$A:$A&lt;DATE(2026,IF(5=12,5+1,5+1),1)),'DRAFT 2'!$A:$A),"")</f>
        <v/>
      </c>
      <c r="EP140">
        <f>COUNTIFS('DRAFT 2'!$D:$D,$B140,'DRAFT 2'!$A:$A,"&gt;="&amp;DATE(2026,5,1),'DRAFT 2'!$A:$A,"&lt;="&amp;DATE(2026,5,7))</f>
        <v/>
      </c>
      <c r="EQ140">
        <f>COUNTIFS('DRAFT 2'!$D:$D,$B140,'DRAFT 2'!$A:$A,"&gt;="&amp;DATE(2026,5,8),'DRAFT 2'!$A:$A,"&lt;="&amp;DATE(2026,5,14))</f>
        <v/>
      </c>
      <c r="ER140">
        <f>COUNTIFS('DRAFT 2'!$D:$D,$B140,'DRAFT 2'!$A:$A,"&gt;="&amp;DATE(2026,5,15),'DRAFT 2'!$A:$A,"&lt;="&amp;DATE(2026,5,21))</f>
        <v/>
      </c>
      <c r="ES140">
        <f>COUNTIFS('DRAFT 2'!$D:$D,$B140,'DRAFT 2'!$A:$A,"&gt;="&amp;DATE(2026,5,22),'DRAFT 2'!$A:$A,"&lt;"&amp;DATE(2026,IF(5=12,5+1,5+1),1))</f>
        <v/>
      </c>
      <c r="ET140">
        <f>SUM(EP140:ES140)</f>
        <v/>
      </c>
      <c r="FD140">
        <f>IFERROR(LOOKUP(2,1/('DRAFT 2'!$D:$D=$B140)*('DRAFT 2'!$A:$A&gt;=DATE(2026,6,1))*('DRAFT 2'!$A:$A&lt;DATE(2026,IF(6=12,6+1,6+1),1)),'DRAFT 2'!$A:$A),"")</f>
        <v/>
      </c>
      <c r="FE140">
        <f>COUNTIFS('DRAFT 2'!$D:$D,$B140,'DRAFT 2'!$A:$A,"&gt;="&amp;DATE(2026,6,1),'DRAFT 2'!$A:$A,"&lt;="&amp;DATE(2026,6,7))</f>
        <v/>
      </c>
      <c r="FF140">
        <f>COUNTIFS('DRAFT 2'!$D:$D,$B140,'DRAFT 2'!$A:$A,"&gt;="&amp;DATE(2026,6,8),'DRAFT 2'!$A:$A,"&lt;="&amp;DATE(2026,6,14))</f>
        <v/>
      </c>
      <c r="FG140">
        <f>COUNTIFS('DRAFT 2'!$D:$D,$B140,'DRAFT 2'!$A:$A,"&gt;="&amp;DATE(2026,6,15),'DRAFT 2'!$A:$A,"&lt;="&amp;DATE(2026,6,21))</f>
        <v/>
      </c>
      <c r="FH140">
        <f>COUNTIFS('DRAFT 2'!$D:$D,$B140,'DRAFT 2'!$A:$A,"&gt;="&amp;DATE(2026,6,22),'DRAFT 2'!$A:$A,"&lt;"&amp;DATE(2026,IF(6=12,6+1,6+1),1))</f>
        <v/>
      </c>
      <c r="FI140">
        <f>SUM(FE140:FH140)</f>
        <v/>
      </c>
      <c r="FT140">
        <f>IFERROR(LOOKUP(2,1/('DRAFT 2'!$D:$D=$B140)*('DRAFT 2'!$A:$A&gt;=DATE(2026,7,1))*('DRAFT 2'!$A:$A&lt;DATE(2026,IF(7=12,7+1,7+1),1)),'DRAFT 2'!$A:$A),"")</f>
        <v/>
      </c>
      <c r="FU140">
        <f>COUNTIFS('DRAFT 2'!$D:$D,$B140,'DRAFT 2'!$A:$A,"&gt;="&amp;DATE(2026,7,1),'DRAFT 2'!$A:$A,"&lt;="&amp;DATE(2026,7,7))</f>
        <v/>
      </c>
      <c r="FV140">
        <f>COUNTIFS('DRAFT 2'!$D:$D,$B140,'DRAFT 2'!$A:$A,"&gt;="&amp;DATE(2026,7,8),'DRAFT 2'!$A:$A,"&lt;="&amp;DATE(2026,7,14))</f>
        <v/>
      </c>
      <c r="FW140">
        <f>COUNTIFS('DRAFT 2'!$D:$D,$B140,'DRAFT 2'!$A:$A,"&gt;="&amp;DATE(2026,7,15),'DRAFT 2'!$A:$A,"&lt;="&amp;DATE(2026,7,21))</f>
        <v/>
      </c>
      <c r="FX140">
        <f>COUNTIFS('DRAFT 2'!$D:$D,$B140,'DRAFT 2'!$A:$A,"&gt;="&amp;DATE(2026,7,22),'DRAFT 2'!$A:$A,"&lt;"&amp;DATE(2026,IF(7=12,7+1,7+1),1))</f>
        <v/>
      </c>
      <c r="FY140">
        <f>SUM(FU140:FX140)</f>
        <v/>
      </c>
      <c r="GI140">
        <f>IFERROR(LOOKUP(2,1/('DRAFT 2'!$D:$D=$B140)*('DRAFT 2'!$A:$A&gt;=DATE(2026,8,1))*('DRAFT 2'!$A:$A&lt;DATE(2026,IF(8=12,8+1,8+1),1)),'DRAFT 2'!$A:$A),"")</f>
        <v/>
      </c>
      <c r="GJ140">
        <f>COUNTIFS('DRAFT 2'!$D:$D,$B140,'DRAFT 2'!$A:$A,"&gt;="&amp;DATE(2026,8,1),'DRAFT 2'!$A:$A,"&lt;="&amp;DATE(2026,8,7))</f>
        <v/>
      </c>
      <c r="GK140">
        <f>COUNTIFS('DRAFT 2'!$D:$D,$B140,'DRAFT 2'!$A:$A,"&gt;="&amp;DATE(2026,8,8),'DRAFT 2'!$A:$A,"&lt;="&amp;DATE(2026,8,14))</f>
        <v/>
      </c>
      <c r="GL140">
        <f>COUNTIFS('DRAFT 2'!$D:$D,$B140,'DRAFT 2'!$A:$A,"&gt;="&amp;DATE(2026,8,15),'DRAFT 2'!$A:$A,"&lt;="&amp;DATE(2026,8,21))</f>
        <v/>
      </c>
      <c r="GM140">
        <f>COUNTIFS('DRAFT 2'!$D:$D,$B140,'DRAFT 2'!$A:$A,"&gt;="&amp;DATE(2026,8,22),'DRAFT 2'!$A:$A,"&lt;"&amp;DATE(2026,IF(8=12,8+1,8+1),1))</f>
        <v/>
      </c>
      <c r="GN140">
        <f>SUM(GJ140:GM140)</f>
        <v/>
      </c>
      <c r="GX140">
        <f>IFERROR(LOOKUP(2,1/('DRAFT 2'!$D:$D=$B140)*('DRAFT 2'!$A:$A&gt;=DATE(2026,9,1))*('DRAFT 2'!$A:$A&lt;DATE(2026,IF(9=12,9+1,9+1),1)),'DRAFT 2'!$A:$A),"")</f>
        <v/>
      </c>
      <c r="GY140">
        <f>COUNTIFS('DRAFT 2'!$D:$D,$B140,'DRAFT 2'!$A:$A,"&gt;="&amp;DATE(2026,9,1),'DRAFT 2'!$A:$A,"&lt;="&amp;DATE(2026,9,7))</f>
        <v/>
      </c>
      <c r="GZ140">
        <f>COUNTIFS('DRAFT 2'!$D:$D,$B140,'DRAFT 2'!$A:$A,"&gt;="&amp;DATE(2026,9,8),'DRAFT 2'!$A:$A,"&lt;="&amp;DATE(2026,9,14))</f>
        <v/>
      </c>
      <c r="HA140">
        <f>COUNTIFS('DRAFT 2'!$D:$D,$B140,'DRAFT 2'!$A:$A,"&gt;="&amp;DATE(2026,9,15),'DRAFT 2'!$A:$A,"&lt;="&amp;DATE(2026,9,21))</f>
        <v/>
      </c>
      <c r="HB140">
        <f>COUNTIFS('DRAFT 2'!$D:$D,$B140,'DRAFT 2'!$A:$A,"&gt;="&amp;DATE(2026,9,22),'DRAFT 2'!$A:$A,"&lt;"&amp;DATE(2026,IF(9=12,9+1,9+1),1))</f>
        <v/>
      </c>
      <c r="HC140">
        <f>SUM(GY140:HB140)</f>
        <v/>
      </c>
      <c r="HN140">
        <f>IFERROR(LOOKUP(2,1/('DRAFT 2'!$D:$D=$B140)*('DRAFT 2'!$A:$A&gt;=DATE(2026,10,1))*('DRAFT 2'!$A:$A&lt;DATE(2026,IF(10=12,10+1,10+1),1)),'DRAFT 2'!$A:$A),"")</f>
        <v/>
      </c>
      <c r="HO140">
        <f>COUNTIFS('DRAFT 2'!$D:$D,$B140,'DRAFT 2'!$A:$A,"&gt;="&amp;DATE(2026,10,1),'DRAFT 2'!$A:$A,"&lt;="&amp;DATE(2026,10,7))</f>
        <v/>
      </c>
      <c r="HP140">
        <f>COUNTIFS('DRAFT 2'!$D:$D,$B140,'DRAFT 2'!$A:$A,"&gt;="&amp;DATE(2026,10,8),'DRAFT 2'!$A:$A,"&lt;="&amp;DATE(2026,10,14))</f>
        <v/>
      </c>
      <c r="HQ140">
        <f>COUNTIFS('DRAFT 2'!$D:$D,$B140,'DRAFT 2'!$A:$A,"&gt;="&amp;DATE(2026,10,15),'DRAFT 2'!$A:$A,"&lt;="&amp;DATE(2026,10,21))</f>
        <v/>
      </c>
      <c r="HR140">
        <f>COUNTIFS('DRAFT 2'!$D:$D,$B140,'DRAFT 2'!$A:$A,"&gt;="&amp;DATE(2026,10,22),'DRAFT 2'!$A:$A,"&lt;"&amp;DATE(2026,IF(10=12,10+1,10+1),1))</f>
        <v/>
      </c>
      <c r="HS140">
        <f>SUM(HO140:HR140)</f>
        <v/>
      </c>
      <c r="IC140">
        <f>IFERROR(LOOKUP(2,1/('DRAFT 2'!$D:$D=$B140)*('DRAFT 2'!$A:$A&gt;=DATE(2026,11,1))*('DRAFT 2'!$A:$A&lt;DATE(2026,IF(11=12,11+1,11+1),1)),'DRAFT 2'!$A:$A),"")</f>
        <v/>
      </c>
      <c r="ID140">
        <f>COUNTIFS('DRAFT 2'!$D:$D,$B140,'DRAFT 2'!$A:$A,"&gt;="&amp;DATE(2026,11,1),'DRAFT 2'!$A:$A,"&lt;="&amp;DATE(2026,11,7))</f>
        <v/>
      </c>
      <c r="IE140">
        <f>COUNTIFS('DRAFT 2'!$D:$D,$B140,'DRAFT 2'!$A:$A,"&gt;="&amp;DATE(2026,11,8),'DRAFT 2'!$A:$A,"&lt;="&amp;DATE(2026,11,14))</f>
        <v/>
      </c>
      <c r="IF140">
        <f>COUNTIFS('DRAFT 2'!$D:$D,$B140,'DRAFT 2'!$A:$A,"&gt;="&amp;DATE(2026,11,15),'DRAFT 2'!$A:$A,"&lt;="&amp;DATE(2026,11,21))</f>
        <v/>
      </c>
      <c r="IG140">
        <f>COUNTIFS('DRAFT 2'!$D:$D,$B140,'DRAFT 2'!$A:$A,"&gt;="&amp;DATE(2026,11,22),'DRAFT 2'!$A:$A,"&lt;"&amp;DATE(2026,IF(11=12,11+1,11+1),1))</f>
        <v/>
      </c>
      <c r="IH140">
        <f>SUM(ID140:IG140)</f>
        <v/>
      </c>
      <c r="IR140">
        <f>IFERROR(LOOKUP(2,1/('DRAFT 2'!$D:$D=$B140)*('DRAFT 2'!$A:$A&gt;=DATE(2026,12,1))*('DRAFT 2'!$A:$A&lt;DATE(2026,IF(12=12,12+1,12+1),1)),'DRAFT 2'!$A:$A),"")</f>
        <v/>
      </c>
      <c r="IS140">
        <f>COUNTIFS('DRAFT 2'!$D:$D,$B140,'DRAFT 2'!$A:$A,"&gt;="&amp;DATE(2026,12,1),'DRAFT 2'!$A:$A,"&lt;="&amp;DATE(2026,12,7))</f>
        <v/>
      </c>
      <c r="IT140">
        <f>COUNTIFS('DRAFT 2'!$D:$D,$B140,'DRAFT 2'!$A:$A,"&gt;="&amp;DATE(2026,12,8),'DRAFT 2'!$A:$A,"&lt;="&amp;DATE(2026,12,14))</f>
        <v/>
      </c>
      <c r="IU140">
        <f>COUNTIFS('DRAFT 2'!$D:$D,$B140,'DRAFT 2'!$A:$A,"&gt;="&amp;DATE(2026,12,15),'DRAFT 2'!$A:$A,"&lt;="&amp;DATE(2026,12,21))</f>
        <v/>
      </c>
      <c r="IV140">
        <f>COUNTIFS('DRAFT 2'!$D:$D,$B140,'DRAFT 2'!$A:$A,"&gt;="&amp;DATE(2026,12,22),'DRAFT 2'!$A:$A,"&lt;"&amp;DATE(2026,IF(12=12,12+1,12+1),1))</f>
        <v/>
      </c>
      <c r="IW140">
        <f>SUM(IS140:IV140)</f>
        <v/>
      </c>
    </row>
    <row r="141">
      <c r="A141">
        <f>IFERROR(INDEX('DRAFT 1'!$A:$A,MATCH($B141,'DRAFT 1'!$B:$B,0)),"")</f>
        <v/>
      </c>
      <c r="C141">
        <f>IFERROR(INDEX('DRAFT 1'!$C:$C,MATCH($B141,'DRAFT 1'!$B:$B,0)),"")</f>
        <v/>
      </c>
      <c r="D141">
        <f>IFERROR(INDEX('DRAFT 1'!$D:$D,MATCH($B141,'DRAFT 1'!$B:$B,0)),"")</f>
        <v/>
      </c>
      <c r="E141">
        <f>IFERROR(INDEX('DRAFT 1'!$E:$E,MATCH($B141,'DRAFT 1'!$B:$B,0)),"")</f>
        <v/>
      </c>
      <c r="F141">
        <f>IFERROR(INDEX('DRAFT 1'!$F:$F,MATCH($B141,'DRAFT 1'!$B:$B,0)),"")</f>
        <v/>
      </c>
      <c r="G141">
        <f>IFERROR(INDEX('DRAFT 1'!$G:$G,MATCH($B141,'DRAFT 1'!$B:$B,0)),"")</f>
        <v/>
      </c>
      <c r="H141">
        <f>IFERROR(INDEX('DRAFT 1'!$H:$H,MATCH($B141,'DRAFT 1'!$B:$B,0)),"")</f>
        <v/>
      </c>
      <c r="I141">
        <f>IFERROR(INDEX('DRAFT 1'!$I:$I,MATCH($B141,'DRAFT 1'!$B:$B,0)),"")</f>
        <v/>
      </c>
      <c r="K141">
        <f>IFERROR(INDEX('DRAFT 1'!$AL:$AL,MATCH($B141,'DRAFT 1'!$B:$B,0)),"")</f>
        <v/>
      </c>
      <c r="L141">
        <f>IFERROR(INDEX('DRAFT 1'!$J:$J,MATCH($B141,'DRAFT 1'!$B:$B,0)),"")</f>
        <v/>
      </c>
      <c r="M141">
        <f>IFERROR(INDEX('DRAFT 1'!$K:$K,MATCH($B141,'DRAFT 1'!$B:$B,0)),"")</f>
        <v/>
      </c>
      <c r="P141">
        <f>IFERROR(INDEX('DRAFT 1'!$L:$L,MATCH($B141,'DRAFT 1'!$B:$B,0)),"")</f>
        <v/>
      </c>
      <c r="Q141">
        <f>IFERROR(INDEX('DRAFT 1'!$M:$M,MATCH($B141,'DRAFT 1'!$B:$B,0)),"")</f>
        <v/>
      </c>
      <c r="R141">
        <f>IFERROR(INDEX('DRAFT 1'!$N:$N,MATCH($B141,'DRAFT 1'!$B:$B,0)),"")</f>
        <v/>
      </c>
      <c r="S141">
        <f>IFERROR(INDEX('DRAFT 1'!$O:$O,MATCH($B141,'DRAFT 1'!$B:$B,0)),"")</f>
        <v/>
      </c>
      <c r="T141">
        <f>IFERROR(INDEX('DRAFT 1'!$P:$P,MATCH($B141,'DRAFT 1'!$B:$B,0)),"")</f>
        <v/>
      </c>
      <c r="U141">
        <f>IFERROR(INDEX('DRAFT 1'!$Q:$Q,MATCH($B141,'DRAFT 1'!$B:$B,0)),"")</f>
        <v/>
      </c>
      <c r="V141">
        <f>IFERROR(INDEX('DRAFT 1'!$R:$R,MATCH($B141,'DRAFT 1'!$B:$B,0)),"")</f>
        <v/>
      </c>
      <c r="W141">
        <f>IFERROR(INDEX('DRAFT 1'!$S:$S,MATCH($B141,'DRAFT 1'!$B:$B,0)),"")</f>
        <v/>
      </c>
      <c r="X141">
        <f>IFERROR(INDEX('DRAFT 1'!$T:$T,MATCH($B141,'DRAFT 1'!$B:$B,0)),"")</f>
        <v/>
      </c>
      <c r="Z141">
        <f>IFERROR(INDEX('DRAFT 1'!$U:$U,MATCH($B141,'DRAFT 1'!$B:$B,0)),"")</f>
        <v/>
      </c>
      <c r="AA141">
        <f>IFERROR(INDEX('DRAFT 1'!$V:$V,MATCH($B141,'DRAFT 1'!$B:$B,0)),"")</f>
        <v/>
      </c>
      <c r="AB141">
        <f>IFERROR(INDEX('DRAFT 1'!$W:$W,MATCH($B141,'DRAFT 1'!$B:$B,0)),"")</f>
        <v/>
      </c>
      <c r="AC141">
        <f>IFERROR(INDEX('DRAFT 1'!$X:$X,MATCH($B141,'DRAFT 1'!$B:$B,0)),"")</f>
        <v/>
      </c>
      <c r="AD141">
        <f>IFERROR(INDEX('DRAFT 1'!$Y:$Y,MATCH($B141,'DRAFT 1'!$B:$B,0)),"")</f>
        <v/>
      </c>
      <c r="AE141">
        <f>IFERROR(INDEX('DRAFT 1'!$Z:$Z,MATCH($B141,'DRAFT 1'!$B:$B,0)),"")</f>
        <v/>
      </c>
      <c r="AF141">
        <f>IFERROR(INDEX('DRAFT 1'!$AA:$AA,MATCH($B141,'DRAFT 1'!$B:$B,0)),"")</f>
        <v/>
      </c>
      <c r="AG141">
        <f>IFERROR(INDEX('DRAFT 1'!$AB:$AB,MATCH($B141,'DRAFT 1'!$B:$B,0)),"")</f>
        <v/>
      </c>
      <c r="AH141">
        <f>IFERROR(INDEX('DRAFT 1'!$AC:$AC,MATCH($B141,'DRAFT 1'!$B:$B,0)),"")</f>
        <v/>
      </c>
      <c r="AI141">
        <f>IFERROR(INDEX('DRAFT 1'!$AD:$AD,MATCH($B141,'DRAFT 1'!$B:$B,0)),"")</f>
        <v/>
      </c>
      <c r="AJ141">
        <f>IFERROR(INDEX('DRAFT 1'!$AE:$AE,MATCH($B141,'DRAFT 1'!$B:$B,0)),"")</f>
        <v/>
      </c>
      <c r="AK141">
        <f>IFERROR(INDEX('DRAFT 1'!$AG:$AG,MATCH($B141,'DRAFT 1'!$B:$B,0)),"")</f>
        <v/>
      </c>
      <c r="AL141">
        <f>IFERROR(INDEX('DRAFT 1'!$AH:$AH,MATCH($B141,'DRAFT 1'!$B:$B,0)),"")</f>
        <v/>
      </c>
      <c r="AM141">
        <f>IFERROR(INDEX('DRAFT 1'!$AI:$AI,MATCH($B141,'DRAFT 1'!$B:$B,0)),"")</f>
        <v/>
      </c>
      <c r="AN141">
        <f>IFERROR(INDEX('DRAFT 1'!$AJ:$AJ,MATCH($B141,'DRAFT 1'!$B:$B,0)),"")</f>
        <v/>
      </c>
      <c r="AO141">
        <f>IFERROR(Y141/AN141,0)</f>
        <v/>
      </c>
      <c r="AP141">
        <f>IFERROR(INDEX('DRAFT 1'!$AK:$AK,MATCH($B141,'DRAFT 1'!$B:$B,0)),"")</f>
        <v/>
      </c>
      <c r="AR141">
        <f>IFERROR(LOOKUP(2,1/('DRAFT 2'!$D:$D=$B141),'DRAFT 2'!$I:$I),"")</f>
        <v/>
      </c>
      <c r="AS141">
        <f>IFERROR(LOOKUP(2,1/('DRAFT 2'!$D:$D=$B141),'DRAFT 2'!$T:$T),"")</f>
        <v/>
      </c>
      <c r="AT141">
        <f>IFERROR(LOOKUP(2,1/('DRAFT 2'!$D:$D=$B141),'DRAFT 2'!$A:$A),"")</f>
        <v/>
      </c>
      <c r="AU141">
        <f>IFERROR(LOOKUP(2,1/('DRAFT 2'!$D:$D=$B141),'DRAFT 2'!$R:$R),"")</f>
        <v/>
      </c>
      <c r="AV141">
        <f>IFERROR(LOOKUP(2,1/('DRAFT 2'!$D:$D=$B141),'DRAFT 2'!$S:$S),"")</f>
        <v/>
      </c>
      <c r="AX141">
        <f>IFERROR(LOOKUP(2,1/('DRAFT 2'!$D:$D=$B141),'DRAFT 2'!$M:$M),"")</f>
        <v/>
      </c>
      <c r="AY141">
        <f>IFERROR(LOOKUP(2,1/('DRAFT 2'!$D:$D=$B141),'DRAFT 2'!$K:$K),"")</f>
        <v/>
      </c>
      <c r="BG141">
        <f>IFERROR(LOOKUP(2,1/('DRAFT 2'!$D:$D=$B141),'DRAFT 2'!$U:$U),"")</f>
        <v/>
      </c>
      <c r="BH141">
        <f>IFERROR(LOOKUP(2,1/('DRAFT 2'!$D:$D=$B141),'DRAFT 2'!$V:$V),"")</f>
        <v/>
      </c>
      <c r="CE141">
        <f>IFERROR(AJ141,0)</f>
        <v/>
      </c>
      <c r="CF141">
        <f>IFERROR(LOOKUP(2,1/('DRAFT 2'!$D:$D=$B141)*('DRAFT 2'!$A:$A&gt;=DATE(2026,1,1))*('DRAFT 2'!$A:$A&lt;DATE(2026,IF(1=12,1+1,1+1),1)),'DRAFT 2'!$A:$A),"")</f>
        <v/>
      </c>
      <c r="CG141">
        <f>COUNTIFS('DRAFT 2'!$D:$D,$B141,'DRAFT 2'!$A:$A,"&gt;="&amp;DATE(2026,1,1),'DRAFT 2'!$A:$A,"&lt;="&amp;DATE(2026,1,7))</f>
        <v/>
      </c>
      <c r="CH141">
        <f>COUNTIFS('DRAFT 2'!$D:$D,$B141,'DRAFT 2'!$A:$A,"&gt;="&amp;DATE(2026,1,8),'DRAFT 2'!$A:$A,"&lt;="&amp;DATE(2026,1,14))</f>
        <v/>
      </c>
      <c r="CI141">
        <f>COUNTIFS('DRAFT 2'!$D:$D,$B141,'DRAFT 2'!$A:$A,"&gt;="&amp;DATE(2026,1,15),'DRAFT 2'!$A:$A,"&lt;="&amp;DATE(2026,1,21))</f>
        <v/>
      </c>
      <c r="CJ141">
        <f>COUNTIFS('DRAFT 2'!$D:$D,$B141,'DRAFT 2'!$A:$A,"&gt;="&amp;DATE(2026,1,22),'DRAFT 2'!$A:$A,"&lt;"&amp;DATE(2026,IF(1=12,1+1,1+1),1))</f>
        <v/>
      </c>
      <c r="CK141">
        <f>SUM(CG141:CJ141)</f>
        <v/>
      </c>
      <c r="CT141" t="n">
        <v>0</v>
      </c>
      <c r="CU141">
        <f>IFERROR(LOOKUP(2,1/('DRAFT 2'!$D:$D=$B141)*('DRAFT 2'!$A:$A&gt;=DATE(2026,2,1))*('DRAFT 2'!$A:$A&lt;DATE(2026,IF(2=12,2+1,2+1),1)),'DRAFT 2'!$A:$A),"")</f>
        <v/>
      </c>
      <c r="CV141">
        <f>COUNTIFS('DRAFT 2'!$D:$D,$B141,'DRAFT 2'!$A:$A,"&gt;="&amp;DATE(2026,2,1),'DRAFT 2'!$A:$A,"&lt;="&amp;DATE(2026,2,7))</f>
        <v/>
      </c>
      <c r="CW141">
        <f>COUNTIFS('DRAFT 2'!$D:$D,$B141,'DRAFT 2'!$A:$A,"&gt;="&amp;DATE(2026,2,8),'DRAFT 2'!$A:$A,"&lt;="&amp;DATE(2026,2,14))</f>
        <v/>
      </c>
      <c r="CX141">
        <f>COUNTIFS('DRAFT 2'!$D:$D,$B141,'DRAFT 2'!$A:$A,"&gt;="&amp;DATE(2026,2,15),'DRAFT 2'!$A:$A,"&lt;="&amp;DATE(2026,2,21))</f>
        <v/>
      </c>
      <c r="CY141">
        <f>COUNTIFS('DRAFT 2'!$D:$D,$B141,'DRAFT 2'!$A:$A,"&gt;="&amp;DATE(2026,2,22),'DRAFT 2'!$A:$A,"&lt;"&amp;DATE(2026,IF(2=12,2+1,2+1),1))</f>
        <v/>
      </c>
      <c r="CZ141">
        <f>SUM(CV141:CY141)</f>
        <v/>
      </c>
      <c r="DJ141">
        <f>IFERROR(LOOKUP(2,1/('DRAFT 2'!$D:$D=$B141)*('DRAFT 2'!$A:$A&gt;=DATE(2026,3,1))*('DRAFT 2'!$A:$A&lt;DATE(2026,IF(3=12,3+1,3+1),1)),'DRAFT 2'!$A:$A),"")</f>
        <v/>
      </c>
      <c r="DK141">
        <f>COUNTIFS('DRAFT 2'!$D:$D,$B141,'DRAFT 2'!$A:$A,"&gt;="&amp;DATE(2026,3,1),'DRAFT 2'!$A:$A,"&lt;="&amp;DATE(2026,3,7))</f>
        <v/>
      </c>
      <c r="DL141">
        <f>COUNTIFS('DRAFT 2'!$D:$D,$B141,'DRAFT 2'!$A:$A,"&gt;="&amp;DATE(2026,3,8),'DRAFT 2'!$A:$A,"&lt;="&amp;DATE(2026,3,14))</f>
        <v/>
      </c>
      <c r="DM141">
        <f>COUNTIFS('DRAFT 2'!$D:$D,$B141,'DRAFT 2'!$A:$A,"&gt;="&amp;DATE(2026,3,15),'DRAFT 2'!$A:$A,"&lt;="&amp;DATE(2026,3,21))</f>
        <v/>
      </c>
      <c r="DN141">
        <f>COUNTIFS('DRAFT 2'!$D:$D,$B141,'DRAFT 2'!$A:$A,"&gt;="&amp;DATE(2026,3,22),'DRAFT 2'!$A:$A,"&lt;"&amp;DATE(2026,IF(3=12,3+1,3+1),1))</f>
        <v/>
      </c>
      <c r="DO141">
        <f>SUM(DK141:DN141)</f>
        <v/>
      </c>
      <c r="DZ141">
        <f>IFERROR(LOOKUP(2,1/('DRAFT 2'!$D:$D=$B141)*('DRAFT 2'!$A:$A&gt;=DATE(2026,4,1))*('DRAFT 2'!$A:$A&lt;DATE(2026,IF(4=12,4+1,4+1),1)),'DRAFT 2'!$A:$A),"")</f>
        <v/>
      </c>
      <c r="EA141">
        <f>COUNTIFS('DRAFT 2'!$D:$D,$B141,'DRAFT 2'!$A:$A,"&gt;="&amp;DATE(2026,4,1),'DRAFT 2'!$A:$A,"&lt;="&amp;DATE(2026,4,7))</f>
        <v/>
      </c>
      <c r="EB141">
        <f>COUNTIFS('DRAFT 2'!$D:$D,$B141,'DRAFT 2'!$A:$A,"&gt;="&amp;DATE(2026,4,8),'DRAFT 2'!$A:$A,"&lt;="&amp;DATE(2026,4,14))</f>
        <v/>
      </c>
      <c r="EC141">
        <f>COUNTIFS('DRAFT 2'!$D:$D,$B141,'DRAFT 2'!$A:$A,"&gt;="&amp;DATE(2026,4,15),'DRAFT 2'!$A:$A,"&lt;="&amp;DATE(2026,4,21))</f>
        <v/>
      </c>
      <c r="ED141">
        <f>COUNTIFS('DRAFT 2'!$D:$D,$B141,'DRAFT 2'!$A:$A,"&gt;="&amp;DATE(2026,4,22),'DRAFT 2'!$A:$A,"&lt;"&amp;DATE(2026,IF(4=12,4+1,4+1),1))</f>
        <v/>
      </c>
      <c r="EE141">
        <f>SUM(EA141:ED141)</f>
        <v/>
      </c>
      <c r="EO141">
        <f>IFERROR(LOOKUP(2,1/('DRAFT 2'!$D:$D=$B141)*('DRAFT 2'!$A:$A&gt;=DATE(2026,5,1))*('DRAFT 2'!$A:$A&lt;DATE(2026,IF(5=12,5+1,5+1),1)),'DRAFT 2'!$A:$A),"")</f>
        <v/>
      </c>
      <c r="EP141">
        <f>COUNTIFS('DRAFT 2'!$D:$D,$B141,'DRAFT 2'!$A:$A,"&gt;="&amp;DATE(2026,5,1),'DRAFT 2'!$A:$A,"&lt;="&amp;DATE(2026,5,7))</f>
        <v/>
      </c>
      <c r="EQ141">
        <f>COUNTIFS('DRAFT 2'!$D:$D,$B141,'DRAFT 2'!$A:$A,"&gt;="&amp;DATE(2026,5,8),'DRAFT 2'!$A:$A,"&lt;="&amp;DATE(2026,5,14))</f>
        <v/>
      </c>
      <c r="ER141">
        <f>COUNTIFS('DRAFT 2'!$D:$D,$B141,'DRAFT 2'!$A:$A,"&gt;="&amp;DATE(2026,5,15),'DRAFT 2'!$A:$A,"&lt;="&amp;DATE(2026,5,21))</f>
        <v/>
      </c>
      <c r="ES141">
        <f>COUNTIFS('DRAFT 2'!$D:$D,$B141,'DRAFT 2'!$A:$A,"&gt;="&amp;DATE(2026,5,22),'DRAFT 2'!$A:$A,"&lt;"&amp;DATE(2026,IF(5=12,5+1,5+1),1))</f>
        <v/>
      </c>
      <c r="ET141">
        <f>SUM(EP141:ES141)</f>
        <v/>
      </c>
      <c r="FD141">
        <f>IFERROR(LOOKUP(2,1/('DRAFT 2'!$D:$D=$B141)*('DRAFT 2'!$A:$A&gt;=DATE(2026,6,1))*('DRAFT 2'!$A:$A&lt;DATE(2026,IF(6=12,6+1,6+1),1)),'DRAFT 2'!$A:$A),"")</f>
        <v/>
      </c>
      <c r="FE141">
        <f>COUNTIFS('DRAFT 2'!$D:$D,$B141,'DRAFT 2'!$A:$A,"&gt;="&amp;DATE(2026,6,1),'DRAFT 2'!$A:$A,"&lt;="&amp;DATE(2026,6,7))</f>
        <v/>
      </c>
      <c r="FF141">
        <f>COUNTIFS('DRAFT 2'!$D:$D,$B141,'DRAFT 2'!$A:$A,"&gt;="&amp;DATE(2026,6,8),'DRAFT 2'!$A:$A,"&lt;="&amp;DATE(2026,6,14))</f>
        <v/>
      </c>
      <c r="FG141">
        <f>COUNTIFS('DRAFT 2'!$D:$D,$B141,'DRAFT 2'!$A:$A,"&gt;="&amp;DATE(2026,6,15),'DRAFT 2'!$A:$A,"&lt;="&amp;DATE(2026,6,21))</f>
        <v/>
      </c>
      <c r="FH141">
        <f>COUNTIFS('DRAFT 2'!$D:$D,$B141,'DRAFT 2'!$A:$A,"&gt;="&amp;DATE(2026,6,22),'DRAFT 2'!$A:$A,"&lt;"&amp;DATE(2026,IF(6=12,6+1,6+1),1))</f>
        <v/>
      </c>
      <c r="FI141">
        <f>SUM(FE141:FH141)</f>
        <v/>
      </c>
      <c r="FT141">
        <f>IFERROR(LOOKUP(2,1/('DRAFT 2'!$D:$D=$B141)*('DRAFT 2'!$A:$A&gt;=DATE(2026,7,1))*('DRAFT 2'!$A:$A&lt;DATE(2026,IF(7=12,7+1,7+1),1)),'DRAFT 2'!$A:$A),"")</f>
        <v/>
      </c>
      <c r="FU141">
        <f>COUNTIFS('DRAFT 2'!$D:$D,$B141,'DRAFT 2'!$A:$A,"&gt;="&amp;DATE(2026,7,1),'DRAFT 2'!$A:$A,"&lt;="&amp;DATE(2026,7,7))</f>
        <v/>
      </c>
      <c r="FV141">
        <f>COUNTIFS('DRAFT 2'!$D:$D,$B141,'DRAFT 2'!$A:$A,"&gt;="&amp;DATE(2026,7,8),'DRAFT 2'!$A:$A,"&lt;="&amp;DATE(2026,7,14))</f>
        <v/>
      </c>
      <c r="FW141">
        <f>COUNTIFS('DRAFT 2'!$D:$D,$B141,'DRAFT 2'!$A:$A,"&gt;="&amp;DATE(2026,7,15),'DRAFT 2'!$A:$A,"&lt;="&amp;DATE(2026,7,21))</f>
        <v/>
      </c>
      <c r="FX141">
        <f>COUNTIFS('DRAFT 2'!$D:$D,$B141,'DRAFT 2'!$A:$A,"&gt;="&amp;DATE(2026,7,22),'DRAFT 2'!$A:$A,"&lt;"&amp;DATE(2026,IF(7=12,7+1,7+1),1))</f>
        <v/>
      </c>
      <c r="FY141">
        <f>SUM(FU141:FX141)</f>
        <v/>
      </c>
      <c r="GI141">
        <f>IFERROR(LOOKUP(2,1/('DRAFT 2'!$D:$D=$B141)*('DRAFT 2'!$A:$A&gt;=DATE(2026,8,1))*('DRAFT 2'!$A:$A&lt;DATE(2026,IF(8=12,8+1,8+1),1)),'DRAFT 2'!$A:$A),"")</f>
        <v/>
      </c>
      <c r="GJ141">
        <f>COUNTIFS('DRAFT 2'!$D:$D,$B141,'DRAFT 2'!$A:$A,"&gt;="&amp;DATE(2026,8,1),'DRAFT 2'!$A:$A,"&lt;="&amp;DATE(2026,8,7))</f>
        <v/>
      </c>
      <c r="GK141">
        <f>COUNTIFS('DRAFT 2'!$D:$D,$B141,'DRAFT 2'!$A:$A,"&gt;="&amp;DATE(2026,8,8),'DRAFT 2'!$A:$A,"&lt;="&amp;DATE(2026,8,14))</f>
        <v/>
      </c>
      <c r="GL141">
        <f>COUNTIFS('DRAFT 2'!$D:$D,$B141,'DRAFT 2'!$A:$A,"&gt;="&amp;DATE(2026,8,15),'DRAFT 2'!$A:$A,"&lt;="&amp;DATE(2026,8,21))</f>
        <v/>
      </c>
      <c r="GM141">
        <f>COUNTIFS('DRAFT 2'!$D:$D,$B141,'DRAFT 2'!$A:$A,"&gt;="&amp;DATE(2026,8,22),'DRAFT 2'!$A:$A,"&lt;"&amp;DATE(2026,IF(8=12,8+1,8+1),1))</f>
        <v/>
      </c>
      <c r="GN141">
        <f>SUM(GJ141:GM141)</f>
        <v/>
      </c>
      <c r="GX141">
        <f>IFERROR(LOOKUP(2,1/('DRAFT 2'!$D:$D=$B141)*('DRAFT 2'!$A:$A&gt;=DATE(2026,9,1))*('DRAFT 2'!$A:$A&lt;DATE(2026,IF(9=12,9+1,9+1),1)),'DRAFT 2'!$A:$A),"")</f>
        <v/>
      </c>
      <c r="GY141">
        <f>COUNTIFS('DRAFT 2'!$D:$D,$B141,'DRAFT 2'!$A:$A,"&gt;="&amp;DATE(2026,9,1),'DRAFT 2'!$A:$A,"&lt;="&amp;DATE(2026,9,7))</f>
        <v/>
      </c>
      <c r="GZ141">
        <f>COUNTIFS('DRAFT 2'!$D:$D,$B141,'DRAFT 2'!$A:$A,"&gt;="&amp;DATE(2026,9,8),'DRAFT 2'!$A:$A,"&lt;="&amp;DATE(2026,9,14))</f>
        <v/>
      </c>
      <c r="HA141">
        <f>COUNTIFS('DRAFT 2'!$D:$D,$B141,'DRAFT 2'!$A:$A,"&gt;="&amp;DATE(2026,9,15),'DRAFT 2'!$A:$A,"&lt;="&amp;DATE(2026,9,21))</f>
        <v/>
      </c>
      <c r="HB141">
        <f>COUNTIFS('DRAFT 2'!$D:$D,$B141,'DRAFT 2'!$A:$A,"&gt;="&amp;DATE(2026,9,22),'DRAFT 2'!$A:$A,"&lt;"&amp;DATE(2026,IF(9=12,9+1,9+1),1))</f>
        <v/>
      </c>
      <c r="HC141">
        <f>SUM(GY141:HB141)</f>
        <v/>
      </c>
      <c r="HN141">
        <f>IFERROR(LOOKUP(2,1/('DRAFT 2'!$D:$D=$B141)*('DRAFT 2'!$A:$A&gt;=DATE(2026,10,1))*('DRAFT 2'!$A:$A&lt;DATE(2026,IF(10=12,10+1,10+1),1)),'DRAFT 2'!$A:$A),"")</f>
        <v/>
      </c>
      <c r="HO141">
        <f>COUNTIFS('DRAFT 2'!$D:$D,$B141,'DRAFT 2'!$A:$A,"&gt;="&amp;DATE(2026,10,1),'DRAFT 2'!$A:$A,"&lt;="&amp;DATE(2026,10,7))</f>
        <v/>
      </c>
      <c r="HP141">
        <f>COUNTIFS('DRAFT 2'!$D:$D,$B141,'DRAFT 2'!$A:$A,"&gt;="&amp;DATE(2026,10,8),'DRAFT 2'!$A:$A,"&lt;="&amp;DATE(2026,10,14))</f>
        <v/>
      </c>
      <c r="HQ141">
        <f>COUNTIFS('DRAFT 2'!$D:$D,$B141,'DRAFT 2'!$A:$A,"&gt;="&amp;DATE(2026,10,15),'DRAFT 2'!$A:$A,"&lt;="&amp;DATE(2026,10,21))</f>
        <v/>
      </c>
      <c r="HR141">
        <f>COUNTIFS('DRAFT 2'!$D:$D,$B141,'DRAFT 2'!$A:$A,"&gt;="&amp;DATE(2026,10,22),'DRAFT 2'!$A:$A,"&lt;"&amp;DATE(2026,IF(10=12,10+1,10+1),1))</f>
        <v/>
      </c>
      <c r="HS141">
        <f>SUM(HO141:HR141)</f>
        <v/>
      </c>
      <c r="IC141">
        <f>IFERROR(LOOKUP(2,1/('DRAFT 2'!$D:$D=$B141)*('DRAFT 2'!$A:$A&gt;=DATE(2026,11,1))*('DRAFT 2'!$A:$A&lt;DATE(2026,IF(11=12,11+1,11+1),1)),'DRAFT 2'!$A:$A),"")</f>
        <v/>
      </c>
      <c r="ID141">
        <f>COUNTIFS('DRAFT 2'!$D:$D,$B141,'DRAFT 2'!$A:$A,"&gt;="&amp;DATE(2026,11,1),'DRAFT 2'!$A:$A,"&lt;="&amp;DATE(2026,11,7))</f>
        <v/>
      </c>
      <c r="IE141">
        <f>COUNTIFS('DRAFT 2'!$D:$D,$B141,'DRAFT 2'!$A:$A,"&gt;="&amp;DATE(2026,11,8),'DRAFT 2'!$A:$A,"&lt;="&amp;DATE(2026,11,14))</f>
        <v/>
      </c>
      <c r="IF141">
        <f>COUNTIFS('DRAFT 2'!$D:$D,$B141,'DRAFT 2'!$A:$A,"&gt;="&amp;DATE(2026,11,15),'DRAFT 2'!$A:$A,"&lt;="&amp;DATE(2026,11,21))</f>
        <v/>
      </c>
      <c r="IG141">
        <f>COUNTIFS('DRAFT 2'!$D:$D,$B141,'DRAFT 2'!$A:$A,"&gt;="&amp;DATE(2026,11,22),'DRAFT 2'!$A:$A,"&lt;"&amp;DATE(2026,IF(11=12,11+1,11+1),1))</f>
        <v/>
      </c>
      <c r="IH141">
        <f>SUM(ID141:IG141)</f>
        <v/>
      </c>
      <c r="IR141">
        <f>IFERROR(LOOKUP(2,1/('DRAFT 2'!$D:$D=$B141)*('DRAFT 2'!$A:$A&gt;=DATE(2026,12,1))*('DRAFT 2'!$A:$A&lt;DATE(2026,IF(12=12,12+1,12+1),1)),'DRAFT 2'!$A:$A),"")</f>
        <v/>
      </c>
      <c r="IS141">
        <f>COUNTIFS('DRAFT 2'!$D:$D,$B141,'DRAFT 2'!$A:$A,"&gt;="&amp;DATE(2026,12,1),'DRAFT 2'!$A:$A,"&lt;="&amp;DATE(2026,12,7))</f>
        <v/>
      </c>
      <c r="IT141">
        <f>COUNTIFS('DRAFT 2'!$D:$D,$B141,'DRAFT 2'!$A:$A,"&gt;="&amp;DATE(2026,12,8),'DRAFT 2'!$A:$A,"&lt;="&amp;DATE(2026,12,14))</f>
        <v/>
      </c>
      <c r="IU141">
        <f>COUNTIFS('DRAFT 2'!$D:$D,$B141,'DRAFT 2'!$A:$A,"&gt;="&amp;DATE(2026,12,15),'DRAFT 2'!$A:$A,"&lt;="&amp;DATE(2026,12,21))</f>
        <v/>
      </c>
      <c r="IV141">
        <f>COUNTIFS('DRAFT 2'!$D:$D,$B141,'DRAFT 2'!$A:$A,"&gt;="&amp;DATE(2026,12,22),'DRAFT 2'!$A:$A,"&lt;"&amp;DATE(2026,IF(12=12,12+1,12+1),1))</f>
        <v/>
      </c>
      <c r="IW141">
        <f>SUM(IS141:IV141)</f>
        <v/>
      </c>
    </row>
    <row r="142">
      <c r="A142">
        <f>IFERROR(INDEX('DRAFT 1'!$A:$A,MATCH($B142,'DRAFT 1'!$B:$B,0)),"")</f>
        <v/>
      </c>
      <c r="C142">
        <f>IFERROR(INDEX('DRAFT 1'!$C:$C,MATCH($B142,'DRAFT 1'!$B:$B,0)),"")</f>
        <v/>
      </c>
      <c r="D142">
        <f>IFERROR(INDEX('DRAFT 1'!$D:$D,MATCH($B142,'DRAFT 1'!$B:$B,0)),"")</f>
        <v/>
      </c>
      <c r="E142">
        <f>IFERROR(INDEX('DRAFT 1'!$E:$E,MATCH($B142,'DRAFT 1'!$B:$B,0)),"")</f>
        <v/>
      </c>
      <c r="F142">
        <f>IFERROR(INDEX('DRAFT 1'!$F:$F,MATCH($B142,'DRAFT 1'!$B:$B,0)),"")</f>
        <v/>
      </c>
      <c r="G142">
        <f>IFERROR(INDEX('DRAFT 1'!$G:$G,MATCH($B142,'DRAFT 1'!$B:$B,0)),"")</f>
        <v/>
      </c>
      <c r="H142">
        <f>IFERROR(INDEX('DRAFT 1'!$H:$H,MATCH($B142,'DRAFT 1'!$B:$B,0)),"")</f>
        <v/>
      </c>
      <c r="I142">
        <f>IFERROR(INDEX('DRAFT 1'!$I:$I,MATCH($B142,'DRAFT 1'!$B:$B,0)),"")</f>
        <v/>
      </c>
      <c r="K142">
        <f>IFERROR(INDEX('DRAFT 1'!$AL:$AL,MATCH($B142,'DRAFT 1'!$B:$B,0)),"")</f>
        <v/>
      </c>
      <c r="L142">
        <f>IFERROR(INDEX('DRAFT 1'!$J:$J,MATCH($B142,'DRAFT 1'!$B:$B,0)),"")</f>
        <v/>
      </c>
      <c r="M142">
        <f>IFERROR(INDEX('DRAFT 1'!$K:$K,MATCH($B142,'DRAFT 1'!$B:$B,0)),"")</f>
        <v/>
      </c>
      <c r="P142">
        <f>IFERROR(INDEX('DRAFT 1'!$L:$L,MATCH($B142,'DRAFT 1'!$B:$B,0)),"")</f>
        <v/>
      </c>
      <c r="Q142">
        <f>IFERROR(INDEX('DRAFT 1'!$M:$M,MATCH($B142,'DRAFT 1'!$B:$B,0)),"")</f>
        <v/>
      </c>
      <c r="R142">
        <f>IFERROR(INDEX('DRAFT 1'!$N:$N,MATCH($B142,'DRAFT 1'!$B:$B,0)),"")</f>
        <v/>
      </c>
      <c r="S142">
        <f>IFERROR(INDEX('DRAFT 1'!$O:$O,MATCH($B142,'DRAFT 1'!$B:$B,0)),"")</f>
        <v/>
      </c>
      <c r="T142">
        <f>IFERROR(INDEX('DRAFT 1'!$P:$P,MATCH($B142,'DRAFT 1'!$B:$B,0)),"")</f>
        <v/>
      </c>
      <c r="U142">
        <f>IFERROR(INDEX('DRAFT 1'!$Q:$Q,MATCH($B142,'DRAFT 1'!$B:$B,0)),"")</f>
        <v/>
      </c>
      <c r="V142">
        <f>IFERROR(INDEX('DRAFT 1'!$R:$R,MATCH($B142,'DRAFT 1'!$B:$B,0)),"")</f>
        <v/>
      </c>
      <c r="W142">
        <f>IFERROR(INDEX('DRAFT 1'!$S:$S,MATCH($B142,'DRAFT 1'!$B:$B,0)),"")</f>
        <v/>
      </c>
      <c r="X142">
        <f>IFERROR(INDEX('DRAFT 1'!$T:$T,MATCH($B142,'DRAFT 1'!$B:$B,0)),"")</f>
        <v/>
      </c>
      <c r="Z142">
        <f>IFERROR(INDEX('DRAFT 1'!$U:$U,MATCH($B142,'DRAFT 1'!$B:$B,0)),"")</f>
        <v/>
      </c>
      <c r="AA142">
        <f>IFERROR(INDEX('DRAFT 1'!$V:$V,MATCH($B142,'DRAFT 1'!$B:$B,0)),"")</f>
        <v/>
      </c>
      <c r="AB142">
        <f>IFERROR(INDEX('DRAFT 1'!$W:$W,MATCH($B142,'DRAFT 1'!$B:$B,0)),"")</f>
        <v/>
      </c>
      <c r="AC142">
        <f>IFERROR(INDEX('DRAFT 1'!$X:$X,MATCH($B142,'DRAFT 1'!$B:$B,0)),"")</f>
        <v/>
      </c>
      <c r="AD142">
        <f>IFERROR(INDEX('DRAFT 1'!$Y:$Y,MATCH($B142,'DRAFT 1'!$B:$B,0)),"")</f>
        <v/>
      </c>
      <c r="AE142">
        <f>IFERROR(INDEX('DRAFT 1'!$Z:$Z,MATCH($B142,'DRAFT 1'!$B:$B,0)),"")</f>
        <v/>
      </c>
      <c r="AF142">
        <f>IFERROR(INDEX('DRAFT 1'!$AA:$AA,MATCH($B142,'DRAFT 1'!$B:$B,0)),"")</f>
        <v/>
      </c>
      <c r="AG142">
        <f>IFERROR(INDEX('DRAFT 1'!$AB:$AB,MATCH($B142,'DRAFT 1'!$B:$B,0)),"")</f>
        <v/>
      </c>
      <c r="AH142">
        <f>IFERROR(INDEX('DRAFT 1'!$AC:$AC,MATCH($B142,'DRAFT 1'!$B:$B,0)),"")</f>
        <v/>
      </c>
      <c r="AI142">
        <f>IFERROR(INDEX('DRAFT 1'!$AD:$AD,MATCH($B142,'DRAFT 1'!$B:$B,0)),"")</f>
        <v/>
      </c>
      <c r="AJ142">
        <f>IFERROR(INDEX('DRAFT 1'!$AE:$AE,MATCH($B142,'DRAFT 1'!$B:$B,0)),"")</f>
        <v/>
      </c>
      <c r="AK142">
        <f>IFERROR(INDEX('DRAFT 1'!$AG:$AG,MATCH($B142,'DRAFT 1'!$B:$B,0)),"")</f>
        <v/>
      </c>
      <c r="AL142">
        <f>IFERROR(INDEX('DRAFT 1'!$AH:$AH,MATCH($B142,'DRAFT 1'!$B:$B,0)),"")</f>
        <v/>
      </c>
      <c r="AM142">
        <f>IFERROR(INDEX('DRAFT 1'!$AI:$AI,MATCH($B142,'DRAFT 1'!$B:$B,0)),"")</f>
        <v/>
      </c>
      <c r="AN142">
        <f>IFERROR(INDEX('DRAFT 1'!$AJ:$AJ,MATCH($B142,'DRAFT 1'!$B:$B,0)),"")</f>
        <v/>
      </c>
      <c r="AO142">
        <f>IFERROR(Y142/AN142,0)</f>
        <v/>
      </c>
      <c r="AP142">
        <f>IFERROR(INDEX('DRAFT 1'!$AK:$AK,MATCH($B142,'DRAFT 1'!$B:$B,0)),"")</f>
        <v/>
      </c>
      <c r="AR142">
        <f>IFERROR(LOOKUP(2,1/('DRAFT 2'!$D:$D=$B142),'DRAFT 2'!$I:$I),"")</f>
        <v/>
      </c>
      <c r="AS142">
        <f>IFERROR(LOOKUP(2,1/('DRAFT 2'!$D:$D=$B142),'DRAFT 2'!$T:$T),"")</f>
        <v/>
      </c>
      <c r="AT142">
        <f>IFERROR(LOOKUP(2,1/('DRAFT 2'!$D:$D=$B142),'DRAFT 2'!$A:$A),"")</f>
        <v/>
      </c>
      <c r="AU142">
        <f>IFERROR(LOOKUP(2,1/('DRAFT 2'!$D:$D=$B142),'DRAFT 2'!$R:$R),"")</f>
        <v/>
      </c>
      <c r="AV142">
        <f>IFERROR(LOOKUP(2,1/('DRAFT 2'!$D:$D=$B142),'DRAFT 2'!$S:$S),"")</f>
        <v/>
      </c>
      <c r="AX142">
        <f>IFERROR(LOOKUP(2,1/('DRAFT 2'!$D:$D=$B142),'DRAFT 2'!$M:$M),"")</f>
        <v/>
      </c>
      <c r="AY142">
        <f>IFERROR(LOOKUP(2,1/('DRAFT 2'!$D:$D=$B142),'DRAFT 2'!$K:$K),"")</f>
        <v/>
      </c>
      <c r="BG142">
        <f>IFERROR(LOOKUP(2,1/('DRAFT 2'!$D:$D=$B142),'DRAFT 2'!$U:$U),"")</f>
        <v/>
      </c>
      <c r="BH142">
        <f>IFERROR(LOOKUP(2,1/('DRAFT 2'!$D:$D=$B142),'DRAFT 2'!$V:$V),"")</f>
        <v/>
      </c>
      <c r="CE142">
        <f>IFERROR(AJ142,0)</f>
        <v/>
      </c>
      <c r="CF142">
        <f>IFERROR(LOOKUP(2,1/('DRAFT 2'!$D:$D=$B142)*('DRAFT 2'!$A:$A&gt;=DATE(2026,1,1))*('DRAFT 2'!$A:$A&lt;DATE(2026,IF(1=12,1+1,1+1),1)),'DRAFT 2'!$A:$A),"")</f>
        <v/>
      </c>
      <c r="CG142">
        <f>COUNTIFS('DRAFT 2'!$D:$D,$B142,'DRAFT 2'!$A:$A,"&gt;="&amp;DATE(2026,1,1),'DRAFT 2'!$A:$A,"&lt;="&amp;DATE(2026,1,7))</f>
        <v/>
      </c>
      <c r="CH142">
        <f>COUNTIFS('DRAFT 2'!$D:$D,$B142,'DRAFT 2'!$A:$A,"&gt;="&amp;DATE(2026,1,8),'DRAFT 2'!$A:$A,"&lt;="&amp;DATE(2026,1,14))</f>
        <v/>
      </c>
      <c r="CI142">
        <f>COUNTIFS('DRAFT 2'!$D:$D,$B142,'DRAFT 2'!$A:$A,"&gt;="&amp;DATE(2026,1,15),'DRAFT 2'!$A:$A,"&lt;="&amp;DATE(2026,1,21))</f>
        <v/>
      </c>
      <c r="CJ142">
        <f>COUNTIFS('DRAFT 2'!$D:$D,$B142,'DRAFT 2'!$A:$A,"&gt;="&amp;DATE(2026,1,22),'DRAFT 2'!$A:$A,"&lt;"&amp;DATE(2026,IF(1=12,1+1,1+1),1))</f>
        <v/>
      </c>
      <c r="CK142">
        <f>SUM(CG142:CJ142)</f>
        <v/>
      </c>
      <c r="CT142" t="n">
        <v>0</v>
      </c>
      <c r="CU142">
        <f>IFERROR(LOOKUP(2,1/('DRAFT 2'!$D:$D=$B142)*('DRAFT 2'!$A:$A&gt;=DATE(2026,2,1))*('DRAFT 2'!$A:$A&lt;DATE(2026,IF(2=12,2+1,2+1),1)),'DRAFT 2'!$A:$A),"")</f>
        <v/>
      </c>
      <c r="CV142">
        <f>COUNTIFS('DRAFT 2'!$D:$D,$B142,'DRAFT 2'!$A:$A,"&gt;="&amp;DATE(2026,2,1),'DRAFT 2'!$A:$A,"&lt;="&amp;DATE(2026,2,7))</f>
        <v/>
      </c>
      <c r="CW142">
        <f>COUNTIFS('DRAFT 2'!$D:$D,$B142,'DRAFT 2'!$A:$A,"&gt;="&amp;DATE(2026,2,8),'DRAFT 2'!$A:$A,"&lt;="&amp;DATE(2026,2,14))</f>
        <v/>
      </c>
      <c r="CX142">
        <f>COUNTIFS('DRAFT 2'!$D:$D,$B142,'DRAFT 2'!$A:$A,"&gt;="&amp;DATE(2026,2,15),'DRAFT 2'!$A:$A,"&lt;="&amp;DATE(2026,2,21))</f>
        <v/>
      </c>
      <c r="CY142">
        <f>COUNTIFS('DRAFT 2'!$D:$D,$B142,'DRAFT 2'!$A:$A,"&gt;="&amp;DATE(2026,2,22),'DRAFT 2'!$A:$A,"&lt;"&amp;DATE(2026,IF(2=12,2+1,2+1),1))</f>
        <v/>
      </c>
      <c r="CZ142">
        <f>SUM(CV142:CY142)</f>
        <v/>
      </c>
      <c r="DJ142">
        <f>IFERROR(LOOKUP(2,1/('DRAFT 2'!$D:$D=$B142)*('DRAFT 2'!$A:$A&gt;=DATE(2026,3,1))*('DRAFT 2'!$A:$A&lt;DATE(2026,IF(3=12,3+1,3+1),1)),'DRAFT 2'!$A:$A),"")</f>
        <v/>
      </c>
      <c r="DK142">
        <f>COUNTIFS('DRAFT 2'!$D:$D,$B142,'DRAFT 2'!$A:$A,"&gt;="&amp;DATE(2026,3,1),'DRAFT 2'!$A:$A,"&lt;="&amp;DATE(2026,3,7))</f>
        <v/>
      </c>
      <c r="DL142">
        <f>COUNTIFS('DRAFT 2'!$D:$D,$B142,'DRAFT 2'!$A:$A,"&gt;="&amp;DATE(2026,3,8),'DRAFT 2'!$A:$A,"&lt;="&amp;DATE(2026,3,14))</f>
        <v/>
      </c>
      <c r="DM142">
        <f>COUNTIFS('DRAFT 2'!$D:$D,$B142,'DRAFT 2'!$A:$A,"&gt;="&amp;DATE(2026,3,15),'DRAFT 2'!$A:$A,"&lt;="&amp;DATE(2026,3,21))</f>
        <v/>
      </c>
      <c r="DN142">
        <f>COUNTIFS('DRAFT 2'!$D:$D,$B142,'DRAFT 2'!$A:$A,"&gt;="&amp;DATE(2026,3,22),'DRAFT 2'!$A:$A,"&lt;"&amp;DATE(2026,IF(3=12,3+1,3+1),1))</f>
        <v/>
      </c>
      <c r="DO142">
        <f>SUM(DK142:DN142)</f>
        <v/>
      </c>
      <c r="DZ142">
        <f>IFERROR(LOOKUP(2,1/('DRAFT 2'!$D:$D=$B142)*('DRAFT 2'!$A:$A&gt;=DATE(2026,4,1))*('DRAFT 2'!$A:$A&lt;DATE(2026,IF(4=12,4+1,4+1),1)),'DRAFT 2'!$A:$A),"")</f>
        <v/>
      </c>
      <c r="EA142">
        <f>COUNTIFS('DRAFT 2'!$D:$D,$B142,'DRAFT 2'!$A:$A,"&gt;="&amp;DATE(2026,4,1),'DRAFT 2'!$A:$A,"&lt;="&amp;DATE(2026,4,7))</f>
        <v/>
      </c>
      <c r="EB142">
        <f>COUNTIFS('DRAFT 2'!$D:$D,$B142,'DRAFT 2'!$A:$A,"&gt;="&amp;DATE(2026,4,8),'DRAFT 2'!$A:$A,"&lt;="&amp;DATE(2026,4,14))</f>
        <v/>
      </c>
      <c r="EC142">
        <f>COUNTIFS('DRAFT 2'!$D:$D,$B142,'DRAFT 2'!$A:$A,"&gt;="&amp;DATE(2026,4,15),'DRAFT 2'!$A:$A,"&lt;="&amp;DATE(2026,4,21))</f>
        <v/>
      </c>
      <c r="ED142">
        <f>COUNTIFS('DRAFT 2'!$D:$D,$B142,'DRAFT 2'!$A:$A,"&gt;="&amp;DATE(2026,4,22),'DRAFT 2'!$A:$A,"&lt;"&amp;DATE(2026,IF(4=12,4+1,4+1),1))</f>
        <v/>
      </c>
      <c r="EE142">
        <f>SUM(EA142:ED142)</f>
        <v/>
      </c>
      <c r="EO142">
        <f>IFERROR(LOOKUP(2,1/('DRAFT 2'!$D:$D=$B142)*('DRAFT 2'!$A:$A&gt;=DATE(2026,5,1))*('DRAFT 2'!$A:$A&lt;DATE(2026,IF(5=12,5+1,5+1),1)),'DRAFT 2'!$A:$A),"")</f>
        <v/>
      </c>
      <c r="EP142">
        <f>COUNTIFS('DRAFT 2'!$D:$D,$B142,'DRAFT 2'!$A:$A,"&gt;="&amp;DATE(2026,5,1),'DRAFT 2'!$A:$A,"&lt;="&amp;DATE(2026,5,7))</f>
        <v/>
      </c>
      <c r="EQ142">
        <f>COUNTIFS('DRAFT 2'!$D:$D,$B142,'DRAFT 2'!$A:$A,"&gt;="&amp;DATE(2026,5,8),'DRAFT 2'!$A:$A,"&lt;="&amp;DATE(2026,5,14))</f>
        <v/>
      </c>
      <c r="ER142">
        <f>COUNTIFS('DRAFT 2'!$D:$D,$B142,'DRAFT 2'!$A:$A,"&gt;="&amp;DATE(2026,5,15),'DRAFT 2'!$A:$A,"&lt;="&amp;DATE(2026,5,21))</f>
        <v/>
      </c>
      <c r="ES142">
        <f>COUNTIFS('DRAFT 2'!$D:$D,$B142,'DRAFT 2'!$A:$A,"&gt;="&amp;DATE(2026,5,22),'DRAFT 2'!$A:$A,"&lt;"&amp;DATE(2026,IF(5=12,5+1,5+1),1))</f>
        <v/>
      </c>
      <c r="ET142">
        <f>SUM(EP142:ES142)</f>
        <v/>
      </c>
      <c r="FD142">
        <f>IFERROR(LOOKUP(2,1/('DRAFT 2'!$D:$D=$B142)*('DRAFT 2'!$A:$A&gt;=DATE(2026,6,1))*('DRAFT 2'!$A:$A&lt;DATE(2026,IF(6=12,6+1,6+1),1)),'DRAFT 2'!$A:$A),"")</f>
        <v/>
      </c>
      <c r="FE142">
        <f>COUNTIFS('DRAFT 2'!$D:$D,$B142,'DRAFT 2'!$A:$A,"&gt;="&amp;DATE(2026,6,1),'DRAFT 2'!$A:$A,"&lt;="&amp;DATE(2026,6,7))</f>
        <v/>
      </c>
      <c r="FF142">
        <f>COUNTIFS('DRAFT 2'!$D:$D,$B142,'DRAFT 2'!$A:$A,"&gt;="&amp;DATE(2026,6,8),'DRAFT 2'!$A:$A,"&lt;="&amp;DATE(2026,6,14))</f>
        <v/>
      </c>
      <c r="FG142">
        <f>COUNTIFS('DRAFT 2'!$D:$D,$B142,'DRAFT 2'!$A:$A,"&gt;="&amp;DATE(2026,6,15),'DRAFT 2'!$A:$A,"&lt;="&amp;DATE(2026,6,21))</f>
        <v/>
      </c>
      <c r="FH142">
        <f>COUNTIFS('DRAFT 2'!$D:$D,$B142,'DRAFT 2'!$A:$A,"&gt;="&amp;DATE(2026,6,22),'DRAFT 2'!$A:$A,"&lt;"&amp;DATE(2026,IF(6=12,6+1,6+1),1))</f>
        <v/>
      </c>
      <c r="FI142">
        <f>SUM(FE142:FH142)</f>
        <v/>
      </c>
      <c r="FT142">
        <f>IFERROR(LOOKUP(2,1/('DRAFT 2'!$D:$D=$B142)*('DRAFT 2'!$A:$A&gt;=DATE(2026,7,1))*('DRAFT 2'!$A:$A&lt;DATE(2026,IF(7=12,7+1,7+1),1)),'DRAFT 2'!$A:$A),"")</f>
        <v/>
      </c>
      <c r="FU142">
        <f>COUNTIFS('DRAFT 2'!$D:$D,$B142,'DRAFT 2'!$A:$A,"&gt;="&amp;DATE(2026,7,1),'DRAFT 2'!$A:$A,"&lt;="&amp;DATE(2026,7,7))</f>
        <v/>
      </c>
      <c r="FV142">
        <f>COUNTIFS('DRAFT 2'!$D:$D,$B142,'DRAFT 2'!$A:$A,"&gt;="&amp;DATE(2026,7,8),'DRAFT 2'!$A:$A,"&lt;="&amp;DATE(2026,7,14))</f>
        <v/>
      </c>
      <c r="FW142">
        <f>COUNTIFS('DRAFT 2'!$D:$D,$B142,'DRAFT 2'!$A:$A,"&gt;="&amp;DATE(2026,7,15),'DRAFT 2'!$A:$A,"&lt;="&amp;DATE(2026,7,21))</f>
        <v/>
      </c>
      <c r="FX142">
        <f>COUNTIFS('DRAFT 2'!$D:$D,$B142,'DRAFT 2'!$A:$A,"&gt;="&amp;DATE(2026,7,22),'DRAFT 2'!$A:$A,"&lt;"&amp;DATE(2026,IF(7=12,7+1,7+1),1))</f>
        <v/>
      </c>
      <c r="FY142">
        <f>SUM(FU142:FX142)</f>
        <v/>
      </c>
      <c r="GI142">
        <f>IFERROR(LOOKUP(2,1/('DRAFT 2'!$D:$D=$B142)*('DRAFT 2'!$A:$A&gt;=DATE(2026,8,1))*('DRAFT 2'!$A:$A&lt;DATE(2026,IF(8=12,8+1,8+1),1)),'DRAFT 2'!$A:$A),"")</f>
        <v/>
      </c>
      <c r="GJ142">
        <f>COUNTIFS('DRAFT 2'!$D:$D,$B142,'DRAFT 2'!$A:$A,"&gt;="&amp;DATE(2026,8,1),'DRAFT 2'!$A:$A,"&lt;="&amp;DATE(2026,8,7))</f>
        <v/>
      </c>
      <c r="GK142">
        <f>COUNTIFS('DRAFT 2'!$D:$D,$B142,'DRAFT 2'!$A:$A,"&gt;="&amp;DATE(2026,8,8),'DRAFT 2'!$A:$A,"&lt;="&amp;DATE(2026,8,14))</f>
        <v/>
      </c>
      <c r="GL142">
        <f>COUNTIFS('DRAFT 2'!$D:$D,$B142,'DRAFT 2'!$A:$A,"&gt;="&amp;DATE(2026,8,15),'DRAFT 2'!$A:$A,"&lt;="&amp;DATE(2026,8,21))</f>
        <v/>
      </c>
      <c r="GM142">
        <f>COUNTIFS('DRAFT 2'!$D:$D,$B142,'DRAFT 2'!$A:$A,"&gt;="&amp;DATE(2026,8,22),'DRAFT 2'!$A:$A,"&lt;"&amp;DATE(2026,IF(8=12,8+1,8+1),1))</f>
        <v/>
      </c>
      <c r="GN142">
        <f>SUM(GJ142:GM142)</f>
        <v/>
      </c>
      <c r="GX142">
        <f>IFERROR(LOOKUP(2,1/('DRAFT 2'!$D:$D=$B142)*('DRAFT 2'!$A:$A&gt;=DATE(2026,9,1))*('DRAFT 2'!$A:$A&lt;DATE(2026,IF(9=12,9+1,9+1),1)),'DRAFT 2'!$A:$A),"")</f>
        <v/>
      </c>
      <c r="GY142">
        <f>COUNTIFS('DRAFT 2'!$D:$D,$B142,'DRAFT 2'!$A:$A,"&gt;="&amp;DATE(2026,9,1),'DRAFT 2'!$A:$A,"&lt;="&amp;DATE(2026,9,7))</f>
        <v/>
      </c>
      <c r="GZ142">
        <f>COUNTIFS('DRAFT 2'!$D:$D,$B142,'DRAFT 2'!$A:$A,"&gt;="&amp;DATE(2026,9,8),'DRAFT 2'!$A:$A,"&lt;="&amp;DATE(2026,9,14))</f>
        <v/>
      </c>
      <c r="HA142">
        <f>COUNTIFS('DRAFT 2'!$D:$D,$B142,'DRAFT 2'!$A:$A,"&gt;="&amp;DATE(2026,9,15),'DRAFT 2'!$A:$A,"&lt;="&amp;DATE(2026,9,21))</f>
        <v/>
      </c>
      <c r="HB142">
        <f>COUNTIFS('DRAFT 2'!$D:$D,$B142,'DRAFT 2'!$A:$A,"&gt;="&amp;DATE(2026,9,22),'DRAFT 2'!$A:$A,"&lt;"&amp;DATE(2026,IF(9=12,9+1,9+1),1))</f>
        <v/>
      </c>
      <c r="HC142">
        <f>SUM(GY142:HB142)</f>
        <v/>
      </c>
      <c r="HN142">
        <f>IFERROR(LOOKUP(2,1/('DRAFT 2'!$D:$D=$B142)*('DRAFT 2'!$A:$A&gt;=DATE(2026,10,1))*('DRAFT 2'!$A:$A&lt;DATE(2026,IF(10=12,10+1,10+1),1)),'DRAFT 2'!$A:$A),"")</f>
        <v/>
      </c>
      <c r="HO142">
        <f>COUNTIFS('DRAFT 2'!$D:$D,$B142,'DRAFT 2'!$A:$A,"&gt;="&amp;DATE(2026,10,1),'DRAFT 2'!$A:$A,"&lt;="&amp;DATE(2026,10,7))</f>
        <v/>
      </c>
      <c r="HP142">
        <f>COUNTIFS('DRAFT 2'!$D:$D,$B142,'DRAFT 2'!$A:$A,"&gt;="&amp;DATE(2026,10,8),'DRAFT 2'!$A:$A,"&lt;="&amp;DATE(2026,10,14))</f>
        <v/>
      </c>
      <c r="HQ142">
        <f>COUNTIFS('DRAFT 2'!$D:$D,$B142,'DRAFT 2'!$A:$A,"&gt;="&amp;DATE(2026,10,15),'DRAFT 2'!$A:$A,"&lt;="&amp;DATE(2026,10,21))</f>
        <v/>
      </c>
      <c r="HR142">
        <f>COUNTIFS('DRAFT 2'!$D:$D,$B142,'DRAFT 2'!$A:$A,"&gt;="&amp;DATE(2026,10,22),'DRAFT 2'!$A:$A,"&lt;"&amp;DATE(2026,IF(10=12,10+1,10+1),1))</f>
        <v/>
      </c>
      <c r="HS142">
        <f>SUM(HO142:HR142)</f>
        <v/>
      </c>
      <c r="IC142">
        <f>IFERROR(LOOKUP(2,1/('DRAFT 2'!$D:$D=$B142)*('DRAFT 2'!$A:$A&gt;=DATE(2026,11,1))*('DRAFT 2'!$A:$A&lt;DATE(2026,IF(11=12,11+1,11+1),1)),'DRAFT 2'!$A:$A),"")</f>
        <v/>
      </c>
      <c r="ID142">
        <f>COUNTIFS('DRAFT 2'!$D:$D,$B142,'DRAFT 2'!$A:$A,"&gt;="&amp;DATE(2026,11,1),'DRAFT 2'!$A:$A,"&lt;="&amp;DATE(2026,11,7))</f>
        <v/>
      </c>
      <c r="IE142">
        <f>COUNTIFS('DRAFT 2'!$D:$D,$B142,'DRAFT 2'!$A:$A,"&gt;="&amp;DATE(2026,11,8),'DRAFT 2'!$A:$A,"&lt;="&amp;DATE(2026,11,14))</f>
        <v/>
      </c>
      <c r="IF142">
        <f>COUNTIFS('DRAFT 2'!$D:$D,$B142,'DRAFT 2'!$A:$A,"&gt;="&amp;DATE(2026,11,15),'DRAFT 2'!$A:$A,"&lt;="&amp;DATE(2026,11,21))</f>
        <v/>
      </c>
      <c r="IG142">
        <f>COUNTIFS('DRAFT 2'!$D:$D,$B142,'DRAFT 2'!$A:$A,"&gt;="&amp;DATE(2026,11,22),'DRAFT 2'!$A:$A,"&lt;"&amp;DATE(2026,IF(11=12,11+1,11+1),1))</f>
        <v/>
      </c>
      <c r="IH142">
        <f>SUM(ID142:IG142)</f>
        <v/>
      </c>
      <c r="IR142">
        <f>IFERROR(LOOKUP(2,1/('DRAFT 2'!$D:$D=$B142)*('DRAFT 2'!$A:$A&gt;=DATE(2026,12,1))*('DRAFT 2'!$A:$A&lt;DATE(2026,IF(12=12,12+1,12+1),1)),'DRAFT 2'!$A:$A),"")</f>
        <v/>
      </c>
      <c r="IS142">
        <f>COUNTIFS('DRAFT 2'!$D:$D,$B142,'DRAFT 2'!$A:$A,"&gt;="&amp;DATE(2026,12,1),'DRAFT 2'!$A:$A,"&lt;="&amp;DATE(2026,12,7))</f>
        <v/>
      </c>
      <c r="IT142">
        <f>COUNTIFS('DRAFT 2'!$D:$D,$B142,'DRAFT 2'!$A:$A,"&gt;="&amp;DATE(2026,12,8),'DRAFT 2'!$A:$A,"&lt;="&amp;DATE(2026,12,14))</f>
        <v/>
      </c>
      <c r="IU142">
        <f>COUNTIFS('DRAFT 2'!$D:$D,$B142,'DRAFT 2'!$A:$A,"&gt;="&amp;DATE(2026,12,15),'DRAFT 2'!$A:$A,"&lt;="&amp;DATE(2026,12,21))</f>
        <v/>
      </c>
      <c r="IV142">
        <f>COUNTIFS('DRAFT 2'!$D:$D,$B142,'DRAFT 2'!$A:$A,"&gt;="&amp;DATE(2026,12,22),'DRAFT 2'!$A:$A,"&lt;"&amp;DATE(2026,IF(12=12,12+1,12+1),1))</f>
        <v/>
      </c>
      <c r="IW142">
        <f>SUM(IS142:IV142)</f>
        <v/>
      </c>
    </row>
    <row r="143">
      <c r="A143">
        <f>IFERROR(INDEX('DRAFT 1'!$A:$A,MATCH($B143,'DRAFT 1'!$B:$B,0)),"")</f>
        <v/>
      </c>
      <c r="C143">
        <f>IFERROR(INDEX('DRAFT 1'!$C:$C,MATCH($B143,'DRAFT 1'!$B:$B,0)),"")</f>
        <v/>
      </c>
      <c r="D143">
        <f>IFERROR(INDEX('DRAFT 1'!$D:$D,MATCH($B143,'DRAFT 1'!$B:$B,0)),"")</f>
        <v/>
      </c>
      <c r="E143">
        <f>IFERROR(INDEX('DRAFT 1'!$E:$E,MATCH($B143,'DRAFT 1'!$B:$B,0)),"")</f>
        <v/>
      </c>
      <c r="F143">
        <f>IFERROR(INDEX('DRAFT 1'!$F:$F,MATCH($B143,'DRAFT 1'!$B:$B,0)),"")</f>
        <v/>
      </c>
      <c r="G143">
        <f>IFERROR(INDEX('DRAFT 1'!$G:$G,MATCH($B143,'DRAFT 1'!$B:$B,0)),"")</f>
        <v/>
      </c>
      <c r="H143">
        <f>IFERROR(INDEX('DRAFT 1'!$H:$H,MATCH($B143,'DRAFT 1'!$B:$B,0)),"")</f>
        <v/>
      </c>
      <c r="I143">
        <f>IFERROR(INDEX('DRAFT 1'!$I:$I,MATCH($B143,'DRAFT 1'!$B:$B,0)),"")</f>
        <v/>
      </c>
      <c r="K143">
        <f>IFERROR(INDEX('DRAFT 1'!$AL:$AL,MATCH($B143,'DRAFT 1'!$B:$B,0)),"")</f>
        <v/>
      </c>
      <c r="L143">
        <f>IFERROR(INDEX('DRAFT 1'!$J:$J,MATCH($B143,'DRAFT 1'!$B:$B,0)),"")</f>
        <v/>
      </c>
      <c r="M143">
        <f>IFERROR(INDEX('DRAFT 1'!$K:$K,MATCH($B143,'DRAFT 1'!$B:$B,0)),"")</f>
        <v/>
      </c>
      <c r="P143">
        <f>IFERROR(INDEX('DRAFT 1'!$L:$L,MATCH($B143,'DRAFT 1'!$B:$B,0)),"")</f>
        <v/>
      </c>
      <c r="Q143">
        <f>IFERROR(INDEX('DRAFT 1'!$M:$M,MATCH($B143,'DRAFT 1'!$B:$B,0)),"")</f>
        <v/>
      </c>
      <c r="R143">
        <f>IFERROR(INDEX('DRAFT 1'!$N:$N,MATCH($B143,'DRAFT 1'!$B:$B,0)),"")</f>
        <v/>
      </c>
      <c r="S143">
        <f>IFERROR(INDEX('DRAFT 1'!$O:$O,MATCH($B143,'DRAFT 1'!$B:$B,0)),"")</f>
        <v/>
      </c>
      <c r="T143">
        <f>IFERROR(INDEX('DRAFT 1'!$P:$P,MATCH($B143,'DRAFT 1'!$B:$B,0)),"")</f>
        <v/>
      </c>
      <c r="U143">
        <f>IFERROR(INDEX('DRAFT 1'!$Q:$Q,MATCH($B143,'DRAFT 1'!$B:$B,0)),"")</f>
        <v/>
      </c>
      <c r="V143">
        <f>IFERROR(INDEX('DRAFT 1'!$R:$R,MATCH($B143,'DRAFT 1'!$B:$B,0)),"")</f>
        <v/>
      </c>
      <c r="W143">
        <f>IFERROR(INDEX('DRAFT 1'!$S:$S,MATCH($B143,'DRAFT 1'!$B:$B,0)),"")</f>
        <v/>
      </c>
      <c r="X143">
        <f>IFERROR(INDEX('DRAFT 1'!$T:$T,MATCH($B143,'DRAFT 1'!$B:$B,0)),"")</f>
        <v/>
      </c>
      <c r="Z143">
        <f>IFERROR(INDEX('DRAFT 1'!$U:$U,MATCH($B143,'DRAFT 1'!$B:$B,0)),"")</f>
        <v/>
      </c>
      <c r="AA143">
        <f>IFERROR(INDEX('DRAFT 1'!$V:$V,MATCH($B143,'DRAFT 1'!$B:$B,0)),"")</f>
        <v/>
      </c>
      <c r="AB143">
        <f>IFERROR(INDEX('DRAFT 1'!$W:$W,MATCH($B143,'DRAFT 1'!$B:$B,0)),"")</f>
        <v/>
      </c>
      <c r="AC143">
        <f>IFERROR(INDEX('DRAFT 1'!$X:$X,MATCH($B143,'DRAFT 1'!$B:$B,0)),"")</f>
        <v/>
      </c>
      <c r="AD143">
        <f>IFERROR(INDEX('DRAFT 1'!$Y:$Y,MATCH($B143,'DRAFT 1'!$B:$B,0)),"")</f>
        <v/>
      </c>
      <c r="AE143">
        <f>IFERROR(INDEX('DRAFT 1'!$Z:$Z,MATCH($B143,'DRAFT 1'!$B:$B,0)),"")</f>
        <v/>
      </c>
      <c r="AF143">
        <f>IFERROR(INDEX('DRAFT 1'!$AA:$AA,MATCH($B143,'DRAFT 1'!$B:$B,0)),"")</f>
        <v/>
      </c>
      <c r="AG143">
        <f>IFERROR(INDEX('DRAFT 1'!$AB:$AB,MATCH($B143,'DRAFT 1'!$B:$B,0)),"")</f>
        <v/>
      </c>
      <c r="AH143">
        <f>IFERROR(INDEX('DRAFT 1'!$AC:$AC,MATCH($B143,'DRAFT 1'!$B:$B,0)),"")</f>
        <v/>
      </c>
      <c r="AI143">
        <f>IFERROR(INDEX('DRAFT 1'!$AD:$AD,MATCH($B143,'DRAFT 1'!$B:$B,0)),"")</f>
        <v/>
      </c>
      <c r="AJ143">
        <f>IFERROR(INDEX('DRAFT 1'!$AE:$AE,MATCH($B143,'DRAFT 1'!$B:$B,0)),"")</f>
        <v/>
      </c>
      <c r="AK143">
        <f>IFERROR(INDEX('DRAFT 1'!$AG:$AG,MATCH($B143,'DRAFT 1'!$B:$B,0)),"")</f>
        <v/>
      </c>
      <c r="AL143">
        <f>IFERROR(INDEX('DRAFT 1'!$AH:$AH,MATCH($B143,'DRAFT 1'!$B:$B,0)),"")</f>
        <v/>
      </c>
      <c r="AM143">
        <f>IFERROR(INDEX('DRAFT 1'!$AI:$AI,MATCH($B143,'DRAFT 1'!$B:$B,0)),"")</f>
        <v/>
      </c>
      <c r="AN143">
        <f>IFERROR(INDEX('DRAFT 1'!$AJ:$AJ,MATCH($B143,'DRAFT 1'!$B:$B,0)),"")</f>
        <v/>
      </c>
      <c r="AO143">
        <f>IFERROR(Y143/AN143,0)</f>
        <v/>
      </c>
      <c r="AP143">
        <f>IFERROR(INDEX('DRAFT 1'!$AK:$AK,MATCH($B143,'DRAFT 1'!$B:$B,0)),"")</f>
        <v/>
      </c>
      <c r="AR143">
        <f>IFERROR(LOOKUP(2,1/('DRAFT 2'!$D:$D=$B143),'DRAFT 2'!$I:$I),"")</f>
        <v/>
      </c>
      <c r="AS143">
        <f>IFERROR(LOOKUP(2,1/('DRAFT 2'!$D:$D=$B143),'DRAFT 2'!$T:$T),"")</f>
        <v/>
      </c>
      <c r="AT143">
        <f>IFERROR(LOOKUP(2,1/('DRAFT 2'!$D:$D=$B143),'DRAFT 2'!$A:$A),"")</f>
        <v/>
      </c>
      <c r="AU143">
        <f>IFERROR(LOOKUP(2,1/('DRAFT 2'!$D:$D=$B143),'DRAFT 2'!$R:$R),"")</f>
        <v/>
      </c>
      <c r="AV143">
        <f>IFERROR(LOOKUP(2,1/('DRAFT 2'!$D:$D=$B143),'DRAFT 2'!$S:$S),"")</f>
        <v/>
      </c>
      <c r="AX143">
        <f>IFERROR(LOOKUP(2,1/('DRAFT 2'!$D:$D=$B143),'DRAFT 2'!$M:$M),"")</f>
        <v/>
      </c>
      <c r="AY143">
        <f>IFERROR(LOOKUP(2,1/('DRAFT 2'!$D:$D=$B143),'DRAFT 2'!$K:$K),"")</f>
        <v/>
      </c>
      <c r="BG143">
        <f>IFERROR(LOOKUP(2,1/('DRAFT 2'!$D:$D=$B143),'DRAFT 2'!$U:$U),"")</f>
        <v/>
      </c>
      <c r="BH143">
        <f>IFERROR(LOOKUP(2,1/('DRAFT 2'!$D:$D=$B143),'DRAFT 2'!$V:$V),"")</f>
        <v/>
      </c>
      <c r="CE143">
        <f>IFERROR(AJ143,0)</f>
        <v/>
      </c>
      <c r="CF143">
        <f>IFERROR(LOOKUP(2,1/('DRAFT 2'!$D:$D=$B143)*('DRAFT 2'!$A:$A&gt;=DATE(2026,1,1))*('DRAFT 2'!$A:$A&lt;DATE(2026,IF(1=12,1+1,1+1),1)),'DRAFT 2'!$A:$A),"")</f>
        <v/>
      </c>
      <c r="CG143">
        <f>COUNTIFS('DRAFT 2'!$D:$D,$B143,'DRAFT 2'!$A:$A,"&gt;="&amp;DATE(2026,1,1),'DRAFT 2'!$A:$A,"&lt;="&amp;DATE(2026,1,7))</f>
        <v/>
      </c>
      <c r="CH143">
        <f>COUNTIFS('DRAFT 2'!$D:$D,$B143,'DRAFT 2'!$A:$A,"&gt;="&amp;DATE(2026,1,8),'DRAFT 2'!$A:$A,"&lt;="&amp;DATE(2026,1,14))</f>
        <v/>
      </c>
      <c r="CI143">
        <f>COUNTIFS('DRAFT 2'!$D:$D,$B143,'DRAFT 2'!$A:$A,"&gt;="&amp;DATE(2026,1,15),'DRAFT 2'!$A:$A,"&lt;="&amp;DATE(2026,1,21))</f>
        <v/>
      </c>
      <c r="CJ143">
        <f>COUNTIFS('DRAFT 2'!$D:$D,$B143,'DRAFT 2'!$A:$A,"&gt;="&amp;DATE(2026,1,22),'DRAFT 2'!$A:$A,"&lt;"&amp;DATE(2026,IF(1=12,1+1,1+1),1))</f>
        <v/>
      </c>
      <c r="CK143">
        <f>SUM(CG143:CJ143)</f>
        <v/>
      </c>
      <c r="CT143" t="n">
        <v>0</v>
      </c>
      <c r="CU143">
        <f>IFERROR(LOOKUP(2,1/('DRAFT 2'!$D:$D=$B143)*('DRAFT 2'!$A:$A&gt;=DATE(2026,2,1))*('DRAFT 2'!$A:$A&lt;DATE(2026,IF(2=12,2+1,2+1),1)),'DRAFT 2'!$A:$A),"")</f>
        <v/>
      </c>
      <c r="CV143">
        <f>COUNTIFS('DRAFT 2'!$D:$D,$B143,'DRAFT 2'!$A:$A,"&gt;="&amp;DATE(2026,2,1),'DRAFT 2'!$A:$A,"&lt;="&amp;DATE(2026,2,7))</f>
        <v/>
      </c>
      <c r="CW143">
        <f>COUNTIFS('DRAFT 2'!$D:$D,$B143,'DRAFT 2'!$A:$A,"&gt;="&amp;DATE(2026,2,8),'DRAFT 2'!$A:$A,"&lt;="&amp;DATE(2026,2,14))</f>
        <v/>
      </c>
      <c r="CX143">
        <f>COUNTIFS('DRAFT 2'!$D:$D,$B143,'DRAFT 2'!$A:$A,"&gt;="&amp;DATE(2026,2,15),'DRAFT 2'!$A:$A,"&lt;="&amp;DATE(2026,2,21))</f>
        <v/>
      </c>
      <c r="CY143">
        <f>COUNTIFS('DRAFT 2'!$D:$D,$B143,'DRAFT 2'!$A:$A,"&gt;="&amp;DATE(2026,2,22),'DRAFT 2'!$A:$A,"&lt;"&amp;DATE(2026,IF(2=12,2+1,2+1),1))</f>
        <v/>
      </c>
      <c r="CZ143">
        <f>SUM(CV143:CY143)</f>
        <v/>
      </c>
      <c r="DJ143">
        <f>IFERROR(LOOKUP(2,1/('DRAFT 2'!$D:$D=$B143)*('DRAFT 2'!$A:$A&gt;=DATE(2026,3,1))*('DRAFT 2'!$A:$A&lt;DATE(2026,IF(3=12,3+1,3+1),1)),'DRAFT 2'!$A:$A),"")</f>
        <v/>
      </c>
      <c r="DK143">
        <f>COUNTIFS('DRAFT 2'!$D:$D,$B143,'DRAFT 2'!$A:$A,"&gt;="&amp;DATE(2026,3,1),'DRAFT 2'!$A:$A,"&lt;="&amp;DATE(2026,3,7))</f>
        <v/>
      </c>
      <c r="DL143">
        <f>COUNTIFS('DRAFT 2'!$D:$D,$B143,'DRAFT 2'!$A:$A,"&gt;="&amp;DATE(2026,3,8),'DRAFT 2'!$A:$A,"&lt;="&amp;DATE(2026,3,14))</f>
        <v/>
      </c>
      <c r="DM143">
        <f>COUNTIFS('DRAFT 2'!$D:$D,$B143,'DRAFT 2'!$A:$A,"&gt;="&amp;DATE(2026,3,15),'DRAFT 2'!$A:$A,"&lt;="&amp;DATE(2026,3,21))</f>
        <v/>
      </c>
      <c r="DN143">
        <f>COUNTIFS('DRAFT 2'!$D:$D,$B143,'DRAFT 2'!$A:$A,"&gt;="&amp;DATE(2026,3,22),'DRAFT 2'!$A:$A,"&lt;"&amp;DATE(2026,IF(3=12,3+1,3+1),1))</f>
        <v/>
      </c>
      <c r="DO143">
        <f>SUM(DK143:DN143)</f>
        <v/>
      </c>
      <c r="DZ143">
        <f>IFERROR(LOOKUP(2,1/('DRAFT 2'!$D:$D=$B143)*('DRAFT 2'!$A:$A&gt;=DATE(2026,4,1))*('DRAFT 2'!$A:$A&lt;DATE(2026,IF(4=12,4+1,4+1),1)),'DRAFT 2'!$A:$A),"")</f>
        <v/>
      </c>
      <c r="EA143">
        <f>COUNTIFS('DRAFT 2'!$D:$D,$B143,'DRAFT 2'!$A:$A,"&gt;="&amp;DATE(2026,4,1),'DRAFT 2'!$A:$A,"&lt;="&amp;DATE(2026,4,7))</f>
        <v/>
      </c>
      <c r="EB143">
        <f>COUNTIFS('DRAFT 2'!$D:$D,$B143,'DRAFT 2'!$A:$A,"&gt;="&amp;DATE(2026,4,8),'DRAFT 2'!$A:$A,"&lt;="&amp;DATE(2026,4,14))</f>
        <v/>
      </c>
      <c r="EC143">
        <f>COUNTIFS('DRAFT 2'!$D:$D,$B143,'DRAFT 2'!$A:$A,"&gt;="&amp;DATE(2026,4,15),'DRAFT 2'!$A:$A,"&lt;="&amp;DATE(2026,4,21))</f>
        <v/>
      </c>
      <c r="ED143">
        <f>COUNTIFS('DRAFT 2'!$D:$D,$B143,'DRAFT 2'!$A:$A,"&gt;="&amp;DATE(2026,4,22),'DRAFT 2'!$A:$A,"&lt;"&amp;DATE(2026,IF(4=12,4+1,4+1),1))</f>
        <v/>
      </c>
      <c r="EE143">
        <f>SUM(EA143:ED143)</f>
        <v/>
      </c>
      <c r="EO143">
        <f>IFERROR(LOOKUP(2,1/('DRAFT 2'!$D:$D=$B143)*('DRAFT 2'!$A:$A&gt;=DATE(2026,5,1))*('DRAFT 2'!$A:$A&lt;DATE(2026,IF(5=12,5+1,5+1),1)),'DRAFT 2'!$A:$A),"")</f>
        <v/>
      </c>
      <c r="EP143">
        <f>COUNTIFS('DRAFT 2'!$D:$D,$B143,'DRAFT 2'!$A:$A,"&gt;="&amp;DATE(2026,5,1),'DRAFT 2'!$A:$A,"&lt;="&amp;DATE(2026,5,7))</f>
        <v/>
      </c>
      <c r="EQ143">
        <f>COUNTIFS('DRAFT 2'!$D:$D,$B143,'DRAFT 2'!$A:$A,"&gt;="&amp;DATE(2026,5,8),'DRAFT 2'!$A:$A,"&lt;="&amp;DATE(2026,5,14))</f>
        <v/>
      </c>
      <c r="ER143">
        <f>COUNTIFS('DRAFT 2'!$D:$D,$B143,'DRAFT 2'!$A:$A,"&gt;="&amp;DATE(2026,5,15),'DRAFT 2'!$A:$A,"&lt;="&amp;DATE(2026,5,21))</f>
        <v/>
      </c>
      <c r="ES143">
        <f>COUNTIFS('DRAFT 2'!$D:$D,$B143,'DRAFT 2'!$A:$A,"&gt;="&amp;DATE(2026,5,22),'DRAFT 2'!$A:$A,"&lt;"&amp;DATE(2026,IF(5=12,5+1,5+1),1))</f>
        <v/>
      </c>
      <c r="ET143">
        <f>SUM(EP143:ES143)</f>
        <v/>
      </c>
      <c r="FD143">
        <f>IFERROR(LOOKUP(2,1/('DRAFT 2'!$D:$D=$B143)*('DRAFT 2'!$A:$A&gt;=DATE(2026,6,1))*('DRAFT 2'!$A:$A&lt;DATE(2026,IF(6=12,6+1,6+1),1)),'DRAFT 2'!$A:$A),"")</f>
        <v/>
      </c>
      <c r="FE143">
        <f>COUNTIFS('DRAFT 2'!$D:$D,$B143,'DRAFT 2'!$A:$A,"&gt;="&amp;DATE(2026,6,1),'DRAFT 2'!$A:$A,"&lt;="&amp;DATE(2026,6,7))</f>
        <v/>
      </c>
      <c r="FF143">
        <f>COUNTIFS('DRAFT 2'!$D:$D,$B143,'DRAFT 2'!$A:$A,"&gt;="&amp;DATE(2026,6,8),'DRAFT 2'!$A:$A,"&lt;="&amp;DATE(2026,6,14))</f>
        <v/>
      </c>
      <c r="FG143">
        <f>COUNTIFS('DRAFT 2'!$D:$D,$B143,'DRAFT 2'!$A:$A,"&gt;="&amp;DATE(2026,6,15),'DRAFT 2'!$A:$A,"&lt;="&amp;DATE(2026,6,21))</f>
        <v/>
      </c>
      <c r="FH143">
        <f>COUNTIFS('DRAFT 2'!$D:$D,$B143,'DRAFT 2'!$A:$A,"&gt;="&amp;DATE(2026,6,22),'DRAFT 2'!$A:$A,"&lt;"&amp;DATE(2026,IF(6=12,6+1,6+1),1))</f>
        <v/>
      </c>
      <c r="FI143">
        <f>SUM(FE143:FH143)</f>
        <v/>
      </c>
      <c r="FT143">
        <f>IFERROR(LOOKUP(2,1/('DRAFT 2'!$D:$D=$B143)*('DRAFT 2'!$A:$A&gt;=DATE(2026,7,1))*('DRAFT 2'!$A:$A&lt;DATE(2026,IF(7=12,7+1,7+1),1)),'DRAFT 2'!$A:$A),"")</f>
        <v/>
      </c>
      <c r="FU143">
        <f>COUNTIFS('DRAFT 2'!$D:$D,$B143,'DRAFT 2'!$A:$A,"&gt;="&amp;DATE(2026,7,1),'DRAFT 2'!$A:$A,"&lt;="&amp;DATE(2026,7,7))</f>
        <v/>
      </c>
      <c r="FV143">
        <f>COUNTIFS('DRAFT 2'!$D:$D,$B143,'DRAFT 2'!$A:$A,"&gt;="&amp;DATE(2026,7,8),'DRAFT 2'!$A:$A,"&lt;="&amp;DATE(2026,7,14))</f>
        <v/>
      </c>
      <c r="FW143">
        <f>COUNTIFS('DRAFT 2'!$D:$D,$B143,'DRAFT 2'!$A:$A,"&gt;="&amp;DATE(2026,7,15),'DRAFT 2'!$A:$A,"&lt;="&amp;DATE(2026,7,21))</f>
        <v/>
      </c>
      <c r="FX143">
        <f>COUNTIFS('DRAFT 2'!$D:$D,$B143,'DRAFT 2'!$A:$A,"&gt;="&amp;DATE(2026,7,22),'DRAFT 2'!$A:$A,"&lt;"&amp;DATE(2026,IF(7=12,7+1,7+1),1))</f>
        <v/>
      </c>
      <c r="FY143">
        <f>SUM(FU143:FX143)</f>
        <v/>
      </c>
      <c r="GI143">
        <f>IFERROR(LOOKUP(2,1/('DRAFT 2'!$D:$D=$B143)*('DRAFT 2'!$A:$A&gt;=DATE(2026,8,1))*('DRAFT 2'!$A:$A&lt;DATE(2026,IF(8=12,8+1,8+1),1)),'DRAFT 2'!$A:$A),"")</f>
        <v/>
      </c>
      <c r="GJ143">
        <f>COUNTIFS('DRAFT 2'!$D:$D,$B143,'DRAFT 2'!$A:$A,"&gt;="&amp;DATE(2026,8,1),'DRAFT 2'!$A:$A,"&lt;="&amp;DATE(2026,8,7))</f>
        <v/>
      </c>
      <c r="GK143">
        <f>COUNTIFS('DRAFT 2'!$D:$D,$B143,'DRAFT 2'!$A:$A,"&gt;="&amp;DATE(2026,8,8),'DRAFT 2'!$A:$A,"&lt;="&amp;DATE(2026,8,14))</f>
        <v/>
      </c>
      <c r="GL143">
        <f>COUNTIFS('DRAFT 2'!$D:$D,$B143,'DRAFT 2'!$A:$A,"&gt;="&amp;DATE(2026,8,15),'DRAFT 2'!$A:$A,"&lt;="&amp;DATE(2026,8,21))</f>
        <v/>
      </c>
      <c r="GM143">
        <f>COUNTIFS('DRAFT 2'!$D:$D,$B143,'DRAFT 2'!$A:$A,"&gt;="&amp;DATE(2026,8,22),'DRAFT 2'!$A:$A,"&lt;"&amp;DATE(2026,IF(8=12,8+1,8+1),1))</f>
        <v/>
      </c>
      <c r="GN143">
        <f>SUM(GJ143:GM143)</f>
        <v/>
      </c>
      <c r="GX143">
        <f>IFERROR(LOOKUP(2,1/('DRAFT 2'!$D:$D=$B143)*('DRAFT 2'!$A:$A&gt;=DATE(2026,9,1))*('DRAFT 2'!$A:$A&lt;DATE(2026,IF(9=12,9+1,9+1),1)),'DRAFT 2'!$A:$A),"")</f>
        <v/>
      </c>
      <c r="GY143">
        <f>COUNTIFS('DRAFT 2'!$D:$D,$B143,'DRAFT 2'!$A:$A,"&gt;="&amp;DATE(2026,9,1),'DRAFT 2'!$A:$A,"&lt;="&amp;DATE(2026,9,7))</f>
        <v/>
      </c>
      <c r="GZ143">
        <f>COUNTIFS('DRAFT 2'!$D:$D,$B143,'DRAFT 2'!$A:$A,"&gt;="&amp;DATE(2026,9,8),'DRAFT 2'!$A:$A,"&lt;="&amp;DATE(2026,9,14))</f>
        <v/>
      </c>
      <c r="HA143">
        <f>COUNTIFS('DRAFT 2'!$D:$D,$B143,'DRAFT 2'!$A:$A,"&gt;="&amp;DATE(2026,9,15),'DRAFT 2'!$A:$A,"&lt;="&amp;DATE(2026,9,21))</f>
        <v/>
      </c>
      <c r="HB143">
        <f>COUNTIFS('DRAFT 2'!$D:$D,$B143,'DRAFT 2'!$A:$A,"&gt;="&amp;DATE(2026,9,22),'DRAFT 2'!$A:$A,"&lt;"&amp;DATE(2026,IF(9=12,9+1,9+1),1))</f>
        <v/>
      </c>
      <c r="HC143">
        <f>SUM(GY143:HB143)</f>
        <v/>
      </c>
      <c r="HN143">
        <f>IFERROR(LOOKUP(2,1/('DRAFT 2'!$D:$D=$B143)*('DRAFT 2'!$A:$A&gt;=DATE(2026,10,1))*('DRAFT 2'!$A:$A&lt;DATE(2026,IF(10=12,10+1,10+1),1)),'DRAFT 2'!$A:$A),"")</f>
        <v/>
      </c>
      <c r="HO143">
        <f>COUNTIFS('DRAFT 2'!$D:$D,$B143,'DRAFT 2'!$A:$A,"&gt;="&amp;DATE(2026,10,1),'DRAFT 2'!$A:$A,"&lt;="&amp;DATE(2026,10,7))</f>
        <v/>
      </c>
      <c r="HP143">
        <f>COUNTIFS('DRAFT 2'!$D:$D,$B143,'DRAFT 2'!$A:$A,"&gt;="&amp;DATE(2026,10,8),'DRAFT 2'!$A:$A,"&lt;="&amp;DATE(2026,10,14))</f>
        <v/>
      </c>
      <c r="HQ143">
        <f>COUNTIFS('DRAFT 2'!$D:$D,$B143,'DRAFT 2'!$A:$A,"&gt;="&amp;DATE(2026,10,15),'DRAFT 2'!$A:$A,"&lt;="&amp;DATE(2026,10,21))</f>
        <v/>
      </c>
      <c r="HR143">
        <f>COUNTIFS('DRAFT 2'!$D:$D,$B143,'DRAFT 2'!$A:$A,"&gt;="&amp;DATE(2026,10,22),'DRAFT 2'!$A:$A,"&lt;"&amp;DATE(2026,IF(10=12,10+1,10+1),1))</f>
        <v/>
      </c>
      <c r="HS143">
        <f>SUM(HO143:HR143)</f>
        <v/>
      </c>
      <c r="IC143">
        <f>IFERROR(LOOKUP(2,1/('DRAFT 2'!$D:$D=$B143)*('DRAFT 2'!$A:$A&gt;=DATE(2026,11,1))*('DRAFT 2'!$A:$A&lt;DATE(2026,IF(11=12,11+1,11+1),1)),'DRAFT 2'!$A:$A),"")</f>
        <v/>
      </c>
      <c r="ID143">
        <f>COUNTIFS('DRAFT 2'!$D:$D,$B143,'DRAFT 2'!$A:$A,"&gt;="&amp;DATE(2026,11,1),'DRAFT 2'!$A:$A,"&lt;="&amp;DATE(2026,11,7))</f>
        <v/>
      </c>
      <c r="IE143">
        <f>COUNTIFS('DRAFT 2'!$D:$D,$B143,'DRAFT 2'!$A:$A,"&gt;="&amp;DATE(2026,11,8),'DRAFT 2'!$A:$A,"&lt;="&amp;DATE(2026,11,14))</f>
        <v/>
      </c>
      <c r="IF143">
        <f>COUNTIFS('DRAFT 2'!$D:$D,$B143,'DRAFT 2'!$A:$A,"&gt;="&amp;DATE(2026,11,15),'DRAFT 2'!$A:$A,"&lt;="&amp;DATE(2026,11,21))</f>
        <v/>
      </c>
      <c r="IG143">
        <f>COUNTIFS('DRAFT 2'!$D:$D,$B143,'DRAFT 2'!$A:$A,"&gt;="&amp;DATE(2026,11,22),'DRAFT 2'!$A:$A,"&lt;"&amp;DATE(2026,IF(11=12,11+1,11+1),1))</f>
        <v/>
      </c>
      <c r="IH143">
        <f>SUM(ID143:IG143)</f>
        <v/>
      </c>
      <c r="IR143">
        <f>IFERROR(LOOKUP(2,1/('DRAFT 2'!$D:$D=$B143)*('DRAFT 2'!$A:$A&gt;=DATE(2026,12,1))*('DRAFT 2'!$A:$A&lt;DATE(2026,IF(12=12,12+1,12+1),1)),'DRAFT 2'!$A:$A),"")</f>
        <v/>
      </c>
      <c r="IS143">
        <f>COUNTIFS('DRAFT 2'!$D:$D,$B143,'DRAFT 2'!$A:$A,"&gt;="&amp;DATE(2026,12,1),'DRAFT 2'!$A:$A,"&lt;="&amp;DATE(2026,12,7))</f>
        <v/>
      </c>
      <c r="IT143">
        <f>COUNTIFS('DRAFT 2'!$D:$D,$B143,'DRAFT 2'!$A:$A,"&gt;="&amp;DATE(2026,12,8),'DRAFT 2'!$A:$A,"&lt;="&amp;DATE(2026,12,14))</f>
        <v/>
      </c>
      <c r="IU143">
        <f>COUNTIFS('DRAFT 2'!$D:$D,$B143,'DRAFT 2'!$A:$A,"&gt;="&amp;DATE(2026,12,15),'DRAFT 2'!$A:$A,"&lt;="&amp;DATE(2026,12,21))</f>
        <v/>
      </c>
      <c r="IV143">
        <f>COUNTIFS('DRAFT 2'!$D:$D,$B143,'DRAFT 2'!$A:$A,"&gt;="&amp;DATE(2026,12,22),'DRAFT 2'!$A:$A,"&lt;"&amp;DATE(2026,IF(12=12,12+1,12+1),1))</f>
        <v/>
      </c>
      <c r="IW143">
        <f>SUM(IS143:IV143)</f>
        <v/>
      </c>
    </row>
    <row r="144">
      <c r="A144">
        <f>IFERROR(INDEX('DRAFT 1'!$A:$A,MATCH($B144,'DRAFT 1'!$B:$B,0)),"")</f>
        <v/>
      </c>
      <c r="C144">
        <f>IFERROR(INDEX('DRAFT 1'!$C:$C,MATCH($B144,'DRAFT 1'!$B:$B,0)),"")</f>
        <v/>
      </c>
      <c r="D144">
        <f>IFERROR(INDEX('DRAFT 1'!$D:$D,MATCH($B144,'DRAFT 1'!$B:$B,0)),"")</f>
        <v/>
      </c>
      <c r="E144">
        <f>IFERROR(INDEX('DRAFT 1'!$E:$E,MATCH($B144,'DRAFT 1'!$B:$B,0)),"")</f>
        <v/>
      </c>
      <c r="F144">
        <f>IFERROR(INDEX('DRAFT 1'!$F:$F,MATCH($B144,'DRAFT 1'!$B:$B,0)),"")</f>
        <v/>
      </c>
      <c r="G144">
        <f>IFERROR(INDEX('DRAFT 1'!$G:$G,MATCH($B144,'DRAFT 1'!$B:$B,0)),"")</f>
        <v/>
      </c>
      <c r="H144">
        <f>IFERROR(INDEX('DRAFT 1'!$H:$H,MATCH($B144,'DRAFT 1'!$B:$B,0)),"")</f>
        <v/>
      </c>
      <c r="I144">
        <f>IFERROR(INDEX('DRAFT 1'!$I:$I,MATCH($B144,'DRAFT 1'!$B:$B,0)),"")</f>
        <v/>
      </c>
      <c r="K144">
        <f>IFERROR(INDEX('DRAFT 1'!$AL:$AL,MATCH($B144,'DRAFT 1'!$B:$B,0)),"")</f>
        <v/>
      </c>
      <c r="L144">
        <f>IFERROR(INDEX('DRAFT 1'!$J:$J,MATCH($B144,'DRAFT 1'!$B:$B,0)),"")</f>
        <v/>
      </c>
      <c r="M144">
        <f>IFERROR(INDEX('DRAFT 1'!$K:$K,MATCH($B144,'DRAFT 1'!$B:$B,0)),"")</f>
        <v/>
      </c>
      <c r="P144">
        <f>IFERROR(INDEX('DRAFT 1'!$L:$L,MATCH($B144,'DRAFT 1'!$B:$B,0)),"")</f>
        <v/>
      </c>
      <c r="Q144">
        <f>IFERROR(INDEX('DRAFT 1'!$M:$M,MATCH($B144,'DRAFT 1'!$B:$B,0)),"")</f>
        <v/>
      </c>
      <c r="R144">
        <f>IFERROR(INDEX('DRAFT 1'!$N:$N,MATCH($B144,'DRAFT 1'!$B:$B,0)),"")</f>
        <v/>
      </c>
      <c r="S144">
        <f>IFERROR(INDEX('DRAFT 1'!$O:$O,MATCH($B144,'DRAFT 1'!$B:$B,0)),"")</f>
        <v/>
      </c>
      <c r="T144">
        <f>IFERROR(INDEX('DRAFT 1'!$P:$P,MATCH($B144,'DRAFT 1'!$B:$B,0)),"")</f>
        <v/>
      </c>
      <c r="U144">
        <f>IFERROR(INDEX('DRAFT 1'!$Q:$Q,MATCH($B144,'DRAFT 1'!$B:$B,0)),"")</f>
        <v/>
      </c>
      <c r="V144">
        <f>IFERROR(INDEX('DRAFT 1'!$R:$R,MATCH($B144,'DRAFT 1'!$B:$B,0)),"")</f>
        <v/>
      </c>
      <c r="W144">
        <f>IFERROR(INDEX('DRAFT 1'!$S:$S,MATCH($B144,'DRAFT 1'!$B:$B,0)),"")</f>
        <v/>
      </c>
      <c r="X144">
        <f>IFERROR(INDEX('DRAFT 1'!$T:$T,MATCH($B144,'DRAFT 1'!$B:$B,0)),"")</f>
        <v/>
      </c>
      <c r="Z144">
        <f>IFERROR(INDEX('DRAFT 1'!$U:$U,MATCH($B144,'DRAFT 1'!$B:$B,0)),"")</f>
        <v/>
      </c>
      <c r="AA144">
        <f>IFERROR(INDEX('DRAFT 1'!$V:$V,MATCH($B144,'DRAFT 1'!$B:$B,0)),"")</f>
        <v/>
      </c>
      <c r="AB144">
        <f>IFERROR(INDEX('DRAFT 1'!$W:$W,MATCH($B144,'DRAFT 1'!$B:$B,0)),"")</f>
        <v/>
      </c>
      <c r="AC144">
        <f>IFERROR(INDEX('DRAFT 1'!$X:$X,MATCH($B144,'DRAFT 1'!$B:$B,0)),"")</f>
        <v/>
      </c>
      <c r="AD144">
        <f>IFERROR(INDEX('DRAFT 1'!$Y:$Y,MATCH($B144,'DRAFT 1'!$B:$B,0)),"")</f>
        <v/>
      </c>
      <c r="AE144">
        <f>IFERROR(INDEX('DRAFT 1'!$Z:$Z,MATCH($B144,'DRAFT 1'!$B:$B,0)),"")</f>
        <v/>
      </c>
      <c r="AF144">
        <f>IFERROR(INDEX('DRAFT 1'!$AA:$AA,MATCH($B144,'DRAFT 1'!$B:$B,0)),"")</f>
        <v/>
      </c>
      <c r="AG144">
        <f>IFERROR(INDEX('DRAFT 1'!$AB:$AB,MATCH($B144,'DRAFT 1'!$B:$B,0)),"")</f>
        <v/>
      </c>
      <c r="AH144">
        <f>IFERROR(INDEX('DRAFT 1'!$AC:$AC,MATCH($B144,'DRAFT 1'!$B:$B,0)),"")</f>
        <v/>
      </c>
      <c r="AI144">
        <f>IFERROR(INDEX('DRAFT 1'!$AD:$AD,MATCH($B144,'DRAFT 1'!$B:$B,0)),"")</f>
        <v/>
      </c>
      <c r="AJ144">
        <f>IFERROR(INDEX('DRAFT 1'!$AE:$AE,MATCH($B144,'DRAFT 1'!$B:$B,0)),"")</f>
        <v/>
      </c>
      <c r="AK144">
        <f>IFERROR(INDEX('DRAFT 1'!$AG:$AG,MATCH($B144,'DRAFT 1'!$B:$B,0)),"")</f>
        <v/>
      </c>
      <c r="AL144">
        <f>IFERROR(INDEX('DRAFT 1'!$AH:$AH,MATCH($B144,'DRAFT 1'!$B:$B,0)),"")</f>
        <v/>
      </c>
      <c r="AM144">
        <f>IFERROR(INDEX('DRAFT 1'!$AI:$AI,MATCH($B144,'DRAFT 1'!$B:$B,0)),"")</f>
        <v/>
      </c>
      <c r="AN144">
        <f>IFERROR(INDEX('DRAFT 1'!$AJ:$AJ,MATCH($B144,'DRAFT 1'!$B:$B,0)),"")</f>
        <v/>
      </c>
      <c r="AO144">
        <f>IFERROR(Y144/AN144,0)</f>
        <v/>
      </c>
      <c r="AP144">
        <f>IFERROR(INDEX('DRAFT 1'!$AK:$AK,MATCH($B144,'DRAFT 1'!$B:$B,0)),"")</f>
        <v/>
      </c>
      <c r="AR144">
        <f>IFERROR(LOOKUP(2,1/('DRAFT 2'!$D:$D=$B144),'DRAFT 2'!$I:$I),"")</f>
        <v/>
      </c>
      <c r="AS144">
        <f>IFERROR(LOOKUP(2,1/('DRAFT 2'!$D:$D=$B144),'DRAFT 2'!$T:$T),"")</f>
        <v/>
      </c>
      <c r="AT144">
        <f>IFERROR(LOOKUP(2,1/('DRAFT 2'!$D:$D=$B144),'DRAFT 2'!$A:$A),"")</f>
        <v/>
      </c>
      <c r="AU144">
        <f>IFERROR(LOOKUP(2,1/('DRAFT 2'!$D:$D=$B144),'DRAFT 2'!$R:$R),"")</f>
        <v/>
      </c>
      <c r="AV144">
        <f>IFERROR(LOOKUP(2,1/('DRAFT 2'!$D:$D=$B144),'DRAFT 2'!$S:$S),"")</f>
        <v/>
      </c>
      <c r="AX144">
        <f>IFERROR(LOOKUP(2,1/('DRAFT 2'!$D:$D=$B144),'DRAFT 2'!$M:$M),"")</f>
        <v/>
      </c>
      <c r="AY144">
        <f>IFERROR(LOOKUP(2,1/('DRAFT 2'!$D:$D=$B144),'DRAFT 2'!$K:$K),"")</f>
        <v/>
      </c>
      <c r="BG144">
        <f>IFERROR(LOOKUP(2,1/('DRAFT 2'!$D:$D=$B144),'DRAFT 2'!$U:$U),"")</f>
        <v/>
      </c>
      <c r="BH144">
        <f>IFERROR(LOOKUP(2,1/('DRAFT 2'!$D:$D=$B144),'DRAFT 2'!$V:$V),"")</f>
        <v/>
      </c>
      <c r="CE144">
        <f>IFERROR(AJ144,0)</f>
        <v/>
      </c>
      <c r="CF144">
        <f>IFERROR(LOOKUP(2,1/('DRAFT 2'!$D:$D=$B144)*('DRAFT 2'!$A:$A&gt;=DATE(2026,1,1))*('DRAFT 2'!$A:$A&lt;DATE(2026,IF(1=12,1+1,1+1),1)),'DRAFT 2'!$A:$A),"")</f>
        <v/>
      </c>
      <c r="CG144">
        <f>COUNTIFS('DRAFT 2'!$D:$D,$B144,'DRAFT 2'!$A:$A,"&gt;="&amp;DATE(2026,1,1),'DRAFT 2'!$A:$A,"&lt;="&amp;DATE(2026,1,7))</f>
        <v/>
      </c>
      <c r="CH144">
        <f>COUNTIFS('DRAFT 2'!$D:$D,$B144,'DRAFT 2'!$A:$A,"&gt;="&amp;DATE(2026,1,8),'DRAFT 2'!$A:$A,"&lt;="&amp;DATE(2026,1,14))</f>
        <v/>
      </c>
      <c r="CI144">
        <f>COUNTIFS('DRAFT 2'!$D:$D,$B144,'DRAFT 2'!$A:$A,"&gt;="&amp;DATE(2026,1,15),'DRAFT 2'!$A:$A,"&lt;="&amp;DATE(2026,1,21))</f>
        <v/>
      </c>
      <c r="CJ144">
        <f>COUNTIFS('DRAFT 2'!$D:$D,$B144,'DRAFT 2'!$A:$A,"&gt;="&amp;DATE(2026,1,22),'DRAFT 2'!$A:$A,"&lt;"&amp;DATE(2026,IF(1=12,1+1,1+1),1))</f>
        <v/>
      </c>
      <c r="CK144">
        <f>SUM(CG144:CJ144)</f>
        <v/>
      </c>
      <c r="CT144" t="n">
        <v>0</v>
      </c>
      <c r="CU144">
        <f>IFERROR(LOOKUP(2,1/('DRAFT 2'!$D:$D=$B144)*('DRAFT 2'!$A:$A&gt;=DATE(2026,2,1))*('DRAFT 2'!$A:$A&lt;DATE(2026,IF(2=12,2+1,2+1),1)),'DRAFT 2'!$A:$A),"")</f>
        <v/>
      </c>
      <c r="CV144">
        <f>COUNTIFS('DRAFT 2'!$D:$D,$B144,'DRAFT 2'!$A:$A,"&gt;="&amp;DATE(2026,2,1),'DRAFT 2'!$A:$A,"&lt;="&amp;DATE(2026,2,7))</f>
        <v/>
      </c>
      <c r="CW144">
        <f>COUNTIFS('DRAFT 2'!$D:$D,$B144,'DRAFT 2'!$A:$A,"&gt;="&amp;DATE(2026,2,8),'DRAFT 2'!$A:$A,"&lt;="&amp;DATE(2026,2,14))</f>
        <v/>
      </c>
      <c r="CX144">
        <f>COUNTIFS('DRAFT 2'!$D:$D,$B144,'DRAFT 2'!$A:$A,"&gt;="&amp;DATE(2026,2,15),'DRAFT 2'!$A:$A,"&lt;="&amp;DATE(2026,2,21))</f>
        <v/>
      </c>
      <c r="CY144">
        <f>COUNTIFS('DRAFT 2'!$D:$D,$B144,'DRAFT 2'!$A:$A,"&gt;="&amp;DATE(2026,2,22),'DRAFT 2'!$A:$A,"&lt;"&amp;DATE(2026,IF(2=12,2+1,2+1),1))</f>
        <v/>
      </c>
      <c r="CZ144">
        <f>SUM(CV144:CY144)</f>
        <v/>
      </c>
      <c r="DJ144">
        <f>IFERROR(LOOKUP(2,1/('DRAFT 2'!$D:$D=$B144)*('DRAFT 2'!$A:$A&gt;=DATE(2026,3,1))*('DRAFT 2'!$A:$A&lt;DATE(2026,IF(3=12,3+1,3+1),1)),'DRAFT 2'!$A:$A),"")</f>
        <v/>
      </c>
      <c r="DK144">
        <f>COUNTIFS('DRAFT 2'!$D:$D,$B144,'DRAFT 2'!$A:$A,"&gt;="&amp;DATE(2026,3,1),'DRAFT 2'!$A:$A,"&lt;="&amp;DATE(2026,3,7))</f>
        <v/>
      </c>
      <c r="DL144">
        <f>COUNTIFS('DRAFT 2'!$D:$D,$B144,'DRAFT 2'!$A:$A,"&gt;="&amp;DATE(2026,3,8),'DRAFT 2'!$A:$A,"&lt;="&amp;DATE(2026,3,14))</f>
        <v/>
      </c>
      <c r="DM144">
        <f>COUNTIFS('DRAFT 2'!$D:$D,$B144,'DRAFT 2'!$A:$A,"&gt;="&amp;DATE(2026,3,15),'DRAFT 2'!$A:$A,"&lt;="&amp;DATE(2026,3,21))</f>
        <v/>
      </c>
      <c r="DN144">
        <f>COUNTIFS('DRAFT 2'!$D:$D,$B144,'DRAFT 2'!$A:$A,"&gt;="&amp;DATE(2026,3,22),'DRAFT 2'!$A:$A,"&lt;"&amp;DATE(2026,IF(3=12,3+1,3+1),1))</f>
        <v/>
      </c>
      <c r="DO144">
        <f>SUM(DK144:DN144)</f>
        <v/>
      </c>
      <c r="DZ144">
        <f>IFERROR(LOOKUP(2,1/('DRAFT 2'!$D:$D=$B144)*('DRAFT 2'!$A:$A&gt;=DATE(2026,4,1))*('DRAFT 2'!$A:$A&lt;DATE(2026,IF(4=12,4+1,4+1),1)),'DRAFT 2'!$A:$A),"")</f>
        <v/>
      </c>
      <c r="EA144">
        <f>COUNTIFS('DRAFT 2'!$D:$D,$B144,'DRAFT 2'!$A:$A,"&gt;="&amp;DATE(2026,4,1),'DRAFT 2'!$A:$A,"&lt;="&amp;DATE(2026,4,7))</f>
        <v/>
      </c>
      <c r="EB144">
        <f>COUNTIFS('DRAFT 2'!$D:$D,$B144,'DRAFT 2'!$A:$A,"&gt;="&amp;DATE(2026,4,8),'DRAFT 2'!$A:$A,"&lt;="&amp;DATE(2026,4,14))</f>
        <v/>
      </c>
      <c r="EC144">
        <f>COUNTIFS('DRAFT 2'!$D:$D,$B144,'DRAFT 2'!$A:$A,"&gt;="&amp;DATE(2026,4,15),'DRAFT 2'!$A:$A,"&lt;="&amp;DATE(2026,4,21))</f>
        <v/>
      </c>
      <c r="ED144">
        <f>COUNTIFS('DRAFT 2'!$D:$D,$B144,'DRAFT 2'!$A:$A,"&gt;="&amp;DATE(2026,4,22),'DRAFT 2'!$A:$A,"&lt;"&amp;DATE(2026,IF(4=12,4+1,4+1),1))</f>
        <v/>
      </c>
      <c r="EE144">
        <f>SUM(EA144:ED144)</f>
        <v/>
      </c>
      <c r="EO144">
        <f>IFERROR(LOOKUP(2,1/('DRAFT 2'!$D:$D=$B144)*('DRAFT 2'!$A:$A&gt;=DATE(2026,5,1))*('DRAFT 2'!$A:$A&lt;DATE(2026,IF(5=12,5+1,5+1),1)),'DRAFT 2'!$A:$A),"")</f>
        <v/>
      </c>
      <c r="EP144">
        <f>COUNTIFS('DRAFT 2'!$D:$D,$B144,'DRAFT 2'!$A:$A,"&gt;="&amp;DATE(2026,5,1),'DRAFT 2'!$A:$A,"&lt;="&amp;DATE(2026,5,7))</f>
        <v/>
      </c>
      <c r="EQ144">
        <f>COUNTIFS('DRAFT 2'!$D:$D,$B144,'DRAFT 2'!$A:$A,"&gt;="&amp;DATE(2026,5,8),'DRAFT 2'!$A:$A,"&lt;="&amp;DATE(2026,5,14))</f>
        <v/>
      </c>
      <c r="ER144">
        <f>COUNTIFS('DRAFT 2'!$D:$D,$B144,'DRAFT 2'!$A:$A,"&gt;="&amp;DATE(2026,5,15),'DRAFT 2'!$A:$A,"&lt;="&amp;DATE(2026,5,21))</f>
        <v/>
      </c>
      <c r="ES144">
        <f>COUNTIFS('DRAFT 2'!$D:$D,$B144,'DRAFT 2'!$A:$A,"&gt;="&amp;DATE(2026,5,22),'DRAFT 2'!$A:$A,"&lt;"&amp;DATE(2026,IF(5=12,5+1,5+1),1))</f>
        <v/>
      </c>
      <c r="ET144">
        <f>SUM(EP144:ES144)</f>
        <v/>
      </c>
      <c r="FD144">
        <f>IFERROR(LOOKUP(2,1/('DRAFT 2'!$D:$D=$B144)*('DRAFT 2'!$A:$A&gt;=DATE(2026,6,1))*('DRAFT 2'!$A:$A&lt;DATE(2026,IF(6=12,6+1,6+1),1)),'DRAFT 2'!$A:$A),"")</f>
        <v/>
      </c>
      <c r="FE144">
        <f>COUNTIFS('DRAFT 2'!$D:$D,$B144,'DRAFT 2'!$A:$A,"&gt;="&amp;DATE(2026,6,1),'DRAFT 2'!$A:$A,"&lt;="&amp;DATE(2026,6,7))</f>
        <v/>
      </c>
      <c r="FF144">
        <f>COUNTIFS('DRAFT 2'!$D:$D,$B144,'DRAFT 2'!$A:$A,"&gt;="&amp;DATE(2026,6,8),'DRAFT 2'!$A:$A,"&lt;="&amp;DATE(2026,6,14))</f>
        <v/>
      </c>
      <c r="FG144">
        <f>COUNTIFS('DRAFT 2'!$D:$D,$B144,'DRAFT 2'!$A:$A,"&gt;="&amp;DATE(2026,6,15),'DRAFT 2'!$A:$A,"&lt;="&amp;DATE(2026,6,21))</f>
        <v/>
      </c>
      <c r="FH144">
        <f>COUNTIFS('DRAFT 2'!$D:$D,$B144,'DRAFT 2'!$A:$A,"&gt;="&amp;DATE(2026,6,22),'DRAFT 2'!$A:$A,"&lt;"&amp;DATE(2026,IF(6=12,6+1,6+1),1))</f>
        <v/>
      </c>
      <c r="FI144">
        <f>SUM(FE144:FH144)</f>
        <v/>
      </c>
      <c r="FT144">
        <f>IFERROR(LOOKUP(2,1/('DRAFT 2'!$D:$D=$B144)*('DRAFT 2'!$A:$A&gt;=DATE(2026,7,1))*('DRAFT 2'!$A:$A&lt;DATE(2026,IF(7=12,7+1,7+1),1)),'DRAFT 2'!$A:$A),"")</f>
        <v/>
      </c>
      <c r="FU144">
        <f>COUNTIFS('DRAFT 2'!$D:$D,$B144,'DRAFT 2'!$A:$A,"&gt;="&amp;DATE(2026,7,1),'DRAFT 2'!$A:$A,"&lt;="&amp;DATE(2026,7,7))</f>
        <v/>
      </c>
      <c r="FV144">
        <f>COUNTIFS('DRAFT 2'!$D:$D,$B144,'DRAFT 2'!$A:$A,"&gt;="&amp;DATE(2026,7,8),'DRAFT 2'!$A:$A,"&lt;="&amp;DATE(2026,7,14))</f>
        <v/>
      </c>
      <c r="FW144">
        <f>COUNTIFS('DRAFT 2'!$D:$D,$B144,'DRAFT 2'!$A:$A,"&gt;="&amp;DATE(2026,7,15),'DRAFT 2'!$A:$A,"&lt;="&amp;DATE(2026,7,21))</f>
        <v/>
      </c>
      <c r="FX144">
        <f>COUNTIFS('DRAFT 2'!$D:$D,$B144,'DRAFT 2'!$A:$A,"&gt;="&amp;DATE(2026,7,22),'DRAFT 2'!$A:$A,"&lt;"&amp;DATE(2026,IF(7=12,7+1,7+1),1))</f>
        <v/>
      </c>
      <c r="FY144">
        <f>SUM(FU144:FX144)</f>
        <v/>
      </c>
      <c r="GI144">
        <f>IFERROR(LOOKUP(2,1/('DRAFT 2'!$D:$D=$B144)*('DRAFT 2'!$A:$A&gt;=DATE(2026,8,1))*('DRAFT 2'!$A:$A&lt;DATE(2026,IF(8=12,8+1,8+1),1)),'DRAFT 2'!$A:$A),"")</f>
        <v/>
      </c>
      <c r="GJ144">
        <f>COUNTIFS('DRAFT 2'!$D:$D,$B144,'DRAFT 2'!$A:$A,"&gt;="&amp;DATE(2026,8,1),'DRAFT 2'!$A:$A,"&lt;="&amp;DATE(2026,8,7))</f>
        <v/>
      </c>
      <c r="GK144">
        <f>COUNTIFS('DRAFT 2'!$D:$D,$B144,'DRAFT 2'!$A:$A,"&gt;="&amp;DATE(2026,8,8),'DRAFT 2'!$A:$A,"&lt;="&amp;DATE(2026,8,14))</f>
        <v/>
      </c>
      <c r="GL144">
        <f>COUNTIFS('DRAFT 2'!$D:$D,$B144,'DRAFT 2'!$A:$A,"&gt;="&amp;DATE(2026,8,15),'DRAFT 2'!$A:$A,"&lt;="&amp;DATE(2026,8,21))</f>
        <v/>
      </c>
      <c r="GM144">
        <f>COUNTIFS('DRAFT 2'!$D:$D,$B144,'DRAFT 2'!$A:$A,"&gt;="&amp;DATE(2026,8,22),'DRAFT 2'!$A:$A,"&lt;"&amp;DATE(2026,IF(8=12,8+1,8+1),1))</f>
        <v/>
      </c>
      <c r="GN144">
        <f>SUM(GJ144:GM144)</f>
        <v/>
      </c>
      <c r="GX144">
        <f>IFERROR(LOOKUP(2,1/('DRAFT 2'!$D:$D=$B144)*('DRAFT 2'!$A:$A&gt;=DATE(2026,9,1))*('DRAFT 2'!$A:$A&lt;DATE(2026,IF(9=12,9+1,9+1),1)),'DRAFT 2'!$A:$A),"")</f>
        <v/>
      </c>
      <c r="GY144">
        <f>COUNTIFS('DRAFT 2'!$D:$D,$B144,'DRAFT 2'!$A:$A,"&gt;="&amp;DATE(2026,9,1),'DRAFT 2'!$A:$A,"&lt;="&amp;DATE(2026,9,7))</f>
        <v/>
      </c>
      <c r="GZ144">
        <f>COUNTIFS('DRAFT 2'!$D:$D,$B144,'DRAFT 2'!$A:$A,"&gt;="&amp;DATE(2026,9,8),'DRAFT 2'!$A:$A,"&lt;="&amp;DATE(2026,9,14))</f>
        <v/>
      </c>
      <c r="HA144">
        <f>COUNTIFS('DRAFT 2'!$D:$D,$B144,'DRAFT 2'!$A:$A,"&gt;="&amp;DATE(2026,9,15),'DRAFT 2'!$A:$A,"&lt;="&amp;DATE(2026,9,21))</f>
        <v/>
      </c>
      <c r="HB144">
        <f>COUNTIFS('DRAFT 2'!$D:$D,$B144,'DRAFT 2'!$A:$A,"&gt;="&amp;DATE(2026,9,22),'DRAFT 2'!$A:$A,"&lt;"&amp;DATE(2026,IF(9=12,9+1,9+1),1))</f>
        <v/>
      </c>
      <c r="HC144">
        <f>SUM(GY144:HB144)</f>
        <v/>
      </c>
      <c r="HN144">
        <f>IFERROR(LOOKUP(2,1/('DRAFT 2'!$D:$D=$B144)*('DRAFT 2'!$A:$A&gt;=DATE(2026,10,1))*('DRAFT 2'!$A:$A&lt;DATE(2026,IF(10=12,10+1,10+1),1)),'DRAFT 2'!$A:$A),"")</f>
        <v/>
      </c>
      <c r="HO144">
        <f>COUNTIFS('DRAFT 2'!$D:$D,$B144,'DRAFT 2'!$A:$A,"&gt;="&amp;DATE(2026,10,1),'DRAFT 2'!$A:$A,"&lt;="&amp;DATE(2026,10,7))</f>
        <v/>
      </c>
      <c r="HP144">
        <f>COUNTIFS('DRAFT 2'!$D:$D,$B144,'DRAFT 2'!$A:$A,"&gt;="&amp;DATE(2026,10,8),'DRAFT 2'!$A:$A,"&lt;="&amp;DATE(2026,10,14))</f>
        <v/>
      </c>
      <c r="HQ144">
        <f>COUNTIFS('DRAFT 2'!$D:$D,$B144,'DRAFT 2'!$A:$A,"&gt;="&amp;DATE(2026,10,15),'DRAFT 2'!$A:$A,"&lt;="&amp;DATE(2026,10,21))</f>
        <v/>
      </c>
      <c r="HR144">
        <f>COUNTIFS('DRAFT 2'!$D:$D,$B144,'DRAFT 2'!$A:$A,"&gt;="&amp;DATE(2026,10,22),'DRAFT 2'!$A:$A,"&lt;"&amp;DATE(2026,IF(10=12,10+1,10+1),1))</f>
        <v/>
      </c>
      <c r="HS144">
        <f>SUM(HO144:HR144)</f>
        <v/>
      </c>
      <c r="IC144">
        <f>IFERROR(LOOKUP(2,1/('DRAFT 2'!$D:$D=$B144)*('DRAFT 2'!$A:$A&gt;=DATE(2026,11,1))*('DRAFT 2'!$A:$A&lt;DATE(2026,IF(11=12,11+1,11+1),1)),'DRAFT 2'!$A:$A),"")</f>
        <v/>
      </c>
      <c r="ID144">
        <f>COUNTIFS('DRAFT 2'!$D:$D,$B144,'DRAFT 2'!$A:$A,"&gt;="&amp;DATE(2026,11,1),'DRAFT 2'!$A:$A,"&lt;="&amp;DATE(2026,11,7))</f>
        <v/>
      </c>
      <c r="IE144">
        <f>COUNTIFS('DRAFT 2'!$D:$D,$B144,'DRAFT 2'!$A:$A,"&gt;="&amp;DATE(2026,11,8),'DRAFT 2'!$A:$A,"&lt;="&amp;DATE(2026,11,14))</f>
        <v/>
      </c>
      <c r="IF144">
        <f>COUNTIFS('DRAFT 2'!$D:$D,$B144,'DRAFT 2'!$A:$A,"&gt;="&amp;DATE(2026,11,15),'DRAFT 2'!$A:$A,"&lt;="&amp;DATE(2026,11,21))</f>
        <v/>
      </c>
      <c r="IG144">
        <f>COUNTIFS('DRAFT 2'!$D:$D,$B144,'DRAFT 2'!$A:$A,"&gt;="&amp;DATE(2026,11,22),'DRAFT 2'!$A:$A,"&lt;"&amp;DATE(2026,IF(11=12,11+1,11+1),1))</f>
        <v/>
      </c>
      <c r="IH144">
        <f>SUM(ID144:IG144)</f>
        <v/>
      </c>
      <c r="IR144">
        <f>IFERROR(LOOKUP(2,1/('DRAFT 2'!$D:$D=$B144)*('DRAFT 2'!$A:$A&gt;=DATE(2026,12,1))*('DRAFT 2'!$A:$A&lt;DATE(2026,IF(12=12,12+1,12+1),1)),'DRAFT 2'!$A:$A),"")</f>
        <v/>
      </c>
      <c r="IS144">
        <f>COUNTIFS('DRAFT 2'!$D:$D,$B144,'DRAFT 2'!$A:$A,"&gt;="&amp;DATE(2026,12,1),'DRAFT 2'!$A:$A,"&lt;="&amp;DATE(2026,12,7))</f>
        <v/>
      </c>
      <c r="IT144">
        <f>COUNTIFS('DRAFT 2'!$D:$D,$B144,'DRAFT 2'!$A:$A,"&gt;="&amp;DATE(2026,12,8),'DRAFT 2'!$A:$A,"&lt;="&amp;DATE(2026,12,14))</f>
        <v/>
      </c>
      <c r="IU144">
        <f>COUNTIFS('DRAFT 2'!$D:$D,$B144,'DRAFT 2'!$A:$A,"&gt;="&amp;DATE(2026,12,15),'DRAFT 2'!$A:$A,"&lt;="&amp;DATE(2026,12,21))</f>
        <v/>
      </c>
      <c r="IV144">
        <f>COUNTIFS('DRAFT 2'!$D:$D,$B144,'DRAFT 2'!$A:$A,"&gt;="&amp;DATE(2026,12,22),'DRAFT 2'!$A:$A,"&lt;"&amp;DATE(2026,IF(12=12,12+1,12+1),1))</f>
        <v/>
      </c>
      <c r="IW144">
        <f>SUM(IS144:IV144)</f>
        <v/>
      </c>
    </row>
    <row r="145">
      <c r="A145">
        <f>IFERROR(INDEX('DRAFT 1'!$A:$A,MATCH($B145,'DRAFT 1'!$B:$B,0)),"")</f>
        <v/>
      </c>
      <c r="C145">
        <f>IFERROR(INDEX('DRAFT 1'!$C:$C,MATCH($B145,'DRAFT 1'!$B:$B,0)),"")</f>
        <v/>
      </c>
      <c r="D145">
        <f>IFERROR(INDEX('DRAFT 1'!$D:$D,MATCH($B145,'DRAFT 1'!$B:$B,0)),"")</f>
        <v/>
      </c>
      <c r="E145">
        <f>IFERROR(INDEX('DRAFT 1'!$E:$E,MATCH($B145,'DRAFT 1'!$B:$B,0)),"")</f>
        <v/>
      </c>
      <c r="F145">
        <f>IFERROR(INDEX('DRAFT 1'!$F:$F,MATCH($B145,'DRAFT 1'!$B:$B,0)),"")</f>
        <v/>
      </c>
      <c r="G145">
        <f>IFERROR(INDEX('DRAFT 1'!$G:$G,MATCH($B145,'DRAFT 1'!$B:$B,0)),"")</f>
        <v/>
      </c>
      <c r="H145">
        <f>IFERROR(INDEX('DRAFT 1'!$H:$H,MATCH($B145,'DRAFT 1'!$B:$B,0)),"")</f>
        <v/>
      </c>
      <c r="I145">
        <f>IFERROR(INDEX('DRAFT 1'!$I:$I,MATCH($B145,'DRAFT 1'!$B:$B,0)),"")</f>
        <v/>
      </c>
      <c r="K145">
        <f>IFERROR(INDEX('DRAFT 1'!$AL:$AL,MATCH($B145,'DRAFT 1'!$B:$B,0)),"")</f>
        <v/>
      </c>
      <c r="L145">
        <f>IFERROR(INDEX('DRAFT 1'!$J:$J,MATCH($B145,'DRAFT 1'!$B:$B,0)),"")</f>
        <v/>
      </c>
      <c r="M145">
        <f>IFERROR(INDEX('DRAFT 1'!$K:$K,MATCH($B145,'DRAFT 1'!$B:$B,0)),"")</f>
        <v/>
      </c>
      <c r="P145">
        <f>IFERROR(INDEX('DRAFT 1'!$L:$L,MATCH($B145,'DRAFT 1'!$B:$B,0)),"")</f>
        <v/>
      </c>
      <c r="Q145">
        <f>IFERROR(INDEX('DRAFT 1'!$M:$M,MATCH($B145,'DRAFT 1'!$B:$B,0)),"")</f>
        <v/>
      </c>
      <c r="R145">
        <f>IFERROR(INDEX('DRAFT 1'!$N:$N,MATCH($B145,'DRAFT 1'!$B:$B,0)),"")</f>
        <v/>
      </c>
      <c r="S145">
        <f>IFERROR(INDEX('DRAFT 1'!$O:$O,MATCH($B145,'DRAFT 1'!$B:$B,0)),"")</f>
        <v/>
      </c>
      <c r="T145">
        <f>IFERROR(INDEX('DRAFT 1'!$P:$P,MATCH($B145,'DRAFT 1'!$B:$B,0)),"")</f>
        <v/>
      </c>
      <c r="U145">
        <f>IFERROR(INDEX('DRAFT 1'!$Q:$Q,MATCH($B145,'DRAFT 1'!$B:$B,0)),"")</f>
        <v/>
      </c>
      <c r="V145">
        <f>IFERROR(INDEX('DRAFT 1'!$R:$R,MATCH($B145,'DRAFT 1'!$B:$B,0)),"")</f>
        <v/>
      </c>
      <c r="W145">
        <f>IFERROR(INDEX('DRAFT 1'!$S:$S,MATCH($B145,'DRAFT 1'!$B:$B,0)),"")</f>
        <v/>
      </c>
      <c r="X145">
        <f>IFERROR(INDEX('DRAFT 1'!$T:$T,MATCH($B145,'DRAFT 1'!$B:$B,0)),"")</f>
        <v/>
      </c>
      <c r="Z145">
        <f>IFERROR(INDEX('DRAFT 1'!$U:$U,MATCH($B145,'DRAFT 1'!$B:$B,0)),"")</f>
        <v/>
      </c>
      <c r="AA145">
        <f>IFERROR(INDEX('DRAFT 1'!$V:$V,MATCH($B145,'DRAFT 1'!$B:$B,0)),"")</f>
        <v/>
      </c>
      <c r="AB145">
        <f>IFERROR(INDEX('DRAFT 1'!$W:$W,MATCH($B145,'DRAFT 1'!$B:$B,0)),"")</f>
        <v/>
      </c>
      <c r="AC145">
        <f>IFERROR(INDEX('DRAFT 1'!$X:$X,MATCH($B145,'DRAFT 1'!$B:$B,0)),"")</f>
        <v/>
      </c>
      <c r="AD145">
        <f>IFERROR(INDEX('DRAFT 1'!$Y:$Y,MATCH($B145,'DRAFT 1'!$B:$B,0)),"")</f>
        <v/>
      </c>
      <c r="AE145">
        <f>IFERROR(INDEX('DRAFT 1'!$Z:$Z,MATCH($B145,'DRAFT 1'!$B:$B,0)),"")</f>
        <v/>
      </c>
      <c r="AF145">
        <f>IFERROR(INDEX('DRAFT 1'!$AA:$AA,MATCH($B145,'DRAFT 1'!$B:$B,0)),"")</f>
        <v/>
      </c>
      <c r="AG145">
        <f>IFERROR(INDEX('DRAFT 1'!$AB:$AB,MATCH($B145,'DRAFT 1'!$B:$B,0)),"")</f>
        <v/>
      </c>
      <c r="AH145">
        <f>IFERROR(INDEX('DRAFT 1'!$AC:$AC,MATCH($B145,'DRAFT 1'!$B:$B,0)),"")</f>
        <v/>
      </c>
      <c r="AI145">
        <f>IFERROR(INDEX('DRAFT 1'!$AD:$AD,MATCH($B145,'DRAFT 1'!$B:$B,0)),"")</f>
        <v/>
      </c>
      <c r="AJ145">
        <f>IFERROR(INDEX('DRAFT 1'!$AE:$AE,MATCH($B145,'DRAFT 1'!$B:$B,0)),"")</f>
        <v/>
      </c>
      <c r="AK145">
        <f>IFERROR(INDEX('DRAFT 1'!$AG:$AG,MATCH($B145,'DRAFT 1'!$B:$B,0)),"")</f>
        <v/>
      </c>
      <c r="AL145">
        <f>IFERROR(INDEX('DRAFT 1'!$AH:$AH,MATCH($B145,'DRAFT 1'!$B:$B,0)),"")</f>
        <v/>
      </c>
      <c r="AM145">
        <f>IFERROR(INDEX('DRAFT 1'!$AI:$AI,MATCH($B145,'DRAFT 1'!$B:$B,0)),"")</f>
        <v/>
      </c>
      <c r="AN145">
        <f>IFERROR(INDEX('DRAFT 1'!$AJ:$AJ,MATCH($B145,'DRAFT 1'!$B:$B,0)),"")</f>
        <v/>
      </c>
      <c r="AO145">
        <f>IFERROR(Y145/AN145,0)</f>
        <v/>
      </c>
      <c r="AP145">
        <f>IFERROR(INDEX('DRAFT 1'!$AK:$AK,MATCH($B145,'DRAFT 1'!$B:$B,0)),"")</f>
        <v/>
      </c>
      <c r="AR145">
        <f>IFERROR(LOOKUP(2,1/('DRAFT 2'!$D:$D=$B145),'DRAFT 2'!$I:$I),"")</f>
        <v/>
      </c>
      <c r="AS145">
        <f>IFERROR(LOOKUP(2,1/('DRAFT 2'!$D:$D=$B145),'DRAFT 2'!$T:$T),"")</f>
        <v/>
      </c>
      <c r="AT145">
        <f>IFERROR(LOOKUP(2,1/('DRAFT 2'!$D:$D=$B145),'DRAFT 2'!$A:$A),"")</f>
        <v/>
      </c>
      <c r="AU145">
        <f>IFERROR(LOOKUP(2,1/('DRAFT 2'!$D:$D=$B145),'DRAFT 2'!$R:$R),"")</f>
        <v/>
      </c>
      <c r="AV145">
        <f>IFERROR(LOOKUP(2,1/('DRAFT 2'!$D:$D=$B145),'DRAFT 2'!$S:$S),"")</f>
        <v/>
      </c>
      <c r="AX145">
        <f>IFERROR(LOOKUP(2,1/('DRAFT 2'!$D:$D=$B145),'DRAFT 2'!$M:$M),"")</f>
        <v/>
      </c>
      <c r="AY145">
        <f>IFERROR(LOOKUP(2,1/('DRAFT 2'!$D:$D=$B145),'DRAFT 2'!$K:$K),"")</f>
        <v/>
      </c>
      <c r="BG145">
        <f>IFERROR(LOOKUP(2,1/('DRAFT 2'!$D:$D=$B145),'DRAFT 2'!$U:$U),"")</f>
        <v/>
      </c>
      <c r="BH145">
        <f>IFERROR(LOOKUP(2,1/('DRAFT 2'!$D:$D=$B145),'DRAFT 2'!$V:$V),"")</f>
        <v/>
      </c>
      <c r="CE145">
        <f>IFERROR(AJ145,0)</f>
        <v/>
      </c>
      <c r="CF145">
        <f>IFERROR(LOOKUP(2,1/('DRAFT 2'!$D:$D=$B145)*('DRAFT 2'!$A:$A&gt;=DATE(2026,1,1))*('DRAFT 2'!$A:$A&lt;DATE(2026,IF(1=12,1+1,1+1),1)),'DRAFT 2'!$A:$A),"")</f>
        <v/>
      </c>
      <c r="CG145">
        <f>COUNTIFS('DRAFT 2'!$D:$D,$B145,'DRAFT 2'!$A:$A,"&gt;="&amp;DATE(2026,1,1),'DRAFT 2'!$A:$A,"&lt;="&amp;DATE(2026,1,7))</f>
        <v/>
      </c>
      <c r="CH145">
        <f>COUNTIFS('DRAFT 2'!$D:$D,$B145,'DRAFT 2'!$A:$A,"&gt;="&amp;DATE(2026,1,8),'DRAFT 2'!$A:$A,"&lt;="&amp;DATE(2026,1,14))</f>
        <v/>
      </c>
      <c r="CI145">
        <f>COUNTIFS('DRAFT 2'!$D:$D,$B145,'DRAFT 2'!$A:$A,"&gt;="&amp;DATE(2026,1,15),'DRAFT 2'!$A:$A,"&lt;="&amp;DATE(2026,1,21))</f>
        <v/>
      </c>
      <c r="CJ145">
        <f>COUNTIFS('DRAFT 2'!$D:$D,$B145,'DRAFT 2'!$A:$A,"&gt;="&amp;DATE(2026,1,22),'DRAFT 2'!$A:$A,"&lt;"&amp;DATE(2026,IF(1=12,1+1,1+1),1))</f>
        <v/>
      </c>
      <c r="CK145">
        <f>SUM(CG145:CJ145)</f>
        <v/>
      </c>
      <c r="CT145" t="n">
        <v>0</v>
      </c>
      <c r="CU145">
        <f>IFERROR(LOOKUP(2,1/('DRAFT 2'!$D:$D=$B145)*('DRAFT 2'!$A:$A&gt;=DATE(2026,2,1))*('DRAFT 2'!$A:$A&lt;DATE(2026,IF(2=12,2+1,2+1),1)),'DRAFT 2'!$A:$A),"")</f>
        <v/>
      </c>
      <c r="CV145">
        <f>COUNTIFS('DRAFT 2'!$D:$D,$B145,'DRAFT 2'!$A:$A,"&gt;="&amp;DATE(2026,2,1),'DRAFT 2'!$A:$A,"&lt;="&amp;DATE(2026,2,7))</f>
        <v/>
      </c>
      <c r="CW145">
        <f>COUNTIFS('DRAFT 2'!$D:$D,$B145,'DRAFT 2'!$A:$A,"&gt;="&amp;DATE(2026,2,8),'DRAFT 2'!$A:$A,"&lt;="&amp;DATE(2026,2,14))</f>
        <v/>
      </c>
      <c r="CX145">
        <f>COUNTIFS('DRAFT 2'!$D:$D,$B145,'DRAFT 2'!$A:$A,"&gt;="&amp;DATE(2026,2,15),'DRAFT 2'!$A:$A,"&lt;="&amp;DATE(2026,2,21))</f>
        <v/>
      </c>
      <c r="CY145">
        <f>COUNTIFS('DRAFT 2'!$D:$D,$B145,'DRAFT 2'!$A:$A,"&gt;="&amp;DATE(2026,2,22),'DRAFT 2'!$A:$A,"&lt;"&amp;DATE(2026,IF(2=12,2+1,2+1),1))</f>
        <v/>
      </c>
      <c r="CZ145">
        <f>SUM(CV145:CY145)</f>
        <v/>
      </c>
      <c r="DJ145">
        <f>IFERROR(LOOKUP(2,1/('DRAFT 2'!$D:$D=$B145)*('DRAFT 2'!$A:$A&gt;=DATE(2026,3,1))*('DRAFT 2'!$A:$A&lt;DATE(2026,IF(3=12,3+1,3+1),1)),'DRAFT 2'!$A:$A),"")</f>
        <v/>
      </c>
      <c r="DK145">
        <f>COUNTIFS('DRAFT 2'!$D:$D,$B145,'DRAFT 2'!$A:$A,"&gt;="&amp;DATE(2026,3,1),'DRAFT 2'!$A:$A,"&lt;="&amp;DATE(2026,3,7))</f>
        <v/>
      </c>
      <c r="DL145">
        <f>COUNTIFS('DRAFT 2'!$D:$D,$B145,'DRAFT 2'!$A:$A,"&gt;="&amp;DATE(2026,3,8),'DRAFT 2'!$A:$A,"&lt;="&amp;DATE(2026,3,14))</f>
        <v/>
      </c>
      <c r="DM145">
        <f>COUNTIFS('DRAFT 2'!$D:$D,$B145,'DRAFT 2'!$A:$A,"&gt;="&amp;DATE(2026,3,15),'DRAFT 2'!$A:$A,"&lt;="&amp;DATE(2026,3,21))</f>
        <v/>
      </c>
      <c r="DN145">
        <f>COUNTIFS('DRAFT 2'!$D:$D,$B145,'DRAFT 2'!$A:$A,"&gt;="&amp;DATE(2026,3,22),'DRAFT 2'!$A:$A,"&lt;"&amp;DATE(2026,IF(3=12,3+1,3+1),1))</f>
        <v/>
      </c>
      <c r="DO145">
        <f>SUM(DK145:DN145)</f>
        <v/>
      </c>
      <c r="DZ145">
        <f>IFERROR(LOOKUP(2,1/('DRAFT 2'!$D:$D=$B145)*('DRAFT 2'!$A:$A&gt;=DATE(2026,4,1))*('DRAFT 2'!$A:$A&lt;DATE(2026,IF(4=12,4+1,4+1),1)),'DRAFT 2'!$A:$A),"")</f>
        <v/>
      </c>
      <c r="EA145">
        <f>COUNTIFS('DRAFT 2'!$D:$D,$B145,'DRAFT 2'!$A:$A,"&gt;="&amp;DATE(2026,4,1),'DRAFT 2'!$A:$A,"&lt;="&amp;DATE(2026,4,7))</f>
        <v/>
      </c>
      <c r="EB145">
        <f>COUNTIFS('DRAFT 2'!$D:$D,$B145,'DRAFT 2'!$A:$A,"&gt;="&amp;DATE(2026,4,8),'DRAFT 2'!$A:$A,"&lt;="&amp;DATE(2026,4,14))</f>
        <v/>
      </c>
      <c r="EC145">
        <f>COUNTIFS('DRAFT 2'!$D:$D,$B145,'DRAFT 2'!$A:$A,"&gt;="&amp;DATE(2026,4,15),'DRAFT 2'!$A:$A,"&lt;="&amp;DATE(2026,4,21))</f>
        <v/>
      </c>
      <c r="ED145">
        <f>COUNTIFS('DRAFT 2'!$D:$D,$B145,'DRAFT 2'!$A:$A,"&gt;="&amp;DATE(2026,4,22),'DRAFT 2'!$A:$A,"&lt;"&amp;DATE(2026,IF(4=12,4+1,4+1),1))</f>
        <v/>
      </c>
      <c r="EE145">
        <f>SUM(EA145:ED145)</f>
        <v/>
      </c>
      <c r="EO145">
        <f>IFERROR(LOOKUP(2,1/('DRAFT 2'!$D:$D=$B145)*('DRAFT 2'!$A:$A&gt;=DATE(2026,5,1))*('DRAFT 2'!$A:$A&lt;DATE(2026,IF(5=12,5+1,5+1),1)),'DRAFT 2'!$A:$A),"")</f>
        <v/>
      </c>
      <c r="EP145">
        <f>COUNTIFS('DRAFT 2'!$D:$D,$B145,'DRAFT 2'!$A:$A,"&gt;="&amp;DATE(2026,5,1),'DRAFT 2'!$A:$A,"&lt;="&amp;DATE(2026,5,7))</f>
        <v/>
      </c>
      <c r="EQ145">
        <f>COUNTIFS('DRAFT 2'!$D:$D,$B145,'DRAFT 2'!$A:$A,"&gt;="&amp;DATE(2026,5,8),'DRAFT 2'!$A:$A,"&lt;="&amp;DATE(2026,5,14))</f>
        <v/>
      </c>
      <c r="ER145">
        <f>COUNTIFS('DRAFT 2'!$D:$D,$B145,'DRAFT 2'!$A:$A,"&gt;="&amp;DATE(2026,5,15),'DRAFT 2'!$A:$A,"&lt;="&amp;DATE(2026,5,21))</f>
        <v/>
      </c>
      <c r="ES145">
        <f>COUNTIFS('DRAFT 2'!$D:$D,$B145,'DRAFT 2'!$A:$A,"&gt;="&amp;DATE(2026,5,22),'DRAFT 2'!$A:$A,"&lt;"&amp;DATE(2026,IF(5=12,5+1,5+1),1))</f>
        <v/>
      </c>
      <c r="ET145">
        <f>SUM(EP145:ES145)</f>
        <v/>
      </c>
      <c r="FD145">
        <f>IFERROR(LOOKUP(2,1/('DRAFT 2'!$D:$D=$B145)*('DRAFT 2'!$A:$A&gt;=DATE(2026,6,1))*('DRAFT 2'!$A:$A&lt;DATE(2026,IF(6=12,6+1,6+1),1)),'DRAFT 2'!$A:$A),"")</f>
        <v/>
      </c>
      <c r="FE145">
        <f>COUNTIFS('DRAFT 2'!$D:$D,$B145,'DRAFT 2'!$A:$A,"&gt;="&amp;DATE(2026,6,1),'DRAFT 2'!$A:$A,"&lt;="&amp;DATE(2026,6,7))</f>
        <v/>
      </c>
      <c r="FF145">
        <f>COUNTIFS('DRAFT 2'!$D:$D,$B145,'DRAFT 2'!$A:$A,"&gt;="&amp;DATE(2026,6,8),'DRAFT 2'!$A:$A,"&lt;="&amp;DATE(2026,6,14))</f>
        <v/>
      </c>
      <c r="FG145">
        <f>COUNTIFS('DRAFT 2'!$D:$D,$B145,'DRAFT 2'!$A:$A,"&gt;="&amp;DATE(2026,6,15),'DRAFT 2'!$A:$A,"&lt;="&amp;DATE(2026,6,21))</f>
        <v/>
      </c>
      <c r="FH145">
        <f>COUNTIFS('DRAFT 2'!$D:$D,$B145,'DRAFT 2'!$A:$A,"&gt;="&amp;DATE(2026,6,22),'DRAFT 2'!$A:$A,"&lt;"&amp;DATE(2026,IF(6=12,6+1,6+1),1))</f>
        <v/>
      </c>
      <c r="FI145">
        <f>SUM(FE145:FH145)</f>
        <v/>
      </c>
      <c r="FT145">
        <f>IFERROR(LOOKUP(2,1/('DRAFT 2'!$D:$D=$B145)*('DRAFT 2'!$A:$A&gt;=DATE(2026,7,1))*('DRAFT 2'!$A:$A&lt;DATE(2026,IF(7=12,7+1,7+1),1)),'DRAFT 2'!$A:$A),"")</f>
        <v/>
      </c>
      <c r="FU145">
        <f>COUNTIFS('DRAFT 2'!$D:$D,$B145,'DRAFT 2'!$A:$A,"&gt;="&amp;DATE(2026,7,1),'DRAFT 2'!$A:$A,"&lt;="&amp;DATE(2026,7,7))</f>
        <v/>
      </c>
      <c r="FV145">
        <f>COUNTIFS('DRAFT 2'!$D:$D,$B145,'DRAFT 2'!$A:$A,"&gt;="&amp;DATE(2026,7,8),'DRAFT 2'!$A:$A,"&lt;="&amp;DATE(2026,7,14))</f>
        <v/>
      </c>
      <c r="FW145">
        <f>COUNTIFS('DRAFT 2'!$D:$D,$B145,'DRAFT 2'!$A:$A,"&gt;="&amp;DATE(2026,7,15),'DRAFT 2'!$A:$A,"&lt;="&amp;DATE(2026,7,21))</f>
        <v/>
      </c>
      <c r="FX145">
        <f>COUNTIFS('DRAFT 2'!$D:$D,$B145,'DRAFT 2'!$A:$A,"&gt;="&amp;DATE(2026,7,22),'DRAFT 2'!$A:$A,"&lt;"&amp;DATE(2026,IF(7=12,7+1,7+1),1))</f>
        <v/>
      </c>
      <c r="FY145">
        <f>SUM(FU145:FX145)</f>
        <v/>
      </c>
      <c r="GI145">
        <f>IFERROR(LOOKUP(2,1/('DRAFT 2'!$D:$D=$B145)*('DRAFT 2'!$A:$A&gt;=DATE(2026,8,1))*('DRAFT 2'!$A:$A&lt;DATE(2026,IF(8=12,8+1,8+1),1)),'DRAFT 2'!$A:$A),"")</f>
        <v/>
      </c>
      <c r="GJ145">
        <f>COUNTIFS('DRAFT 2'!$D:$D,$B145,'DRAFT 2'!$A:$A,"&gt;="&amp;DATE(2026,8,1),'DRAFT 2'!$A:$A,"&lt;="&amp;DATE(2026,8,7))</f>
        <v/>
      </c>
      <c r="GK145">
        <f>COUNTIFS('DRAFT 2'!$D:$D,$B145,'DRAFT 2'!$A:$A,"&gt;="&amp;DATE(2026,8,8),'DRAFT 2'!$A:$A,"&lt;="&amp;DATE(2026,8,14))</f>
        <v/>
      </c>
      <c r="GL145">
        <f>COUNTIFS('DRAFT 2'!$D:$D,$B145,'DRAFT 2'!$A:$A,"&gt;="&amp;DATE(2026,8,15),'DRAFT 2'!$A:$A,"&lt;="&amp;DATE(2026,8,21))</f>
        <v/>
      </c>
      <c r="GM145">
        <f>COUNTIFS('DRAFT 2'!$D:$D,$B145,'DRAFT 2'!$A:$A,"&gt;="&amp;DATE(2026,8,22),'DRAFT 2'!$A:$A,"&lt;"&amp;DATE(2026,IF(8=12,8+1,8+1),1))</f>
        <v/>
      </c>
      <c r="GN145">
        <f>SUM(GJ145:GM145)</f>
        <v/>
      </c>
      <c r="GX145">
        <f>IFERROR(LOOKUP(2,1/('DRAFT 2'!$D:$D=$B145)*('DRAFT 2'!$A:$A&gt;=DATE(2026,9,1))*('DRAFT 2'!$A:$A&lt;DATE(2026,IF(9=12,9+1,9+1),1)),'DRAFT 2'!$A:$A),"")</f>
        <v/>
      </c>
      <c r="GY145">
        <f>COUNTIFS('DRAFT 2'!$D:$D,$B145,'DRAFT 2'!$A:$A,"&gt;="&amp;DATE(2026,9,1),'DRAFT 2'!$A:$A,"&lt;="&amp;DATE(2026,9,7))</f>
        <v/>
      </c>
      <c r="GZ145">
        <f>COUNTIFS('DRAFT 2'!$D:$D,$B145,'DRAFT 2'!$A:$A,"&gt;="&amp;DATE(2026,9,8),'DRAFT 2'!$A:$A,"&lt;="&amp;DATE(2026,9,14))</f>
        <v/>
      </c>
      <c r="HA145">
        <f>COUNTIFS('DRAFT 2'!$D:$D,$B145,'DRAFT 2'!$A:$A,"&gt;="&amp;DATE(2026,9,15),'DRAFT 2'!$A:$A,"&lt;="&amp;DATE(2026,9,21))</f>
        <v/>
      </c>
      <c r="HB145">
        <f>COUNTIFS('DRAFT 2'!$D:$D,$B145,'DRAFT 2'!$A:$A,"&gt;="&amp;DATE(2026,9,22),'DRAFT 2'!$A:$A,"&lt;"&amp;DATE(2026,IF(9=12,9+1,9+1),1))</f>
        <v/>
      </c>
      <c r="HC145">
        <f>SUM(GY145:HB145)</f>
        <v/>
      </c>
      <c r="HN145">
        <f>IFERROR(LOOKUP(2,1/('DRAFT 2'!$D:$D=$B145)*('DRAFT 2'!$A:$A&gt;=DATE(2026,10,1))*('DRAFT 2'!$A:$A&lt;DATE(2026,IF(10=12,10+1,10+1),1)),'DRAFT 2'!$A:$A),"")</f>
        <v/>
      </c>
      <c r="HO145">
        <f>COUNTIFS('DRAFT 2'!$D:$D,$B145,'DRAFT 2'!$A:$A,"&gt;="&amp;DATE(2026,10,1),'DRAFT 2'!$A:$A,"&lt;="&amp;DATE(2026,10,7))</f>
        <v/>
      </c>
      <c r="HP145">
        <f>COUNTIFS('DRAFT 2'!$D:$D,$B145,'DRAFT 2'!$A:$A,"&gt;="&amp;DATE(2026,10,8),'DRAFT 2'!$A:$A,"&lt;="&amp;DATE(2026,10,14))</f>
        <v/>
      </c>
      <c r="HQ145">
        <f>COUNTIFS('DRAFT 2'!$D:$D,$B145,'DRAFT 2'!$A:$A,"&gt;="&amp;DATE(2026,10,15),'DRAFT 2'!$A:$A,"&lt;="&amp;DATE(2026,10,21))</f>
        <v/>
      </c>
      <c r="HR145">
        <f>COUNTIFS('DRAFT 2'!$D:$D,$B145,'DRAFT 2'!$A:$A,"&gt;="&amp;DATE(2026,10,22),'DRAFT 2'!$A:$A,"&lt;"&amp;DATE(2026,IF(10=12,10+1,10+1),1))</f>
        <v/>
      </c>
      <c r="HS145">
        <f>SUM(HO145:HR145)</f>
        <v/>
      </c>
      <c r="IC145">
        <f>IFERROR(LOOKUP(2,1/('DRAFT 2'!$D:$D=$B145)*('DRAFT 2'!$A:$A&gt;=DATE(2026,11,1))*('DRAFT 2'!$A:$A&lt;DATE(2026,IF(11=12,11+1,11+1),1)),'DRAFT 2'!$A:$A),"")</f>
        <v/>
      </c>
      <c r="ID145">
        <f>COUNTIFS('DRAFT 2'!$D:$D,$B145,'DRAFT 2'!$A:$A,"&gt;="&amp;DATE(2026,11,1),'DRAFT 2'!$A:$A,"&lt;="&amp;DATE(2026,11,7))</f>
        <v/>
      </c>
      <c r="IE145">
        <f>COUNTIFS('DRAFT 2'!$D:$D,$B145,'DRAFT 2'!$A:$A,"&gt;="&amp;DATE(2026,11,8),'DRAFT 2'!$A:$A,"&lt;="&amp;DATE(2026,11,14))</f>
        <v/>
      </c>
      <c r="IF145">
        <f>COUNTIFS('DRAFT 2'!$D:$D,$B145,'DRAFT 2'!$A:$A,"&gt;="&amp;DATE(2026,11,15),'DRAFT 2'!$A:$A,"&lt;="&amp;DATE(2026,11,21))</f>
        <v/>
      </c>
      <c r="IG145">
        <f>COUNTIFS('DRAFT 2'!$D:$D,$B145,'DRAFT 2'!$A:$A,"&gt;="&amp;DATE(2026,11,22),'DRAFT 2'!$A:$A,"&lt;"&amp;DATE(2026,IF(11=12,11+1,11+1),1))</f>
        <v/>
      </c>
      <c r="IH145">
        <f>SUM(ID145:IG145)</f>
        <v/>
      </c>
      <c r="IR145">
        <f>IFERROR(LOOKUP(2,1/('DRAFT 2'!$D:$D=$B145)*('DRAFT 2'!$A:$A&gt;=DATE(2026,12,1))*('DRAFT 2'!$A:$A&lt;DATE(2026,IF(12=12,12+1,12+1),1)),'DRAFT 2'!$A:$A),"")</f>
        <v/>
      </c>
      <c r="IS145">
        <f>COUNTIFS('DRAFT 2'!$D:$D,$B145,'DRAFT 2'!$A:$A,"&gt;="&amp;DATE(2026,12,1),'DRAFT 2'!$A:$A,"&lt;="&amp;DATE(2026,12,7))</f>
        <v/>
      </c>
      <c r="IT145">
        <f>COUNTIFS('DRAFT 2'!$D:$D,$B145,'DRAFT 2'!$A:$A,"&gt;="&amp;DATE(2026,12,8),'DRAFT 2'!$A:$A,"&lt;="&amp;DATE(2026,12,14))</f>
        <v/>
      </c>
      <c r="IU145">
        <f>COUNTIFS('DRAFT 2'!$D:$D,$B145,'DRAFT 2'!$A:$A,"&gt;="&amp;DATE(2026,12,15),'DRAFT 2'!$A:$A,"&lt;="&amp;DATE(2026,12,21))</f>
        <v/>
      </c>
      <c r="IV145">
        <f>COUNTIFS('DRAFT 2'!$D:$D,$B145,'DRAFT 2'!$A:$A,"&gt;="&amp;DATE(2026,12,22),'DRAFT 2'!$A:$A,"&lt;"&amp;DATE(2026,IF(12=12,12+1,12+1),1))</f>
        <v/>
      </c>
      <c r="IW145">
        <f>SUM(IS145:IV145)</f>
        <v/>
      </c>
    </row>
    <row r="146">
      <c r="A146">
        <f>IFERROR(INDEX('DRAFT 1'!$A:$A,MATCH($B146,'DRAFT 1'!$B:$B,0)),"")</f>
        <v/>
      </c>
      <c r="C146">
        <f>IFERROR(INDEX('DRAFT 1'!$C:$C,MATCH($B146,'DRAFT 1'!$B:$B,0)),"")</f>
        <v/>
      </c>
      <c r="D146">
        <f>IFERROR(INDEX('DRAFT 1'!$D:$D,MATCH($B146,'DRAFT 1'!$B:$B,0)),"")</f>
        <v/>
      </c>
      <c r="E146">
        <f>IFERROR(INDEX('DRAFT 1'!$E:$E,MATCH($B146,'DRAFT 1'!$B:$B,0)),"")</f>
        <v/>
      </c>
      <c r="F146">
        <f>IFERROR(INDEX('DRAFT 1'!$F:$F,MATCH($B146,'DRAFT 1'!$B:$B,0)),"")</f>
        <v/>
      </c>
      <c r="G146">
        <f>IFERROR(INDEX('DRAFT 1'!$G:$G,MATCH($B146,'DRAFT 1'!$B:$B,0)),"")</f>
        <v/>
      </c>
      <c r="H146">
        <f>IFERROR(INDEX('DRAFT 1'!$H:$H,MATCH($B146,'DRAFT 1'!$B:$B,0)),"")</f>
        <v/>
      </c>
      <c r="I146">
        <f>IFERROR(INDEX('DRAFT 1'!$I:$I,MATCH($B146,'DRAFT 1'!$B:$B,0)),"")</f>
        <v/>
      </c>
      <c r="K146">
        <f>IFERROR(INDEX('DRAFT 1'!$AL:$AL,MATCH($B146,'DRAFT 1'!$B:$B,0)),"")</f>
        <v/>
      </c>
      <c r="L146">
        <f>IFERROR(INDEX('DRAFT 1'!$J:$J,MATCH($B146,'DRAFT 1'!$B:$B,0)),"")</f>
        <v/>
      </c>
      <c r="M146">
        <f>IFERROR(INDEX('DRAFT 1'!$K:$K,MATCH($B146,'DRAFT 1'!$B:$B,0)),"")</f>
        <v/>
      </c>
      <c r="P146">
        <f>IFERROR(INDEX('DRAFT 1'!$L:$L,MATCH($B146,'DRAFT 1'!$B:$B,0)),"")</f>
        <v/>
      </c>
      <c r="Q146">
        <f>IFERROR(INDEX('DRAFT 1'!$M:$M,MATCH($B146,'DRAFT 1'!$B:$B,0)),"")</f>
        <v/>
      </c>
      <c r="R146">
        <f>IFERROR(INDEX('DRAFT 1'!$N:$N,MATCH($B146,'DRAFT 1'!$B:$B,0)),"")</f>
        <v/>
      </c>
      <c r="S146">
        <f>IFERROR(INDEX('DRAFT 1'!$O:$O,MATCH($B146,'DRAFT 1'!$B:$B,0)),"")</f>
        <v/>
      </c>
      <c r="T146">
        <f>IFERROR(INDEX('DRAFT 1'!$P:$P,MATCH($B146,'DRAFT 1'!$B:$B,0)),"")</f>
        <v/>
      </c>
      <c r="U146">
        <f>IFERROR(INDEX('DRAFT 1'!$Q:$Q,MATCH($B146,'DRAFT 1'!$B:$B,0)),"")</f>
        <v/>
      </c>
      <c r="V146">
        <f>IFERROR(INDEX('DRAFT 1'!$R:$R,MATCH($B146,'DRAFT 1'!$B:$B,0)),"")</f>
        <v/>
      </c>
      <c r="W146">
        <f>IFERROR(INDEX('DRAFT 1'!$S:$S,MATCH($B146,'DRAFT 1'!$B:$B,0)),"")</f>
        <v/>
      </c>
      <c r="X146">
        <f>IFERROR(INDEX('DRAFT 1'!$T:$T,MATCH($B146,'DRAFT 1'!$B:$B,0)),"")</f>
        <v/>
      </c>
      <c r="Z146">
        <f>IFERROR(INDEX('DRAFT 1'!$U:$U,MATCH($B146,'DRAFT 1'!$B:$B,0)),"")</f>
        <v/>
      </c>
      <c r="AA146">
        <f>IFERROR(INDEX('DRAFT 1'!$V:$V,MATCH($B146,'DRAFT 1'!$B:$B,0)),"")</f>
        <v/>
      </c>
      <c r="AB146">
        <f>IFERROR(INDEX('DRAFT 1'!$W:$W,MATCH($B146,'DRAFT 1'!$B:$B,0)),"")</f>
        <v/>
      </c>
      <c r="AC146">
        <f>IFERROR(INDEX('DRAFT 1'!$X:$X,MATCH($B146,'DRAFT 1'!$B:$B,0)),"")</f>
        <v/>
      </c>
      <c r="AD146">
        <f>IFERROR(INDEX('DRAFT 1'!$Y:$Y,MATCH($B146,'DRAFT 1'!$B:$B,0)),"")</f>
        <v/>
      </c>
      <c r="AE146">
        <f>IFERROR(INDEX('DRAFT 1'!$Z:$Z,MATCH($B146,'DRAFT 1'!$B:$B,0)),"")</f>
        <v/>
      </c>
      <c r="AF146">
        <f>IFERROR(INDEX('DRAFT 1'!$AA:$AA,MATCH($B146,'DRAFT 1'!$B:$B,0)),"")</f>
        <v/>
      </c>
      <c r="AG146">
        <f>IFERROR(INDEX('DRAFT 1'!$AB:$AB,MATCH($B146,'DRAFT 1'!$B:$B,0)),"")</f>
        <v/>
      </c>
      <c r="AH146">
        <f>IFERROR(INDEX('DRAFT 1'!$AC:$AC,MATCH($B146,'DRAFT 1'!$B:$B,0)),"")</f>
        <v/>
      </c>
      <c r="AI146">
        <f>IFERROR(INDEX('DRAFT 1'!$AD:$AD,MATCH($B146,'DRAFT 1'!$B:$B,0)),"")</f>
        <v/>
      </c>
      <c r="AJ146">
        <f>IFERROR(INDEX('DRAFT 1'!$AE:$AE,MATCH($B146,'DRAFT 1'!$B:$B,0)),"")</f>
        <v/>
      </c>
      <c r="AK146">
        <f>IFERROR(INDEX('DRAFT 1'!$AG:$AG,MATCH($B146,'DRAFT 1'!$B:$B,0)),"")</f>
        <v/>
      </c>
      <c r="AL146">
        <f>IFERROR(INDEX('DRAFT 1'!$AH:$AH,MATCH($B146,'DRAFT 1'!$B:$B,0)),"")</f>
        <v/>
      </c>
      <c r="AM146">
        <f>IFERROR(INDEX('DRAFT 1'!$AI:$AI,MATCH($B146,'DRAFT 1'!$B:$B,0)),"")</f>
        <v/>
      </c>
      <c r="AN146">
        <f>IFERROR(INDEX('DRAFT 1'!$AJ:$AJ,MATCH($B146,'DRAFT 1'!$B:$B,0)),"")</f>
        <v/>
      </c>
      <c r="AO146">
        <f>IFERROR(Y146/AN146,0)</f>
        <v/>
      </c>
      <c r="AP146">
        <f>IFERROR(INDEX('DRAFT 1'!$AK:$AK,MATCH($B146,'DRAFT 1'!$B:$B,0)),"")</f>
        <v/>
      </c>
      <c r="AR146">
        <f>IFERROR(LOOKUP(2,1/('DRAFT 2'!$D:$D=$B146),'DRAFT 2'!$I:$I),"")</f>
        <v/>
      </c>
      <c r="AS146">
        <f>IFERROR(LOOKUP(2,1/('DRAFT 2'!$D:$D=$B146),'DRAFT 2'!$T:$T),"")</f>
        <v/>
      </c>
      <c r="AT146">
        <f>IFERROR(LOOKUP(2,1/('DRAFT 2'!$D:$D=$B146),'DRAFT 2'!$A:$A),"")</f>
        <v/>
      </c>
      <c r="AU146">
        <f>IFERROR(LOOKUP(2,1/('DRAFT 2'!$D:$D=$B146),'DRAFT 2'!$R:$R),"")</f>
        <v/>
      </c>
      <c r="AV146">
        <f>IFERROR(LOOKUP(2,1/('DRAFT 2'!$D:$D=$B146),'DRAFT 2'!$S:$S),"")</f>
        <v/>
      </c>
      <c r="AX146">
        <f>IFERROR(LOOKUP(2,1/('DRAFT 2'!$D:$D=$B146),'DRAFT 2'!$M:$M),"")</f>
        <v/>
      </c>
      <c r="AY146">
        <f>IFERROR(LOOKUP(2,1/('DRAFT 2'!$D:$D=$B146),'DRAFT 2'!$K:$K),"")</f>
        <v/>
      </c>
      <c r="BG146">
        <f>IFERROR(LOOKUP(2,1/('DRAFT 2'!$D:$D=$B146),'DRAFT 2'!$U:$U),"")</f>
        <v/>
      </c>
      <c r="BH146">
        <f>IFERROR(LOOKUP(2,1/('DRAFT 2'!$D:$D=$B146),'DRAFT 2'!$V:$V),"")</f>
        <v/>
      </c>
      <c r="CE146">
        <f>IFERROR(AJ146,0)</f>
        <v/>
      </c>
      <c r="CF146">
        <f>IFERROR(LOOKUP(2,1/('DRAFT 2'!$D:$D=$B146)*('DRAFT 2'!$A:$A&gt;=DATE(2026,1,1))*('DRAFT 2'!$A:$A&lt;DATE(2026,IF(1=12,1+1,1+1),1)),'DRAFT 2'!$A:$A),"")</f>
        <v/>
      </c>
      <c r="CG146">
        <f>COUNTIFS('DRAFT 2'!$D:$D,$B146,'DRAFT 2'!$A:$A,"&gt;="&amp;DATE(2026,1,1),'DRAFT 2'!$A:$A,"&lt;="&amp;DATE(2026,1,7))</f>
        <v/>
      </c>
      <c r="CH146">
        <f>COUNTIFS('DRAFT 2'!$D:$D,$B146,'DRAFT 2'!$A:$A,"&gt;="&amp;DATE(2026,1,8),'DRAFT 2'!$A:$A,"&lt;="&amp;DATE(2026,1,14))</f>
        <v/>
      </c>
      <c r="CI146">
        <f>COUNTIFS('DRAFT 2'!$D:$D,$B146,'DRAFT 2'!$A:$A,"&gt;="&amp;DATE(2026,1,15),'DRAFT 2'!$A:$A,"&lt;="&amp;DATE(2026,1,21))</f>
        <v/>
      </c>
      <c r="CJ146">
        <f>COUNTIFS('DRAFT 2'!$D:$D,$B146,'DRAFT 2'!$A:$A,"&gt;="&amp;DATE(2026,1,22),'DRAFT 2'!$A:$A,"&lt;"&amp;DATE(2026,IF(1=12,1+1,1+1),1))</f>
        <v/>
      </c>
      <c r="CK146">
        <f>SUM(CG146:CJ146)</f>
        <v/>
      </c>
      <c r="CT146" t="n">
        <v>0</v>
      </c>
      <c r="CU146">
        <f>IFERROR(LOOKUP(2,1/('DRAFT 2'!$D:$D=$B146)*('DRAFT 2'!$A:$A&gt;=DATE(2026,2,1))*('DRAFT 2'!$A:$A&lt;DATE(2026,IF(2=12,2+1,2+1),1)),'DRAFT 2'!$A:$A),"")</f>
        <v/>
      </c>
      <c r="CV146">
        <f>COUNTIFS('DRAFT 2'!$D:$D,$B146,'DRAFT 2'!$A:$A,"&gt;="&amp;DATE(2026,2,1),'DRAFT 2'!$A:$A,"&lt;="&amp;DATE(2026,2,7))</f>
        <v/>
      </c>
      <c r="CW146">
        <f>COUNTIFS('DRAFT 2'!$D:$D,$B146,'DRAFT 2'!$A:$A,"&gt;="&amp;DATE(2026,2,8),'DRAFT 2'!$A:$A,"&lt;="&amp;DATE(2026,2,14))</f>
        <v/>
      </c>
      <c r="CX146">
        <f>COUNTIFS('DRAFT 2'!$D:$D,$B146,'DRAFT 2'!$A:$A,"&gt;="&amp;DATE(2026,2,15),'DRAFT 2'!$A:$A,"&lt;="&amp;DATE(2026,2,21))</f>
        <v/>
      </c>
      <c r="CY146">
        <f>COUNTIFS('DRAFT 2'!$D:$D,$B146,'DRAFT 2'!$A:$A,"&gt;="&amp;DATE(2026,2,22),'DRAFT 2'!$A:$A,"&lt;"&amp;DATE(2026,IF(2=12,2+1,2+1),1))</f>
        <v/>
      </c>
      <c r="CZ146">
        <f>SUM(CV146:CY146)</f>
        <v/>
      </c>
      <c r="DJ146">
        <f>IFERROR(LOOKUP(2,1/('DRAFT 2'!$D:$D=$B146)*('DRAFT 2'!$A:$A&gt;=DATE(2026,3,1))*('DRAFT 2'!$A:$A&lt;DATE(2026,IF(3=12,3+1,3+1),1)),'DRAFT 2'!$A:$A),"")</f>
        <v/>
      </c>
      <c r="DK146">
        <f>COUNTIFS('DRAFT 2'!$D:$D,$B146,'DRAFT 2'!$A:$A,"&gt;="&amp;DATE(2026,3,1),'DRAFT 2'!$A:$A,"&lt;="&amp;DATE(2026,3,7))</f>
        <v/>
      </c>
      <c r="DL146">
        <f>COUNTIFS('DRAFT 2'!$D:$D,$B146,'DRAFT 2'!$A:$A,"&gt;="&amp;DATE(2026,3,8),'DRAFT 2'!$A:$A,"&lt;="&amp;DATE(2026,3,14))</f>
        <v/>
      </c>
      <c r="DM146">
        <f>COUNTIFS('DRAFT 2'!$D:$D,$B146,'DRAFT 2'!$A:$A,"&gt;="&amp;DATE(2026,3,15),'DRAFT 2'!$A:$A,"&lt;="&amp;DATE(2026,3,21))</f>
        <v/>
      </c>
      <c r="DN146">
        <f>COUNTIFS('DRAFT 2'!$D:$D,$B146,'DRAFT 2'!$A:$A,"&gt;="&amp;DATE(2026,3,22),'DRAFT 2'!$A:$A,"&lt;"&amp;DATE(2026,IF(3=12,3+1,3+1),1))</f>
        <v/>
      </c>
      <c r="DO146">
        <f>SUM(DK146:DN146)</f>
        <v/>
      </c>
      <c r="DZ146">
        <f>IFERROR(LOOKUP(2,1/('DRAFT 2'!$D:$D=$B146)*('DRAFT 2'!$A:$A&gt;=DATE(2026,4,1))*('DRAFT 2'!$A:$A&lt;DATE(2026,IF(4=12,4+1,4+1),1)),'DRAFT 2'!$A:$A),"")</f>
        <v/>
      </c>
      <c r="EA146">
        <f>COUNTIFS('DRAFT 2'!$D:$D,$B146,'DRAFT 2'!$A:$A,"&gt;="&amp;DATE(2026,4,1),'DRAFT 2'!$A:$A,"&lt;="&amp;DATE(2026,4,7))</f>
        <v/>
      </c>
      <c r="EB146">
        <f>COUNTIFS('DRAFT 2'!$D:$D,$B146,'DRAFT 2'!$A:$A,"&gt;="&amp;DATE(2026,4,8),'DRAFT 2'!$A:$A,"&lt;="&amp;DATE(2026,4,14))</f>
        <v/>
      </c>
      <c r="EC146">
        <f>COUNTIFS('DRAFT 2'!$D:$D,$B146,'DRAFT 2'!$A:$A,"&gt;="&amp;DATE(2026,4,15),'DRAFT 2'!$A:$A,"&lt;="&amp;DATE(2026,4,21))</f>
        <v/>
      </c>
      <c r="ED146">
        <f>COUNTIFS('DRAFT 2'!$D:$D,$B146,'DRAFT 2'!$A:$A,"&gt;="&amp;DATE(2026,4,22),'DRAFT 2'!$A:$A,"&lt;"&amp;DATE(2026,IF(4=12,4+1,4+1),1))</f>
        <v/>
      </c>
      <c r="EE146">
        <f>SUM(EA146:ED146)</f>
        <v/>
      </c>
      <c r="EO146">
        <f>IFERROR(LOOKUP(2,1/('DRAFT 2'!$D:$D=$B146)*('DRAFT 2'!$A:$A&gt;=DATE(2026,5,1))*('DRAFT 2'!$A:$A&lt;DATE(2026,IF(5=12,5+1,5+1),1)),'DRAFT 2'!$A:$A),"")</f>
        <v/>
      </c>
      <c r="EP146">
        <f>COUNTIFS('DRAFT 2'!$D:$D,$B146,'DRAFT 2'!$A:$A,"&gt;="&amp;DATE(2026,5,1),'DRAFT 2'!$A:$A,"&lt;="&amp;DATE(2026,5,7))</f>
        <v/>
      </c>
      <c r="EQ146">
        <f>COUNTIFS('DRAFT 2'!$D:$D,$B146,'DRAFT 2'!$A:$A,"&gt;="&amp;DATE(2026,5,8),'DRAFT 2'!$A:$A,"&lt;="&amp;DATE(2026,5,14))</f>
        <v/>
      </c>
      <c r="ER146">
        <f>COUNTIFS('DRAFT 2'!$D:$D,$B146,'DRAFT 2'!$A:$A,"&gt;="&amp;DATE(2026,5,15),'DRAFT 2'!$A:$A,"&lt;="&amp;DATE(2026,5,21))</f>
        <v/>
      </c>
      <c r="ES146">
        <f>COUNTIFS('DRAFT 2'!$D:$D,$B146,'DRAFT 2'!$A:$A,"&gt;="&amp;DATE(2026,5,22),'DRAFT 2'!$A:$A,"&lt;"&amp;DATE(2026,IF(5=12,5+1,5+1),1))</f>
        <v/>
      </c>
      <c r="ET146">
        <f>SUM(EP146:ES146)</f>
        <v/>
      </c>
      <c r="FD146">
        <f>IFERROR(LOOKUP(2,1/('DRAFT 2'!$D:$D=$B146)*('DRAFT 2'!$A:$A&gt;=DATE(2026,6,1))*('DRAFT 2'!$A:$A&lt;DATE(2026,IF(6=12,6+1,6+1),1)),'DRAFT 2'!$A:$A),"")</f>
        <v/>
      </c>
      <c r="FE146">
        <f>COUNTIFS('DRAFT 2'!$D:$D,$B146,'DRAFT 2'!$A:$A,"&gt;="&amp;DATE(2026,6,1),'DRAFT 2'!$A:$A,"&lt;="&amp;DATE(2026,6,7))</f>
        <v/>
      </c>
      <c r="FF146">
        <f>COUNTIFS('DRAFT 2'!$D:$D,$B146,'DRAFT 2'!$A:$A,"&gt;="&amp;DATE(2026,6,8),'DRAFT 2'!$A:$A,"&lt;="&amp;DATE(2026,6,14))</f>
        <v/>
      </c>
      <c r="FG146">
        <f>COUNTIFS('DRAFT 2'!$D:$D,$B146,'DRAFT 2'!$A:$A,"&gt;="&amp;DATE(2026,6,15),'DRAFT 2'!$A:$A,"&lt;="&amp;DATE(2026,6,21))</f>
        <v/>
      </c>
      <c r="FH146">
        <f>COUNTIFS('DRAFT 2'!$D:$D,$B146,'DRAFT 2'!$A:$A,"&gt;="&amp;DATE(2026,6,22),'DRAFT 2'!$A:$A,"&lt;"&amp;DATE(2026,IF(6=12,6+1,6+1),1))</f>
        <v/>
      </c>
      <c r="FI146">
        <f>SUM(FE146:FH146)</f>
        <v/>
      </c>
      <c r="FT146">
        <f>IFERROR(LOOKUP(2,1/('DRAFT 2'!$D:$D=$B146)*('DRAFT 2'!$A:$A&gt;=DATE(2026,7,1))*('DRAFT 2'!$A:$A&lt;DATE(2026,IF(7=12,7+1,7+1),1)),'DRAFT 2'!$A:$A),"")</f>
        <v/>
      </c>
      <c r="FU146">
        <f>COUNTIFS('DRAFT 2'!$D:$D,$B146,'DRAFT 2'!$A:$A,"&gt;="&amp;DATE(2026,7,1),'DRAFT 2'!$A:$A,"&lt;="&amp;DATE(2026,7,7))</f>
        <v/>
      </c>
      <c r="FV146">
        <f>COUNTIFS('DRAFT 2'!$D:$D,$B146,'DRAFT 2'!$A:$A,"&gt;="&amp;DATE(2026,7,8),'DRAFT 2'!$A:$A,"&lt;="&amp;DATE(2026,7,14))</f>
        <v/>
      </c>
      <c r="FW146">
        <f>COUNTIFS('DRAFT 2'!$D:$D,$B146,'DRAFT 2'!$A:$A,"&gt;="&amp;DATE(2026,7,15),'DRAFT 2'!$A:$A,"&lt;="&amp;DATE(2026,7,21))</f>
        <v/>
      </c>
      <c r="FX146">
        <f>COUNTIFS('DRAFT 2'!$D:$D,$B146,'DRAFT 2'!$A:$A,"&gt;="&amp;DATE(2026,7,22),'DRAFT 2'!$A:$A,"&lt;"&amp;DATE(2026,IF(7=12,7+1,7+1),1))</f>
        <v/>
      </c>
      <c r="FY146">
        <f>SUM(FU146:FX146)</f>
        <v/>
      </c>
      <c r="GI146">
        <f>IFERROR(LOOKUP(2,1/('DRAFT 2'!$D:$D=$B146)*('DRAFT 2'!$A:$A&gt;=DATE(2026,8,1))*('DRAFT 2'!$A:$A&lt;DATE(2026,IF(8=12,8+1,8+1),1)),'DRAFT 2'!$A:$A),"")</f>
        <v/>
      </c>
      <c r="GJ146">
        <f>COUNTIFS('DRAFT 2'!$D:$D,$B146,'DRAFT 2'!$A:$A,"&gt;="&amp;DATE(2026,8,1),'DRAFT 2'!$A:$A,"&lt;="&amp;DATE(2026,8,7))</f>
        <v/>
      </c>
      <c r="GK146">
        <f>COUNTIFS('DRAFT 2'!$D:$D,$B146,'DRAFT 2'!$A:$A,"&gt;="&amp;DATE(2026,8,8),'DRAFT 2'!$A:$A,"&lt;="&amp;DATE(2026,8,14))</f>
        <v/>
      </c>
      <c r="GL146">
        <f>COUNTIFS('DRAFT 2'!$D:$D,$B146,'DRAFT 2'!$A:$A,"&gt;="&amp;DATE(2026,8,15),'DRAFT 2'!$A:$A,"&lt;="&amp;DATE(2026,8,21))</f>
        <v/>
      </c>
      <c r="GM146">
        <f>COUNTIFS('DRAFT 2'!$D:$D,$B146,'DRAFT 2'!$A:$A,"&gt;="&amp;DATE(2026,8,22),'DRAFT 2'!$A:$A,"&lt;"&amp;DATE(2026,IF(8=12,8+1,8+1),1))</f>
        <v/>
      </c>
      <c r="GN146">
        <f>SUM(GJ146:GM146)</f>
        <v/>
      </c>
      <c r="GX146">
        <f>IFERROR(LOOKUP(2,1/('DRAFT 2'!$D:$D=$B146)*('DRAFT 2'!$A:$A&gt;=DATE(2026,9,1))*('DRAFT 2'!$A:$A&lt;DATE(2026,IF(9=12,9+1,9+1),1)),'DRAFT 2'!$A:$A),"")</f>
        <v/>
      </c>
      <c r="GY146">
        <f>COUNTIFS('DRAFT 2'!$D:$D,$B146,'DRAFT 2'!$A:$A,"&gt;="&amp;DATE(2026,9,1),'DRAFT 2'!$A:$A,"&lt;="&amp;DATE(2026,9,7))</f>
        <v/>
      </c>
      <c r="GZ146">
        <f>COUNTIFS('DRAFT 2'!$D:$D,$B146,'DRAFT 2'!$A:$A,"&gt;="&amp;DATE(2026,9,8),'DRAFT 2'!$A:$A,"&lt;="&amp;DATE(2026,9,14))</f>
        <v/>
      </c>
      <c r="HA146">
        <f>COUNTIFS('DRAFT 2'!$D:$D,$B146,'DRAFT 2'!$A:$A,"&gt;="&amp;DATE(2026,9,15),'DRAFT 2'!$A:$A,"&lt;="&amp;DATE(2026,9,21))</f>
        <v/>
      </c>
      <c r="HB146">
        <f>COUNTIFS('DRAFT 2'!$D:$D,$B146,'DRAFT 2'!$A:$A,"&gt;="&amp;DATE(2026,9,22),'DRAFT 2'!$A:$A,"&lt;"&amp;DATE(2026,IF(9=12,9+1,9+1),1))</f>
        <v/>
      </c>
      <c r="HC146">
        <f>SUM(GY146:HB146)</f>
        <v/>
      </c>
      <c r="HN146">
        <f>IFERROR(LOOKUP(2,1/('DRAFT 2'!$D:$D=$B146)*('DRAFT 2'!$A:$A&gt;=DATE(2026,10,1))*('DRAFT 2'!$A:$A&lt;DATE(2026,IF(10=12,10+1,10+1),1)),'DRAFT 2'!$A:$A),"")</f>
        <v/>
      </c>
      <c r="HO146">
        <f>COUNTIFS('DRAFT 2'!$D:$D,$B146,'DRAFT 2'!$A:$A,"&gt;="&amp;DATE(2026,10,1),'DRAFT 2'!$A:$A,"&lt;="&amp;DATE(2026,10,7))</f>
        <v/>
      </c>
      <c r="HP146">
        <f>COUNTIFS('DRAFT 2'!$D:$D,$B146,'DRAFT 2'!$A:$A,"&gt;="&amp;DATE(2026,10,8),'DRAFT 2'!$A:$A,"&lt;="&amp;DATE(2026,10,14))</f>
        <v/>
      </c>
      <c r="HQ146">
        <f>COUNTIFS('DRAFT 2'!$D:$D,$B146,'DRAFT 2'!$A:$A,"&gt;="&amp;DATE(2026,10,15),'DRAFT 2'!$A:$A,"&lt;="&amp;DATE(2026,10,21))</f>
        <v/>
      </c>
      <c r="HR146">
        <f>COUNTIFS('DRAFT 2'!$D:$D,$B146,'DRAFT 2'!$A:$A,"&gt;="&amp;DATE(2026,10,22),'DRAFT 2'!$A:$A,"&lt;"&amp;DATE(2026,IF(10=12,10+1,10+1),1))</f>
        <v/>
      </c>
      <c r="HS146">
        <f>SUM(HO146:HR146)</f>
        <v/>
      </c>
      <c r="IC146">
        <f>IFERROR(LOOKUP(2,1/('DRAFT 2'!$D:$D=$B146)*('DRAFT 2'!$A:$A&gt;=DATE(2026,11,1))*('DRAFT 2'!$A:$A&lt;DATE(2026,IF(11=12,11+1,11+1),1)),'DRAFT 2'!$A:$A),"")</f>
        <v/>
      </c>
      <c r="ID146">
        <f>COUNTIFS('DRAFT 2'!$D:$D,$B146,'DRAFT 2'!$A:$A,"&gt;="&amp;DATE(2026,11,1),'DRAFT 2'!$A:$A,"&lt;="&amp;DATE(2026,11,7))</f>
        <v/>
      </c>
      <c r="IE146">
        <f>COUNTIFS('DRAFT 2'!$D:$D,$B146,'DRAFT 2'!$A:$A,"&gt;="&amp;DATE(2026,11,8),'DRAFT 2'!$A:$A,"&lt;="&amp;DATE(2026,11,14))</f>
        <v/>
      </c>
      <c r="IF146">
        <f>COUNTIFS('DRAFT 2'!$D:$D,$B146,'DRAFT 2'!$A:$A,"&gt;="&amp;DATE(2026,11,15),'DRAFT 2'!$A:$A,"&lt;="&amp;DATE(2026,11,21))</f>
        <v/>
      </c>
      <c r="IG146">
        <f>COUNTIFS('DRAFT 2'!$D:$D,$B146,'DRAFT 2'!$A:$A,"&gt;="&amp;DATE(2026,11,22),'DRAFT 2'!$A:$A,"&lt;"&amp;DATE(2026,IF(11=12,11+1,11+1),1))</f>
        <v/>
      </c>
      <c r="IH146">
        <f>SUM(ID146:IG146)</f>
        <v/>
      </c>
      <c r="IR146">
        <f>IFERROR(LOOKUP(2,1/('DRAFT 2'!$D:$D=$B146)*('DRAFT 2'!$A:$A&gt;=DATE(2026,12,1))*('DRAFT 2'!$A:$A&lt;DATE(2026,IF(12=12,12+1,12+1),1)),'DRAFT 2'!$A:$A),"")</f>
        <v/>
      </c>
      <c r="IS146">
        <f>COUNTIFS('DRAFT 2'!$D:$D,$B146,'DRAFT 2'!$A:$A,"&gt;="&amp;DATE(2026,12,1),'DRAFT 2'!$A:$A,"&lt;="&amp;DATE(2026,12,7))</f>
        <v/>
      </c>
      <c r="IT146">
        <f>COUNTIFS('DRAFT 2'!$D:$D,$B146,'DRAFT 2'!$A:$A,"&gt;="&amp;DATE(2026,12,8),'DRAFT 2'!$A:$A,"&lt;="&amp;DATE(2026,12,14))</f>
        <v/>
      </c>
      <c r="IU146">
        <f>COUNTIFS('DRAFT 2'!$D:$D,$B146,'DRAFT 2'!$A:$A,"&gt;="&amp;DATE(2026,12,15),'DRAFT 2'!$A:$A,"&lt;="&amp;DATE(2026,12,21))</f>
        <v/>
      </c>
      <c r="IV146">
        <f>COUNTIFS('DRAFT 2'!$D:$D,$B146,'DRAFT 2'!$A:$A,"&gt;="&amp;DATE(2026,12,22),'DRAFT 2'!$A:$A,"&lt;"&amp;DATE(2026,IF(12=12,12+1,12+1),1))</f>
        <v/>
      </c>
      <c r="IW146">
        <f>SUM(IS146:IV146)</f>
        <v/>
      </c>
    </row>
    <row r="147">
      <c r="A147">
        <f>IFERROR(INDEX('DRAFT 1'!$A:$A,MATCH($B147,'DRAFT 1'!$B:$B,0)),"")</f>
        <v/>
      </c>
      <c r="C147">
        <f>IFERROR(INDEX('DRAFT 1'!$C:$C,MATCH($B147,'DRAFT 1'!$B:$B,0)),"")</f>
        <v/>
      </c>
      <c r="D147">
        <f>IFERROR(INDEX('DRAFT 1'!$D:$D,MATCH($B147,'DRAFT 1'!$B:$B,0)),"")</f>
        <v/>
      </c>
      <c r="E147">
        <f>IFERROR(INDEX('DRAFT 1'!$E:$E,MATCH($B147,'DRAFT 1'!$B:$B,0)),"")</f>
        <v/>
      </c>
      <c r="F147">
        <f>IFERROR(INDEX('DRAFT 1'!$F:$F,MATCH($B147,'DRAFT 1'!$B:$B,0)),"")</f>
        <v/>
      </c>
      <c r="G147">
        <f>IFERROR(INDEX('DRAFT 1'!$G:$G,MATCH($B147,'DRAFT 1'!$B:$B,0)),"")</f>
        <v/>
      </c>
      <c r="H147">
        <f>IFERROR(INDEX('DRAFT 1'!$H:$H,MATCH($B147,'DRAFT 1'!$B:$B,0)),"")</f>
        <v/>
      </c>
      <c r="I147">
        <f>IFERROR(INDEX('DRAFT 1'!$I:$I,MATCH($B147,'DRAFT 1'!$B:$B,0)),"")</f>
        <v/>
      </c>
      <c r="K147">
        <f>IFERROR(INDEX('DRAFT 1'!$AL:$AL,MATCH($B147,'DRAFT 1'!$B:$B,0)),"")</f>
        <v/>
      </c>
      <c r="L147">
        <f>IFERROR(INDEX('DRAFT 1'!$J:$J,MATCH($B147,'DRAFT 1'!$B:$B,0)),"")</f>
        <v/>
      </c>
      <c r="M147">
        <f>IFERROR(INDEX('DRAFT 1'!$K:$K,MATCH($B147,'DRAFT 1'!$B:$B,0)),"")</f>
        <v/>
      </c>
      <c r="P147">
        <f>IFERROR(INDEX('DRAFT 1'!$L:$L,MATCH($B147,'DRAFT 1'!$B:$B,0)),"")</f>
        <v/>
      </c>
      <c r="Q147">
        <f>IFERROR(INDEX('DRAFT 1'!$M:$M,MATCH($B147,'DRAFT 1'!$B:$B,0)),"")</f>
        <v/>
      </c>
      <c r="R147">
        <f>IFERROR(INDEX('DRAFT 1'!$N:$N,MATCH($B147,'DRAFT 1'!$B:$B,0)),"")</f>
        <v/>
      </c>
      <c r="S147">
        <f>IFERROR(INDEX('DRAFT 1'!$O:$O,MATCH($B147,'DRAFT 1'!$B:$B,0)),"")</f>
        <v/>
      </c>
      <c r="T147">
        <f>IFERROR(INDEX('DRAFT 1'!$P:$P,MATCH($B147,'DRAFT 1'!$B:$B,0)),"")</f>
        <v/>
      </c>
      <c r="U147">
        <f>IFERROR(INDEX('DRAFT 1'!$Q:$Q,MATCH($B147,'DRAFT 1'!$B:$B,0)),"")</f>
        <v/>
      </c>
      <c r="V147">
        <f>IFERROR(INDEX('DRAFT 1'!$R:$R,MATCH($B147,'DRAFT 1'!$B:$B,0)),"")</f>
        <v/>
      </c>
      <c r="W147">
        <f>IFERROR(INDEX('DRAFT 1'!$S:$S,MATCH($B147,'DRAFT 1'!$B:$B,0)),"")</f>
        <v/>
      </c>
      <c r="X147">
        <f>IFERROR(INDEX('DRAFT 1'!$T:$T,MATCH($B147,'DRAFT 1'!$B:$B,0)),"")</f>
        <v/>
      </c>
      <c r="Z147">
        <f>IFERROR(INDEX('DRAFT 1'!$U:$U,MATCH($B147,'DRAFT 1'!$B:$B,0)),"")</f>
        <v/>
      </c>
      <c r="AA147">
        <f>IFERROR(INDEX('DRAFT 1'!$V:$V,MATCH($B147,'DRAFT 1'!$B:$B,0)),"")</f>
        <v/>
      </c>
      <c r="AB147">
        <f>IFERROR(INDEX('DRAFT 1'!$W:$W,MATCH($B147,'DRAFT 1'!$B:$B,0)),"")</f>
        <v/>
      </c>
      <c r="AC147">
        <f>IFERROR(INDEX('DRAFT 1'!$X:$X,MATCH($B147,'DRAFT 1'!$B:$B,0)),"")</f>
        <v/>
      </c>
      <c r="AD147">
        <f>IFERROR(INDEX('DRAFT 1'!$Y:$Y,MATCH($B147,'DRAFT 1'!$B:$B,0)),"")</f>
        <v/>
      </c>
      <c r="AE147">
        <f>IFERROR(INDEX('DRAFT 1'!$Z:$Z,MATCH($B147,'DRAFT 1'!$B:$B,0)),"")</f>
        <v/>
      </c>
      <c r="AF147">
        <f>IFERROR(INDEX('DRAFT 1'!$AA:$AA,MATCH($B147,'DRAFT 1'!$B:$B,0)),"")</f>
        <v/>
      </c>
      <c r="AG147">
        <f>IFERROR(INDEX('DRAFT 1'!$AB:$AB,MATCH($B147,'DRAFT 1'!$B:$B,0)),"")</f>
        <v/>
      </c>
      <c r="AH147">
        <f>IFERROR(INDEX('DRAFT 1'!$AC:$AC,MATCH($B147,'DRAFT 1'!$B:$B,0)),"")</f>
        <v/>
      </c>
      <c r="AI147">
        <f>IFERROR(INDEX('DRAFT 1'!$AD:$AD,MATCH($B147,'DRAFT 1'!$B:$B,0)),"")</f>
        <v/>
      </c>
      <c r="AJ147">
        <f>IFERROR(INDEX('DRAFT 1'!$AE:$AE,MATCH($B147,'DRAFT 1'!$B:$B,0)),"")</f>
        <v/>
      </c>
      <c r="AK147">
        <f>IFERROR(INDEX('DRAFT 1'!$AG:$AG,MATCH($B147,'DRAFT 1'!$B:$B,0)),"")</f>
        <v/>
      </c>
      <c r="AL147">
        <f>IFERROR(INDEX('DRAFT 1'!$AH:$AH,MATCH($B147,'DRAFT 1'!$B:$B,0)),"")</f>
        <v/>
      </c>
      <c r="AM147">
        <f>IFERROR(INDEX('DRAFT 1'!$AI:$AI,MATCH($B147,'DRAFT 1'!$B:$B,0)),"")</f>
        <v/>
      </c>
      <c r="AN147">
        <f>IFERROR(INDEX('DRAFT 1'!$AJ:$AJ,MATCH($B147,'DRAFT 1'!$B:$B,0)),"")</f>
        <v/>
      </c>
      <c r="AO147">
        <f>IFERROR(Y147/AN147,0)</f>
        <v/>
      </c>
      <c r="AP147">
        <f>IFERROR(INDEX('DRAFT 1'!$AK:$AK,MATCH($B147,'DRAFT 1'!$B:$B,0)),"")</f>
        <v/>
      </c>
      <c r="AR147">
        <f>IFERROR(LOOKUP(2,1/('DRAFT 2'!$D:$D=$B147),'DRAFT 2'!$I:$I),"")</f>
        <v/>
      </c>
      <c r="AS147">
        <f>IFERROR(LOOKUP(2,1/('DRAFT 2'!$D:$D=$B147),'DRAFT 2'!$T:$T),"")</f>
        <v/>
      </c>
      <c r="AT147">
        <f>IFERROR(LOOKUP(2,1/('DRAFT 2'!$D:$D=$B147),'DRAFT 2'!$A:$A),"")</f>
        <v/>
      </c>
      <c r="AU147">
        <f>IFERROR(LOOKUP(2,1/('DRAFT 2'!$D:$D=$B147),'DRAFT 2'!$R:$R),"")</f>
        <v/>
      </c>
      <c r="AV147">
        <f>IFERROR(LOOKUP(2,1/('DRAFT 2'!$D:$D=$B147),'DRAFT 2'!$S:$S),"")</f>
        <v/>
      </c>
      <c r="AX147">
        <f>IFERROR(LOOKUP(2,1/('DRAFT 2'!$D:$D=$B147),'DRAFT 2'!$M:$M),"")</f>
        <v/>
      </c>
      <c r="AY147">
        <f>IFERROR(LOOKUP(2,1/('DRAFT 2'!$D:$D=$B147),'DRAFT 2'!$K:$K),"")</f>
        <v/>
      </c>
      <c r="BG147">
        <f>IFERROR(LOOKUP(2,1/('DRAFT 2'!$D:$D=$B147),'DRAFT 2'!$U:$U),"")</f>
        <v/>
      </c>
      <c r="BH147">
        <f>IFERROR(LOOKUP(2,1/('DRAFT 2'!$D:$D=$B147),'DRAFT 2'!$V:$V),"")</f>
        <v/>
      </c>
      <c r="CE147">
        <f>IFERROR(AJ147,0)</f>
        <v/>
      </c>
      <c r="CF147">
        <f>IFERROR(LOOKUP(2,1/('DRAFT 2'!$D:$D=$B147)*('DRAFT 2'!$A:$A&gt;=DATE(2026,1,1))*('DRAFT 2'!$A:$A&lt;DATE(2026,IF(1=12,1+1,1+1),1)),'DRAFT 2'!$A:$A),"")</f>
        <v/>
      </c>
      <c r="CG147">
        <f>COUNTIFS('DRAFT 2'!$D:$D,$B147,'DRAFT 2'!$A:$A,"&gt;="&amp;DATE(2026,1,1),'DRAFT 2'!$A:$A,"&lt;="&amp;DATE(2026,1,7))</f>
        <v/>
      </c>
      <c r="CH147">
        <f>COUNTIFS('DRAFT 2'!$D:$D,$B147,'DRAFT 2'!$A:$A,"&gt;="&amp;DATE(2026,1,8),'DRAFT 2'!$A:$A,"&lt;="&amp;DATE(2026,1,14))</f>
        <v/>
      </c>
      <c r="CI147">
        <f>COUNTIFS('DRAFT 2'!$D:$D,$B147,'DRAFT 2'!$A:$A,"&gt;="&amp;DATE(2026,1,15),'DRAFT 2'!$A:$A,"&lt;="&amp;DATE(2026,1,21))</f>
        <v/>
      </c>
      <c r="CJ147">
        <f>COUNTIFS('DRAFT 2'!$D:$D,$B147,'DRAFT 2'!$A:$A,"&gt;="&amp;DATE(2026,1,22),'DRAFT 2'!$A:$A,"&lt;"&amp;DATE(2026,IF(1=12,1+1,1+1),1))</f>
        <v/>
      </c>
      <c r="CK147">
        <f>SUM(CG147:CJ147)</f>
        <v/>
      </c>
      <c r="CT147" t="n">
        <v>0</v>
      </c>
      <c r="CU147">
        <f>IFERROR(LOOKUP(2,1/('DRAFT 2'!$D:$D=$B147)*('DRAFT 2'!$A:$A&gt;=DATE(2026,2,1))*('DRAFT 2'!$A:$A&lt;DATE(2026,IF(2=12,2+1,2+1),1)),'DRAFT 2'!$A:$A),"")</f>
        <v/>
      </c>
      <c r="CV147">
        <f>COUNTIFS('DRAFT 2'!$D:$D,$B147,'DRAFT 2'!$A:$A,"&gt;="&amp;DATE(2026,2,1),'DRAFT 2'!$A:$A,"&lt;="&amp;DATE(2026,2,7))</f>
        <v/>
      </c>
      <c r="CW147">
        <f>COUNTIFS('DRAFT 2'!$D:$D,$B147,'DRAFT 2'!$A:$A,"&gt;="&amp;DATE(2026,2,8),'DRAFT 2'!$A:$A,"&lt;="&amp;DATE(2026,2,14))</f>
        <v/>
      </c>
      <c r="CX147">
        <f>COUNTIFS('DRAFT 2'!$D:$D,$B147,'DRAFT 2'!$A:$A,"&gt;="&amp;DATE(2026,2,15),'DRAFT 2'!$A:$A,"&lt;="&amp;DATE(2026,2,21))</f>
        <v/>
      </c>
      <c r="CY147">
        <f>COUNTIFS('DRAFT 2'!$D:$D,$B147,'DRAFT 2'!$A:$A,"&gt;="&amp;DATE(2026,2,22),'DRAFT 2'!$A:$A,"&lt;"&amp;DATE(2026,IF(2=12,2+1,2+1),1))</f>
        <v/>
      </c>
      <c r="CZ147">
        <f>SUM(CV147:CY147)</f>
        <v/>
      </c>
      <c r="DJ147">
        <f>IFERROR(LOOKUP(2,1/('DRAFT 2'!$D:$D=$B147)*('DRAFT 2'!$A:$A&gt;=DATE(2026,3,1))*('DRAFT 2'!$A:$A&lt;DATE(2026,IF(3=12,3+1,3+1),1)),'DRAFT 2'!$A:$A),"")</f>
        <v/>
      </c>
      <c r="DK147">
        <f>COUNTIFS('DRAFT 2'!$D:$D,$B147,'DRAFT 2'!$A:$A,"&gt;="&amp;DATE(2026,3,1),'DRAFT 2'!$A:$A,"&lt;="&amp;DATE(2026,3,7))</f>
        <v/>
      </c>
      <c r="DL147">
        <f>COUNTIFS('DRAFT 2'!$D:$D,$B147,'DRAFT 2'!$A:$A,"&gt;="&amp;DATE(2026,3,8),'DRAFT 2'!$A:$A,"&lt;="&amp;DATE(2026,3,14))</f>
        <v/>
      </c>
      <c r="DM147">
        <f>COUNTIFS('DRAFT 2'!$D:$D,$B147,'DRAFT 2'!$A:$A,"&gt;="&amp;DATE(2026,3,15),'DRAFT 2'!$A:$A,"&lt;="&amp;DATE(2026,3,21))</f>
        <v/>
      </c>
      <c r="DN147">
        <f>COUNTIFS('DRAFT 2'!$D:$D,$B147,'DRAFT 2'!$A:$A,"&gt;="&amp;DATE(2026,3,22),'DRAFT 2'!$A:$A,"&lt;"&amp;DATE(2026,IF(3=12,3+1,3+1),1))</f>
        <v/>
      </c>
      <c r="DO147">
        <f>SUM(DK147:DN147)</f>
        <v/>
      </c>
      <c r="DZ147">
        <f>IFERROR(LOOKUP(2,1/('DRAFT 2'!$D:$D=$B147)*('DRAFT 2'!$A:$A&gt;=DATE(2026,4,1))*('DRAFT 2'!$A:$A&lt;DATE(2026,IF(4=12,4+1,4+1),1)),'DRAFT 2'!$A:$A),"")</f>
        <v/>
      </c>
      <c r="EA147">
        <f>COUNTIFS('DRAFT 2'!$D:$D,$B147,'DRAFT 2'!$A:$A,"&gt;="&amp;DATE(2026,4,1),'DRAFT 2'!$A:$A,"&lt;="&amp;DATE(2026,4,7))</f>
        <v/>
      </c>
      <c r="EB147">
        <f>COUNTIFS('DRAFT 2'!$D:$D,$B147,'DRAFT 2'!$A:$A,"&gt;="&amp;DATE(2026,4,8),'DRAFT 2'!$A:$A,"&lt;="&amp;DATE(2026,4,14))</f>
        <v/>
      </c>
      <c r="EC147">
        <f>COUNTIFS('DRAFT 2'!$D:$D,$B147,'DRAFT 2'!$A:$A,"&gt;="&amp;DATE(2026,4,15),'DRAFT 2'!$A:$A,"&lt;="&amp;DATE(2026,4,21))</f>
        <v/>
      </c>
      <c r="ED147">
        <f>COUNTIFS('DRAFT 2'!$D:$D,$B147,'DRAFT 2'!$A:$A,"&gt;="&amp;DATE(2026,4,22),'DRAFT 2'!$A:$A,"&lt;"&amp;DATE(2026,IF(4=12,4+1,4+1),1))</f>
        <v/>
      </c>
      <c r="EE147">
        <f>SUM(EA147:ED147)</f>
        <v/>
      </c>
      <c r="EO147">
        <f>IFERROR(LOOKUP(2,1/('DRAFT 2'!$D:$D=$B147)*('DRAFT 2'!$A:$A&gt;=DATE(2026,5,1))*('DRAFT 2'!$A:$A&lt;DATE(2026,IF(5=12,5+1,5+1),1)),'DRAFT 2'!$A:$A),"")</f>
        <v/>
      </c>
      <c r="EP147">
        <f>COUNTIFS('DRAFT 2'!$D:$D,$B147,'DRAFT 2'!$A:$A,"&gt;="&amp;DATE(2026,5,1),'DRAFT 2'!$A:$A,"&lt;="&amp;DATE(2026,5,7))</f>
        <v/>
      </c>
      <c r="EQ147">
        <f>COUNTIFS('DRAFT 2'!$D:$D,$B147,'DRAFT 2'!$A:$A,"&gt;="&amp;DATE(2026,5,8),'DRAFT 2'!$A:$A,"&lt;="&amp;DATE(2026,5,14))</f>
        <v/>
      </c>
      <c r="ER147">
        <f>COUNTIFS('DRAFT 2'!$D:$D,$B147,'DRAFT 2'!$A:$A,"&gt;="&amp;DATE(2026,5,15),'DRAFT 2'!$A:$A,"&lt;="&amp;DATE(2026,5,21))</f>
        <v/>
      </c>
      <c r="ES147">
        <f>COUNTIFS('DRAFT 2'!$D:$D,$B147,'DRAFT 2'!$A:$A,"&gt;="&amp;DATE(2026,5,22),'DRAFT 2'!$A:$A,"&lt;"&amp;DATE(2026,IF(5=12,5+1,5+1),1))</f>
        <v/>
      </c>
      <c r="ET147">
        <f>SUM(EP147:ES147)</f>
        <v/>
      </c>
      <c r="FD147">
        <f>IFERROR(LOOKUP(2,1/('DRAFT 2'!$D:$D=$B147)*('DRAFT 2'!$A:$A&gt;=DATE(2026,6,1))*('DRAFT 2'!$A:$A&lt;DATE(2026,IF(6=12,6+1,6+1),1)),'DRAFT 2'!$A:$A),"")</f>
        <v/>
      </c>
      <c r="FE147">
        <f>COUNTIFS('DRAFT 2'!$D:$D,$B147,'DRAFT 2'!$A:$A,"&gt;="&amp;DATE(2026,6,1),'DRAFT 2'!$A:$A,"&lt;="&amp;DATE(2026,6,7))</f>
        <v/>
      </c>
      <c r="FF147">
        <f>COUNTIFS('DRAFT 2'!$D:$D,$B147,'DRAFT 2'!$A:$A,"&gt;="&amp;DATE(2026,6,8),'DRAFT 2'!$A:$A,"&lt;="&amp;DATE(2026,6,14))</f>
        <v/>
      </c>
      <c r="FG147">
        <f>COUNTIFS('DRAFT 2'!$D:$D,$B147,'DRAFT 2'!$A:$A,"&gt;="&amp;DATE(2026,6,15),'DRAFT 2'!$A:$A,"&lt;="&amp;DATE(2026,6,21))</f>
        <v/>
      </c>
      <c r="FH147">
        <f>COUNTIFS('DRAFT 2'!$D:$D,$B147,'DRAFT 2'!$A:$A,"&gt;="&amp;DATE(2026,6,22),'DRAFT 2'!$A:$A,"&lt;"&amp;DATE(2026,IF(6=12,6+1,6+1),1))</f>
        <v/>
      </c>
      <c r="FI147">
        <f>SUM(FE147:FH147)</f>
        <v/>
      </c>
      <c r="FT147">
        <f>IFERROR(LOOKUP(2,1/('DRAFT 2'!$D:$D=$B147)*('DRAFT 2'!$A:$A&gt;=DATE(2026,7,1))*('DRAFT 2'!$A:$A&lt;DATE(2026,IF(7=12,7+1,7+1),1)),'DRAFT 2'!$A:$A),"")</f>
        <v/>
      </c>
      <c r="FU147">
        <f>COUNTIFS('DRAFT 2'!$D:$D,$B147,'DRAFT 2'!$A:$A,"&gt;="&amp;DATE(2026,7,1),'DRAFT 2'!$A:$A,"&lt;="&amp;DATE(2026,7,7))</f>
        <v/>
      </c>
      <c r="FV147">
        <f>COUNTIFS('DRAFT 2'!$D:$D,$B147,'DRAFT 2'!$A:$A,"&gt;="&amp;DATE(2026,7,8),'DRAFT 2'!$A:$A,"&lt;="&amp;DATE(2026,7,14))</f>
        <v/>
      </c>
      <c r="FW147">
        <f>COUNTIFS('DRAFT 2'!$D:$D,$B147,'DRAFT 2'!$A:$A,"&gt;="&amp;DATE(2026,7,15),'DRAFT 2'!$A:$A,"&lt;="&amp;DATE(2026,7,21))</f>
        <v/>
      </c>
      <c r="FX147">
        <f>COUNTIFS('DRAFT 2'!$D:$D,$B147,'DRAFT 2'!$A:$A,"&gt;="&amp;DATE(2026,7,22),'DRAFT 2'!$A:$A,"&lt;"&amp;DATE(2026,IF(7=12,7+1,7+1),1))</f>
        <v/>
      </c>
      <c r="FY147">
        <f>SUM(FU147:FX147)</f>
        <v/>
      </c>
      <c r="GI147">
        <f>IFERROR(LOOKUP(2,1/('DRAFT 2'!$D:$D=$B147)*('DRAFT 2'!$A:$A&gt;=DATE(2026,8,1))*('DRAFT 2'!$A:$A&lt;DATE(2026,IF(8=12,8+1,8+1),1)),'DRAFT 2'!$A:$A),"")</f>
        <v/>
      </c>
      <c r="GJ147">
        <f>COUNTIFS('DRAFT 2'!$D:$D,$B147,'DRAFT 2'!$A:$A,"&gt;="&amp;DATE(2026,8,1),'DRAFT 2'!$A:$A,"&lt;="&amp;DATE(2026,8,7))</f>
        <v/>
      </c>
      <c r="GK147">
        <f>COUNTIFS('DRAFT 2'!$D:$D,$B147,'DRAFT 2'!$A:$A,"&gt;="&amp;DATE(2026,8,8),'DRAFT 2'!$A:$A,"&lt;="&amp;DATE(2026,8,14))</f>
        <v/>
      </c>
      <c r="GL147">
        <f>COUNTIFS('DRAFT 2'!$D:$D,$B147,'DRAFT 2'!$A:$A,"&gt;="&amp;DATE(2026,8,15),'DRAFT 2'!$A:$A,"&lt;="&amp;DATE(2026,8,21))</f>
        <v/>
      </c>
      <c r="GM147">
        <f>COUNTIFS('DRAFT 2'!$D:$D,$B147,'DRAFT 2'!$A:$A,"&gt;="&amp;DATE(2026,8,22),'DRAFT 2'!$A:$A,"&lt;"&amp;DATE(2026,IF(8=12,8+1,8+1),1))</f>
        <v/>
      </c>
      <c r="GN147">
        <f>SUM(GJ147:GM147)</f>
        <v/>
      </c>
      <c r="GX147">
        <f>IFERROR(LOOKUP(2,1/('DRAFT 2'!$D:$D=$B147)*('DRAFT 2'!$A:$A&gt;=DATE(2026,9,1))*('DRAFT 2'!$A:$A&lt;DATE(2026,IF(9=12,9+1,9+1),1)),'DRAFT 2'!$A:$A),"")</f>
        <v/>
      </c>
      <c r="GY147">
        <f>COUNTIFS('DRAFT 2'!$D:$D,$B147,'DRAFT 2'!$A:$A,"&gt;="&amp;DATE(2026,9,1),'DRAFT 2'!$A:$A,"&lt;="&amp;DATE(2026,9,7))</f>
        <v/>
      </c>
      <c r="GZ147">
        <f>COUNTIFS('DRAFT 2'!$D:$D,$B147,'DRAFT 2'!$A:$A,"&gt;="&amp;DATE(2026,9,8),'DRAFT 2'!$A:$A,"&lt;="&amp;DATE(2026,9,14))</f>
        <v/>
      </c>
      <c r="HA147">
        <f>COUNTIFS('DRAFT 2'!$D:$D,$B147,'DRAFT 2'!$A:$A,"&gt;="&amp;DATE(2026,9,15),'DRAFT 2'!$A:$A,"&lt;="&amp;DATE(2026,9,21))</f>
        <v/>
      </c>
      <c r="HB147">
        <f>COUNTIFS('DRAFT 2'!$D:$D,$B147,'DRAFT 2'!$A:$A,"&gt;="&amp;DATE(2026,9,22),'DRAFT 2'!$A:$A,"&lt;"&amp;DATE(2026,IF(9=12,9+1,9+1),1))</f>
        <v/>
      </c>
      <c r="HC147">
        <f>SUM(GY147:HB147)</f>
        <v/>
      </c>
      <c r="HN147">
        <f>IFERROR(LOOKUP(2,1/('DRAFT 2'!$D:$D=$B147)*('DRAFT 2'!$A:$A&gt;=DATE(2026,10,1))*('DRAFT 2'!$A:$A&lt;DATE(2026,IF(10=12,10+1,10+1),1)),'DRAFT 2'!$A:$A),"")</f>
        <v/>
      </c>
      <c r="HO147">
        <f>COUNTIFS('DRAFT 2'!$D:$D,$B147,'DRAFT 2'!$A:$A,"&gt;="&amp;DATE(2026,10,1),'DRAFT 2'!$A:$A,"&lt;="&amp;DATE(2026,10,7))</f>
        <v/>
      </c>
      <c r="HP147">
        <f>COUNTIFS('DRAFT 2'!$D:$D,$B147,'DRAFT 2'!$A:$A,"&gt;="&amp;DATE(2026,10,8),'DRAFT 2'!$A:$A,"&lt;="&amp;DATE(2026,10,14))</f>
        <v/>
      </c>
      <c r="HQ147">
        <f>COUNTIFS('DRAFT 2'!$D:$D,$B147,'DRAFT 2'!$A:$A,"&gt;="&amp;DATE(2026,10,15),'DRAFT 2'!$A:$A,"&lt;="&amp;DATE(2026,10,21))</f>
        <v/>
      </c>
      <c r="HR147">
        <f>COUNTIFS('DRAFT 2'!$D:$D,$B147,'DRAFT 2'!$A:$A,"&gt;="&amp;DATE(2026,10,22),'DRAFT 2'!$A:$A,"&lt;"&amp;DATE(2026,IF(10=12,10+1,10+1),1))</f>
        <v/>
      </c>
      <c r="HS147">
        <f>SUM(HO147:HR147)</f>
        <v/>
      </c>
      <c r="IC147">
        <f>IFERROR(LOOKUP(2,1/('DRAFT 2'!$D:$D=$B147)*('DRAFT 2'!$A:$A&gt;=DATE(2026,11,1))*('DRAFT 2'!$A:$A&lt;DATE(2026,IF(11=12,11+1,11+1),1)),'DRAFT 2'!$A:$A),"")</f>
        <v/>
      </c>
      <c r="ID147">
        <f>COUNTIFS('DRAFT 2'!$D:$D,$B147,'DRAFT 2'!$A:$A,"&gt;="&amp;DATE(2026,11,1),'DRAFT 2'!$A:$A,"&lt;="&amp;DATE(2026,11,7))</f>
        <v/>
      </c>
      <c r="IE147">
        <f>COUNTIFS('DRAFT 2'!$D:$D,$B147,'DRAFT 2'!$A:$A,"&gt;="&amp;DATE(2026,11,8),'DRAFT 2'!$A:$A,"&lt;="&amp;DATE(2026,11,14))</f>
        <v/>
      </c>
      <c r="IF147">
        <f>COUNTIFS('DRAFT 2'!$D:$D,$B147,'DRAFT 2'!$A:$A,"&gt;="&amp;DATE(2026,11,15),'DRAFT 2'!$A:$A,"&lt;="&amp;DATE(2026,11,21))</f>
        <v/>
      </c>
      <c r="IG147">
        <f>COUNTIFS('DRAFT 2'!$D:$D,$B147,'DRAFT 2'!$A:$A,"&gt;="&amp;DATE(2026,11,22),'DRAFT 2'!$A:$A,"&lt;"&amp;DATE(2026,IF(11=12,11+1,11+1),1))</f>
        <v/>
      </c>
      <c r="IH147">
        <f>SUM(ID147:IG147)</f>
        <v/>
      </c>
      <c r="IR147">
        <f>IFERROR(LOOKUP(2,1/('DRAFT 2'!$D:$D=$B147)*('DRAFT 2'!$A:$A&gt;=DATE(2026,12,1))*('DRAFT 2'!$A:$A&lt;DATE(2026,IF(12=12,12+1,12+1),1)),'DRAFT 2'!$A:$A),"")</f>
        <v/>
      </c>
      <c r="IS147">
        <f>COUNTIFS('DRAFT 2'!$D:$D,$B147,'DRAFT 2'!$A:$A,"&gt;="&amp;DATE(2026,12,1),'DRAFT 2'!$A:$A,"&lt;="&amp;DATE(2026,12,7))</f>
        <v/>
      </c>
      <c r="IT147">
        <f>COUNTIFS('DRAFT 2'!$D:$D,$B147,'DRAFT 2'!$A:$A,"&gt;="&amp;DATE(2026,12,8),'DRAFT 2'!$A:$A,"&lt;="&amp;DATE(2026,12,14))</f>
        <v/>
      </c>
      <c r="IU147">
        <f>COUNTIFS('DRAFT 2'!$D:$D,$B147,'DRAFT 2'!$A:$A,"&gt;="&amp;DATE(2026,12,15),'DRAFT 2'!$A:$A,"&lt;="&amp;DATE(2026,12,21))</f>
        <v/>
      </c>
      <c r="IV147">
        <f>COUNTIFS('DRAFT 2'!$D:$D,$B147,'DRAFT 2'!$A:$A,"&gt;="&amp;DATE(2026,12,22),'DRAFT 2'!$A:$A,"&lt;"&amp;DATE(2026,IF(12=12,12+1,12+1),1))</f>
        <v/>
      </c>
      <c r="IW147">
        <f>SUM(IS147:IV147)</f>
        <v/>
      </c>
    </row>
    <row r="148">
      <c r="A148">
        <f>IFERROR(INDEX('DRAFT 1'!$A:$A,MATCH($B148,'DRAFT 1'!$B:$B,0)),"")</f>
        <v/>
      </c>
      <c r="C148">
        <f>IFERROR(INDEX('DRAFT 1'!$C:$C,MATCH($B148,'DRAFT 1'!$B:$B,0)),"")</f>
        <v/>
      </c>
      <c r="D148">
        <f>IFERROR(INDEX('DRAFT 1'!$D:$D,MATCH($B148,'DRAFT 1'!$B:$B,0)),"")</f>
        <v/>
      </c>
      <c r="E148">
        <f>IFERROR(INDEX('DRAFT 1'!$E:$E,MATCH($B148,'DRAFT 1'!$B:$B,0)),"")</f>
        <v/>
      </c>
      <c r="F148">
        <f>IFERROR(INDEX('DRAFT 1'!$F:$F,MATCH($B148,'DRAFT 1'!$B:$B,0)),"")</f>
        <v/>
      </c>
      <c r="G148">
        <f>IFERROR(INDEX('DRAFT 1'!$G:$G,MATCH($B148,'DRAFT 1'!$B:$B,0)),"")</f>
        <v/>
      </c>
      <c r="H148">
        <f>IFERROR(INDEX('DRAFT 1'!$H:$H,MATCH($B148,'DRAFT 1'!$B:$B,0)),"")</f>
        <v/>
      </c>
      <c r="I148">
        <f>IFERROR(INDEX('DRAFT 1'!$I:$I,MATCH($B148,'DRAFT 1'!$B:$B,0)),"")</f>
        <v/>
      </c>
      <c r="K148">
        <f>IFERROR(INDEX('DRAFT 1'!$AL:$AL,MATCH($B148,'DRAFT 1'!$B:$B,0)),"")</f>
        <v/>
      </c>
      <c r="L148">
        <f>IFERROR(INDEX('DRAFT 1'!$J:$J,MATCH($B148,'DRAFT 1'!$B:$B,0)),"")</f>
        <v/>
      </c>
      <c r="M148">
        <f>IFERROR(INDEX('DRAFT 1'!$K:$K,MATCH($B148,'DRAFT 1'!$B:$B,0)),"")</f>
        <v/>
      </c>
      <c r="P148">
        <f>IFERROR(INDEX('DRAFT 1'!$L:$L,MATCH($B148,'DRAFT 1'!$B:$B,0)),"")</f>
        <v/>
      </c>
      <c r="Q148">
        <f>IFERROR(INDEX('DRAFT 1'!$M:$M,MATCH($B148,'DRAFT 1'!$B:$B,0)),"")</f>
        <v/>
      </c>
      <c r="R148">
        <f>IFERROR(INDEX('DRAFT 1'!$N:$N,MATCH($B148,'DRAFT 1'!$B:$B,0)),"")</f>
        <v/>
      </c>
      <c r="S148">
        <f>IFERROR(INDEX('DRAFT 1'!$O:$O,MATCH($B148,'DRAFT 1'!$B:$B,0)),"")</f>
        <v/>
      </c>
      <c r="T148">
        <f>IFERROR(INDEX('DRAFT 1'!$P:$P,MATCH($B148,'DRAFT 1'!$B:$B,0)),"")</f>
        <v/>
      </c>
      <c r="U148">
        <f>IFERROR(INDEX('DRAFT 1'!$Q:$Q,MATCH($B148,'DRAFT 1'!$B:$B,0)),"")</f>
        <v/>
      </c>
      <c r="V148">
        <f>IFERROR(INDEX('DRAFT 1'!$R:$R,MATCH($B148,'DRAFT 1'!$B:$B,0)),"")</f>
        <v/>
      </c>
      <c r="W148">
        <f>IFERROR(INDEX('DRAFT 1'!$S:$S,MATCH($B148,'DRAFT 1'!$B:$B,0)),"")</f>
        <v/>
      </c>
      <c r="X148">
        <f>IFERROR(INDEX('DRAFT 1'!$T:$T,MATCH($B148,'DRAFT 1'!$B:$B,0)),"")</f>
        <v/>
      </c>
      <c r="Z148">
        <f>IFERROR(INDEX('DRAFT 1'!$U:$U,MATCH($B148,'DRAFT 1'!$B:$B,0)),"")</f>
        <v/>
      </c>
      <c r="AA148">
        <f>IFERROR(INDEX('DRAFT 1'!$V:$V,MATCH($B148,'DRAFT 1'!$B:$B,0)),"")</f>
        <v/>
      </c>
      <c r="AB148">
        <f>IFERROR(INDEX('DRAFT 1'!$W:$W,MATCH($B148,'DRAFT 1'!$B:$B,0)),"")</f>
        <v/>
      </c>
      <c r="AC148">
        <f>IFERROR(INDEX('DRAFT 1'!$X:$X,MATCH($B148,'DRAFT 1'!$B:$B,0)),"")</f>
        <v/>
      </c>
      <c r="AD148">
        <f>IFERROR(INDEX('DRAFT 1'!$Y:$Y,MATCH($B148,'DRAFT 1'!$B:$B,0)),"")</f>
        <v/>
      </c>
      <c r="AE148">
        <f>IFERROR(INDEX('DRAFT 1'!$Z:$Z,MATCH($B148,'DRAFT 1'!$B:$B,0)),"")</f>
        <v/>
      </c>
      <c r="AF148">
        <f>IFERROR(INDEX('DRAFT 1'!$AA:$AA,MATCH($B148,'DRAFT 1'!$B:$B,0)),"")</f>
        <v/>
      </c>
      <c r="AG148">
        <f>IFERROR(INDEX('DRAFT 1'!$AB:$AB,MATCH($B148,'DRAFT 1'!$B:$B,0)),"")</f>
        <v/>
      </c>
      <c r="AH148">
        <f>IFERROR(INDEX('DRAFT 1'!$AC:$AC,MATCH($B148,'DRAFT 1'!$B:$B,0)),"")</f>
        <v/>
      </c>
      <c r="AI148">
        <f>IFERROR(INDEX('DRAFT 1'!$AD:$AD,MATCH($B148,'DRAFT 1'!$B:$B,0)),"")</f>
        <v/>
      </c>
      <c r="AJ148">
        <f>IFERROR(INDEX('DRAFT 1'!$AE:$AE,MATCH($B148,'DRAFT 1'!$B:$B,0)),"")</f>
        <v/>
      </c>
      <c r="AK148">
        <f>IFERROR(INDEX('DRAFT 1'!$AG:$AG,MATCH($B148,'DRAFT 1'!$B:$B,0)),"")</f>
        <v/>
      </c>
      <c r="AL148">
        <f>IFERROR(INDEX('DRAFT 1'!$AH:$AH,MATCH($B148,'DRAFT 1'!$B:$B,0)),"")</f>
        <v/>
      </c>
      <c r="AM148">
        <f>IFERROR(INDEX('DRAFT 1'!$AI:$AI,MATCH($B148,'DRAFT 1'!$B:$B,0)),"")</f>
        <v/>
      </c>
      <c r="AN148">
        <f>IFERROR(INDEX('DRAFT 1'!$AJ:$AJ,MATCH($B148,'DRAFT 1'!$B:$B,0)),"")</f>
        <v/>
      </c>
      <c r="AO148">
        <f>IFERROR(Y148/AN148,0)</f>
        <v/>
      </c>
      <c r="AP148">
        <f>IFERROR(INDEX('DRAFT 1'!$AK:$AK,MATCH($B148,'DRAFT 1'!$B:$B,0)),"")</f>
        <v/>
      </c>
      <c r="AR148">
        <f>IFERROR(LOOKUP(2,1/('DRAFT 2'!$D:$D=$B148),'DRAFT 2'!$I:$I),"")</f>
        <v/>
      </c>
      <c r="AS148">
        <f>IFERROR(LOOKUP(2,1/('DRAFT 2'!$D:$D=$B148),'DRAFT 2'!$T:$T),"")</f>
        <v/>
      </c>
      <c r="AT148">
        <f>IFERROR(LOOKUP(2,1/('DRAFT 2'!$D:$D=$B148),'DRAFT 2'!$A:$A),"")</f>
        <v/>
      </c>
      <c r="AU148">
        <f>IFERROR(LOOKUP(2,1/('DRAFT 2'!$D:$D=$B148),'DRAFT 2'!$R:$R),"")</f>
        <v/>
      </c>
      <c r="AV148">
        <f>IFERROR(LOOKUP(2,1/('DRAFT 2'!$D:$D=$B148),'DRAFT 2'!$S:$S),"")</f>
        <v/>
      </c>
      <c r="AX148">
        <f>IFERROR(LOOKUP(2,1/('DRAFT 2'!$D:$D=$B148),'DRAFT 2'!$M:$M),"")</f>
        <v/>
      </c>
      <c r="AY148">
        <f>IFERROR(LOOKUP(2,1/('DRAFT 2'!$D:$D=$B148),'DRAFT 2'!$K:$K),"")</f>
        <v/>
      </c>
      <c r="BG148">
        <f>IFERROR(LOOKUP(2,1/('DRAFT 2'!$D:$D=$B148),'DRAFT 2'!$U:$U),"")</f>
        <v/>
      </c>
      <c r="BH148">
        <f>IFERROR(LOOKUP(2,1/('DRAFT 2'!$D:$D=$B148),'DRAFT 2'!$V:$V),"")</f>
        <v/>
      </c>
      <c r="CE148">
        <f>IFERROR(AJ148,0)</f>
        <v/>
      </c>
      <c r="CF148">
        <f>IFERROR(LOOKUP(2,1/('DRAFT 2'!$D:$D=$B148)*('DRAFT 2'!$A:$A&gt;=DATE(2026,1,1))*('DRAFT 2'!$A:$A&lt;DATE(2026,IF(1=12,1+1,1+1),1)),'DRAFT 2'!$A:$A),"")</f>
        <v/>
      </c>
      <c r="CG148">
        <f>COUNTIFS('DRAFT 2'!$D:$D,$B148,'DRAFT 2'!$A:$A,"&gt;="&amp;DATE(2026,1,1),'DRAFT 2'!$A:$A,"&lt;="&amp;DATE(2026,1,7))</f>
        <v/>
      </c>
      <c r="CH148">
        <f>COUNTIFS('DRAFT 2'!$D:$D,$B148,'DRAFT 2'!$A:$A,"&gt;="&amp;DATE(2026,1,8),'DRAFT 2'!$A:$A,"&lt;="&amp;DATE(2026,1,14))</f>
        <v/>
      </c>
      <c r="CI148">
        <f>COUNTIFS('DRAFT 2'!$D:$D,$B148,'DRAFT 2'!$A:$A,"&gt;="&amp;DATE(2026,1,15),'DRAFT 2'!$A:$A,"&lt;="&amp;DATE(2026,1,21))</f>
        <v/>
      </c>
      <c r="CJ148">
        <f>COUNTIFS('DRAFT 2'!$D:$D,$B148,'DRAFT 2'!$A:$A,"&gt;="&amp;DATE(2026,1,22),'DRAFT 2'!$A:$A,"&lt;"&amp;DATE(2026,IF(1=12,1+1,1+1),1))</f>
        <v/>
      </c>
      <c r="CK148">
        <f>SUM(CG148:CJ148)</f>
        <v/>
      </c>
      <c r="CT148" t="n">
        <v>0</v>
      </c>
      <c r="CU148">
        <f>IFERROR(LOOKUP(2,1/('DRAFT 2'!$D:$D=$B148)*('DRAFT 2'!$A:$A&gt;=DATE(2026,2,1))*('DRAFT 2'!$A:$A&lt;DATE(2026,IF(2=12,2+1,2+1),1)),'DRAFT 2'!$A:$A),"")</f>
        <v/>
      </c>
      <c r="CV148">
        <f>COUNTIFS('DRAFT 2'!$D:$D,$B148,'DRAFT 2'!$A:$A,"&gt;="&amp;DATE(2026,2,1),'DRAFT 2'!$A:$A,"&lt;="&amp;DATE(2026,2,7))</f>
        <v/>
      </c>
      <c r="CW148">
        <f>COUNTIFS('DRAFT 2'!$D:$D,$B148,'DRAFT 2'!$A:$A,"&gt;="&amp;DATE(2026,2,8),'DRAFT 2'!$A:$A,"&lt;="&amp;DATE(2026,2,14))</f>
        <v/>
      </c>
      <c r="CX148">
        <f>COUNTIFS('DRAFT 2'!$D:$D,$B148,'DRAFT 2'!$A:$A,"&gt;="&amp;DATE(2026,2,15),'DRAFT 2'!$A:$A,"&lt;="&amp;DATE(2026,2,21))</f>
        <v/>
      </c>
      <c r="CY148">
        <f>COUNTIFS('DRAFT 2'!$D:$D,$B148,'DRAFT 2'!$A:$A,"&gt;="&amp;DATE(2026,2,22),'DRAFT 2'!$A:$A,"&lt;"&amp;DATE(2026,IF(2=12,2+1,2+1),1))</f>
        <v/>
      </c>
      <c r="CZ148">
        <f>SUM(CV148:CY148)</f>
        <v/>
      </c>
      <c r="DJ148">
        <f>IFERROR(LOOKUP(2,1/('DRAFT 2'!$D:$D=$B148)*('DRAFT 2'!$A:$A&gt;=DATE(2026,3,1))*('DRAFT 2'!$A:$A&lt;DATE(2026,IF(3=12,3+1,3+1),1)),'DRAFT 2'!$A:$A),"")</f>
        <v/>
      </c>
      <c r="DK148">
        <f>COUNTIFS('DRAFT 2'!$D:$D,$B148,'DRAFT 2'!$A:$A,"&gt;="&amp;DATE(2026,3,1),'DRAFT 2'!$A:$A,"&lt;="&amp;DATE(2026,3,7))</f>
        <v/>
      </c>
      <c r="DL148">
        <f>COUNTIFS('DRAFT 2'!$D:$D,$B148,'DRAFT 2'!$A:$A,"&gt;="&amp;DATE(2026,3,8),'DRAFT 2'!$A:$A,"&lt;="&amp;DATE(2026,3,14))</f>
        <v/>
      </c>
      <c r="DM148">
        <f>COUNTIFS('DRAFT 2'!$D:$D,$B148,'DRAFT 2'!$A:$A,"&gt;="&amp;DATE(2026,3,15),'DRAFT 2'!$A:$A,"&lt;="&amp;DATE(2026,3,21))</f>
        <v/>
      </c>
      <c r="DN148">
        <f>COUNTIFS('DRAFT 2'!$D:$D,$B148,'DRAFT 2'!$A:$A,"&gt;="&amp;DATE(2026,3,22),'DRAFT 2'!$A:$A,"&lt;"&amp;DATE(2026,IF(3=12,3+1,3+1),1))</f>
        <v/>
      </c>
      <c r="DO148">
        <f>SUM(DK148:DN148)</f>
        <v/>
      </c>
      <c r="DZ148">
        <f>IFERROR(LOOKUP(2,1/('DRAFT 2'!$D:$D=$B148)*('DRAFT 2'!$A:$A&gt;=DATE(2026,4,1))*('DRAFT 2'!$A:$A&lt;DATE(2026,IF(4=12,4+1,4+1),1)),'DRAFT 2'!$A:$A),"")</f>
        <v/>
      </c>
      <c r="EA148">
        <f>COUNTIFS('DRAFT 2'!$D:$D,$B148,'DRAFT 2'!$A:$A,"&gt;="&amp;DATE(2026,4,1),'DRAFT 2'!$A:$A,"&lt;="&amp;DATE(2026,4,7))</f>
        <v/>
      </c>
      <c r="EB148">
        <f>COUNTIFS('DRAFT 2'!$D:$D,$B148,'DRAFT 2'!$A:$A,"&gt;="&amp;DATE(2026,4,8),'DRAFT 2'!$A:$A,"&lt;="&amp;DATE(2026,4,14))</f>
        <v/>
      </c>
      <c r="EC148">
        <f>COUNTIFS('DRAFT 2'!$D:$D,$B148,'DRAFT 2'!$A:$A,"&gt;="&amp;DATE(2026,4,15),'DRAFT 2'!$A:$A,"&lt;="&amp;DATE(2026,4,21))</f>
        <v/>
      </c>
      <c r="ED148">
        <f>COUNTIFS('DRAFT 2'!$D:$D,$B148,'DRAFT 2'!$A:$A,"&gt;="&amp;DATE(2026,4,22),'DRAFT 2'!$A:$A,"&lt;"&amp;DATE(2026,IF(4=12,4+1,4+1),1))</f>
        <v/>
      </c>
      <c r="EE148">
        <f>SUM(EA148:ED148)</f>
        <v/>
      </c>
      <c r="EO148">
        <f>IFERROR(LOOKUP(2,1/('DRAFT 2'!$D:$D=$B148)*('DRAFT 2'!$A:$A&gt;=DATE(2026,5,1))*('DRAFT 2'!$A:$A&lt;DATE(2026,IF(5=12,5+1,5+1),1)),'DRAFT 2'!$A:$A),"")</f>
        <v/>
      </c>
      <c r="EP148">
        <f>COUNTIFS('DRAFT 2'!$D:$D,$B148,'DRAFT 2'!$A:$A,"&gt;="&amp;DATE(2026,5,1),'DRAFT 2'!$A:$A,"&lt;="&amp;DATE(2026,5,7))</f>
        <v/>
      </c>
      <c r="EQ148">
        <f>COUNTIFS('DRAFT 2'!$D:$D,$B148,'DRAFT 2'!$A:$A,"&gt;="&amp;DATE(2026,5,8),'DRAFT 2'!$A:$A,"&lt;="&amp;DATE(2026,5,14))</f>
        <v/>
      </c>
      <c r="ER148">
        <f>COUNTIFS('DRAFT 2'!$D:$D,$B148,'DRAFT 2'!$A:$A,"&gt;="&amp;DATE(2026,5,15),'DRAFT 2'!$A:$A,"&lt;="&amp;DATE(2026,5,21))</f>
        <v/>
      </c>
      <c r="ES148">
        <f>COUNTIFS('DRAFT 2'!$D:$D,$B148,'DRAFT 2'!$A:$A,"&gt;="&amp;DATE(2026,5,22),'DRAFT 2'!$A:$A,"&lt;"&amp;DATE(2026,IF(5=12,5+1,5+1),1))</f>
        <v/>
      </c>
      <c r="ET148">
        <f>SUM(EP148:ES148)</f>
        <v/>
      </c>
      <c r="FD148">
        <f>IFERROR(LOOKUP(2,1/('DRAFT 2'!$D:$D=$B148)*('DRAFT 2'!$A:$A&gt;=DATE(2026,6,1))*('DRAFT 2'!$A:$A&lt;DATE(2026,IF(6=12,6+1,6+1),1)),'DRAFT 2'!$A:$A),"")</f>
        <v/>
      </c>
      <c r="FE148">
        <f>COUNTIFS('DRAFT 2'!$D:$D,$B148,'DRAFT 2'!$A:$A,"&gt;="&amp;DATE(2026,6,1),'DRAFT 2'!$A:$A,"&lt;="&amp;DATE(2026,6,7))</f>
        <v/>
      </c>
      <c r="FF148">
        <f>COUNTIFS('DRAFT 2'!$D:$D,$B148,'DRAFT 2'!$A:$A,"&gt;="&amp;DATE(2026,6,8),'DRAFT 2'!$A:$A,"&lt;="&amp;DATE(2026,6,14))</f>
        <v/>
      </c>
      <c r="FG148">
        <f>COUNTIFS('DRAFT 2'!$D:$D,$B148,'DRAFT 2'!$A:$A,"&gt;="&amp;DATE(2026,6,15),'DRAFT 2'!$A:$A,"&lt;="&amp;DATE(2026,6,21))</f>
        <v/>
      </c>
      <c r="FH148">
        <f>COUNTIFS('DRAFT 2'!$D:$D,$B148,'DRAFT 2'!$A:$A,"&gt;="&amp;DATE(2026,6,22),'DRAFT 2'!$A:$A,"&lt;"&amp;DATE(2026,IF(6=12,6+1,6+1),1))</f>
        <v/>
      </c>
      <c r="FI148">
        <f>SUM(FE148:FH148)</f>
        <v/>
      </c>
      <c r="FT148">
        <f>IFERROR(LOOKUP(2,1/('DRAFT 2'!$D:$D=$B148)*('DRAFT 2'!$A:$A&gt;=DATE(2026,7,1))*('DRAFT 2'!$A:$A&lt;DATE(2026,IF(7=12,7+1,7+1),1)),'DRAFT 2'!$A:$A),"")</f>
        <v/>
      </c>
      <c r="FU148">
        <f>COUNTIFS('DRAFT 2'!$D:$D,$B148,'DRAFT 2'!$A:$A,"&gt;="&amp;DATE(2026,7,1),'DRAFT 2'!$A:$A,"&lt;="&amp;DATE(2026,7,7))</f>
        <v/>
      </c>
      <c r="FV148">
        <f>COUNTIFS('DRAFT 2'!$D:$D,$B148,'DRAFT 2'!$A:$A,"&gt;="&amp;DATE(2026,7,8),'DRAFT 2'!$A:$A,"&lt;="&amp;DATE(2026,7,14))</f>
        <v/>
      </c>
      <c r="FW148">
        <f>COUNTIFS('DRAFT 2'!$D:$D,$B148,'DRAFT 2'!$A:$A,"&gt;="&amp;DATE(2026,7,15),'DRAFT 2'!$A:$A,"&lt;="&amp;DATE(2026,7,21))</f>
        <v/>
      </c>
      <c r="FX148">
        <f>COUNTIFS('DRAFT 2'!$D:$D,$B148,'DRAFT 2'!$A:$A,"&gt;="&amp;DATE(2026,7,22),'DRAFT 2'!$A:$A,"&lt;"&amp;DATE(2026,IF(7=12,7+1,7+1),1))</f>
        <v/>
      </c>
      <c r="FY148">
        <f>SUM(FU148:FX148)</f>
        <v/>
      </c>
      <c r="GI148">
        <f>IFERROR(LOOKUP(2,1/('DRAFT 2'!$D:$D=$B148)*('DRAFT 2'!$A:$A&gt;=DATE(2026,8,1))*('DRAFT 2'!$A:$A&lt;DATE(2026,IF(8=12,8+1,8+1),1)),'DRAFT 2'!$A:$A),"")</f>
        <v/>
      </c>
      <c r="GJ148">
        <f>COUNTIFS('DRAFT 2'!$D:$D,$B148,'DRAFT 2'!$A:$A,"&gt;="&amp;DATE(2026,8,1),'DRAFT 2'!$A:$A,"&lt;="&amp;DATE(2026,8,7))</f>
        <v/>
      </c>
      <c r="GK148">
        <f>COUNTIFS('DRAFT 2'!$D:$D,$B148,'DRAFT 2'!$A:$A,"&gt;="&amp;DATE(2026,8,8),'DRAFT 2'!$A:$A,"&lt;="&amp;DATE(2026,8,14))</f>
        <v/>
      </c>
      <c r="GL148">
        <f>COUNTIFS('DRAFT 2'!$D:$D,$B148,'DRAFT 2'!$A:$A,"&gt;="&amp;DATE(2026,8,15),'DRAFT 2'!$A:$A,"&lt;="&amp;DATE(2026,8,21))</f>
        <v/>
      </c>
      <c r="GM148">
        <f>COUNTIFS('DRAFT 2'!$D:$D,$B148,'DRAFT 2'!$A:$A,"&gt;="&amp;DATE(2026,8,22),'DRAFT 2'!$A:$A,"&lt;"&amp;DATE(2026,IF(8=12,8+1,8+1),1))</f>
        <v/>
      </c>
      <c r="GN148">
        <f>SUM(GJ148:GM148)</f>
        <v/>
      </c>
      <c r="GX148">
        <f>IFERROR(LOOKUP(2,1/('DRAFT 2'!$D:$D=$B148)*('DRAFT 2'!$A:$A&gt;=DATE(2026,9,1))*('DRAFT 2'!$A:$A&lt;DATE(2026,IF(9=12,9+1,9+1),1)),'DRAFT 2'!$A:$A),"")</f>
        <v/>
      </c>
      <c r="GY148">
        <f>COUNTIFS('DRAFT 2'!$D:$D,$B148,'DRAFT 2'!$A:$A,"&gt;="&amp;DATE(2026,9,1),'DRAFT 2'!$A:$A,"&lt;="&amp;DATE(2026,9,7))</f>
        <v/>
      </c>
      <c r="GZ148">
        <f>COUNTIFS('DRAFT 2'!$D:$D,$B148,'DRAFT 2'!$A:$A,"&gt;="&amp;DATE(2026,9,8),'DRAFT 2'!$A:$A,"&lt;="&amp;DATE(2026,9,14))</f>
        <v/>
      </c>
      <c r="HA148">
        <f>COUNTIFS('DRAFT 2'!$D:$D,$B148,'DRAFT 2'!$A:$A,"&gt;="&amp;DATE(2026,9,15),'DRAFT 2'!$A:$A,"&lt;="&amp;DATE(2026,9,21))</f>
        <v/>
      </c>
      <c r="HB148">
        <f>COUNTIFS('DRAFT 2'!$D:$D,$B148,'DRAFT 2'!$A:$A,"&gt;="&amp;DATE(2026,9,22),'DRAFT 2'!$A:$A,"&lt;"&amp;DATE(2026,IF(9=12,9+1,9+1),1))</f>
        <v/>
      </c>
      <c r="HC148">
        <f>SUM(GY148:HB148)</f>
        <v/>
      </c>
      <c r="HN148">
        <f>IFERROR(LOOKUP(2,1/('DRAFT 2'!$D:$D=$B148)*('DRAFT 2'!$A:$A&gt;=DATE(2026,10,1))*('DRAFT 2'!$A:$A&lt;DATE(2026,IF(10=12,10+1,10+1),1)),'DRAFT 2'!$A:$A),"")</f>
        <v/>
      </c>
      <c r="HO148">
        <f>COUNTIFS('DRAFT 2'!$D:$D,$B148,'DRAFT 2'!$A:$A,"&gt;="&amp;DATE(2026,10,1),'DRAFT 2'!$A:$A,"&lt;="&amp;DATE(2026,10,7))</f>
        <v/>
      </c>
      <c r="HP148">
        <f>COUNTIFS('DRAFT 2'!$D:$D,$B148,'DRAFT 2'!$A:$A,"&gt;="&amp;DATE(2026,10,8),'DRAFT 2'!$A:$A,"&lt;="&amp;DATE(2026,10,14))</f>
        <v/>
      </c>
      <c r="HQ148">
        <f>COUNTIFS('DRAFT 2'!$D:$D,$B148,'DRAFT 2'!$A:$A,"&gt;="&amp;DATE(2026,10,15),'DRAFT 2'!$A:$A,"&lt;="&amp;DATE(2026,10,21))</f>
        <v/>
      </c>
      <c r="HR148">
        <f>COUNTIFS('DRAFT 2'!$D:$D,$B148,'DRAFT 2'!$A:$A,"&gt;="&amp;DATE(2026,10,22),'DRAFT 2'!$A:$A,"&lt;"&amp;DATE(2026,IF(10=12,10+1,10+1),1))</f>
        <v/>
      </c>
      <c r="HS148">
        <f>SUM(HO148:HR148)</f>
        <v/>
      </c>
      <c r="IC148">
        <f>IFERROR(LOOKUP(2,1/('DRAFT 2'!$D:$D=$B148)*('DRAFT 2'!$A:$A&gt;=DATE(2026,11,1))*('DRAFT 2'!$A:$A&lt;DATE(2026,IF(11=12,11+1,11+1),1)),'DRAFT 2'!$A:$A),"")</f>
        <v/>
      </c>
      <c r="ID148">
        <f>COUNTIFS('DRAFT 2'!$D:$D,$B148,'DRAFT 2'!$A:$A,"&gt;="&amp;DATE(2026,11,1),'DRAFT 2'!$A:$A,"&lt;="&amp;DATE(2026,11,7))</f>
        <v/>
      </c>
      <c r="IE148">
        <f>COUNTIFS('DRAFT 2'!$D:$D,$B148,'DRAFT 2'!$A:$A,"&gt;="&amp;DATE(2026,11,8),'DRAFT 2'!$A:$A,"&lt;="&amp;DATE(2026,11,14))</f>
        <v/>
      </c>
      <c r="IF148">
        <f>COUNTIFS('DRAFT 2'!$D:$D,$B148,'DRAFT 2'!$A:$A,"&gt;="&amp;DATE(2026,11,15),'DRAFT 2'!$A:$A,"&lt;="&amp;DATE(2026,11,21))</f>
        <v/>
      </c>
      <c r="IG148">
        <f>COUNTIFS('DRAFT 2'!$D:$D,$B148,'DRAFT 2'!$A:$A,"&gt;="&amp;DATE(2026,11,22),'DRAFT 2'!$A:$A,"&lt;"&amp;DATE(2026,IF(11=12,11+1,11+1),1))</f>
        <v/>
      </c>
      <c r="IH148">
        <f>SUM(ID148:IG148)</f>
        <v/>
      </c>
      <c r="IR148">
        <f>IFERROR(LOOKUP(2,1/('DRAFT 2'!$D:$D=$B148)*('DRAFT 2'!$A:$A&gt;=DATE(2026,12,1))*('DRAFT 2'!$A:$A&lt;DATE(2026,IF(12=12,12+1,12+1),1)),'DRAFT 2'!$A:$A),"")</f>
        <v/>
      </c>
      <c r="IS148">
        <f>COUNTIFS('DRAFT 2'!$D:$D,$B148,'DRAFT 2'!$A:$A,"&gt;="&amp;DATE(2026,12,1),'DRAFT 2'!$A:$A,"&lt;="&amp;DATE(2026,12,7))</f>
        <v/>
      </c>
      <c r="IT148">
        <f>COUNTIFS('DRAFT 2'!$D:$D,$B148,'DRAFT 2'!$A:$A,"&gt;="&amp;DATE(2026,12,8),'DRAFT 2'!$A:$A,"&lt;="&amp;DATE(2026,12,14))</f>
        <v/>
      </c>
      <c r="IU148">
        <f>COUNTIFS('DRAFT 2'!$D:$D,$B148,'DRAFT 2'!$A:$A,"&gt;="&amp;DATE(2026,12,15),'DRAFT 2'!$A:$A,"&lt;="&amp;DATE(2026,12,21))</f>
        <v/>
      </c>
      <c r="IV148">
        <f>COUNTIFS('DRAFT 2'!$D:$D,$B148,'DRAFT 2'!$A:$A,"&gt;="&amp;DATE(2026,12,22),'DRAFT 2'!$A:$A,"&lt;"&amp;DATE(2026,IF(12=12,12+1,12+1),1))</f>
        <v/>
      </c>
      <c r="IW148">
        <f>SUM(IS148:IV148)</f>
        <v/>
      </c>
    </row>
    <row r="149">
      <c r="A149">
        <f>IFERROR(INDEX('DRAFT 1'!$A:$A,MATCH($B149,'DRAFT 1'!$B:$B,0)),"")</f>
        <v/>
      </c>
      <c r="C149">
        <f>IFERROR(INDEX('DRAFT 1'!$C:$C,MATCH($B149,'DRAFT 1'!$B:$B,0)),"")</f>
        <v/>
      </c>
      <c r="D149">
        <f>IFERROR(INDEX('DRAFT 1'!$D:$D,MATCH($B149,'DRAFT 1'!$B:$B,0)),"")</f>
        <v/>
      </c>
      <c r="E149">
        <f>IFERROR(INDEX('DRAFT 1'!$E:$E,MATCH($B149,'DRAFT 1'!$B:$B,0)),"")</f>
        <v/>
      </c>
      <c r="F149">
        <f>IFERROR(INDEX('DRAFT 1'!$F:$F,MATCH($B149,'DRAFT 1'!$B:$B,0)),"")</f>
        <v/>
      </c>
      <c r="G149">
        <f>IFERROR(INDEX('DRAFT 1'!$G:$G,MATCH($B149,'DRAFT 1'!$B:$B,0)),"")</f>
        <v/>
      </c>
      <c r="H149">
        <f>IFERROR(INDEX('DRAFT 1'!$H:$H,MATCH($B149,'DRAFT 1'!$B:$B,0)),"")</f>
        <v/>
      </c>
      <c r="I149">
        <f>IFERROR(INDEX('DRAFT 1'!$I:$I,MATCH($B149,'DRAFT 1'!$B:$B,0)),"")</f>
        <v/>
      </c>
      <c r="K149">
        <f>IFERROR(INDEX('DRAFT 1'!$AL:$AL,MATCH($B149,'DRAFT 1'!$B:$B,0)),"")</f>
        <v/>
      </c>
      <c r="L149">
        <f>IFERROR(INDEX('DRAFT 1'!$J:$J,MATCH($B149,'DRAFT 1'!$B:$B,0)),"")</f>
        <v/>
      </c>
      <c r="M149">
        <f>IFERROR(INDEX('DRAFT 1'!$K:$K,MATCH($B149,'DRAFT 1'!$B:$B,0)),"")</f>
        <v/>
      </c>
      <c r="P149">
        <f>IFERROR(INDEX('DRAFT 1'!$L:$L,MATCH($B149,'DRAFT 1'!$B:$B,0)),"")</f>
        <v/>
      </c>
      <c r="Q149">
        <f>IFERROR(INDEX('DRAFT 1'!$M:$M,MATCH($B149,'DRAFT 1'!$B:$B,0)),"")</f>
        <v/>
      </c>
      <c r="R149">
        <f>IFERROR(INDEX('DRAFT 1'!$N:$N,MATCH($B149,'DRAFT 1'!$B:$B,0)),"")</f>
        <v/>
      </c>
      <c r="S149">
        <f>IFERROR(INDEX('DRAFT 1'!$O:$O,MATCH($B149,'DRAFT 1'!$B:$B,0)),"")</f>
        <v/>
      </c>
      <c r="T149">
        <f>IFERROR(INDEX('DRAFT 1'!$P:$P,MATCH($B149,'DRAFT 1'!$B:$B,0)),"")</f>
        <v/>
      </c>
      <c r="U149">
        <f>IFERROR(INDEX('DRAFT 1'!$Q:$Q,MATCH($B149,'DRAFT 1'!$B:$B,0)),"")</f>
        <v/>
      </c>
      <c r="V149">
        <f>IFERROR(INDEX('DRAFT 1'!$R:$R,MATCH($B149,'DRAFT 1'!$B:$B,0)),"")</f>
        <v/>
      </c>
      <c r="W149">
        <f>IFERROR(INDEX('DRAFT 1'!$S:$S,MATCH($B149,'DRAFT 1'!$B:$B,0)),"")</f>
        <v/>
      </c>
      <c r="X149">
        <f>IFERROR(INDEX('DRAFT 1'!$T:$T,MATCH($B149,'DRAFT 1'!$B:$B,0)),"")</f>
        <v/>
      </c>
      <c r="Z149">
        <f>IFERROR(INDEX('DRAFT 1'!$U:$U,MATCH($B149,'DRAFT 1'!$B:$B,0)),"")</f>
        <v/>
      </c>
      <c r="AA149">
        <f>IFERROR(INDEX('DRAFT 1'!$V:$V,MATCH($B149,'DRAFT 1'!$B:$B,0)),"")</f>
        <v/>
      </c>
      <c r="AB149">
        <f>IFERROR(INDEX('DRAFT 1'!$W:$W,MATCH($B149,'DRAFT 1'!$B:$B,0)),"")</f>
        <v/>
      </c>
      <c r="AC149">
        <f>IFERROR(INDEX('DRAFT 1'!$X:$X,MATCH($B149,'DRAFT 1'!$B:$B,0)),"")</f>
        <v/>
      </c>
      <c r="AD149">
        <f>IFERROR(INDEX('DRAFT 1'!$Y:$Y,MATCH($B149,'DRAFT 1'!$B:$B,0)),"")</f>
        <v/>
      </c>
      <c r="AE149">
        <f>IFERROR(INDEX('DRAFT 1'!$Z:$Z,MATCH($B149,'DRAFT 1'!$B:$B,0)),"")</f>
        <v/>
      </c>
      <c r="AF149">
        <f>IFERROR(INDEX('DRAFT 1'!$AA:$AA,MATCH($B149,'DRAFT 1'!$B:$B,0)),"")</f>
        <v/>
      </c>
      <c r="AG149">
        <f>IFERROR(INDEX('DRAFT 1'!$AB:$AB,MATCH($B149,'DRAFT 1'!$B:$B,0)),"")</f>
        <v/>
      </c>
      <c r="AH149">
        <f>IFERROR(INDEX('DRAFT 1'!$AC:$AC,MATCH($B149,'DRAFT 1'!$B:$B,0)),"")</f>
        <v/>
      </c>
      <c r="AI149">
        <f>IFERROR(INDEX('DRAFT 1'!$AD:$AD,MATCH($B149,'DRAFT 1'!$B:$B,0)),"")</f>
        <v/>
      </c>
      <c r="AJ149">
        <f>IFERROR(INDEX('DRAFT 1'!$AE:$AE,MATCH($B149,'DRAFT 1'!$B:$B,0)),"")</f>
        <v/>
      </c>
      <c r="AK149">
        <f>IFERROR(INDEX('DRAFT 1'!$AG:$AG,MATCH($B149,'DRAFT 1'!$B:$B,0)),"")</f>
        <v/>
      </c>
      <c r="AL149">
        <f>IFERROR(INDEX('DRAFT 1'!$AH:$AH,MATCH($B149,'DRAFT 1'!$B:$B,0)),"")</f>
        <v/>
      </c>
      <c r="AM149">
        <f>IFERROR(INDEX('DRAFT 1'!$AI:$AI,MATCH($B149,'DRAFT 1'!$B:$B,0)),"")</f>
        <v/>
      </c>
      <c r="AN149">
        <f>IFERROR(INDEX('DRAFT 1'!$AJ:$AJ,MATCH($B149,'DRAFT 1'!$B:$B,0)),"")</f>
        <v/>
      </c>
      <c r="AO149">
        <f>IFERROR(Y149/AN149,0)</f>
        <v/>
      </c>
      <c r="AP149">
        <f>IFERROR(INDEX('DRAFT 1'!$AK:$AK,MATCH($B149,'DRAFT 1'!$B:$B,0)),"")</f>
        <v/>
      </c>
      <c r="AR149">
        <f>IFERROR(LOOKUP(2,1/('DRAFT 2'!$D:$D=$B149),'DRAFT 2'!$I:$I),"")</f>
        <v/>
      </c>
      <c r="AS149">
        <f>IFERROR(LOOKUP(2,1/('DRAFT 2'!$D:$D=$B149),'DRAFT 2'!$T:$T),"")</f>
        <v/>
      </c>
      <c r="AT149">
        <f>IFERROR(LOOKUP(2,1/('DRAFT 2'!$D:$D=$B149),'DRAFT 2'!$A:$A),"")</f>
        <v/>
      </c>
      <c r="AU149">
        <f>IFERROR(LOOKUP(2,1/('DRAFT 2'!$D:$D=$B149),'DRAFT 2'!$R:$R),"")</f>
        <v/>
      </c>
      <c r="AV149">
        <f>IFERROR(LOOKUP(2,1/('DRAFT 2'!$D:$D=$B149),'DRAFT 2'!$S:$S),"")</f>
        <v/>
      </c>
      <c r="AX149">
        <f>IFERROR(LOOKUP(2,1/('DRAFT 2'!$D:$D=$B149),'DRAFT 2'!$M:$M),"")</f>
        <v/>
      </c>
      <c r="AY149">
        <f>IFERROR(LOOKUP(2,1/('DRAFT 2'!$D:$D=$B149),'DRAFT 2'!$K:$K),"")</f>
        <v/>
      </c>
      <c r="BG149">
        <f>IFERROR(LOOKUP(2,1/('DRAFT 2'!$D:$D=$B149),'DRAFT 2'!$U:$U),"")</f>
        <v/>
      </c>
      <c r="BH149">
        <f>IFERROR(LOOKUP(2,1/('DRAFT 2'!$D:$D=$B149),'DRAFT 2'!$V:$V),"")</f>
        <v/>
      </c>
      <c r="CE149">
        <f>IFERROR(AJ149,0)</f>
        <v/>
      </c>
      <c r="CF149">
        <f>IFERROR(LOOKUP(2,1/('DRAFT 2'!$D:$D=$B149)*('DRAFT 2'!$A:$A&gt;=DATE(2026,1,1))*('DRAFT 2'!$A:$A&lt;DATE(2026,IF(1=12,1+1,1+1),1)),'DRAFT 2'!$A:$A),"")</f>
        <v/>
      </c>
      <c r="CG149">
        <f>COUNTIFS('DRAFT 2'!$D:$D,$B149,'DRAFT 2'!$A:$A,"&gt;="&amp;DATE(2026,1,1),'DRAFT 2'!$A:$A,"&lt;="&amp;DATE(2026,1,7))</f>
        <v/>
      </c>
      <c r="CH149">
        <f>COUNTIFS('DRAFT 2'!$D:$D,$B149,'DRAFT 2'!$A:$A,"&gt;="&amp;DATE(2026,1,8),'DRAFT 2'!$A:$A,"&lt;="&amp;DATE(2026,1,14))</f>
        <v/>
      </c>
      <c r="CI149">
        <f>COUNTIFS('DRAFT 2'!$D:$D,$B149,'DRAFT 2'!$A:$A,"&gt;="&amp;DATE(2026,1,15),'DRAFT 2'!$A:$A,"&lt;="&amp;DATE(2026,1,21))</f>
        <v/>
      </c>
      <c r="CJ149">
        <f>COUNTIFS('DRAFT 2'!$D:$D,$B149,'DRAFT 2'!$A:$A,"&gt;="&amp;DATE(2026,1,22),'DRAFT 2'!$A:$A,"&lt;"&amp;DATE(2026,IF(1=12,1+1,1+1),1))</f>
        <v/>
      </c>
      <c r="CK149">
        <f>SUM(CG149:CJ149)</f>
        <v/>
      </c>
      <c r="CT149" t="n">
        <v>0</v>
      </c>
      <c r="CU149">
        <f>IFERROR(LOOKUP(2,1/('DRAFT 2'!$D:$D=$B149)*('DRAFT 2'!$A:$A&gt;=DATE(2026,2,1))*('DRAFT 2'!$A:$A&lt;DATE(2026,IF(2=12,2+1,2+1),1)),'DRAFT 2'!$A:$A),"")</f>
        <v/>
      </c>
      <c r="CV149">
        <f>COUNTIFS('DRAFT 2'!$D:$D,$B149,'DRAFT 2'!$A:$A,"&gt;="&amp;DATE(2026,2,1),'DRAFT 2'!$A:$A,"&lt;="&amp;DATE(2026,2,7))</f>
        <v/>
      </c>
      <c r="CW149">
        <f>COUNTIFS('DRAFT 2'!$D:$D,$B149,'DRAFT 2'!$A:$A,"&gt;="&amp;DATE(2026,2,8),'DRAFT 2'!$A:$A,"&lt;="&amp;DATE(2026,2,14))</f>
        <v/>
      </c>
      <c r="CX149">
        <f>COUNTIFS('DRAFT 2'!$D:$D,$B149,'DRAFT 2'!$A:$A,"&gt;="&amp;DATE(2026,2,15),'DRAFT 2'!$A:$A,"&lt;="&amp;DATE(2026,2,21))</f>
        <v/>
      </c>
      <c r="CY149">
        <f>COUNTIFS('DRAFT 2'!$D:$D,$B149,'DRAFT 2'!$A:$A,"&gt;="&amp;DATE(2026,2,22),'DRAFT 2'!$A:$A,"&lt;"&amp;DATE(2026,IF(2=12,2+1,2+1),1))</f>
        <v/>
      </c>
      <c r="CZ149">
        <f>SUM(CV149:CY149)</f>
        <v/>
      </c>
      <c r="DJ149">
        <f>IFERROR(LOOKUP(2,1/('DRAFT 2'!$D:$D=$B149)*('DRAFT 2'!$A:$A&gt;=DATE(2026,3,1))*('DRAFT 2'!$A:$A&lt;DATE(2026,IF(3=12,3+1,3+1),1)),'DRAFT 2'!$A:$A),"")</f>
        <v/>
      </c>
      <c r="DK149">
        <f>COUNTIFS('DRAFT 2'!$D:$D,$B149,'DRAFT 2'!$A:$A,"&gt;="&amp;DATE(2026,3,1),'DRAFT 2'!$A:$A,"&lt;="&amp;DATE(2026,3,7))</f>
        <v/>
      </c>
      <c r="DL149">
        <f>COUNTIFS('DRAFT 2'!$D:$D,$B149,'DRAFT 2'!$A:$A,"&gt;="&amp;DATE(2026,3,8),'DRAFT 2'!$A:$A,"&lt;="&amp;DATE(2026,3,14))</f>
        <v/>
      </c>
      <c r="DM149">
        <f>COUNTIFS('DRAFT 2'!$D:$D,$B149,'DRAFT 2'!$A:$A,"&gt;="&amp;DATE(2026,3,15),'DRAFT 2'!$A:$A,"&lt;="&amp;DATE(2026,3,21))</f>
        <v/>
      </c>
      <c r="DN149">
        <f>COUNTIFS('DRAFT 2'!$D:$D,$B149,'DRAFT 2'!$A:$A,"&gt;="&amp;DATE(2026,3,22),'DRAFT 2'!$A:$A,"&lt;"&amp;DATE(2026,IF(3=12,3+1,3+1),1))</f>
        <v/>
      </c>
      <c r="DO149">
        <f>SUM(DK149:DN149)</f>
        <v/>
      </c>
      <c r="DZ149">
        <f>IFERROR(LOOKUP(2,1/('DRAFT 2'!$D:$D=$B149)*('DRAFT 2'!$A:$A&gt;=DATE(2026,4,1))*('DRAFT 2'!$A:$A&lt;DATE(2026,IF(4=12,4+1,4+1),1)),'DRAFT 2'!$A:$A),"")</f>
        <v/>
      </c>
      <c r="EA149">
        <f>COUNTIFS('DRAFT 2'!$D:$D,$B149,'DRAFT 2'!$A:$A,"&gt;="&amp;DATE(2026,4,1),'DRAFT 2'!$A:$A,"&lt;="&amp;DATE(2026,4,7))</f>
        <v/>
      </c>
      <c r="EB149">
        <f>COUNTIFS('DRAFT 2'!$D:$D,$B149,'DRAFT 2'!$A:$A,"&gt;="&amp;DATE(2026,4,8),'DRAFT 2'!$A:$A,"&lt;="&amp;DATE(2026,4,14))</f>
        <v/>
      </c>
      <c r="EC149">
        <f>COUNTIFS('DRAFT 2'!$D:$D,$B149,'DRAFT 2'!$A:$A,"&gt;="&amp;DATE(2026,4,15),'DRAFT 2'!$A:$A,"&lt;="&amp;DATE(2026,4,21))</f>
        <v/>
      </c>
      <c r="ED149">
        <f>COUNTIFS('DRAFT 2'!$D:$D,$B149,'DRAFT 2'!$A:$A,"&gt;="&amp;DATE(2026,4,22),'DRAFT 2'!$A:$A,"&lt;"&amp;DATE(2026,IF(4=12,4+1,4+1),1))</f>
        <v/>
      </c>
      <c r="EE149">
        <f>SUM(EA149:ED149)</f>
        <v/>
      </c>
      <c r="EO149">
        <f>IFERROR(LOOKUP(2,1/('DRAFT 2'!$D:$D=$B149)*('DRAFT 2'!$A:$A&gt;=DATE(2026,5,1))*('DRAFT 2'!$A:$A&lt;DATE(2026,IF(5=12,5+1,5+1),1)),'DRAFT 2'!$A:$A),"")</f>
        <v/>
      </c>
      <c r="EP149">
        <f>COUNTIFS('DRAFT 2'!$D:$D,$B149,'DRAFT 2'!$A:$A,"&gt;="&amp;DATE(2026,5,1),'DRAFT 2'!$A:$A,"&lt;="&amp;DATE(2026,5,7))</f>
        <v/>
      </c>
      <c r="EQ149">
        <f>COUNTIFS('DRAFT 2'!$D:$D,$B149,'DRAFT 2'!$A:$A,"&gt;="&amp;DATE(2026,5,8),'DRAFT 2'!$A:$A,"&lt;="&amp;DATE(2026,5,14))</f>
        <v/>
      </c>
      <c r="ER149">
        <f>COUNTIFS('DRAFT 2'!$D:$D,$B149,'DRAFT 2'!$A:$A,"&gt;="&amp;DATE(2026,5,15),'DRAFT 2'!$A:$A,"&lt;="&amp;DATE(2026,5,21))</f>
        <v/>
      </c>
      <c r="ES149">
        <f>COUNTIFS('DRAFT 2'!$D:$D,$B149,'DRAFT 2'!$A:$A,"&gt;="&amp;DATE(2026,5,22),'DRAFT 2'!$A:$A,"&lt;"&amp;DATE(2026,IF(5=12,5+1,5+1),1))</f>
        <v/>
      </c>
      <c r="ET149">
        <f>SUM(EP149:ES149)</f>
        <v/>
      </c>
      <c r="FD149">
        <f>IFERROR(LOOKUP(2,1/('DRAFT 2'!$D:$D=$B149)*('DRAFT 2'!$A:$A&gt;=DATE(2026,6,1))*('DRAFT 2'!$A:$A&lt;DATE(2026,IF(6=12,6+1,6+1),1)),'DRAFT 2'!$A:$A),"")</f>
        <v/>
      </c>
      <c r="FE149">
        <f>COUNTIFS('DRAFT 2'!$D:$D,$B149,'DRAFT 2'!$A:$A,"&gt;="&amp;DATE(2026,6,1),'DRAFT 2'!$A:$A,"&lt;="&amp;DATE(2026,6,7))</f>
        <v/>
      </c>
      <c r="FF149">
        <f>COUNTIFS('DRAFT 2'!$D:$D,$B149,'DRAFT 2'!$A:$A,"&gt;="&amp;DATE(2026,6,8),'DRAFT 2'!$A:$A,"&lt;="&amp;DATE(2026,6,14))</f>
        <v/>
      </c>
      <c r="FG149">
        <f>COUNTIFS('DRAFT 2'!$D:$D,$B149,'DRAFT 2'!$A:$A,"&gt;="&amp;DATE(2026,6,15),'DRAFT 2'!$A:$A,"&lt;="&amp;DATE(2026,6,21))</f>
        <v/>
      </c>
      <c r="FH149">
        <f>COUNTIFS('DRAFT 2'!$D:$D,$B149,'DRAFT 2'!$A:$A,"&gt;="&amp;DATE(2026,6,22),'DRAFT 2'!$A:$A,"&lt;"&amp;DATE(2026,IF(6=12,6+1,6+1),1))</f>
        <v/>
      </c>
      <c r="FI149">
        <f>SUM(FE149:FH149)</f>
        <v/>
      </c>
      <c r="FT149">
        <f>IFERROR(LOOKUP(2,1/('DRAFT 2'!$D:$D=$B149)*('DRAFT 2'!$A:$A&gt;=DATE(2026,7,1))*('DRAFT 2'!$A:$A&lt;DATE(2026,IF(7=12,7+1,7+1),1)),'DRAFT 2'!$A:$A),"")</f>
        <v/>
      </c>
      <c r="FU149">
        <f>COUNTIFS('DRAFT 2'!$D:$D,$B149,'DRAFT 2'!$A:$A,"&gt;="&amp;DATE(2026,7,1),'DRAFT 2'!$A:$A,"&lt;="&amp;DATE(2026,7,7))</f>
        <v/>
      </c>
      <c r="FV149">
        <f>COUNTIFS('DRAFT 2'!$D:$D,$B149,'DRAFT 2'!$A:$A,"&gt;="&amp;DATE(2026,7,8),'DRAFT 2'!$A:$A,"&lt;="&amp;DATE(2026,7,14))</f>
        <v/>
      </c>
      <c r="FW149">
        <f>COUNTIFS('DRAFT 2'!$D:$D,$B149,'DRAFT 2'!$A:$A,"&gt;="&amp;DATE(2026,7,15),'DRAFT 2'!$A:$A,"&lt;="&amp;DATE(2026,7,21))</f>
        <v/>
      </c>
      <c r="FX149">
        <f>COUNTIFS('DRAFT 2'!$D:$D,$B149,'DRAFT 2'!$A:$A,"&gt;="&amp;DATE(2026,7,22),'DRAFT 2'!$A:$A,"&lt;"&amp;DATE(2026,IF(7=12,7+1,7+1),1))</f>
        <v/>
      </c>
      <c r="FY149">
        <f>SUM(FU149:FX149)</f>
        <v/>
      </c>
      <c r="GI149">
        <f>IFERROR(LOOKUP(2,1/('DRAFT 2'!$D:$D=$B149)*('DRAFT 2'!$A:$A&gt;=DATE(2026,8,1))*('DRAFT 2'!$A:$A&lt;DATE(2026,IF(8=12,8+1,8+1),1)),'DRAFT 2'!$A:$A),"")</f>
        <v/>
      </c>
      <c r="GJ149">
        <f>COUNTIFS('DRAFT 2'!$D:$D,$B149,'DRAFT 2'!$A:$A,"&gt;="&amp;DATE(2026,8,1),'DRAFT 2'!$A:$A,"&lt;="&amp;DATE(2026,8,7))</f>
        <v/>
      </c>
      <c r="GK149">
        <f>COUNTIFS('DRAFT 2'!$D:$D,$B149,'DRAFT 2'!$A:$A,"&gt;="&amp;DATE(2026,8,8),'DRAFT 2'!$A:$A,"&lt;="&amp;DATE(2026,8,14))</f>
        <v/>
      </c>
      <c r="GL149">
        <f>COUNTIFS('DRAFT 2'!$D:$D,$B149,'DRAFT 2'!$A:$A,"&gt;="&amp;DATE(2026,8,15),'DRAFT 2'!$A:$A,"&lt;="&amp;DATE(2026,8,21))</f>
        <v/>
      </c>
      <c r="GM149">
        <f>COUNTIFS('DRAFT 2'!$D:$D,$B149,'DRAFT 2'!$A:$A,"&gt;="&amp;DATE(2026,8,22),'DRAFT 2'!$A:$A,"&lt;"&amp;DATE(2026,IF(8=12,8+1,8+1),1))</f>
        <v/>
      </c>
      <c r="GN149">
        <f>SUM(GJ149:GM149)</f>
        <v/>
      </c>
      <c r="GX149">
        <f>IFERROR(LOOKUP(2,1/('DRAFT 2'!$D:$D=$B149)*('DRAFT 2'!$A:$A&gt;=DATE(2026,9,1))*('DRAFT 2'!$A:$A&lt;DATE(2026,IF(9=12,9+1,9+1),1)),'DRAFT 2'!$A:$A),"")</f>
        <v/>
      </c>
      <c r="GY149">
        <f>COUNTIFS('DRAFT 2'!$D:$D,$B149,'DRAFT 2'!$A:$A,"&gt;="&amp;DATE(2026,9,1),'DRAFT 2'!$A:$A,"&lt;="&amp;DATE(2026,9,7))</f>
        <v/>
      </c>
      <c r="GZ149">
        <f>COUNTIFS('DRAFT 2'!$D:$D,$B149,'DRAFT 2'!$A:$A,"&gt;="&amp;DATE(2026,9,8),'DRAFT 2'!$A:$A,"&lt;="&amp;DATE(2026,9,14))</f>
        <v/>
      </c>
      <c r="HA149">
        <f>COUNTIFS('DRAFT 2'!$D:$D,$B149,'DRAFT 2'!$A:$A,"&gt;="&amp;DATE(2026,9,15),'DRAFT 2'!$A:$A,"&lt;="&amp;DATE(2026,9,21))</f>
        <v/>
      </c>
      <c r="HB149">
        <f>COUNTIFS('DRAFT 2'!$D:$D,$B149,'DRAFT 2'!$A:$A,"&gt;="&amp;DATE(2026,9,22),'DRAFT 2'!$A:$A,"&lt;"&amp;DATE(2026,IF(9=12,9+1,9+1),1))</f>
        <v/>
      </c>
      <c r="HC149">
        <f>SUM(GY149:HB149)</f>
        <v/>
      </c>
      <c r="HN149">
        <f>IFERROR(LOOKUP(2,1/('DRAFT 2'!$D:$D=$B149)*('DRAFT 2'!$A:$A&gt;=DATE(2026,10,1))*('DRAFT 2'!$A:$A&lt;DATE(2026,IF(10=12,10+1,10+1),1)),'DRAFT 2'!$A:$A),"")</f>
        <v/>
      </c>
      <c r="HO149">
        <f>COUNTIFS('DRAFT 2'!$D:$D,$B149,'DRAFT 2'!$A:$A,"&gt;="&amp;DATE(2026,10,1),'DRAFT 2'!$A:$A,"&lt;="&amp;DATE(2026,10,7))</f>
        <v/>
      </c>
      <c r="HP149">
        <f>COUNTIFS('DRAFT 2'!$D:$D,$B149,'DRAFT 2'!$A:$A,"&gt;="&amp;DATE(2026,10,8),'DRAFT 2'!$A:$A,"&lt;="&amp;DATE(2026,10,14))</f>
        <v/>
      </c>
      <c r="HQ149">
        <f>COUNTIFS('DRAFT 2'!$D:$D,$B149,'DRAFT 2'!$A:$A,"&gt;="&amp;DATE(2026,10,15),'DRAFT 2'!$A:$A,"&lt;="&amp;DATE(2026,10,21))</f>
        <v/>
      </c>
      <c r="HR149">
        <f>COUNTIFS('DRAFT 2'!$D:$D,$B149,'DRAFT 2'!$A:$A,"&gt;="&amp;DATE(2026,10,22),'DRAFT 2'!$A:$A,"&lt;"&amp;DATE(2026,IF(10=12,10+1,10+1),1))</f>
        <v/>
      </c>
      <c r="HS149">
        <f>SUM(HO149:HR149)</f>
        <v/>
      </c>
      <c r="IC149">
        <f>IFERROR(LOOKUP(2,1/('DRAFT 2'!$D:$D=$B149)*('DRAFT 2'!$A:$A&gt;=DATE(2026,11,1))*('DRAFT 2'!$A:$A&lt;DATE(2026,IF(11=12,11+1,11+1),1)),'DRAFT 2'!$A:$A),"")</f>
        <v/>
      </c>
      <c r="ID149">
        <f>COUNTIFS('DRAFT 2'!$D:$D,$B149,'DRAFT 2'!$A:$A,"&gt;="&amp;DATE(2026,11,1),'DRAFT 2'!$A:$A,"&lt;="&amp;DATE(2026,11,7))</f>
        <v/>
      </c>
      <c r="IE149">
        <f>COUNTIFS('DRAFT 2'!$D:$D,$B149,'DRAFT 2'!$A:$A,"&gt;="&amp;DATE(2026,11,8),'DRAFT 2'!$A:$A,"&lt;="&amp;DATE(2026,11,14))</f>
        <v/>
      </c>
      <c r="IF149">
        <f>COUNTIFS('DRAFT 2'!$D:$D,$B149,'DRAFT 2'!$A:$A,"&gt;="&amp;DATE(2026,11,15),'DRAFT 2'!$A:$A,"&lt;="&amp;DATE(2026,11,21))</f>
        <v/>
      </c>
      <c r="IG149">
        <f>COUNTIFS('DRAFT 2'!$D:$D,$B149,'DRAFT 2'!$A:$A,"&gt;="&amp;DATE(2026,11,22),'DRAFT 2'!$A:$A,"&lt;"&amp;DATE(2026,IF(11=12,11+1,11+1),1))</f>
        <v/>
      </c>
      <c r="IH149">
        <f>SUM(ID149:IG149)</f>
        <v/>
      </c>
      <c r="IR149">
        <f>IFERROR(LOOKUP(2,1/('DRAFT 2'!$D:$D=$B149)*('DRAFT 2'!$A:$A&gt;=DATE(2026,12,1))*('DRAFT 2'!$A:$A&lt;DATE(2026,IF(12=12,12+1,12+1),1)),'DRAFT 2'!$A:$A),"")</f>
        <v/>
      </c>
      <c r="IS149">
        <f>COUNTIFS('DRAFT 2'!$D:$D,$B149,'DRAFT 2'!$A:$A,"&gt;="&amp;DATE(2026,12,1),'DRAFT 2'!$A:$A,"&lt;="&amp;DATE(2026,12,7))</f>
        <v/>
      </c>
      <c r="IT149">
        <f>COUNTIFS('DRAFT 2'!$D:$D,$B149,'DRAFT 2'!$A:$A,"&gt;="&amp;DATE(2026,12,8),'DRAFT 2'!$A:$A,"&lt;="&amp;DATE(2026,12,14))</f>
        <v/>
      </c>
      <c r="IU149">
        <f>COUNTIFS('DRAFT 2'!$D:$D,$B149,'DRAFT 2'!$A:$A,"&gt;="&amp;DATE(2026,12,15),'DRAFT 2'!$A:$A,"&lt;="&amp;DATE(2026,12,21))</f>
        <v/>
      </c>
      <c r="IV149">
        <f>COUNTIFS('DRAFT 2'!$D:$D,$B149,'DRAFT 2'!$A:$A,"&gt;="&amp;DATE(2026,12,22),'DRAFT 2'!$A:$A,"&lt;"&amp;DATE(2026,IF(12=12,12+1,12+1),1))</f>
        <v/>
      </c>
      <c r="IW149">
        <f>SUM(IS149:IV149)</f>
        <v/>
      </c>
    </row>
    <row r="150">
      <c r="A150">
        <f>IFERROR(INDEX('DRAFT 1'!$A:$A,MATCH($B150,'DRAFT 1'!$B:$B,0)),"")</f>
        <v/>
      </c>
      <c r="C150">
        <f>IFERROR(INDEX('DRAFT 1'!$C:$C,MATCH($B150,'DRAFT 1'!$B:$B,0)),"")</f>
        <v/>
      </c>
      <c r="D150">
        <f>IFERROR(INDEX('DRAFT 1'!$D:$D,MATCH($B150,'DRAFT 1'!$B:$B,0)),"")</f>
        <v/>
      </c>
      <c r="E150">
        <f>IFERROR(INDEX('DRAFT 1'!$E:$E,MATCH($B150,'DRAFT 1'!$B:$B,0)),"")</f>
        <v/>
      </c>
      <c r="F150">
        <f>IFERROR(INDEX('DRAFT 1'!$F:$F,MATCH($B150,'DRAFT 1'!$B:$B,0)),"")</f>
        <v/>
      </c>
      <c r="G150">
        <f>IFERROR(INDEX('DRAFT 1'!$G:$G,MATCH($B150,'DRAFT 1'!$B:$B,0)),"")</f>
        <v/>
      </c>
      <c r="H150">
        <f>IFERROR(INDEX('DRAFT 1'!$H:$H,MATCH($B150,'DRAFT 1'!$B:$B,0)),"")</f>
        <v/>
      </c>
      <c r="I150">
        <f>IFERROR(INDEX('DRAFT 1'!$I:$I,MATCH($B150,'DRAFT 1'!$B:$B,0)),"")</f>
        <v/>
      </c>
      <c r="K150">
        <f>IFERROR(INDEX('DRAFT 1'!$AL:$AL,MATCH($B150,'DRAFT 1'!$B:$B,0)),"")</f>
        <v/>
      </c>
      <c r="L150">
        <f>IFERROR(INDEX('DRAFT 1'!$J:$J,MATCH($B150,'DRAFT 1'!$B:$B,0)),"")</f>
        <v/>
      </c>
      <c r="M150">
        <f>IFERROR(INDEX('DRAFT 1'!$K:$K,MATCH($B150,'DRAFT 1'!$B:$B,0)),"")</f>
        <v/>
      </c>
      <c r="P150">
        <f>IFERROR(INDEX('DRAFT 1'!$L:$L,MATCH($B150,'DRAFT 1'!$B:$B,0)),"")</f>
        <v/>
      </c>
      <c r="Q150">
        <f>IFERROR(INDEX('DRAFT 1'!$M:$M,MATCH($B150,'DRAFT 1'!$B:$B,0)),"")</f>
        <v/>
      </c>
      <c r="R150">
        <f>IFERROR(INDEX('DRAFT 1'!$N:$N,MATCH($B150,'DRAFT 1'!$B:$B,0)),"")</f>
        <v/>
      </c>
      <c r="S150">
        <f>IFERROR(INDEX('DRAFT 1'!$O:$O,MATCH($B150,'DRAFT 1'!$B:$B,0)),"")</f>
        <v/>
      </c>
      <c r="T150">
        <f>IFERROR(INDEX('DRAFT 1'!$P:$P,MATCH($B150,'DRAFT 1'!$B:$B,0)),"")</f>
        <v/>
      </c>
      <c r="U150">
        <f>IFERROR(INDEX('DRAFT 1'!$Q:$Q,MATCH($B150,'DRAFT 1'!$B:$B,0)),"")</f>
        <v/>
      </c>
      <c r="V150">
        <f>IFERROR(INDEX('DRAFT 1'!$R:$R,MATCH($B150,'DRAFT 1'!$B:$B,0)),"")</f>
        <v/>
      </c>
      <c r="W150">
        <f>IFERROR(INDEX('DRAFT 1'!$S:$S,MATCH($B150,'DRAFT 1'!$B:$B,0)),"")</f>
        <v/>
      </c>
      <c r="X150">
        <f>IFERROR(INDEX('DRAFT 1'!$T:$T,MATCH($B150,'DRAFT 1'!$B:$B,0)),"")</f>
        <v/>
      </c>
      <c r="Z150">
        <f>IFERROR(INDEX('DRAFT 1'!$U:$U,MATCH($B150,'DRAFT 1'!$B:$B,0)),"")</f>
        <v/>
      </c>
      <c r="AA150">
        <f>IFERROR(INDEX('DRAFT 1'!$V:$V,MATCH($B150,'DRAFT 1'!$B:$B,0)),"")</f>
        <v/>
      </c>
      <c r="AB150">
        <f>IFERROR(INDEX('DRAFT 1'!$W:$W,MATCH($B150,'DRAFT 1'!$B:$B,0)),"")</f>
        <v/>
      </c>
      <c r="AC150">
        <f>IFERROR(INDEX('DRAFT 1'!$X:$X,MATCH($B150,'DRAFT 1'!$B:$B,0)),"")</f>
        <v/>
      </c>
      <c r="AD150">
        <f>IFERROR(INDEX('DRAFT 1'!$Y:$Y,MATCH($B150,'DRAFT 1'!$B:$B,0)),"")</f>
        <v/>
      </c>
      <c r="AE150">
        <f>IFERROR(INDEX('DRAFT 1'!$Z:$Z,MATCH($B150,'DRAFT 1'!$B:$B,0)),"")</f>
        <v/>
      </c>
      <c r="AF150">
        <f>IFERROR(INDEX('DRAFT 1'!$AA:$AA,MATCH($B150,'DRAFT 1'!$B:$B,0)),"")</f>
        <v/>
      </c>
      <c r="AG150">
        <f>IFERROR(INDEX('DRAFT 1'!$AB:$AB,MATCH($B150,'DRAFT 1'!$B:$B,0)),"")</f>
        <v/>
      </c>
      <c r="AH150">
        <f>IFERROR(INDEX('DRAFT 1'!$AC:$AC,MATCH($B150,'DRAFT 1'!$B:$B,0)),"")</f>
        <v/>
      </c>
      <c r="AI150">
        <f>IFERROR(INDEX('DRAFT 1'!$AD:$AD,MATCH($B150,'DRAFT 1'!$B:$B,0)),"")</f>
        <v/>
      </c>
      <c r="AJ150">
        <f>IFERROR(INDEX('DRAFT 1'!$AE:$AE,MATCH($B150,'DRAFT 1'!$B:$B,0)),"")</f>
        <v/>
      </c>
      <c r="AK150">
        <f>IFERROR(INDEX('DRAFT 1'!$AG:$AG,MATCH($B150,'DRAFT 1'!$B:$B,0)),"")</f>
        <v/>
      </c>
      <c r="AL150">
        <f>IFERROR(INDEX('DRAFT 1'!$AH:$AH,MATCH($B150,'DRAFT 1'!$B:$B,0)),"")</f>
        <v/>
      </c>
      <c r="AM150">
        <f>IFERROR(INDEX('DRAFT 1'!$AI:$AI,MATCH($B150,'DRAFT 1'!$B:$B,0)),"")</f>
        <v/>
      </c>
      <c r="AN150">
        <f>IFERROR(INDEX('DRAFT 1'!$AJ:$AJ,MATCH($B150,'DRAFT 1'!$B:$B,0)),"")</f>
        <v/>
      </c>
      <c r="AO150">
        <f>IFERROR(Y150/AN150,0)</f>
        <v/>
      </c>
      <c r="AP150">
        <f>IFERROR(INDEX('DRAFT 1'!$AK:$AK,MATCH($B150,'DRAFT 1'!$B:$B,0)),"")</f>
        <v/>
      </c>
      <c r="AR150">
        <f>IFERROR(LOOKUP(2,1/('DRAFT 2'!$D:$D=$B150),'DRAFT 2'!$I:$I),"")</f>
        <v/>
      </c>
      <c r="AS150">
        <f>IFERROR(LOOKUP(2,1/('DRAFT 2'!$D:$D=$B150),'DRAFT 2'!$T:$T),"")</f>
        <v/>
      </c>
      <c r="AT150">
        <f>IFERROR(LOOKUP(2,1/('DRAFT 2'!$D:$D=$B150),'DRAFT 2'!$A:$A),"")</f>
        <v/>
      </c>
      <c r="AU150">
        <f>IFERROR(LOOKUP(2,1/('DRAFT 2'!$D:$D=$B150),'DRAFT 2'!$R:$R),"")</f>
        <v/>
      </c>
      <c r="AV150">
        <f>IFERROR(LOOKUP(2,1/('DRAFT 2'!$D:$D=$B150),'DRAFT 2'!$S:$S),"")</f>
        <v/>
      </c>
      <c r="AX150">
        <f>IFERROR(LOOKUP(2,1/('DRAFT 2'!$D:$D=$B150),'DRAFT 2'!$M:$M),"")</f>
        <v/>
      </c>
      <c r="AY150">
        <f>IFERROR(LOOKUP(2,1/('DRAFT 2'!$D:$D=$B150),'DRAFT 2'!$K:$K),"")</f>
        <v/>
      </c>
      <c r="BG150">
        <f>IFERROR(LOOKUP(2,1/('DRAFT 2'!$D:$D=$B150),'DRAFT 2'!$U:$U),"")</f>
        <v/>
      </c>
      <c r="BH150">
        <f>IFERROR(LOOKUP(2,1/('DRAFT 2'!$D:$D=$B150),'DRAFT 2'!$V:$V),"")</f>
        <v/>
      </c>
      <c r="CE150">
        <f>IFERROR(AJ150,0)</f>
        <v/>
      </c>
      <c r="CF150">
        <f>IFERROR(LOOKUP(2,1/('DRAFT 2'!$D:$D=$B150)*('DRAFT 2'!$A:$A&gt;=DATE(2026,1,1))*('DRAFT 2'!$A:$A&lt;DATE(2026,IF(1=12,1+1,1+1),1)),'DRAFT 2'!$A:$A),"")</f>
        <v/>
      </c>
      <c r="CG150">
        <f>COUNTIFS('DRAFT 2'!$D:$D,$B150,'DRAFT 2'!$A:$A,"&gt;="&amp;DATE(2026,1,1),'DRAFT 2'!$A:$A,"&lt;="&amp;DATE(2026,1,7))</f>
        <v/>
      </c>
      <c r="CH150">
        <f>COUNTIFS('DRAFT 2'!$D:$D,$B150,'DRAFT 2'!$A:$A,"&gt;="&amp;DATE(2026,1,8),'DRAFT 2'!$A:$A,"&lt;="&amp;DATE(2026,1,14))</f>
        <v/>
      </c>
      <c r="CI150">
        <f>COUNTIFS('DRAFT 2'!$D:$D,$B150,'DRAFT 2'!$A:$A,"&gt;="&amp;DATE(2026,1,15),'DRAFT 2'!$A:$A,"&lt;="&amp;DATE(2026,1,21))</f>
        <v/>
      </c>
      <c r="CJ150">
        <f>COUNTIFS('DRAFT 2'!$D:$D,$B150,'DRAFT 2'!$A:$A,"&gt;="&amp;DATE(2026,1,22),'DRAFT 2'!$A:$A,"&lt;"&amp;DATE(2026,IF(1=12,1+1,1+1),1))</f>
        <v/>
      </c>
      <c r="CK150">
        <f>SUM(CG150:CJ150)</f>
        <v/>
      </c>
      <c r="CT150" t="n">
        <v>0</v>
      </c>
      <c r="CU150">
        <f>IFERROR(LOOKUP(2,1/('DRAFT 2'!$D:$D=$B150)*('DRAFT 2'!$A:$A&gt;=DATE(2026,2,1))*('DRAFT 2'!$A:$A&lt;DATE(2026,IF(2=12,2+1,2+1),1)),'DRAFT 2'!$A:$A),"")</f>
        <v/>
      </c>
      <c r="CV150">
        <f>COUNTIFS('DRAFT 2'!$D:$D,$B150,'DRAFT 2'!$A:$A,"&gt;="&amp;DATE(2026,2,1),'DRAFT 2'!$A:$A,"&lt;="&amp;DATE(2026,2,7))</f>
        <v/>
      </c>
      <c r="CW150">
        <f>COUNTIFS('DRAFT 2'!$D:$D,$B150,'DRAFT 2'!$A:$A,"&gt;="&amp;DATE(2026,2,8),'DRAFT 2'!$A:$A,"&lt;="&amp;DATE(2026,2,14))</f>
        <v/>
      </c>
      <c r="CX150">
        <f>COUNTIFS('DRAFT 2'!$D:$D,$B150,'DRAFT 2'!$A:$A,"&gt;="&amp;DATE(2026,2,15),'DRAFT 2'!$A:$A,"&lt;="&amp;DATE(2026,2,21))</f>
        <v/>
      </c>
      <c r="CY150">
        <f>COUNTIFS('DRAFT 2'!$D:$D,$B150,'DRAFT 2'!$A:$A,"&gt;="&amp;DATE(2026,2,22),'DRAFT 2'!$A:$A,"&lt;"&amp;DATE(2026,IF(2=12,2+1,2+1),1))</f>
        <v/>
      </c>
      <c r="CZ150">
        <f>SUM(CV150:CY150)</f>
        <v/>
      </c>
      <c r="DJ150">
        <f>IFERROR(LOOKUP(2,1/('DRAFT 2'!$D:$D=$B150)*('DRAFT 2'!$A:$A&gt;=DATE(2026,3,1))*('DRAFT 2'!$A:$A&lt;DATE(2026,IF(3=12,3+1,3+1),1)),'DRAFT 2'!$A:$A),"")</f>
        <v/>
      </c>
      <c r="DK150">
        <f>COUNTIFS('DRAFT 2'!$D:$D,$B150,'DRAFT 2'!$A:$A,"&gt;="&amp;DATE(2026,3,1),'DRAFT 2'!$A:$A,"&lt;="&amp;DATE(2026,3,7))</f>
        <v/>
      </c>
      <c r="DL150">
        <f>COUNTIFS('DRAFT 2'!$D:$D,$B150,'DRAFT 2'!$A:$A,"&gt;="&amp;DATE(2026,3,8),'DRAFT 2'!$A:$A,"&lt;="&amp;DATE(2026,3,14))</f>
        <v/>
      </c>
      <c r="DM150">
        <f>COUNTIFS('DRAFT 2'!$D:$D,$B150,'DRAFT 2'!$A:$A,"&gt;="&amp;DATE(2026,3,15),'DRAFT 2'!$A:$A,"&lt;="&amp;DATE(2026,3,21))</f>
        <v/>
      </c>
      <c r="DN150">
        <f>COUNTIFS('DRAFT 2'!$D:$D,$B150,'DRAFT 2'!$A:$A,"&gt;="&amp;DATE(2026,3,22),'DRAFT 2'!$A:$A,"&lt;"&amp;DATE(2026,IF(3=12,3+1,3+1),1))</f>
        <v/>
      </c>
      <c r="DO150">
        <f>SUM(DK150:DN150)</f>
        <v/>
      </c>
      <c r="DZ150">
        <f>IFERROR(LOOKUP(2,1/('DRAFT 2'!$D:$D=$B150)*('DRAFT 2'!$A:$A&gt;=DATE(2026,4,1))*('DRAFT 2'!$A:$A&lt;DATE(2026,IF(4=12,4+1,4+1),1)),'DRAFT 2'!$A:$A),"")</f>
        <v/>
      </c>
      <c r="EA150">
        <f>COUNTIFS('DRAFT 2'!$D:$D,$B150,'DRAFT 2'!$A:$A,"&gt;="&amp;DATE(2026,4,1),'DRAFT 2'!$A:$A,"&lt;="&amp;DATE(2026,4,7))</f>
        <v/>
      </c>
      <c r="EB150">
        <f>COUNTIFS('DRAFT 2'!$D:$D,$B150,'DRAFT 2'!$A:$A,"&gt;="&amp;DATE(2026,4,8),'DRAFT 2'!$A:$A,"&lt;="&amp;DATE(2026,4,14))</f>
        <v/>
      </c>
      <c r="EC150">
        <f>COUNTIFS('DRAFT 2'!$D:$D,$B150,'DRAFT 2'!$A:$A,"&gt;="&amp;DATE(2026,4,15),'DRAFT 2'!$A:$A,"&lt;="&amp;DATE(2026,4,21))</f>
        <v/>
      </c>
      <c r="ED150">
        <f>COUNTIFS('DRAFT 2'!$D:$D,$B150,'DRAFT 2'!$A:$A,"&gt;="&amp;DATE(2026,4,22),'DRAFT 2'!$A:$A,"&lt;"&amp;DATE(2026,IF(4=12,4+1,4+1),1))</f>
        <v/>
      </c>
      <c r="EE150">
        <f>SUM(EA150:ED150)</f>
        <v/>
      </c>
      <c r="EO150">
        <f>IFERROR(LOOKUP(2,1/('DRAFT 2'!$D:$D=$B150)*('DRAFT 2'!$A:$A&gt;=DATE(2026,5,1))*('DRAFT 2'!$A:$A&lt;DATE(2026,IF(5=12,5+1,5+1),1)),'DRAFT 2'!$A:$A),"")</f>
        <v/>
      </c>
      <c r="EP150">
        <f>COUNTIFS('DRAFT 2'!$D:$D,$B150,'DRAFT 2'!$A:$A,"&gt;="&amp;DATE(2026,5,1),'DRAFT 2'!$A:$A,"&lt;="&amp;DATE(2026,5,7))</f>
        <v/>
      </c>
      <c r="EQ150">
        <f>COUNTIFS('DRAFT 2'!$D:$D,$B150,'DRAFT 2'!$A:$A,"&gt;="&amp;DATE(2026,5,8),'DRAFT 2'!$A:$A,"&lt;="&amp;DATE(2026,5,14))</f>
        <v/>
      </c>
      <c r="ER150">
        <f>COUNTIFS('DRAFT 2'!$D:$D,$B150,'DRAFT 2'!$A:$A,"&gt;="&amp;DATE(2026,5,15),'DRAFT 2'!$A:$A,"&lt;="&amp;DATE(2026,5,21))</f>
        <v/>
      </c>
      <c r="ES150">
        <f>COUNTIFS('DRAFT 2'!$D:$D,$B150,'DRAFT 2'!$A:$A,"&gt;="&amp;DATE(2026,5,22),'DRAFT 2'!$A:$A,"&lt;"&amp;DATE(2026,IF(5=12,5+1,5+1),1))</f>
        <v/>
      </c>
      <c r="ET150">
        <f>SUM(EP150:ES150)</f>
        <v/>
      </c>
      <c r="FD150">
        <f>IFERROR(LOOKUP(2,1/('DRAFT 2'!$D:$D=$B150)*('DRAFT 2'!$A:$A&gt;=DATE(2026,6,1))*('DRAFT 2'!$A:$A&lt;DATE(2026,IF(6=12,6+1,6+1),1)),'DRAFT 2'!$A:$A),"")</f>
        <v/>
      </c>
      <c r="FE150">
        <f>COUNTIFS('DRAFT 2'!$D:$D,$B150,'DRAFT 2'!$A:$A,"&gt;="&amp;DATE(2026,6,1),'DRAFT 2'!$A:$A,"&lt;="&amp;DATE(2026,6,7))</f>
        <v/>
      </c>
      <c r="FF150">
        <f>COUNTIFS('DRAFT 2'!$D:$D,$B150,'DRAFT 2'!$A:$A,"&gt;="&amp;DATE(2026,6,8),'DRAFT 2'!$A:$A,"&lt;="&amp;DATE(2026,6,14))</f>
        <v/>
      </c>
      <c r="FG150">
        <f>COUNTIFS('DRAFT 2'!$D:$D,$B150,'DRAFT 2'!$A:$A,"&gt;="&amp;DATE(2026,6,15),'DRAFT 2'!$A:$A,"&lt;="&amp;DATE(2026,6,21))</f>
        <v/>
      </c>
      <c r="FH150">
        <f>COUNTIFS('DRAFT 2'!$D:$D,$B150,'DRAFT 2'!$A:$A,"&gt;="&amp;DATE(2026,6,22),'DRAFT 2'!$A:$A,"&lt;"&amp;DATE(2026,IF(6=12,6+1,6+1),1))</f>
        <v/>
      </c>
      <c r="FI150">
        <f>SUM(FE150:FH150)</f>
        <v/>
      </c>
      <c r="FT150">
        <f>IFERROR(LOOKUP(2,1/('DRAFT 2'!$D:$D=$B150)*('DRAFT 2'!$A:$A&gt;=DATE(2026,7,1))*('DRAFT 2'!$A:$A&lt;DATE(2026,IF(7=12,7+1,7+1),1)),'DRAFT 2'!$A:$A),"")</f>
        <v/>
      </c>
      <c r="FU150">
        <f>COUNTIFS('DRAFT 2'!$D:$D,$B150,'DRAFT 2'!$A:$A,"&gt;="&amp;DATE(2026,7,1),'DRAFT 2'!$A:$A,"&lt;="&amp;DATE(2026,7,7))</f>
        <v/>
      </c>
      <c r="FV150">
        <f>COUNTIFS('DRAFT 2'!$D:$D,$B150,'DRAFT 2'!$A:$A,"&gt;="&amp;DATE(2026,7,8),'DRAFT 2'!$A:$A,"&lt;="&amp;DATE(2026,7,14))</f>
        <v/>
      </c>
      <c r="FW150">
        <f>COUNTIFS('DRAFT 2'!$D:$D,$B150,'DRAFT 2'!$A:$A,"&gt;="&amp;DATE(2026,7,15),'DRAFT 2'!$A:$A,"&lt;="&amp;DATE(2026,7,21))</f>
        <v/>
      </c>
      <c r="FX150">
        <f>COUNTIFS('DRAFT 2'!$D:$D,$B150,'DRAFT 2'!$A:$A,"&gt;="&amp;DATE(2026,7,22),'DRAFT 2'!$A:$A,"&lt;"&amp;DATE(2026,IF(7=12,7+1,7+1),1))</f>
        <v/>
      </c>
      <c r="FY150">
        <f>SUM(FU150:FX150)</f>
        <v/>
      </c>
      <c r="GI150">
        <f>IFERROR(LOOKUP(2,1/('DRAFT 2'!$D:$D=$B150)*('DRAFT 2'!$A:$A&gt;=DATE(2026,8,1))*('DRAFT 2'!$A:$A&lt;DATE(2026,IF(8=12,8+1,8+1),1)),'DRAFT 2'!$A:$A),"")</f>
        <v/>
      </c>
      <c r="GJ150">
        <f>COUNTIFS('DRAFT 2'!$D:$D,$B150,'DRAFT 2'!$A:$A,"&gt;="&amp;DATE(2026,8,1),'DRAFT 2'!$A:$A,"&lt;="&amp;DATE(2026,8,7))</f>
        <v/>
      </c>
      <c r="GK150">
        <f>COUNTIFS('DRAFT 2'!$D:$D,$B150,'DRAFT 2'!$A:$A,"&gt;="&amp;DATE(2026,8,8),'DRAFT 2'!$A:$A,"&lt;="&amp;DATE(2026,8,14))</f>
        <v/>
      </c>
      <c r="GL150">
        <f>COUNTIFS('DRAFT 2'!$D:$D,$B150,'DRAFT 2'!$A:$A,"&gt;="&amp;DATE(2026,8,15),'DRAFT 2'!$A:$A,"&lt;="&amp;DATE(2026,8,21))</f>
        <v/>
      </c>
      <c r="GM150">
        <f>COUNTIFS('DRAFT 2'!$D:$D,$B150,'DRAFT 2'!$A:$A,"&gt;="&amp;DATE(2026,8,22),'DRAFT 2'!$A:$A,"&lt;"&amp;DATE(2026,IF(8=12,8+1,8+1),1))</f>
        <v/>
      </c>
      <c r="GN150">
        <f>SUM(GJ150:GM150)</f>
        <v/>
      </c>
      <c r="GX150">
        <f>IFERROR(LOOKUP(2,1/('DRAFT 2'!$D:$D=$B150)*('DRAFT 2'!$A:$A&gt;=DATE(2026,9,1))*('DRAFT 2'!$A:$A&lt;DATE(2026,IF(9=12,9+1,9+1),1)),'DRAFT 2'!$A:$A),"")</f>
        <v/>
      </c>
      <c r="GY150">
        <f>COUNTIFS('DRAFT 2'!$D:$D,$B150,'DRAFT 2'!$A:$A,"&gt;="&amp;DATE(2026,9,1),'DRAFT 2'!$A:$A,"&lt;="&amp;DATE(2026,9,7))</f>
        <v/>
      </c>
      <c r="GZ150">
        <f>COUNTIFS('DRAFT 2'!$D:$D,$B150,'DRAFT 2'!$A:$A,"&gt;="&amp;DATE(2026,9,8),'DRAFT 2'!$A:$A,"&lt;="&amp;DATE(2026,9,14))</f>
        <v/>
      </c>
      <c r="HA150">
        <f>COUNTIFS('DRAFT 2'!$D:$D,$B150,'DRAFT 2'!$A:$A,"&gt;="&amp;DATE(2026,9,15),'DRAFT 2'!$A:$A,"&lt;="&amp;DATE(2026,9,21))</f>
        <v/>
      </c>
      <c r="HB150">
        <f>COUNTIFS('DRAFT 2'!$D:$D,$B150,'DRAFT 2'!$A:$A,"&gt;="&amp;DATE(2026,9,22),'DRAFT 2'!$A:$A,"&lt;"&amp;DATE(2026,IF(9=12,9+1,9+1),1))</f>
        <v/>
      </c>
      <c r="HC150">
        <f>SUM(GY150:HB150)</f>
        <v/>
      </c>
      <c r="HN150">
        <f>IFERROR(LOOKUP(2,1/('DRAFT 2'!$D:$D=$B150)*('DRAFT 2'!$A:$A&gt;=DATE(2026,10,1))*('DRAFT 2'!$A:$A&lt;DATE(2026,IF(10=12,10+1,10+1),1)),'DRAFT 2'!$A:$A),"")</f>
        <v/>
      </c>
      <c r="HO150">
        <f>COUNTIFS('DRAFT 2'!$D:$D,$B150,'DRAFT 2'!$A:$A,"&gt;="&amp;DATE(2026,10,1),'DRAFT 2'!$A:$A,"&lt;="&amp;DATE(2026,10,7))</f>
        <v/>
      </c>
      <c r="HP150">
        <f>COUNTIFS('DRAFT 2'!$D:$D,$B150,'DRAFT 2'!$A:$A,"&gt;="&amp;DATE(2026,10,8),'DRAFT 2'!$A:$A,"&lt;="&amp;DATE(2026,10,14))</f>
        <v/>
      </c>
      <c r="HQ150">
        <f>COUNTIFS('DRAFT 2'!$D:$D,$B150,'DRAFT 2'!$A:$A,"&gt;="&amp;DATE(2026,10,15),'DRAFT 2'!$A:$A,"&lt;="&amp;DATE(2026,10,21))</f>
        <v/>
      </c>
      <c r="HR150">
        <f>COUNTIFS('DRAFT 2'!$D:$D,$B150,'DRAFT 2'!$A:$A,"&gt;="&amp;DATE(2026,10,22),'DRAFT 2'!$A:$A,"&lt;"&amp;DATE(2026,IF(10=12,10+1,10+1),1))</f>
        <v/>
      </c>
      <c r="HS150">
        <f>SUM(HO150:HR150)</f>
        <v/>
      </c>
      <c r="IC150">
        <f>IFERROR(LOOKUP(2,1/('DRAFT 2'!$D:$D=$B150)*('DRAFT 2'!$A:$A&gt;=DATE(2026,11,1))*('DRAFT 2'!$A:$A&lt;DATE(2026,IF(11=12,11+1,11+1),1)),'DRAFT 2'!$A:$A),"")</f>
        <v/>
      </c>
      <c r="ID150">
        <f>COUNTIFS('DRAFT 2'!$D:$D,$B150,'DRAFT 2'!$A:$A,"&gt;="&amp;DATE(2026,11,1),'DRAFT 2'!$A:$A,"&lt;="&amp;DATE(2026,11,7))</f>
        <v/>
      </c>
      <c r="IE150">
        <f>COUNTIFS('DRAFT 2'!$D:$D,$B150,'DRAFT 2'!$A:$A,"&gt;="&amp;DATE(2026,11,8),'DRAFT 2'!$A:$A,"&lt;="&amp;DATE(2026,11,14))</f>
        <v/>
      </c>
      <c r="IF150">
        <f>COUNTIFS('DRAFT 2'!$D:$D,$B150,'DRAFT 2'!$A:$A,"&gt;="&amp;DATE(2026,11,15),'DRAFT 2'!$A:$A,"&lt;="&amp;DATE(2026,11,21))</f>
        <v/>
      </c>
      <c r="IG150">
        <f>COUNTIFS('DRAFT 2'!$D:$D,$B150,'DRAFT 2'!$A:$A,"&gt;="&amp;DATE(2026,11,22),'DRAFT 2'!$A:$A,"&lt;"&amp;DATE(2026,IF(11=12,11+1,11+1),1))</f>
        <v/>
      </c>
      <c r="IH150">
        <f>SUM(ID150:IG150)</f>
        <v/>
      </c>
      <c r="IR150">
        <f>IFERROR(LOOKUP(2,1/('DRAFT 2'!$D:$D=$B150)*('DRAFT 2'!$A:$A&gt;=DATE(2026,12,1))*('DRAFT 2'!$A:$A&lt;DATE(2026,IF(12=12,12+1,12+1),1)),'DRAFT 2'!$A:$A),"")</f>
        <v/>
      </c>
      <c r="IS150">
        <f>COUNTIFS('DRAFT 2'!$D:$D,$B150,'DRAFT 2'!$A:$A,"&gt;="&amp;DATE(2026,12,1),'DRAFT 2'!$A:$A,"&lt;="&amp;DATE(2026,12,7))</f>
        <v/>
      </c>
      <c r="IT150">
        <f>COUNTIFS('DRAFT 2'!$D:$D,$B150,'DRAFT 2'!$A:$A,"&gt;="&amp;DATE(2026,12,8),'DRAFT 2'!$A:$A,"&lt;="&amp;DATE(2026,12,14))</f>
        <v/>
      </c>
      <c r="IU150">
        <f>COUNTIFS('DRAFT 2'!$D:$D,$B150,'DRAFT 2'!$A:$A,"&gt;="&amp;DATE(2026,12,15),'DRAFT 2'!$A:$A,"&lt;="&amp;DATE(2026,12,21))</f>
        <v/>
      </c>
      <c r="IV150">
        <f>COUNTIFS('DRAFT 2'!$D:$D,$B150,'DRAFT 2'!$A:$A,"&gt;="&amp;DATE(2026,12,22),'DRAFT 2'!$A:$A,"&lt;"&amp;DATE(2026,IF(12=12,12+1,12+1),1))</f>
        <v/>
      </c>
      <c r="IW150">
        <f>SUM(IS150:IV150)</f>
        <v/>
      </c>
    </row>
    <row r="151">
      <c r="A151">
        <f>IFERROR(INDEX('DRAFT 1'!$A:$A,MATCH($B151,'DRAFT 1'!$B:$B,0)),"")</f>
        <v/>
      </c>
      <c r="C151">
        <f>IFERROR(INDEX('DRAFT 1'!$C:$C,MATCH($B151,'DRAFT 1'!$B:$B,0)),"")</f>
        <v/>
      </c>
      <c r="D151">
        <f>IFERROR(INDEX('DRAFT 1'!$D:$D,MATCH($B151,'DRAFT 1'!$B:$B,0)),"")</f>
        <v/>
      </c>
      <c r="E151">
        <f>IFERROR(INDEX('DRAFT 1'!$E:$E,MATCH($B151,'DRAFT 1'!$B:$B,0)),"")</f>
        <v/>
      </c>
      <c r="F151">
        <f>IFERROR(INDEX('DRAFT 1'!$F:$F,MATCH($B151,'DRAFT 1'!$B:$B,0)),"")</f>
        <v/>
      </c>
      <c r="G151">
        <f>IFERROR(INDEX('DRAFT 1'!$G:$G,MATCH($B151,'DRAFT 1'!$B:$B,0)),"")</f>
        <v/>
      </c>
      <c r="H151">
        <f>IFERROR(INDEX('DRAFT 1'!$H:$H,MATCH($B151,'DRAFT 1'!$B:$B,0)),"")</f>
        <v/>
      </c>
      <c r="I151">
        <f>IFERROR(INDEX('DRAFT 1'!$I:$I,MATCH($B151,'DRAFT 1'!$B:$B,0)),"")</f>
        <v/>
      </c>
      <c r="K151">
        <f>IFERROR(INDEX('DRAFT 1'!$AL:$AL,MATCH($B151,'DRAFT 1'!$B:$B,0)),"")</f>
        <v/>
      </c>
      <c r="L151">
        <f>IFERROR(INDEX('DRAFT 1'!$J:$J,MATCH($B151,'DRAFT 1'!$B:$B,0)),"")</f>
        <v/>
      </c>
      <c r="M151">
        <f>IFERROR(INDEX('DRAFT 1'!$K:$K,MATCH($B151,'DRAFT 1'!$B:$B,0)),"")</f>
        <v/>
      </c>
      <c r="P151">
        <f>IFERROR(INDEX('DRAFT 1'!$L:$L,MATCH($B151,'DRAFT 1'!$B:$B,0)),"")</f>
        <v/>
      </c>
      <c r="Q151">
        <f>IFERROR(INDEX('DRAFT 1'!$M:$M,MATCH($B151,'DRAFT 1'!$B:$B,0)),"")</f>
        <v/>
      </c>
      <c r="R151">
        <f>IFERROR(INDEX('DRAFT 1'!$N:$N,MATCH($B151,'DRAFT 1'!$B:$B,0)),"")</f>
        <v/>
      </c>
      <c r="S151">
        <f>IFERROR(INDEX('DRAFT 1'!$O:$O,MATCH($B151,'DRAFT 1'!$B:$B,0)),"")</f>
        <v/>
      </c>
      <c r="T151">
        <f>IFERROR(INDEX('DRAFT 1'!$P:$P,MATCH($B151,'DRAFT 1'!$B:$B,0)),"")</f>
        <v/>
      </c>
      <c r="U151">
        <f>IFERROR(INDEX('DRAFT 1'!$Q:$Q,MATCH($B151,'DRAFT 1'!$B:$B,0)),"")</f>
        <v/>
      </c>
      <c r="V151">
        <f>IFERROR(INDEX('DRAFT 1'!$R:$R,MATCH($B151,'DRAFT 1'!$B:$B,0)),"")</f>
        <v/>
      </c>
      <c r="W151">
        <f>IFERROR(INDEX('DRAFT 1'!$S:$S,MATCH($B151,'DRAFT 1'!$B:$B,0)),"")</f>
        <v/>
      </c>
      <c r="X151">
        <f>IFERROR(INDEX('DRAFT 1'!$T:$T,MATCH($B151,'DRAFT 1'!$B:$B,0)),"")</f>
        <v/>
      </c>
      <c r="Z151">
        <f>IFERROR(INDEX('DRAFT 1'!$U:$U,MATCH($B151,'DRAFT 1'!$B:$B,0)),"")</f>
        <v/>
      </c>
      <c r="AA151">
        <f>IFERROR(INDEX('DRAFT 1'!$V:$V,MATCH($B151,'DRAFT 1'!$B:$B,0)),"")</f>
        <v/>
      </c>
      <c r="AB151">
        <f>IFERROR(INDEX('DRAFT 1'!$W:$W,MATCH($B151,'DRAFT 1'!$B:$B,0)),"")</f>
        <v/>
      </c>
      <c r="AC151">
        <f>IFERROR(INDEX('DRAFT 1'!$X:$X,MATCH($B151,'DRAFT 1'!$B:$B,0)),"")</f>
        <v/>
      </c>
      <c r="AD151">
        <f>IFERROR(INDEX('DRAFT 1'!$Y:$Y,MATCH($B151,'DRAFT 1'!$B:$B,0)),"")</f>
        <v/>
      </c>
      <c r="AE151">
        <f>IFERROR(INDEX('DRAFT 1'!$Z:$Z,MATCH($B151,'DRAFT 1'!$B:$B,0)),"")</f>
        <v/>
      </c>
      <c r="AF151">
        <f>IFERROR(INDEX('DRAFT 1'!$AA:$AA,MATCH($B151,'DRAFT 1'!$B:$B,0)),"")</f>
        <v/>
      </c>
      <c r="AG151">
        <f>IFERROR(INDEX('DRAFT 1'!$AB:$AB,MATCH($B151,'DRAFT 1'!$B:$B,0)),"")</f>
        <v/>
      </c>
      <c r="AH151">
        <f>IFERROR(INDEX('DRAFT 1'!$AC:$AC,MATCH($B151,'DRAFT 1'!$B:$B,0)),"")</f>
        <v/>
      </c>
      <c r="AI151">
        <f>IFERROR(INDEX('DRAFT 1'!$AD:$AD,MATCH($B151,'DRAFT 1'!$B:$B,0)),"")</f>
        <v/>
      </c>
      <c r="AJ151">
        <f>IFERROR(INDEX('DRAFT 1'!$AE:$AE,MATCH($B151,'DRAFT 1'!$B:$B,0)),"")</f>
        <v/>
      </c>
      <c r="AK151">
        <f>IFERROR(INDEX('DRAFT 1'!$AG:$AG,MATCH($B151,'DRAFT 1'!$B:$B,0)),"")</f>
        <v/>
      </c>
      <c r="AL151">
        <f>IFERROR(INDEX('DRAFT 1'!$AH:$AH,MATCH($B151,'DRAFT 1'!$B:$B,0)),"")</f>
        <v/>
      </c>
      <c r="AM151">
        <f>IFERROR(INDEX('DRAFT 1'!$AI:$AI,MATCH($B151,'DRAFT 1'!$B:$B,0)),"")</f>
        <v/>
      </c>
      <c r="AN151">
        <f>IFERROR(INDEX('DRAFT 1'!$AJ:$AJ,MATCH($B151,'DRAFT 1'!$B:$B,0)),"")</f>
        <v/>
      </c>
      <c r="AO151">
        <f>IFERROR(Y151/AN151,0)</f>
        <v/>
      </c>
      <c r="AP151">
        <f>IFERROR(INDEX('DRAFT 1'!$AK:$AK,MATCH($B151,'DRAFT 1'!$B:$B,0)),"")</f>
        <v/>
      </c>
      <c r="AR151">
        <f>IFERROR(LOOKUP(2,1/('DRAFT 2'!$D:$D=$B151),'DRAFT 2'!$I:$I),"")</f>
        <v/>
      </c>
      <c r="AS151">
        <f>IFERROR(LOOKUP(2,1/('DRAFT 2'!$D:$D=$B151),'DRAFT 2'!$T:$T),"")</f>
        <v/>
      </c>
      <c r="AT151">
        <f>IFERROR(LOOKUP(2,1/('DRAFT 2'!$D:$D=$B151),'DRAFT 2'!$A:$A),"")</f>
        <v/>
      </c>
      <c r="AU151">
        <f>IFERROR(LOOKUP(2,1/('DRAFT 2'!$D:$D=$B151),'DRAFT 2'!$R:$R),"")</f>
        <v/>
      </c>
      <c r="AV151">
        <f>IFERROR(LOOKUP(2,1/('DRAFT 2'!$D:$D=$B151),'DRAFT 2'!$S:$S),"")</f>
        <v/>
      </c>
      <c r="AX151">
        <f>IFERROR(LOOKUP(2,1/('DRAFT 2'!$D:$D=$B151),'DRAFT 2'!$M:$M),"")</f>
        <v/>
      </c>
      <c r="AY151">
        <f>IFERROR(LOOKUP(2,1/('DRAFT 2'!$D:$D=$B151),'DRAFT 2'!$K:$K),"")</f>
        <v/>
      </c>
      <c r="BG151">
        <f>IFERROR(LOOKUP(2,1/('DRAFT 2'!$D:$D=$B151),'DRAFT 2'!$U:$U),"")</f>
        <v/>
      </c>
      <c r="BH151">
        <f>IFERROR(LOOKUP(2,1/('DRAFT 2'!$D:$D=$B151),'DRAFT 2'!$V:$V),"")</f>
        <v/>
      </c>
      <c r="CE151">
        <f>IFERROR(AJ151,0)</f>
        <v/>
      </c>
      <c r="CF151">
        <f>IFERROR(LOOKUP(2,1/('DRAFT 2'!$D:$D=$B151)*('DRAFT 2'!$A:$A&gt;=DATE(2026,1,1))*('DRAFT 2'!$A:$A&lt;DATE(2026,IF(1=12,1+1,1+1),1)),'DRAFT 2'!$A:$A),"")</f>
        <v/>
      </c>
      <c r="CG151">
        <f>COUNTIFS('DRAFT 2'!$D:$D,$B151,'DRAFT 2'!$A:$A,"&gt;="&amp;DATE(2026,1,1),'DRAFT 2'!$A:$A,"&lt;="&amp;DATE(2026,1,7))</f>
        <v/>
      </c>
      <c r="CH151">
        <f>COUNTIFS('DRAFT 2'!$D:$D,$B151,'DRAFT 2'!$A:$A,"&gt;="&amp;DATE(2026,1,8),'DRAFT 2'!$A:$A,"&lt;="&amp;DATE(2026,1,14))</f>
        <v/>
      </c>
      <c r="CI151">
        <f>COUNTIFS('DRAFT 2'!$D:$D,$B151,'DRAFT 2'!$A:$A,"&gt;="&amp;DATE(2026,1,15),'DRAFT 2'!$A:$A,"&lt;="&amp;DATE(2026,1,21))</f>
        <v/>
      </c>
      <c r="CJ151">
        <f>COUNTIFS('DRAFT 2'!$D:$D,$B151,'DRAFT 2'!$A:$A,"&gt;="&amp;DATE(2026,1,22),'DRAFT 2'!$A:$A,"&lt;"&amp;DATE(2026,IF(1=12,1+1,1+1),1))</f>
        <v/>
      </c>
      <c r="CK151">
        <f>SUM(CG151:CJ151)</f>
        <v/>
      </c>
      <c r="CT151" t="n">
        <v>0</v>
      </c>
      <c r="CU151">
        <f>IFERROR(LOOKUP(2,1/('DRAFT 2'!$D:$D=$B151)*('DRAFT 2'!$A:$A&gt;=DATE(2026,2,1))*('DRAFT 2'!$A:$A&lt;DATE(2026,IF(2=12,2+1,2+1),1)),'DRAFT 2'!$A:$A),"")</f>
        <v/>
      </c>
      <c r="CV151">
        <f>COUNTIFS('DRAFT 2'!$D:$D,$B151,'DRAFT 2'!$A:$A,"&gt;="&amp;DATE(2026,2,1),'DRAFT 2'!$A:$A,"&lt;="&amp;DATE(2026,2,7))</f>
        <v/>
      </c>
      <c r="CW151">
        <f>COUNTIFS('DRAFT 2'!$D:$D,$B151,'DRAFT 2'!$A:$A,"&gt;="&amp;DATE(2026,2,8),'DRAFT 2'!$A:$A,"&lt;="&amp;DATE(2026,2,14))</f>
        <v/>
      </c>
      <c r="CX151">
        <f>COUNTIFS('DRAFT 2'!$D:$D,$B151,'DRAFT 2'!$A:$A,"&gt;="&amp;DATE(2026,2,15),'DRAFT 2'!$A:$A,"&lt;="&amp;DATE(2026,2,21))</f>
        <v/>
      </c>
      <c r="CY151">
        <f>COUNTIFS('DRAFT 2'!$D:$D,$B151,'DRAFT 2'!$A:$A,"&gt;="&amp;DATE(2026,2,22),'DRAFT 2'!$A:$A,"&lt;"&amp;DATE(2026,IF(2=12,2+1,2+1),1))</f>
        <v/>
      </c>
      <c r="CZ151">
        <f>SUM(CV151:CY151)</f>
        <v/>
      </c>
      <c r="DJ151">
        <f>IFERROR(LOOKUP(2,1/('DRAFT 2'!$D:$D=$B151)*('DRAFT 2'!$A:$A&gt;=DATE(2026,3,1))*('DRAFT 2'!$A:$A&lt;DATE(2026,IF(3=12,3+1,3+1),1)),'DRAFT 2'!$A:$A),"")</f>
        <v/>
      </c>
      <c r="DK151">
        <f>COUNTIFS('DRAFT 2'!$D:$D,$B151,'DRAFT 2'!$A:$A,"&gt;="&amp;DATE(2026,3,1),'DRAFT 2'!$A:$A,"&lt;="&amp;DATE(2026,3,7))</f>
        <v/>
      </c>
      <c r="DL151">
        <f>COUNTIFS('DRAFT 2'!$D:$D,$B151,'DRAFT 2'!$A:$A,"&gt;="&amp;DATE(2026,3,8),'DRAFT 2'!$A:$A,"&lt;="&amp;DATE(2026,3,14))</f>
        <v/>
      </c>
      <c r="DM151">
        <f>COUNTIFS('DRAFT 2'!$D:$D,$B151,'DRAFT 2'!$A:$A,"&gt;="&amp;DATE(2026,3,15),'DRAFT 2'!$A:$A,"&lt;="&amp;DATE(2026,3,21))</f>
        <v/>
      </c>
      <c r="DN151">
        <f>COUNTIFS('DRAFT 2'!$D:$D,$B151,'DRAFT 2'!$A:$A,"&gt;="&amp;DATE(2026,3,22),'DRAFT 2'!$A:$A,"&lt;"&amp;DATE(2026,IF(3=12,3+1,3+1),1))</f>
        <v/>
      </c>
      <c r="DO151">
        <f>SUM(DK151:DN151)</f>
        <v/>
      </c>
      <c r="DZ151">
        <f>IFERROR(LOOKUP(2,1/('DRAFT 2'!$D:$D=$B151)*('DRAFT 2'!$A:$A&gt;=DATE(2026,4,1))*('DRAFT 2'!$A:$A&lt;DATE(2026,IF(4=12,4+1,4+1),1)),'DRAFT 2'!$A:$A),"")</f>
        <v/>
      </c>
      <c r="EA151">
        <f>COUNTIFS('DRAFT 2'!$D:$D,$B151,'DRAFT 2'!$A:$A,"&gt;="&amp;DATE(2026,4,1),'DRAFT 2'!$A:$A,"&lt;="&amp;DATE(2026,4,7))</f>
        <v/>
      </c>
      <c r="EB151">
        <f>COUNTIFS('DRAFT 2'!$D:$D,$B151,'DRAFT 2'!$A:$A,"&gt;="&amp;DATE(2026,4,8),'DRAFT 2'!$A:$A,"&lt;="&amp;DATE(2026,4,14))</f>
        <v/>
      </c>
      <c r="EC151">
        <f>COUNTIFS('DRAFT 2'!$D:$D,$B151,'DRAFT 2'!$A:$A,"&gt;="&amp;DATE(2026,4,15),'DRAFT 2'!$A:$A,"&lt;="&amp;DATE(2026,4,21))</f>
        <v/>
      </c>
      <c r="ED151">
        <f>COUNTIFS('DRAFT 2'!$D:$D,$B151,'DRAFT 2'!$A:$A,"&gt;="&amp;DATE(2026,4,22),'DRAFT 2'!$A:$A,"&lt;"&amp;DATE(2026,IF(4=12,4+1,4+1),1))</f>
        <v/>
      </c>
      <c r="EE151">
        <f>SUM(EA151:ED151)</f>
        <v/>
      </c>
      <c r="EO151">
        <f>IFERROR(LOOKUP(2,1/('DRAFT 2'!$D:$D=$B151)*('DRAFT 2'!$A:$A&gt;=DATE(2026,5,1))*('DRAFT 2'!$A:$A&lt;DATE(2026,IF(5=12,5+1,5+1),1)),'DRAFT 2'!$A:$A),"")</f>
        <v/>
      </c>
      <c r="EP151">
        <f>COUNTIFS('DRAFT 2'!$D:$D,$B151,'DRAFT 2'!$A:$A,"&gt;="&amp;DATE(2026,5,1),'DRAFT 2'!$A:$A,"&lt;="&amp;DATE(2026,5,7))</f>
        <v/>
      </c>
      <c r="EQ151">
        <f>COUNTIFS('DRAFT 2'!$D:$D,$B151,'DRAFT 2'!$A:$A,"&gt;="&amp;DATE(2026,5,8),'DRAFT 2'!$A:$A,"&lt;="&amp;DATE(2026,5,14))</f>
        <v/>
      </c>
      <c r="ER151">
        <f>COUNTIFS('DRAFT 2'!$D:$D,$B151,'DRAFT 2'!$A:$A,"&gt;="&amp;DATE(2026,5,15),'DRAFT 2'!$A:$A,"&lt;="&amp;DATE(2026,5,21))</f>
        <v/>
      </c>
      <c r="ES151">
        <f>COUNTIFS('DRAFT 2'!$D:$D,$B151,'DRAFT 2'!$A:$A,"&gt;="&amp;DATE(2026,5,22),'DRAFT 2'!$A:$A,"&lt;"&amp;DATE(2026,IF(5=12,5+1,5+1),1))</f>
        <v/>
      </c>
      <c r="ET151">
        <f>SUM(EP151:ES151)</f>
        <v/>
      </c>
      <c r="FD151">
        <f>IFERROR(LOOKUP(2,1/('DRAFT 2'!$D:$D=$B151)*('DRAFT 2'!$A:$A&gt;=DATE(2026,6,1))*('DRAFT 2'!$A:$A&lt;DATE(2026,IF(6=12,6+1,6+1),1)),'DRAFT 2'!$A:$A),"")</f>
        <v/>
      </c>
      <c r="FE151">
        <f>COUNTIFS('DRAFT 2'!$D:$D,$B151,'DRAFT 2'!$A:$A,"&gt;="&amp;DATE(2026,6,1),'DRAFT 2'!$A:$A,"&lt;="&amp;DATE(2026,6,7))</f>
        <v/>
      </c>
      <c r="FF151">
        <f>COUNTIFS('DRAFT 2'!$D:$D,$B151,'DRAFT 2'!$A:$A,"&gt;="&amp;DATE(2026,6,8),'DRAFT 2'!$A:$A,"&lt;="&amp;DATE(2026,6,14))</f>
        <v/>
      </c>
      <c r="FG151">
        <f>COUNTIFS('DRAFT 2'!$D:$D,$B151,'DRAFT 2'!$A:$A,"&gt;="&amp;DATE(2026,6,15),'DRAFT 2'!$A:$A,"&lt;="&amp;DATE(2026,6,21))</f>
        <v/>
      </c>
      <c r="FH151">
        <f>COUNTIFS('DRAFT 2'!$D:$D,$B151,'DRAFT 2'!$A:$A,"&gt;="&amp;DATE(2026,6,22),'DRAFT 2'!$A:$A,"&lt;"&amp;DATE(2026,IF(6=12,6+1,6+1),1))</f>
        <v/>
      </c>
      <c r="FI151">
        <f>SUM(FE151:FH151)</f>
        <v/>
      </c>
      <c r="FT151">
        <f>IFERROR(LOOKUP(2,1/('DRAFT 2'!$D:$D=$B151)*('DRAFT 2'!$A:$A&gt;=DATE(2026,7,1))*('DRAFT 2'!$A:$A&lt;DATE(2026,IF(7=12,7+1,7+1),1)),'DRAFT 2'!$A:$A),"")</f>
        <v/>
      </c>
      <c r="FU151">
        <f>COUNTIFS('DRAFT 2'!$D:$D,$B151,'DRAFT 2'!$A:$A,"&gt;="&amp;DATE(2026,7,1),'DRAFT 2'!$A:$A,"&lt;="&amp;DATE(2026,7,7))</f>
        <v/>
      </c>
      <c r="FV151">
        <f>COUNTIFS('DRAFT 2'!$D:$D,$B151,'DRAFT 2'!$A:$A,"&gt;="&amp;DATE(2026,7,8),'DRAFT 2'!$A:$A,"&lt;="&amp;DATE(2026,7,14))</f>
        <v/>
      </c>
      <c r="FW151">
        <f>COUNTIFS('DRAFT 2'!$D:$D,$B151,'DRAFT 2'!$A:$A,"&gt;="&amp;DATE(2026,7,15),'DRAFT 2'!$A:$A,"&lt;="&amp;DATE(2026,7,21))</f>
        <v/>
      </c>
      <c r="FX151">
        <f>COUNTIFS('DRAFT 2'!$D:$D,$B151,'DRAFT 2'!$A:$A,"&gt;="&amp;DATE(2026,7,22),'DRAFT 2'!$A:$A,"&lt;"&amp;DATE(2026,IF(7=12,7+1,7+1),1))</f>
        <v/>
      </c>
      <c r="FY151">
        <f>SUM(FU151:FX151)</f>
        <v/>
      </c>
      <c r="GI151">
        <f>IFERROR(LOOKUP(2,1/('DRAFT 2'!$D:$D=$B151)*('DRAFT 2'!$A:$A&gt;=DATE(2026,8,1))*('DRAFT 2'!$A:$A&lt;DATE(2026,IF(8=12,8+1,8+1),1)),'DRAFT 2'!$A:$A),"")</f>
        <v/>
      </c>
      <c r="GJ151">
        <f>COUNTIFS('DRAFT 2'!$D:$D,$B151,'DRAFT 2'!$A:$A,"&gt;="&amp;DATE(2026,8,1),'DRAFT 2'!$A:$A,"&lt;="&amp;DATE(2026,8,7))</f>
        <v/>
      </c>
      <c r="GK151">
        <f>COUNTIFS('DRAFT 2'!$D:$D,$B151,'DRAFT 2'!$A:$A,"&gt;="&amp;DATE(2026,8,8),'DRAFT 2'!$A:$A,"&lt;="&amp;DATE(2026,8,14))</f>
        <v/>
      </c>
      <c r="GL151">
        <f>COUNTIFS('DRAFT 2'!$D:$D,$B151,'DRAFT 2'!$A:$A,"&gt;="&amp;DATE(2026,8,15),'DRAFT 2'!$A:$A,"&lt;="&amp;DATE(2026,8,21))</f>
        <v/>
      </c>
      <c r="GM151">
        <f>COUNTIFS('DRAFT 2'!$D:$D,$B151,'DRAFT 2'!$A:$A,"&gt;="&amp;DATE(2026,8,22),'DRAFT 2'!$A:$A,"&lt;"&amp;DATE(2026,IF(8=12,8+1,8+1),1))</f>
        <v/>
      </c>
      <c r="GN151">
        <f>SUM(GJ151:GM151)</f>
        <v/>
      </c>
      <c r="GX151">
        <f>IFERROR(LOOKUP(2,1/('DRAFT 2'!$D:$D=$B151)*('DRAFT 2'!$A:$A&gt;=DATE(2026,9,1))*('DRAFT 2'!$A:$A&lt;DATE(2026,IF(9=12,9+1,9+1),1)),'DRAFT 2'!$A:$A),"")</f>
        <v/>
      </c>
      <c r="GY151">
        <f>COUNTIFS('DRAFT 2'!$D:$D,$B151,'DRAFT 2'!$A:$A,"&gt;="&amp;DATE(2026,9,1),'DRAFT 2'!$A:$A,"&lt;="&amp;DATE(2026,9,7))</f>
        <v/>
      </c>
      <c r="GZ151">
        <f>COUNTIFS('DRAFT 2'!$D:$D,$B151,'DRAFT 2'!$A:$A,"&gt;="&amp;DATE(2026,9,8),'DRAFT 2'!$A:$A,"&lt;="&amp;DATE(2026,9,14))</f>
        <v/>
      </c>
      <c r="HA151">
        <f>COUNTIFS('DRAFT 2'!$D:$D,$B151,'DRAFT 2'!$A:$A,"&gt;="&amp;DATE(2026,9,15),'DRAFT 2'!$A:$A,"&lt;="&amp;DATE(2026,9,21))</f>
        <v/>
      </c>
      <c r="HB151">
        <f>COUNTIFS('DRAFT 2'!$D:$D,$B151,'DRAFT 2'!$A:$A,"&gt;="&amp;DATE(2026,9,22),'DRAFT 2'!$A:$A,"&lt;"&amp;DATE(2026,IF(9=12,9+1,9+1),1))</f>
        <v/>
      </c>
      <c r="HC151">
        <f>SUM(GY151:HB151)</f>
        <v/>
      </c>
      <c r="HN151">
        <f>IFERROR(LOOKUP(2,1/('DRAFT 2'!$D:$D=$B151)*('DRAFT 2'!$A:$A&gt;=DATE(2026,10,1))*('DRAFT 2'!$A:$A&lt;DATE(2026,IF(10=12,10+1,10+1),1)),'DRAFT 2'!$A:$A),"")</f>
        <v/>
      </c>
      <c r="HO151">
        <f>COUNTIFS('DRAFT 2'!$D:$D,$B151,'DRAFT 2'!$A:$A,"&gt;="&amp;DATE(2026,10,1),'DRAFT 2'!$A:$A,"&lt;="&amp;DATE(2026,10,7))</f>
        <v/>
      </c>
      <c r="HP151">
        <f>COUNTIFS('DRAFT 2'!$D:$D,$B151,'DRAFT 2'!$A:$A,"&gt;="&amp;DATE(2026,10,8),'DRAFT 2'!$A:$A,"&lt;="&amp;DATE(2026,10,14))</f>
        <v/>
      </c>
      <c r="HQ151">
        <f>COUNTIFS('DRAFT 2'!$D:$D,$B151,'DRAFT 2'!$A:$A,"&gt;="&amp;DATE(2026,10,15),'DRAFT 2'!$A:$A,"&lt;="&amp;DATE(2026,10,21))</f>
        <v/>
      </c>
      <c r="HR151">
        <f>COUNTIFS('DRAFT 2'!$D:$D,$B151,'DRAFT 2'!$A:$A,"&gt;="&amp;DATE(2026,10,22),'DRAFT 2'!$A:$A,"&lt;"&amp;DATE(2026,IF(10=12,10+1,10+1),1))</f>
        <v/>
      </c>
      <c r="HS151">
        <f>SUM(HO151:HR151)</f>
        <v/>
      </c>
      <c r="IC151">
        <f>IFERROR(LOOKUP(2,1/('DRAFT 2'!$D:$D=$B151)*('DRAFT 2'!$A:$A&gt;=DATE(2026,11,1))*('DRAFT 2'!$A:$A&lt;DATE(2026,IF(11=12,11+1,11+1),1)),'DRAFT 2'!$A:$A),"")</f>
        <v/>
      </c>
      <c r="ID151">
        <f>COUNTIFS('DRAFT 2'!$D:$D,$B151,'DRAFT 2'!$A:$A,"&gt;="&amp;DATE(2026,11,1),'DRAFT 2'!$A:$A,"&lt;="&amp;DATE(2026,11,7))</f>
        <v/>
      </c>
      <c r="IE151">
        <f>COUNTIFS('DRAFT 2'!$D:$D,$B151,'DRAFT 2'!$A:$A,"&gt;="&amp;DATE(2026,11,8),'DRAFT 2'!$A:$A,"&lt;="&amp;DATE(2026,11,14))</f>
        <v/>
      </c>
      <c r="IF151">
        <f>COUNTIFS('DRAFT 2'!$D:$D,$B151,'DRAFT 2'!$A:$A,"&gt;="&amp;DATE(2026,11,15),'DRAFT 2'!$A:$A,"&lt;="&amp;DATE(2026,11,21))</f>
        <v/>
      </c>
      <c r="IG151">
        <f>COUNTIFS('DRAFT 2'!$D:$D,$B151,'DRAFT 2'!$A:$A,"&gt;="&amp;DATE(2026,11,22),'DRAFT 2'!$A:$A,"&lt;"&amp;DATE(2026,IF(11=12,11+1,11+1),1))</f>
        <v/>
      </c>
      <c r="IH151">
        <f>SUM(ID151:IG151)</f>
        <v/>
      </c>
      <c r="IR151">
        <f>IFERROR(LOOKUP(2,1/('DRAFT 2'!$D:$D=$B151)*('DRAFT 2'!$A:$A&gt;=DATE(2026,12,1))*('DRAFT 2'!$A:$A&lt;DATE(2026,IF(12=12,12+1,12+1),1)),'DRAFT 2'!$A:$A),"")</f>
        <v/>
      </c>
      <c r="IS151">
        <f>COUNTIFS('DRAFT 2'!$D:$D,$B151,'DRAFT 2'!$A:$A,"&gt;="&amp;DATE(2026,12,1),'DRAFT 2'!$A:$A,"&lt;="&amp;DATE(2026,12,7))</f>
        <v/>
      </c>
      <c r="IT151">
        <f>COUNTIFS('DRAFT 2'!$D:$D,$B151,'DRAFT 2'!$A:$A,"&gt;="&amp;DATE(2026,12,8),'DRAFT 2'!$A:$A,"&lt;="&amp;DATE(2026,12,14))</f>
        <v/>
      </c>
      <c r="IU151">
        <f>COUNTIFS('DRAFT 2'!$D:$D,$B151,'DRAFT 2'!$A:$A,"&gt;="&amp;DATE(2026,12,15),'DRAFT 2'!$A:$A,"&lt;="&amp;DATE(2026,12,21))</f>
        <v/>
      </c>
      <c r="IV151">
        <f>COUNTIFS('DRAFT 2'!$D:$D,$B151,'DRAFT 2'!$A:$A,"&gt;="&amp;DATE(2026,12,22),'DRAFT 2'!$A:$A,"&lt;"&amp;DATE(2026,IF(12=12,12+1,12+1),1))</f>
        <v/>
      </c>
      <c r="IW151">
        <f>SUM(IS151:IV151)</f>
        <v/>
      </c>
    </row>
    <row r="152">
      <c r="A152">
        <f>IFERROR(INDEX('DRAFT 1'!$A:$A,MATCH($B152,'DRAFT 1'!$B:$B,0)),"")</f>
        <v/>
      </c>
      <c r="C152">
        <f>IFERROR(INDEX('DRAFT 1'!$C:$C,MATCH($B152,'DRAFT 1'!$B:$B,0)),"")</f>
        <v/>
      </c>
      <c r="D152">
        <f>IFERROR(INDEX('DRAFT 1'!$D:$D,MATCH($B152,'DRAFT 1'!$B:$B,0)),"")</f>
        <v/>
      </c>
      <c r="E152">
        <f>IFERROR(INDEX('DRAFT 1'!$E:$E,MATCH($B152,'DRAFT 1'!$B:$B,0)),"")</f>
        <v/>
      </c>
      <c r="F152">
        <f>IFERROR(INDEX('DRAFT 1'!$F:$F,MATCH($B152,'DRAFT 1'!$B:$B,0)),"")</f>
        <v/>
      </c>
      <c r="G152">
        <f>IFERROR(INDEX('DRAFT 1'!$G:$G,MATCH($B152,'DRAFT 1'!$B:$B,0)),"")</f>
        <v/>
      </c>
      <c r="H152">
        <f>IFERROR(INDEX('DRAFT 1'!$H:$H,MATCH($B152,'DRAFT 1'!$B:$B,0)),"")</f>
        <v/>
      </c>
      <c r="I152">
        <f>IFERROR(INDEX('DRAFT 1'!$I:$I,MATCH($B152,'DRAFT 1'!$B:$B,0)),"")</f>
        <v/>
      </c>
      <c r="K152">
        <f>IFERROR(INDEX('DRAFT 1'!$AL:$AL,MATCH($B152,'DRAFT 1'!$B:$B,0)),"")</f>
        <v/>
      </c>
      <c r="L152">
        <f>IFERROR(INDEX('DRAFT 1'!$J:$J,MATCH($B152,'DRAFT 1'!$B:$B,0)),"")</f>
        <v/>
      </c>
      <c r="M152">
        <f>IFERROR(INDEX('DRAFT 1'!$K:$K,MATCH($B152,'DRAFT 1'!$B:$B,0)),"")</f>
        <v/>
      </c>
      <c r="P152">
        <f>IFERROR(INDEX('DRAFT 1'!$L:$L,MATCH($B152,'DRAFT 1'!$B:$B,0)),"")</f>
        <v/>
      </c>
      <c r="Q152">
        <f>IFERROR(INDEX('DRAFT 1'!$M:$M,MATCH($B152,'DRAFT 1'!$B:$B,0)),"")</f>
        <v/>
      </c>
      <c r="R152">
        <f>IFERROR(INDEX('DRAFT 1'!$N:$N,MATCH($B152,'DRAFT 1'!$B:$B,0)),"")</f>
        <v/>
      </c>
      <c r="S152">
        <f>IFERROR(INDEX('DRAFT 1'!$O:$O,MATCH($B152,'DRAFT 1'!$B:$B,0)),"")</f>
        <v/>
      </c>
      <c r="T152">
        <f>IFERROR(INDEX('DRAFT 1'!$P:$P,MATCH($B152,'DRAFT 1'!$B:$B,0)),"")</f>
        <v/>
      </c>
      <c r="U152">
        <f>IFERROR(INDEX('DRAFT 1'!$Q:$Q,MATCH($B152,'DRAFT 1'!$B:$B,0)),"")</f>
        <v/>
      </c>
      <c r="V152">
        <f>IFERROR(INDEX('DRAFT 1'!$R:$R,MATCH($B152,'DRAFT 1'!$B:$B,0)),"")</f>
        <v/>
      </c>
      <c r="W152">
        <f>IFERROR(INDEX('DRAFT 1'!$S:$S,MATCH($B152,'DRAFT 1'!$B:$B,0)),"")</f>
        <v/>
      </c>
      <c r="X152">
        <f>IFERROR(INDEX('DRAFT 1'!$T:$T,MATCH($B152,'DRAFT 1'!$B:$B,0)),"")</f>
        <v/>
      </c>
      <c r="Z152">
        <f>IFERROR(INDEX('DRAFT 1'!$U:$U,MATCH($B152,'DRAFT 1'!$B:$B,0)),"")</f>
        <v/>
      </c>
      <c r="AA152">
        <f>IFERROR(INDEX('DRAFT 1'!$V:$V,MATCH($B152,'DRAFT 1'!$B:$B,0)),"")</f>
        <v/>
      </c>
      <c r="AB152">
        <f>IFERROR(INDEX('DRAFT 1'!$W:$W,MATCH($B152,'DRAFT 1'!$B:$B,0)),"")</f>
        <v/>
      </c>
      <c r="AC152">
        <f>IFERROR(INDEX('DRAFT 1'!$X:$X,MATCH($B152,'DRAFT 1'!$B:$B,0)),"")</f>
        <v/>
      </c>
      <c r="AD152">
        <f>IFERROR(INDEX('DRAFT 1'!$Y:$Y,MATCH($B152,'DRAFT 1'!$B:$B,0)),"")</f>
        <v/>
      </c>
      <c r="AE152">
        <f>IFERROR(INDEX('DRAFT 1'!$Z:$Z,MATCH($B152,'DRAFT 1'!$B:$B,0)),"")</f>
        <v/>
      </c>
      <c r="AF152">
        <f>IFERROR(INDEX('DRAFT 1'!$AA:$AA,MATCH($B152,'DRAFT 1'!$B:$B,0)),"")</f>
        <v/>
      </c>
      <c r="AG152">
        <f>IFERROR(INDEX('DRAFT 1'!$AB:$AB,MATCH($B152,'DRAFT 1'!$B:$B,0)),"")</f>
        <v/>
      </c>
      <c r="AH152">
        <f>IFERROR(INDEX('DRAFT 1'!$AC:$AC,MATCH($B152,'DRAFT 1'!$B:$B,0)),"")</f>
        <v/>
      </c>
      <c r="AI152">
        <f>IFERROR(INDEX('DRAFT 1'!$AD:$AD,MATCH($B152,'DRAFT 1'!$B:$B,0)),"")</f>
        <v/>
      </c>
      <c r="AJ152">
        <f>IFERROR(INDEX('DRAFT 1'!$AE:$AE,MATCH($B152,'DRAFT 1'!$B:$B,0)),"")</f>
        <v/>
      </c>
      <c r="AK152">
        <f>IFERROR(INDEX('DRAFT 1'!$AG:$AG,MATCH($B152,'DRAFT 1'!$B:$B,0)),"")</f>
        <v/>
      </c>
      <c r="AL152">
        <f>IFERROR(INDEX('DRAFT 1'!$AH:$AH,MATCH($B152,'DRAFT 1'!$B:$B,0)),"")</f>
        <v/>
      </c>
      <c r="AM152">
        <f>IFERROR(INDEX('DRAFT 1'!$AI:$AI,MATCH($B152,'DRAFT 1'!$B:$B,0)),"")</f>
        <v/>
      </c>
      <c r="AN152">
        <f>IFERROR(INDEX('DRAFT 1'!$AJ:$AJ,MATCH($B152,'DRAFT 1'!$B:$B,0)),"")</f>
        <v/>
      </c>
      <c r="AO152">
        <f>IFERROR(Y152/AN152,0)</f>
        <v/>
      </c>
      <c r="AP152">
        <f>IFERROR(INDEX('DRAFT 1'!$AK:$AK,MATCH($B152,'DRAFT 1'!$B:$B,0)),"")</f>
        <v/>
      </c>
      <c r="AR152">
        <f>IFERROR(LOOKUP(2,1/('DRAFT 2'!$D:$D=$B152),'DRAFT 2'!$I:$I),"")</f>
        <v/>
      </c>
      <c r="AS152">
        <f>IFERROR(LOOKUP(2,1/('DRAFT 2'!$D:$D=$B152),'DRAFT 2'!$T:$T),"")</f>
        <v/>
      </c>
      <c r="AT152">
        <f>IFERROR(LOOKUP(2,1/('DRAFT 2'!$D:$D=$B152),'DRAFT 2'!$A:$A),"")</f>
        <v/>
      </c>
      <c r="AU152">
        <f>IFERROR(LOOKUP(2,1/('DRAFT 2'!$D:$D=$B152),'DRAFT 2'!$R:$R),"")</f>
        <v/>
      </c>
      <c r="AV152">
        <f>IFERROR(LOOKUP(2,1/('DRAFT 2'!$D:$D=$B152),'DRAFT 2'!$S:$S),"")</f>
        <v/>
      </c>
      <c r="AX152">
        <f>IFERROR(LOOKUP(2,1/('DRAFT 2'!$D:$D=$B152),'DRAFT 2'!$M:$M),"")</f>
        <v/>
      </c>
      <c r="AY152">
        <f>IFERROR(LOOKUP(2,1/('DRAFT 2'!$D:$D=$B152),'DRAFT 2'!$K:$K),"")</f>
        <v/>
      </c>
      <c r="BG152">
        <f>IFERROR(LOOKUP(2,1/('DRAFT 2'!$D:$D=$B152),'DRAFT 2'!$U:$U),"")</f>
        <v/>
      </c>
      <c r="BH152">
        <f>IFERROR(LOOKUP(2,1/('DRAFT 2'!$D:$D=$B152),'DRAFT 2'!$V:$V),"")</f>
        <v/>
      </c>
      <c r="CE152">
        <f>IFERROR(AJ152,0)</f>
        <v/>
      </c>
      <c r="CF152">
        <f>IFERROR(LOOKUP(2,1/('DRAFT 2'!$D:$D=$B152)*('DRAFT 2'!$A:$A&gt;=DATE(2026,1,1))*('DRAFT 2'!$A:$A&lt;DATE(2026,IF(1=12,1+1,1+1),1)),'DRAFT 2'!$A:$A),"")</f>
        <v/>
      </c>
      <c r="CG152">
        <f>COUNTIFS('DRAFT 2'!$D:$D,$B152,'DRAFT 2'!$A:$A,"&gt;="&amp;DATE(2026,1,1),'DRAFT 2'!$A:$A,"&lt;="&amp;DATE(2026,1,7))</f>
        <v/>
      </c>
      <c r="CH152">
        <f>COUNTIFS('DRAFT 2'!$D:$D,$B152,'DRAFT 2'!$A:$A,"&gt;="&amp;DATE(2026,1,8),'DRAFT 2'!$A:$A,"&lt;="&amp;DATE(2026,1,14))</f>
        <v/>
      </c>
      <c r="CI152">
        <f>COUNTIFS('DRAFT 2'!$D:$D,$B152,'DRAFT 2'!$A:$A,"&gt;="&amp;DATE(2026,1,15),'DRAFT 2'!$A:$A,"&lt;="&amp;DATE(2026,1,21))</f>
        <v/>
      </c>
      <c r="CJ152">
        <f>COUNTIFS('DRAFT 2'!$D:$D,$B152,'DRAFT 2'!$A:$A,"&gt;="&amp;DATE(2026,1,22),'DRAFT 2'!$A:$A,"&lt;"&amp;DATE(2026,IF(1=12,1+1,1+1),1))</f>
        <v/>
      </c>
      <c r="CK152">
        <f>SUM(CG152:CJ152)</f>
        <v/>
      </c>
      <c r="CT152" t="n">
        <v>0</v>
      </c>
      <c r="CU152">
        <f>IFERROR(LOOKUP(2,1/('DRAFT 2'!$D:$D=$B152)*('DRAFT 2'!$A:$A&gt;=DATE(2026,2,1))*('DRAFT 2'!$A:$A&lt;DATE(2026,IF(2=12,2+1,2+1),1)),'DRAFT 2'!$A:$A),"")</f>
        <v/>
      </c>
      <c r="CV152">
        <f>COUNTIFS('DRAFT 2'!$D:$D,$B152,'DRAFT 2'!$A:$A,"&gt;="&amp;DATE(2026,2,1),'DRAFT 2'!$A:$A,"&lt;="&amp;DATE(2026,2,7))</f>
        <v/>
      </c>
      <c r="CW152">
        <f>COUNTIFS('DRAFT 2'!$D:$D,$B152,'DRAFT 2'!$A:$A,"&gt;="&amp;DATE(2026,2,8),'DRAFT 2'!$A:$A,"&lt;="&amp;DATE(2026,2,14))</f>
        <v/>
      </c>
      <c r="CX152">
        <f>COUNTIFS('DRAFT 2'!$D:$D,$B152,'DRAFT 2'!$A:$A,"&gt;="&amp;DATE(2026,2,15),'DRAFT 2'!$A:$A,"&lt;="&amp;DATE(2026,2,21))</f>
        <v/>
      </c>
      <c r="CY152">
        <f>COUNTIFS('DRAFT 2'!$D:$D,$B152,'DRAFT 2'!$A:$A,"&gt;="&amp;DATE(2026,2,22),'DRAFT 2'!$A:$A,"&lt;"&amp;DATE(2026,IF(2=12,2+1,2+1),1))</f>
        <v/>
      </c>
      <c r="CZ152">
        <f>SUM(CV152:CY152)</f>
        <v/>
      </c>
      <c r="DJ152">
        <f>IFERROR(LOOKUP(2,1/('DRAFT 2'!$D:$D=$B152)*('DRAFT 2'!$A:$A&gt;=DATE(2026,3,1))*('DRAFT 2'!$A:$A&lt;DATE(2026,IF(3=12,3+1,3+1),1)),'DRAFT 2'!$A:$A),"")</f>
        <v/>
      </c>
      <c r="DK152">
        <f>COUNTIFS('DRAFT 2'!$D:$D,$B152,'DRAFT 2'!$A:$A,"&gt;="&amp;DATE(2026,3,1),'DRAFT 2'!$A:$A,"&lt;="&amp;DATE(2026,3,7))</f>
        <v/>
      </c>
      <c r="DL152">
        <f>COUNTIFS('DRAFT 2'!$D:$D,$B152,'DRAFT 2'!$A:$A,"&gt;="&amp;DATE(2026,3,8),'DRAFT 2'!$A:$A,"&lt;="&amp;DATE(2026,3,14))</f>
        <v/>
      </c>
      <c r="DM152">
        <f>COUNTIFS('DRAFT 2'!$D:$D,$B152,'DRAFT 2'!$A:$A,"&gt;="&amp;DATE(2026,3,15),'DRAFT 2'!$A:$A,"&lt;="&amp;DATE(2026,3,21))</f>
        <v/>
      </c>
      <c r="DN152">
        <f>COUNTIFS('DRAFT 2'!$D:$D,$B152,'DRAFT 2'!$A:$A,"&gt;="&amp;DATE(2026,3,22),'DRAFT 2'!$A:$A,"&lt;"&amp;DATE(2026,IF(3=12,3+1,3+1),1))</f>
        <v/>
      </c>
      <c r="DO152">
        <f>SUM(DK152:DN152)</f>
        <v/>
      </c>
      <c r="DZ152">
        <f>IFERROR(LOOKUP(2,1/('DRAFT 2'!$D:$D=$B152)*('DRAFT 2'!$A:$A&gt;=DATE(2026,4,1))*('DRAFT 2'!$A:$A&lt;DATE(2026,IF(4=12,4+1,4+1),1)),'DRAFT 2'!$A:$A),"")</f>
        <v/>
      </c>
      <c r="EA152">
        <f>COUNTIFS('DRAFT 2'!$D:$D,$B152,'DRAFT 2'!$A:$A,"&gt;="&amp;DATE(2026,4,1),'DRAFT 2'!$A:$A,"&lt;="&amp;DATE(2026,4,7))</f>
        <v/>
      </c>
      <c r="EB152">
        <f>COUNTIFS('DRAFT 2'!$D:$D,$B152,'DRAFT 2'!$A:$A,"&gt;="&amp;DATE(2026,4,8),'DRAFT 2'!$A:$A,"&lt;="&amp;DATE(2026,4,14))</f>
        <v/>
      </c>
      <c r="EC152">
        <f>COUNTIFS('DRAFT 2'!$D:$D,$B152,'DRAFT 2'!$A:$A,"&gt;="&amp;DATE(2026,4,15),'DRAFT 2'!$A:$A,"&lt;="&amp;DATE(2026,4,21))</f>
        <v/>
      </c>
      <c r="ED152">
        <f>COUNTIFS('DRAFT 2'!$D:$D,$B152,'DRAFT 2'!$A:$A,"&gt;="&amp;DATE(2026,4,22),'DRAFT 2'!$A:$A,"&lt;"&amp;DATE(2026,IF(4=12,4+1,4+1),1))</f>
        <v/>
      </c>
      <c r="EE152">
        <f>SUM(EA152:ED152)</f>
        <v/>
      </c>
      <c r="EO152">
        <f>IFERROR(LOOKUP(2,1/('DRAFT 2'!$D:$D=$B152)*('DRAFT 2'!$A:$A&gt;=DATE(2026,5,1))*('DRAFT 2'!$A:$A&lt;DATE(2026,IF(5=12,5+1,5+1),1)),'DRAFT 2'!$A:$A),"")</f>
        <v/>
      </c>
      <c r="EP152">
        <f>COUNTIFS('DRAFT 2'!$D:$D,$B152,'DRAFT 2'!$A:$A,"&gt;="&amp;DATE(2026,5,1),'DRAFT 2'!$A:$A,"&lt;="&amp;DATE(2026,5,7))</f>
        <v/>
      </c>
      <c r="EQ152">
        <f>COUNTIFS('DRAFT 2'!$D:$D,$B152,'DRAFT 2'!$A:$A,"&gt;="&amp;DATE(2026,5,8),'DRAFT 2'!$A:$A,"&lt;="&amp;DATE(2026,5,14))</f>
        <v/>
      </c>
      <c r="ER152">
        <f>COUNTIFS('DRAFT 2'!$D:$D,$B152,'DRAFT 2'!$A:$A,"&gt;="&amp;DATE(2026,5,15),'DRAFT 2'!$A:$A,"&lt;="&amp;DATE(2026,5,21))</f>
        <v/>
      </c>
      <c r="ES152">
        <f>COUNTIFS('DRAFT 2'!$D:$D,$B152,'DRAFT 2'!$A:$A,"&gt;="&amp;DATE(2026,5,22),'DRAFT 2'!$A:$A,"&lt;"&amp;DATE(2026,IF(5=12,5+1,5+1),1))</f>
        <v/>
      </c>
      <c r="ET152">
        <f>SUM(EP152:ES152)</f>
        <v/>
      </c>
      <c r="FD152">
        <f>IFERROR(LOOKUP(2,1/('DRAFT 2'!$D:$D=$B152)*('DRAFT 2'!$A:$A&gt;=DATE(2026,6,1))*('DRAFT 2'!$A:$A&lt;DATE(2026,IF(6=12,6+1,6+1),1)),'DRAFT 2'!$A:$A),"")</f>
        <v/>
      </c>
      <c r="FE152">
        <f>COUNTIFS('DRAFT 2'!$D:$D,$B152,'DRAFT 2'!$A:$A,"&gt;="&amp;DATE(2026,6,1),'DRAFT 2'!$A:$A,"&lt;="&amp;DATE(2026,6,7))</f>
        <v/>
      </c>
      <c r="FF152">
        <f>COUNTIFS('DRAFT 2'!$D:$D,$B152,'DRAFT 2'!$A:$A,"&gt;="&amp;DATE(2026,6,8),'DRAFT 2'!$A:$A,"&lt;="&amp;DATE(2026,6,14))</f>
        <v/>
      </c>
      <c r="FG152">
        <f>COUNTIFS('DRAFT 2'!$D:$D,$B152,'DRAFT 2'!$A:$A,"&gt;="&amp;DATE(2026,6,15),'DRAFT 2'!$A:$A,"&lt;="&amp;DATE(2026,6,21))</f>
        <v/>
      </c>
      <c r="FH152">
        <f>COUNTIFS('DRAFT 2'!$D:$D,$B152,'DRAFT 2'!$A:$A,"&gt;="&amp;DATE(2026,6,22),'DRAFT 2'!$A:$A,"&lt;"&amp;DATE(2026,IF(6=12,6+1,6+1),1))</f>
        <v/>
      </c>
      <c r="FI152">
        <f>SUM(FE152:FH152)</f>
        <v/>
      </c>
      <c r="FT152">
        <f>IFERROR(LOOKUP(2,1/('DRAFT 2'!$D:$D=$B152)*('DRAFT 2'!$A:$A&gt;=DATE(2026,7,1))*('DRAFT 2'!$A:$A&lt;DATE(2026,IF(7=12,7+1,7+1),1)),'DRAFT 2'!$A:$A),"")</f>
        <v/>
      </c>
      <c r="FU152">
        <f>COUNTIFS('DRAFT 2'!$D:$D,$B152,'DRAFT 2'!$A:$A,"&gt;="&amp;DATE(2026,7,1),'DRAFT 2'!$A:$A,"&lt;="&amp;DATE(2026,7,7))</f>
        <v/>
      </c>
      <c r="FV152">
        <f>COUNTIFS('DRAFT 2'!$D:$D,$B152,'DRAFT 2'!$A:$A,"&gt;="&amp;DATE(2026,7,8),'DRAFT 2'!$A:$A,"&lt;="&amp;DATE(2026,7,14))</f>
        <v/>
      </c>
      <c r="FW152">
        <f>COUNTIFS('DRAFT 2'!$D:$D,$B152,'DRAFT 2'!$A:$A,"&gt;="&amp;DATE(2026,7,15),'DRAFT 2'!$A:$A,"&lt;="&amp;DATE(2026,7,21))</f>
        <v/>
      </c>
      <c r="FX152">
        <f>COUNTIFS('DRAFT 2'!$D:$D,$B152,'DRAFT 2'!$A:$A,"&gt;="&amp;DATE(2026,7,22),'DRAFT 2'!$A:$A,"&lt;"&amp;DATE(2026,IF(7=12,7+1,7+1),1))</f>
        <v/>
      </c>
      <c r="FY152">
        <f>SUM(FU152:FX152)</f>
        <v/>
      </c>
      <c r="GI152">
        <f>IFERROR(LOOKUP(2,1/('DRAFT 2'!$D:$D=$B152)*('DRAFT 2'!$A:$A&gt;=DATE(2026,8,1))*('DRAFT 2'!$A:$A&lt;DATE(2026,IF(8=12,8+1,8+1),1)),'DRAFT 2'!$A:$A),"")</f>
        <v/>
      </c>
      <c r="GJ152">
        <f>COUNTIFS('DRAFT 2'!$D:$D,$B152,'DRAFT 2'!$A:$A,"&gt;="&amp;DATE(2026,8,1),'DRAFT 2'!$A:$A,"&lt;="&amp;DATE(2026,8,7))</f>
        <v/>
      </c>
      <c r="GK152">
        <f>COUNTIFS('DRAFT 2'!$D:$D,$B152,'DRAFT 2'!$A:$A,"&gt;="&amp;DATE(2026,8,8),'DRAFT 2'!$A:$A,"&lt;="&amp;DATE(2026,8,14))</f>
        <v/>
      </c>
      <c r="GL152">
        <f>COUNTIFS('DRAFT 2'!$D:$D,$B152,'DRAFT 2'!$A:$A,"&gt;="&amp;DATE(2026,8,15),'DRAFT 2'!$A:$A,"&lt;="&amp;DATE(2026,8,21))</f>
        <v/>
      </c>
      <c r="GM152">
        <f>COUNTIFS('DRAFT 2'!$D:$D,$B152,'DRAFT 2'!$A:$A,"&gt;="&amp;DATE(2026,8,22),'DRAFT 2'!$A:$A,"&lt;"&amp;DATE(2026,IF(8=12,8+1,8+1),1))</f>
        <v/>
      </c>
      <c r="GN152">
        <f>SUM(GJ152:GM152)</f>
        <v/>
      </c>
      <c r="GX152">
        <f>IFERROR(LOOKUP(2,1/('DRAFT 2'!$D:$D=$B152)*('DRAFT 2'!$A:$A&gt;=DATE(2026,9,1))*('DRAFT 2'!$A:$A&lt;DATE(2026,IF(9=12,9+1,9+1),1)),'DRAFT 2'!$A:$A),"")</f>
        <v/>
      </c>
      <c r="GY152">
        <f>COUNTIFS('DRAFT 2'!$D:$D,$B152,'DRAFT 2'!$A:$A,"&gt;="&amp;DATE(2026,9,1),'DRAFT 2'!$A:$A,"&lt;="&amp;DATE(2026,9,7))</f>
        <v/>
      </c>
      <c r="GZ152">
        <f>COUNTIFS('DRAFT 2'!$D:$D,$B152,'DRAFT 2'!$A:$A,"&gt;="&amp;DATE(2026,9,8),'DRAFT 2'!$A:$A,"&lt;="&amp;DATE(2026,9,14))</f>
        <v/>
      </c>
      <c r="HA152">
        <f>COUNTIFS('DRAFT 2'!$D:$D,$B152,'DRAFT 2'!$A:$A,"&gt;="&amp;DATE(2026,9,15),'DRAFT 2'!$A:$A,"&lt;="&amp;DATE(2026,9,21))</f>
        <v/>
      </c>
      <c r="HB152">
        <f>COUNTIFS('DRAFT 2'!$D:$D,$B152,'DRAFT 2'!$A:$A,"&gt;="&amp;DATE(2026,9,22),'DRAFT 2'!$A:$A,"&lt;"&amp;DATE(2026,IF(9=12,9+1,9+1),1))</f>
        <v/>
      </c>
      <c r="HC152">
        <f>SUM(GY152:HB152)</f>
        <v/>
      </c>
      <c r="HN152">
        <f>IFERROR(LOOKUP(2,1/('DRAFT 2'!$D:$D=$B152)*('DRAFT 2'!$A:$A&gt;=DATE(2026,10,1))*('DRAFT 2'!$A:$A&lt;DATE(2026,IF(10=12,10+1,10+1),1)),'DRAFT 2'!$A:$A),"")</f>
        <v/>
      </c>
      <c r="HO152">
        <f>COUNTIFS('DRAFT 2'!$D:$D,$B152,'DRAFT 2'!$A:$A,"&gt;="&amp;DATE(2026,10,1),'DRAFT 2'!$A:$A,"&lt;="&amp;DATE(2026,10,7))</f>
        <v/>
      </c>
      <c r="HP152">
        <f>COUNTIFS('DRAFT 2'!$D:$D,$B152,'DRAFT 2'!$A:$A,"&gt;="&amp;DATE(2026,10,8),'DRAFT 2'!$A:$A,"&lt;="&amp;DATE(2026,10,14))</f>
        <v/>
      </c>
      <c r="HQ152">
        <f>COUNTIFS('DRAFT 2'!$D:$D,$B152,'DRAFT 2'!$A:$A,"&gt;="&amp;DATE(2026,10,15),'DRAFT 2'!$A:$A,"&lt;="&amp;DATE(2026,10,21))</f>
        <v/>
      </c>
      <c r="HR152">
        <f>COUNTIFS('DRAFT 2'!$D:$D,$B152,'DRAFT 2'!$A:$A,"&gt;="&amp;DATE(2026,10,22),'DRAFT 2'!$A:$A,"&lt;"&amp;DATE(2026,IF(10=12,10+1,10+1),1))</f>
        <v/>
      </c>
      <c r="HS152">
        <f>SUM(HO152:HR152)</f>
        <v/>
      </c>
      <c r="IC152">
        <f>IFERROR(LOOKUP(2,1/('DRAFT 2'!$D:$D=$B152)*('DRAFT 2'!$A:$A&gt;=DATE(2026,11,1))*('DRAFT 2'!$A:$A&lt;DATE(2026,IF(11=12,11+1,11+1),1)),'DRAFT 2'!$A:$A),"")</f>
        <v/>
      </c>
      <c r="ID152">
        <f>COUNTIFS('DRAFT 2'!$D:$D,$B152,'DRAFT 2'!$A:$A,"&gt;="&amp;DATE(2026,11,1),'DRAFT 2'!$A:$A,"&lt;="&amp;DATE(2026,11,7))</f>
        <v/>
      </c>
      <c r="IE152">
        <f>COUNTIFS('DRAFT 2'!$D:$D,$B152,'DRAFT 2'!$A:$A,"&gt;="&amp;DATE(2026,11,8),'DRAFT 2'!$A:$A,"&lt;="&amp;DATE(2026,11,14))</f>
        <v/>
      </c>
      <c r="IF152">
        <f>COUNTIFS('DRAFT 2'!$D:$D,$B152,'DRAFT 2'!$A:$A,"&gt;="&amp;DATE(2026,11,15),'DRAFT 2'!$A:$A,"&lt;="&amp;DATE(2026,11,21))</f>
        <v/>
      </c>
      <c r="IG152">
        <f>COUNTIFS('DRAFT 2'!$D:$D,$B152,'DRAFT 2'!$A:$A,"&gt;="&amp;DATE(2026,11,22),'DRAFT 2'!$A:$A,"&lt;"&amp;DATE(2026,IF(11=12,11+1,11+1),1))</f>
        <v/>
      </c>
      <c r="IH152">
        <f>SUM(ID152:IG152)</f>
        <v/>
      </c>
      <c r="IR152">
        <f>IFERROR(LOOKUP(2,1/('DRAFT 2'!$D:$D=$B152)*('DRAFT 2'!$A:$A&gt;=DATE(2026,12,1))*('DRAFT 2'!$A:$A&lt;DATE(2026,IF(12=12,12+1,12+1),1)),'DRAFT 2'!$A:$A),"")</f>
        <v/>
      </c>
      <c r="IS152">
        <f>COUNTIFS('DRAFT 2'!$D:$D,$B152,'DRAFT 2'!$A:$A,"&gt;="&amp;DATE(2026,12,1),'DRAFT 2'!$A:$A,"&lt;="&amp;DATE(2026,12,7))</f>
        <v/>
      </c>
      <c r="IT152">
        <f>COUNTIFS('DRAFT 2'!$D:$D,$B152,'DRAFT 2'!$A:$A,"&gt;="&amp;DATE(2026,12,8),'DRAFT 2'!$A:$A,"&lt;="&amp;DATE(2026,12,14))</f>
        <v/>
      </c>
      <c r="IU152">
        <f>COUNTIFS('DRAFT 2'!$D:$D,$B152,'DRAFT 2'!$A:$A,"&gt;="&amp;DATE(2026,12,15),'DRAFT 2'!$A:$A,"&lt;="&amp;DATE(2026,12,21))</f>
        <v/>
      </c>
      <c r="IV152">
        <f>COUNTIFS('DRAFT 2'!$D:$D,$B152,'DRAFT 2'!$A:$A,"&gt;="&amp;DATE(2026,12,22),'DRAFT 2'!$A:$A,"&lt;"&amp;DATE(2026,IF(12=12,12+1,12+1),1))</f>
        <v/>
      </c>
      <c r="IW152">
        <f>SUM(IS152:IV152)</f>
        <v/>
      </c>
    </row>
    <row r="153">
      <c r="A153">
        <f>IFERROR(INDEX('DRAFT 1'!$A:$A,MATCH($B153,'DRAFT 1'!$B:$B,0)),"")</f>
        <v/>
      </c>
      <c r="C153">
        <f>IFERROR(INDEX('DRAFT 1'!$C:$C,MATCH($B153,'DRAFT 1'!$B:$B,0)),"")</f>
        <v/>
      </c>
      <c r="D153">
        <f>IFERROR(INDEX('DRAFT 1'!$D:$D,MATCH($B153,'DRAFT 1'!$B:$B,0)),"")</f>
        <v/>
      </c>
      <c r="E153">
        <f>IFERROR(INDEX('DRAFT 1'!$E:$E,MATCH($B153,'DRAFT 1'!$B:$B,0)),"")</f>
        <v/>
      </c>
      <c r="F153">
        <f>IFERROR(INDEX('DRAFT 1'!$F:$F,MATCH($B153,'DRAFT 1'!$B:$B,0)),"")</f>
        <v/>
      </c>
      <c r="G153">
        <f>IFERROR(INDEX('DRAFT 1'!$G:$G,MATCH($B153,'DRAFT 1'!$B:$B,0)),"")</f>
        <v/>
      </c>
      <c r="H153">
        <f>IFERROR(INDEX('DRAFT 1'!$H:$H,MATCH($B153,'DRAFT 1'!$B:$B,0)),"")</f>
        <v/>
      </c>
      <c r="I153">
        <f>IFERROR(INDEX('DRAFT 1'!$I:$I,MATCH($B153,'DRAFT 1'!$B:$B,0)),"")</f>
        <v/>
      </c>
      <c r="K153">
        <f>IFERROR(INDEX('DRAFT 1'!$AL:$AL,MATCH($B153,'DRAFT 1'!$B:$B,0)),"")</f>
        <v/>
      </c>
      <c r="L153">
        <f>IFERROR(INDEX('DRAFT 1'!$J:$J,MATCH($B153,'DRAFT 1'!$B:$B,0)),"")</f>
        <v/>
      </c>
      <c r="M153">
        <f>IFERROR(INDEX('DRAFT 1'!$K:$K,MATCH($B153,'DRAFT 1'!$B:$B,0)),"")</f>
        <v/>
      </c>
      <c r="P153">
        <f>IFERROR(INDEX('DRAFT 1'!$L:$L,MATCH($B153,'DRAFT 1'!$B:$B,0)),"")</f>
        <v/>
      </c>
      <c r="Q153">
        <f>IFERROR(INDEX('DRAFT 1'!$M:$M,MATCH($B153,'DRAFT 1'!$B:$B,0)),"")</f>
        <v/>
      </c>
      <c r="R153">
        <f>IFERROR(INDEX('DRAFT 1'!$N:$N,MATCH($B153,'DRAFT 1'!$B:$B,0)),"")</f>
        <v/>
      </c>
      <c r="S153">
        <f>IFERROR(INDEX('DRAFT 1'!$O:$O,MATCH($B153,'DRAFT 1'!$B:$B,0)),"")</f>
        <v/>
      </c>
      <c r="T153">
        <f>IFERROR(INDEX('DRAFT 1'!$P:$P,MATCH($B153,'DRAFT 1'!$B:$B,0)),"")</f>
        <v/>
      </c>
      <c r="U153">
        <f>IFERROR(INDEX('DRAFT 1'!$Q:$Q,MATCH($B153,'DRAFT 1'!$B:$B,0)),"")</f>
        <v/>
      </c>
      <c r="V153">
        <f>IFERROR(INDEX('DRAFT 1'!$R:$R,MATCH($B153,'DRAFT 1'!$B:$B,0)),"")</f>
        <v/>
      </c>
      <c r="W153">
        <f>IFERROR(INDEX('DRAFT 1'!$S:$S,MATCH($B153,'DRAFT 1'!$B:$B,0)),"")</f>
        <v/>
      </c>
      <c r="X153">
        <f>IFERROR(INDEX('DRAFT 1'!$T:$T,MATCH($B153,'DRAFT 1'!$B:$B,0)),"")</f>
        <v/>
      </c>
      <c r="Z153">
        <f>IFERROR(INDEX('DRAFT 1'!$U:$U,MATCH($B153,'DRAFT 1'!$B:$B,0)),"")</f>
        <v/>
      </c>
      <c r="AA153">
        <f>IFERROR(INDEX('DRAFT 1'!$V:$V,MATCH($B153,'DRAFT 1'!$B:$B,0)),"")</f>
        <v/>
      </c>
      <c r="AB153">
        <f>IFERROR(INDEX('DRAFT 1'!$W:$W,MATCH($B153,'DRAFT 1'!$B:$B,0)),"")</f>
        <v/>
      </c>
      <c r="AC153">
        <f>IFERROR(INDEX('DRAFT 1'!$X:$X,MATCH($B153,'DRAFT 1'!$B:$B,0)),"")</f>
        <v/>
      </c>
      <c r="AD153">
        <f>IFERROR(INDEX('DRAFT 1'!$Y:$Y,MATCH($B153,'DRAFT 1'!$B:$B,0)),"")</f>
        <v/>
      </c>
      <c r="AE153">
        <f>IFERROR(INDEX('DRAFT 1'!$Z:$Z,MATCH($B153,'DRAFT 1'!$B:$B,0)),"")</f>
        <v/>
      </c>
      <c r="AF153">
        <f>IFERROR(INDEX('DRAFT 1'!$AA:$AA,MATCH($B153,'DRAFT 1'!$B:$B,0)),"")</f>
        <v/>
      </c>
      <c r="AG153">
        <f>IFERROR(INDEX('DRAFT 1'!$AB:$AB,MATCH($B153,'DRAFT 1'!$B:$B,0)),"")</f>
        <v/>
      </c>
      <c r="AH153">
        <f>IFERROR(INDEX('DRAFT 1'!$AC:$AC,MATCH($B153,'DRAFT 1'!$B:$B,0)),"")</f>
        <v/>
      </c>
      <c r="AI153">
        <f>IFERROR(INDEX('DRAFT 1'!$AD:$AD,MATCH($B153,'DRAFT 1'!$B:$B,0)),"")</f>
        <v/>
      </c>
      <c r="AJ153">
        <f>IFERROR(INDEX('DRAFT 1'!$AE:$AE,MATCH($B153,'DRAFT 1'!$B:$B,0)),"")</f>
        <v/>
      </c>
      <c r="AK153">
        <f>IFERROR(INDEX('DRAFT 1'!$AG:$AG,MATCH($B153,'DRAFT 1'!$B:$B,0)),"")</f>
        <v/>
      </c>
      <c r="AL153">
        <f>IFERROR(INDEX('DRAFT 1'!$AH:$AH,MATCH($B153,'DRAFT 1'!$B:$B,0)),"")</f>
        <v/>
      </c>
      <c r="AM153">
        <f>IFERROR(INDEX('DRAFT 1'!$AI:$AI,MATCH($B153,'DRAFT 1'!$B:$B,0)),"")</f>
        <v/>
      </c>
      <c r="AN153">
        <f>IFERROR(INDEX('DRAFT 1'!$AJ:$AJ,MATCH($B153,'DRAFT 1'!$B:$B,0)),"")</f>
        <v/>
      </c>
      <c r="AO153">
        <f>IFERROR(Y153/AN153,0)</f>
        <v/>
      </c>
      <c r="AP153">
        <f>IFERROR(INDEX('DRAFT 1'!$AK:$AK,MATCH($B153,'DRAFT 1'!$B:$B,0)),"")</f>
        <v/>
      </c>
      <c r="AR153">
        <f>IFERROR(LOOKUP(2,1/('DRAFT 2'!$D:$D=$B153),'DRAFT 2'!$I:$I),"")</f>
        <v/>
      </c>
      <c r="AS153">
        <f>IFERROR(LOOKUP(2,1/('DRAFT 2'!$D:$D=$B153),'DRAFT 2'!$T:$T),"")</f>
        <v/>
      </c>
      <c r="AT153">
        <f>IFERROR(LOOKUP(2,1/('DRAFT 2'!$D:$D=$B153),'DRAFT 2'!$A:$A),"")</f>
        <v/>
      </c>
      <c r="AU153">
        <f>IFERROR(LOOKUP(2,1/('DRAFT 2'!$D:$D=$B153),'DRAFT 2'!$R:$R),"")</f>
        <v/>
      </c>
      <c r="AV153">
        <f>IFERROR(LOOKUP(2,1/('DRAFT 2'!$D:$D=$B153),'DRAFT 2'!$S:$S),"")</f>
        <v/>
      </c>
      <c r="AX153">
        <f>IFERROR(LOOKUP(2,1/('DRAFT 2'!$D:$D=$B153),'DRAFT 2'!$M:$M),"")</f>
        <v/>
      </c>
      <c r="AY153">
        <f>IFERROR(LOOKUP(2,1/('DRAFT 2'!$D:$D=$B153),'DRAFT 2'!$K:$K),"")</f>
        <v/>
      </c>
      <c r="BG153">
        <f>IFERROR(LOOKUP(2,1/('DRAFT 2'!$D:$D=$B153),'DRAFT 2'!$U:$U),"")</f>
        <v/>
      </c>
      <c r="BH153">
        <f>IFERROR(LOOKUP(2,1/('DRAFT 2'!$D:$D=$B153),'DRAFT 2'!$V:$V),"")</f>
        <v/>
      </c>
      <c r="CE153">
        <f>IFERROR(AJ153,0)</f>
        <v/>
      </c>
      <c r="CF153">
        <f>IFERROR(LOOKUP(2,1/('DRAFT 2'!$D:$D=$B153)*('DRAFT 2'!$A:$A&gt;=DATE(2026,1,1))*('DRAFT 2'!$A:$A&lt;DATE(2026,IF(1=12,1+1,1+1),1)),'DRAFT 2'!$A:$A),"")</f>
        <v/>
      </c>
      <c r="CG153">
        <f>COUNTIFS('DRAFT 2'!$D:$D,$B153,'DRAFT 2'!$A:$A,"&gt;="&amp;DATE(2026,1,1),'DRAFT 2'!$A:$A,"&lt;="&amp;DATE(2026,1,7))</f>
        <v/>
      </c>
      <c r="CH153">
        <f>COUNTIFS('DRAFT 2'!$D:$D,$B153,'DRAFT 2'!$A:$A,"&gt;="&amp;DATE(2026,1,8),'DRAFT 2'!$A:$A,"&lt;="&amp;DATE(2026,1,14))</f>
        <v/>
      </c>
      <c r="CI153">
        <f>COUNTIFS('DRAFT 2'!$D:$D,$B153,'DRAFT 2'!$A:$A,"&gt;="&amp;DATE(2026,1,15),'DRAFT 2'!$A:$A,"&lt;="&amp;DATE(2026,1,21))</f>
        <v/>
      </c>
      <c r="CJ153">
        <f>COUNTIFS('DRAFT 2'!$D:$D,$B153,'DRAFT 2'!$A:$A,"&gt;="&amp;DATE(2026,1,22),'DRAFT 2'!$A:$A,"&lt;"&amp;DATE(2026,IF(1=12,1+1,1+1),1))</f>
        <v/>
      </c>
      <c r="CK153">
        <f>SUM(CG153:CJ153)</f>
        <v/>
      </c>
      <c r="CT153" t="n">
        <v>0</v>
      </c>
      <c r="CU153">
        <f>IFERROR(LOOKUP(2,1/('DRAFT 2'!$D:$D=$B153)*('DRAFT 2'!$A:$A&gt;=DATE(2026,2,1))*('DRAFT 2'!$A:$A&lt;DATE(2026,IF(2=12,2+1,2+1),1)),'DRAFT 2'!$A:$A),"")</f>
        <v/>
      </c>
      <c r="CV153">
        <f>COUNTIFS('DRAFT 2'!$D:$D,$B153,'DRAFT 2'!$A:$A,"&gt;="&amp;DATE(2026,2,1),'DRAFT 2'!$A:$A,"&lt;="&amp;DATE(2026,2,7))</f>
        <v/>
      </c>
      <c r="CW153">
        <f>COUNTIFS('DRAFT 2'!$D:$D,$B153,'DRAFT 2'!$A:$A,"&gt;="&amp;DATE(2026,2,8),'DRAFT 2'!$A:$A,"&lt;="&amp;DATE(2026,2,14))</f>
        <v/>
      </c>
      <c r="CX153">
        <f>COUNTIFS('DRAFT 2'!$D:$D,$B153,'DRAFT 2'!$A:$A,"&gt;="&amp;DATE(2026,2,15),'DRAFT 2'!$A:$A,"&lt;="&amp;DATE(2026,2,21))</f>
        <v/>
      </c>
      <c r="CY153">
        <f>COUNTIFS('DRAFT 2'!$D:$D,$B153,'DRAFT 2'!$A:$A,"&gt;="&amp;DATE(2026,2,22),'DRAFT 2'!$A:$A,"&lt;"&amp;DATE(2026,IF(2=12,2+1,2+1),1))</f>
        <v/>
      </c>
      <c r="CZ153">
        <f>SUM(CV153:CY153)</f>
        <v/>
      </c>
      <c r="DJ153">
        <f>IFERROR(LOOKUP(2,1/('DRAFT 2'!$D:$D=$B153)*('DRAFT 2'!$A:$A&gt;=DATE(2026,3,1))*('DRAFT 2'!$A:$A&lt;DATE(2026,IF(3=12,3+1,3+1),1)),'DRAFT 2'!$A:$A),"")</f>
        <v/>
      </c>
      <c r="DK153">
        <f>COUNTIFS('DRAFT 2'!$D:$D,$B153,'DRAFT 2'!$A:$A,"&gt;="&amp;DATE(2026,3,1),'DRAFT 2'!$A:$A,"&lt;="&amp;DATE(2026,3,7))</f>
        <v/>
      </c>
      <c r="DL153">
        <f>COUNTIFS('DRAFT 2'!$D:$D,$B153,'DRAFT 2'!$A:$A,"&gt;="&amp;DATE(2026,3,8),'DRAFT 2'!$A:$A,"&lt;="&amp;DATE(2026,3,14))</f>
        <v/>
      </c>
      <c r="DM153">
        <f>COUNTIFS('DRAFT 2'!$D:$D,$B153,'DRAFT 2'!$A:$A,"&gt;="&amp;DATE(2026,3,15),'DRAFT 2'!$A:$A,"&lt;="&amp;DATE(2026,3,21))</f>
        <v/>
      </c>
      <c r="DN153">
        <f>COUNTIFS('DRAFT 2'!$D:$D,$B153,'DRAFT 2'!$A:$A,"&gt;="&amp;DATE(2026,3,22),'DRAFT 2'!$A:$A,"&lt;"&amp;DATE(2026,IF(3=12,3+1,3+1),1))</f>
        <v/>
      </c>
      <c r="DO153">
        <f>SUM(DK153:DN153)</f>
        <v/>
      </c>
      <c r="DZ153">
        <f>IFERROR(LOOKUP(2,1/('DRAFT 2'!$D:$D=$B153)*('DRAFT 2'!$A:$A&gt;=DATE(2026,4,1))*('DRAFT 2'!$A:$A&lt;DATE(2026,IF(4=12,4+1,4+1),1)),'DRAFT 2'!$A:$A),"")</f>
        <v/>
      </c>
      <c r="EA153">
        <f>COUNTIFS('DRAFT 2'!$D:$D,$B153,'DRAFT 2'!$A:$A,"&gt;="&amp;DATE(2026,4,1),'DRAFT 2'!$A:$A,"&lt;="&amp;DATE(2026,4,7))</f>
        <v/>
      </c>
      <c r="EB153">
        <f>COUNTIFS('DRAFT 2'!$D:$D,$B153,'DRAFT 2'!$A:$A,"&gt;="&amp;DATE(2026,4,8),'DRAFT 2'!$A:$A,"&lt;="&amp;DATE(2026,4,14))</f>
        <v/>
      </c>
      <c r="EC153">
        <f>COUNTIFS('DRAFT 2'!$D:$D,$B153,'DRAFT 2'!$A:$A,"&gt;="&amp;DATE(2026,4,15),'DRAFT 2'!$A:$A,"&lt;="&amp;DATE(2026,4,21))</f>
        <v/>
      </c>
      <c r="ED153">
        <f>COUNTIFS('DRAFT 2'!$D:$D,$B153,'DRAFT 2'!$A:$A,"&gt;="&amp;DATE(2026,4,22),'DRAFT 2'!$A:$A,"&lt;"&amp;DATE(2026,IF(4=12,4+1,4+1),1))</f>
        <v/>
      </c>
      <c r="EE153">
        <f>SUM(EA153:ED153)</f>
        <v/>
      </c>
      <c r="EO153">
        <f>IFERROR(LOOKUP(2,1/('DRAFT 2'!$D:$D=$B153)*('DRAFT 2'!$A:$A&gt;=DATE(2026,5,1))*('DRAFT 2'!$A:$A&lt;DATE(2026,IF(5=12,5+1,5+1),1)),'DRAFT 2'!$A:$A),"")</f>
        <v/>
      </c>
      <c r="EP153">
        <f>COUNTIFS('DRAFT 2'!$D:$D,$B153,'DRAFT 2'!$A:$A,"&gt;="&amp;DATE(2026,5,1),'DRAFT 2'!$A:$A,"&lt;="&amp;DATE(2026,5,7))</f>
        <v/>
      </c>
      <c r="EQ153">
        <f>COUNTIFS('DRAFT 2'!$D:$D,$B153,'DRAFT 2'!$A:$A,"&gt;="&amp;DATE(2026,5,8),'DRAFT 2'!$A:$A,"&lt;="&amp;DATE(2026,5,14))</f>
        <v/>
      </c>
      <c r="ER153">
        <f>COUNTIFS('DRAFT 2'!$D:$D,$B153,'DRAFT 2'!$A:$A,"&gt;="&amp;DATE(2026,5,15),'DRAFT 2'!$A:$A,"&lt;="&amp;DATE(2026,5,21))</f>
        <v/>
      </c>
      <c r="ES153">
        <f>COUNTIFS('DRAFT 2'!$D:$D,$B153,'DRAFT 2'!$A:$A,"&gt;="&amp;DATE(2026,5,22),'DRAFT 2'!$A:$A,"&lt;"&amp;DATE(2026,IF(5=12,5+1,5+1),1))</f>
        <v/>
      </c>
      <c r="ET153">
        <f>SUM(EP153:ES153)</f>
        <v/>
      </c>
      <c r="FD153">
        <f>IFERROR(LOOKUP(2,1/('DRAFT 2'!$D:$D=$B153)*('DRAFT 2'!$A:$A&gt;=DATE(2026,6,1))*('DRAFT 2'!$A:$A&lt;DATE(2026,IF(6=12,6+1,6+1),1)),'DRAFT 2'!$A:$A),"")</f>
        <v/>
      </c>
      <c r="FE153">
        <f>COUNTIFS('DRAFT 2'!$D:$D,$B153,'DRAFT 2'!$A:$A,"&gt;="&amp;DATE(2026,6,1),'DRAFT 2'!$A:$A,"&lt;="&amp;DATE(2026,6,7))</f>
        <v/>
      </c>
      <c r="FF153">
        <f>COUNTIFS('DRAFT 2'!$D:$D,$B153,'DRAFT 2'!$A:$A,"&gt;="&amp;DATE(2026,6,8),'DRAFT 2'!$A:$A,"&lt;="&amp;DATE(2026,6,14))</f>
        <v/>
      </c>
      <c r="FG153">
        <f>COUNTIFS('DRAFT 2'!$D:$D,$B153,'DRAFT 2'!$A:$A,"&gt;="&amp;DATE(2026,6,15),'DRAFT 2'!$A:$A,"&lt;="&amp;DATE(2026,6,21))</f>
        <v/>
      </c>
      <c r="FH153">
        <f>COUNTIFS('DRAFT 2'!$D:$D,$B153,'DRAFT 2'!$A:$A,"&gt;="&amp;DATE(2026,6,22),'DRAFT 2'!$A:$A,"&lt;"&amp;DATE(2026,IF(6=12,6+1,6+1),1))</f>
        <v/>
      </c>
      <c r="FI153">
        <f>SUM(FE153:FH153)</f>
        <v/>
      </c>
      <c r="FT153">
        <f>IFERROR(LOOKUP(2,1/('DRAFT 2'!$D:$D=$B153)*('DRAFT 2'!$A:$A&gt;=DATE(2026,7,1))*('DRAFT 2'!$A:$A&lt;DATE(2026,IF(7=12,7+1,7+1),1)),'DRAFT 2'!$A:$A),"")</f>
        <v/>
      </c>
      <c r="FU153">
        <f>COUNTIFS('DRAFT 2'!$D:$D,$B153,'DRAFT 2'!$A:$A,"&gt;="&amp;DATE(2026,7,1),'DRAFT 2'!$A:$A,"&lt;="&amp;DATE(2026,7,7))</f>
        <v/>
      </c>
      <c r="FV153">
        <f>COUNTIFS('DRAFT 2'!$D:$D,$B153,'DRAFT 2'!$A:$A,"&gt;="&amp;DATE(2026,7,8),'DRAFT 2'!$A:$A,"&lt;="&amp;DATE(2026,7,14))</f>
        <v/>
      </c>
      <c r="FW153">
        <f>COUNTIFS('DRAFT 2'!$D:$D,$B153,'DRAFT 2'!$A:$A,"&gt;="&amp;DATE(2026,7,15),'DRAFT 2'!$A:$A,"&lt;="&amp;DATE(2026,7,21))</f>
        <v/>
      </c>
      <c r="FX153">
        <f>COUNTIFS('DRAFT 2'!$D:$D,$B153,'DRAFT 2'!$A:$A,"&gt;="&amp;DATE(2026,7,22),'DRAFT 2'!$A:$A,"&lt;"&amp;DATE(2026,IF(7=12,7+1,7+1),1))</f>
        <v/>
      </c>
      <c r="FY153">
        <f>SUM(FU153:FX153)</f>
        <v/>
      </c>
      <c r="GI153">
        <f>IFERROR(LOOKUP(2,1/('DRAFT 2'!$D:$D=$B153)*('DRAFT 2'!$A:$A&gt;=DATE(2026,8,1))*('DRAFT 2'!$A:$A&lt;DATE(2026,IF(8=12,8+1,8+1),1)),'DRAFT 2'!$A:$A),"")</f>
        <v/>
      </c>
      <c r="GJ153">
        <f>COUNTIFS('DRAFT 2'!$D:$D,$B153,'DRAFT 2'!$A:$A,"&gt;="&amp;DATE(2026,8,1),'DRAFT 2'!$A:$A,"&lt;="&amp;DATE(2026,8,7))</f>
        <v/>
      </c>
      <c r="GK153">
        <f>COUNTIFS('DRAFT 2'!$D:$D,$B153,'DRAFT 2'!$A:$A,"&gt;="&amp;DATE(2026,8,8),'DRAFT 2'!$A:$A,"&lt;="&amp;DATE(2026,8,14))</f>
        <v/>
      </c>
      <c r="GL153">
        <f>COUNTIFS('DRAFT 2'!$D:$D,$B153,'DRAFT 2'!$A:$A,"&gt;="&amp;DATE(2026,8,15),'DRAFT 2'!$A:$A,"&lt;="&amp;DATE(2026,8,21))</f>
        <v/>
      </c>
      <c r="GM153">
        <f>COUNTIFS('DRAFT 2'!$D:$D,$B153,'DRAFT 2'!$A:$A,"&gt;="&amp;DATE(2026,8,22),'DRAFT 2'!$A:$A,"&lt;"&amp;DATE(2026,IF(8=12,8+1,8+1),1))</f>
        <v/>
      </c>
      <c r="GN153">
        <f>SUM(GJ153:GM153)</f>
        <v/>
      </c>
      <c r="GX153">
        <f>IFERROR(LOOKUP(2,1/('DRAFT 2'!$D:$D=$B153)*('DRAFT 2'!$A:$A&gt;=DATE(2026,9,1))*('DRAFT 2'!$A:$A&lt;DATE(2026,IF(9=12,9+1,9+1),1)),'DRAFT 2'!$A:$A),"")</f>
        <v/>
      </c>
      <c r="GY153">
        <f>COUNTIFS('DRAFT 2'!$D:$D,$B153,'DRAFT 2'!$A:$A,"&gt;="&amp;DATE(2026,9,1),'DRAFT 2'!$A:$A,"&lt;="&amp;DATE(2026,9,7))</f>
        <v/>
      </c>
      <c r="GZ153">
        <f>COUNTIFS('DRAFT 2'!$D:$D,$B153,'DRAFT 2'!$A:$A,"&gt;="&amp;DATE(2026,9,8),'DRAFT 2'!$A:$A,"&lt;="&amp;DATE(2026,9,14))</f>
        <v/>
      </c>
      <c r="HA153">
        <f>COUNTIFS('DRAFT 2'!$D:$D,$B153,'DRAFT 2'!$A:$A,"&gt;="&amp;DATE(2026,9,15),'DRAFT 2'!$A:$A,"&lt;="&amp;DATE(2026,9,21))</f>
        <v/>
      </c>
      <c r="HB153">
        <f>COUNTIFS('DRAFT 2'!$D:$D,$B153,'DRAFT 2'!$A:$A,"&gt;="&amp;DATE(2026,9,22),'DRAFT 2'!$A:$A,"&lt;"&amp;DATE(2026,IF(9=12,9+1,9+1),1))</f>
        <v/>
      </c>
      <c r="HC153">
        <f>SUM(GY153:HB153)</f>
        <v/>
      </c>
      <c r="HN153">
        <f>IFERROR(LOOKUP(2,1/('DRAFT 2'!$D:$D=$B153)*('DRAFT 2'!$A:$A&gt;=DATE(2026,10,1))*('DRAFT 2'!$A:$A&lt;DATE(2026,IF(10=12,10+1,10+1),1)),'DRAFT 2'!$A:$A),"")</f>
        <v/>
      </c>
      <c r="HO153">
        <f>COUNTIFS('DRAFT 2'!$D:$D,$B153,'DRAFT 2'!$A:$A,"&gt;="&amp;DATE(2026,10,1),'DRAFT 2'!$A:$A,"&lt;="&amp;DATE(2026,10,7))</f>
        <v/>
      </c>
      <c r="HP153">
        <f>COUNTIFS('DRAFT 2'!$D:$D,$B153,'DRAFT 2'!$A:$A,"&gt;="&amp;DATE(2026,10,8),'DRAFT 2'!$A:$A,"&lt;="&amp;DATE(2026,10,14))</f>
        <v/>
      </c>
      <c r="HQ153">
        <f>COUNTIFS('DRAFT 2'!$D:$D,$B153,'DRAFT 2'!$A:$A,"&gt;="&amp;DATE(2026,10,15),'DRAFT 2'!$A:$A,"&lt;="&amp;DATE(2026,10,21))</f>
        <v/>
      </c>
      <c r="HR153">
        <f>COUNTIFS('DRAFT 2'!$D:$D,$B153,'DRAFT 2'!$A:$A,"&gt;="&amp;DATE(2026,10,22),'DRAFT 2'!$A:$A,"&lt;"&amp;DATE(2026,IF(10=12,10+1,10+1),1))</f>
        <v/>
      </c>
      <c r="HS153">
        <f>SUM(HO153:HR153)</f>
        <v/>
      </c>
      <c r="IC153">
        <f>IFERROR(LOOKUP(2,1/('DRAFT 2'!$D:$D=$B153)*('DRAFT 2'!$A:$A&gt;=DATE(2026,11,1))*('DRAFT 2'!$A:$A&lt;DATE(2026,IF(11=12,11+1,11+1),1)),'DRAFT 2'!$A:$A),"")</f>
        <v/>
      </c>
      <c r="ID153">
        <f>COUNTIFS('DRAFT 2'!$D:$D,$B153,'DRAFT 2'!$A:$A,"&gt;="&amp;DATE(2026,11,1),'DRAFT 2'!$A:$A,"&lt;="&amp;DATE(2026,11,7))</f>
        <v/>
      </c>
      <c r="IE153">
        <f>COUNTIFS('DRAFT 2'!$D:$D,$B153,'DRAFT 2'!$A:$A,"&gt;="&amp;DATE(2026,11,8),'DRAFT 2'!$A:$A,"&lt;="&amp;DATE(2026,11,14))</f>
        <v/>
      </c>
      <c r="IF153">
        <f>COUNTIFS('DRAFT 2'!$D:$D,$B153,'DRAFT 2'!$A:$A,"&gt;="&amp;DATE(2026,11,15),'DRAFT 2'!$A:$A,"&lt;="&amp;DATE(2026,11,21))</f>
        <v/>
      </c>
      <c r="IG153">
        <f>COUNTIFS('DRAFT 2'!$D:$D,$B153,'DRAFT 2'!$A:$A,"&gt;="&amp;DATE(2026,11,22),'DRAFT 2'!$A:$A,"&lt;"&amp;DATE(2026,IF(11=12,11+1,11+1),1))</f>
        <v/>
      </c>
      <c r="IH153">
        <f>SUM(ID153:IG153)</f>
        <v/>
      </c>
      <c r="IR153">
        <f>IFERROR(LOOKUP(2,1/('DRAFT 2'!$D:$D=$B153)*('DRAFT 2'!$A:$A&gt;=DATE(2026,12,1))*('DRAFT 2'!$A:$A&lt;DATE(2026,IF(12=12,12+1,12+1),1)),'DRAFT 2'!$A:$A),"")</f>
        <v/>
      </c>
      <c r="IS153">
        <f>COUNTIFS('DRAFT 2'!$D:$D,$B153,'DRAFT 2'!$A:$A,"&gt;="&amp;DATE(2026,12,1),'DRAFT 2'!$A:$A,"&lt;="&amp;DATE(2026,12,7))</f>
        <v/>
      </c>
      <c r="IT153">
        <f>COUNTIFS('DRAFT 2'!$D:$D,$B153,'DRAFT 2'!$A:$A,"&gt;="&amp;DATE(2026,12,8),'DRAFT 2'!$A:$A,"&lt;="&amp;DATE(2026,12,14))</f>
        <v/>
      </c>
      <c r="IU153">
        <f>COUNTIFS('DRAFT 2'!$D:$D,$B153,'DRAFT 2'!$A:$A,"&gt;="&amp;DATE(2026,12,15),'DRAFT 2'!$A:$A,"&lt;="&amp;DATE(2026,12,21))</f>
        <v/>
      </c>
      <c r="IV153">
        <f>COUNTIFS('DRAFT 2'!$D:$D,$B153,'DRAFT 2'!$A:$A,"&gt;="&amp;DATE(2026,12,22),'DRAFT 2'!$A:$A,"&lt;"&amp;DATE(2026,IF(12=12,12+1,12+1),1))</f>
        <v/>
      </c>
      <c r="IW153">
        <f>SUM(IS153:IV153)</f>
        <v/>
      </c>
    </row>
    <row r="154">
      <c r="A154">
        <f>IFERROR(INDEX('DRAFT 1'!$A:$A,MATCH($B154,'DRAFT 1'!$B:$B,0)),"")</f>
        <v/>
      </c>
      <c r="C154">
        <f>IFERROR(INDEX('DRAFT 1'!$C:$C,MATCH($B154,'DRAFT 1'!$B:$B,0)),"")</f>
        <v/>
      </c>
      <c r="D154">
        <f>IFERROR(INDEX('DRAFT 1'!$D:$D,MATCH($B154,'DRAFT 1'!$B:$B,0)),"")</f>
        <v/>
      </c>
      <c r="E154">
        <f>IFERROR(INDEX('DRAFT 1'!$E:$E,MATCH($B154,'DRAFT 1'!$B:$B,0)),"")</f>
        <v/>
      </c>
      <c r="F154">
        <f>IFERROR(INDEX('DRAFT 1'!$F:$F,MATCH($B154,'DRAFT 1'!$B:$B,0)),"")</f>
        <v/>
      </c>
      <c r="G154">
        <f>IFERROR(INDEX('DRAFT 1'!$G:$G,MATCH($B154,'DRAFT 1'!$B:$B,0)),"")</f>
        <v/>
      </c>
      <c r="H154">
        <f>IFERROR(INDEX('DRAFT 1'!$H:$H,MATCH($B154,'DRAFT 1'!$B:$B,0)),"")</f>
        <v/>
      </c>
      <c r="I154">
        <f>IFERROR(INDEX('DRAFT 1'!$I:$I,MATCH($B154,'DRAFT 1'!$B:$B,0)),"")</f>
        <v/>
      </c>
      <c r="K154">
        <f>IFERROR(INDEX('DRAFT 1'!$AL:$AL,MATCH($B154,'DRAFT 1'!$B:$B,0)),"")</f>
        <v/>
      </c>
      <c r="L154">
        <f>IFERROR(INDEX('DRAFT 1'!$J:$J,MATCH($B154,'DRAFT 1'!$B:$B,0)),"")</f>
        <v/>
      </c>
      <c r="M154">
        <f>IFERROR(INDEX('DRAFT 1'!$K:$K,MATCH($B154,'DRAFT 1'!$B:$B,0)),"")</f>
        <v/>
      </c>
      <c r="P154">
        <f>IFERROR(INDEX('DRAFT 1'!$L:$L,MATCH($B154,'DRAFT 1'!$B:$B,0)),"")</f>
        <v/>
      </c>
      <c r="Q154">
        <f>IFERROR(INDEX('DRAFT 1'!$M:$M,MATCH($B154,'DRAFT 1'!$B:$B,0)),"")</f>
        <v/>
      </c>
      <c r="R154">
        <f>IFERROR(INDEX('DRAFT 1'!$N:$N,MATCH($B154,'DRAFT 1'!$B:$B,0)),"")</f>
        <v/>
      </c>
      <c r="S154">
        <f>IFERROR(INDEX('DRAFT 1'!$O:$O,MATCH($B154,'DRAFT 1'!$B:$B,0)),"")</f>
        <v/>
      </c>
      <c r="T154">
        <f>IFERROR(INDEX('DRAFT 1'!$P:$P,MATCH($B154,'DRAFT 1'!$B:$B,0)),"")</f>
        <v/>
      </c>
      <c r="U154">
        <f>IFERROR(INDEX('DRAFT 1'!$Q:$Q,MATCH($B154,'DRAFT 1'!$B:$B,0)),"")</f>
        <v/>
      </c>
      <c r="V154">
        <f>IFERROR(INDEX('DRAFT 1'!$R:$R,MATCH($B154,'DRAFT 1'!$B:$B,0)),"")</f>
        <v/>
      </c>
      <c r="W154">
        <f>IFERROR(INDEX('DRAFT 1'!$S:$S,MATCH($B154,'DRAFT 1'!$B:$B,0)),"")</f>
        <v/>
      </c>
      <c r="X154">
        <f>IFERROR(INDEX('DRAFT 1'!$T:$T,MATCH($B154,'DRAFT 1'!$B:$B,0)),"")</f>
        <v/>
      </c>
      <c r="Z154">
        <f>IFERROR(INDEX('DRAFT 1'!$U:$U,MATCH($B154,'DRAFT 1'!$B:$B,0)),"")</f>
        <v/>
      </c>
      <c r="AA154">
        <f>IFERROR(INDEX('DRAFT 1'!$V:$V,MATCH($B154,'DRAFT 1'!$B:$B,0)),"")</f>
        <v/>
      </c>
      <c r="AB154">
        <f>IFERROR(INDEX('DRAFT 1'!$W:$W,MATCH($B154,'DRAFT 1'!$B:$B,0)),"")</f>
        <v/>
      </c>
      <c r="AC154">
        <f>IFERROR(INDEX('DRAFT 1'!$X:$X,MATCH($B154,'DRAFT 1'!$B:$B,0)),"")</f>
        <v/>
      </c>
      <c r="AD154">
        <f>IFERROR(INDEX('DRAFT 1'!$Y:$Y,MATCH($B154,'DRAFT 1'!$B:$B,0)),"")</f>
        <v/>
      </c>
      <c r="AE154">
        <f>IFERROR(INDEX('DRAFT 1'!$Z:$Z,MATCH($B154,'DRAFT 1'!$B:$B,0)),"")</f>
        <v/>
      </c>
      <c r="AF154">
        <f>IFERROR(INDEX('DRAFT 1'!$AA:$AA,MATCH($B154,'DRAFT 1'!$B:$B,0)),"")</f>
        <v/>
      </c>
      <c r="AG154">
        <f>IFERROR(INDEX('DRAFT 1'!$AB:$AB,MATCH($B154,'DRAFT 1'!$B:$B,0)),"")</f>
        <v/>
      </c>
      <c r="AH154">
        <f>IFERROR(INDEX('DRAFT 1'!$AC:$AC,MATCH($B154,'DRAFT 1'!$B:$B,0)),"")</f>
        <v/>
      </c>
      <c r="AI154">
        <f>IFERROR(INDEX('DRAFT 1'!$AD:$AD,MATCH($B154,'DRAFT 1'!$B:$B,0)),"")</f>
        <v/>
      </c>
      <c r="AJ154">
        <f>IFERROR(INDEX('DRAFT 1'!$AE:$AE,MATCH($B154,'DRAFT 1'!$B:$B,0)),"")</f>
        <v/>
      </c>
      <c r="AK154">
        <f>IFERROR(INDEX('DRAFT 1'!$AG:$AG,MATCH($B154,'DRAFT 1'!$B:$B,0)),"")</f>
        <v/>
      </c>
      <c r="AL154">
        <f>IFERROR(INDEX('DRAFT 1'!$AH:$AH,MATCH($B154,'DRAFT 1'!$B:$B,0)),"")</f>
        <v/>
      </c>
      <c r="AM154">
        <f>IFERROR(INDEX('DRAFT 1'!$AI:$AI,MATCH($B154,'DRAFT 1'!$B:$B,0)),"")</f>
        <v/>
      </c>
      <c r="AN154">
        <f>IFERROR(INDEX('DRAFT 1'!$AJ:$AJ,MATCH($B154,'DRAFT 1'!$B:$B,0)),"")</f>
        <v/>
      </c>
      <c r="AO154">
        <f>IFERROR(Y154/AN154,0)</f>
        <v/>
      </c>
      <c r="AP154">
        <f>IFERROR(INDEX('DRAFT 1'!$AK:$AK,MATCH($B154,'DRAFT 1'!$B:$B,0)),"")</f>
        <v/>
      </c>
      <c r="AR154">
        <f>IFERROR(LOOKUP(2,1/('DRAFT 2'!$D:$D=$B154),'DRAFT 2'!$I:$I),"")</f>
        <v/>
      </c>
      <c r="AS154">
        <f>IFERROR(LOOKUP(2,1/('DRAFT 2'!$D:$D=$B154),'DRAFT 2'!$T:$T),"")</f>
        <v/>
      </c>
      <c r="AT154">
        <f>IFERROR(LOOKUP(2,1/('DRAFT 2'!$D:$D=$B154),'DRAFT 2'!$A:$A),"")</f>
        <v/>
      </c>
      <c r="AU154">
        <f>IFERROR(LOOKUP(2,1/('DRAFT 2'!$D:$D=$B154),'DRAFT 2'!$R:$R),"")</f>
        <v/>
      </c>
      <c r="AV154">
        <f>IFERROR(LOOKUP(2,1/('DRAFT 2'!$D:$D=$B154),'DRAFT 2'!$S:$S),"")</f>
        <v/>
      </c>
      <c r="AX154">
        <f>IFERROR(LOOKUP(2,1/('DRAFT 2'!$D:$D=$B154),'DRAFT 2'!$M:$M),"")</f>
        <v/>
      </c>
      <c r="AY154">
        <f>IFERROR(LOOKUP(2,1/('DRAFT 2'!$D:$D=$B154),'DRAFT 2'!$K:$K),"")</f>
        <v/>
      </c>
      <c r="BG154">
        <f>IFERROR(LOOKUP(2,1/('DRAFT 2'!$D:$D=$B154),'DRAFT 2'!$U:$U),"")</f>
        <v/>
      </c>
      <c r="BH154">
        <f>IFERROR(LOOKUP(2,1/('DRAFT 2'!$D:$D=$B154),'DRAFT 2'!$V:$V),"")</f>
        <v/>
      </c>
      <c r="CE154">
        <f>IFERROR(AJ154,0)</f>
        <v/>
      </c>
      <c r="CF154">
        <f>IFERROR(LOOKUP(2,1/('DRAFT 2'!$D:$D=$B154)*('DRAFT 2'!$A:$A&gt;=DATE(2026,1,1))*('DRAFT 2'!$A:$A&lt;DATE(2026,IF(1=12,1+1,1+1),1)),'DRAFT 2'!$A:$A),"")</f>
        <v/>
      </c>
      <c r="CG154">
        <f>COUNTIFS('DRAFT 2'!$D:$D,$B154,'DRAFT 2'!$A:$A,"&gt;="&amp;DATE(2026,1,1),'DRAFT 2'!$A:$A,"&lt;="&amp;DATE(2026,1,7))</f>
        <v/>
      </c>
      <c r="CH154">
        <f>COUNTIFS('DRAFT 2'!$D:$D,$B154,'DRAFT 2'!$A:$A,"&gt;="&amp;DATE(2026,1,8),'DRAFT 2'!$A:$A,"&lt;="&amp;DATE(2026,1,14))</f>
        <v/>
      </c>
      <c r="CI154">
        <f>COUNTIFS('DRAFT 2'!$D:$D,$B154,'DRAFT 2'!$A:$A,"&gt;="&amp;DATE(2026,1,15),'DRAFT 2'!$A:$A,"&lt;="&amp;DATE(2026,1,21))</f>
        <v/>
      </c>
      <c r="CJ154">
        <f>COUNTIFS('DRAFT 2'!$D:$D,$B154,'DRAFT 2'!$A:$A,"&gt;="&amp;DATE(2026,1,22),'DRAFT 2'!$A:$A,"&lt;"&amp;DATE(2026,IF(1=12,1+1,1+1),1))</f>
        <v/>
      </c>
      <c r="CK154">
        <f>SUM(CG154:CJ154)</f>
        <v/>
      </c>
      <c r="CT154" t="n">
        <v>0</v>
      </c>
      <c r="CU154">
        <f>IFERROR(LOOKUP(2,1/('DRAFT 2'!$D:$D=$B154)*('DRAFT 2'!$A:$A&gt;=DATE(2026,2,1))*('DRAFT 2'!$A:$A&lt;DATE(2026,IF(2=12,2+1,2+1),1)),'DRAFT 2'!$A:$A),"")</f>
        <v/>
      </c>
      <c r="CV154">
        <f>COUNTIFS('DRAFT 2'!$D:$D,$B154,'DRAFT 2'!$A:$A,"&gt;="&amp;DATE(2026,2,1),'DRAFT 2'!$A:$A,"&lt;="&amp;DATE(2026,2,7))</f>
        <v/>
      </c>
      <c r="CW154">
        <f>COUNTIFS('DRAFT 2'!$D:$D,$B154,'DRAFT 2'!$A:$A,"&gt;="&amp;DATE(2026,2,8),'DRAFT 2'!$A:$A,"&lt;="&amp;DATE(2026,2,14))</f>
        <v/>
      </c>
      <c r="CX154">
        <f>COUNTIFS('DRAFT 2'!$D:$D,$B154,'DRAFT 2'!$A:$A,"&gt;="&amp;DATE(2026,2,15),'DRAFT 2'!$A:$A,"&lt;="&amp;DATE(2026,2,21))</f>
        <v/>
      </c>
      <c r="CY154">
        <f>COUNTIFS('DRAFT 2'!$D:$D,$B154,'DRAFT 2'!$A:$A,"&gt;="&amp;DATE(2026,2,22),'DRAFT 2'!$A:$A,"&lt;"&amp;DATE(2026,IF(2=12,2+1,2+1),1))</f>
        <v/>
      </c>
      <c r="CZ154">
        <f>SUM(CV154:CY154)</f>
        <v/>
      </c>
      <c r="DJ154">
        <f>IFERROR(LOOKUP(2,1/('DRAFT 2'!$D:$D=$B154)*('DRAFT 2'!$A:$A&gt;=DATE(2026,3,1))*('DRAFT 2'!$A:$A&lt;DATE(2026,IF(3=12,3+1,3+1),1)),'DRAFT 2'!$A:$A),"")</f>
        <v/>
      </c>
      <c r="DK154">
        <f>COUNTIFS('DRAFT 2'!$D:$D,$B154,'DRAFT 2'!$A:$A,"&gt;="&amp;DATE(2026,3,1),'DRAFT 2'!$A:$A,"&lt;="&amp;DATE(2026,3,7))</f>
        <v/>
      </c>
      <c r="DL154">
        <f>COUNTIFS('DRAFT 2'!$D:$D,$B154,'DRAFT 2'!$A:$A,"&gt;="&amp;DATE(2026,3,8),'DRAFT 2'!$A:$A,"&lt;="&amp;DATE(2026,3,14))</f>
        <v/>
      </c>
      <c r="DM154">
        <f>COUNTIFS('DRAFT 2'!$D:$D,$B154,'DRAFT 2'!$A:$A,"&gt;="&amp;DATE(2026,3,15),'DRAFT 2'!$A:$A,"&lt;="&amp;DATE(2026,3,21))</f>
        <v/>
      </c>
      <c r="DN154">
        <f>COUNTIFS('DRAFT 2'!$D:$D,$B154,'DRAFT 2'!$A:$A,"&gt;="&amp;DATE(2026,3,22),'DRAFT 2'!$A:$A,"&lt;"&amp;DATE(2026,IF(3=12,3+1,3+1),1))</f>
        <v/>
      </c>
      <c r="DO154">
        <f>SUM(DK154:DN154)</f>
        <v/>
      </c>
      <c r="DZ154">
        <f>IFERROR(LOOKUP(2,1/('DRAFT 2'!$D:$D=$B154)*('DRAFT 2'!$A:$A&gt;=DATE(2026,4,1))*('DRAFT 2'!$A:$A&lt;DATE(2026,IF(4=12,4+1,4+1),1)),'DRAFT 2'!$A:$A),"")</f>
        <v/>
      </c>
      <c r="EA154">
        <f>COUNTIFS('DRAFT 2'!$D:$D,$B154,'DRAFT 2'!$A:$A,"&gt;="&amp;DATE(2026,4,1),'DRAFT 2'!$A:$A,"&lt;="&amp;DATE(2026,4,7))</f>
        <v/>
      </c>
      <c r="EB154">
        <f>COUNTIFS('DRAFT 2'!$D:$D,$B154,'DRAFT 2'!$A:$A,"&gt;="&amp;DATE(2026,4,8),'DRAFT 2'!$A:$A,"&lt;="&amp;DATE(2026,4,14))</f>
        <v/>
      </c>
      <c r="EC154">
        <f>COUNTIFS('DRAFT 2'!$D:$D,$B154,'DRAFT 2'!$A:$A,"&gt;="&amp;DATE(2026,4,15),'DRAFT 2'!$A:$A,"&lt;="&amp;DATE(2026,4,21))</f>
        <v/>
      </c>
      <c r="ED154">
        <f>COUNTIFS('DRAFT 2'!$D:$D,$B154,'DRAFT 2'!$A:$A,"&gt;="&amp;DATE(2026,4,22),'DRAFT 2'!$A:$A,"&lt;"&amp;DATE(2026,IF(4=12,4+1,4+1),1))</f>
        <v/>
      </c>
      <c r="EE154">
        <f>SUM(EA154:ED154)</f>
        <v/>
      </c>
      <c r="EO154">
        <f>IFERROR(LOOKUP(2,1/('DRAFT 2'!$D:$D=$B154)*('DRAFT 2'!$A:$A&gt;=DATE(2026,5,1))*('DRAFT 2'!$A:$A&lt;DATE(2026,IF(5=12,5+1,5+1),1)),'DRAFT 2'!$A:$A),"")</f>
        <v/>
      </c>
      <c r="EP154">
        <f>COUNTIFS('DRAFT 2'!$D:$D,$B154,'DRAFT 2'!$A:$A,"&gt;="&amp;DATE(2026,5,1),'DRAFT 2'!$A:$A,"&lt;="&amp;DATE(2026,5,7))</f>
        <v/>
      </c>
      <c r="EQ154">
        <f>COUNTIFS('DRAFT 2'!$D:$D,$B154,'DRAFT 2'!$A:$A,"&gt;="&amp;DATE(2026,5,8),'DRAFT 2'!$A:$A,"&lt;="&amp;DATE(2026,5,14))</f>
        <v/>
      </c>
      <c r="ER154">
        <f>COUNTIFS('DRAFT 2'!$D:$D,$B154,'DRAFT 2'!$A:$A,"&gt;="&amp;DATE(2026,5,15),'DRAFT 2'!$A:$A,"&lt;="&amp;DATE(2026,5,21))</f>
        <v/>
      </c>
      <c r="ES154">
        <f>COUNTIFS('DRAFT 2'!$D:$D,$B154,'DRAFT 2'!$A:$A,"&gt;="&amp;DATE(2026,5,22),'DRAFT 2'!$A:$A,"&lt;"&amp;DATE(2026,IF(5=12,5+1,5+1),1))</f>
        <v/>
      </c>
      <c r="ET154">
        <f>SUM(EP154:ES154)</f>
        <v/>
      </c>
      <c r="FD154">
        <f>IFERROR(LOOKUP(2,1/('DRAFT 2'!$D:$D=$B154)*('DRAFT 2'!$A:$A&gt;=DATE(2026,6,1))*('DRAFT 2'!$A:$A&lt;DATE(2026,IF(6=12,6+1,6+1),1)),'DRAFT 2'!$A:$A),"")</f>
        <v/>
      </c>
      <c r="FE154">
        <f>COUNTIFS('DRAFT 2'!$D:$D,$B154,'DRAFT 2'!$A:$A,"&gt;="&amp;DATE(2026,6,1),'DRAFT 2'!$A:$A,"&lt;="&amp;DATE(2026,6,7))</f>
        <v/>
      </c>
      <c r="FF154">
        <f>COUNTIFS('DRAFT 2'!$D:$D,$B154,'DRAFT 2'!$A:$A,"&gt;="&amp;DATE(2026,6,8),'DRAFT 2'!$A:$A,"&lt;="&amp;DATE(2026,6,14))</f>
        <v/>
      </c>
      <c r="FG154">
        <f>COUNTIFS('DRAFT 2'!$D:$D,$B154,'DRAFT 2'!$A:$A,"&gt;="&amp;DATE(2026,6,15),'DRAFT 2'!$A:$A,"&lt;="&amp;DATE(2026,6,21))</f>
        <v/>
      </c>
      <c r="FH154">
        <f>COUNTIFS('DRAFT 2'!$D:$D,$B154,'DRAFT 2'!$A:$A,"&gt;="&amp;DATE(2026,6,22),'DRAFT 2'!$A:$A,"&lt;"&amp;DATE(2026,IF(6=12,6+1,6+1),1))</f>
        <v/>
      </c>
      <c r="FI154">
        <f>SUM(FE154:FH154)</f>
        <v/>
      </c>
      <c r="FT154">
        <f>IFERROR(LOOKUP(2,1/('DRAFT 2'!$D:$D=$B154)*('DRAFT 2'!$A:$A&gt;=DATE(2026,7,1))*('DRAFT 2'!$A:$A&lt;DATE(2026,IF(7=12,7+1,7+1),1)),'DRAFT 2'!$A:$A),"")</f>
        <v/>
      </c>
      <c r="FU154">
        <f>COUNTIFS('DRAFT 2'!$D:$D,$B154,'DRAFT 2'!$A:$A,"&gt;="&amp;DATE(2026,7,1),'DRAFT 2'!$A:$A,"&lt;="&amp;DATE(2026,7,7))</f>
        <v/>
      </c>
      <c r="FV154">
        <f>COUNTIFS('DRAFT 2'!$D:$D,$B154,'DRAFT 2'!$A:$A,"&gt;="&amp;DATE(2026,7,8),'DRAFT 2'!$A:$A,"&lt;="&amp;DATE(2026,7,14))</f>
        <v/>
      </c>
      <c r="FW154">
        <f>COUNTIFS('DRAFT 2'!$D:$D,$B154,'DRAFT 2'!$A:$A,"&gt;="&amp;DATE(2026,7,15),'DRAFT 2'!$A:$A,"&lt;="&amp;DATE(2026,7,21))</f>
        <v/>
      </c>
      <c r="FX154">
        <f>COUNTIFS('DRAFT 2'!$D:$D,$B154,'DRAFT 2'!$A:$A,"&gt;="&amp;DATE(2026,7,22),'DRAFT 2'!$A:$A,"&lt;"&amp;DATE(2026,IF(7=12,7+1,7+1),1))</f>
        <v/>
      </c>
      <c r="FY154">
        <f>SUM(FU154:FX154)</f>
        <v/>
      </c>
      <c r="GI154">
        <f>IFERROR(LOOKUP(2,1/('DRAFT 2'!$D:$D=$B154)*('DRAFT 2'!$A:$A&gt;=DATE(2026,8,1))*('DRAFT 2'!$A:$A&lt;DATE(2026,IF(8=12,8+1,8+1),1)),'DRAFT 2'!$A:$A),"")</f>
        <v/>
      </c>
      <c r="GJ154">
        <f>COUNTIFS('DRAFT 2'!$D:$D,$B154,'DRAFT 2'!$A:$A,"&gt;="&amp;DATE(2026,8,1),'DRAFT 2'!$A:$A,"&lt;="&amp;DATE(2026,8,7))</f>
        <v/>
      </c>
      <c r="GK154">
        <f>COUNTIFS('DRAFT 2'!$D:$D,$B154,'DRAFT 2'!$A:$A,"&gt;="&amp;DATE(2026,8,8),'DRAFT 2'!$A:$A,"&lt;="&amp;DATE(2026,8,14))</f>
        <v/>
      </c>
      <c r="GL154">
        <f>COUNTIFS('DRAFT 2'!$D:$D,$B154,'DRAFT 2'!$A:$A,"&gt;="&amp;DATE(2026,8,15),'DRAFT 2'!$A:$A,"&lt;="&amp;DATE(2026,8,21))</f>
        <v/>
      </c>
      <c r="GM154">
        <f>COUNTIFS('DRAFT 2'!$D:$D,$B154,'DRAFT 2'!$A:$A,"&gt;="&amp;DATE(2026,8,22),'DRAFT 2'!$A:$A,"&lt;"&amp;DATE(2026,IF(8=12,8+1,8+1),1))</f>
        <v/>
      </c>
      <c r="GN154">
        <f>SUM(GJ154:GM154)</f>
        <v/>
      </c>
      <c r="GX154">
        <f>IFERROR(LOOKUP(2,1/('DRAFT 2'!$D:$D=$B154)*('DRAFT 2'!$A:$A&gt;=DATE(2026,9,1))*('DRAFT 2'!$A:$A&lt;DATE(2026,IF(9=12,9+1,9+1),1)),'DRAFT 2'!$A:$A),"")</f>
        <v/>
      </c>
      <c r="GY154">
        <f>COUNTIFS('DRAFT 2'!$D:$D,$B154,'DRAFT 2'!$A:$A,"&gt;="&amp;DATE(2026,9,1),'DRAFT 2'!$A:$A,"&lt;="&amp;DATE(2026,9,7))</f>
        <v/>
      </c>
      <c r="GZ154">
        <f>COUNTIFS('DRAFT 2'!$D:$D,$B154,'DRAFT 2'!$A:$A,"&gt;="&amp;DATE(2026,9,8),'DRAFT 2'!$A:$A,"&lt;="&amp;DATE(2026,9,14))</f>
        <v/>
      </c>
      <c r="HA154">
        <f>COUNTIFS('DRAFT 2'!$D:$D,$B154,'DRAFT 2'!$A:$A,"&gt;="&amp;DATE(2026,9,15),'DRAFT 2'!$A:$A,"&lt;="&amp;DATE(2026,9,21))</f>
        <v/>
      </c>
      <c r="HB154">
        <f>COUNTIFS('DRAFT 2'!$D:$D,$B154,'DRAFT 2'!$A:$A,"&gt;="&amp;DATE(2026,9,22),'DRAFT 2'!$A:$A,"&lt;"&amp;DATE(2026,IF(9=12,9+1,9+1),1))</f>
        <v/>
      </c>
      <c r="HC154">
        <f>SUM(GY154:HB154)</f>
        <v/>
      </c>
      <c r="HN154">
        <f>IFERROR(LOOKUP(2,1/('DRAFT 2'!$D:$D=$B154)*('DRAFT 2'!$A:$A&gt;=DATE(2026,10,1))*('DRAFT 2'!$A:$A&lt;DATE(2026,IF(10=12,10+1,10+1),1)),'DRAFT 2'!$A:$A),"")</f>
        <v/>
      </c>
      <c r="HO154">
        <f>COUNTIFS('DRAFT 2'!$D:$D,$B154,'DRAFT 2'!$A:$A,"&gt;="&amp;DATE(2026,10,1),'DRAFT 2'!$A:$A,"&lt;="&amp;DATE(2026,10,7))</f>
        <v/>
      </c>
      <c r="HP154">
        <f>COUNTIFS('DRAFT 2'!$D:$D,$B154,'DRAFT 2'!$A:$A,"&gt;="&amp;DATE(2026,10,8),'DRAFT 2'!$A:$A,"&lt;="&amp;DATE(2026,10,14))</f>
        <v/>
      </c>
      <c r="HQ154">
        <f>COUNTIFS('DRAFT 2'!$D:$D,$B154,'DRAFT 2'!$A:$A,"&gt;="&amp;DATE(2026,10,15),'DRAFT 2'!$A:$A,"&lt;="&amp;DATE(2026,10,21))</f>
        <v/>
      </c>
      <c r="HR154">
        <f>COUNTIFS('DRAFT 2'!$D:$D,$B154,'DRAFT 2'!$A:$A,"&gt;="&amp;DATE(2026,10,22),'DRAFT 2'!$A:$A,"&lt;"&amp;DATE(2026,IF(10=12,10+1,10+1),1))</f>
        <v/>
      </c>
      <c r="HS154">
        <f>SUM(HO154:HR154)</f>
        <v/>
      </c>
      <c r="IC154">
        <f>IFERROR(LOOKUP(2,1/('DRAFT 2'!$D:$D=$B154)*('DRAFT 2'!$A:$A&gt;=DATE(2026,11,1))*('DRAFT 2'!$A:$A&lt;DATE(2026,IF(11=12,11+1,11+1),1)),'DRAFT 2'!$A:$A),"")</f>
        <v/>
      </c>
      <c r="ID154">
        <f>COUNTIFS('DRAFT 2'!$D:$D,$B154,'DRAFT 2'!$A:$A,"&gt;="&amp;DATE(2026,11,1),'DRAFT 2'!$A:$A,"&lt;="&amp;DATE(2026,11,7))</f>
        <v/>
      </c>
      <c r="IE154">
        <f>COUNTIFS('DRAFT 2'!$D:$D,$B154,'DRAFT 2'!$A:$A,"&gt;="&amp;DATE(2026,11,8),'DRAFT 2'!$A:$A,"&lt;="&amp;DATE(2026,11,14))</f>
        <v/>
      </c>
      <c r="IF154">
        <f>COUNTIFS('DRAFT 2'!$D:$D,$B154,'DRAFT 2'!$A:$A,"&gt;="&amp;DATE(2026,11,15),'DRAFT 2'!$A:$A,"&lt;="&amp;DATE(2026,11,21))</f>
        <v/>
      </c>
      <c r="IG154">
        <f>COUNTIFS('DRAFT 2'!$D:$D,$B154,'DRAFT 2'!$A:$A,"&gt;="&amp;DATE(2026,11,22),'DRAFT 2'!$A:$A,"&lt;"&amp;DATE(2026,IF(11=12,11+1,11+1),1))</f>
        <v/>
      </c>
      <c r="IH154">
        <f>SUM(ID154:IG154)</f>
        <v/>
      </c>
      <c r="IR154">
        <f>IFERROR(LOOKUP(2,1/('DRAFT 2'!$D:$D=$B154)*('DRAFT 2'!$A:$A&gt;=DATE(2026,12,1))*('DRAFT 2'!$A:$A&lt;DATE(2026,IF(12=12,12+1,12+1),1)),'DRAFT 2'!$A:$A),"")</f>
        <v/>
      </c>
      <c r="IS154">
        <f>COUNTIFS('DRAFT 2'!$D:$D,$B154,'DRAFT 2'!$A:$A,"&gt;="&amp;DATE(2026,12,1),'DRAFT 2'!$A:$A,"&lt;="&amp;DATE(2026,12,7))</f>
        <v/>
      </c>
      <c r="IT154">
        <f>COUNTIFS('DRAFT 2'!$D:$D,$B154,'DRAFT 2'!$A:$A,"&gt;="&amp;DATE(2026,12,8),'DRAFT 2'!$A:$A,"&lt;="&amp;DATE(2026,12,14))</f>
        <v/>
      </c>
      <c r="IU154">
        <f>COUNTIFS('DRAFT 2'!$D:$D,$B154,'DRAFT 2'!$A:$A,"&gt;="&amp;DATE(2026,12,15),'DRAFT 2'!$A:$A,"&lt;="&amp;DATE(2026,12,21))</f>
        <v/>
      </c>
      <c r="IV154">
        <f>COUNTIFS('DRAFT 2'!$D:$D,$B154,'DRAFT 2'!$A:$A,"&gt;="&amp;DATE(2026,12,22),'DRAFT 2'!$A:$A,"&lt;"&amp;DATE(2026,IF(12=12,12+1,12+1),1))</f>
        <v/>
      </c>
      <c r="IW154">
        <f>SUM(IS154:IV154)</f>
        <v/>
      </c>
    </row>
    <row r="155">
      <c r="A155">
        <f>IFERROR(INDEX('DRAFT 1'!$A:$A,MATCH($B155,'DRAFT 1'!$B:$B,0)),"")</f>
        <v/>
      </c>
      <c r="C155">
        <f>IFERROR(INDEX('DRAFT 1'!$C:$C,MATCH($B155,'DRAFT 1'!$B:$B,0)),"")</f>
        <v/>
      </c>
      <c r="D155">
        <f>IFERROR(INDEX('DRAFT 1'!$D:$D,MATCH($B155,'DRAFT 1'!$B:$B,0)),"")</f>
        <v/>
      </c>
      <c r="E155">
        <f>IFERROR(INDEX('DRAFT 1'!$E:$E,MATCH($B155,'DRAFT 1'!$B:$B,0)),"")</f>
        <v/>
      </c>
      <c r="F155">
        <f>IFERROR(INDEX('DRAFT 1'!$F:$F,MATCH($B155,'DRAFT 1'!$B:$B,0)),"")</f>
        <v/>
      </c>
      <c r="G155">
        <f>IFERROR(INDEX('DRAFT 1'!$G:$G,MATCH($B155,'DRAFT 1'!$B:$B,0)),"")</f>
        <v/>
      </c>
      <c r="H155">
        <f>IFERROR(INDEX('DRAFT 1'!$H:$H,MATCH($B155,'DRAFT 1'!$B:$B,0)),"")</f>
        <v/>
      </c>
      <c r="I155">
        <f>IFERROR(INDEX('DRAFT 1'!$I:$I,MATCH($B155,'DRAFT 1'!$B:$B,0)),"")</f>
        <v/>
      </c>
      <c r="K155">
        <f>IFERROR(INDEX('DRAFT 1'!$AL:$AL,MATCH($B155,'DRAFT 1'!$B:$B,0)),"")</f>
        <v/>
      </c>
      <c r="L155">
        <f>IFERROR(INDEX('DRAFT 1'!$J:$J,MATCH($B155,'DRAFT 1'!$B:$B,0)),"")</f>
        <v/>
      </c>
      <c r="M155">
        <f>IFERROR(INDEX('DRAFT 1'!$K:$K,MATCH($B155,'DRAFT 1'!$B:$B,0)),"")</f>
        <v/>
      </c>
      <c r="P155">
        <f>IFERROR(INDEX('DRAFT 1'!$L:$L,MATCH($B155,'DRAFT 1'!$B:$B,0)),"")</f>
        <v/>
      </c>
      <c r="Q155">
        <f>IFERROR(INDEX('DRAFT 1'!$M:$M,MATCH($B155,'DRAFT 1'!$B:$B,0)),"")</f>
        <v/>
      </c>
      <c r="R155">
        <f>IFERROR(INDEX('DRAFT 1'!$N:$N,MATCH($B155,'DRAFT 1'!$B:$B,0)),"")</f>
        <v/>
      </c>
      <c r="S155">
        <f>IFERROR(INDEX('DRAFT 1'!$O:$O,MATCH($B155,'DRAFT 1'!$B:$B,0)),"")</f>
        <v/>
      </c>
      <c r="T155">
        <f>IFERROR(INDEX('DRAFT 1'!$P:$P,MATCH($B155,'DRAFT 1'!$B:$B,0)),"")</f>
        <v/>
      </c>
      <c r="U155">
        <f>IFERROR(INDEX('DRAFT 1'!$Q:$Q,MATCH($B155,'DRAFT 1'!$B:$B,0)),"")</f>
        <v/>
      </c>
      <c r="V155">
        <f>IFERROR(INDEX('DRAFT 1'!$R:$R,MATCH($B155,'DRAFT 1'!$B:$B,0)),"")</f>
        <v/>
      </c>
      <c r="W155">
        <f>IFERROR(INDEX('DRAFT 1'!$S:$S,MATCH($B155,'DRAFT 1'!$B:$B,0)),"")</f>
        <v/>
      </c>
      <c r="X155">
        <f>IFERROR(INDEX('DRAFT 1'!$T:$T,MATCH($B155,'DRAFT 1'!$B:$B,0)),"")</f>
        <v/>
      </c>
      <c r="Z155">
        <f>IFERROR(INDEX('DRAFT 1'!$U:$U,MATCH($B155,'DRAFT 1'!$B:$B,0)),"")</f>
        <v/>
      </c>
      <c r="AA155">
        <f>IFERROR(INDEX('DRAFT 1'!$V:$V,MATCH($B155,'DRAFT 1'!$B:$B,0)),"")</f>
        <v/>
      </c>
      <c r="AB155">
        <f>IFERROR(INDEX('DRAFT 1'!$W:$W,MATCH($B155,'DRAFT 1'!$B:$B,0)),"")</f>
        <v/>
      </c>
      <c r="AC155">
        <f>IFERROR(INDEX('DRAFT 1'!$X:$X,MATCH($B155,'DRAFT 1'!$B:$B,0)),"")</f>
        <v/>
      </c>
      <c r="AD155">
        <f>IFERROR(INDEX('DRAFT 1'!$Y:$Y,MATCH($B155,'DRAFT 1'!$B:$B,0)),"")</f>
        <v/>
      </c>
      <c r="AE155">
        <f>IFERROR(INDEX('DRAFT 1'!$Z:$Z,MATCH($B155,'DRAFT 1'!$B:$B,0)),"")</f>
        <v/>
      </c>
      <c r="AF155">
        <f>IFERROR(INDEX('DRAFT 1'!$AA:$AA,MATCH($B155,'DRAFT 1'!$B:$B,0)),"")</f>
        <v/>
      </c>
      <c r="AG155">
        <f>IFERROR(INDEX('DRAFT 1'!$AB:$AB,MATCH($B155,'DRAFT 1'!$B:$B,0)),"")</f>
        <v/>
      </c>
      <c r="AH155">
        <f>IFERROR(INDEX('DRAFT 1'!$AC:$AC,MATCH($B155,'DRAFT 1'!$B:$B,0)),"")</f>
        <v/>
      </c>
      <c r="AI155">
        <f>IFERROR(INDEX('DRAFT 1'!$AD:$AD,MATCH($B155,'DRAFT 1'!$B:$B,0)),"")</f>
        <v/>
      </c>
      <c r="AJ155">
        <f>IFERROR(INDEX('DRAFT 1'!$AE:$AE,MATCH($B155,'DRAFT 1'!$B:$B,0)),"")</f>
        <v/>
      </c>
      <c r="AK155">
        <f>IFERROR(INDEX('DRAFT 1'!$AG:$AG,MATCH($B155,'DRAFT 1'!$B:$B,0)),"")</f>
        <v/>
      </c>
      <c r="AL155">
        <f>IFERROR(INDEX('DRAFT 1'!$AH:$AH,MATCH($B155,'DRAFT 1'!$B:$B,0)),"")</f>
        <v/>
      </c>
      <c r="AM155">
        <f>IFERROR(INDEX('DRAFT 1'!$AI:$AI,MATCH($B155,'DRAFT 1'!$B:$B,0)),"")</f>
        <v/>
      </c>
      <c r="AN155">
        <f>IFERROR(INDEX('DRAFT 1'!$AJ:$AJ,MATCH($B155,'DRAFT 1'!$B:$B,0)),"")</f>
        <v/>
      </c>
      <c r="AO155">
        <f>IFERROR(Y155/AN155,0)</f>
        <v/>
      </c>
      <c r="AP155">
        <f>IFERROR(INDEX('DRAFT 1'!$AK:$AK,MATCH($B155,'DRAFT 1'!$B:$B,0)),"")</f>
        <v/>
      </c>
      <c r="AR155">
        <f>IFERROR(LOOKUP(2,1/('DRAFT 2'!$D:$D=$B155),'DRAFT 2'!$I:$I),"")</f>
        <v/>
      </c>
      <c r="AS155">
        <f>IFERROR(LOOKUP(2,1/('DRAFT 2'!$D:$D=$B155),'DRAFT 2'!$T:$T),"")</f>
        <v/>
      </c>
      <c r="AT155">
        <f>IFERROR(LOOKUP(2,1/('DRAFT 2'!$D:$D=$B155),'DRAFT 2'!$A:$A),"")</f>
        <v/>
      </c>
      <c r="AU155">
        <f>IFERROR(LOOKUP(2,1/('DRAFT 2'!$D:$D=$B155),'DRAFT 2'!$R:$R),"")</f>
        <v/>
      </c>
      <c r="AV155">
        <f>IFERROR(LOOKUP(2,1/('DRAFT 2'!$D:$D=$B155),'DRAFT 2'!$S:$S),"")</f>
        <v/>
      </c>
      <c r="AX155">
        <f>IFERROR(LOOKUP(2,1/('DRAFT 2'!$D:$D=$B155),'DRAFT 2'!$M:$M),"")</f>
        <v/>
      </c>
      <c r="AY155">
        <f>IFERROR(LOOKUP(2,1/('DRAFT 2'!$D:$D=$B155),'DRAFT 2'!$K:$K),"")</f>
        <v/>
      </c>
      <c r="BG155">
        <f>IFERROR(LOOKUP(2,1/('DRAFT 2'!$D:$D=$B155),'DRAFT 2'!$U:$U),"")</f>
        <v/>
      </c>
      <c r="BH155">
        <f>IFERROR(LOOKUP(2,1/('DRAFT 2'!$D:$D=$B155),'DRAFT 2'!$V:$V),"")</f>
        <v/>
      </c>
      <c r="CE155">
        <f>IFERROR(AJ155,0)</f>
        <v/>
      </c>
      <c r="CF155">
        <f>IFERROR(LOOKUP(2,1/('DRAFT 2'!$D:$D=$B155)*('DRAFT 2'!$A:$A&gt;=DATE(2026,1,1))*('DRAFT 2'!$A:$A&lt;DATE(2026,IF(1=12,1+1,1+1),1)),'DRAFT 2'!$A:$A),"")</f>
        <v/>
      </c>
      <c r="CG155">
        <f>COUNTIFS('DRAFT 2'!$D:$D,$B155,'DRAFT 2'!$A:$A,"&gt;="&amp;DATE(2026,1,1),'DRAFT 2'!$A:$A,"&lt;="&amp;DATE(2026,1,7))</f>
        <v/>
      </c>
      <c r="CH155">
        <f>COUNTIFS('DRAFT 2'!$D:$D,$B155,'DRAFT 2'!$A:$A,"&gt;="&amp;DATE(2026,1,8),'DRAFT 2'!$A:$A,"&lt;="&amp;DATE(2026,1,14))</f>
        <v/>
      </c>
      <c r="CI155">
        <f>COUNTIFS('DRAFT 2'!$D:$D,$B155,'DRAFT 2'!$A:$A,"&gt;="&amp;DATE(2026,1,15),'DRAFT 2'!$A:$A,"&lt;="&amp;DATE(2026,1,21))</f>
        <v/>
      </c>
      <c r="CJ155">
        <f>COUNTIFS('DRAFT 2'!$D:$D,$B155,'DRAFT 2'!$A:$A,"&gt;="&amp;DATE(2026,1,22),'DRAFT 2'!$A:$A,"&lt;"&amp;DATE(2026,IF(1=12,1+1,1+1),1))</f>
        <v/>
      </c>
      <c r="CK155">
        <f>SUM(CG155:CJ155)</f>
        <v/>
      </c>
      <c r="CT155" t="n">
        <v>0</v>
      </c>
      <c r="CU155">
        <f>IFERROR(LOOKUP(2,1/('DRAFT 2'!$D:$D=$B155)*('DRAFT 2'!$A:$A&gt;=DATE(2026,2,1))*('DRAFT 2'!$A:$A&lt;DATE(2026,IF(2=12,2+1,2+1),1)),'DRAFT 2'!$A:$A),"")</f>
        <v/>
      </c>
      <c r="CV155">
        <f>COUNTIFS('DRAFT 2'!$D:$D,$B155,'DRAFT 2'!$A:$A,"&gt;="&amp;DATE(2026,2,1),'DRAFT 2'!$A:$A,"&lt;="&amp;DATE(2026,2,7))</f>
        <v/>
      </c>
      <c r="CW155">
        <f>COUNTIFS('DRAFT 2'!$D:$D,$B155,'DRAFT 2'!$A:$A,"&gt;="&amp;DATE(2026,2,8),'DRAFT 2'!$A:$A,"&lt;="&amp;DATE(2026,2,14))</f>
        <v/>
      </c>
      <c r="CX155">
        <f>COUNTIFS('DRAFT 2'!$D:$D,$B155,'DRAFT 2'!$A:$A,"&gt;="&amp;DATE(2026,2,15),'DRAFT 2'!$A:$A,"&lt;="&amp;DATE(2026,2,21))</f>
        <v/>
      </c>
      <c r="CY155">
        <f>COUNTIFS('DRAFT 2'!$D:$D,$B155,'DRAFT 2'!$A:$A,"&gt;="&amp;DATE(2026,2,22),'DRAFT 2'!$A:$A,"&lt;"&amp;DATE(2026,IF(2=12,2+1,2+1),1))</f>
        <v/>
      </c>
      <c r="CZ155">
        <f>SUM(CV155:CY155)</f>
        <v/>
      </c>
      <c r="DJ155">
        <f>IFERROR(LOOKUP(2,1/('DRAFT 2'!$D:$D=$B155)*('DRAFT 2'!$A:$A&gt;=DATE(2026,3,1))*('DRAFT 2'!$A:$A&lt;DATE(2026,IF(3=12,3+1,3+1),1)),'DRAFT 2'!$A:$A),"")</f>
        <v/>
      </c>
      <c r="DK155">
        <f>COUNTIFS('DRAFT 2'!$D:$D,$B155,'DRAFT 2'!$A:$A,"&gt;="&amp;DATE(2026,3,1),'DRAFT 2'!$A:$A,"&lt;="&amp;DATE(2026,3,7))</f>
        <v/>
      </c>
      <c r="DL155">
        <f>COUNTIFS('DRAFT 2'!$D:$D,$B155,'DRAFT 2'!$A:$A,"&gt;="&amp;DATE(2026,3,8),'DRAFT 2'!$A:$A,"&lt;="&amp;DATE(2026,3,14))</f>
        <v/>
      </c>
      <c r="DM155">
        <f>COUNTIFS('DRAFT 2'!$D:$D,$B155,'DRAFT 2'!$A:$A,"&gt;="&amp;DATE(2026,3,15),'DRAFT 2'!$A:$A,"&lt;="&amp;DATE(2026,3,21))</f>
        <v/>
      </c>
      <c r="DN155">
        <f>COUNTIFS('DRAFT 2'!$D:$D,$B155,'DRAFT 2'!$A:$A,"&gt;="&amp;DATE(2026,3,22),'DRAFT 2'!$A:$A,"&lt;"&amp;DATE(2026,IF(3=12,3+1,3+1),1))</f>
        <v/>
      </c>
      <c r="DO155">
        <f>SUM(DK155:DN155)</f>
        <v/>
      </c>
      <c r="DZ155">
        <f>IFERROR(LOOKUP(2,1/('DRAFT 2'!$D:$D=$B155)*('DRAFT 2'!$A:$A&gt;=DATE(2026,4,1))*('DRAFT 2'!$A:$A&lt;DATE(2026,IF(4=12,4+1,4+1),1)),'DRAFT 2'!$A:$A),"")</f>
        <v/>
      </c>
      <c r="EA155">
        <f>COUNTIFS('DRAFT 2'!$D:$D,$B155,'DRAFT 2'!$A:$A,"&gt;="&amp;DATE(2026,4,1),'DRAFT 2'!$A:$A,"&lt;="&amp;DATE(2026,4,7))</f>
        <v/>
      </c>
      <c r="EB155">
        <f>COUNTIFS('DRAFT 2'!$D:$D,$B155,'DRAFT 2'!$A:$A,"&gt;="&amp;DATE(2026,4,8),'DRAFT 2'!$A:$A,"&lt;="&amp;DATE(2026,4,14))</f>
        <v/>
      </c>
      <c r="EC155">
        <f>COUNTIFS('DRAFT 2'!$D:$D,$B155,'DRAFT 2'!$A:$A,"&gt;="&amp;DATE(2026,4,15),'DRAFT 2'!$A:$A,"&lt;="&amp;DATE(2026,4,21))</f>
        <v/>
      </c>
      <c r="ED155">
        <f>COUNTIFS('DRAFT 2'!$D:$D,$B155,'DRAFT 2'!$A:$A,"&gt;="&amp;DATE(2026,4,22),'DRAFT 2'!$A:$A,"&lt;"&amp;DATE(2026,IF(4=12,4+1,4+1),1))</f>
        <v/>
      </c>
      <c r="EE155">
        <f>SUM(EA155:ED155)</f>
        <v/>
      </c>
      <c r="EO155">
        <f>IFERROR(LOOKUP(2,1/('DRAFT 2'!$D:$D=$B155)*('DRAFT 2'!$A:$A&gt;=DATE(2026,5,1))*('DRAFT 2'!$A:$A&lt;DATE(2026,IF(5=12,5+1,5+1),1)),'DRAFT 2'!$A:$A),"")</f>
        <v/>
      </c>
      <c r="EP155">
        <f>COUNTIFS('DRAFT 2'!$D:$D,$B155,'DRAFT 2'!$A:$A,"&gt;="&amp;DATE(2026,5,1),'DRAFT 2'!$A:$A,"&lt;="&amp;DATE(2026,5,7))</f>
        <v/>
      </c>
      <c r="EQ155">
        <f>COUNTIFS('DRAFT 2'!$D:$D,$B155,'DRAFT 2'!$A:$A,"&gt;="&amp;DATE(2026,5,8),'DRAFT 2'!$A:$A,"&lt;="&amp;DATE(2026,5,14))</f>
        <v/>
      </c>
      <c r="ER155">
        <f>COUNTIFS('DRAFT 2'!$D:$D,$B155,'DRAFT 2'!$A:$A,"&gt;="&amp;DATE(2026,5,15),'DRAFT 2'!$A:$A,"&lt;="&amp;DATE(2026,5,21))</f>
        <v/>
      </c>
      <c r="ES155">
        <f>COUNTIFS('DRAFT 2'!$D:$D,$B155,'DRAFT 2'!$A:$A,"&gt;="&amp;DATE(2026,5,22),'DRAFT 2'!$A:$A,"&lt;"&amp;DATE(2026,IF(5=12,5+1,5+1),1))</f>
        <v/>
      </c>
      <c r="ET155">
        <f>SUM(EP155:ES155)</f>
        <v/>
      </c>
      <c r="FD155">
        <f>IFERROR(LOOKUP(2,1/('DRAFT 2'!$D:$D=$B155)*('DRAFT 2'!$A:$A&gt;=DATE(2026,6,1))*('DRAFT 2'!$A:$A&lt;DATE(2026,IF(6=12,6+1,6+1),1)),'DRAFT 2'!$A:$A),"")</f>
        <v/>
      </c>
      <c r="FE155">
        <f>COUNTIFS('DRAFT 2'!$D:$D,$B155,'DRAFT 2'!$A:$A,"&gt;="&amp;DATE(2026,6,1),'DRAFT 2'!$A:$A,"&lt;="&amp;DATE(2026,6,7))</f>
        <v/>
      </c>
      <c r="FF155">
        <f>COUNTIFS('DRAFT 2'!$D:$D,$B155,'DRAFT 2'!$A:$A,"&gt;="&amp;DATE(2026,6,8),'DRAFT 2'!$A:$A,"&lt;="&amp;DATE(2026,6,14))</f>
        <v/>
      </c>
      <c r="FG155">
        <f>COUNTIFS('DRAFT 2'!$D:$D,$B155,'DRAFT 2'!$A:$A,"&gt;="&amp;DATE(2026,6,15),'DRAFT 2'!$A:$A,"&lt;="&amp;DATE(2026,6,21))</f>
        <v/>
      </c>
      <c r="FH155">
        <f>COUNTIFS('DRAFT 2'!$D:$D,$B155,'DRAFT 2'!$A:$A,"&gt;="&amp;DATE(2026,6,22),'DRAFT 2'!$A:$A,"&lt;"&amp;DATE(2026,IF(6=12,6+1,6+1),1))</f>
        <v/>
      </c>
      <c r="FI155">
        <f>SUM(FE155:FH155)</f>
        <v/>
      </c>
      <c r="FT155">
        <f>IFERROR(LOOKUP(2,1/('DRAFT 2'!$D:$D=$B155)*('DRAFT 2'!$A:$A&gt;=DATE(2026,7,1))*('DRAFT 2'!$A:$A&lt;DATE(2026,IF(7=12,7+1,7+1),1)),'DRAFT 2'!$A:$A),"")</f>
        <v/>
      </c>
      <c r="FU155">
        <f>COUNTIFS('DRAFT 2'!$D:$D,$B155,'DRAFT 2'!$A:$A,"&gt;="&amp;DATE(2026,7,1),'DRAFT 2'!$A:$A,"&lt;="&amp;DATE(2026,7,7))</f>
        <v/>
      </c>
      <c r="FV155">
        <f>COUNTIFS('DRAFT 2'!$D:$D,$B155,'DRAFT 2'!$A:$A,"&gt;="&amp;DATE(2026,7,8),'DRAFT 2'!$A:$A,"&lt;="&amp;DATE(2026,7,14))</f>
        <v/>
      </c>
      <c r="FW155">
        <f>COUNTIFS('DRAFT 2'!$D:$D,$B155,'DRAFT 2'!$A:$A,"&gt;="&amp;DATE(2026,7,15),'DRAFT 2'!$A:$A,"&lt;="&amp;DATE(2026,7,21))</f>
        <v/>
      </c>
      <c r="FX155">
        <f>COUNTIFS('DRAFT 2'!$D:$D,$B155,'DRAFT 2'!$A:$A,"&gt;="&amp;DATE(2026,7,22),'DRAFT 2'!$A:$A,"&lt;"&amp;DATE(2026,IF(7=12,7+1,7+1),1))</f>
        <v/>
      </c>
      <c r="FY155">
        <f>SUM(FU155:FX155)</f>
        <v/>
      </c>
      <c r="GI155">
        <f>IFERROR(LOOKUP(2,1/('DRAFT 2'!$D:$D=$B155)*('DRAFT 2'!$A:$A&gt;=DATE(2026,8,1))*('DRAFT 2'!$A:$A&lt;DATE(2026,IF(8=12,8+1,8+1),1)),'DRAFT 2'!$A:$A),"")</f>
        <v/>
      </c>
      <c r="GJ155">
        <f>COUNTIFS('DRAFT 2'!$D:$D,$B155,'DRAFT 2'!$A:$A,"&gt;="&amp;DATE(2026,8,1),'DRAFT 2'!$A:$A,"&lt;="&amp;DATE(2026,8,7))</f>
        <v/>
      </c>
      <c r="GK155">
        <f>COUNTIFS('DRAFT 2'!$D:$D,$B155,'DRAFT 2'!$A:$A,"&gt;="&amp;DATE(2026,8,8),'DRAFT 2'!$A:$A,"&lt;="&amp;DATE(2026,8,14))</f>
        <v/>
      </c>
      <c r="GL155">
        <f>COUNTIFS('DRAFT 2'!$D:$D,$B155,'DRAFT 2'!$A:$A,"&gt;="&amp;DATE(2026,8,15),'DRAFT 2'!$A:$A,"&lt;="&amp;DATE(2026,8,21))</f>
        <v/>
      </c>
      <c r="GM155">
        <f>COUNTIFS('DRAFT 2'!$D:$D,$B155,'DRAFT 2'!$A:$A,"&gt;="&amp;DATE(2026,8,22),'DRAFT 2'!$A:$A,"&lt;"&amp;DATE(2026,IF(8=12,8+1,8+1),1))</f>
        <v/>
      </c>
      <c r="GN155">
        <f>SUM(GJ155:GM155)</f>
        <v/>
      </c>
      <c r="GX155">
        <f>IFERROR(LOOKUP(2,1/('DRAFT 2'!$D:$D=$B155)*('DRAFT 2'!$A:$A&gt;=DATE(2026,9,1))*('DRAFT 2'!$A:$A&lt;DATE(2026,IF(9=12,9+1,9+1),1)),'DRAFT 2'!$A:$A),"")</f>
        <v/>
      </c>
      <c r="GY155">
        <f>COUNTIFS('DRAFT 2'!$D:$D,$B155,'DRAFT 2'!$A:$A,"&gt;="&amp;DATE(2026,9,1),'DRAFT 2'!$A:$A,"&lt;="&amp;DATE(2026,9,7))</f>
        <v/>
      </c>
      <c r="GZ155">
        <f>COUNTIFS('DRAFT 2'!$D:$D,$B155,'DRAFT 2'!$A:$A,"&gt;="&amp;DATE(2026,9,8),'DRAFT 2'!$A:$A,"&lt;="&amp;DATE(2026,9,14))</f>
        <v/>
      </c>
      <c r="HA155">
        <f>COUNTIFS('DRAFT 2'!$D:$D,$B155,'DRAFT 2'!$A:$A,"&gt;="&amp;DATE(2026,9,15),'DRAFT 2'!$A:$A,"&lt;="&amp;DATE(2026,9,21))</f>
        <v/>
      </c>
      <c r="HB155">
        <f>COUNTIFS('DRAFT 2'!$D:$D,$B155,'DRAFT 2'!$A:$A,"&gt;="&amp;DATE(2026,9,22),'DRAFT 2'!$A:$A,"&lt;"&amp;DATE(2026,IF(9=12,9+1,9+1),1))</f>
        <v/>
      </c>
      <c r="HC155">
        <f>SUM(GY155:HB155)</f>
        <v/>
      </c>
      <c r="HN155">
        <f>IFERROR(LOOKUP(2,1/('DRAFT 2'!$D:$D=$B155)*('DRAFT 2'!$A:$A&gt;=DATE(2026,10,1))*('DRAFT 2'!$A:$A&lt;DATE(2026,IF(10=12,10+1,10+1),1)),'DRAFT 2'!$A:$A),"")</f>
        <v/>
      </c>
      <c r="HO155">
        <f>COUNTIFS('DRAFT 2'!$D:$D,$B155,'DRAFT 2'!$A:$A,"&gt;="&amp;DATE(2026,10,1),'DRAFT 2'!$A:$A,"&lt;="&amp;DATE(2026,10,7))</f>
        <v/>
      </c>
      <c r="HP155">
        <f>COUNTIFS('DRAFT 2'!$D:$D,$B155,'DRAFT 2'!$A:$A,"&gt;="&amp;DATE(2026,10,8),'DRAFT 2'!$A:$A,"&lt;="&amp;DATE(2026,10,14))</f>
        <v/>
      </c>
      <c r="HQ155">
        <f>COUNTIFS('DRAFT 2'!$D:$D,$B155,'DRAFT 2'!$A:$A,"&gt;="&amp;DATE(2026,10,15),'DRAFT 2'!$A:$A,"&lt;="&amp;DATE(2026,10,21))</f>
        <v/>
      </c>
      <c r="HR155">
        <f>COUNTIFS('DRAFT 2'!$D:$D,$B155,'DRAFT 2'!$A:$A,"&gt;="&amp;DATE(2026,10,22),'DRAFT 2'!$A:$A,"&lt;"&amp;DATE(2026,IF(10=12,10+1,10+1),1))</f>
        <v/>
      </c>
      <c r="HS155">
        <f>SUM(HO155:HR155)</f>
        <v/>
      </c>
      <c r="IC155">
        <f>IFERROR(LOOKUP(2,1/('DRAFT 2'!$D:$D=$B155)*('DRAFT 2'!$A:$A&gt;=DATE(2026,11,1))*('DRAFT 2'!$A:$A&lt;DATE(2026,IF(11=12,11+1,11+1),1)),'DRAFT 2'!$A:$A),"")</f>
        <v/>
      </c>
      <c r="ID155">
        <f>COUNTIFS('DRAFT 2'!$D:$D,$B155,'DRAFT 2'!$A:$A,"&gt;="&amp;DATE(2026,11,1),'DRAFT 2'!$A:$A,"&lt;="&amp;DATE(2026,11,7))</f>
        <v/>
      </c>
      <c r="IE155">
        <f>COUNTIFS('DRAFT 2'!$D:$D,$B155,'DRAFT 2'!$A:$A,"&gt;="&amp;DATE(2026,11,8),'DRAFT 2'!$A:$A,"&lt;="&amp;DATE(2026,11,14))</f>
        <v/>
      </c>
      <c r="IF155">
        <f>COUNTIFS('DRAFT 2'!$D:$D,$B155,'DRAFT 2'!$A:$A,"&gt;="&amp;DATE(2026,11,15),'DRAFT 2'!$A:$A,"&lt;="&amp;DATE(2026,11,21))</f>
        <v/>
      </c>
      <c r="IG155">
        <f>COUNTIFS('DRAFT 2'!$D:$D,$B155,'DRAFT 2'!$A:$A,"&gt;="&amp;DATE(2026,11,22),'DRAFT 2'!$A:$A,"&lt;"&amp;DATE(2026,IF(11=12,11+1,11+1),1))</f>
        <v/>
      </c>
      <c r="IH155">
        <f>SUM(ID155:IG155)</f>
        <v/>
      </c>
      <c r="IR155">
        <f>IFERROR(LOOKUP(2,1/('DRAFT 2'!$D:$D=$B155)*('DRAFT 2'!$A:$A&gt;=DATE(2026,12,1))*('DRAFT 2'!$A:$A&lt;DATE(2026,IF(12=12,12+1,12+1),1)),'DRAFT 2'!$A:$A),"")</f>
        <v/>
      </c>
      <c r="IS155">
        <f>COUNTIFS('DRAFT 2'!$D:$D,$B155,'DRAFT 2'!$A:$A,"&gt;="&amp;DATE(2026,12,1),'DRAFT 2'!$A:$A,"&lt;="&amp;DATE(2026,12,7))</f>
        <v/>
      </c>
      <c r="IT155">
        <f>COUNTIFS('DRAFT 2'!$D:$D,$B155,'DRAFT 2'!$A:$A,"&gt;="&amp;DATE(2026,12,8),'DRAFT 2'!$A:$A,"&lt;="&amp;DATE(2026,12,14))</f>
        <v/>
      </c>
      <c r="IU155">
        <f>COUNTIFS('DRAFT 2'!$D:$D,$B155,'DRAFT 2'!$A:$A,"&gt;="&amp;DATE(2026,12,15),'DRAFT 2'!$A:$A,"&lt;="&amp;DATE(2026,12,21))</f>
        <v/>
      </c>
      <c r="IV155">
        <f>COUNTIFS('DRAFT 2'!$D:$D,$B155,'DRAFT 2'!$A:$A,"&gt;="&amp;DATE(2026,12,22),'DRAFT 2'!$A:$A,"&lt;"&amp;DATE(2026,IF(12=12,12+1,12+1),1))</f>
        <v/>
      </c>
      <c r="IW155">
        <f>SUM(IS155:IV155)</f>
        <v/>
      </c>
    </row>
    <row r="156">
      <c r="A156">
        <f>IFERROR(INDEX('DRAFT 1'!$A:$A,MATCH($B156,'DRAFT 1'!$B:$B,0)),"")</f>
        <v/>
      </c>
      <c r="C156">
        <f>IFERROR(INDEX('DRAFT 1'!$C:$C,MATCH($B156,'DRAFT 1'!$B:$B,0)),"")</f>
        <v/>
      </c>
      <c r="D156">
        <f>IFERROR(INDEX('DRAFT 1'!$D:$D,MATCH($B156,'DRAFT 1'!$B:$B,0)),"")</f>
        <v/>
      </c>
      <c r="E156">
        <f>IFERROR(INDEX('DRAFT 1'!$E:$E,MATCH($B156,'DRAFT 1'!$B:$B,0)),"")</f>
        <v/>
      </c>
      <c r="F156">
        <f>IFERROR(INDEX('DRAFT 1'!$F:$F,MATCH($B156,'DRAFT 1'!$B:$B,0)),"")</f>
        <v/>
      </c>
      <c r="G156">
        <f>IFERROR(INDEX('DRAFT 1'!$G:$G,MATCH($B156,'DRAFT 1'!$B:$B,0)),"")</f>
        <v/>
      </c>
      <c r="H156">
        <f>IFERROR(INDEX('DRAFT 1'!$H:$H,MATCH($B156,'DRAFT 1'!$B:$B,0)),"")</f>
        <v/>
      </c>
      <c r="I156">
        <f>IFERROR(INDEX('DRAFT 1'!$I:$I,MATCH($B156,'DRAFT 1'!$B:$B,0)),"")</f>
        <v/>
      </c>
      <c r="K156">
        <f>IFERROR(INDEX('DRAFT 1'!$AL:$AL,MATCH($B156,'DRAFT 1'!$B:$B,0)),"")</f>
        <v/>
      </c>
      <c r="L156">
        <f>IFERROR(INDEX('DRAFT 1'!$J:$J,MATCH($B156,'DRAFT 1'!$B:$B,0)),"")</f>
        <v/>
      </c>
      <c r="M156">
        <f>IFERROR(INDEX('DRAFT 1'!$K:$K,MATCH($B156,'DRAFT 1'!$B:$B,0)),"")</f>
        <v/>
      </c>
      <c r="P156">
        <f>IFERROR(INDEX('DRAFT 1'!$L:$L,MATCH($B156,'DRAFT 1'!$B:$B,0)),"")</f>
        <v/>
      </c>
      <c r="Q156">
        <f>IFERROR(INDEX('DRAFT 1'!$M:$M,MATCH($B156,'DRAFT 1'!$B:$B,0)),"")</f>
        <v/>
      </c>
      <c r="R156">
        <f>IFERROR(INDEX('DRAFT 1'!$N:$N,MATCH($B156,'DRAFT 1'!$B:$B,0)),"")</f>
        <v/>
      </c>
      <c r="S156">
        <f>IFERROR(INDEX('DRAFT 1'!$O:$O,MATCH($B156,'DRAFT 1'!$B:$B,0)),"")</f>
        <v/>
      </c>
      <c r="T156">
        <f>IFERROR(INDEX('DRAFT 1'!$P:$P,MATCH($B156,'DRAFT 1'!$B:$B,0)),"")</f>
        <v/>
      </c>
      <c r="U156">
        <f>IFERROR(INDEX('DRAFT 1'!$Q:$Q,MATCH($B156,'DRAFT 1'!$B:$B,0)),"")</f>
        <v/>
      </c>
      <c r="V156">
        <f>IFERROR(INDEX('DRAFT 1'!$R:$R,MATCH($B156,'DRAFT 1'!$B:$B,0)),"")</f>
        <v/>
      </c>
      <c r="W156">
        <f>IFERROR(INDEX('DRAFT 1'!$S:$S,MATCH($B156,'DRAFT 1'!$B:$B,0)),"")</f>
        <v/>
      </c>
      <c r="X156">
        <f>IFERROR(INDEX('DRAFT 1'!$T:$T,MATCH($B156,'DRAFT 1'!$B:$B,0)),"")</f>
        <v/>
      </c>
      <c r="Z156">
        <f>IFERROR(INDEX('DRAFT 1'!$U:$U,MATCH($B156,'DRAFT 1'!$B:$B,0)),"")</f>
        <v/>
      </c>
      <c r="AA156">
        <f>IFERROR(INDEX('DRAFT 1'!$V:$V,MATCH($B156,'DRAFT 1'!$B:$B,0)),"")</f>
        <v/>
      </c>
      <c r="AB156">
        <f>IFERROR(INDEX('DRAFT 1'!$W:$W,MATCH($B156,'DRAFT 1'!$B:$B,0)),"")</f>
        <v/>
      </c>
      <c r="AC156">
        <f>IFERROR(INDEX('DRAFT 1'!$X:$X,MATCH($B156,'DRAFT 1'!$B:$B,0)),"")</f>
        <v/>
      </c>
      <c r="AD156">
        <f>IFERROR(INDEX('DRAFT 1'!$Y:$Y,MATCH($B156,'DRAFT 1'!$B:$B,0)),"")</f>
        <v/>
      </c>
      <c r="AE156">
        <f>IFERROR(INDEX('DRAFT 1'!$Z:$Z,MATCH($B156,'DRAFT 1'!$B:$B,0)),"")</f>
        <v/>
      </c>
      <c r="AF156">
        <f>IFERROR(INDEX('DRAFT 1'!$AA:$AA,MATCH($B156,'DRAFT 1'!$B:$B,0)),"")</f>
        <v/>
      </c>
      <c r="AG156">
        <f>IFERROR(INDEX('DRAFT 1'!$AB:$AB,MATCH($B156,'DRAFT 1'!$B:$B,0)),"")</f>
        <v/>
      </c>
      <c r="AH156">
        <f>IFERROR(INDEX('DRAFT 1'!$AC:$AC,MATCH($B156,'DRAFT 1'!$B:$B,0)),"")</f>
        <v/>
      </c>
      <c r="AI156">
        <f>IFERROR(INDEX('DRAFT 1'!$AD:$AD,MATCH($B156,'DRAFT 1'!$B:$B,0)),"")</f>
        <v/>
      </c>
      <c r="AJ156">
        <f>IFERROR(INDEX('DRAFT 1'!$AE:$AE,MATCH($B156,'DRAFT 1'!$B:$B,0)),"")</f>
        <v/>
      </c>
      <c r="AK156">
        <f>IFERROR(INDEX('DRAFT 1'!$AG:$AG,MATCH($B156,'DRAFT 1'!$B:$B,0)),"")</f>
        <v/>
      </c>
      <c r="AL156">
        <f>IFERROR(INDEX('DRAFT 1'!$AH:$AH,MATCH($B156,'DRAFT 1'!$B:$B,0)),"")</f>
        <v/>
      </c>
      <c r="AM156">
        <f>IFERROR(INDEX('DRAFT 1'!$AI:$AI,MATCH($B156,'DRAFT 1'!$B:$B,0)),"")</f>
        <v/>
      </c>
      <c r="AN156">
        <f>IFERROR(INDEX('DRAFT 1'!$AJ:$AJ,MATCH($B156,'DRAFT 1'!$B:$B,0)),"")</f>
        <v/>
      </c>
      <c r="AO156">
        <f>IFERROR(Y156/AN156,0)</f>
        <v/>
      </c>
      <c r="AP156">
        <f>IFERROR(INDEX('DRAFT 1'!$AK:$AK,MATCH($B156,'DRAFT 1'!$B:$B,0)),"")</f>
        <v/>
      </c>
      <c r="AR156">
        <f>IFERROR(LOOKUP(2,1/('DRAFT 2'!$D:$D=$B156),'DRAFT 2'!$I:$I),"")</f>
        <v/>
      </c>
      <c r="AS156">
        <f>IFERROR(LOOKUP(2,1/('DRAFT 2'!$D:$D=$B156),'DRAFT 2'!$T:$T),"")</f>
        <v/>
      </c>
      <c r="AT156">
        <f>IFERROR(LOOKUP(2,1/('DRAFT 2'!$D:$D=$B156),'DRAFT 2'!$A:$A),"")</f>
        <v/>
      </c>
      <c r="AU156">
        <f>IFERROR(LOOKUP(2,1/('DRAFT 2'!$D:$D=$B156),'DRAFT 2'!$R:$R),"")</f>
        <v/>
      </c>
      <c r="AV156">
        <f>IFERROR(LOOKUP(2,1/('DRAFT 2'!$D:$D=$B156),'DRAFT 2'!$S:$S),"")</f>
        <v/>
      </c>
      <c r="AX156">
        <f>IFERROR(LOOKUP(2,1/('DRAFT 2'!$D:$D=$B156),'DRAFT 2'!$M:$M),"")</f>
        <v/>
      </c>
      <c r="AY156">
        <f>IFERROR(LOOKUP(2,1/('DRAFT 2'!$D:$D=$B156),'DRAFT 2'!$K:$K),"")</f>
        <v/>
      </c>
      <c r="BG156">
        <f>IFERROR(LOOKUP(2,1/('DRAFT 2'!$D:$D=$B156),'DRAFT 2'!$U:$U),"")</f>
        <v/>
      </c>
      <c r="BH156">
        <f>IFERROR(LOOKUP(2,1/('DRAFT 2'!$D:$D=$B156),'DRAFT 2'!$V:$V),"")</f>
        <v/>
      </c>
      <c r="CE156">
        <f>IFERROR(AJ156,0)</f>
        <v/>
      </c>
      <c r="CF156">
        <f>IFERROR(LOOKUP(2,1/('DRAFT 2'!$D:$D=$B156)*('DRAFT 2'!$A:$A&gt;=DATE(2026,1,1))*('DRAFT 2'!$A:$A&lt;DATE(2026,IF(1=12,1+1,1+1),1)),'DRAFT 2'!$A:$A),"")</f>
        <v/>
      </c>
      <c r="CG156">
        <f>COUNTIFS('DRAFT 2'!$D:$D,$B156,'DRAFT 2'!$A:$A,"&gt;="&amp;DATE(2026,1,1),'DRAFT 2'!$A:$A,"&lt;="&amp;DATE(2026,1,7))</f>
        <v/>
      </c>
      <c r="CH156">
        <f>COUNTIFS('DRAFT 2'!$D:$D,$B156,'DRAFT 2'!$A:$A,"&gt;="&amp;DATE(2026,1,8),'DRAFT 2'!$A:$A,"&lt;="&amp;DATE(2026,1,14))</f>
        <v/>
      </c>
      <c r="CI156">
        <f>COUNTIFS('DRAFT 2'!$D:$D,$B156,'DRAFT 2'!$A:$A,"&gt;="&amp;DATE(2026,1,15),'DRAFT 2'!$A:$A,"&lt;="&amp;DATE(2026,1,21))</f>
        <v/>
      </c>
      <c r="CJ156">
        <f>COUNTIFS('DRAFT 2'!$D:$D,$B156,'DRAFT 2'!$A:$A,"&gt;="&amp;DATE(2026,1,22),'DRAFT 2'!$A:$A,"&lt;"&amp;DATE(2026,IF(1=12,1+1,1+1),1))</f>
        <v/>
      </c>
      <c r="CK156">
        <f>SUM(CG156:CJ156)</f>
        <v/>
      </c>
      <c r="CT156" t="n">
        <v>0</v>
      </c>
      <c r="CU156">
        <f>IFERROR(LOOKUP(2,1/('DRAFT 2'!$D:$D=$B156)*('DRAFT 2'!$A:$A&gt;=DATE(2026,2,1))*('DRAFT 2'!$A:$A&lt;DATE(2026,IF(2=12,2+1,2+1),1)),'DRAFT 2'!$A:$A),"")</f>
        <v/>
      </c>
      <c r="CV156">
        <f>COUNTIFS('DRAFT 2'!$D:$D,$B156,'DRAFT 2'!$A:$A,"&gt;="&amp;DATE(2026,2,1),'DRAFT 2'!$A:$A,"&lt;="&amp;DATE(2026,2,7))</f>
        <v/>
      </c>
      <c r="CW156">
        <f>COUNTIFS('DRAFT 2'!$D:$D,$B156,'DRAFT 2'!$A:$A,"&gt;="&amp;DATE(2026,2,8),'DRAFT 2'!$A:$A,"&lt;="&amp;DATE(2026,2,14))</f>
        <v/>
      </c>
      <c r="CX156">
        <f>COUNTIFS('DRAFT 2'!$D:$D,$B156,'DRAFT 2'!$A:$A,"&gt;="&amp;DATE(2026,2,15),'DRAFT 2'!$A:$A,"&lt;="&amp;DATE(2026,2,21))</f>
        <v/>
      </c>
      <c r="CY156">
        <f>COUNTIFS('DRAFT 2'!$D:$D,$B156,'DRAFT 2'!$A:$A,"&gt;="&amp;DATE(2026,2,22),'DRAFT 2'!$A:$A,"&lt;"&amp;DATE(2026,IF(2=12,2+1,2+1),1))</f>
        <v/>
      </c>
      <c r="CZ156">
        <f>SUM(CV156:CY156)</f>
        <v/>
      </c>
      <c r="DJ156">
        <f>IFERROR(LOOKUP(2,1/('DRAFT 2'!$D:$D=$B156)*('DRAFT 2'!$A:$A&gt;=DATE(2026,3,1))*('DRAFT 2'!$A:$A&lt;DATE(2026,IF(3=12,3+1,3+1),1)),'DRAFT 2'!$A:$A),"")</f>
        <v/>
      </c>
      <c r="DK156">
        <f>COUNTIFS('DRAFT 2'!$D:$D,$B156,'DRAFT 2'!$A:$A,"&gt;="&amp;DATE(2026,3,1),'DRAFT 2'!$A:$A,"&lt;="&amp;DATE(2026,3,7))</f>
        <v/>
      </c>
      <c r="DL156">
        <f>COUNTIFS('DRAFT 2'!$D:$D,$B156,'DRAFT 2'!$A:$A,"&gt;="&amp;DATE(2026,3,8),'DRAFT 2'!$A:$A,"&lt;="&amp;DATE(2026,3,14))</f>
        <v/>
      </c>
      <c r="DM156">
        <f>COUNTIFS('DRAFT 2'!$D:$D,$B156,'DRAFT 2'!$A:$A,"&gt;="&amp;DATE(2026,3,15),'DRAFT 2'!$A:$A,"&lt;="&amp;DATE(2026,3,21))</f>
        <v/>
      </c>
      <c r="DN156">
        <f>COUNTIFS('DRAFT 2'!$D:$D,$B156,'DRAFT 2'!$A:$A,"&gt;="&amp;DATE(2026,3,22),'DRAFT 2'!$A:$A,"&lt;"&amp;DATE(2026,IF(3=12,3+1,3+1),1))</f>
        <v/>
      </c>
      <c r="DO156">
        <f>SUM(DK156:DN156)</f>
        <v/>
      </c>
      <c r="DZ156">
        <f>IFERROR(LOOKUP(2,1/('DRAFT 2'!$D:$D=$B156)*('DRAFT 2'!$A:$A&gt;=DATE(2026,4,1))*('DRAFT 2'!$A:$A&lt;DATE(2026,IF(4=12,4+1,4+1),1)),'DRAFT 2'!$A:$A),"")</f>
        <v/>
      </c>
      <c r="EA156">
        <f>COUNTIFS('DRAFT 2'!$D:$D,$B156,'DRAFT 2'!$A:$A,"&gt;="&amp;DATE(2026,4,1),'DRAFT 2'!$A:$A,"&lt;="&amp;DATE(2026,4,7))</f>
        <v/>
      </c>
      <c r="EB156">
        <f>COUNTIFS('DRAFT 2'!$D:$D,$B156,'DRAFT 2'!$A:$A,"&gt;="&amp;DATE(2026,4,8),'DRAFT 2'!$A:$A,"&lt;="&amp;DATE(2026,4,14))</f>
        <v/>
      </c>
      <c r="EC156">
        <f>COUNTIFS('DRAFT 2'!$D:$D,$B156,'DRAFT 2'!$A:$A,"&gt;="&amp;DATE(2026,4,15),'DRAFT 2'!$A:$A,"&lt;="&amp;DATE(2026,4,21))</f>
        <v/>
      </c>
      <c r="ED156">
        <f>COUNTIFS('DRAFT 2'!$D:$D,$B156,'DRAFT 2'!$A:$A,"&gt;="&amp;DATE(2026,4,22),'DRAFT 2'!$A:$A,"&lt;"&amp;DATE(2026,IF(4=12,4+1,4+1),1))</f>
        <v/>
      </c>
      <c r="EE156">
        <f>SUM(EA156:ED156)</f>
        <v/>
      </c>
      <c r="EO156">
        <f>IFERROR(LOOKUP(2,1/('DRAFT 2'!$D:$D=$B156)*('DRAFT 2'!$A:$A&gt;=DATE(2026,5,1))*('DRAFT 2'!$A:$A&lt;DATE(2026,IF(5=12,5+1,5+1),1)),'DRAFT 2'!$A:$A),"")</f>
        <v/>
      </c>
      <c r="EP156">
        <f>COUNTIFS('DRAFT 2'!$D:$D,$B156,'DRAFT 2'!$A:$A,"&gt;="&amp;DATE(2026,5,1),'DRAFT 2'!$A:$A,"&lt;="&amp;DATE(2026,5,7))</f>
        <v/>
      </c>
      <c r="EQ156">
        <f>COUNTIFS('DRAFT 2'!$D:$D,$B156,'DRAFT 2'!$A:$A,"&gt;="&amp;DATE(2026,5,8),'DRAFT 2'!$A:$A,"&lt;="&amp;DATE(2026,5,14))</f>
        <v/>
      </c>
      <c r="ER156">
        <f>COUNTIFS('DRAFT 2'!$D:$D,$B156,'DRAFT 2'!$A:$A,"&gt;="&amp;DATE(2026,5,15),'DRAFT 2'!$A:$A,"&lt;="&amp;DATE(2026,5,21))</f>
        <v/>
      </c>
      <c r="ES156">
        <f>COUNTIFS('DRAFT 2'!$D:$D,$B156,'DRAFT 2'!$A:$A,"&gt;="&amp;DATE(2026,5,22),'DRAFT 2'!$A:$A,"&lt;"&amp;DATE(2026,IF(5=12,5+1,5+1),1))</f>
        <v/>
      </c>
      <c r="ET156">
        <f>SUM(EP156:ES156)</f>
        <v/>
      </c>
      <c r="FD156">
        <f>IFERROR(LOOKUP(2,1/('DRAFT 2'!$D:$D=$B156)*('DRAFT 2'!$A:$A&gt;=DATE(2026,6,1))*('DRAFT 2'!$A:$A&lt;DATE(2026,IF(6=12,6+1,6+1),1)),'DRAFT 2'!$A:$A),"")</f>
        <v/>
      </c>
      <c r="FE156">
        <f>COUNTIFS('DRAFT 2'!$D:$D,$B156,'DRAFT 2'!$A:$A,"&gt;="&amp;DATE(2026,6,1),'DRAFT 2'!$A:$A,"&lt;="&amp;DATE(2026,6,7))</f>
        <v/>
      </c>
      <c r="FF156">
        <f>COUNTIFS('DRAFT 2'!$D:$D,$B156,'DRAFT 2'!$A:$A,"&gt;="&amp;DATE(2026,6,8),'DRAFT 2'!$A:$A,"&lt;="&amp;DATE(2026,6,14))</f>
        <v/>
      </c>
      <c r="FG156">
        <f>COUNTIFS('DRAFT 2'!$D:$D,$B156,'DRAFT 2'!$A:$A,"&gt;="&amp;DATE(2026,6,15),'DRAFT 2'!$A:$A,"&lt;="&amp;DATE(2026,6,21))</f>
        <v/>
      </c>
      <c r="FH156">
        <f>COUNTIFS('DRAFT 2'!$D:$D,$B156,'DRAFT 2'!$A:$A,"&gt;="&amp;DATE(2026,6,22),'DRAFT 2'!$A:$A,"&lt;"&amp;DATE(2026,IF(6=12,6+1,6+1),1))</f>
        <v/>
      </c>
      <c r="FI156">
        <f>SUM(FE156:FH156)</f>
        <v/>
      </c>
      <c r="FT156">
        <f>IFERROR(LOOKUP(2,1/('DRAFT 2'!$D:$D=$B156)*('DRAFT 2'!$A:$A&gt;=DATE(2026,7,1))*('DRAFT 2'!$A:$A&lt;DATE(2026,IF(7=12,7+1,7+1),1)),'DRAFT 2'!$A:$A),"")</f>
        <v/>
      </c>
      <c r="FU156">
        <f>COUNTIFS('DRAFT 2'!$D:$D,$B156,'DRAFT 2'!$A:$A,"&gt;="&amp;DATE(2026,7,1),'DRAFT 2'!$A:$A,"&lt;="&amp;DATE(2026,7,7))</f>
        <v/>
      </c>
      <c r="FV156">
        <f>COUNTIFS('DRAFT 2'!$D:$D,$B156,'DRAFT 2'!$A:$A,"&gt;="&amp;DATE(2026,7,8),'DRAFT 2'!$A:$A,"&lt;="&amp;DATE(2026,7,14))</f>
        <v/>
      </c>
      <c r="FW156">
        <f>COUNTIFS('DRAFT 2'!$D:$D,$B156,'DRAFT 2'!$A:$A,"&gt;="&amp;DATE(2026,7,15),'DRAFT 2'!$A:$A,"&lt;="&amp;DATE(2026,7,21))</f>
        <v/>
      </c>
      <c r="FX156">
        <f>COUNTIFS('DRAFT 2'!$D:$D,$B156,'DRAFT 2'!$A:$A,"&gt;="&amp;DATE(2026,7,22),'DRAFT 2'!$A:$A,"&lt;"&amp;DATE(2026,IF(7=12,7+1,7+1),1))</f>
        <v/>
      </c>
      <c r="FY156">
        <f>SUM(FU156:FX156)</f>
        <v/>
      </c>
      <c r="GI156">
        <f>IFERROR(LOOKUP(2,1/('DRAFT 2'!$D:$D=$B156)*('DRAFT 2'!$A:$A&gt;=DATE(2026,8,1))*('DRAFT 2'!$A:$A&lt;DATE(2026,IF(8=12,8+1,8+1),1)),'DRAFT 2'!$A:$A),"")</f>
        <v/>
      </c>
      <c r="GJ156">
        <f>COUNTIFS('DRAFT 2'!$D:$D,$B156,'DRAFT 2'!$A:$A,"&gt;="&amp;DATE(2026,8,1),'DRAFT 2'!$A:$A,"&lt;="&amp;DATE(2026,8,7))</f>
        <v/>
      </c>
      <c r="GK156">
        <f>COUNTIFS('DRAFT 2'!$D:$D,$B156,'DRAFT 2'!$A:$A,"&gt;="&amp;DATE(2026,8,8),'DRAFT 2'!$A:$A,"&lt;="&amp;DATE(2026,8,14))</f>
        <v/>
      </c>
      <c r="GL156">
        <f>COUNTIFS('DRAFT 2'!$D:$D,$B156,'DRAFT 2'!$A:$A,"&gt;="&amp;DATE(2026,8,15),'DRAFT 2'!$A:$A,"&lt;="&amp;DATE(2026,8,21))</f>
        <v/>
      </c>
      <c r="GM156">
        <f>COUNTIFS('DRAFT 2'!$D:$D,$B156,'DRAFT 2'!$A:$A,"&gt;="&amp;DATE(2026,8,22),'DRAFT 2'!$A:$A,"&lt;"&amp;DATE(2026,IF(8=12,8+1,8+1),1))</f>
        <v/>
      </c>
      <c r="GN156">
        <f>SUM(GJ156:GM156)</f>
        <v/>
      </c>
      <c r="GX156">
        <f>IFERROR(LOOKUP(2,1/('DRAFT 2'!$D:$D=$B156)*('DRAFT 2'!$A:$A&gt;=DATE(2026,9,1))*('DRAFT 2'!$A:$A&lt;DATE(2026,IF(9=12,9+1,9+1),1)),'DRAFT 2'!$A:$A),"")</f>
        <v/>
      </c>
      <c r="GY156">
        <f>COUNTIFS('DRAFT 2'!$D:$D,$B156,'DRAFT 2'!$A:$A,"&gt;="&amp;DATE(2026,9,1),'DRAFT 2'!$A:$A,"&lt;="&amp;DATE(2026,9,7))</f>
        <v/>
      </c>
      <c r="GZ156">
        <f>COUNTIFS('DRAFT 2'!$D:$D,$B156,'DRAFT 2'!$A:$A,"&gt;="&amp;DATE(2026,9,8),'DRAFT 2'!$A:$A,"&lt;="&amp;DATE(2026,9,14))</f>
        <v/>
      </c>
      <c r="HA156">
        <f>COUNTIFS('DRAFT 2'!$D:$D,$B156,'DRAFT 2'!$A:$A,"&gt;="&amp;DATE(2026,9,15),'DRAFT 2'!$A:$A,"&lt;="&amp;DATE(2026,9,21))</f>
        <v/>
      </c>
      <c r="HB156">
        <f>COUNTIFS('DRAFT 2'!$D:$D,$B156,'DRAFT 2'!$A:$A,"&gt;="&amp;DATE(2026,9,22),'DRAFT 2'!$A:$A,"&lt;"&amp;DATE(2026,IF(9=12,9+1,9+1),1))</f>
        <v/>
      </c>
      <c r="HC156">
        <f>SUM(GY156:HB156)</f>
        <v/>
      </c>
      <c r="HN156">
        <f>IFERROR(LOOKUP(2,1/('DRAFT 2'!$D:$D=$B156)*('DRAFT 2'!$A:$A&gt;=DATE(2026,10,1))*('DRAFT 2'!$A:$A&lt;DATE(2026,IF(10=12,10+1,10+1),1)),'DRAFT 2'!$A:$A),"")</f>
        <v/>
      </c>
      <c r="HO156">
        <f>COUNTIFS('DRAFT 2'!$D:$D,$B156,'DRAFT 2'!$A:$A,"&gt;="&amp;DATE(2026,10,1),'DRAFT 2'!$A:$A,"&lt;="&amp;DATE(2026,10,7))</f>
        <v/>
      </c>
      <c r="HP156">
        <f>COUNTIFS('DRAFT 2'!$D:$D,$B156,'DRAFT 2'!$A:$A,"&gt;="&amp;DATE(2026,10,8),'DRAFT 2'!$A:$A,"&lt;="&amp;DATE(2026,10,14))</f>
        <v/>
      </c>
      <c r="HQ156">
        <f>COUNTIFS('DRAFT 2'!$D:$D,$B156,'DRAFT 2'!$A:$A,"&gt;="&amp;DATE(2026,10,15),'DRAFT 2'!$A:$A,"&lt;="&amp;DATE(2026,10,21))</f>
        <v/>
      </c>
      <c r="HR156">
        <f>COUNTIFS('DRAFT 2'!$D:$D,$B156,'DRAFT 2'!$A:$A,"&gt;="&amp;DATE(2026,10,22),'DRAFT 2'!$A:$A,"&lt;"&amp;DATE(2026,IF(10=12,10+1,10+1),1))</f>
        <v/>
      </c>
      <c r="HS156">
        <f>SUM(HO156:HR156)</f>
        <v/>
      </c>
      <c r="IC156">
        <f>IFERROR(LOOKUP(2,1/('DRAFT 2'!$D:$D=$B156)*('DRAFT 2'!$A:$A&gt;=DATE(2026,11,1))*('DRAFT 2'!$A:$A&lt;DATE(2026,IF(11=12,11+1,11+1),1)),'DRAFT 2'!$A:$A),"")</f>
        <v/>
      </c>
      <c r="ID156">
        <f>COUNTIFS('DRAFT 2'!$D:$D,$B156,'DRAFT 2'!$A:$A,"&gt;="&amp;DATE(2026,11,1),'DRAFT 2'!$A:$A,"&lt;="&amp;DATE(2026,11,7))</f>
        <v/>
      </c>
      <c r="IE156">
        <f>COUNTIFS('DRAFT 2'!$D:$D,$B156,'DRAFT 2'!$A:$A,"&gt;="&amp;DATE(2026,11,8),'DRAFT 2'!$A:$A,"&lt;="&amp;DATE(2026,11,14))</f>
        <v/>
      </c>
      <c r="IF156">
        <f>COUNTIFS('DRAFT 2'!$D:$D,$B156,'DRAFT 2'!$A:$A,"&gt;="&amp;DATE(2026,11,15),'DRAFT 2'!$A:$A,"&lt;="&amp;DATE(2026,11,21))</f>
        <v/>
      </c>
      <c r="IG156">
        <f>COUNTIFS('DRAFT 2'!$D:$D,$B156,'DRAFT 2'!$A:$A,"&gt;="&amp;DATE(2026,11,22),'DRAFT 2'!$A:$A,"&lt;"&amp;DATE(2026,IF(11=12,11+1,11+1),1))</f>
        <v/>
      </c>
      <c r="IH156">
        <f>SUM(ID156:IG156)</f>
        <v/>
      </c>
      <c r="IR156">
        <f>IFERROR(LOOKUP(2,1/('DRAFT 2'!$D:$D=$B156)*('DRAFT 2'!$A:$A&gt;=DATE(2026,12,1))*('DRAFT 2'!$A:$A&lt;DATE(2026,IF(12=12,12+1,12+1),1)),'DRAFT 2'!$A:$A),"")</f>
        <v/>
      </c>
      <c r="IS156">
        <f>COUNTIFS('DRAFT 2'!$D:$D,$B156,'DRAFT 2'!$A:$A,"&gt;="&amp;DATE(2026,12,1),'DRAFT 2'!$A:$A,"&lt;="&amp;DATE(2026,12,7))</f>
        <v/>
      </c>
      <c r="IT156">
        <f>COUNTIFS('DRAFT 2'!$D:$D,$B156,'DRAFT 2'!$A:$A,"&gt;="&amp;DATE(2026,12,8),'DRAFT 2'!$A:$A,"&lt;="&amp;DATE(2026,12,14))</f>
        <v/>
      </c>
      <c r="IU156">
        <f>COUNTIFS('DRAFT 2'!$D:$D,$B156,'DRAFT 2'!$A:$A,"&gt;="&amp;DATE(2026,12,15),'DRAFT 2'!$A:$A,"&lt;="&amp;DATE(2026,12,21))</f>
        <v/>
      </c>
      <c r="IV156">
        <f>COUNTIFS('DRAFT 2'!$D:$D,$B156,'DRAFT 2'!$A:$A,"&gt;="&amp;DATE(2026,12,22),'DRAFT 2'!$A:$A,"&lt;"&amp;DATE(2026,IF(12=12,12+1,12+1),1))</f>
        <v/>
      </c>
      <c r="IW156">
        <f>SUM(IS156:IV156)</f>
        <v/>
      </c>
    </row>
    <row r="157">
      <c r="A157">
        <f>IFERROR(INDEX('DRAFT 1'!$A:$A,MATCH($B157,'DRAFT 1'!$B:$B,0)),"")</f>
        <v/>
      </c>
      <c r="C157">
        <f>IFERROR(INDEX('DRAFT 1'!$C:$C,MATCH($B157,'DRAFT 1'!$B:$B,0)),"")</f>
        <v/>
      </c>
      <c r="D157">
        <f>IFERROR(INDEX('DRAFT 1'!$D:$D,MATCH($B157,'DRAFT 1'!$B:$B,0)),"")</f>
        <v/>
      </c>
      <c r="E157">
        <f>IFERROR(INDEX('DRAFT 1'!$E:$E,MATCH($B157,'DRAFT 1'!$B:$B,0)),"")</f>
        <v/>
      </c>
      <c r="F157">
        <f>IFERROR(INDEX('DRAFT 1'!$F:$F,MATCH($B157,'DRAFT 1'!$B:$B,0)),"")</f>
        <v/>
      </c>
      <c r="G157">
        <f>IFERROR(INDEX('DRAFT 1'!$G:$G,MATCH($B157,'DRAFT 1'!$B:$B,0)),"")</f>
        <v/>
      </c>
      <c r="H157">
        <f>IFERROR(INDEX('DRAFT 1'!$H:$H,MATCH($B157,'DRAFT 1'!$B:$B,0)),"")</f>
        <v/>
      </c>
      <c r="I157">
        <f>IFERROR(INDEX('DRAFT 1'!$I:$I,MATCH($B157,'DRAFT 1'!$B:$B,0)),"")</f>
        <v/>
      </c>
      <c r="K157">
        <f>IFERROR(INDEX('DRAFT 1'!$AL:$AL,MATCH($B157,'DRAFT 1'!$B:$B,0)),"")</f>
        <v/>
      </c>
      <c r="L157">
        <f>IFERROR(INDEX('DRAFT 1'!$J:$J,MATCH($B157,'DRAFT 1'!$B:$B,0)),"")</f>
        <v/>
      </c>
      <c r="M157">
        <f>IFERROR(INDEX('DRAFT 1'!$K:$K,MATCH($B157,'DRAFT 1'!$B:$B,0)),"")</f>
        <v/>
      </c>
      <c r="P157">
        <f>IFERROR(INDEX('DRAFT 1'!$L:$L,MATCH($B157,'DRAFT 1'!$B:$B,0)),"")</f>
        <v/>
      </c>
      <c r="Q157">
        <f>IFERROR(INDEX('DRAFT 1'!$M:$M,MATCH($B157,'DRAFT 1'!$B:$B,0)),"")</f>
        <v/>
      </c>
      <c r="R157">
        <f>IFERROR(INDEX('DRAFT 1'!$N:$N,MATCH($B157,'DRAFT 1'!$B:$B,0)),"")</f>
        <v/>
      </c>
      <c r="S157">
        <f>IFERROR(INDEX('DRAFT 1'!$O:$O,MATCH($B157,'DRAFT 1'!$B:$B,0)),"")</f>
        <v/>
      </c>
      <c r="T157">
        <f>IFERROR(INDEX('DRAFT 1'!$P:$P,MATCH($B157,'DRAFT 1'!$B:$B,0)),"")</f>
        <v/>
      </c>
      <c r="U157">
        <f>IFERROR(INDEX('DRAFT 1'!$Q:$Q,MATCH($B157,'DRAFT 1'!$B:$B,0)),"")</f>
        <v/>
      </c>
      <c r="V157">
        <f>IFERROR(INDEX('DRAFT 1'!$R:$R,MATCH($B157,'DRAFT 1'!$B:$B,0)),"")</f>
        <v/>
      </c>
      <c r="W157">
        <f>IFERROR(INDEX('DRAFT 1'!$S:$S,MATCH($B157,'DRAFT 1'!$B:$B,0)),"")</f>
        <v/>
      </c>
      <c r="X157">
        <f>IFERROR(INDEX('DRAFT 1'!$T:$T,MATCH($B157,'DRAFT 1'!$B:$B,0)),"")</f>
        <v/>
      </c>
      <c r="Z157">
        <f>IFERROR(INDEX('DRAFT 1'!$U:$U,MATCH($B157,'DRAFT 1'!$B:$B,0)),"")</f>
        <v/>
      </c>
      <c r="AA157">
        <f>IFERROR(INDEX('DRAFT 1'!$V:$V,MATCH($B157,'DRAFT 1'!$B:$B,0)),"")</f>
        <v/>
      </c>
      <c r="AB157">
        <f>IFERROR(INDEX('DRAFT 1'!$W:$W,MATCH($B157,'DRAFT 1'!$B:$B,0)),"")</f>
        <v/>
      </c>
      <c r="AC157">
        <f>IFERROR(INDEX('DRAFT 1'!$X:$X,MATCH($B157,'DRAFT 1'!$B:$B,0)),"")</f>
        <v/>
      </c>
      <c r="AD157">
        <f>IFERROR(INDEX('DRAFT 1'!$Y:$Y,MATCH($B157,'DRAFT 1'!$B:$B,0)),"")</f>
        <v/>
      </c>
      <c r="AE157">
        <f>IFERROR(INDEX('DRAFT 1'!$Z:$Z,MATCH($B157,'DRAFT 1'!$B:$B,0)),"")</f>
        <v/>
      </c>
      <c r="AF157">
        <f>IFERROR(INDEX('DRAFT 1'!$AA:$AA,MATCH($B157,'DRAFT 1'!$B:$B,0)),"")</f>
        <v/>
      </c>
      <c r="AG157">
        <f>IFERROR(INDEX('DRAFT 1'!$AB:$AB,MATCH($B157,'DRAFT 1'!$B:$B,0)),"")</f>
        <v/>
      </c>
      <c r="AH157">
        <f>IFERROR(INDEX('DRAFT 1'!$AC:$AC,MATCH($B157,'DRAFT 1'!$B:$B,0)),"")</f>
        <v/>
      </c>
      <c r="AI157">
        <f>IFERROR(INDEX('DRAFT 1'!$AD:$AD,MATCH($B157,'DRAFT 1'!$B:$B,0)),"")</f>
        <v/>
      </c>
      <c r="AJ157">
        <f>IFERROR(INDEX('DRAFT 1'!$AE:$AE,MATCH($B157,'DRAFT 1'!$B:$B,0)),"")</f>
        <v/>
      </c>
      <c r="AK157">
        <f>IFERROR(INDEX('DRAFT 1'!$AG:$AG,MATCH($B157,'DRAFT 1'!$B:$B,0)),"")</f>
        <v/>
      </c>
      <c r="AL157">
        <f>IFERROR(INDEX('DRAFT 1'!$AH:$AH,MATCH($B157,'DRAFT 1'!$B:$B,0)),"")</f>
        <v/>
      </c>
      <c r="AM157">
        <f>IFERROR(INDEX('DRAFT 1'!$AI:$AI,MATCH($B157,'DRAFT 1'!$B:$B,0)),"")</f>
        <v/>
      </c>
      <c r="AN157">
        <f>IFERROR(INDEX('DRAFT 1'!$AJ:$AJ,MATCH($B157,'DRAFT 1'!$B:$B,0)),"")</f>
        <v/>
      </c>
      <c r="AO157">
        <f>IFERROR(Y157/AN157,0)</f>
        <v/>
      </c>
      <c r="AP157">
        <f>IFERROR(INDEX('DRAFT 1'!$AK:$AK,MATCH($B157,'DRAFT 1'!$B:$B,0)),"")</f>
        <v/>
      </c>
      <c r="AR157">
        <f>IFERROR(LOOKUP(2,1/('DRAFT 2'!$D:$D=$B157),'DRAFT 2'!$I:$I),"")</f>
        <v/>
      </c>
      <c r="AS157">
        <f>IFERROR(LOOKUP(2,1/('DRAFT 2'!$D:$D=$B157),'DRAFT 2'!$T:$T),"")</f>
        <v/>
      </c>
      <c r="AT157">
        <f>IFERROR(LOOKUP(2,1/('DRAFT 2'!$D:$D=$B157),'DRAFT 2'!$A:$A),"")</f>
        <v/>
      </c>
      <c r="AU157">
        <f>IFERROR(LOOKUP(2,1/('DRAFT 2'!$D:$D=$B157),'DRAFT 2'!$R:$R),"")</f>
        <v/>
      </c>
      <c r="AV157">
        <f>IFERROR(LOOKUP(2,1/('DRAFT 2'!$D:$D=$B157),'DRAFT 2'!$S:$S),"")</f>
        <v/>
      </c>
      <c r="AX157">
        <f>IFERROR(LOOKUP(2,1/('DRAFT 2'!$D:$D=$B157),'DRAFT 2'!$M:$M),"")</f>
        <v/>
      </c>
      <c r="AY157">
        <f>IFERROR(LOOKUP(2,1/('DRAFT 2'!$D:$D=$B157),'DRAFT 2'!$K:$K),"")</f>
        <v/>
      </c>
      <c r="BG157">
        <f>IFERROR(LOOKUP(2,1/('DRAFT 2'!$D:$D=$B157),'DRAFT 2'!$U:$U),"")</f>
        <v/>
      </c>
      <c r="BH157">
        <f>IFERROR(LOOKUP(2,1/('DRAFT 2'!$D:$D=$B157),'DRAFT 2'!$V:$V),"")</f>
        <v/>
      </c>
      <c r="CE157">
        <f>IFERROR(AJ157,0)</f>
        <v/>
      </c>
      <c r="CF157">
        <f>IFERROR(LOOKUP(2,1/('DRAFT 2'!$D:$D=$B157)*('DRAFT 2'!$A:$A&gt;=DATE(2026,1,1))*('DRAFT 2'!$A:$A&lt;DATE(2026,IF(1=12,1+1,1+1),1)),'DRAFT 2'!$A:$A),"")</f>
        <v/>
      </c>
      <c r="CG157">
        <f>COUNTIFS('DRAFT 2'!$D:$D,$B157,'DRAFT 2'!$A:$A,"&gt;="&amp;DATE(2026,1,1),'DRAFT 2'!$A:$A,"&lt;="&amp;DATE(2026,1,7))</f>
        <v/>
      </c>
      <c r="CH157">
        <f>COUNTIFS('DRAFT 2'!$D:$D,$B157,'DRAFT 2'!$A:$A,"&gt;="&amp;DATE(2026,1,8),'DRAFT 2'!$A:$A,"&lt;="&amp;DATE(2026,1,14))</f>
        <v/>
      </c>
      <c r="CI157">
        <f>COUNTIFS('DRAFT 2'!$D:$D,$B157,'DRAFT 2'!$A:$A,"&gt;="&amp;DATE(2026,1,15),'DRAFT 2'!$A:$A,"&lt;="&amp;DATE(2026,1,21))</f>
        <v/>
      </c>
      <c r="CJ157">
        <f>COUNTIFS('DRAFT 2'!$D:$D,$B157,'DRAFT 2'!$A:$A,"&gt;="&amp;DATE(2026,1,22),'DRAFT 2'!$A:$A,"&lt;"&amp;DATE(2026,IF(1=12,1+1,1+1),1))</f>
        <v/>
      </c>
      <c r="CK157">
        <f>SUM(CG157:CJ157)</f>
        <v/>
      </c>
      <c r="CT157" t="n">
        <v>0</v>
      </c>
      <c r="CU157">
        <f>IFERROR(LOOKUP(2,1/('DRAFT 2'!$D:$D=$B157)*('DRAFT 2'!$A:$A&gt;=DATE(2026,2,1))*('DRAFT 2'!$A:$A&lt;DATE(2026,IF(2=12,2+1,2+1),1)),'DRAFT 2'!$A:$A),"")</f>
        <v/>
      </c>
      <c r="CV157">
        <f>COUNTIFS('DRAFT 2'!$D:$D,$B157,'DRAFT 2'!$A:$A,"&gt;="&amp;DATE(2026,2,1),'DRAFT 2'!$A:$A,"&lt;="&amp;DATE(2026,2,7))</f>
        <v/>
      </c>
      <c r="CW157">
        <f>COUNTIFS('DRAFT 2'!$D:$D,$B157,'DRAFT 2'!$A:$A,"&gt;="&amp;DATE(2026,2,8),'DRAFT 2'!$A:$A,"&lt;="&amp;DATE(2026,2,14))</f>
        <v/>
      </c>
      <c r="CX157">
        <f>COUNTIFS('DRAFT 2'!$D:$D,$B157,'DRAFT 2'!$A:$A,"&gt;="&amp;DATE(2026,2,15),'DRAFT 2'!$A:$A,"&lt;="&amp;DATE(2026,2,21))</f>
        <v/>
      </c>
      <c r="CY157">
        <f>COUNTIFS('DRAFT 2'!$D:$D,$B157,'DRAFT 2'!$A:$A,"&gt;="&amp;DATE(2026,2,22),'DRAFT 2'!$A:$A,"&lt;"&amp;DATE(2026,IF(2=12,2+1,2+1),1))</f>
        <v/>
      </c>
      <c r="CZ157">
        <f>SUM(CV157:CY157)</f>
        <v/>
      </c>
      <c r="DJ157">
        <f>IFERROR(LOOKUP(2,1/('DRAFT 2'!$D:$D=$B157)*('DRAFT 2'!$A:$A&gt;=DATE(2026,3,1))*('DRAFT 2'!$A:$A&lt;DATE(2026,IF(3=12,3+1,3+1),1)),'DRAFT 2'!$A:$A),"")</f>
        <v/>
      </c>
      <c r="DK157">
        <f>COUNTIFS('DRAFT 2'!$D:$D,$B157,'DRAFT 2'!$A:$A,"&gt;="&amp;DATE(2026,3,1),'DRAFT 2'!$A:$A,"&lt;="&amp;DATE(2026,3,7))</f>
        <v/>
      </c>
      <c r="DL157">
        <f>COUNTIFS('DRAFT 2'!$D:$D,$B157,'DRAFT 2'!$A:$A,"&gt;="&amp;DATE(2026,3,8),'DRAFT 2'!$A:$A,"&lt;="&amp;DATE(2026,3,14))</f>
        <v/>
      </c>
      <c r="DM157">
        <f>COUNTIFS('DRAFT 2'!$D:$D,$B157,'DRAFT 2'!$A:$A,"&gt;="&amp;DATE(2026,3,15),'DRAFT 2'!$A:$A,"&lt;="&amp;DATE(2026,3,21))</f>
        <v/>
      </c>
      <c r="DN157">
        <f>COUNTIFS('DRAFT 2'!$D:$D,$B157,'DRAFT 2'!$A:$A,"&gt;="&amp;DATE(2026,3,22),'DRAFT 2'!$A:$A,"&lt;"&amp;DATE(2026,IF(3=12,3+1,3+1),1))</f>
        <v/>
      </c>
      <c r="DO157">
        <f>SUM(DK157:DN157)</f>
        <v/>
      </c>
      <c r="DZ157">
        <f>IFERROR(LOOKUP(2,1/('DRAFT 2'!$D:$D=$B157)*('DRAFT 2'!$A:$A&gt;=DATE(2026,4,1))*('DRAFT 2'!$A:$A&lt;DATE(2026,IF(4=12,4+1,4+1),1)),'DRAFT 2'!$A:$A),"")</f>
        <v/>
      </c>
      <c r="EA157">
        <f>COUNTIFS('DRAFT 2'!$D:$D,$B157,'DRAFT 2'!$A:$A,"&gt;="&amp;DATE(2026,4,1),'DRAFT 2'!$A:$A,"&lt;="&amp;DATE(2026,4,7))</f>
        <v/>
      </c>
      <c r="EB157">
        <f>COUNTIFS('DRAFT 2'!$D:$D,$B157,'DRAFT 2'!$A:$A,"&gt;="&amp;DATE(2026,4,8),'DRAFT 2'!$A:$A,"&lt;="&amp;DATE(2026,4,14))</f>
        <v/>
      </c>
      <c r="EC157">
        <f>COUNTIFS('DRAFT 2'!$D:$D,$B157,'DRAFT 2'!$A:$A,"&gt;="&amp;DATE(2026,4,15),'DRAFT 2'!$A:$A,"&lt;="&amp;DATE(2026,4,21))</f>
        <v/>
      </c>
      <c r="ED157">
        <f>COUNTIFS('DRAFT 2'!$D:$D,$B157,'DRAFT 2'!$A:$A,"&gt;="&amp;DATE(2026,4,22),'DRAFT 2'!$A:$A,"&lt;"&amp;DATE(2026,IF(4=12,4+1,4+1),1))</f>
        <v/>
      </c>
      <c r="EE157">
        <f>SUM(EA157:ED157)</f>
        <v/>
      </c>
      <c r="EO157">
        <f>IFERROR(LOOKUP(2,1/('DRAFT 2'!$D:$D=$B157)*('DRAFT 2'!$A:$A&gt;=DATE(2026,5,1))*('DRAFT 2'!$A:$A&lt;DATE(2026,IF(5=12,5+1,5+1),1)),'DRAFT 2'!$A:$A),"")</f>
        <v/>
      </c>
      <c r="EP157">
        <f>COUNTIFS('DRAFT 2'!$D:$D,$B157,'DRAFT 2'!$A:$A,"&gt;="&amp;DATE(2026,5,1),'DRAFT 2'!$A:$A,"&lt;="&amp;DATE(2026,5,7))</f>
        <v/>
      </c>
      <c r="EQ157">
        <f>COUNTIFS('DRAFT 2'!$D:$D,$B157,'DRAFT 2'!$A:$A,"&gt;="&amp;DATE(2026,5,8),'DRAFT 2'!$A:$A,"&lt;="&amp;DATE(2026,5,14))</f>
        <v/>
      </c>
      <c r="ER157">
        <f>COUNTIFS('DRAFT 2'!$D:$D,$B157,'DRAFT 2'!$A:$A,"&gt;="&amp;DATE(2026,5,15),'DRAFT 2'!$A:$A,"&lt;="&amp;DATE(2026,5,21))</f>
        <v/>
      </c>
      <c r="ES157">
        <f>COUNTIFS('DRAFT 2'!$D:$D,$B157,'DRAFT 2'!$A:$A,"&gt;="&amp;DATE(2026,5,22),'DRAFT 2'!$A:$A,"&lt;"&amp;DATE(2026,IF(5=12,5+1,5+1),1))</f>
        <v/>
      </c>
      <c r="ET157">
        <f>SUM(EP157:ES157)</f>
        <v/>
      </c>
      <c r="FD157">
        <f>IFERROR(LOOKUP(2,1/('DRAFT 2'!$D:$D=$B157)*('DRAFT 2'!$A:$A&gt;=DATE(2026,6,1))*('DRAFT 2'!$A:$A&lt;DATE(2026,IF(6=12,6+1,6+1),1)),'DRAFT 2'!$A:$A),"")</f>
        <v/>
      </c>
      <c r="FE157">
        <f>COUNTIFS('DRAFT 2'!$D:$D,$B157,'DRAFT 2'!$A:$A,"&gt;="&amp;DATE(2026,6,1),'DRAFT 2'!$A:$A,"&lt;="&amp;DATE(2026,6,7))</f>
        <v/>
      </c>
      <c r="FF157">
        <f>COUNTIFS('DRAFT 2'!$D:$D,$B157,'DRAFT 2'!$A:$A,"&gt;="&amp;DATE(2026,6,8),'DRAFT 2'!$A:$A,"&lt;="&amp;DATE(2026,6,14))</f>
        <v/>
      </c>
      <c r="FG157">
        <f>COUNTIFS('DRAFT 2'!$D:$D,$B157,'DRAFT 2'!$A:$A,"&gt;="&amp;DATE(2026,6,15),'DRAFT 2'!$A:$A,"&lt;="&amp;DATE(2026,6,21))</f>
        <v/>
      </c>
      <c r="FH157">
        <f>COUNTIFS('DRAFT 2'!$D:$D,$B157,'DRAFT 2'!$A:$A,"&gt;="&amp;DATE(2026,6,22),'DRAFT 2'!$A:$A,"&lt;"&amp;DATE(2026,IF(6=12,6+1,6+1),1))</f>
        <v/>
      </c>
      <c r="FI157">
        <f>SUM(FE157:FH157)</f>
        <v/>
      </c>
      <c r="FT157">
        <f>IFERROR(LOOKUP(2,1/('DRAFT 2'!$D:$D=$B157)*('DRAFT 2'!$A:$A&gt;=DATE(2026,7,1))*('DRAFT 2'!$A:$A&lt;DATE(2026,IF(7=12,7+1,7+1),1)),'DRAFT 2'!$A:$A),"")</f>
        <v/>
      </c>
      <c r="FU157">
        <f>COUNTIFS('DRAFT 2'!$D:$D,$B157,'DRAFT 2'!$A:$A,"&gt;="&amp;DATE(2026,7,1),'DRAFT 2'!$A:$A,"&lt;="&amp;DATE(2026,7,7))</f>
        <v/>
      </c>
      <c r="FV157">
        <f>COUNTIFS('DRAFT 2'!$D:$D,$B157,'DRAFT 2'!$A:$A,"&gt;="&amp;DATE(2026,7,8),'DRAFT 2'!$A:$A,"&lt;="&amp;DATE(2026,7,14))</f>
        <v/>
      </c>
      <c r="FW157">
        <f>COUNTIFS('DRAFT 2'!$D:$D,$B157,'DRAFT 2'!$A:$A,"&gt;="&amp;DATE(2026,7,15),'DRAFT 2'!$A:$A,"&lt;="&amp;DATE(2026,7,21))</f>
        <v/>
      </c>
      <c r="FX157">
        <f>COUNTIFS('DRAFT 2'!$D:$D,$B157,'DRAFT 2'!$A:$A,"&gt;="&amp;DATE(2026,7,22),'DRAFT 2'!$A:$A,"&lt;"&amp;DATE(2026,IF(7=12,7+1,7+1),1))</f>
        <v/>
      </c>
      <c r="FY157">
        <f>SUM(FU157:FX157)</f>
        <v/>
      </c>
      <c r="GI157">
        <f>IFERROR(LOOKUP(2,1/('DRAFT 2'!$D:$D=$B157)*('DRAFT 2'!$A:$A&gt;=DATE(2026,8,1))*('DRAFT 2'!$A:$A&lt;DATE(2026,IF(8=12,8+1,8+1),1)),'DRAFT 2'!$A:$A),"")</f>
        <v/>
      </c>
      <c r="GJ157">
        <f>COUNTIFS('DRAFT 2'!$D:$D,$B157,'DRAFT 2'!$A:$A,"&gt;="&amp;DATE(2026,8,1),'DRAFT 2'!$A:$A,"&lt;="&amp;DATE(2026,8,7))</f>
        <v/>
      </c>
      <c r="GK157">
        <f>COUNTIFS('DRAFT 2'!$D:$D,$B157,'DRAFT 2'!$A:$A,"&gt;="&amp;DATE(2026,8,8),'DRAFT 2'!$A:$A,"&lt;="&amp;DATE(2026,8,14))</f>
        <v/>
      </c>
      <c r="GL157">
        <f>COUNTIFS('DRAFT 2'!$D:$D,$B157,'DRAFT 2'!$A:$A,"&gt;="&amp;DATE(2026,8,15),'DRAFT 2'!$A:$A,"&lt;="&amp;DATE(2026,8,21))</f>
        <v/>
      </c>
      <c r="GM157">
        <f>COUNTIFS('DRAFT 2'!$D:$D,$B157,'DRAFT 2'!$A:$A,"&gt;="&amp;DATE(2026,8,22),'DRAFT 2'!$A:$A,"&lt;"&amp;DATE(2026,IF(8=12,8+1,8+1),1))</f>
        <v/>
      </c>
      <c r="GN157">
        <f>SUM(GJ157:GM157)</f>
        <v/>
      </c>
      <c r="GX157">
        <f>IFERROR(LOOKUP(2,1/('DRAFT 2'!$D:$D=$B157)*('DRAFT 2'!$A:$A&gt;=DATE(2026,9,1))*('DRAFT 2'!$A:$A&lt;DATE(2026,IF(9=12,9+1,9+1),1)),'DRAFT 2'!$A:$A),"")</f>
        <v/>
      </c>
      <c r="GY157">
        <f>COUNTIFS('DRAFT 2'!$D:$D,$B157,'DRAFT 2'!$A:$A,"&gt;="&amp;DATE(2026,9,1),'DRAFT 2'!$A:$A,"&lt;="&amp;DATE(2026,9,7))</f>
        <v/>
      </c>
      <c r="GZ157">
        <f>COUNTIFS('DRAFT 2'!$D:$D,$B157,'DRAFT 2'!$A:$A,"&gt;="&amp;DATE(2026,9,8),'DRAFT 2'!$A:$A,"&lt;="&amp;DATE(2026,9,14))</f>
        <v/>
      </c>
      <c r="HA157">
        <f>COUNTIFS('DRAFT 2'!$D:$D,$B157,'DRAFT 2'!$A:$A,"&gt;="&amp;DATE(2026,9,15),'DRAFT 2'!$A:$A,"&lt;="&amp;DATE(2026,9,21))</f>
        <v/>
      </c>
      <c r="HB157">
        <f>COUNTIFS('DRAFT 2'!$D:$D,$B157,'DRAFT 2'!$A:$A,"&gt;="&amp;DATE(2026,9,22),'DRAFT 2'!$A:$A,"&lt;"&amp;DATE(2026,IF(9=12,9+1,9+1),1))</f>
        <v/>
      </c>
      <c r="HC157">
        <f>SUM(GY157:HB157)</f>
        <v/>
      </c>
      <c r="HN157">
        <f>IFERROR(LOOKUP(2,1/('DRAFT 2'!$D:$D=$B157)*('DRAFT 2'!$A:$A&gt;=DATE(2026,10,1))*('DRAFT 2'!$A:$A&lt;DATE(2026,IF(10=12,10+1,10+1),1)),'DRAFT 2'!$A:$A),"")</f>
        <v/>
      </c>
      <c r="HO157">
        <f>COUNTIFS('DRAFT 2'!$D:$D,$B157,'DRAFT 2'!$A:$A,"&gt;="&amp;DATE(2026,10,1),'DRAFT 2'!$A:$A,"&lt;="&amp;DATE(2026,10,7))</f>
        <v/>
      </c>
      <c r="HP157">
        <f>COUNTIFS('DRAFT 2'!$D:$D,$B157,'DRAFT 2'!$A:$A,"&gt;="&amp;DATE(2026,10,8),'DRAFT 2'!$A:$A,"&lt;="&amp;DATE(2026,10,14))</f>
        <v/>
      </c>
      <c r="HQ157">
        <f>COUNTIFS('DRAFT 2'!$D:$D,$B157,'DRAFT 2'!$A:$A,"&gt;="&amp;DATE(2026,10,15),'DRAFT 2'!$A:$A,"&lt;="&amp;DATE(2026,10,21))</f>
        <v/>
      </c>
      <c r="HR157">
        <f>COUNTIFS('DRAFT 2'!$D:$D,$B157,'DRAFT 2'!$A:$A,"&gt;="&amp;DATE(2026,10,22),'DRAFT 2'!$A:$A,"&lt;"&amp;DATE(2026,IF(10=12,10+1,10+1),1))</f>
        <v/>
      </c>
      <c r="HS157">
        <f>SUM(HO157:HR157)</f>
        <v/>
      </c>
      <c r="IC157">
        <f>IFERROR(LOOKUP(2,1/('DRAFT 2'!$D:$D=$B157)*('DRAFT 2'!$A:$A&gt;=DATE(2026,11,1))*('DRAFT 2'!$A:$A&lt;DATE(2026,IF(11=12,11+1,11+1),1)),'DRAFT 2'!$A:$A),"")</f>
        <v/>
      </c>
      <c r="ID157">
        <f>COUNTIFS('DRAFT 2'!$D:$D,$B157,'DRAFT 2'!$A:$A,"&gt;="&amp;DATE(2026,11,1),'DRAFT 2'!$A:$A,"&lt;="&amp;DATE(2026,11,7))</f>
        <v/>
      </c>
      <c r="IE157">
        <f>COUNTIFS('DRAFT 2'!$D:$D,$B157,'DRAFT 2'!$A:$A,"&gt;="&amp;DATE(2026,11,8),'DRAFT 2'!$A:$A,"&lt;="&amp;DATE(2026,11,14))</f>
        <v/>
      </c>
      <c r="IF157">
        <f>COUNTIFS('DRAFT 2'!$D:$D,$B157,'DRAFT 2'!$A:$A,"&gt;="&amp;DATE(2026,11,15),'DRAFT 2'!$A:$A,"&lt;="&amp;DATE(2026,11,21))</f>
        <v/>
      </c>
      <c r="IG157">
        <f>COUNTIFS('DRAFT 2'!$D:$D,$B157,'DRAFT 2'!$A:$A,"&gt;="&amp;DATE(2026,11,22),'DRAFT 2'!$A:$A,"&lt;"&amp;DATE(2026,IF(11=12,11+1,11+1),1))</f>
        <v/>
      </c>
      <c r="IH157">
        <f>SUM(ID157:IG157)</f>
        <v/>
      </c>
      <c r="IR157">
        <f>IFERROR(LOOKUP(2,1/('DRAFT 2'!$D:$D=$B157)*('DRAFT 2'!$A:$A&gt;=DATE(2026,12,1))*('DRAFT 2'!$A:$A&lt;DATE(2026,IF(12=12,12+1,12+1),1)),'DRAFT 2'!$A:$A),"")</f>
        <v/>
      </c>
      <c r="IS157">
        <f>COUNTIFS('DRAFT 2'!$D:$D,$B157,'DRAFT 2'!$A:$A,"&gt;="&amp;DATE(2026,12,1),'DRAFT 2'!$A:$A,"&lt;="&amp;DATE(2026,12,7))</f>
        <v/>
      </c>
      <c r="IT157">
        <f>COUNTIFS('DRAFT 2'!$D:$D,$B157,'DRAFT 2'!$A:$A,"&gt;="&amp;DATE(2026,12,8),'DRAFT 2'!$A:$A,"&lt;="&amp;DATE(2026,12,14))</f>
        <v/>
      </c>
      <c r="IU157">
        <f>COUNTIFS('DRAFT 2'!$D:$D,$B157,'DRAFT 2'!$A:$A,"&gt;="&amp;DATE(2026,12,15),'DRAFT 2'!$A:$A,"&lt;="&amp;DATE(2026,12,21))</f>
        <v/>
      </c>
      <c r="IV157">
        <f>COUNTIFS('DRAFT 2'!$D:$D,$B157,'DRAFT 2'!$A:$A,"&gt;="&amp;DATE(2026,12,22),'DRAFT 2'!$A:$A,"&lt;"&amp;DATE(2026,IF(12=12,12+1,12+1),1))</f>
        <v/>
      </c>
      <c r="IW157">
        <f>SUM(IS157:IV157)</f>
        <v/>
      </c>
    </row>
    <row r="158">
      <c r="A158">
        <f>IFERROR(INDEX('DRAFT 1'!$A:$A,MATCH($B158,'DRAFT 1'!$B:$B,0)),"")</f>
        <v/>
      </c>
      <c r="C158">
        <f>IFERROR(INDEX('DRAFT 1'!$C:$C,MATCH($B158,'DRAFT 1'!$B:$B,0)),"")</f>
        <v/>
      </c>
      <c r="D158">
        <f>IFERROR(INDEX('DRAFT 1'!$D:$D,MATCH($B158,'DRAFT 1'!$B:$B,0)),"")</f>
        <v/>
      </c>
      <c r="E158">
        <f>IFERROR(INDEX('DRAFT 1'!$E:$E,MATCH($B158,'DRAFT 1'!$B:$B,0)),"")</f>
        <v/>
      </c>
      <c r="F158">
        <f>IFERROR(INDEX('DRAFT 1'!$F:$F,MATCH($B158,'DRAFT 1'!$B:$B,0)),"")</f>
        <v/>
      </c>
      <c r="G158">
        <f>IFERROR(INDEX('DRAFT 1'!$G:$G,MATCH($B158,'DRAFT 1'!$B:$B,0)),"")</f>
        <v/>
      </c>
      <c r="H158">
        <f>IFERROR(INDEX('DRAFT 1'!$H:$H,MATCH($B158,'DRAFT 1'!$B:$B,0)),"")</f>
        <v/>
      </c>
      <c r="I158">
        <f>IFERROR(INDEX('DRAFT 1'!$I:$I,MATCH($B158,'DRAFT 1'!$B:$B,0)),"")</f>
        <v/>
      </c>
      <c r="K158">
        <f>IFERROR(INDEX('DRAFT 1'!$AL:$AL,MATCH($B158,'DRAFT 1'!$B:$B,0)),"")</f>
        <v/>
      </c>
      <c r="L158">
        <f>IFERROR(INDEX('DRAFT 1'!$J:$J,MATCH($B158,'DRAFT 1'!$B:$B,0)),"")</f>
        <v/>
      </c>
      <c r="M158">
        <f>IFERROR(INDEX('DRAFT 1'!$K:$K,MATCH($B158,'DRAFT 1'!$B:$B,0)),"")</f>
        <v/>
      </c>
      <c r="P158">
        <f>IFERROR(INDEX('DRAFT 1'!$L:$L,MATCH($B158,'DRAFT 1'!$B:$B,0)),"")</f>
        <v/>
      </c>
      <c r="Q158">
        <f>IFERROR(INDEX('DRAFT 1'!$M:$M,MATCH($B158,'DRAFT 1'!$B:$B,0)),"")</f>
        <v/>
      </c>
      <c r="R158">
        <f>IFERROR(INDEX('DRAFT 1'!$N:$N,MATCH($B158,'DRAFT 1'!$B:$B,0)),"")</f>
        <v/>
      </c>
      <c r="S158">
        <f>IFERROR(INDEX('DRAFT 1'!$O:$O,MATCH($B158,'DRAFT 1'!$B:$B,0)),"")</f>
        <v/>
      </c>
      <c r="T158">
        <f>IFERROR(INDEX('DRAFT 1'!$P:$P,MATCH($B158,'DRAFT 1'!$B:$B,0)),"")</f>
        <v/>
      </c>
      <c r="U158">
        <f>IFERROR(INDEX('DRAFT 1'!$Q:$Q,MATCH($B158,'DRAFT 1'!$B:$B,0)),"")</f>
        <v/>
      </c>
      <c r="V158">
        <f>IFERROR(INDEX('DRAFT 1'!$R:$R,MATCH($B158,'DRAFT 1'!$B:$B,0)),"")</f>
        <v/>
      </c>
      <c r="W158">
        <f>IFERROR(INDEX('DRAFT 1'!$S:$S,MATCH($B158,'DRAFT 1'!$B:$B,0)),"")</f>
        <v/>
      </c>
      <c r="X158">
        <f>IFERROR(INDEX('DRAFT 1'!$T:$T,MATCH($B158,'DRAFT 1'!$B:$B,0)),"")</f>
        <v/>
      </c>
      <c r="Z158">
        <f>IFERROR(INDEX('DRAFT 1'!$U:$U,MATCH($B158,'DRAFT 1'!$B:$B,0)),"")</f>
        <v/>
      </c>
      <c r="AA158">
        <f>IFERROR(INDEX('DRAFT 1'!$V:$V,MATCH($B158,'DRAFT 1'!$B:$B,0)),"")</f>
        <v/>
      </c>
      <c r="AB158">
        <f>IFERROR(INDEX('DRAFT 1'!$W:$W,MATCH($B158,'DRAFT 1'!$B:$B,0)),"")</f>
        <v/>
      </c>
      <c r="AC158">
        <f>IFERROR(INDEX('DRAFT 1'!$X:$X,MATCH($B158,'DRAFT 1'!$B:$B,0)),"")</f>
        <v/>
      </c>
      <c r="AD158">
        <f>IFERROR(INDEX('DRAFT 1'!$Y:$Y,MATCH($B158,'DRAFT 1'!$B:$B,0)),"")</f>
        <v/>
      </c>
      <c r="AE158">
        <f>IFERROR(INDEX('DRAFT 1'!$Z:$Z,MATCH($B158,'DRAFT 1'!$B:$B,0)),"")</f>
        <v/>
      </c>
      <c r="AF158">
        <f>IFERROR(INDEX('DRAFT 1'!$AA:$AA,MATCH($B158,'DRAFT 1'!$B:$B,0)),"")</f>
        <v/>
      </c>
      <c r="AG158">
        <f>IFERROR(INDEX('DRAFT 1'!$AB:$AB,MATCH($B158,'DRAFT 1'!$B:$B,0)),"")</f>
        <v/>
      </c>
      <c r="AH158">
        <f>IFERROR(INDEX('DRAFT 1'!$AC:$AC,MATCH($B158,'DRAFT 1'!$B:$B,0)),"")</f>
        <v/>
      </c>
      <c r="AI158">
        <f>IFERROR(INDEX('DRAFT 1'!$AD:$AD,MATCH($B158,'DRAFT 1'!$B:$B,0)),"")</f>
        <v/>
      </c>
      <c r="AJ158">
        <f>IFERROR(INDEX('DRAFT 1'!$AE:$AE,MATCH($B158,'DRAFT 1'!$B:$B,0)),"")</f>
        <v/>
      </c>
      <c r="AK158">
        <f>IFERROR(INDEX('DRAFT 1'!$AG:$AG,MATCH($B158,'DRAFT 1'!$B:$B,0)),"")</f>
        <v/>
      </c>
      <c r="AL158">
        <f>IFERROR(INDEX('DRAFT 1'!$AH:$AH,MATCH($B158,'DRAFT 1'!$B:$B,0)),"")</f>
        <v/>
      </c>
      <c r="AM158">
        <f>IFERROR(INDEX('DRAFT 1'!$AI:$AI,MATCH($B158,'DRAFT 1'!$B:$B,0)),"")</f>
        <v/>
      </c>
      <c r="AN158">
        <f>IFERROR(INDEX('DRAFT 1'!$AJ:$AJ,MATCH($B158,'DRAFT 1'!$B:$B,0)),"")</f>
        <v/>
      </c>
      <c r="AO158">
        <f>IFERROR(Y158/AN158,0)</f>
        <v/>
      </c>
      <c r="AP158">
        <f>IFERROR(INDEX('DRAFT 1'!$AK:$AK,MATCH($B158,'DRAFT 1'!$B:$B,0)),"")</f>
        <v/>
      </c>
      <c r="AR158">
        <f>IFERROR(LOOKUP(2,1/('DRAFT 2'!$D:$D=$B158),'DRAFT 2'!$I:$I),"")</f>
        <v/>
      </c>
      <c r="AS158">
        <f>IFERROR(LOOKUP(2,1/('DRAFT 2'!$D:$D=$B158),'DRAFT 2'!$T:$T),"")</f>
        <v/>
      </c>
      <c r="AT158">
        <f>IFERROR(LOOKUP(2,1/('DRAFT 2'!$D:$D=$B158),'DRAFT 2'!$A:$A),"")</f>
        <v/>
      </c>
      <c r="AU158">
        <f>IFERROR(LOOKUP(2,1/('DRAFT 2'!$D:$D=$B158),'DRAFT 2'!$R:$R),"")</f>
        <v/>
      </c>
      <c r="AV158">
        <f>IFERROR(LOOKUP(2,1/('DRAFT 2'!$D:$D=$B158),'DRAFT 2'!$S:$S),"")</f>
        <v/>
      </c>
      <c r="AX158">
        <f>IFERROR(LOOKUP(2,1/('DRAFT 2'!$D:$D=$B158),'DRAFT 2'!$M:$M),"")</f>
        <v/>
      </c>
      <c r="AY158">
        <f>IFERROR(LOOKUP(2,1/('DRAFT 2'!$D:$D=$B158),'DRAFT 2'!$K:$K),"")</f>
        <v/>
      </c>
      <c r="BG158">
        <f>IFERROR(LOOKUP(2,1/('DRAFT 2'!$D:$D=$B158),'DRAFT 2'!$U:$U),"")</f>
        <v/>
      </c>
      <c r="BH158">
        <f>IFERROR(LOOKUP(2,1/('DRAFT 2'!$D:$D=$B158),'DRAFT 2'!$V:$V),"")</f>
        <v/>
      </c>
      <c r="CE158">
        <f>IFERROR(AJ158,0)</f>
        <v/>
      </c>
      <c r="CF158">
        <f>IFERROR(LOOKUP(2,1/('DRAFT 2'!$D:$D=$B158)*('DRAFT 2'!$A:$A&gt;=DATE(2026,1,1))*('DRAFT 2'!$A:$A&lt;DATE(2026,IF(1=12,1+1,1+1),1)),'DRAFT 2'!$A:$A),"")</f>
        <v/>
      </c>
      <c r="CG158">
        <f>COUNTIFS('DRAFT 2'!$D:$D,$B158,'DRAFT 2'!$A:$A,"&gt;="&amp;DATE(2026,1,1),'DRAFT 2'!$A:$A,"&lt;="&amp;DATE(2026,1,7))</f>
        <v/>
      </c>
      <c r="CH158">
        <f>COUNTIFS('DRAFT 2'!$D:$D,$B158,'DRAFT 2'!$A:$A,"&gt;="&amp;DATE(2026,1,8),'DRAFT 2'!$A:$A,"&lt;="&amp;DATE(2026,1,14))</f>
        <v/>
      </c>
      <c r="CI158">
        <f>COUNTIFS('DRAFT 2'!$D:$D,$B158,'DRAFT 2'!$A:$A,"&gt;="&amp;DATE(2026,1,15),'DRAFT 2'!$A:$A,"&lt;="&amp;DATE(2026,1,21))</f>
        <v/>
      </c>
      <c r="CJ158">
        <f>COUNTIFS('DRAFT 2'!$D:$D,$B158,'DRAFT 2'!$A:$A,"&gt;="&amp;DATE(2026,1,22),'DRAFT 2'!$A:$A,"&lt;"&amp;DATE(2026,IF(1=12,1+1,1+1),1))</f>
        <v/>
      </c>
      <c r="CK158">
        <f>SUM(CG158:CJ158)</f>
        <v/>
      </c>
      <c r="CT158" t="n">
        <v>0</v>
      </c>
      <c r="CU158">
        <f>IFERROR(LOOKUP(2,1/('DRAFT 2'!$D:$D=$B158)*('DRAFT 2'!$A:$A&gt;=DATE(2026,2,1))*('DRAFT 2'!$A:$A&lt;DATE(2026,IF(2=12,2+1,2+1),1)),'DRAFT 2'!$A:$A),"")</f>
        <v/>
      </c>
      <c r="CV158">
        <f>COUNTIFS('DRAFT 2'!$D:$D,$B158,'DRAFT 2'!$A:$A,"&gt;="&amp;DATE(2026,2,1),'DRAFT 2'!$A:$A,"&lt;="&amp;DATE(2026,2,7))</f>
        <v/>
      </c>
      <c r="CW158">
        <f>COUNTIFS('DRAFT 2'!$D:$D,$B158,'DRAFT 2'!$A:$A,"&gt;="&amp;DATE(2026,2,8),'DRAFT 2'!$A:$A,"&lt;="&amp;DATE(2026,2,14))</f>
        <v/>
      </c>
      <c r="CX158">
        <f>COUNTIFS('DRAFT 2'!$D:$D,$B158,'DRAFT 2'!$A:$A,"&gt;="&amp;DATE(2026,2,15),'DRAFT 2'!$A:$A,"&lt;="&amp;DATE(2026,2,21))</f>
        <v/>
      </c>
      <c r="CY158">
        <f>COUNTIFS('DRAFT 2'!$D:$D,$B158,'DRAFT 2'!$A:$A,"&gt;="&amp;DATE(2026,2,22),'DRAFT 2'!$A:$A,"&lt;"&amp;DATE(2026,IF(2=12,2+1,2+1),1))</f>
        <v/>
      </c>
      <c r="CZ158">
        <f>SUM(CV158:CY158)</f>
        <v/>
      </c>
      <c r="DJ158">
        <f>IFERROR(LOOKUP(2,1/('DRAFT 2'!$D:$D=$B158)*('DRAFT 2'!$A:$A&gt;=DATE(2026,3,1))*('DRAFT 2'!$A:$A&lt;DATE(2026,IF(3=12,3+1,3+1),1)),'DRAFT 2'!$A:$A),"")</f>
        <v/>
      </c>
      <c r="DK158">
        <f>COUNTIFS('DRAFT 2'!$D:$D,$B158,'DRAFT 2'!$A:$A,"&gt;="&amp;DATE(2026,3,1),'DRAFT 2'!$A:$A,"&lt;="&amp;DATE(2026,3,7))</f>
        <v/>
      </c>
      <c r="DL158">
        <f>COUNTIFS('DRAFT 2'!$D:$D,$B158,'DRAFT 2'!$A:$A,"&gt;="&amp;DATE(2026,3,8),'DRAFT 2'!$A:$A,"&lt;="&amp;DATE(2026,3,14))</f>
        <v/>
      </c>
      <c r="DM158">
        <f>COUNTIFS('DRAFT 2'!$D:$D,$B158,'DRAFT 2'!$A:$A,"&gt;="&amp;DATE(2026,3,15),'DRAFT 2'!$A:$A,"&lt;="&amp;DATE(2026,3,21))</f>
        <v/>
      </c>
      <c r="DN158">
        <f>COUNTIFS('DRAFT 2'!$D:$D,$B158,'DRAFT 2'!$A:$A,"&gt;="&amp;DATE(2026,3,22),'DRAFT 2'!$A:$A,"&lt;"&amp;DATE(2026,IF(3=12,3+1,3+1),1))</f>
        <v/>
      </c>
      <c r="DO158">
        <f>SUM(DK158:DN158)</f>
        <v/>
      </c>
      <c r="DZ158">
        <f>IFERROR(LOOKUP(2,1/('DRAFT 2'!$D:$D=$B158)*('DRAFT 2'!$A:$A&gt;=DATE(2026,4,1))*('DRAFT 2'!$A:$A&lt;DATE(2026,IF(4=12,4+1,4+1),1)),'DRAFT 2'!$A:$A),"")</f>
        <v/>
      </c>
      <c r="EA158">
        <f>COUNTIFS('DRAFT 2'!$D:$D,$B158,'DRAFT 2'!$A:$A,"&gt;="&amp;DATE(2026,4,1),'DRAFT 2'!$A:$A,"&lt;="&amp;DATE(2026,4,7))</f>
        <v/>
      </c>
      <c r="EB158">
        <f>COUNTIFS('DRAFT 2'!$D:$D,$B158,'DRAFT 2'!$A:$A,"&gt;="&amp;DATE(2026,4,8),'DRAFT 2'!$A:$A,"&lt;="&amp;DATE(2026,4,14))</f>
        <v/>
      </c>
      <c r="EC158">
        <f>COUNTIFS('DRAFT 2'!$D:$D,$B158,'DRAFT 2'!$A:$A,"&gt;="&amp;DATE(2026,4,15),'DRAFT 2'!$A:$A,"&lt;="&amp;DATE(2026,4,21))</f>
        <v/>
      </c>
      <c r="ED158">
        <f>COUNTIFS('DRAFT 2'!$D:$D,$B158,'DRAFT 2'!$A:$A,"&gt;="&amp;DATE(2026,4,22),'DRAFT 2'!$A:$A,"&lt;"&amp;DATE(2026,IF(4=12,4+1,4+1),1))</f>
        <v/>
      </c>
      <c r="EE158">
        <f>SUM(EA158:ED158)</f>
        <v/>
      </c>
      <c r="EO158">
        <f>IFERROR(LOOKUP(2,1/('DRAFT 2'!$D:$D=$B158)*('DRAFT 2'!$A:$A&gt;=DATE(2026,5,1))*('DRAFT 2'!$A:$A&lt;DATE(2026,IF(5=12,5+1,5+1),1)),'DRAFT 2'!$A:$A),"")</f>
        <v/>
      </c>
      <c r="EP158">
        <f>COUNTIFS('DRAFT 2'!$D:$D,$B158,'DRAFT 2'!$A:$A,"&gt;="&amp;DATE(2026,5,1),'DRAFT 2'!$A:$A,"&lt;="&amp;DATE(2026,5,7))</f>
        <v/>
      </c>
      <c r="EQ158">
        <f>COUNTIFS('DRAFT 2'!$D:$D,$B158,'DRAFT 2'!$A:$A,"&gt;="&amp;DATE(2026,5,8),'DRAFT 2'!$A:$A,"&lt;="&amp;DATE(2026,5,14))</f>
        <v/>
      </c>
      <c r="ER158">
        <f>COUNTIFS('DRAFT 2'!$D:$D,$B158,'DRAFT 2'!$A:$A,"&gt;="&amp;DATE(2026,5,15),'DRAFT 2'!$A:$A,"&lt;="&amp;DATE(2026,5,21))</f>
        <v/>
      </c>
      <c r="ES158">
        <f>COUNTIFS('DRAFT 2'!$D:$D,$B158,'DRAFT 2'!$A:$A,"&gt;="&amp;DATE(2026,5,22),'DRAFT 2'!$A:$A,"&lt;"&amp;DATE(2026,IF(5=12,5+1,5+1),1))</f>
        <v/>
      </c>
      <c r="ET158">
        <f>SUM(EP158:ES158)</f>
        <v/>
      </c>
      <c r="FD158">
        <f>IFERROR(LOOKUP(2,1/('DRAFT 2'!$D:$D=$B158)*('DRAFT 2'!$A:$A&gt;=DATE(2026,6,1))*('DRAFT 2'!$A:$A&lt;DATE(2026,IF(6=12,6+1,6+1),1)),'DRAFT 2'!$A:$A),"")</f>
        <v/>
      </c>
      <c r="FE158">
        <f>COUNTIFS('DRAFT 2'!$D:$D,$B158,'DRAFT 2'!$A:$A,"&gt;="&amp;DATE(2026,6,1),'DRAFT 2'!$A:$A,"&lt;="&amp;DATE(2026,6,7))</f>
        <v/>
      </c>
      <c r="FF158">
        <f>COUNTIFS('DRAFT 2'!$D:$D,$B158,'DRAFT 2'!$A:$A,"&gt;="&amp;DATE(2026,6,8),'DRAFT 2'!$A:$A,"&lt;="&amp;DATE(2026,6,14))</f>
        <v/>
      </c>
      <c r="FG158">
        <f>COUNTIFS('DRAFT 2'!$D:$D,$B158,'DRAFT 2'!$A:$A,"&gt;="&amp;DATE(2026,6,15),'DRAFT 2'!$A:$A,"&lt;="&amp;DATE(2026,6,21))</f>
        <v/>
      </c>
      <c r="FH158">
        <f>COUNTIFS('DRAFT 2'!$D:$D,$B158,'DRAFT 2'!$A:$A,"&gt;="&amp;DATE(2026,6,22),'DRAFT 2'!$A:$A,"&lt;"&amp;DATE(2026,IF(6=12,6+1,6+1),1))</f>
        <v/>
      </c>
      <c r="FI158">
        <f>SUM(FE158:FH158)</f>
        <v/>
      </c>
      <c r="FT158">
        <f>IFERROR(LOOKUP(2,1/('DRAFT 2'!$D:$D=$B158)*('DRAFT 2'!$A:$A&gt;=DATE(2026,7,1))*('DRAFT 2'!$A:$A&lt;DATE(2026,IF(7=12,7+1,7+1),1)),'DRAFT 2'!$A:$A),"")</f>
        <v/>
      </c>
      <c r="FU158">
        <f>COUNTIFS('DRAFT 2'!$D:$D,$B158,'DRAFT 2'!$A:$A,"&gt;="&amp;DATE(2026,7,1),'DRAFT 2'!$A:$A,"&lt;="&amp;DATE(2026,7,7))</f>
        <v/>
      </c>
      <c r="FV158">
        <f>COUNTIFS('DRAFT 2'!$D:$D,$B158,'DRAFT 2'!$A:$A,"&gt;="&amp;DATE(2026,7,8),'DRAFT 2'!$A:$A,"&lt;="&amp;DATE(2026,7,14))</f>
        <v/>
      </c>
      <c r="FW158">
        <f>COUNTIFS('DRAFT 2'!$D:$D,$B158,'DRAFT 2'!$A:$A,"&gt;="&amp;DATE(2026,7,15),'DRAFT 2'!$A:$A,"&lt;="&amp;DATE(2026,7,21))</f>
        <v/>
      </c>
      <c r="FX158">
        <f>COUNTIFS('DRAFT 2'!$D:$D,$B158,'DRAFT 2'!$A:$A,"&gt;="&amp;DATE(2026,7,22),'DRAFT 2'!$A:$A,"&lt;"&amp;DATE(2026,IF(7=12,7+1,7+1),1))</f>
        <v/>
      </c>
      <c r="FY158">
        <f>SUM(FU158:FX158)</f>
        <v/>
      </c>
      <c r="GI158">
        <f>IFERROR(LOOKUP(2,1/('DRAFT 2'!$D:$D=$B158)*('DRAFT 2'!$A:$A&gt;=DATE(2026,8,1))*('DRAFT 2'!$A:$A&lt;DATE(2026,IF(8=12,8+1,8+1),1)),'DRAFT 2'!$A:$A),"")</f>
        <v/>
      </c>
      <c r="GJ158">
        <f>COUNTIFS('DRAFT 2'!$D:$D,$B158,'DRAFT 2'!$A:$A,"&gt;="&amp;DATE(2026,8,1),'DRAFT 2'!$A:$A,"&lt;="&amp;DATE(2026,8,7))</f>
        <v/>
      </c>
      <c r="GK158">
        <f>COUNTIFS('DRAFT 2'!$D:$D,$B158,'DRAFT 2'!$A:$A,"&gt;="&amp;DATE(2026,8,8),'DRAFT 2'!$A:$A,"&lt;="&amp;DATE(2026,8,14))</f>
        <v/>
      </c>
      <c r="GL158">
        <f>COUNTIFS('DRAFT 2'!$D:$D,$B158,'DRAFT 2'!$A:$A,"&gt;="&amp;DATE(2026,8,15),'DRAFT 2'!$A:$A,"&lt;="&amp;DATE(2026,8,21))</f>
        <v/>
      </c>
      <c r="GM158">
        <f>COUNTIFS('DRAFT 2'!$D:$D,$B158,'DRAFT 2'!$A:$A,"&gt;="&amp;DATE(2026,8,22),'DRAFT 2'!$A:$A,"&lt;"&amp;DATE(2026,IF(8=12,8+1,8+1),1))</f>
        <v/>
      </c>
      <c r="GN158">
        <f>SUM(GJ158:GM158)</f>
        <v/>
      </c>
      <c r="GX158">
        <f>IFERROR(LOOKUP(2,1/('DRAFT 2'!$D:$D=$B158)*('DRAFT 2'!$A:$A&gt;=DATE(2026,9,1))*('DRAFT 2'!$A:$A&lt;DATE(2026,IF(9=12,9+1,9+1),1)),'DRAFT 2'!$A:$A),"")</f>
        <v/>
      </c>
      <c r="GY158">
        <f>COUNTIFS('DRAFT 2'!$D:$D,$B158,'DRAFT 2'!$A:$A,"&gt;="&amp;DATE(2026,9,1),'DRAFT 2'!$A:$A,"&lt;="&amp;DATE(2026,9,7))</f>
        <v/>
      </c>
      <c r="GZ158">
        <f>COUNTIFS('DRAFT 2'!$D:$D,$B158,'DRAFT 2'!$A:$A,"&gt;="&amp;DATE(2026,9,8),'DRAFT 2'!$A:$A,"&lt;="&amp;DATE(2026,9,14))</f>
        <v/>
      </c>
      <c r="HA158">
        <f>COUNTIFS('DRAFT 2'!$D:$D,$B158,'DRAFT 2'!$A:$A,"&gt;="&amp;DATE(2026,9,15),'DRAFT 2'!$A:$A,"&lt;="&amp;DATE(2026,9,21))</f>
        <v/>
      </c>
      <c r="HB158">
        <f>COUNTIFS('DRAFT 2'!$D:$D,$B158,'DRAFT 2'!$A:$A,"&gt;="&amp;DATE(2026,9,22),'DRAFT 2'!$A:$A,"&lt;"&amp;DATE(2026,IF(9=12,9+1,9+1),1))</f>
        <v/>
      </c>
      <c r="HC158">
        <f>SUM(GY158:HB158)</f>
        <v/>
      </c>
      <c r="HN158">
        <f>IFERROR(LOOKUP(2,1/('DRAFT 2'!$D:$D=$B158)*('DRAFT 2'!$A:$A&gt;=DATE(2026,10,1))*('DRAFT 2'!$A:$A&lt;DATE(2026,IF(10=12,10+1,10+1),1)),'DRAFT 2'!$A:$A),"")</f>
        <v/>
      </c>
      <c r="HO158">
        <f>COUNTIFS('DRAFT 2'!$D:$D,$B158,'DRAFT 2'!$A:$A,"&gt;="&amp;DATE(2026,10,1),'DRAFT 2'!$A:$A,"&lt;="&amp;DATE(2026,10,7))</f>
        <v/>
      </c>
      <c r="HP158">
        <f>COUNTIFS('DRAFT 2'!$D:$D,$B158,'DRAFT 2'!$A:$A,"&gt;="&amp;DATE(2026,10,8),'DRAFT 2'!$A:$A,"&lt;="&amp;DATE(2026,10,14))</f>
        <v/>
      </c>
      <c r="HQ158">
        <f>COUNTIFS('DRAFT 2'!$D:$D,$B158,'DRAFT 2'!$A:$A,"&gt;="&amp;DATE(2026,10,15),'DRAFT 2'!$A:$A,"&lt;="&amp;DATE(2026,10,21))</f>
        <v/>
      </c>
      <c r="HR158">
        <f>COUNTIFS('DRAFT 2'!$D:$D,$B158,'DRAFT 2'!$A:$A,"&gt;="&amp;DATE(2026,10,22),'DRAFT 2'!$A:$A,"&lt;"&amp;DATE(2026,IF(10=12,10+1,10+1),1))</f>
        <v/>
      </c>
      <c r="HS158">
        <f>SUM(HO158:HR158)</f>
        <v/>
      </c>
      <c r="IC158">
        <f>IFERROR(LOOKUP(2,1/('DRAFT 2'!$D:$D=$B158)*('DRAFT 2'!$A:$A&gt;=DATE(2026,11,1))*('DRAFT 2'!$A:$A&lt;DATE(2026,IF(11=12,11+1,11+1),1)),'DRAFT 2'!$A:$A),"")</f>
        <v/>
      </c>
      <c r="ID158">
        <f>COUNTIFS('DRAFT 2'!$D:$D,$B158,'DRAFT 2'!$A:$A,"&gt;="&amp;DATE(2026,11,1),'DRAFT 2'!$A:$A,"&lt;="&amp;DATE(2026,11,7))</f>
        <v/>
      </c>
      <c r="IE158">
        <f>COUNTIFS('DRAFT 2'!$D:$D,$B158,'DRAFT 2'!$A:$A,"&gt;="&amp;DATE(2026,11,8),'DRAFT 2'!$A:$A,"&lt;="&amp;DATE(2026,11,14))</f>
        <v/>
      </c>
      <c r="IF158">
        <f>COUNTIFS('DRAFT 2'!$D:$D,$B158,'DRAFT 2'!$A:$A,"&gt;="&amp;DATE(2026,11,15),'DRAFT 2'!$A:$A,"&lt;="&amp;DATE(2026,11,21))</f>
        <v/>
      </c>
      <c r="IG158">
        <f>COUNTIFS('DRAFT 2'!$D:$D,$B158,'DRAFT 2'!$A:$A,"&gt;="&amp;DATE(2026,11,22),'DRAFT 2'!$A:$A,"&lt;"&amp;DATE(2026,IF(11=12,11+1,11+1),1))</f>
        <v/>
      </c>
      <c r="IH158">
        <f>SUM(ID158:IG158)</f>
        <v/>
      </c>
      <c r="IR158">
        <f>IFERROR(LOOKUP(2,1/('DRAFT 2'!$D:$D=$B158)*('DRAFT 2'!$A:$A&gt;=DATE(2026,12,1))*('DRAFT 2'!$A:$A&lt;DATE(2026,IF(12=12,12+1,12+1),1)),'DRAFT 2'!$A:$A),"")</f>
        <v/>
      </c>
      <c r="IS158">
        <f>COUNTIFS('DRAFT 2'!$D:$D,$B158,'DRAFT 2'!$A:$A,"&gt;="&amp;DATE(2026,12,1),'DRAFT 2'!$A:$A,"&lt;="&amp;DATE(2026,12,7))</f>
        <v/>
      </c>
      <c r="IT158">
        <f>COUNTIFS('DRAFT 2'!$D:$D,$B158,'DRAFT 2'!$A:$A,"&gt;="&amp;DATE(2026,12,8),'DRAFT 2'!$A:$A,"&lt;="&amp;DATE(2026,12,14))</f>
        <v/>
      </c>
      <c r="IU158">
        <f>COUNTIFS('DRAFT 2'!$D:$D,$B158,'DRAFT 2'!$A:$A,"&gt;="&amp;DATE(2026,12,15),'DRAFT 2'!$A:$A,"&lt;="&amp;DATE(2026,12,21))</f>
        <v/>
      </c>
      <c r="IV158">
        <f>COUNTIFS('DRAFT 2'!$D:$D,$B158,'DRAFT 2'!$A:$A,"&gt;="&amp;DATE(2026,12,22),'DRAFT 2'!$A:$A,"&lt;"&amp;DATE(2026,IF(12=12,12+1,12+1),1))</f>
        <v/>
      </c>
      <c r="IW158">
        <f>SUM(IS158:IV158)</f>
        <v/>
      </c>
    </row>
    <row r="159">
      <c r="A159">
        <f>IFERROR(INDEX('DRAFT 1'!$A:$A,MATCH($B159,'DRAFT 1'!$B:$B,0)),"")</f>
        <v/>
      </c>
      <c r="C159">
        <f>IFERROR(INDEX('DRAFT 1'!$C:$C,MATCH($B159,'DRAFT 1'!$B:$B,0)),"")</f>
        <v/>
      </c>
      <c r="D159">
        <f>IFERROR(INDEX('DRAFT 1'!$D:$D,MATCH($B159,'DRAFT 1'!$B:$B,0)),"")</f>
        <v/>
      </c>
      <c r="E159">
        <f>IFERROR(INDEX('DRAFT 1'!$E:$E,MATCH($B159,'DRAFT 1'!$B:$B,0)),"")</f>
        <v/>
      </c>
      <c r="F159">
        <f>IFERROR(INDEX('DRAFT 1'!$F:$F,MATCH($B159,'DRAFT 1'!$B:$B,0)),"")</f>
        <v/>
      </c>
      <c r="G159">
        <f>IFERROR(INDEX('DRAFT 1'!$G:$G,MATCH($B159,'DRAFT 1'!$B:$B,0)),"")</f>
        <v/>
      </c>
      <c r="H159">
        <f>IFERROR(INDEX('DRAFT 1'!$H:$H,MATCH($B159,'DRAFT 1'!$B:$B,0)),"")</f>
        <v/>
      </c>
      <c r="I159">
        <f>IFERROR(INDEX('DRAFT 1'!$I:$I,MATCH($B159,'DRAFT 1'!$B:$B,0)),"")</f>
        <v/>
      </c>
      <c r="K159">
        <f>IFERROR(INDEX('DRAFT 1'!$AL:$AL,MATCH($B159,'DRAFT 1'!$B:$B,0)),"")</f>
        <v/>
      </c>
      <c r="L159">
        <f>IFERROR(INDEX('DRAFT 1'!$J:$J,MATCH($B159,'DRAFT 1'!$B:$B,0)),"")</f>
        <v/>
      </c>
      <c r="M159">
        <f>IFERROR(INDEX('DRAFT 1'!$K:$K,MATCH($B159,'DRAFT 1'!$B:$B,0)),"")</f>
        <v/>
      </c>
      <c r="P159">
        <f>IFERROR(INDEX('DRAFT 1'!$L:$L,MATCH($B159,'DRAFT 1'!$B:$B,0)),"")</f>
        <v/>
      </c>
      <c r="Q159">
        <f>IFERROR(INDEX('DRAFT 1'!$M:$M,MATCH($B159,'DRAFT 1'!$B:$B,0)),"")</f>
        <v/>
      </c>
      <c r="R159">
        <f>IFERROR(INDEX('DRAFT 1'!$N:$N,MATCH($B159,'DRAFT 1'!$B:$B,0)),"")</f>
        <v/>
      </c>
      <c r="S159">
        <f>IFERROR(INDEX('DRAFT 1'!$O:$O,MATCH($B159,'DRAFT 1'!$B:$B,0)),"")</f>
        <v/>
      </c>
      <c r="T159">
        <f>IFERROR(INDEX('DRAFT 1'!$P:$P,MATCH($B159,'DRAFT 1'!$B:$B,0)),"")</f>
        <v/>
      </c>
      <c r="U159">
        <f>IFERROR(INDEX('DRAFT 1'!$Q:$Q,MATCH($B159,'DRAFT 1'!$B:$B,0)),"")</f>
        <v/>
      </c>
      <c r="V159">
        <f>IFERROR(INDEX('DRAFT 1'!$R:$R,MATCH($B159,'DRAFT 1'!$B:$B,0)),"")</f>
        <v/>
      </c>
      <c r="W159">
        <f>IFERROR(INDEX('DRAFT 1'!$S:$S,MATCH($B159,'DRAFT 1'!$B:$B,0)),"")</f>
        <v/>
      </c>
      <c r="X159">
        <f>IFERROR(INDEX('DRAFT 1'!$T:$T,MATCH($B159,'DRAFT 1'!$B:$B,0)),"")</f>
        <v/>
      </c>
      <c r="Z159">
        <f>IFERROR(INDEX('DRAFT 1'!$U:$U,MATCH($B159,'DRAFT 1'!$B:$B,0)),"")</f>
        <v/>
      </c>
      <c r="AA159">
        <f>IFERROR(INDEX('DRAFT 1'!$V:$V,MATCH($B159,'DRAFT 1'!$B:$B,0)),"")</f>
        <v/>
      </c>
      <c r="AB159">
        <f>IFERROR(INDEX('DRAFT 1'!$W:$W,MATCH($B159,'DRAFT 1'!$B:$B,0)),"")</f>
        <v/>
      </c>
      <c r="AC159">
        <f>IFERROR(INDEX('DRAFT 1'!$X:$X,MATCH($B159,'DRAFT 1'!$B:$B,0)),"")</f>
        <v/>
      </c>
      <c r="AD159">
        <f>IFERROR(INDEX('DRAFT 1'!$Y:$Y,MATCH($B159,'DRAFT 1'!$B:$B,0)),"")</f>
        <v/>
      </c>
      <c r="AE159">
        <f>IFERROR(INDEX('DRAFT 1'!$Z:$Z,MATCH($B159,'DRAFT 1'!$B:$B,0)),"")</f>
        <v/>
      </c>
      <c r="AF159">
        <f>IFERROR(INDEX('DRAFT 1'!$AA:$AA,MATCH($B159,'DRAFT 1'!$B:$B,0)),"")</f>
        <v/>
      </c>
      <c r="AG159">
        <f>IFERROR(INDEX('DRAFT 1'!$AB:$AB,MATCH($B159,'DRAFT 1'!$B:$B,0)),"")</f>
        <v/>
      </c>
      <c r="AH159">
        <f>IFERROR(INDEX('DRAFT 1'!$AC:$AC,MATCH($B159,'DRAFT 1'!$B:$B,0)),"")</f>
        <v/>
      </c>
      <c r="AI159">
        <f>IFERROR(INDEX('DRAFT 1'!$AD:$AD,MATCH($B159,'DRAFT 1'!$B:$B,0)),"")</f>
        <v/>
      </c>
      <c r="AJ159">
        <f>IFERROR(INDEX('DRAFT 1'!$AE:$AE,MATCH($B159,'DRAFT 1'!$B:$B,0)),"")</f>
        <v/>
      </c>
      <c r="AK159">
        <f>IFERROR(INDEX('DRAFT 1'!$AG:$AG,MATCH($B159,'DRAFT 1'!$B:$B,0)),"")</f>
        <v/>
      </c>
      <c r="AL159">
        <f>IFERROR(INDEX('DRAFT 1'!$AH:$AH,MATCH($B159,'DRAFT 1'!$B:$B,0)),"")</f>
        <v/>
      </c>
      <c r="AM159">
        <f>IFERROR(INDEX('DRAFT 1'!$AI:$AI,MATCH($B159,'DRAFT 1'!$B:$B,0)),"")</f>
        <v/>
      </c>
      <c r="AN159">
        <f>IFERROR(INDEX('DRAFT 1'!$AJ:$AJ,MATCH($B159,'DRAFT 1'!$B:$B,0)),"")</f>
        <v/>
      </c>
      <c r="AO159">
        <f>IFERROR(Y159/AN159,0)</f>
        <v/>
      </c>
      <c r="AP159">
        <f>IFERROR(INDEX('DRAFT 1'!$AK:$AK,MATCH($B159,'DRAFT 1'!$B:$B,0)),"")</f>
        <v/>
      </c>
      <c r="AR159">
        <f>IFERROR(LOOKUP(2,1/('DRAFT 2'!$D:$D=$B159),'DRAFT 2'!$I:$I),"")</f>
        <v/>
      </c>
      <c r="AS159">
        <f>IFERROR(LOOKUP(2,1/('DRAFT 2'!$D:$D=$B159),'DRAFT 2'!$T:$T),"")</f>
        <v/>
      </c>
      <c r="AT159">
        <f>IFERROR(LOOKUP(2,1/('DRAFT 2'!$D:$D=$B159),'DRAFT 2'!$A:$A),"")</f>
        <v/>
      </c>
      <c r="AU159">
        <f>IFERROR(LOOKUP(2,1/('DRAFT 2'!$D:$D=$B159),'DRAFT 2'!$R:$R),"")</f>
        <v/>
      </c>
      <c r="AV159">
        <f>IFERROR(LOOKUP(2,1/('DRAFT 2'!$D:$D=$B159),'DRAFT 2'!$S:$S),"")</f>
        <v/>
      </c>
      <c r="AX159">
        <f>IFERROR(LOOKUP(2,1/('DRAFT 2'!$D:$D=$B159),'DRAFT 2'!$M:$M),"")</f>
        <v/>
      </c>
      <c r="AY159">
        <f>IFERROR(LOOKUP(2,1/('DRAFT 2'!$D:$D=$B159),'DRAFT 2'!$K:$K),"")</f>
        <v/>
      </c>
      <c r="BG159">
        <f>IFERROR(LOOKUP(2,1/('DRAFT 2'!$D:$D=$B159),'DRAFT 2'!$U:$U),"")</f>
        <v/>
      </c>
      <c r="BH159">
        <f>IFERROR(LOOKUP(2,1/('DRAFT 2'!$D:$D=$B159),'DRAFT 2'!$V:$V),"")</f>
        <v/>
      </c>
      <c r="CE159">
        <f>IFERROR(AJ159,0)</f>
        <v/>
      </c>
      <c r="CF159">
        <f>IFERROR(LOOKUP(2,1/('DRAFT 2'!$D:$D=$B159)*('DRAFT 2'!$A:$A&gt;=DATE(2026,1,1))*('DRAFT 2'!$A:$A&lt;DATE(2026,IF(1=12,1+1,1+1),1)),'DRAFT 2'!$A:$A),"")</f>
        <v/>
      </c>
      <c r="CG159">
        <f>COUNTIFS('DRAFT 2'!$D:$D,$B159,'DRAFT 2'!$A:$A,"&gt;="&amp;DATE(2026,1,1),'DRAFT 2'!$A:$A,"&lt;="&amp;DATE(2026,1,7))</f>
        <v/>
      </c>
      <c r="CH159">
        <f>COUNTIFS('DRAFT 2'!$D:$D,$B159,'DRAFT 2'!$A:$A,"&gt;="&amp;DATE(2026,1,8),'DRAFT 2'!$A:$A,"&lt;="&amp;DATE(2026,1,14))</f>
        <v/>
      </c>
      <c r="CI159">
        <f>COUNTIFS('DRAFT 2'!$D:$D,$B159,'DRAFT 2'!$A:$A,"&gt;="&amp;DATE(2026,1,15),'DRAFT 2'!$A:$A,"&lt;="&amp;DATE(2026,1,21))</f>
        <v/>
      </c>
      <c r="CJ159">
        <f>COUNTIFS('DRAFT 2'!$D:$D,$B159,'DRAFT 2'!$A:$A,"&gt;="&amp;DATE(2026,1,22),'DRAFT 2'!$A:$A,"&lt;"&amp;DATE(2026,IF(1=12,1+1,1+1),1))</f>
        <v/>
      </c>
      <c r="CK159">
        <f>SUM(CG159:CJ159)</f>
        <v/>
      </c>
      <c r="CT159" t="n">
        <v>0</v>
      </c>
      <c r="CU159">
        <f>IFERROR(LOOKUP(2,1/('DRAFT 2'!$D:$D=$B159)*('DRAFT 2'!$A:$A&gt;=DATE(2026,2,1))*('DRAFT 2'!$A:$A&lt;DATE(2026,IF(2=12,2+1,2+1),1)),'DRAFT 2'!$A:$A),"")</f>
        <v/>
      </c>
      <c r="CV159">
        <f>COUNTIFS('DRAFT 2'!$D:$D,$B159,'DRAFT 2'!$A:$A,"&gt;="&amp;DATE(2026,2,1),'DRAFT 2'!$A:$A,"&lt;="&amp;DATE(2026,2,7))</f>
        <v/>
      </c>
      <c r="CW159">
        <f>COUNTIFS('DRAFT 2'!$D:$D,$B159,'DRAFT 2'!$A:$A,"&gt;="&amp;DATE(2026,2,8),'DRAFT 2'!$A:$A,"&lt;="&amp;DATE(2026,2,14))</f>
        <v/>
      </c>
      <c r="CX159">
        <f>COUNTIFS('DRAFT 2'!$D:$D,$B159,'DRAFT 2'!$A:$A,"&gt;="&amp;DATE(2026,2,15),'DRAFT 2'!$A:$A,"&lt;="&amp;DATE(2026,2,21))</f>
        <v/>
      </c>
      <c r="CY159">
        <f>COUNTIFS('DRAFT 2'!$D:$D,$B159,'DRAFT 2'!$A:$A,"&gt;="&amp;DATE(2026,2,22),'DRAFT 2'!$A:$A,"&lt;"&amp;DATE(2026,IF(2=12,2+1,2+1),1))</f>
        <v/>
      </c>
      <c r="CZ159">
        <f>SUM(CV159:CY159)</f>
        <v/>
      </c>
      <c r="DJ159">
        <f>IFERROR(LOOKUP(2,1/('DRAFT 2'!$D:$D=$B159)*('DRAFT 2'!$A:$A&gt;=DATE(2026,3,1))*('DRAFT 2'!$A:$A&lt;DATE(2026,IF(3=12,3+1,3+1),1)),'DRAFT 2'!$A:$A),"")</f>
        <v/>
      </c>
      <c r="DK159">
        <f>COUNTIFS('DRAFT 2'!$D:$D,$B159,'DRAFT 2'!$A:$A,"&gt;="&amp;DATE(2026,3,1),'DRAFT 2'!$A:$A,"&lt;="&amp;DATE(2026,3,7))</f>
        <v/>
      </c>
      <c r="DL159">
        <f>COUNTIFS('DRAFT 2'!$D:$D,$B159,'DRAFT 2'!$A:$A,"&gt;="&amp;DATE(2026,3,8),'DRAFT 2'!$A:$A,"&lt;="&amp;DATE(2026,3,14))</f>
        <v/>
      </c>
      <c r="DM159">
        <f>COUNTIFS('DRAFT 2'!$D:$D,$B159,'DRAFT 2'!$A:$A,"&gt;="&amp;DATE(2026,3,15),'DRAFT 2'!$A:$A,"&lt;="&amp;DATE(2026,3,21))</f>
        <v/>
      </c>
      <c r="DN159">
        <f>COUNTIFS('DRAFT 2'!$D:$D,$B159,'DRAFT 2'!$A:$A,"&gt;="&amp;DATE(2026,3,22),'DRAFT 2'!$A:$A,"&lt;"&amp;DATE(2026,IF(3=12,3+1,3+1),1))</f>
        <v/>
      </c>
      <c r="DO159">
        <f>SUM(DK159:DN159)</f>
        <v/>
      </c>
      <c r="DZ159">
        <f>IFERROR(LOOKUP(2,1/('DRAFT 2'!$D:$D=$B159)*('DRAFT 2'!$A:$A&gt;=DATE(2026,4,1))*('DRAFT 2'!$A:$A&lt;DATE(2026,IF(4=12,4+1,4+1),1)),'DRAFT 2'!$A:$A),"")</f>
        <v/>
      </c>
      <c r="EA159">
        <f>COUNTIFS('DRAFT 2'!$D:$D,$B159,'DRAFT 2'!$A:$A,"&gt;="&amp;DATE(2026,4,1),'DRAFT 2'!$A:$A,"&lt;="&amp;DATE(2026,4,7))</f>
        <v/>
      </c>
      <c r="EB159">
        <f>COUNTIFS('DRAFT 2'!$D:$D,$B159,'DRAFT 2'!$A:$A,"&gt;="&amp;DATE(2026,4,8),'DRAFT 2'!$A:$A,"&lt;="&amp;DATE(2026,4,14))</f>
        <v/>
      </c>
      <c r="EC159">
        <f>COUNTIFS('DRAFT 2'!$D:$D,$B159,'DRAFT 2'!$A:$A,"&gt;="&amp;DATE(2026,4,15),'DRAFT 2'!$A:$A,"&lt;="&amp;DATE(2026,4,21))</f>
        <v/>
      </c>
      <c r="ED159">
        <f>COUNTIFS('DRAFT 2'!$D:$D,$B159,'DRAFT 2'!$A:$A,"&gt;="&amp;DATE(2026,4,22),'DRAFT 2'!$A:$A,"&lt;"&amp;DATE(2026,IF(4=12,4+1,4+1),1))</f>
        <v/>
      </c>
      <c r="EE159">
        <f>SUM(EA159:ED159)</f>
        <v/>
      </c>
      <c r="EO159">
        <f>IFERROR(LOOKUP(2,1/('DRAFT 2'!$D:$D=$B159)*('DRAFT 2'!$A:$A&gt;=DATE(2026,5,1))*('DRAFT 2'!$A:$A&lt;DATE(2026,IF(5=12,5+1,5+1),1)),'DRAFT 2'!$A:$A),"")</f>
        <v/>
      </c>
      <c r="EP159">
        <f>COUNTIFS('DRAFT 2'!$D:$D,$B159,'DRAFT 2'!$A:$A,"&gt;="&amp;DATE(2026,5,1),'DRAFT 2'!$A:$A,"&lt;="&amp;DATE(2026,5,7))</f>
        <v/>
      </c>
      <c r="EQ159">
        <f>COUNTIFS('DRAFT 2'!$D:$D,$B159,'DRAFT 2'!$A:$A,"&gt;="&amp;DATE(2026,5,8),'DRAFT 2'!$A:$A,"&lt;="&amp;DATE(2026,5,14))</f>
        <v/>
      </c>
      <c r="ER159">
        <f>COUNTIFS('DRAFT 2'!$D:$D,$B159,'DRAFT 2'!$A:$A,"&gt;="&amp;DATE(2026,5,15),'DRAFT 2'!$A:$A,"&lt;="&amp;DATE(2026,5,21))</f>
        <v/>
      </c>
      <c r="ES159">
        <f>COUNTIFS('DRAFT 2'!$D:$D,$B159,'DRAFT 2'!$A:$A,"&gt;="&amp;DATE(2026,5,22),'DRAFT 2'!$A:$A,"&lt;"&amp;DATE(2026,IF(5=12,5+1,5+1),1))</f>
        <v/>
      </c>
      <c r="ET159">
        <f>SUM(EP159:ES159)</f>
        <v/>
      </c>
      <c r="FD159">
        <f>IFERROR(LOOKUP(2,1/('DRAFT 2'!$D:$D=$B159)*('DRAFT 2'!$A:$A&gt;=DATE(2026,6,1))*('DRAFT 2'!$A:$A&lt;DATE(2026,IF(6=12,6+1,6+1),1)),'DRAFT 2'!$A:$A),"")</f>
        <v/>
      </c>
      <c r="FE159">
        <f>COUNTIFS('DRAFT 2'!$D:$D,$B159,'DRAFT 2'!$A:$A,"&gt;="&amp;DATE(2026,6,1),'DRAFT 2'!$A:$A,"&lt;="&amp;DATE(2026,6,7))</f>
        <v/>
      </c>
      <c r="FF159">
        <f>COUNTIFS('DRAFT 2'!$D:$D,$B159,'DRAFT 2'!$A:$A,"&gt;="&amp;DATE(2026,6,8),'DRAFT 2'!$A:$A,"&lt;="&amp;DATE(2026,6,14))</f>
        <v/>
      </c>
      <c r="FG159">
        <f>COUNTIFS('DRAFT 2'!$D:$D,$B159,'DRAFT 2'!$A:$A,"&gt;="&amp;DATE(2026,6,15),'DRAFT 2'!$A:$A,"&lt;="&amp;DATE(2026,6,21))</f>
        <v/>
      </c>
      <c r="FH159">
        <f>COUNTIFS('DRAFT 2'!$D:$D,$B159,'DRAFT 2'!$A:$A,"&gt;="&amp;DATE(2026,6,22),'DRAFT 2'!$A:$A,"&lt;"&amp;DATE(2026,IF(6=12,6+1,6+1),1))</f>
        <v/>
      </c>
      <c r="FI159">
        <f>SUM(FE159:FH159)</f>
        <v/>
      </c>
      <c r="FT159">
        <f>IFERROR(LOOKUP(2,1/('DRAFT 2'!$D:$D=$B159)*('DRAFT 2'!$A:$A&gt;=DATE(2026,7,1))*('DRAFT 2'!$A:$A&lt;DATE(2026,IF(7=12,7+1,7+1),1)),'DRAFT 2'!$A:$A),"")</f>
        <v/>
      </c>
      <c r="FU159">
        <f>COUNTIFS('DRAFT 2'!$D:$D,$B159,'DRAFT 2'!$A:$A,"&gt;="&amp;DATE(2026,7,1),'DRAFT 2'!$A:$A,"&lt;="&amp;DATE(2026,7,7))</f>
        <v/>
      </c>
      <c r="FV159">
        <f>COUNTIFS('DRAFT 2'!$D:$D,$B159,'DRAFT 2'!$A:$A,"&gt;="&amp;DATE(2026,7,8),'DRAFT 2'!$A:$A,"&lt;="&amp;DATE(2026,7,14))</f>
        <v/>
      </c>
      <c r="FW159">
        <f>COUNTIFS('DRAFT 2'!$D:$D,$B159,'DRAFT 2'!$A:$A,"&gt;="&amp;DATE(2026,7,15),'DRAFT 2'!$A:$A,"&lt;="&amp;DATE(2026,7,21))</f>
        <v/>
      </c>
      <c r="FX159">
        <f>COUNTIFS('DRAFT 2'!$D:$D,$B159,'DRAFT 2'!$A:$A,"&gt;="&amp;DATE(2026,7,22),'DRAFT 2'!$A:$A,"&lt;"&amp;DATE(2026,IF(7=12,7+1,7+1),1))</f>
        <v/>
      </c>
      <c r="FY159">
        <f>SUM(FU159:FX159)</f>
        <v/>
      </c>
      <c r="GI159">
        <f>IFERROR(LOOKUP(2,1/('DRAFT 2'!$D:$D=$B159)*('DRAFT 2'!$A:$A&gt;=DATE(2026,8,1))*('DRAFT 2'!$A:$A&lt;DATE(2026,IF(8=12,8+1,8+1),1)),'DRAFT 2'!$A:$A),"")</f>
        <v/>
      </c>
      <c r="GJ159">
        <f>COUNTIFS('DRAFT 2'!$D:$D,$B159,'DRAFT 2'!$A:$A,"&gt;="&amp;DATE(2026,8,1),'DRAFT 2'!$A:$A,"&lt;="&amp;DATE(2026,8,7))</f>
        <v/>
      </c>
      <c r="GK159">
        <f>COUNTIFS('DRAFT 2'!$D:$D,$B159,'DRAFT 2'!$A:$A,"&gt;="&amp;DATE(2026,8,8),'DRAFT 2'!$A:$A,"&lt;="&amp;DATE(2026,8,14))</f>
        <v/>
      </c>
      <c r="GL159">
        <f>COUNTIFS('DRAFT 2'!$D:$D,$B159,'DRAFT 2'!$A:$A,"&gt;="&amp;DATE(2026,8,15),'DRAFT 2'!$A:$A,"&lt;="&amp;DATE(2026,8,21))</f>
        <v/>
      </c>
      <c r="GM159">
        <f>COUNTIFS('DRAFT 2'!$D:$D,$B159,'DRAFT 2'!$A:$A,"&gt;="&amp;DATE(2026,8,22),'DRAFT 2'!$A:$A,"&lt;"&amp;DATE(2026,IF(8=12,8+1,8+1),1))</f>
        <v/>
      </c>
      <c r="GN159">
        <f>SUM(GJ159:GM159)</f>
        <v/>
      </c>
      <c r="GX159">
        <f>IFERROR(LOOKUP(2,1/('DRAFT 2'!$D:$D=$B159)*('DRAFT 2'!$A:$A&gt;=DATE(2026,9,1))*('DRAFT 2'!$A:$A&lt;DATE(2026,IF(9=12,9+1,9+1),1)),'DRAFT 2'!$A:$A),"")</f>
        <v/>
      </c>
      <c r="GY159">
        <f>COUNTIFS('DRAFT 2'!$D:$D,$B159,'DRAFT 2'!$A:$A,"&gt;="&amp;DATE(2026,9,1),'DRAFT 2'!$A:$A,"&lt;="&amp;DATE(2026,9,7))</f>
        <v/>
      </c>
      <c r="GZ159">
        <f>COUNTIFS('DRAFT 2'!$D:$D,$B159,'DRAFT 2'!$A:$A,"&gt;="&amp;DATE(2026,9,8),'DRAFT 2'!$A:$A,"&lt;="&amp;DATE(2026,9,14))</f>
        <v/>
      </c>
      <c r="HA159">
        <f>COUNTIFS('DRAFT 2'!$D:$D,$B159,'DRAFT 2'!$A:$A,"&gt;="&amp;DATE(2026,9,15),'DRAFT 2'!$A:$A,"&lt;="&amp;DATE(2026,9,21))</f>
        <v/>
      </c>
      <c r="HB159">
        <f>COUNTIFS('DRAFT 2'!$D:$D,$B159,'DRAFT 2'!$A:$A,"&gt;="&amp;DATE(2026,9,22),'DRAFT 2'!$A:$A,"&lt;"&amp;DATE(2026,IF(9=12,9+1,9+1),1))</f>
        <v/>
      </c>
      <c r="HC159">
        <f>SUM(GY159:HB159)</f>
        <v/>
      </c>
      <c r="HN159">
        <f>IFERROR(LOOKUP(2,1/('DRAFT 2'!$D:$D=$B159)*('DRAFT 2'!$A:$A&gt;=DATE(2026,10,1))*('DRAFT 2'!$A:$A&lt;DATE(2026,IF(10=12,10+1,10+1),1)),'DRAFT 2'!$A:$A),"")</f>
        <v/>
      </c>
      <c r="HO159">
        <f>COUNTIFS('DRAFT 2'!$D:$D,$B159,'DRAFT 2'!$A:$A,"&gt;="&amp;DATE(2026,10,1),'DRAFT 2'!$A:$A,"&lt;="&amp;DATE(2026,10,7))</f>
        <v/>
      </c>
      <c r="HP159">
        <f>COUNTIFS('DRAFT 2'!$D:$D,$B159,'DRAFT 2'!$A:$A,"&gt;="&amp;DATE(2026,10,8),'DRAFT 2'!$A:$A,"&lt;="&amp;DATE(2026,10,14))</f>
        <v/>
      </c>
      <c r="HQ159">
        <f>COUNTIFS('DRAFT 2'!$D:$D,$B159,'DRAFT 2'!$A:$A,"&gt;="&amp;DATE(2026,10,15),'DRAFT 2'!$A:$A,"&lt;="&amp;DATE(2026,10,21))</f>
        <v/>
      </c>
      <c r="HR159">
        <f>COUNTIFS('DRAFT 2'!$D:$D,$B159,'DRAFT 2'!$A:$A,"&gt;="&amp;DATE(2026,10,22),'DRAFT 2'!$A:$A,"&lt;"&amp;DATE(2026,IF(10=12,10+1,10+1),1))</f>
        <v/>
      </c>
      <c r="HS159">
        <f>SUM(HO159:HR159)</f>
        <v/>
      </c>
      <c r="IC159">
        <f>IFERROR(LOOKUP(2,1/('DRAFT 2'!$D:$D=$B159)*('DRAFT 2'!$A:$A&gt;=DATE(2026,11,1))*('DRAFT 2'!$A:$A&lt;DATE(2026,IF(11=12,11+1,11+1),1)),'DRAFT 2'!$A:$A),"")</f>
        <v/>
      </c>
      <c r="ID159">
        <f>COUNTIFS('DRAFT 2'!$D:$D,$B159,'DRAFT 2'!$A:$A,"&gt;="&amp;DATE(2026,11,1),'DRAFT 2'!$A:$A,"&lt;="&amp;DATE(2026,11,7))</f>
        <v/>
      </c>
      <c r="IE159">
        <f>COUNTIFS('DRAFT 2'!$D:$D,$B159,'DRAFT 2'!$A:$A,"&gt;="&amp;DATE(2026,11,8),'DRAFT 2'!$A:$A,"&lt;="&amp;DATE(2026,11,14))</f>
        <v/>
      </c>
      <c r="IF159">
        <f>COUNTIFS('DRAFT 2'!$D:$D,$B159,'DRAFT 2'!$A:$A,"&gt;="&amp;DATE(2026,11,15),'DRAFT 2'!$A:$A,"&lt;="&amp;DATE(2026,11,21))</f>
        <v/>
      </c>
      <c r="IG159">
        <f>COUNTIFS('DRAFT 2'!$D:$D,$B159,'DRAFT 2'!$A:$A,"&gt;="&amp;DATE(2026,11,22),'DRAFT 2'!$A:$A,"&lt;"&amp;DATE(2026,IF(11=12,11+1,11+1),1))</f>
        <v/>
      </c>
      <c r="IH159">
        <f>SUM(ID159:IG159)</f>
        <v/>
      </c>
      <c r="IR159">
        <f>IFERROR(LOOKUP(2,1/('DRAFT 2'!$D:$D=$B159)*('DRAFT 2'!$A:$A&gt;=DATE(2026,12,1))*('DRAFT 2'!$A:$A&lt;DATE(2026,IF(12=12,12+1,12+1),1)),'DRAFT 2'!$A:$A),"")</f>
        <v/>
      </c>
      <c r="IS159">
        <f>COUNTIFS('DRAFT 2'!$D:$D,$B159,'DRAFT 2'!$A:$A,"&gt;="&amp;DATE(2026,12,1),'DRAFT 2'!$A:$A,"&lt;="&amp;DATE(2026,12,7))</f>
        <v/>
      </c>
      <c r="IT159">
        <f>COUNTIFS('DRAFT 2'!$D:$D,$B159,'DRAFT 2'!$A:$A,"&gt;="&amp;DATE(2026,12,8),'DRAFT 2'!$A:$A,"&lt;="&amp;DATE(2026,12,14))</f>
        <v/>
      </c>
      <c r="IU159">
        <f>COUNTIFS('DRAFT 2'!$D:$D,$B159,'DRAFT 2'!$A:$A,"&gt;="&amp;DATE(2026,12,15),'DRAFT 2'!$A:$A,"&lt;="&amp;DATE(2026,12,21))</f>
        <v/>
      </c>
      <c r="IV159">
        <f>COUNTIFS('DRAFT 2'!$D:$D,$B159,'DRAFT 2'!$A:$A,"&gt;="&amp;DATE(2026,12,22),'DRAFT 2'!$A:$A,"&lt;"&amp;DATE(2026,IF(12=12,12+1,12+1),1))</f>
        <v/>
      </c>
      <c r="IW159">
        <f>SUM(IS159:IV159)</f>
        <v/>
      </c>
    </row>
    <row r="160">
      <c r="A160">
        <f>IFERROR(INDEX('DRAFT 1'!$A:$A,MATCH($B160,'DRAFT 1'!$B:$B,0)),"")</f>
        <v/>
      </c>
      <c r="C160">
        <f>IFERROR(INDEX('DRAFT 1'!$C:$C,MATCH($B160,'DRAFT 1'!$B:$B,0)),"")</f>
        <v/>
      </c>
      <c r="D160">
        <f>IFERROR(INDEX('DRAFT 1'!$D:$D,MATCH($B160,'DRAFT 1'!$B:$B,0)),"")</f>
        <v/>
      </c>
      <c r="E160">
        <f>IFERROR(INDEX('DRAFT 1'!$E:$E,MATCH($B160,'DRAFT 1'!$B:$B,0)),"")</f>
        <v/>
      </c>
      <c r="F160">
        <f>IFERROR(INDEX('DRAFT 1'!$F:$F,MATCH($B160,'DRAFT 1'!$B:$B,0)),"")</f>
        <v/>
      </c>
      <c r="G160">
        <f>IFERROR(INDEX('DRAFT 1'!$G:$G,MATCH($B160,'DRAFT 1'!$B:$B,0)),"")</f>
        <v/>
      </c>
      <c r="H160">
        <f>IFERROR(INDEX('DRAFT 1'!$H:$H,MATCH($B160,'DRAFT 1'!$B:$B,0)),"")</f>
        <v/>
      </c>
      <c r="I160">
        <f>IFERROR(INDEX('DRAFT 1'!$I:$I,MATCH($B160,'DRAFT 1'!$B:$B,0)),"")</f>
        <v/>
      </c>
      <c r="K160">
        <f>IFERROR(INDEX('DRAFT 1'!$AL:$AL,MATCH($B160,'DRAFT 1'!$B:$B,0)),"")</f>
        <v/>
      </c>
      <c r="L160">
        <f>IFERROR(INDEX('DRAFT 1'!$J:$J,MATCH($B160,'DRAFT 1'!$B:$B,0)),"")</f>
        <v/>
      </c>
      <c r="M160">
        <f>IFERROR(INDEX('DRAFT 1'!$K:$K,MATCH($B160,'DRAFT 1'!$B:$B,0)),"")</f>
        <v/>
      </c>
      <c r="P160">
        <f>IFERROR(INDEX('DRAFT 1'!$L:$L,MATCH($B160,'DRAFT 1'!$B:$B,0)),"")</f>
        <v/>
      </c>
      <c r="Q160">
        <f>IFERROR(INDEX('DRAFT 1'!$M:$M,MATCH($B160,'DRAFT 1'!$B:$B,0)),"")</f>
        <v/>
      </c>
      <c r="R160">
        <f>IFERROR(INDEX('DRAFT 1'!$N:$N,MATCH($B160,'DRAFT 1'!$B:$B,0)),"")</f>
        <v/>
      </c>
      <c r="S160">
        <f>IFERROR(INDEX('DRAFT 1'!$O:$O,MATCH($B160,'DRAFT 1'!$B:$B,0)),"")</f>
        <v/>
      </c>
      <c r="T160">
        <f>IFERROR(INDEX('DRAFT 1'!$P:$P,MATCH($B160,'DRAFT 1'!$B:$B,0)),"")</f>
        <v/>
      </c>
      <c r="U160">
        <f>IFERROR(INDEX('DRAFT 1'!$Q:$Q,MATCH($B160,'DRAFT 1'!$B:$B,0)),"")</f>
        <v/>
      </c>
      <c r="V160">
        <f>IFERROR(INDEX('DRAFT 1'!$R:$R,MATCH($B160,'DRAFT 1'!$B:$B,0)),"")</f>
        <v/>
      </c>
      <c r="W160">
        <f>IFERROR(INDEX('DRAFT 1'!$S:$S,MATCH($B160,'DRAFT 1'!$B:$B,0)),"")</f>
        <v/>
      </c>
      <c r="X160">
        <f>IFERROR(INDEX('DRAFT 1'!$T:$T,MATCH($B160,'DRAFT 1'!$B:$B,0)),"")</f>
        <v/>
      </c>
      <c r="Z160">
        <f>IFERROR(INDEX('DRAFT 1'!$U:$U,MATCH($B160,'DRAFT 1'!$B:$B,0)),"")</f>
        <v/>
      </c>
      <c r="AA160">
        <f>IFERROR(INDEX('DRAFT 1'!$V:$V,MATCH($B160,'DRAFT 1'!$B:$B,0)),"")</f>
        <v/>
      </c>
      <c r="AB160">
        <f>IFERROR(INDEX('DRAFT 1'!$W:$W,MATCH($B160,'DRAFT 1'!$B:$B,0)),"")</f>
        <v/>
      </c>
      <c r="AC160">
        <f>IFERROR(INDEX('DRAFT 1'!$X:$X,MATCH($B160,'DRAFT 1'!$B:$B,0)),"")</f>
        <v/>
      </c>
      <c r="AD160">
        <f>IFERROR(INDEX('DRAFT 1'!$Y:$Y,MATCH($B160,'DRAFT 1'!$B:$B,0)),"")</f>
        <v/>
      </c>
      <c r="AE160">
        <f>IFERROR(INDEX('DRAFT 1'!$Z:$Z,MATCH($B160,'DRAFT 1'!$B:$B,0)),"")</f>
        <v/>
      </c>
      <c r="AF160">
        <f>IFERROR(INDEX('DRAFT 1'!$AA:$AA,MATCH($B160,'DRAFT 1'!$B:$B,0)),"")</f>
        <v/>
      </c>
      <c r="AG160">
        <f>IFERROR(INDEX('DRAFT 1'!$AB:$AB,MATCH($B160,'DRAFT 1'!$B:$B,0)),"")</f>
        <v/>
      </c>
      <c r="AH160">
        <f>IFERROR(INDEX('DRAFT 1'!$AC:$AC,MATCH($B160,'DRAFT 1'!$B:$B,0)),"")</f>
        <v/>
      </c>
      <c r="AI160">
        <f>IFERROR(INDEX('DRAFT 1'!$AD:$AD,MATCH($B160,'DRAFT 1'!$B:$B,0)),"")</f>
        <v/>
      </c>
      <c r="AJ160">
        <f>IFERROR(INDEX('DRAFT 1'!$AE:$AE,MATCH($B160,'DRAFT 1'!$B:$B,0)),"")</f>
        <v/>
      </c>
      <c r="AK160">
        <f>IFERROR(INDEX('DRAFT 1'!$AG:$AG,MATCH($B160,'DRAFT 1'!$B:$B,0)),"")</f>
        <v/>
      </c>
      <c r="AL160">
        <f>IFERROR(INDEX('DRAFT 1'!$AH:$AH,MATCH($B160,'DRAFT 1'!$B:$B,0)),"")</f>
        <v/>
      </c>
      <c r="AM160">
        <f>IFERROR(INDEX('DRAFT 1'!$AI:$AI,MATCH($B160,'DRAFT 1'!$B:$B,0)),"")</f>
        <v/>
      </c>
      <c r="AN160">
        <f>IFERROR(INDEX('DRAFT 1'!$AJ:$AJ,MATCH($B160,'DRAFT 1'!$B:$B,0)),"")</f>
        <v/>
      </c>
      <c r="AO160">
        <f>IFERROR(Y160/AN160,0)</f>
        <v/>
      </c>
      <c r="AP160">
        <f>IFERROR(INDEX('DRAFT 1'!$AK:$AK,MATCH($B160,'DRAFT 1'!$B:$B,0)),"")</f>
        <v/>
      </c>
      <c r="AR160">
        <f>IFERROR(LOOKUP(2,1/('DRAFT 2'!$D:$D=$B160),'DRAFT 2'!$I:$I),"")</f>
        <v/>
      </c>
      <c r="AS160">
        <f>IFERROR(LOOKUP(2,1/('DRAFT 2'!$D:$D=$B160),'DRAFT 2'!$T:$T),"")</f>
        <v/>
      </c>
      <c r="AT160">
        <f>IFERROR(LOOKUP(2,1/('DRAFT 2'!$D:$D=$B160),'DRAFT 2'!$A:$A),"")</f>
        <v/>
      </c>
      <c r="AU160">
        <f>IFERROR(LOOKUP(2,1/('DRAFT 2'!$D:$D=$B160),'DRAFT 2'!$R:$R),"")</f>
        <v/>
      </c>
      <c r="AV160">
        <f>IFERROR(LOOKUP(2,1/('DRAFT 2'!$D:$D=$B160),'DRAFT 2'!$S:$S),"")</f>
        <v/>
      </c>
      <c r="AX160">
        <f>IFERROR(LOOKUP(2,1/('DRAFT 2'!$D:$D=$B160),'DRAFT 2'!$M:$M),"")</f>
        <v/>
      </c>
      <c r="AY160">
        <f>IFERROR(LOOKUP(2,1/('DRAFT 2'!$D:$D=$B160),'DRAFT 2'!$K:$K),"")</f>
        <v/>
      </c>
      <c r="BG160">
        <f>IFERROR(LOOKUP(2,1/('DRAFT 2'!$D:$D=$B160),'DRAFT 2'!$U:$U),"")</f>
        <v/>
      </c>
      <c r="BH160">
        <f>IFERROR(LOOKUP(2,1/('DRAFT 2'!$D:$D=$B160),'DRAFT 2'!$V:$V),"")</f>
        <v/>
      </c>
      <c r="CE160">
        <f>IFERROR(AJ160,0)</f>
        <v/>
      </c>
      <c r="CF160">
        <f>IFERROR(LOOKUP(2,1/('DRAFT 2'!$D:$D=$B160)*('DRAFT 2'!$A:$A&gt;=DATE(2026,1,1))*('DRAFT 2'!$A:$A&lt;DATE(2026,IF(1=12,1+1,1+1),1)),'DRAFT 2'!$A:$A),"")</f>
        <v/>
      </c>
      <c r="CG160">
        <f>COUNTIFS('DRAFT 2'!$D:$D,$B160,'DRAFT 2'!$A:$A,"&gt;="&amp;DATE(2026,1,1),'DRAFT 2'!$A:$A,"&lt;="&amp;DATE(2026,1,7))</f>
        <v/>
      </c>
      <c r="CH160">
        <f>COUNTIFS('DRAFT 2'!$D:$D,$B160,'DRAFT 2'!$A:$A,"&gt;="&amp;DATE(2026,1,8),'DRAFT 2'!$A:$A,"&lt;="&amp;DATE(2026,1,14))</f>
        <v/>
      </c>
      <c r="CI160">
        <f>COUNTIFS('DRAFT 2'!$D:$D,$B160,'DRAFT 2'!$A:$A,"&gt;="&amp;DATE(2026,1,15),'DRAFT 2'!$A:$A,"&lt;="&amp;DATE(2026,1,21))</f>
        <v/>
      </c>
      <c r="CJ160">
        <f>COUNTIFS('DRAFT 2'!$D:$D,$B160,'DRAFT 2'!$A:$A,"&gt;="&amp;DATE(2026,1,22),'DRAFT 2'!$A:$A,"&lt;"&amp;DATE(2026,IF(1=12,1+1,1+1),1))</f>
        <v/>
      </c>
      <c r="CK160">
        <f>SUM(CG160:CJ160)</f>
        <v/>
      </c>
      <c r="CT160" t="n">
        <v>0</v>
      </c>
      <c r="CU160">
        <f>IFERROR(LOOKUP(2,1/('DRAFT 2'!$D:$D=$B160)*('DRAFT 2'!$A:$A&gt;=DATE(2026,2,1))*('DRAFT 2'!$A:$A&lt;DATE(2026,IF(2=12,2+1,2+1),1)),'DRAFT 2'!$A:$A),"")</f>
        <v/>
      </c>
      <c r="CV160">
        <f>COUNTIFS('DRAFT 2'!$D:$D,$B160,'DRAFT 2'!$A:$A,"&gt;="&amp;DATE(2026,2,1),'DRAFT 2'!$A:$A,"&lt;="&amp;DATE(2026,2,7))</f>
        <v/>
      </c>
      <c r="CW160">
        <f>COUNTIFS('DRAFT 2'!$D:$D,$B160,'DRAFT 2'!$A:$A,"&gt;="&amp;DATE(2026,2,8),'DRAFT 2'!$A:$A,"&lt;="&amp;DATE(2026,2,14))</f>
        <v/>
      </c>
      <c r="CX160">
        <f>COUNTIFS('DRAFT 2'!$D:$D,$B160,'DRAFT 2'!$A:$A,"&gt;="&amp;DATE(2026,2,15),'DRAFT 2'!$A:$A,"&lt;="&amp;DATE(2026,2,21))</f>
        <v/>
      </c>
      <c r="CY160">
        <f>COUNTIFS('DRAFT 2'!$D:$D,$B160,'DRAFT 2'!$A:$A,"&gt;="&amp;DATE(2026,2,22),'DRAFT 2'!$A:$A,"&lt;"&amp;DATE(2026,IF(2=12,2+1,2+1),1))</f>
        <v/>
      </c>
      <c r="CZ160">
        <f>SUM(CV160:CY160)</f>
        <v/>
      </c>
      <c r="DJ160">
        <f>IFERROR(LOOKUP(2,1/('DRAFT 2'!$D:$D=$B160)*('DRAFT 2'!$A:$A&gt;=DATE(2026,3,1))*('DRAFT 2'!$A:$A&lt;DATE(2026,IF(3=12,3+1,3+1),1)),'DRAFT 2'!$A:$A),"")</f>
        <v/>
      </c>
      <c r="DK160">
        <f>COUNTIFS('DRAFT 2'!$D:$D,$B160,'DRAFT 2'!$A:$A,"&gt;="&amp;DATE(2026,3,1),'DRAFT 2'!$A:$A,"&lt;="&amp;DATE(2026,3,7))</f>
        <v/>
      </c>
      <c r="DL160">
        <f>COUNTIFS('DRAFT 2'!$D:$D,$B160,'DRAFT 2'!$A:$A,"&gt;="&amp;DATE(2026,3,8),'DRAFT 2'!$A:$A,"&lt;="&amp;DATE(2026,3,14))</f>
        <v/>
      </c>
      <c r="DM160">
        <f>COUNTIFS('DRAFT 2'!$D:$D,$B160,'DRAFT 2'!$A:$A,"&gt;="&amp;DATE(2026,3,15),'DRAFT 2'!$A:$A,"&lt;="&amp;DATE(2026,3,21))</f>
        <v/>
      </c>
      <c r="DN160">
        <f>COUNTIFS('DRAFT 2'!$D:$D,$B160,'DRAFT 2'!$A:$A,"&gt;="&amp;DATE(2026,3,22),'DRAFT 2'!$A:$A,"&lt;"&amp;DATE(2026,IF(3=12,3+1,3+1),1))</f>
        <v/>
      </c>
      <c r="DO160">
        <f>SUM(DK160:DN160)</f>
        <v/>
      </c>
      <c r="DZ160">
        <f>IFERROR(LOOKUP(2,1/('DRAFT 2'!$D:$D=$B160)*('DRAFT 2'!$A:$A&gt;=DATE(2026,4,1))*('DRAFT 2'!$A:$A&lt;DATE(2026,IF(4=12,4+1,4+1),1)),'DRAFT 2'!$A:$A),"")</f>
        <v/>
      </c>
      <c r="EA160">
        <f>COUNTIFS('DRAFT 2'!$D:$D,$B160,'DRAFT 2'!$A:$A,"&gt;="&amp;DATE(2026,4,1),'DRAFT 2'!$A:$A,"&lt;="&amp;DATE(2026,4,7))</f>
        <v/>
      </c>
      <c r="EB160">
        <f>COUNTIFS('DRAFT 2'!$D:$D,$B160,'DRAFT 2'!$A:$A,"&gt;="&amp;DATE(2026,4,8),'DRAFT 2'!$A:$A,"&lt;="&amp;DATE(2026,4,14))</f>
        <v/>
      </c>
      <c r="EC160">
        <f>COUNTIFS('DRAFT 2'!$D:$D,$B160,'DRAFT 2'!$A:$A,"&gt;="&amp;DATE(2026,4,15),'DRAFT 2'!$A:$A,"&lt;="&amp;DATE(2026,4,21))</f>
        <v/>
      </c>
      <c r="ED160">
        <f>COUNTIFS('DRAFT 2'!$D:$D,$B160,'DRAFT 2'!$A:$A,"&gt;="&amp;DATE(2026,4,22),'DRAFT 2'!$A:$A,"&lt;"&amp;DATE(2026,IF(4=12,4+1,4+1),1))</f>
        <v/>
      </c>
      <c r="EE160">
        <f>SUM(EA160:ED160)</f>
        <v/>
      </c>
      <c r="EO160">
        <f>IFERROR(LOOKUP(2,1/('DRAFT 2'!$D:$D=$B160)*('DRAFT 2'!$A:$A&gt;=DATE(2026,5,1))*('DRAFT 2'!$A:$A&lt;DATE(2026,IF(5=12,5+1,5+1),1)),'DRAFT 2'!$A:$A),"")</f>
        <v/>
      </c>
      <c r="EP160">
        <f>COUNTIFS('DRAFT 2'!$D:$D,$B160,'DRAFT 2'!$A:$A,"&gt;="&amp;DATE(2026,5,1),'DRAFT 2'!$A:$A,"&lt;="&amp;DATE(2026,5,7))</f>
        <v/>
      </c>
      <c r="EQ160">
        <f>COUNTIFS('DRAFT 2'!$D:$D,$B160,'DRAFT 2'!$A:$A,"&gt;="&amp;DATE(2026,5,8),'DRAFT 2'!$A:$A,"&lt;="&amp;DATE(2026,5,14))</f>
        <v/>
      </c>
      <c r="ER160">
        <f>COUNTIFS('DRAFT 2'!$D:$D,$B160,'DRAFT 2'!$A:$A,"&gt;="&amp;DATE(2026,5,15),'DRAFT 2'!$A:$A,"&lt;="&amp;DATE(2026,5,21))</f>
        <v/>
      </c>
      <c r="ES160">
        <f>COUNTIFS('DRAFT 2'!$D:$D,$B160,'DRAFT 2'!$A:$A,"&gt;="&amp;DATE(2026,5,22),'DRAFT 2'!$A:$A,"&lt;"&amp;DATE(2026,IF(5=12,5+1,5+1),1))</f>
        <v/>
      </c>
      <c r="ET160">
        <f>SUM(EP160:ES160)</f>
        <v/>
      </c>
      <c r="FD160">
        <f>IFERROR(LOOKUP(2,1/('DRAFT 2'!$D:$D=$B160)*('DRAFT 2'!$A:$A&gt;=DATE(2026,6,1))*('DRAFT 2'!$A:$A&lt;DATE(2026,IF(6=12,6+1,6+1),1)),'DRAFT 2'!$A:$A),"")</f>
        <v/>
      </c>
      <c r="FE160">
        <f>COUNTIFS('DRAFT 2'!$D:$D,$B160,'DRAFT 2'!$A:$A,"&gt;="&amp;DATE(2026,6,1),'DRAFT 2'!$A:$A,"&lt;="&amp;DATE(2026,6,7))</f>
        <v/>
      </c>
      <c r="FF160">
        <f>COUNTIFS('DRAFT 2'!$D:$D,$B160,'DRAFT 2'!$A:$A,"&gt;="&amp;DATE(2026,6,8),'DRAFT 2'!$A:$A,"&lt;="&amp;DATE(2026,6,14))</f>
        <v/>
      </c>
      <c r="FG160">
        <f>COUNTIFS('DRAFT 2'!$D:$D,$B160,'DRAFT 2'!$A:$A,"&gt;="&amp;DATE(2026,6,15),'DRAFT 2'!$A:$A,"&lt;="&amp;DATE(2026,6,21))</f>
        <v/>
      </c>
      <c r="FH160">
        <f>COUNTIFS('DRAFT 2'!$D:$D,$B160,'DRAFT 2'!$A:$A,"&gt;="&amp;DATE(2026,6,22),'DRAFT 2'!$A:$A,"&lt;"&amp;DATE(2026,IF(6=12,6+1,6+1),1))</f>
        <v/>
      </c>
      <c r="FI160">
        <f>SUM(FE160:FH160)</f>
        <v/>
      </c>
      <c r="FT160">
        <f>IFERROR(LOOKUP(2,1/('DRAFT 2'!$D:$D=$B160)*('DRAFT 2'!$A:$A&gt;=DATE(2026,7,1))*('DRAFT 2'!$A:$A&lt;DATE(2026,IF(7=12,7+1,7+1),1)),'DRAFT 2'!$A:$A),"")</f>
        <v/>
      </c>
      <c r="FU160">
        <f>COUNTIFS('DRAFT 2'!$D:$D,$B160,'DRAFT 2'!$A:$A,"&gt;="&amp;DATE(2026,7,1),'DRAFT 2'!$A:$A,"&lt;="&amp;DATE(2026,7,7))</f>
        <v/>
      </c>
      <c r="FV160">
        <f>COUNTIFS('DRAFT 2'!$D:$D,$B160,'DRAFT 2'!$A:$A,"&gt;="&amp;DATE(2026,7,8),'DRAFT 2'!$A:$A,"&lt;="&amp;DATE(2026,7,14))</f>
        <v/>
      </c>
      <c r="FW160">
        <f>COUNTIFS('DRAFT 2'!$D:$D,$B160,'DRAFT 2'!$A:$A,"&gt;="&amp;DATE(2026,7,15),'DRAFT 2'!$A:$A,"&lt;="&amp;DATE(2026,7,21))</f>
        <v/>
      </c>
      <c r="FX160">
        <f>COUNTIFS('DRAFT 2'!$D:$D,$B160,'DRAFT 2'!$A:$A,"&gt;="&amp;DATE(2026,7,22),'DRAFT 2'!$A:$A,"&lt;"&amp;DATE(2026,IF(7=12,7+1,7+1),1))</f>
        <v/>
      </c>
      <c r="FY160">
        <f>SUM(FU160:FX160)</f>
        <v/>
      </c>
      <c r="GI160">
        <f>IFERROR(LOOKUP(2,1/('DRAFT 2'!$D:$D=$B160)*('DRAFT 2'!$A:$A&gt;=DATE(2026,8,1))*('DRAFT 2'!$A:$A&lt;DATE(2026,IF(8=12,8+1,8+1),1)),'DRAFT 2'!$A:$A),"")</f>
        <v/>
      </c>
      <c r="GJ160">
        <f>COUNTIFS('DRAFT 2'!$D:$D,$B160,'DRAFT 2'!$A:$A,"&gt;="&amp;DATE(2026,8,1),'DRAFT 2'!$A:$A,"&lt;="&amp;DATE(2026,8,7))</f>
        <v/>
      </c>
      <c r="GK160">
        <f>COUNTIFS('DRAFT 2'!$D:$D,$B160,'DRAFT 2'!$A:$A,"&gt;="&amp;DATE(2026,8,8),'DRAFT 2'!$A:$A,"&lt;="&amp;DATE(2026,8,14))</f>
        <v/>
      </c>
      <c r="GL160">
        <f>COUNTIFS('DRAFT 2'!$D:$D,$B160,'DRAFT 2'!$A:$A,"&gt;="&amp;DATE(2026,8,15),'DRAFT 2'!$A:$A,"&lt;="&amp;DATE(2026,8,21))</f>
        <v/>
      </c>
      <c r="GM160">
        <f>COUNTIFS('DRAFT 2'!$D:$D,$B160,'DRAFT 2'!$A:$A,"&gt;="&amp;DATE(2026,8,22),'DRAFT 2'!$A:$A,"&lt;"&amp;DATE(2026,IF(8=12,8+1,8+1),1))</f>
        <v/>
      </c>
      <c r="GN160">
        <f>SUM(GJ160:GM160)</f>
        <v/>
      </c>
      <c r="GX160">
        <f>IFERROR(LOOKUP(2,1/('DRAFT 2'!$D:$D=$B160)*('DRAFT 2'!$A:$A&gt;=DATE(2026,9,1))*('DRAFT 2'!$A:$A&lt;DATE(2026,IF(9=12,9+1,9+1),1)),'DRAFT 2'!$A:$A),"")</f>
        <v/>
      </c>
      <c r="GY160">
        <f>COUNTIFS('DRAFT 2'!$D:$D,$B160,'DRAFT 2'!$A:$A,"&gt;="&amp;DATE(2026,9,1),'DRAFT 2'!$A:$A,"&lt;="&amp;DATE(2026,9,7))</f>
        <v/>
      </c>
      <c r="GZ160">
        <f>COUNTIFS('DRAFT 2'!$D:$D,$B160,'DRAFT 2'!$A:$A,"&gt;="&amp;DATE(2026,9,8),'DRAFT 2'!$A:$A,"&lt;="&amp;DATE(2026,9,14))</f>
        <v/>
      </c>
      <c r="HA160">
        <f>COUNTIFS('DRAFT 2'!$D:$D,$B160,'DRAFT 2'!$A:$A,"&gt;="&amp;DATE(2026,9,15),'DRAFT 2'!$A:$A,"&lt;="&amp;DATE(2026,9,21))</f>
        <v/>
      </c>
      <c r="HB160">
        <f>COUNTIFS('DRAFT 2'!$D:$D,$B160,'DRAFT 2'!$A:$A,"&gt;="&amp;DATE(2026,9,22),'DRAFT 2'!$A:$A,"&lt;"&amp;DATE(2026,IF(9=12,9+1,9+1),1))</f>
        <v/>
      </c>
      <c r="HC160">
        <f>SUM(GY160:HB160)</f>
        <v/>
      </c>
      <c r="HN160">
        <f>IFERROR(LOOKUP(2,1/('DRAFT 2'!$D:$D=$B160)*('DRAFT 2'!$A:$A&gt;=DATE(2026,10,1))*('DRAFT 2'!$A:$A&lt;DATE(2026,IF(10=12,10+1,10+1),1)),'DRAFT 2'!$A:$A),"")</f>
        <v/>
      </c>
      <c r="HO160">
        <f>COUNTIFS('DRAFT 2'!$D:$D,$B160,'DRAFT 2'!$A:$A,"&gt;="&amp;DATE(2026,10,1),'DRAFT 2'!$A:$A,"&lt;="&amp;DATE(2026,10,7))</f>
        <v/>
      </c>
      <c r="HP160">
        <f>COUNTIFS('DRAFT 2'!$D:$D,$B160,'DRAFT 2'!$A:$A,"&gt;="&amp;DATE(2026,10,8),'DRAFT 2'!$A:$A,"&lt;="&amp;DATE(2026,10,14))</f>
        <v/>
      </c>
      <c r="HQ160">
        <f>COUNTIFS('DRAFT 2'!$D:$D,$B160,'DRAFT 2'!$A:$A,"&gt;="&amp;DATE(2026,10,15),'DRAFT 2'!$A:$A,"&lt;="&amp;DATE(2026,10,21))</f>
        <v/>
      </c>
      <c r="HR160">
        <f>COUNTIFS('DRAFT 2'!$D:$D,$B160,'DRAFT 2'!$A:$A,"&gt;="&amp;DATE(2026,10,22),'DRAFT 2'!$A:$A,"&lt;"&amp;DATE(2026,IF(10=12,10+1,10+1),1))</f>
        <v/>
      </c>
      <c r="HS160">
        <f>SUM(HO160:HR160)</f>
        <v/>
      </c>
      <c r="IC160">
        <f>IFERROR(LOOKUP(2,1/('DRAFT 2'!$D:$D=$B160)*('DRAFT 2'!$A:$A&gt;=DATE(2026,11,1))*('DRAFT 2'!$A:$A&lt;DATE(2026,IF(11=12,11+1,11+1),1)),'DRAFT 2'!$A:$A),"")</f>
        <v/>
      </c>
      <c r="ID160">
        <f>COUNTIFS('DRAFT 2'!$D:$D,$B160,'DRAFT 2'!$A:$A,"&gt;="&amp;DATE(2026,11,1),'DRAFT 2'!$A:$A,"&lt;="&amp;DATE(2026,11,7))</f>
        <v/>
      </c>
      <c r="IE160">
        <f>COUNTIFS('DRAFT 2'!$D:$D,$B160,'DRAFT 2'!$A:$A,"&gt;="&amp;DATE(2026,11,8),'DRAFT 2'!$A:$A,"&lt;="&amp;DATE(2026,11,14))</f>
        <v/>
      </c>
      <c r="IF160">
        <f>COUNTIFS('DRAFT 2'!$D:$D,$B160,'DRAFT 2'!$A:$A,"&gt;="&amp;DATE(2026,11,15),'DRAFT 2'!$A:$A,"&lt;="&amp;DATE(2026,11,21))</f>
        <v/>
      </c>
      <c r="IG160">
        <f>COUNTIFS('DRAFT 2'!$D:$D,$B160,'DRAFT 2'!$A:$A,"&gt;="&amp;DATE(2026,11,22),'DRAFT 2'!$A:$A,"&lt;"&amp;DATE(2026,IF(11=12,11+1,11+1),1))</f>
        <v/>
      </c>
      <c r="IH160">
        <f>SUM(ID160:IG160)</f>
        <v/>
      </c>
      <c r="IR160">
        <f>IFERROR(LOOKUP(2,1/('DRAFT 2'!$D:$D=$B160)*('DRAFT 2'!$A:$A&gt;=DATE(2026,12,1))*('DRAFT 2'!$A:$A&lt;DATE(2026,IF(12=12,12+1,12+1),1)),'DRAFT 2'!$A:$A),"")</f>
        <v/>
      </c>
      <c r="IS160">
        <f>COUNTIFS('DRAFT 2'!$D:$D,$B160,'DRAFT 2'!$A:$A,"&gt;="&amp;DATE(2026,12,1),'DRAFT 2'!$A:$A,"&lt;="&amp;DATE(2026,12,7))</f>
        <v/>
      </c>
      <c r="IT160">
        <f>COUNTIFS('DRAFT 2'!$D:$D,$B160,'DRAFT 2'!$A:$A,"&gt;="&amp;DATE(2026,12,8),'DRAFT 2'!$A:$A,"&lt;="&amp;DATE(2026,12,14))</f>
        <v/>
      </c>
      <c r="IU160">
        <f>COUNTIFS('DRAFT 2'!$D:$D,$B160,'DRAFT 2'!$A:$A,"&gt;="&amp;DATE(2026,12,15),'DRAFT 2'!$A:$A,"&lt;="&amp;DATE(2026,12,21))</f>
        <v/>
      </c>
      <c r="IV160">
        <f>COUNTIFS('DRAFT 2'!$D:$D,$B160,'DRAFT 2'!$A:$A,"&gt;="&amp;DATE(2026,12,22),'DRAFT 2'!$A:$A,"&lt;"&amp;DATE(2026,IF(12=12,12+1,12+1),1))</f>
        <v/>
      </c>
      <c r="IW160">
        <f>SUM(IS160:IV160)</f>
        <v/>
      </c>
    </row>
    <row r="161">
      <c r="A161">
        <f>IFERROR(INDEX('DRAFT 1'!$A:$A,MATCH($B161,'DRAFT 1'!$B:$B,0)),"")</f>
        <v/>
      </c>
      <c r="C161">
        <f>IFERROR(INDEX('DRAFT 1'!$C:$C,MATCH($B161,'DRAFT 1'!$B:$B,0)),"")</f>
        <v/>
      </c>
      <c r="D161">
        <f>IFERROR(INDEX('DRAFT 1'!$D:$D,MATCH($B161,'DRAFT 1'!$B:$B,0)),"")</f>
        <v/>
      </c>
      <c r="E161">
        <f>IFERROR(INDEX('DRAFT 1'!$E:$E,MATCH($B161,'DRAFT 1'!$B:$B,0)),"")</f>
        <v/>
      </c>
      <c r="F161">
        <f>IFERROR(INDEX('DRAFT 1'!$F:$F,MATCH($B161,'DRAFT 1'!$B:$B,0)),"")</f>
        <v/>
      </c>
      <c r="G161">
        <f>IFERROR(INDEX('DRAFT 1'!$G:$G,MATCH($B161,'DRAFT 1'!$B:$B,0)),"")</f>
        <v/>
      </c>
      <c r="H161">
        <f>IFERROR(INDEX('DRAFT 1'!$H:$H,MATCH($B161,'DRAFT 1'!$B:$B,0)),"")</f>
        <v/>
      </c>
      <c r="I161">
        <f>IFERROR(INDEX('DRAFT 1'!$I:$I,MATCH($B161,'DRAFT 1'!$B:$B,0)),"")</f>
        <v/>
      </c>
      <c r="K161">
        <f>IFERROR(INDEX('DRAFT 1'!$AL:$AL,MATCH($B161,'DRAFT 1'!$B:$B,0)),"")</f>
        <v/>
      </c>
      <c r="L161">
        <f>IFERROR(INDEX('DRAFT 1'!$J:$J,MATCH($B161,'DRAFT 1'!$B:$B,0)),"")</f>
        <v/>
      </c>
      <c r="M161">
        <f>IFERROR(INDEX('DRAFT 1'!$K:$K,MATCH($B161,'DRAFT 1'!$B:$B,0)),"")</f>
        <v/>
      </c>
      <c r="P161">
        <f>IFERROR(INDEX('DRAFT 1'!$L:$L,MATCH($B161,'DRAFT 1'!$B:$B,0)),"")</f>
        <v/>
      </c>
      <c r="Q161">
        <f>IFERROR(INDEX('DRAFT 1'!$M:$M,MATCH($B161,'DRAFT 1'!$B:$B,0)),"")</f>
        <v/>
      </c>
      <c r="R161">
        <f>IFERROR(INDEX('DRAFT 1'!$N:$N,MATCH($B161,'DRAFT 1'!$B:$B,0)),"")</f>
        <v/>
      </c>
      <c r="S161">
        <f>IFERROR(INDEX('DRAFT 1'!$O:$O,MATCH($B161,'DRAFT 1'!$B:$B,0)),"")</f>
        <v/>
      </c>
      <c r="T161">
        <f>IFERROR(INDEX('DRAFT 1'!$P:$P,MATCH($B161,'DRAFT 1'!$B:$B,0)),"")</f>
        <v/>
      </c>
      <c r="U161">
        <f>IFERROR(INDEX('DRAFT 1'!$Q:$Q,MATCH($B161,'DRAFT 1'!$B:$B,0)),"")</f>
        <v/>
      </c>
      <c r="V161">
        <f>IFERROR(INDEX('DRAFT 1'!$R:$R,MATCH($B161,'DRAFT 1'!$B:$B,0)),"")</f>
        <v/>
      </c>
      <c r="W161">
        <f>IFERROR(INDEX('DRAFT 1'!$S:$S,MATCH($B161,'DRAFT 1'!$B:$B,0)),"")</f>
        <v/>
      </c>
      <c r="X161">
        <f>IFERROR(INDEX('DRAFT 1'!$T:$T,MATCH($B161,'DRAFT 1'!$B:$B,0)),"")</f>
        <v/>
      </c>
      <c r="Z161">
        <f>IFERROR(INDEX('DRAFT 1'!$U:$U,MATCH($B161,'DRAFT 1'!$B:$B,0)),"")</f>
        <v/>
      </c>
      <c r="AA161">
        <f>IFERROR(INDEX('DRAFT 1'!$V:$V,MATCH($B161,'DRAFT 1'!$B:$B,0)),"")</f>
        <v/>
      </c>
      <c r="AB161">
        <f>IFERROR(INDEX('DRAFT 1'!$W:$W,MATCH($B161,'DRAFT 1'!$B:$B,0)),"")</f>
        <v/>
      </c>
      <c r="AC161">
        <f>IFERROR(INDEX('DRAFT 1'!$X:$X,MATCH($B161,'DRAFT 1'!$B:$B,0)),"")</f>
        <v/>
      </c>
      <c r="AD161">
        <f>IFERROR(INDEX('DRAFT 1'!$Y:$Y,MATCH($B161,'DRAFT 1'!$B:$B,0)),"")</f>
        <v/>
      </c>
      <c r="AE161">
        <f>IFERROR(INDEX('DRAFT 1'!$Z:$Z,MATCH($B161,'DRAFT 1'!$B:$B,0)),"")</f>
        <v/>
      </c>
      <c r="AF161">
        <f>IFERROR(INDEX('DRAFT 1'!$AA:$AA,MATCH($B161,'DRAFT 1'!$B:$B,0)),"")</f>
        <v/>
      </c>
      <c r="AG161">
        <f>IFERROR(INDEX('DRAFT 1'!$AB:$AB,MATCH($B161,'DRAFT 1'!$B:$B,0)),"")</f>
        <v/>
      </c>
      <c r="AH161">
        <f>IFERROR(INDEX('DRAFT 1'!$AC:$AC,MATCH($B161,'DRAFT 1'!$B:$B,0)),"")</f>
        <v/>
      </c>
      <c r="AI161">
        <f>IFERROR(INDEX('DRAFT 1'!$AD:$AD,MATCH($B161,'DRAFT 1'!$B:$B,0)),"")</f>
        <v/>
      </c>
      <c r="AJ161">
        <f>IFERROR(INDEX('DRAFT 1'!$AE:$AE,MATCH($B161,'DRAFT 1'!$B:$B,0)),"")</f>
        <v/>
      </c>
      <c r="AK161">
        <f>IFERROR(INDEX('DRAFT 1'!$AG:$AG,MATCH($B161,'DRAFT 1'!$B:$B,0)),"")</f>
        <v/>
      </c>
      <c r="AL161">
        <f>IFERROR(INDEX('DRAFT 1'!$AH:$AH,MATCH($B161,'DRAFT 1'!$B:$B,0)),"")</f>
        <v/>
      </c>
      <c r="AM161">
        <f>IFERROR(INDEX('DRAFT 1'!$AI:$AI,MATCH($B161,'DRAFT 1'!$B:$B,0)),"")</f>
        <v/>
      </c>
      <c r="AN161">
        <f>IFERROR(INDEX('DRAFT 1'!$AJ:$AJ,MATCH($B161,'DRAFT 1'!$B:$B,0)),"")</f>
        <v/>
      </c>
      <c r="AO161">
        <f>IFERROR(Y161/AN161,0)</f>
        <v/>
      </c>
      <c r="AP161">
        <f>IFERROR(INDEX('DRAFT 1'!$AK:$AK,MATCH($B161,'DRAFT 1'!$B:$B,0)),"")</f>
        <v/>
      </c>
      <c r="AR161">
        <f>IFERROR(LOOKUP(2,1/('DRAFT 2'!$D:$D=$B161),'DRAFT 2'!$I:$I),"")</f>
        <v/>
      </c>
      <c r="AS161">
        <f>IFERROR(LOOKUP(2,1/('DRAFT 2'!$D:$D=$B161),'DRAFT 2'!$T:$T),"")</f>
        <v/>
      </c>
      <c r="AT161">
        <f>IFERROR(LOOKUP(2,1/('DRAFT 2'!$D:$D=$B161),'DRAFT 2'!$A:$A),"")</f>
        <v/>
      </c>
      <c r="AU161">
        <f>IFERROR(LOOKUP(2,1/('DRAFT 2'!$D:$D=$B161),'DRAFT 2'!$R:$R),"")</f>
        <v/>
      </c>
      <c r="AV161">
        <f>IFERROR(LOOKUP(2,1/('DRAFT 2'!$D:$D=$B161),'DRAFT 2'!$S:$S),"")</f>
        <v/>
      </c>
      <c r="AX161">
        <f>IFERROR(LOOKUP(2,1/('DRAFT 2'!$D:$D=$B161),'DRAFT 2'!$M:$M),"")</f>
        <v/>
      </c>
      <c r="AY161">
        <f>IFERROR(LOOKUP(2,1/('DRAFT 2'!$D:$D=$B161),'DRAFT 2'!$K:$K),"")</f>
        <v/>
      </c>
      <c r="BG161">
        <f>IFERROR(LOOKUP(2,1/('DRAFT 2'!$D:$D=$B161),'DRAFT 2'!$U:$U),"")</f>
        <v/>
      </c>
      <c r="BH161">
        <f>IFERROR(LOOKUP(2,1/('DRAFT 2'!$D:$D=$B161),'DRAFT 2'!$V:$V),"")</f>
        <v/>
      </c>
      <c r="CE161">
        <f>IFERROR(AJ161,0)</f>
        <v/>
      </c>
      <c r="CF161">
        <f>IFERROR(LOOKUP(2,1/('DRAFT 2'!$D:$D=$B161)*('DRAFT 2'!$A:$A&gt;=DATE(2026,1,1))*('DRAFT 2'!$A:$A&lt;DATE(2026,IF(1=12,1+1,1+1),1)),'DRAFT 2'!$A:$A),"")</f>
        <v/>
      </c>
      <c r="CG161">
        <f>COUNTIFS('DRAFT 2'!$D:$D,$B161,'DRAFT 2'!$A:$A,"&gt;="&amp;DATE(2026,1,1),'DRAFT 2'!$A:$A,"&lt;="&amp;DATE(2026,1,7))</f>
        <v/>
      </c>
      <c r="CH161">
        <f>COUNTIFS('DRAFT 2'!$D:$D,$B161,'DRAFT 2'!$A:$A,"&gt;="&amp;DATE(2026,1,8),'DRAFT 2'!$A:$A,"&lt;="&amp;DATE(2026,1,14))</f>
        <v/>
      </c>
      <c r="CI161">
        <f>COUNTIFS('DRAFT 2'!$D:$D,$B161,'DRAFT 2'!$A:$A,"&gt;="&amp;DATE(2026,1,15),'DRAFT 2'!$A:$A,"&lt;="&amp;DATE(2026,1,21))</f>
        <v/>
      </c>
      <c r="CJ161">
        <f>COUNTIFS('DRAFT 2'!$D:$D,$B161,'DRAFT 2'!$A:$A,"&gt;="&amp;DATE(2026,1,22),'DRAFT 2'!$A:$A,"&lt;"&amp;DATE(2026,IF(1=12,1+1,1+1),1))</f>
        <v/>
      </c>
      <c r="CK161">
        <f>SUM(CG161:CJ161)</f>
        <v/>
      </c>
      <c r="CT161" t="n">
        <v>0</v>
      </c>
      <c r="CU161">
        <f>IFERROR(LOOKUP(2,1/('DRAFT 2'!$D:$D=$B161)*('DRAFT 2'!$A:$A&gt;=DATE(2026,2,1))*('DRAFT 2'!$A:$A&lt;DATE(2026,IF(2=12,2+1,2+1),1)),'DRAFT 2'!$A:$A),"")</f>
        <v/>
      </c>
      <c r="CV161">
        <f>COUNTIFS('DRAFT 2'!$D:$D,$B161,'DRAFT 2'!$A:$A,"&gt;="&amp;DATE(2026,2,1),'DRAFT 2'!$A:$A,"&lt;="&amp;DATE(2026,2,7))</f>
        <v/>
      </c>
      <c r="CW161">
        <f>COUNTIFS('DRAFT 2'!$D:$D,$B161,'DRAFT 2'!$A:$A,"&gt;="&amp;DATE(2026,2,8),'DRAFT 2'!$A:$A,"&lt;="&amp;DATE(2026,2,14))</f>
        <v/>
      </c>
      <c r="CX161">
        <f>COUNTIFS('DRAFT 2'!$D:$D,$B161,'DRAFT 2'!$A:$A,"&gt;="&amp;DATE(2026,2,15),'DRAFT 2'!$A:$A,"&lt;="&amp;DATE(2026,2,21))</f>
        <v/>
      </c>
      <c r="CY161">
        <f>COUNTIFS('DRAFT 2'!$D:$D,$B161,'DRAFT 2'!$A:$A,"&gt;="&amp;DATE(2026,2,22),'DRAFT 2'!$A:$A,"&lt;"&amp;DATE(2026,IF(2=12,2+1,2+1),1))</f>
        <v/>
      </c>
      <c r="CZ161">
        <f>SUM(CV161:CY161)</f>
        <v/>
      </c>
      <c r="DJ161">
        <f>IFERROR(LOOKUP(2,1/('DRAFT 2'!$D:$D=$B161)*('DRAFT 2'!$A:$A&gt;=DATE(2026,3,1))*('DRAFT 2'!$A:$A&lt;DATE(2026,IF(3=12,3+1,3+1),1)),'DRAFT 2'!$A:$A),"")</f>
        <v/>
      </c>
      <c r="DK161">
        <f>COUNTIFS('DRAFT 2'!$D:$D,$B161,'DRAFT 2'!$A:$A,"&gt;="&amp;DATE(2026,3,1),'DRAFT 2'!$A:$A,"&lt;="&amp;DATE(2026,3,7))</f>
        <v/>
      </c>
      <c r="DL161">
        <f>COUNTIFS('DRAFT 2'!$D:$D,$B161,'DRAFT 2'!$A:$A,"&gt;="&amp;DATE(2026,3,8),'DRAFT 2'!$A:$A,"&lt;="&amp;DATE(2026,3,14))</f>
        <v/>
      </c>
      <c r="DM161">
        <f>COUNTIFS('DRAFT 2'!$D:$D,$B161,'DRAFT 2'!$A:$A,"&gt;="&amp;DATE(2026,3,15),'DRAFT 2'!$A:$A,"&lt;="&amp;DATE(2026,3,21))</f>
        <v/>
      </c>
      <c r="DN161">
        <f>COUNTIFS('DRAFT 2'!$D:$D,$B161,'DRAFT 2'!$A:$A,"&gt;="&amp;DATE(2026,3,22),'DRAFT 2'!$A:$A,"&lt;"&amp;DATE(2026,IF(3=12,3+1,3+1),1))</f>
        <v/>
      </c>
      <c r="DO161">
        <f>SUM(DK161:DN161)</f>
        <v/>
      </c>
      <c r="DZ161">
        <f>IFERROR(LOOKUP(2,1/('DRAFT 2'!$D:$D=$B161)*('DRAFT 2'!$A:$A&gt;=DATE(2026,4,1))*('DRAFT 2'!$A:$A&lt;DATE(2026,IF(4=12,4+1,4+1),1)),'DRAFT 2'!$A:$A),"")</f>
        <v/>
      </c>
      <c r="EA161">
        <f>COUNTIFS('DRAFT 2'!$D:$D,$B161,'DRAFT 2'!$A:$A,"&gt;="&amp;DATE(2026,4,1),'DRAFT 2'!$A:$A,"&lt;="&amp;DATE(2026,4,7))</f>
        <v/>
      </c>
      <c r="EB161">
        <f>COUNTIFS('DRAFT 2'!$D:$D,$B161,'DRAFT 2'!$A:$A,"&gt;="&amp;DATE(2026,4,8),'DRAFT 2'!$A:$A,"&lt;="&amp;DATE(2026,4,14))</f>
        <v/>
      </c>
      <c r="EC161">
        <f>COUNTIFS('DRAFT 2'!$D:$D,$B161,'DRAFT 2'!$A:$A,"&gt;="&amp;DATE(2026,4,15),'DRAFT 2'!$A:$A,"&lt;="&amp;DATE(2026,4,21))</f>
        <v/>
      </c>
      <c r="ED161">
        <f>COUNTIFS('DRAFT 2'!$D:$D,$B161,'DRAFT 2'!$A:$A,"&gt;="&amp;DATE(2026,4,22),'DRAFT 2'!$A:$A,"&lt;"&amp;DATE(2026,IF(4=12,4+1,4+1),1))</f>
        <v/>
      </c>
      <c r="EE161">
        <f>SUM(EA161:ED161)</f>
        <v/>
      </c>
      <c r="EO161">
        <f>IFERROR(LOOKUP(2,1/('DRAFT 2'!$D:$D=$B161)*('DRAFT 2'!$A:$A&gt;=DATE(2026,5,1))*('DRAFT 2'!$A:$A&lt;DATE(2026,IF(5=12,5+1,5+1),1)),'DRAFT 2'!$A:$A),"")</f>
        <v/>
      </c>
      <c r="EP161">
        <f>COUNTIFS('DRAFT 2'!$D:$D,$B161,'DRAFT 2'!$A:$A,"&gt;="&amp;DATE(2026,5,1),'DRAFT 2'!$A:$A,"&lt;="&amp;DATE(2026,5,7))</f>
        <v/>
      </c>
      <c r="EQ161">
        <f>COUNTIFS('DRAFT 2'!$D:$D,$B161,'DRAFT 2'!$A:$A,"&gt;="&amp;DATE(2026,5,8),'DRAFT 2'!$A:$A,"&lt;="&amp;DATE(2026,5,14))</f>
        <v/>
      </c>
      <c r="ER161">
        <f>COUNTIFS('DRAFT 2'!$D:$D,$B161,'DRAFT 2'!$A:$A,"&gt;="&amp;DATE(2026,5,15),'DRAFT 2'!$A:$A,"&lt;="&amp;DATE(2026,5,21))</f>
        <v/>
      </c>
      <c r="ES161">
        <f>COUNTIFS('DRAFT 2'!$D:$D,$B161,'DRAFT 2'!$A:$A,"&gt;="&amp;DATE(2026,5,22),'DRAFT 2'!$A:$A,"&lt;"&amp;DATE(2026,IF(5=12,5+1,5+1),1))</f>
        <v/>
      </c>
      <c r="ET161">
        <f>SUM(EP161:ES161)</f>
        <v/>
      </c>
      <c r="FD161">
        <f>IFERROR(LOOKUP(2,1/('DRAFT 2'!$D:$D=$B161)*('DRAFT 2'!$A:$A&gt;=DATE(2026,6,1))*('DRAFT 2'!$A:$A&lt;DATE(2026,IF(6=12,6+1,6+1),1)),'DRAFT 2'!$A:$A),"")</f>
        <v/>
      </c>
      <c r="FE161">
        <f>COUNTIFS('DRAFT 2'!$D:$D,$B161,'DRAFT 2'!$A:$A,"&gt;="&amp;DATE(2026,6,1),'DRAFT 2'!$A:$A,"&lt;="&amp;DATE(2026,6,7))</f>
        <v/>
      </c>
      <c r="FF161">
        <f>COUNTIFS('DRAFT 2'!$D:$D,$B161,'DRAFT 2'!$A:$A,"&gt;="&amp;DATE(2026,6,8),'DRAFT 2'!$A:$A,"&lt;="&amp;DATE(2026,6,14))</f>
        <v/>
      </c>
      <c r="FG161">
        <f>COUNTIFS('DRAFT 2'!$D:$D,$B161,'DRAFT 2'!$A:$A,"&gt;="&amp;DATE(2026,6,15),'DRAFT 2'!$A:$A,"&lt;="&amp;DATE(2026,6,21))</f>
        <v/>
      </c>
      <c r="FH161">
        <f>COUNTIFS('DRAFT 2'!$D:$D,$B161,'DRAFT 2'!$A:$A,"&gt;="&amp;DATE(2026,6,22),'DRAFT 2'!$A:$A,"&lt;"&amp;DATE(2026,IF(6=12,6+1,6+1),1))</f>
        <v/>
      </c>
      <c r="FI161">
        <f>SUM(FE161:FH161)</f>
        <v/>
      </c>
      <c r="FT161">
        <f>IFERROR(LOOKUP(2,1/('DRAFT 2'!$D:$D=$B161)*('DRAFT 2'!$A:$A&gt;=DATE(2026,7,1))*('DRAFT 2'!$A:$A&lt;DATE(2026,IF(7=12,7+1,7+1),1)),'DRAFT 2'!$A:$A),"")</f>
        <v/>
      </c>
      <c r="FU161">
        <f>COUNTIFS('DRAFT 2'!$D:$D,$B161,'DRAFT 2'!$A:$A,"&gt;="&amp;DATE(2026,7,1),'DRAFT 2'!$A:$A,"&lt;="&amp;DATE(2026,7,7))</f>
        <v/>
      </c>
      <c r="FV161">
        <f>COUNTIFS('DRAFT 2'!$D:$D,$B161,'DRAFT 2'!$A:$A,"&gt;="&amp;DATE(2026,7,8),'DRAFT 2'!$A:$A,"&lt;="&amp;DATE(2026,7,14))</f>
        <v/>
      </c>
      <c r="FW161">
        <f>COUNTIFS('DRAFT 2'!$D:$D,$B161,'DRAFT 2'!$A:$A,"&gt;="&amp;DATE(2026,7,15),'DRAFT 2'!$A:$A,"&lt;="&amp;DATE(2026,7,21))</f>
        <v/>
      </c>
      <c r="FX161">
        <f>COUNTIFS('DRAFT 2'!$D:$D,$B161,'DRAFT 2'!$A:$A,"&gt;="&amp;DATE(2026,7,22),'DRAFT 2'!$A:$A,"&lt;"&amp;DATE(2026,IF(7=12,7+1,7+1),1))</f>
        <v/>
      </c>
      <c r="FY161">
        <f>SUM(FU161:FX161)</f>
        <v/>
      </c>
      <c r="GI161">
        <f>IFERROR(LOOKUP(2,1/('DRAFT 2'!$D:$D=$B161)*('DRAFT 2'!$A:$A&gt;=DATE(2026,8,1))*('DRAFT 2'!$A:$A&lt;DATE(2026,IF(8=12,8+1,8+1),1)),'DRAFT 2'!$A:$A),"")</f>
        <v/>
      </c>
      <c r="GJ161">
        <f>COUNTIFS('DRAFT 2'!$D:$D,$B161,'DRAFT 2'!$A:$A,"&gt;="&amp;DATE(2026,8,1),'DRAFT 2'!$A:$A,"&lt;="&amp;DATE(2026,8,7))</f>
        <v/>
      </c>
      <c r="GK161">
        <f>COUNTIFS('DRAFT 2'!$D:$D,$B161,'DRAFT 2'!$A:$A,"&gt;="&amp;DATE(2026,8,8),'DRAFT 2'!$A:$A,"&lt;="&amp;DATE(2026,8,14))</f>
        <v/>
      </c>
      <c r="GL161">
        <f>COUNTIFS('DRAFT 2'!$D:$D,$B161,'DRAFT 2'!$A:$A,"&gt;="&amp;DATE(2026,8,15),'DRAFT 2'!$A:$A,"&lt;="&amp;DATE(2026,8,21))</f>
        <v/>
      </c>
      <c r="GM161">
        <f>COUNTIFS('DRAFT 2'!$D:$D,$B161,'DRAFT 2'!$A:$A,"&gt;="&amp;DATE(2026,8,22),'DRAFT 2'!$A:$A,"&lt;"&amp;DATE(2026,IF(8=12,8+1,8+1),1))</f>
        <v/>
      </c>
      <c r="GN161">
        <f>SUM(GJ161:GM161)</f>
        <v/>
      </c>
      <c r="GX161">
        <f>IFERROR(LOOKUP(2,1/('DRAFT 2'!$D:$D=$B161)*('DRAFT 2'!$A:$A&gt;=DATE(2026,9,1))*('DRAFT 2'!$A:$A&lt;DATE(2026,IF(9=12,9+1,9+1),1)),'DRAFT 2'!$A:$A),"")</f>
        <v/>
      </c>
      <c r="GY161">
        <f>COUNTIFS('DRAFT 2'!$D:$D,$B161,'DRAFT 2'!$A:$A,"&gt;="&amp;DATE(2026,9,1),'DRAFT 2'!$A:$A,"&lt;="&amp;DATE(2026,9,7))</f>
        <v/>
      </c>
      <c r="GZ161">
        <f>COUNTIFS('DRAFT 2'!$D:$D,$B161,'DRAFT 2'!$A:$A,"&gt;="&amp;DATE(2026,9,8),'DRAFT 2'!$A:$A,"&lt;="&amp;DATE(2026,9,14))</f>
        <v/>
      </c>
      <c r="HA161">
        <f>COUNTIFS('DRAFT 2'!$D:$D,$B161,'DRAFT 2'!$A:$A,"&gt;="&amp;DATE(2026,9,15),'DRAFT 2'!$A:$A,"&lt;="&amp;DATE(2026,9,21))</f>
        <v/>
      </c>
      <c r="HB161">
        <f>COUNTIFS('DRAFT 2'!$D:$D,$B161,'DRAFT 2'!$A:$A,"&gt;="&amp;DATE(2026,9,22),'DRAFT 2'!$A:$A,"&lt;"&amp;DATE(2026,IF(9=12,9+1,9+1),1))</f>
        <v/>
      </c>
      <c r="HC161">
        <f>SUM(GY161:HB161)</f>
        <v/>
      </c>
      <c r="HN161">
        <f>IFERROR(LOOKUP(2,1/('DRAFT 2'!$D:$D=$B161)*('DRAFT 2'!$A:$A&gt;=DATE(2026,10,1))*('DRAFT 2'!$A:$A&lt;DATE(2026,IF(10=12,10+1,10+1),1)),'DRAFT 2'!$A:$A),"")</f>
        <v/>
      </c>
      <c r="HO161">
        <f>COUNTIFS('DRAFT 2'!$D:$D,$B161,'DRAFT 2'!$A:$A,"&gt;="&amp;DATE(2026,10,1),'DRAFT 2'!$A:$A,"&lt;="&amp;DATE(2026,10,7))</f>
        <v/>
      </c>
      <c r="HP161">
        <f>COUNTIFS('DRAFT 2'!$D:$D,$B161,'DRAFT 2'!$A:$A,"&gt;="&amp;DATE(2026,10,8),'DRAFT 2'!$A:$A,"&lt;="&amp;DATE(2026,10,14))</f>
        <v/>
      </c>
      <c r="HQ161">
        <f>COUNTIFS('DRAFT 2'!$D:$D,$B161,'DRAFT 2'!$A:$A,"&gt;="&amp;DATE(2026,10,15),'DRAFT 2'!$A:$A,"&lt;="&amp;DATE(2026,10,21))</f>
        <v/>
      </c>
      <c r="HR161">
        <f>COUNTIFS('DRAFT 2'!$D:$D,$B161,'DRAFT 2'!$A:$A,"&gt;="&amp;DATE(2026,10,22),'DRAFT 2'!$A:$A,"&lt;"&amp;DATE(2026,IF(10=12,10+1,10+1),1))</f>
        <v/>
      </c>
      <c r="HS161">
        <f>SUM(HO161:HR161)</f>
        <v/>
      </c>
      <c r="IC161">
        <f>IFERROR(LOOKUP(2,1/('DRAFT 2'!$D:$D=$B161)*('DRAFT 2'!$A:$A&gt;=DATE(2026,11,1))*('DRAFT 2'!$A:$A&lt;DATE(2026,IF(11=12,11+1,11+1),1)),'DRAFT 2'!$A:$A),"")</f>
        <v/>
      </c>
      <c r="ID161">
        <f>COUNTIFS('DRAFT 2'!$D:$D,$B161,'DRAFT 2'!$A:$A,"&gt;="&amp;DATE(2026,11,1),'DRAFT 2'!$A:$A,"&lt;="&amp;DATE(2026,11,7))</f>
        <v/>
      </c>
      <c r="IE161">
        <f>COUNTIFS('DRAFT 2'!$D:$D,$B161,'DRAFT 2'!$A:$A,"&gt;="&amp;DATE(2026,11,8),'DRAFT 2'!$A:$A,"&lt;="&amp;DATE(2026,11,14))</f>
        <v/>
      </c>
      <c r="IF161">
        <f>COUNTIFS('DRAFT 2'!$D:$D,$B161,'DRAFT 2'!$A:$A,"&gt;="&amp;DATE(2026,11,15),'DRAFT 2'!$A:$A,"&lt;="&amp;DATE(2026,11,21))</f>
        <v/>
      </c>
      <c r="IG161">
        <f>COUNTIFS('DRAFT 2'!$D:$D,$B161,'DRAFT 2'!$A:$A,"&gt;="&amp;DATE(2026,11,22),'DRAFT 2'!$A:$A,"&lt;"&amp;DATE(2026,IF(11=12,11+1,11+1),1))</f>
        <v/>
      </c>
      <c r="IH161">
        <f>SUM(ID161:IG161)</f>
        <v/>
      </c>
      <c r="IR161">
        <f>IFERROR(LOOKUP(2,1/('DRAFT 2'!$D:$D=$B161)*('DRAFT 2'!$A:$A&gt;=DATE(2026,12,1))*('DRAFT 2'!$A:$A&lt;DATE(2026,IF(12=12,12+1,12+1),1)),'DRAFT 2'!$A:$A),"")</f>
        <v/>
      </c>
      <c r="IS161">
        <f>COUNTIFS('DRAFT 2'!$D:$D,$B161,'DRAFT 2'!$A:$A,"&gt;="&amp;DATE(2026,12,1),'DRAFT 2'!$A:$A,"&lt;="&amp;DATE(2026,12,7))</f>
        <v/>
      </c>
      <c r="IT161">
        <f>COUNTIFS('DRAFT 2'!$D:$D,$B161,'DRAFT 2'!$A:$A,"&gt;="&amp;DATE(2026,12,8),'DRAFT 2'!$A:$A,"&lt;="&amp;DATE(2026,12,14))</f>
        <v/>
      </c>
      <c r="IU161">
        <f>COUNTIFS('DRAFT 2'!$D:$D,$B161,'DRAFT 2'!$A:$A,"&gt;="&amp;DATE(2026,12,15),'DRAFT 2'!$A:$A,"&lt;="&amp;DATE(2026,12,21))</f>
        <v/>
      </c>
      <c r="IV161">
        <f>COUNTIFS('DRAFT 2'!$D:$D,$B161,'DRAFT 2'!$A:$A,"&gt;="&amp;DATE(2026,12,22),'DRAFT 2'!$A:$A,"&lt;"&amp;DATE(2026,IF(12=12,12+1,12+1),1))</f>
        <v/>
      </c>
      <c r="IW161">
        <f>SUM(IS161:IV161)</f>
        <v/>
      </c>
    </row>
    <row r="162">
      <c r="A162">
        <f>IFERROR(INDEX('DRAFT 1'!$A:$A,MATCH($B162,'DRAFT 1'!$B:$B,0)),"")</f>
        <v/>
      </c>
      <c r="C162">
        <f>IFERROR(INDEX('DRAFT 1'!$C:$C,MATCH($B162,'DRAFT 1'!$B:$B,0)),"")</f>
        <v/>
      </c>
      <c r="D162">
        <f>IFERROR(INDEX('DRAFT 1'!$D:$D,MATCH($B162,'DRAFT 1'!$B:$B,0)),"")</f>
        <v/>
      </c>
      <c r="E162">
        <f>IFERROR(INDEX('DRAFT 1'!$E:$E,MATCH($B162,'DRAFT 1'!$B:$B,0)),"")</f>
        <v/>
      </c>
      <c r="F162">
        <f>IFERROR(INDEX('DRAFT 1'!$F:$F,MATCH($B162,'DRAFT 1'!$B:$B,0)),"")</f>
        <v/>
      </c>
      <c r="G162">
        <f>IFERROR(INDEX('DRAFT 1'!$G:$G,MATCH($B162,'DRAFT 1'!$B:$B,0)),"")</f>
        <v/>
      </c>
      <c r="H162">
        <f>IFERROR(INDEX('DRAFT 1'!$H:$H,MATCH($B162,'DRAFT 1'!$B:$B,0)),"")</f>
        <v/>
      </c>
      <c r="I162">
        <f>IFERROR(INDEX('DRAFT 1'!$I:$I,MATCH($B162,'DRAFT 1'!$B:$B,0)),"")</f>
        <v/>
      </c>
      <c r="K162">
        <f>IFERROR(INDEX('DRAFT 1'!$AL:$AL,MATCH($B162,'DRAFT 1'!$B:$B,0)),"")</f>
        <v/>
      </c>
      <c r="L162">
        <f>IFERROR(INDEX('DRAFT 1'!$J:$J,MATCH($B162,'DRAFT 1'!$B:$B,0)),"")</f>
        <v/>
      </c>
      <c r="M162">
        <f>IFERROR(INDEX('DRAFT 1'!$K:$K,MATCH($B162,'DRAFT 1'!$B:$B,0)),"")</f>
        <v/>
      </c>
      <c r="P162">
        <f>IFERROR(INDEX('DRAFT 1'!$L:$L,MATCH($B162,'DRAFT 1'!$B:$B,0)),"")</f>
        <v/>
      </c>
      <c r="Q162">
        <f>IFERROR(INDEX('DRAFT 1'!$M:$M,MATCH($B162,'DRAFT 1'!$B:$B,0)),"")</f>
        <v/>
      </c>
      <c r="R162">
        <f>IFERROR(INDEX('DRAFT 1'!$N:$N,MATCH($B162,'DRAFT 1'!$B:$B,0)),"")</f>
        <v/>
      </c>
      <c r="S162">
        <f>IFERROR(INDEX('DRAFT 1'!$O:$O,MATCH($B162,'DRAFT 1'!$B:$B,0)),"")</f>
        <v/>
      </c>
      <c r="T162">
        <f>IFERROR(INDEX('DRAFT 1'!$P:$P,MATCH($B162,'DRAFT 1'!$B:$B,0)),"")</f>
        <v/>
      </c>
      <c r="U162">
        <f>IFERROR(INDEX('DRAFT 1'!$Q:$Q,MATCH($B162,'DRAFT 1'!$B:$B,0)),"")</f>
        <v/>
      </c>
      <c r="V162">
        <f>IFERROR(INDEX('DRAFT 1'!$R:$R,MATCH($B162,'DRAFT 1'!$B:$B,0)),"")</f>
        <v/>
      </c>
      <c r="W162">
        <f>IFERROR(INDEX('DRAFT 1'!$S:$S,MATCH($B162,'DRAFT 1'!$B:$B,0)),"")</f>
        <v/>
      </c>
      <c r="X162">
        <f>IFERROR(INDEX('DRAFT 1'!$T:$T,MATCH($B162,'DRAFT 1'!$B:$B,0)),"")</f>
        <v/>
      </c>
      <c r="Z162">
        <f>IFERROR(INDEX('DRAFT 1'!$U:$U,MATCH($B162,'DRAFT 1'!$B:$B,0)),"")</f>
        <v/>
      </c>
      <c r="AA162">
        <f>IFERROR(INDEX('DRAFT 1'!$V:$V,MATCH($B162,'DRAFT 1'!$B:$B,0)),"")</f>
        <v/>
      </c>
      <c r="AB162">
        <f>IFERROR(INDEX('DRAFT 1'!$W:$W,MATCH($B162,'DRAFT 1'!$B:$B,0)),"")</f>
        <v/>
      </c>
      <c r="AC162">
        <f>IFERROR(INDEX('DRAFT 1'!$X:$X,MATCH($B162,'DRAFT 1'!$B:$B,0)),"")</f>
        <v/>
      </c>
      <c r="AD162">
        <f>IFERROR(INDEX('DRAFT 1'!$Y:$Y,MATCH($B162,'DRAFT 1'!$B:$B,0)),"")</f>
        <v/>
      </c>
      <c r="AE162">
        <f>IFERROR(INDEX('DRAFT 1'!$Z:$Z,MATCH($B162,'DRAFT 1'!$B:$B,0)),"")</f>
        <v/>
      </c>
      <c r="AF162">
        <f>IFERROR(INDEX('DRAFT 1'!$AA:$AA,MATCH($B162,'DRAFT 1'!$B:$B,0)),"")</f>
        <v/>
      </c>
      <c r="AG162">
        <f>IFERROR(INDEX('DRAFT 1'!$AB:$AB,MATCH($B162,'DRAFT 1'!$B:$B,0)),"")</f>
        <v/>
      </c>
      <c r="AH162">
        <f>IFERROR(INDEX('DRAFT 1'!$AC:$AC,MATCH($B162,'DRAFT 1'!$B:$B,0)),"")</f>
        <v/>
      </c>
      <c r="AI162">
        <f>IFERROR(INDEX('DRAFT 1'!$AD:$AD,MATCH($B162,'DRAFT 1'!$B:$B,0)),"")</f>
        <v/>
      </c>
      <c r="AJ162">
        <f>IFERROR(INDEX('DRAFT 1'!$AE:$AE,MATCH($B162,'DRAFT 1'!$B:$B,0)),"")</f>
        <v/>
      </c>
      <c r="AK162">
        <f>IFERROR(INDEX('DRAFT 1'!$AG:$AG,MATCH($B162,'DRAFT 1'!$B:$B,0)),"")</f>
        <v/>
      </c>
      <c r="AL162">
        <f>IFERROR(INDEX('DRAFT 1'!$AH:$AH,MATCH($B162,'DRAFT 1'!$B:$B,0)),"")</f>
        <v/>
      </c>
      <c r="AM162">
        <f>IFERROR(INDEX('DRAFT 1'!$AI:$AI,MATCH($B162,'DRAFT 1'!$B:$B,0)),"")</f>
        <v/>
      </c>
      <c r="AN162">
        <f>IFERROR(INDEX('DRAFT 1'!$AJ:$AJ,MATCH($B162,'DRAFT 1'!$B:$B,0)),"")</f>
        <v/>
      </c>
      <c r="AO162">
        <f>IFERROR(Y162/AN162,0)</f>
        <v/>
      </c>
      <c r="AP162">
        <f>IFERROR(INDEX('DRAFT 1'!$AK:$AK,MATCH($B162,'DRAFT 1'!$B:$B,0)),"")</f>
        <v/>
      </c>
      <c r="AR162">
        <f>IFERROR(LOOKUP(2,1/('DRAFT 2'!$D:$D=$B162),'DRAFT 2'!$I:$I),"")</f>
        <v/>
      </c>
      <c r="AS162">
        <f>IFERROR(LOOKUP(2,1/('DRAFT 2'!$D:$D=$B162),'DRAFT 2'!$T:$T),"")</f>
        <v/>
      </c>
      <c r="AT162">
        <f>IFERROR(LOOKUP(2,1/('DRAFT 2'!$D:$D=$B162),'DRAFT 2'!$A:$A),"")</f>
        <v/>
      </c>
      <c r="AU162">
        <f>IFERROR(LOOKUP(2,1/('DRAFT 2'!$D:$D=$B162),'DRAFT 2'!$R:$R),"")</f>
        <v/>
      </c>
      <c r="AV162">
        <f>IFERROR(LOOKUP(2,1/('DRAFT 2'!$D:$D=$B162),'DRAFT 2'!$S:$S),"")</f>
        <v/>
      </c>
      <c r="AX162">
        <f>IFERROR(LOOKUP(2,1/('DRAFT 2'!$D:$D=$B162),'DRAFT 2'!$M:$M),"")</f>
        <v/>
      </c>
      <c r="AY162">
        <f>IFERROR(LOOKUP(2,1/('DRAFT 2'!$D:$D=$B162),'DRAFT 2'!$K:$K),"")</f>
        <v/>
      </c>
      <c r="BG162">
        <f>IFERROR(LOOKUP(2,1/('DRAFT 2'!$D:$D=$B162),'DRAFT 2'!$U:$U),"")</f>
        <v/>
      </c>
      <c r="BH162">
        <f>IFERROR(LOOKUP(2,1/('DRAFT 2'!$D:$D=$B162),'DRAFT 2'!$V:$V),"")</f>
        <v/>
      </c>
      <c r="CE162">
        <f>IFERROR(AJ162,0)</f>
        <v/>
      </c>
      <c r="CF162">
        <f>IFERROR(LOOKUP(2,1/('DRAFT 2'!$D:$D=$B162)*('DRAFT 2'!$A:$A&gt;=DATE(2026,1,1))*('DRAFT 2'!$A:$A&lt;DATE(2026,IF(1=12,1+1,1+1),1)),'DRAFT 2'!$A:$A),"")</f>
        <v/>
      </c>
      <c r="CG162">
        <f>COUNTIFS('DRAFT 2'!$D:$D,$B162,'DRAFT 2'!$A:$A,"&gt;="&amp;DATE(2026,1,1),'DRAFT 2'!$A:$A,"&lt;="&amp;DATE(2026,1,7))</f>
        <v/>
      </c>
      <c r="CH162">
        <f>COUNTIFS('DRAFT 2'!$D:$D,$B162,'DRAFT 2'!$A:$A,"&gt;="&amp;DATE(2026,1,8),'DRAFT 2'!$A:$A,"&lt;="&amp;DATE(2026,1,14))</f>
        <v/>
      </c>
      <c r="CI162">
        <f>COUNTIFS('DRAFT 2'!$D:$D,$B162,'DRAFT 2'!$A:$A,"&gt;="&amp;DATE(2026,1,15),'DRAFT 2'!$A:$A,"&lt;="&amp;DATE(2026,1,21))</f>
        <v/>
      </c>
      <c r="CJ162">
        <f>COUNTIFS('DRAFT 2'!$D:$D,$B162,'DRAFT 2'!$A:$A,"&gt;="&amp;DATE(2026,1,22),'DRAFT 2'!$A:$A,"&lt;"&amp;DATE(2026,IF(1=12,1+1,1+1),1))</f>
        <v/>
      </c>
      <c r="CK162">
        <f>SUM(CG162:CJ162)</f>
        <v/>
      </c>
      <c r="CT162" t="n">
        <v>0</v>
      </c>
      <c r="CU162">
        <f>IFERROR(LOOKUP(2,1/('DRAFT 2'!$D:$D=$B162)*('DRAFT 2'!$A:$A&gt;=DATE(2026,2,1))*('DRAFT 2'!$A:$A&lt;DATE(2026,IF(2=12,2+1,2+1),1)),'DRAFT 2'!$A:$A),"")</f>
        <v/>
      </c>
      <c r="CV162">
        <f>COUNTIFS('DRAFT 2'!$D:$D,$B162,'DRAFT 2'!$A:$A,"&gt;="&amp;DATE(2026,2,1),'DRAFT 2'!$A:$A,"&lt;="&amp;DATE(2026,2,7))</f>
        <v/>
      </c>
      <c r="CW162">
        <f>COUNTIFS('DRAFT 2'!$D:$D,$B162,'DRAFT 2'!$A:$A,"&gt;="&amp;DATE(2026,2,8),'DRAFT 2'!$A:$A,"&lt;="&amp;DATE(2026,2,14))</f>
        <v/>
      </c>
      <c r="CX162">
        <f>COUNTIFS('DRAFT 2'!$D:$D,$B162,'DRAFT 2'!$A:$A,"&gt;="&amp;DATE(2026,2,15),'DRAFT 2'!$A:$A,"&lt;="&amp;DATE(2026,2,21))</f>
        <v/>
      </c>
      <c r="CY162">
        <f>COUNTIFS('DRAFT 2'!$D:$D,$B162,'DRAFT 2'!$A:$A,"&gt;="&amp;DATE(2026,2,22),'DRAFT 2'!$A:$A,"&lt;"&amp;DATE(2026,IF(2=12,2+1,2+1),1))</f>
        <v/>
      </c>
      <c r="CZ162">
        <f>SUM(CV162:CY162)</f>
        <v/>
      </c>
      <c r="DJ162">
        <f>IFERROR(LOOKUP(2,1/('DRAFT 2'!$D:$D=$B162)*('DRAFT 2'!$A:$A&gt;=DATE(2026,3,1))*('DRAFT 2'!$A:$A&lt;DATE(2026,IF(3=12,3+1,3+1),1)),'DRAFT 2'!$A:$A),"")</f>
        <v/>
      </c>
      <c r="DK162">
        <f>COUNTIFS('DRAFT 2'!$D:$D,$B162,'DRAFT 2'!$A:$A,"&gt;="&amp;DATE(2026,3,1),'DRAFT 2'!$A:$A,"&lt;="&amp;DATE(2026,3,7))</f>
        <v/>
      </c>
      <c r="DL162">
        <f>COUNTIFS('DRAFT 2'!$D:$D,$B162,'DRAFT 2'!$A:$A,"&gt;="&amp;DATE(2026,3,8),'DRAFT 2'!$A:$A,"&lt;="&amp;DATE(2026,3,14))</f>
        <v/>
      </c>
      <c r="DM162">
        <f>COUNTIFS('DRAFT 2'!$D:$D,$B162,'DRAFT 2'!$A:$A,"&gt;="&amp;DATE(2026,3,15),'DRAFT 2'!$A:$A,"&lt;="&amp;DATE(2026,3,21))</f>
        <v/>
      </c>
      <c r="DN162">
        <f>COUNTIFS('DRAFT 2'!$D:$D,$B162,'DRAFT 2'!$A:$A,"&gt;="&amp;DATE(2026,3,22),'DRAFT 2'!$A:$A,"&lt;"&amp;DATE(2026,IF(3=12,3+1,3+1),1))</f>
        <v/>
      </c>
      <c r="DO162">
        <f>SUM(DK162:DN162)</f>
        <v/>
      </c>
      <c r="DZ162">
        <f>IFERROR(LOOKUP(2,1/('DRAFT 2'!$D:$D=$B162)*('DRAFT 2'!$A:$A&gt;=DATE(2026,4,1))*('DRAFT 2'!$A:$A&lt;DATE(2026,IF(4=12,4+1,4+1),1)),'DRAFT 2'!$A:$A),"")</f>
        <v/>
      </c>
      <c r="EA162">
        <f>COUNTIFS('DRAFT 2'!$D:$D,$B162,'DRAFT 2'!$A:$A,"&gt;="&amp;DATE(2026,4,1),'DRAFT 2'!$A:$A,"&lt;="&amp;DATE(2026,4,7))</f>
        <v/>
      </c>
      <c r="EB162">
        <f>COUNTIFS('DRAFT 2'!$D:$D,$B162,'DRAFT 2'!$A:$A,"&gt;="&amp;DATE(2026,4,8),'DRAFT 2'!$A:$A,"&lt;="&amp;DATE(2026,4,14))</f>
        <v/>
      </c>
      <c r="EC162">
        <f>COUNTIFS('DRAFT 2'!$D:$D,$B162,'DRAFT 2'!$A:$A,"&gt;="&amp;DATE(2026,4,15),'DRAFT 2'!$A:$A,"&lt;="&amp;DATE(2026,4,21))</f>
        <v/>
      </c>
      <c r="ED162">
        <f>COUNTIFS('DRAFT 2'!$D:$D,$B162,'DRAFT 2'!$A:$A,"&gt;="&amp;DATE(2026,4,22),'DRAFT 2'!$A:$A,"&lt;"&amp;DATE(2026,IF(4=12,4+1,4+1),1))</f>
        <v/>
      </c>
      <c r="EE162">
        <f>SUM(EA162:ED162)</f>
        <v/>
      </c>
      <c r="EO162">
        <f>IFERROR(LOOKUP(2,1/('DRAFT 2'!$D:$D=$B162)*('DRAFT 2'!$A:$A&gt;=DATE(2026,5,1))*('DRAFT 2'!$A:$A&lt;DATE(2026,IF(5=12,5+1,5+1),1)),'DRAFT 2'!$A:$A),"")</f>
        <v/>
      </c>
      <c r="EP162">
        <f>COUNTIFS('DRAFT 2'!$D:$D,$B162,'DRAFT 2'!$A:$A,"&gt;="&amp;DATE(2026,5,1),'DRAFT 2'!$A:$A,"&lt;="&amp;DATE(2026,5,7))</f>
        <v/>
      </c>
      <c r="EQ162">
        <f>COUNTIFS('DRAFT 2'!$D:$D,$B162,'DRAFT 2'!$A:$A,"&gt;="&amp;DATE(2026,5,8),'DRAFT 2'!$A:$A,"&lt;="&amp;DATE(2026,5,14))</f>
        <v/>
      </c>
      <c r="ER162">
        <f>COUNTIFS('DRAFT 2'!$D:$D,$B162,'DRAFT 2'!$A:$A,"&gt;="&amp;DATE(2026,5,15),'DRAFT 2'!$A:$A,"&lt;="&amp;DATE(2026,5,21))</f>
        <v/>
      </c>
      <c r="ES162">
        <f>COUNTIFS('DRAFT 2'!$D:$D,$B162,'DRAFT 2'!$A:$A,"&gt;="&amp;DATE(2026,5,22),'DRAFT 2'!$A:$A,"&lt;"&amp;DATE(2026,IF(5=12,5+1,5+1),1))</f>
        <v/>
      </c>
      <c r="ET162">
        <f>SUM(EP162:ES162)</f>
        <v/>
      </c>
      <c r="FD162">
        <f>IFERROR(LOOKUP(2,1/('DRAFT 2'!$D:$D=$B162)*('DRAFT 2'!$A:$A&gt;=DATE(2026,6,1))*('DRAFT 2'!$A:$A&lt;DATE(2026,IF(6=12,6+1,6+1),1)),'DRAFT 2'!$A:$A),"")</f>
        <v/>
      </c>
      <c r="FE162">
        <f>COUNTIFS('DRAFT 2'!$D:$D,$B162,'DRAFT 2'!$A:$A,"&gt;="&amp;DATE(2026,6,1),'DRAFT 2'!$A:$A,"&lt;="&amp;DATE(2026,6,7))</f>
        <v/>
      </c>
      <c r="FF162">
        <f>COUNTIFS('DRAFT 2'!$D:$D,$B162,'DRAFT 2'!$A:$A,"&gt;="&amp;DATE(2026,6,8),'DRAFT 2'!$A:$A,"&lt;="&amp;DATE(2026,6,14))</f>
        <v/>
      </c>
      <c r="FG162">
        <f>COUNTIFS('DRAFT 2'!$D:$D,$B162,'DRAFT 2'!$A:$A,"&gt;="&amp;DATE(2026,6,15),'DRAFT 2'!$A:$A,"&lt;="&amp;DATE(2026,6,21))</f>
        <v/>
      </c>
      <c r="FH162">
        <f>COUNTIFS('DRAFT 2'!$D:$D,$B162,'DRAFT 2'!$A:$A,"&gt;="&amp;DATE(2026,6,22),'DRAFT 2'!$A:$A,"&lt;"&amp;DATE(2026,IF(6=12,6+1,6+1),1))</f>
        <v/>
      </c>
      <c r="FI162">
        <f>SUM(FE162:FH162)</f>
        <v/>
      </c>
      <c r="FT162">
        <f>IFERROR(LOOKUP(2,1/('DRAFT 2'!$D:$D=$B162)*('DRAFT 2'!$A:$A&gt;=DATE(2026,7,1))*('DRAFT 2'!$A:$A&lt;DATE(2026,IF(7=12,7+1,7+1),1)),'DRAFT 2'!$A:$A),"")</f>
        <v/>
      </c>
      <c r="FU162">
        <f>COUNTIFS('DRAFT 2'!$D:$D,$B162,'DRAFT 2'!$A:$A,"&gt;="&amp;DATE(2026,7,1),'DRAFT 2'!$A:$A,"&lt;="&amp;DATE(2026,7,7))</f>
        <v/>
      </c>
      <c r="FV162">
        <f>COUNTIFS('DRAFT 2'!$D:$D,$B162,'DRAFT 2'!$A:$A,"&gt;="&amp;DATE(2026,7,8),'DRAFT 2'!$A:$A,"&lt;="&amp;DATE(2026,7,14))</f>
        <v/>
      </c>
      <c r="FW162">
        <f>COUNTIFS('DRAFT 2'!$D:$D,$B162,'DRAFT 2'!$A:$A,"&gt;="&amp;DATE(2026,7,15),'DRAFT 2'!$A:$A,"&lt;="&amp;DATE(2026,7,21))</f>
        <v/>
      </c>
      <c r="FX162">
        <f>COUNTIFS('DRAFT 2'!$D:$D,$B162,'DRAFT 2'!$A:$A,"&gt;="&amp;DATE(2026,7,22),'DRAFT 2'!$A:$A,"&lt;"&amp;DATE(2026,IF(7=12,7+1,7+1),1))</f>
        <v/>
      </c>
      <c r="FY162">
        <f>SUM(FU162:FX162)</f>
        <v/>
      </c>
      <c r="GI162">
        <f>IFERROR(LOOKUP(2,1/('DRAFT 2'!$D:$D=$B162)*('DRAFT 2'!$A:$A&gt;=DATE(2026,8,1))*('DRAFT 2'!$A:$A&lt;DATE(2026,IF(8=12,8+1,8+1),1)),'DRAFT 2'!$A:$A),"")</f>
        <v/>
      </c>
      <c r="GJ162">
        <f>COUNTIFS('DRAFT 2'!$D:$D,$B162,'DRAFT 2'!$A:$A,"&gt;="&amp;DATE(2026,8,1),'DRAFT 2'!$A:$A,"&lt;="&amp;DATE(2026,8,7))</f>
        <v/>
      </c>
      <c r="GK162">
        <f>COUNTIFS('DRAFT 2'!$D:$D,$B162,'DRAFT 2'!$A:$A,"&gt;="&amp;DATE(2026,8,8),'DRAFT 2'!$A:$A,"&lt;="&amp;DATE(2026,8,14))</f>
        <v/>
      </c>
      <c r="GL162">
        <f>COUNTIFS('DRAFT 2'!$D:$D,$B162,'DRAFT 2'!$A:$A,"&gt;="&amp;DATE(2026,8,15),'DRAFT 2'!$A:$A,"&lt;="&amp;DATE(2026,8,21))</f>
        <v/>
      </c>
      <c r="GM162">
        <f>COUNTIFS('DRAFT 2'!$D:$D,$B162,'DRAFT 2'!$A:$A,"&gt;="&amp;DATE(2026,8,22),'DRAFT 2'!$A:$A,"&lt;"&amp;DATE(2026,IF(8=12,8+1,8+1),1))</f>
        <v/>
      </c>
      <c r="GN162">
        <f>SUM(GJ162:GM162)</f>
        <v/>
      </c>
      <c r="GX162">
        <f>IFERROR(LOOKUP(2,1/('DRAFT 2'!$D:$D=$B162)*('DRAFT 2'!$A:$A&gt;=DATE(2026,9,1))*('DRAFT 2'!$A:$A&lt;DATE(2026,IF(9=12,9+1,9+1),1)),'DRAFT 2'!$A:$A),"")</f>
        <v/>
      </c>
      <c r="GY162">
        <f>COUNTIFS('DRAFT 2'!$D:$D,$B162,'DRAFT 2'!$A:$A,"&gt;="&amp;DATE(2026,9,1),'DRAFT 2'!$A:$A,"&lt;="&amp;DATE(2026,9,7))</f>
        <v/>
      </c>
      <c r="GZ162">
        <f>COUNTIFS('DRAFT 2'!$D:$D,$B162,'DRAFT 2'!$A:$A,"&gt;="&amp;DATE(2026,9,8),'DRAFT 2'!$A:$A,"&lt;="&amp;DATE(2026,9,14))</f>
        <v/>
      </c>
      <c r="HA162">
        <f>COUNTIFS('DRAFT 2'!$D:$D,$B162,'DRAFT 2'!$A:$A,"&gt;="&amp;DATE(2026,9,15),'DRAFT 2'!$A:$A,"&lt;="&amp;DATE(2026,9,21))</f>
        <v/>
      </c>
      <c r="HB162">
        <f>COUNTIFS('DRAFT 2'!$D:$D,$B162,'DRAFT 2'!$A:$A,"&gt;="&amp;DATE(2026,9,22),'DRAFT 2'!$A:$A,"&lt;"&amp;DATE(2026,IF(9=12,9+1,9+1),1))</f>
        <v/>
      </c>
      <c r="HC162">
        <f>SUM(GY162:HB162)</f>
        <v/>
      </c>
      <c r="HN162">
        <f>IFERROR(LOOKUP(2,1/('DRAFT 2'!$D:$D=$B162)*('DRAFT 2'!$A:$A&gt;=DATE(2026,10,1))*('DRAFT 2'!$A:$A&lt;DATE(2026,IF(10=12,10+1,10+1),1)),'DRAFT 2'!$A:$A),"")</f>
        <v/>
      </c>
      <c r="HO162">
        <f>COUNTIFS('DRAFT 2'!$D:$D,$B162,'DRAFT 2'!$A:$A,"&gt;="&amp;DATE(2026,10,1),'DRAFT 2'!$A:$A,"&lt;="&amp;DATE(2026,10,7))</f>
        <v/>
      </c>
      <c r="HP162">
        <f>COUNTIFS('DRAFT 2'!$D:$D,$B162,'DRAFT 2'!$A:$A,"&gt;="&amp;DATE(2026,10,8),'DRAFT 2'!$A:$A,"&lt;="&amp;DATE(2026,10,14))</f>
        <v/>
      </c>
      <c r="HQ162">
        <f>COUNTIFS('DRAFT 2'!$D:$D,$B162,'DRAFT 2'!$A:$A,"&gt;="&amp;DATE(2026,10,15),'DRAFT 2'!$A:$A,"&lt;="&amp;DATE(2026,10,21))</f>
        <v/>
      </c>
      <c r="HR162">
        <f>COUNTIFS('DRAFT 2'!$D:$D,$B162,'DRAFT 2'!$A:$A,"&gt;="&amp;DATE(2026,10,22),'DRAFT 2'!$A:$A,"&lt;"&amp;DATE(2026,IF(10=12,10+1,10+1),1))</f>
        <v/>
      </c>
      <c r="HS162">
        <f>SUM(HO162:HR162)</f>
        <v/>
      </c>
      <c r="IC162">
        <f>IFERROR(LOOKUP(2,1/('DRAFT 2'!$D:$D=$B162)*('DRAFT 2'!$A:$A&gt;=DATE(2026,11,1))*('DRAFT 2'!$A:$A&lt;DATE(2026,IF(11=12,11+1,11+1),1)),'DRAFT 2'!$A:$A),"")</f>
        <v/>
      </c>
      <c r="ID162">
        <f>COUNTIFS('DRAFT 2'!$D:$D,$B162,'DRAFT 2'!$A:$A,"&gt;="&amp;DATE(2026,11,1),'DRAFT 2'!$A:$A,"&lt;="&amp;DATE(2026,11,7))</f>
        <v/>
      </c>
      <c r="IE162">
        <f>COUNTIFS('DRAFT 2'!$D:$D,$B162,'DRAFT 2'!$A:$A,"&gt;="&amp;DATE(2026,11,8),'DRAFT 2'!$A:$A,"&lt;="&amp;DATE(2026,11,14))</f>
        <v/>
      </c>
      <c r="IF162">
        <f>COUNTIFS('DRAFT 2'!$D:$D,$B162,'DRAFT 2'!$A:$A,"&gt;="&amp;DATE(2026,11,15),'DRAFT 2'!$A:$A,"&lt;="&amp;DATE(2026,11,21))</f>
        <v/>
      </c>
      <c r="IG162">
        <f>COUNTIFS('DRAFT 2'!$D:$D,$B162,'DRAFT 2'!$A:$A,"&gt;="&amp;DATE(2026,11,22),'DRAFT 2'!$A:$A,"&lt;"&amp;DATE(2026,IF(11=12,11+1,11+1),1))</f>
        <v/>
      </c>
      <c r="IH162">
        <f>SUM(ID162:IG162)</f>
        <v/>
      </c>
      <c r="IR162">
        <f>IFERROR(LOOKUP(2,1/('DRAFT 2'!$D:$D=$B162)*('DRAFT 2'!$A:$A&gt;=DATE(2026,12,1))*('DRAFT 2'!$A:$A&lt;DATE(2026,IF(12=12,12+1,12+1),1)),'DRAFT 2'!$A:$A),"")</f>
        <v/>
      </c>
      <c r="IS162">
        <f>COUNTIFS('DRAFT 2'!$D:$D,$B162,'DRAFT 2'!$A:$A,"&gt;="&amp;DATE(2026,12,1),'DRAFT 2'!$A:$A,"&lt;="&amp;DATE(2026,12,7))</f>
        <v/>
      </c>
      <c r="IT162">
        <f>COUNTIFS('DRAFT 2'!$D:$D,$B162,'DRAFT 2'!$A:$A,"&gt;="&amp;DATE(2026,12,8),'DRAFT 2'!$A:$A,"&lt;="&amp;DATE(2026,12,14))</f>
        <v/>
      </c>
      <c r="IU162">
        <f>COUNTIFS('DRAFT 2'!$D:$D,$B162,'DRAFT 2'!$A:$A,"&gt;="&amp;DATE(2026,12,15),'DRAFT 2'!$A:$A,"&lt;="&amp;DATE(2026,12,21))</f>
        <v/>
      </c>
      <c r="IV162">
        <f>COUNTIFS('DRAFT 2'!$D:$D,$B162,'DRAFT 2'!$A:$A,"&gt;="&amp;DATE(2026,12,22),'DRAFT 2'!$A:$A,"&lt;"&amp;DATE(2026,IF(12=12,12+1,12+1),1))</f>
        <v/>
      </c>
      <c r="IW162">
        <f>SUM(IS162:IV162)</f>
        <v/>
      </c>
    </row>
    <row r="163">
      <c r="A163">
        <f>IFERROR(INDEX('DRAFT 1'!$A:$A,MATCH($B163,'DRAFT 1'!$B:$B,0)),"")</f>
        <v/>
      </c>
      <c r="C163">
        <f>IFERROR(INDEX('DRAFT 1'!$C:$C,MATCH($B163,'DRAFT 1'!$B:$B,0)),"")</f>
        <v/>
      </c>
      <c r="D163">
        <f>IFERROR(INDEX('DRAFT 1'!$D:$D,MATCH($B163,'DRAFT 1'!$B:$B,0)),"")</f>
        <v/>
      </c>
      <c r="E163">
        <f>IFERROR(INDEX('DRAFT 1'!$E:$E,MATCH($B163,'DRAFT 1'!$B:$B,0)),"")</f>
        <v/>
      </c>
      <c r="F163">
        <f>IFERROR(INDEX('DRAFT 1'!$F:$F,MATCH($B163,'DRAFT 1'!$B:$B,0)),"")</f>
        <v/>
      </c>
      <c r="G163">
        <f>IFERROR(INDEX('DRAFT 1'!$G:$G,MATCH($B163,'DRAFT 1'!$B:$B,0)),"")</f>
        <v/>
      </c>
      <c r="H163">
        <f>IFERROR(INDEX('DRAFT 1'!$H:$H,MATCH($B163,'DRAFT 1'!$B:$B,0)),"")</f>
        <v/>
      </c>
      <c r="I163">
        <f>IFERROR(INDEX('DRAFT 1'!$I:$I,MATCH($B163,'DRAFT 1'!$B:$B,0)),"")</f>
        <v/>
      </c>
      <c r="K163">
        <f>IFERROR(INDEX('DRAFT 1'!$AL:$AL,MATCH($B163,'DRAFT 1'!$B:$B,0)),"")</f>
        <v/>
      </c>
      <c r="L163">
        <f>IFERROR(INDEX('DRAFT 1'!$J:$J,MATCH($B163,'DRAFT 1'!$B:$B,0)),"")</f>
        <v/>
      </c>
      <c r="M163">
        <f>IFERROR(INDEX('DRAFT 1'!$K:$K,MATCH($B163,'DRAFT 1'!$B:$B,0)),"")</f>
        <v/>
      </c>
      <c r="P163">
        <f>IFERROR(INDEX('DRAFT 1'!$L:$L,MATCH($B163,'DRAFT 1'!$B:$B,0)),"")</f>
        <v/>
      </c>
      <c r="Q163">
        <f>IFERROR(INDEX('DRAFT 1'!$M:$M,MATCH($B163,'DRAFT 1'!$B:$B,0)),"")</f>
        <v/>
      </c>
      <c r="R163">
        <f>IFERROR(INDEX('DRAFT 1'!$N:$N,MATCH($B163,'DRAFT 1'!$B:$B,0)),"")</f>
        <v/>
      </c>
      <c r="S163">
        <f>IFERROR(INDEX('DRAFT 1'!$O:$O,MATCH($B163,'DRAFT 1'!$B:$B,0)),"")</f>
        <v/>
      </c>
      <c r="T163">
        <f>IFERROR(INDEX('DRAFT 1'!$P:$P,MATCH($B163,'DRAFT 1'!$B:$B,0)),"")</f>
        <v/>
      </c>
      <c r="U163">
        <f>IFERROR(INDEX('DRAFT 1'!$Q:$Q,MATCH($B163,'DRAFT 1'!$B:$B,0)),"")</f>
        <v/>
      </c>
      <c r="V163">
        <f>IFERROR(INDEX('DRAFT 1'!$R:$R,MATCH($B163,'DRAFT 1'!$B:$B,0)),"")</f>
        <v/>
      </c>
      <c r="W163">
        <f>IFERROR(INDEX('DRAFT 1'!$S:$S,MATCH($B163,'DRAFT 1'!$B:$B,0)),"")</f>
        <v/>
      </c>
      <c r="X163">
        <f>IFERROR(INDEX('DRAFT 1'!$T:$T,MATCH($B163,'DRAFT 1'!$B:$B,0)),"")</f>
        <v/>
      </c>
      <c r="Z163">
        <f>IFERROR(INDEX('DRAFT 1'!$U:$U,MATCH($B163,'DRAFT 1'!$B:$B,0)),"")</f>
        <v/>
      </c>
      <c r="AA163">
        <f>IFERROR(INDEX('DRAFT 1'!$V:$V,MATCH($B163,'DRAFT 1'!$B:$B,0)),"")</f>
        <v/>
      </c>
      <c r="AB163">
        <f>IFERROR(INDEX('DRAFT 1'!$W:$W,MATCH($B163,'DRAFT 1'!$B:$B,0)),"")</f>
        <v/>
      </c>
      <c r="AC163">
        <f>IFERROR(INDEX('DRAFT 1'!$X:$X,MATCH($B163,'DRAFT 1'!$B:$B,0)),"")</f>
        <v/>
      </c>
      <c r="AD163">
        <f>IFERROR(INDEX('DRAFT 1'!$Y:$Y,MATCH($B163,'DRAFT 1'!$B:$B,0)),"")</f>
        <v/>
      </c>
      <c r="AE163">
        <f>IFERROR(INDEX('DRAFT 1'!$Z:$Z,MATCH($B163,'DRAFT 1'!$B:$B,0)),"")</f>
        <v/>
      </c>
      <c r="AF163">
        <f>IFERROR(INDEX('DRAFT 1'!$AA:$AA,MATCH($B163,'DRAFT 1'!$B:$B,0)),"")</f>
        <v/>
      </c>
      <c r="AG163">
        <f>IFERROR(INDEX('DRAFT 1'!$AB:$AB,MATCH($B163,'DRAFT 1'!$B:$B,0)),"")</f>
        <v/>
      </c>
      <c r="AH163">
        <f>IFERROR(INDEX('DRAFT 1'!$AC:$AC,MATCH($B163,'DRAFT 1'!$B:$B,0)),"")</f>
        <v/>
      </c>
      <c r="AI163">
        <f>IFERROR(INDEX('DRAFT 1'!$AD:$AD,MATCH($B163,'DRAFT 1'!$B:$B,0)),"")</f>
        <v/>
      </c>
      <c r="AJ163">
        <f>IFERROR(INDEX('DRAFT 1'!$AE:$AE,MATCH($B163,'DRAFT 1'!$B:$B,0)),"")</f>
        <v/>
      </c>
      <c r="AK163">
        <f>IFERROR(INDEX('DRAFT 1'!$AG:$AG,MATCH($B163,'DRAFT 1'!$B:$B,0)),"")</f>
        <v/>
      </c>
      <c r="AL163">
        <f>IFERROR(INDEX('DRAFT 1'!$AH:$AH,MATCH($B163,'DRAFT 1'!$B:$B,0)),"")</f>
        <v/>
      </c>
      <c r="AM163">
        <f>IFERROR(INDEX('DRAFT 1'!$AI:$AI,MATCH($B163,'DRAFT 1'!$B:$B,0)),"")</f>
        <v/>
      </c>
      <c r="AN163">
        <f>IFERROR(INDEX('DRAFT 1'!$AJ:$AJ,MATCH($B163,'DRAFT 1'!$B:$B,0)),"")</f>
        <v/>
      </c>
      <c r="AO163">
        <f>IFERROR(Y163/AN163,0)</f>
        <v/>
      </c>
      <c r="AP163">
        <f>IFERROR(INDEX('DRAFT 1'!$AK:$AK,MATCH($B163,'DRAFT 1'!$B:$B,0)),"")</f>
        <v/>
      </c>
      <c r="AR163">
        <f>IFERROR(LOOKUP(2,1/('DRAFT 2'!$D:$D=$B163),'DRAFT 2'!$I:$I),"")</f>
        <v/>
      </c>
      <c r="AS163">
        <f>IFERROR(LOOKUP(2,1/('DRAFT 2'!$D:$D=$B163),'DRAFT 2'!$T:$T),"")</f>
        <v/>
      </c>
      <c r="AT163">
        <f>IFERROR(LOOKUP(2,1/('DRAFT 2'!$D:$D=$B163),'DRAFT 2'!$A:$A),"")</f>
        <v/>
      </c>
      <c r="AU163">
        <f>IFERROR(LOOKUP(2,1/('DRAFT 2'!$D:$D=$B163),'DRAFT 2'!$R:$R),"")</f>
        <v/>
      </c>
      <c r="AV163">
        <f>IFERROR(LOOKUP(2,1/('DRAFT 2'!$D:$D=$B163),'DRAFT 2'!$S:$S),"")</f>
        <v/>
      </c>
      <c r="AX163">
        <f>IFERROR(LOOKUP(2,1/('DRAFT 2'!$D:$D=$B163),'DRAFT 2'!$M:$M),"")</f>
        <v/>
      </c>
      <c r="AY163">
        <f>IFERROR(LOOKUP(2,1/('DRAFT 2'!$D:$D=$B163),'DRAFT 2'!$K:$K),"")</f>
        <v/>
      </c>
      <c r="BG163">
        <f>IFERROR(LOOKUP(2,1/('DRAFT 2'!$D:$D=$B163),'DRAFT 2'!$U:$U),"")</f>
        <v/>
      </c>
      <c r="BH163">
        <f>IFERROR(LOOKUP(2,1/('DRAFT 2'!$D:$D=$B163),'DRAFT 2'!$V:$V),"")</f>
        <v/>
      </c>
      <c r="CE163">
        <f>IFERROR(AJ163,0)</f>
        <v/>
      </c>
      <c r="CF163">
        <f>IFERROR(LOOKUP(2,1/('DRAFT 2'!$D:$D=$B163)*('DRAFT 2'!$A:$A&gt;=DATE(2026,1,1))*('DRAFT 2'!$A:$A&lt;DATE(2026,IF(1=12,1+1,1+1),1)),'DRAFT 2'!$A:$A),"")</f>
        <v/>
      </c>
      <c r="CG163">
        <f>COUNTIFS('DRAFT 2'!$D:$D,$B163,'DRAFT 2'!$A:$A,"&gt;="&amp;DATE(2026,1,1),'DRAFT 2'!$A:$A,"&lt;="&amp;DATE(2026,1,7))</f>
        <v/>
      </c>
      <c r="CH163">
        <f>COUNTIFS('DRAFT 2'!$D:$D,$B163,'DRAFT 2'!$A:$A,"&gt;="&amp;DATE(2026,1,8),'DRAFT 2'!$A:$A,"&lt;="&amp;DATE(2026,1,14))</f>
        <v/>
      </c>
      <c r="CI163">
        <f>COUNTIFS('DRAFT 2'!$D:$D,$B163,'DRAFT 2'!$A:$A,"&gt;="&amp;DATE(2026,1,15),'DRAFT 2'!$A:$A,"&lt;="&amp;DATE(2026,1,21))</f>
        <v/>
      </c>
      <c r="CJ163">
        <f>COUNTIFS('DRAFT 2'!$D:$D,$B163,'DRAFT 2'!$A:$A,"&gt;="&amp;DATE(2026,1,22),'DRAFT 2'!$A:$A,"&lt;"&amp;DATE(2026,IF(1=12,1+1,1+1),1))</f>
        <v/>
      </c>
      <c r="CK163">
        <f>SUM(CG163:CJ163)</f>
        <v/>
      </c>
      <c r="CT163" t="n">
        <v>0</v>
      </c>
      <c r="CU163">
        <f>IFERROR(LOOKUP(2,1/('DRAFT 2'!$D:$D=$B163)*('DRAFT 2'!$A:$A&gt;=DATE(2026,2,1))*('DRAFT 2'!$A:$A&lt;DATE(2026,IF(2=12,2+1,2+1),1)),'DRAFT 2'!$A:$A),"")</f>
        <v/>
      </c>
      <c r="CV163">
        <f>COUNTIFS('DRAFT 2'!$D:$D,$B163,'DRAFT 2'!$A:$A,"&gt;="&amp;DATE(2026,2,1),'DRAFT 2'!$A:$A,"&lt;="&amp;DATE(2026,2,7))</f>
        <v/>
      </c>
      <c r="CW163">
        <f>COUNTIFS('DRAFT 2'!$D:$D,$B163,'DRAFT 2'!$A:$A,"&gt;="&amp;DATE(2026,2,8),'DRAFT 2'!$A:$A,"&lt;="&amp;DATE(2026,2,14))</f>
        <v/>
      </c>
      <c r="CX163">
        <f>COUNTIFS('DRAFT 2'!$D:$D,$B163,'DRAFT 2'!$A:$A,"&gt;="&amp;DATE(2026,2,15),'DRAFT 2'!$A:$A,"&lt;="&amp;DATE(2026,2,21))</f>
        <v/>
      </c>
      <c r="CY163">
        <f>COUNTIFS('DRAFT 2'!$D:$D,$B163,'DRAFT 2'!$A:$A,"&gt;="&amp;DATE(2026,2,22),'DRAFT 2'!$A:$A,"&lt;"&amp;DATE(2026,IF(2=12,2+1,2+1),1))</f>
        <v/>
      </c>
      <c r="CZ163">
        <f>SUM(CV163:CY163)</f>
        <v/>
      </c>
      <c r="DJ163">
        <f>IFERROR(LOOKUP(2,1/('DRAFT 2'!$D:$D=$B163)*('DRAFT 2'!$A:$A&gt;=DATE(2026,3,1))*('DRAFT 2'!$A:$A&lt;DATE(2026,IF(3=12,3+1,3+1),1)),'DRAFT 2'!$A:$A),"")</f>
        <v/>
      </c>
      <c r="DK163">
        <f>COUNTIFS('DRAFT 2'!$D:$D,$B163,'DRAFT 2'!$A:$A,"&gt;="&amp;DATE(2026,3,1),'DRAFT 2'!$A:$A,"&lt;="&amp;DATE(2026,3,7))</f>
        <v/>
      </c>
      <c r="DL163">
        <f>COUNTIFS('DRAFT 2'!$D:$D,$B163,'DRAFT 2'!$A:$A,"&gt;="&amp;DATE(2026,3,8),'DRAFT 2'!$A:$A,"&lt;="&amp;DATE(2026,3,14))</f>
        <v/>
      </c>
      <c r="DM163">
        <f>COUNTIFS('DRAFT 2'!$D:$D,$B163,'DRAFT 2'!$A:$A,"&gt;="&amp;DATE(2026,3,15),'DRAFT 2'!$A:$A,"&lt;="&amp;DATE(2026,3,21))</f>
        <v/>
      </c>
      <c r="DN163">
        <f>COUNTIFS('DRAFT 2'!$D:$D,$B163,'DRAFT 2'!$A:$A,"&gt;="&amp;DATE(2026,3,22),'DRAFT 2'!$A:$A,"&lt;"&amp;DATE(2026,IF(3=12,3+1,3+1),1))</f>
        <v/>
      </c>
      <c r="DO163">
        <f>SUM(DK163:DN163)</f>
        <v/>
      </c>
      <c r="DZ163">
        <f>IFERROR(LOOKUP(2,1/('DRAFT 2'!$D:$D=$B163)*('DRAFT 2'!$A:$A&gt;=DATE(2026,4,1))*('DRAFT 2'!$A:$A&lt;DATE(2026,IF(4=12,4+1,4+1),1)),'DRAFT 2'!$A:$A),"")</f>
        <v/>
      </c>
      <c r="EA163">
        <f>COUNTIFS('DRAFT 2'!$D:$D,$B163,'DRAFT 2'!$A:$A,"&gt;="&amp;DATE(2026,4,1),'DRAFT 2'!$A:$A,"&lt;="&amp;DATE(2026,4,7))</f>
        <v/>
      </c>
      <c r="EB163">
        <f>COUNTIFS('DRAFT 2'!$D:$D,$B163,'DRAFT 2'!$A:$A,"&gt;="&amp;DATE(2026,4,8),'DRAFT 2'!$A:$A,"&lt;="&amp;DATE(2026,4,14))</f>
        <v/>
      </c>
      <c r="EC163">
        <f>COUNTIFS('DRAFT 2'!$D:$D,$B163,'DRAFT 2'!$A:$A,"&gt;="&amp;DATE(2026,4,15),'DRAFT 2'!$A:$A,"&lt;="&amp;DATE(2026,4,21))</f>
        <v/>
      </c>
      <c r="ED163">
        <f>COUNTIFS('DRAFT 2'!$D:$D,$B163,'DRAFT 2'!$A:$A,"&gt;="&amp;DATE(2026,4,22),'DRAFT 2'!$A:$A,"&lt;"&amp;DATE(2026,IF(4=12,4+1,4+1),1))</f>
        <v/>
      </c>
      <c r="EE163">
        <f>SUM(EA163:ED163)</f>
        <v/>
      </c>
      <c r="EO163">
        <f>IFERROR(LOOKUP(2,1/('DRAFT 2'!$D:$D=$B163)*('DRAFT 2'!$A:$A&gt;=DATE(2026,5,1))*('DRAFT 2'!$A:$A&lt;DATE(2026,IF(5=12,5+1,5+1),1)),'DRAFT 2'!$A:$A),"")</f>
        <v/>
      </c>
      <c r="EP163">
        <f>COUNTIFS('DRAFT 2'!$D:$D,$B163,'DRAFT 2'!$A:$A,"&gt;="&amp;DATE(2026,5,1),'DRAFT 2'!$A:$A,"&lt;="&amp;DATE(2026,5,7))</f>
        <v/>
      </c>
      <c r="EQ163">
        <f>COUNTIFS('DRAFT 2'!$D:$D,$B163,'DRAFT 2'!$A:$A,"&gt;="&amp;DATE(2026,5,8),'DRAFT 2'!$A:$A,"&lt;="&amp;DATE(2026,5,14))</f>
        <v/>
      </c>
      <c r="ER163">
        <f>COUNTIFS('DRAFT 2'!$D:$D,$B163,'DRAFT 2'!$A:$A,"&gt;="&amp;DATE(2026,5,15),'DRAFT 2'!$A:$A,"&lt;="&amp;DATE(2026,5,21))</f>
        <v/>
      </c>
      <c r="ES163">
        <f>COUNTIFS('DRAFT 2'!$D:$D,$B163,'DRAFT 2'!$A:$A,"&gt;="&amp;DATE(2026,5,22),'DRAFT 2'!$A:$A,"&lt;"&amp;DATE(2026,IF(5=12,5+1,5+1),1))</f>
        <v/>
      </c>
      <c r="ET163">
        <f>SUM(EP163:ES163)</f>
        <v/>
      </c>
      <c r="FD163">
        <f>IFERROR(LOOKUP(2,1/('DRAFT 2'!$D:$D=$B163)*('DRAFT 2'!$A:$A&gt;=DATE(2026,6,1))*('DRAFT 2'!$A:$A&lt;DATE(2026,IF(6=12,6+1,6+1),1)),'DRAFT 2'!$A:$A),"")</f>
        <v/>
      </c>
      <c r="FE163">
        <f>COUNTIFS('DRAFT 2'!$D:$D,$B163,'DRAFT 2'!$A:$A,"&gt;="&amp;DATE(2026,6,1),'DRAFT 2'!$A:$A,"&lt;="&amp;DATE(2026,6,7))</f>
        <v/>
      </c>
      <c r="FF163">
        <f>COUNTIFS('DRAFT 2'!$D:$D,$B163,'DRAFT 2'!$A:$A,"&gt;="&amp;DATE(2026,6,8),'DRAFT 2'!$A:$A,"&lt;="&amp;DATE(2026,6,14))</f>
        <v/>
      </c>
      <c r="FG163">
        <f>COUNTIFS('DRAFT 2'!$D:$D,$B163,'DRAFT 2'!$A:$A,"&gt;="&amp;DATE(2026,6,15),'DRAFT 2'!$A:$A,"&lt;="&amp;DATE(2026,6,21))</f>
        <v/>
      </c>
      <c r="FH163">
        <f>COUNTIFS('DRAFT 2'!$D:$D,$B163,'DRAFT 2'!$A:$A,"&gt;="&amp;DATE(2026,6,22),'DRAFT 2'!$A:$A,"&lt;"&amp;DATE(2026,IF(6=12,6+1,6+1),1))</f>
        <v/>
      </c>
      <c r="FI163">
        <f>SUM(FE163:FH163)</f>
        <v/>
      </c>
      <c r="FT163">
        <f>IFERROR(LOOKUP(2,1/('DRAFT 2'!$D:$D=$B163)*('DRAFT 2'!$A:$A&gt;=DATE(2026,7,1))*('DRAFT 2'!$A:$A&lt;DATE(2026,IF(7=12,7+1,7+1),1)),'DRAFT 2'!$A:$A),"")</f>
        <v/>
      </c>
      <c r="FU163">
        <f>COUNTIFS('DRAFT 2'!$D:$D,$B163,'DRAFT 2'!$A:$A,"&gt;="&amp;DATE(2026,7,1),'DRAFT 2'!$A:$A,"&lt;="&amp;DATE(2026,7,7))</f>
        <v/>
      </c>
      <c r="FV163">
        <f>COUNTIFS('DRAFT 2'!$D:$D,$B163,'DRAFT 2'!$A:$A,"&gt;="&amp;DATE(2026,7,8),'DRAFT 2'!$A:$A,"&lt;="&amp;DATE(2026,7,14))</f>
        <v/>
      </c>
      <c r="FW163">
        <f>COUNTIFS('DRAFT 2'!$D:$D,$B163,'DRAFT 2'!$A:$A,"&gt;="&amp;DATE(2026,7,15),'DRAFT 2'!$A:$A,"&lt;="&amp;DATE(2026,7,21))</f>
        <v/>
      </c>
      <c r="FX163">
        <f>COUNTIFS('DRAFT 2'!$D:$D,$B163,'DRAFT 2'!$A:$A,"&gt;="&amp;DATE(2026,7,22),'DRAFT 2'!$A:$A,"&lt;"&amp;DATE(2026,IF(7=12,7+1,7+1),1))</f>
        <v/>
      </c>
      <c r="FY163">
        <f>SUM(FU163:FX163)</f>
        <v/>
      </c>
      <c r="GI163">
        <f>IFERROR(LOOKUP(2,1/('DRAFT 2'!$D:$D=$B163)*('DRAFT 2'!$A:$A&gt;=DATE(2026,8,1))*('DRAFT 2'!$A:$A&lt;DATE(2026,IF(8=12,8+1,8+1),1)),'DRAFT 2'!$A:$A),"")</f>
        <v/>
      </c>
      <c r="GJ163">
        <f>COUNTIFS('DRAFT 2'!$D:$D,$B163,'DRAFT 2'!$A:$A,"&gt;="&amp;DATE(2026,8,1),'DRAFT 2'!$A:$A,"&lt;="&amp;DATE(2026,8,7))</f>
        <v/>
      </c>
      <c r="GK163">
        <f>COUNTIFS('DRAFT 2'!$D:$D,$B163,'DRAFT 2'!$A:$A,"&gt;="&amp;DATE(2026,8,8),'DRAFT 2'!$A:$A,"&lt;="&amp;DATE(2026,8,14))</f>
        <v/>
      </c>
      <c r="GL163">
        <f>COUNTIFS('DRAFT 2'!$D:$D,$B163,'DRAFT 2'!$A:$A,"&gt;="&amp;DATE(2026,8,15),'DRAFT 2'!$A:$A,"&lt;="&amp;DATE(2026,8,21))</f>
        <v/>
      </c>
      <c r="GM163">
        <f>COUNTIFS('DRAFT 2'!$D:$D,$B163,'DRAFT 2'!$A:$A,"&gt;="&amp;DATE(2026,8,22),'DRAFT 2'!$A:$A,"&lt;"&amp;DATE(2026,IF(8=12,8+1,8+1),1))</f>
        <v/>
      </c>
      <c r="GN163">
        <f>SUM(GJ163:GM163)</f>
        <v/>
      </c>
      <c r="GX163">
        <f>IFERROR(LOOKUP(2,1/('DRAFT 2'!$D:$D=$B163)*('DRAFT 2'!$A:$A&gt;=DATE(2026,9,1))*('DRAFT 2'!$A:$A&lt;DATE(2026,IF(9=12,9+1,9+1),1)),'DRAFT 2'!$A:$A),"")</f>
        <v/>
      </c>
      <c r="GY163">
        <f>COUNTIFS('DRAFT 2'!$D:$D,$B163,'DRAFT 2'!$A:$A,"&gt;="&amp;DATE(2026,9,1),'DRAFT 2'!$A:$A,"&lt;="&amp;DATE(2026,9,7))</f>
        <v/>
      </c>
      <c r="GZ163">
        <f>COUNTIFS('DRAFT 2'!$D:$D,$B163,'DRAFT 2'!$A:$A,"&gt;="&amp;DATE(2026,9,8),'DRAFT 2'!$A:$A,"&lt;="&amp;DATE(2026,9,14))</f>
        <v/>
      </c>
      <c r="HA163">
        <f>COUNTIFS('DRAFT 2'!$D:$D,$B163,'DRAFT 2'!$A:$A,"&gt;="&amp;DATE(2026,9,15),'DRAFT 2'!$A:$A,"&lt;="&amp;DATE(2026,9,21))</f>
        <v/>
      </c>
      <c r="HB163">
        <f>COUNTIFS('DRAFT 2'!$D:$D,$B163,'DRAFT 2'!$A:$A,"&gt;="&amp;DATE(2026,9,22),'DRAFT 2'!$A:$A,"&lt;"&amp;DATE(2026,IF(9=12,9+1,9+1),1))</f>
        <v/>
      </c>
      <c r="HC163">
        <f>SUM(GY163:HB163)</f>
        <v/>
      </c>
      <c r="HN163">
        <f>IFERROR(LOOKUP(2,1/('DRAFT 2'!$D:$D=$B163)*('DRAFT 2'!$A:$A&gt;=DATE(2026,10,1))*('DRAFT 2'!$A:$A&lt;DATE(2026,IF(10=12,10+1,10+1),1)),'DRAFT 2'!$A:$A),"")</f>
        <v/>
      </c>
      <c r="HO163">
        <f>COUNTIFS('DRAFT 2'!$D:$D,$B163,'DRAFT 2'!$A:$A,"&gt;="&amp;DATE(2026,10,1),'DRAFT 2'!$A:$A,"&lt;="&amp;DATE(2026,10,7))</f>
        <v/>
      </c>
      <c r="HP163">
        <f>COUNTIFS('DRAFT 2'!$D:$D,$B163,'DRAFT 2'!$A:$A,"&gt;="&amp;DATE(2026,10,8),'DRAFT 2'!$A:$A,"&lt;="&amp;DATE(2026,10,14))</f>
        <v/>
      </c>
      <c r="HQ163">
        <f>COUNTIFS('DRAFT 2'!$D:$D,$B163,'DRAFT 2'!$A:$A,"&gt;="&amp;DATE(2026,10,15),'DRAFT 2'!$A:$A,"&lt;="&amp;DATE(2026,10,21))</f>
        <v/>
      </c>
      <c r="HR163">
        <f>COUNTIFS('DRAFT 2'!$D:$D,$B163,'DRAFT 2'!$A:$A,"&gt;="&amp;DATE(2026,10,22),'DRAFT 2'!$A:$A,"&lt;"&amp;DATE(2026,IF(10=12,10+1,10+1),1))</f>
        <v/>
      </c>
      <c r="HS163">
        <f>SUM(HO163:HR163)</f>
        <v/>
      </c>
      <c r="IC163">
        <f>IFERROR(LOOKUP(2,1/('DRAFT 2'!$D:$D=$B163)*('DRAFT 2'!$A:$A&gt;=DATE(2026,11,1))*('DRAFT 2'!$A:$A&lt;DATE(2026,IF(11=12,11+1,11+1),1)),'DRAFT 2'!$A:$A),"")</f>
        <v/>
      </c>
      <c r="ID163">
        <f>COUNTIFS('DRAFT 2'!$D:$D,$B163,'DRAFT 2'!$A:$A,"&gt;="&amp;DATE(2026,11,1),'DRAFT 2'!$A:$A,"&lt;="&amp;DATE(2026,11,7))</f>
        <v/>
      </c>
      <c r="IE163">
        <f>COUNTIFS('DRAFT 2'!$D:$D,$B163,'DRAFT 2'!$A:$A,"&gt;="&amp;DATE(2026,11,8),'DRAFT 2'!$A:$A,"&lt;="&amp;DATE(2026,11,14))</f>
        <v/>
      </c>
      <c r="IF163">
        <f>COUNTIFS('DRAFT 2'!$D:$D,$B163,'DRAFT 2'!$A:$A,"&gt;="&amp;DATE(2026,11,15),'DRAFT 2'!$A:$A,"&lt;="&amp;DATE(2026,11,21))</f>
        <v/>
      </c>
      <c r="IG163">
        <f>COUNTIFS('DRAFT 2'!$D:$D,$B163,'DRAFT 2'!$A:$A,"&gt;="&amp;DATE(2026,11,22),'DRAFT 2'!$A:$A,"&lt;"&amp;DATE(2026,IF(11=12,11+1,11+1),1))</f>
        <v/>
      </c>
      <c r="IH163">
        <f>SUM(ID163:IG163)</f>
        <v/>
      </c>
      <c r="IR163">
        <f>IFERROR(LOOKUP(2,1/('DRAFT 2'!$D:$D=$B163)*('DRAFT 2'!$A:$A&gt;=DATE(2026,12,1))*('DRAFT 2'!$A:$A&lt;DATE(2026,IF(12=12,12+1,12+1),1)),'DRAFT 2'!$A:$A),"")</f>
        <v/>
      </c>
      <c r="IS163">
        <f>COUNTIFS('DRAFT 2'!$D:$D,$B163,'DRAFT 2'!$A:$A,"&gt;="&amp;DATE(2026,12,1),'DRAFT 2'!$A:$A,"&lt;="&amp;DATE(2026,12,7))</f>
        <v/>
      </c>
      <c r="IT163">
        <f>COUNTIFS('DRAFT 2'!$D:$D,$B163,'DRAFT 2'!$A:$A,"&gt;="&amp;DATE(2026,12,8),'DRAFT 2'!$A:$A,"&lt;="&amp;DATE(2026,12,14))</f>
        <v/>
      </c>
      <c r="IU163">
        <f>COUNTIFS('DRAFT 2'!$D:$D,$B163,'DRAFT 2'!$A:$A,"&gt;="&amp;DATE(2026,12,15),'DRAFT 2'!$A:$A,"&lt;="&amp;DATE(2026,12,21))</f>
        <v/>
      </c>
      <c r="IV163">
        <f>COUNTIFS('DRAFT 2'!$D:$D,$B163,'DRAFT 2'!$A:$A,"&gt;="&amp;DATE(2026,12,22),'DRAFT 2'!$A:$A,"&lt;"&amp;DATE(2026,IF(12=12,12+1,12+1),1))</f>
        <v/>
      </c>
      <c r="IW163">
        <f>SUM(IS163:IV163)</f>
        <v/>
      </c>
    </row>
    <row r="164">
      <c r="A164">
        <f>IFERROR(INDEX('DRAFT 1'!$A:$A,MATCH($B164,'DRAFT 1'!$B:$B,0)),"")</f>
        <v/>
      </c>
      <c r="C164">
        <f>IFERROR(INDEX('DRAFT 1'!$C:$C,MATCH($B164,'DRAFT 1'!$B:$B,0)),"")</f>
        <v/>
      </c>
      <c r="D164">
        <f>IFERROR(INDEX('DRAFT 1'!$D:$D,MATCH($B164,'DRAFT 1'!$B:$B,0)),"")</f>
        <v/>
      </c>
      <c r="E164">
        <f>IFERROR(INDEX('DRAFT 1'!$E:$E,MATCH($B164,'DRAFT 1'!$B:$B,0)),"")</f>
        <v/>
      </c>
      <c r="F164">
        <f>IFERROR(INDEX('DRAFT 1'!$F:$F,MATCH($B164,'DRAFT 1'!$B:$B,0)),"")</f>
        <v/>
      </c>
      <c r="G164">
        <f>IFERROR(INDEX('DRAFT 1'!$G:$G,MATCH($B164,'DRAFT 1'!$B:$B,0)),"")</f>
        <v/>
      </c>
      <c r="H164">
        <f>IFERROR(INDEX('DRAFT 1'!$H:$H,MATCH($B164,'DRAFT 1'!$B:$B,0)),"")</f>
        <v/>
      </c>
      <c r="I164">
        <f>IFERROR(INDEX('DRAFT 1'!$I:$I,MATCH($B164,'DRAFT 1'!$B:$B,0)),"")</f>
        <v/>
      </c>
      <c r="K164">
        <f>IFERROR(INDEX('DRAFT 1'!$AL:$AL,MATCH($B164,'DRAFT 1'!$B:$B,0)),"")</f>
        <v/>
      </c>
      <c r="L164">
        <f>IFERROR(INDEX('DRAFT 1'!$J:$J,MATCH($B164,'DRAFT 1'!$B:$B,0)),"")</f>
        <v/>
      </c>
      <c r="M164">
        <f>IFERROR(INDEX('DRAFT 1'!$K:$K,MATCH($B164,'DRAFT 1'!$B:$B,0)),"")</f>
        <v/>
      </c>
      <c r="P164">
        <f>IFERROR(INDEX('DRAFT 1'!$L:$L,MATCH($B164,'DRAFT 1'!$B:$B,0)),"")</f>
        <v/>
      </c>
      <c r="Q164">
        <f>IFERROR(INDEX('DRAFT 1'!$M:$M,MATCH($B164,'DRAFT 1'!$B:$B,0)),"")</f>
        <v/>
      </c>
      <c r="R164">
        <f>IFERROR(INDEX('DRAFT 1'!$N:$N,MATCH($B164,'DRAFT 1'!$B:$B,0)),"")</f>
        <v/>
      </c>
      <c r="S164">
        <f>IFERROR(INDEX('DRAFT 1'!$O:$O,MATCH($B164,'DRAFT 1'!$B:$B,0)),"")</f>
        <v/>
      </c>
      <c r="T164">
        <f>IFERROR(INDEX('DRAFT 1'!$P:$P,MATCH($B164,'DRAFT 1'!$B:$B,0)),"")</f>
        <v/>
      </c>
      <c r="U164">
        <f>IFERROR(INDEX('DRAFT 1'!$Q:$Q,MATCH($B164,'DRAFT 1'!$B:$B,0)),"")</f>
        <v/>
      </c>
      <c r="V164">
        <f>IFERROR(INDEX('DRAFT 1'!$R:$R,MATCH($B164,'DRAFT 1'!$B:$B,0)),"")</f>
        <v/>
      </c>
      <c r="W164">
        <f>IFERROR(INDEX('DRAFT 1'!$S:$S,MATCH($B164,'DRAFT 1'!$B:$B,0)),"")</f>
        <v/>
      </c>
      <c r="X164">
        <f>IFERROR(INDEX('DRAFT 1'!$T:$T,MATCH($B164,'DRAFT 1'!$B:$B,0)),"")</f>
        <v/>
      </c>
      <c r="Z164">
        <f>IFERROR(INDEX('DRAFT 1'!$U:$U,MATCH($B164,'DRAFT 1'!$B:$B,0)),"")</f>
        <v/>
      </c>
      <c r="AA164">
        <f>IFERROR(INDEX('DRAFT 1'!$V:$V,MATCH($B164,'DRAFT 1'!$B:$B,0)),"")</f>
        <v/>
      </c>
      <c r="AB164">
        <f>IFERROR(INDEX('DRAFT 1'!$W:$W,MATCH($B164,'DRAFT 1'!$B:$B,0)),"")</f>
        <v/>
      </c>
      <c r="AC164">
        <f>IFERROR(INDEX('DRAFT 1'!$X:$X,MATCH($B164,'DRAFT 1'!$B:$B,0)),"")</f>
        <v/>
      </c>
      <c r="AD164">
        <f>IFERROR(INDEX('DRAFT 1'!$Y:$Y,MATCH($B164,'DRAFT 1'!$B:$B,0)),"")</f>
        <v/>
      </c>
      <c r="AE164">
        <f>IFERROR(INDEX('DRAFT 1'!$Z:$Z,MATCH($B164,'DRAFT 1'!$B:$B,0)),"")</f>
        <v/>
      </c>
      <c r="AF164">
        <f>IFERROR(INDEX('DRAFT 1'!$AA:$AA,MATCH($B164,'DRAFT 1'!$B:$B,0)),"")</f>
        <v/>
      </c>
      <c r="AG164">
        <f>IFERROR(INDEX('DRAFT 1'!$AB:$AB,MATCH($B164,'DRAFT 1'!$B:$B,0)),"")</f>
        <v/>
      </c>
      <c r="AH164">
        <f>IFERROR(INDEX('DRAFT 1'!$AC:$AC,MATCH($B164,'DRAFT 1'!$B:$B,0)),"")</f>
        <v/>
      </c>
      <c r="AI164">
        <f>IFERROR(INDEX('DRAFT 1'!$AD:$AD,MATCH($B164,'DRAFT 1'!$B:$B,0)),"")</f>
        <v/>
      </c>
      <c r="AJ164">
        <f>IFERROR(INDEX('DRAFT 1'!$AE:$AE,MATCH($B164,'DRAFT 1'!$B:$B,0)),"")</f>
        <v/>
      </c>
      <c r="AK164">
        <f>IFERROR(INDEX('DRAFT 1'!$AG:$AG,MATCH($B164,'DRAFT 1'!$B:$B,0)),"")</f>
        <v/>
      </c>
      <c r="AL164">
        <f>IFERROR(INDEX('DRAFT 1'!$AH:$AH,MATCH($B164,'DRAFT 1'!$B:$B,0)),"")</f>
        <v/>
      </c>
      <c r="AM164">
        <f>IFERROR(INDEX('DRAFT 1'!$AI:$AI,MATCH($B164,'DRAFT 1'!$B:$B,0)),"")</f>
        <v/>
      </c>
      <c r="AN164">
        <f>IFERROR(INDEX('DRAFT 1'!$AJ:$AJ,MATCH($B164,'DRAFT 1'!$B:$B,0)),"")</f>
        <v/>
      </c>
      <c r="AO164">
        <f>IFERROR(Y164/AN164,0)</f>
        <v/>
      </c>
      <c r="AP164">
        <f>IFERROR(INDEX('DRAFT 1'!$AK:$AK,MATCH($B164,'DRAFT 1'!$B:$B,0)),"")</f>
        <v/>
      </c>
      <c r="AR164">
        <f>IFERROR(LOOKUP(2,1/('DRAFT 2'!$D:$D=$B164),'DRAFT 2'!$I:$I),"")</f>
        <v/>
      </c>
      <c r="AS164">
        <f>IFERROR(LOOKUP(2,1/('DRAFT 2'!$D:$D=$B164),'DRAFT 2'!$T:$T),"")</f>
        <v/>
      </c>
      <c r="AT164">
        <f>IFERROR(LOOKUP(2,1/('DRAFT 2'!$D:$D=$B164),'DRAFT 2'!$A:$A),"")</f>
        <v/>
      </c>
      <c r="AU164">
        <f>IFERROR(LOOKUP(2,1/('DRAFT 2'!$D:$D=$B164),'DRAFT 2'!$R:$R),"")</f>
        <v/>
      </c>
      <c r="AV164">
        <f>IFERROR(LOOKUP(2,1/('DRAFT 2'!$D:$D=$B164),'DRAFT 2'!$S:$S),"")</f>
        <v/>
      </c>
      <c r="AX164">
        <f>IFERROR(LOOKUP(2,1/('DRAFT 2'!$D:$D=$B164),'DRAFT 2'!$M:$M),"")</f>
        <v/>
      </c>
      <c r="AY164">
        <f>IFERROR(LOOKUP(2,1/('DRAFT 2'!$D:$D=$B164),'DRAFT 2'!$K:$K),"")</f>
        <v/>
      </c>
      <c r="BG164">
        <f>IFERROR(LOOKUP(2,1/('DRAFT 2'!$D:$D=$B164),'DRAFT 2'!$U:$U),"")</f>
        <v/>
      </c>
      <c r="BH164">
        <f>IFERROR(LOOKUP(2,1/('DRAFT 2'!$D:$D=$B164),'DRAFT 2'!$V:$V),"")</f>
        <v/>
      </c>
      <c r="CE164">
        <f>IFERROR(AJ164,0)</f>
        <v/>
      </c>
      <c r="CF164">
        <f>IFERROR(LOOKUP(2,1/('DRAFT 2'!$D:$D=$B164)*('DRAFT 2'!$A:$A&gt;=DATE(2026,1,1))*('DRAFT 2'!$A:$A&lt;DATE(2026,IF(1=12,1+1,1+1),1)),'DRAFT 2'!$A:$A),"")</f>
        <v/>
      </c>
      <c r="CG164">
        <f>COUNTIFS('DRAFT 2'!$D:$D,$B164,'DRAFT 2'!$A:$A,"&gt;="&amp;DATE(2026,1,1),'DRAFT 2'!$A:$A,"&lt;="&amp;DATE(2026,1,7))</f>
        <v/>
      </c>
      <c r="CH164">
        <f>COUNTIFS('DRAFT 2'!$D:$D,$B164,'DRAFT 2'!$A:$A,"&gt;="&amp;DATE(2026,1,8),'DRAFT 2'!$A:$A,"&lt;="&amp;DATE(2026,1,14))</f>
        <v/>
      </c>
      <c r="CI164">
        <f>COUNTIFS('DRAFT 2'!$D:$D,$B164,'DRAFT 2'!$A:$A,"&gt;="&amp;DATE(2026,1,15),'DRAFT 2'!$A:$A,"&lt;="&amp;DATE(2026,1,21))</f>
        <v/>
      </c>
      <c r="CJ164">
        <f>COUNTIFS('DRAFT 2'!$D:$D,$B164,'DRAFT 2'!$A:$A,"&gt;="&amp;DATE(2026,1,22),'DRAFT 2'!$A:$A,"&lt;"&amp;DATE(2026,IF(1=12,1+1,1+1),1))</f>
        <v/>
      </c>
      <c r="CK164">
        <f>SUM(CG164:CJ164)</f>
        <v/>
      </c>
      <c r="CT164" t="n">
        <v>0</v>
      </c>
      <c r="CU164">
        <f>IFERROR(LOOKUP(2,1/('DRAFT 2'!$D:$D=$B164)*('DRAFT 2'!$A:$A&gt;=DATE(2026,2,1))*('DRAFT 2'!$A:$A&lt;DATE(2026,IF(2=12,2+1,2+1),1)),'DRAFT 2'!$A:$A),"")</f>
        <v/>
      </c>
      <c r="CV164">
        <f>COUNTIFS('DRAFT 2'!$D:$D,$B164,'DRAFT 2'!$A:$A,"&gt;="&amp;DATE(2026,2,1),'DRAFT 2'!$A:$A,"&lt;="&amp;DATE(2026,2,7))</f>
        <v/>
      </c>
      <c r="CW164">
        <f>COUNTIFS('DRAFT 2'!$D:$D,$B164,'DRAFT 2'!$A:$A,"&gt;="&amp;DATE(2026,2,8),'DRAFT 2'!$A:$A,"&lt;="&amp;DATE(2026,2,14))</f>
        <v/>
      </c>
      <c r="CX164">
        <f>COUNTIFS('DRAFT 2'!$D:$D,$B164,'DRAFT 2'!$A:$A,"&gt;="&amp;DATE(2026,2,15),'DRAFT 2'!$A:$A,"&lt;="&amp;DATE(2026,2,21))</f>
        <v/>
      </c>
      <c r="CY164">
        <f>COUNTIFS('DRAFT 2'!$D:$D,$B164,'DRAFT 2'!$A:$A,"&gt;="&amp;DATE(2026,2,22),'DRAFT 2'!$A:$A,"&lt;"&amp;DATE(2026,IF(2=12,2+1,2+1),1))</f>
        <v/>
      </c>
      <c r="CZ164">
        <f>SUM(CV164:CY164)</f>
        <v/>
      </c>
      <c r="DJ164">
        <f>IFERROR(LOOKUP(2,1/('DRAFT 2'!$D:$D=$B164)*('DRAFT 2'!$A:$A&gt;=DATE(2026,3,1))*('DRAFT 2'!$A:$A&lt;DATE(2026,IF(3=12,3+1,3+1),1)),'DRAFT 2'!$A:$A),"")</f>
        <v/>
      </c>
      <c r="DK164">
        <f>COUNTIFS('DRAFT 2'!$D:$D,$B164,'DRAFT 2'!$A:$A,"&gt;="&amp;DATE(2026,3,1),'DRAFT 2'!$A:$A,"&lt;="&amp;DATE(2026,3,7))</f>
        <v/>
      </c>
      <c r="DL164">
        <f>COUNTIFS('DRAFT 2'!$D:$D,$B164,'DRAFT 2'!$A:$A,"&gt;="&amp;DATE(2026,3,8),'DRAFT 2'!$A:$A,"&lt;="&amp;DATE(2026,3,14))</f>
        <v/>
      </c>
      <c r="DM164">
        <f>COUNTIFS('DRAFT 2'!$D:$D,$B164,'DRAFT 2'!$A:$A,"&gt;="&amp;DATE(2026,3,15),'DRAFT 2'!$A:$A,"&lt;="&amp;DATE(2026,3,21))</f>
        <v/>
      </c>
      <c r="DN164">
        <f>COUNTIFS('DRAFT 2'!$D:$D,$B164,'DRAFT 2'!$A:$A,"&gt;="&amp;DATE(2026,3,22),'DRAFT 2'!$A:$A,"&lt;"&amp;DATE(2026,IF(3=12,3+1,3+1),1))</f>
        <v/>
      </c>
      <c r="DO164">
        <f>SUM(DK164:DN164)</f>
        <v/>
      </c>
      <c r="DZ164">
        <f>IFERROR(LOOKUP(2,1/('DRAFT 2'!$D:$D=$B164)*('DRAFT 2'!$A:$A&gt;=DATE(2026,4,1))*('DRAFT 2'!$A:$A&lt;DATE(2026,IF(4=12,4+1,4+1),1)),'DRAFT 2'!$A:$A),"")</f>
        <v/>
      </c>
      <c r="EA164">
        <f>COUNTIFS('DRAFT 2'!$D:$D,$B164,'DRAFT 2'!$A:$A,"&gt;="&amp;DATE(2026,4,1),'DRAFT 2'!$A:$A,"&lt;="&amp;DATE(2026,4,7))</f>
        <v/>
      </c>
      <c r="EB164">
        <f>COUNTIFS('DRAFT 2'!$D:$D,$B164,'DRAFT 2'!$A:$A,"&gt;="&amp;DATE(2026,4,8),'DRAFT 2'!$A:$A,"&lt;="&amp;DATE(2026,4,14))</f>
        <v/>
      </c>
      <c r="EC164">
        <f>COUNTIFS('DRAFT 2'!$D:$D,$B164,'DRAFT 2'!$A:$A,"&gt;="&amp;DATE(2026,4,15),'DRAFT 2'!$A:$A,"&lt;="&amp;DATE(2026,4,21))</f>
        <v/>
      </c>
      <c r="ED164">
        <f>COUNTIFS('DRAFT 2'!$D:$D,$B164,'DRAFT 2'!$A:$A,"&gt;="&amp;DATE(2026,4,22),'DRAFT 2'!$A:$A,"&lt;"&amp;DATE(2026,IF(4=12,4+1,4+1),1))</f>
        <v/>
      </c>
      <c r="EE164">
        <f>SUM(EA164:ED164)</f>
        <v/>
      </c>
      <c r="EO164">
        <f>IFERROR(LOOKUP(2,1/('DRAFT 2'!$D:$D=$B164)*('DRAFT 2'!$A:$A&gt;=DATE(2026,5,1))*('DRAFT 2'!$A:$A&lt;DATE(2026,IF(5=12,5+1,5+1),1)),'DRAFT 2'!$A:$A),"")</f>
        <v/>
      </c>
      <c r="EP164">
        <f>COUNTIFS('DRAFT 2'!$D:$D,$B164,'DRAFT 2'!$A:$A,"&gt;="&amp;DATE(2026,5,1),'DRAFT 2'!$A:$A,"&lt;="&amp;DATE(2026,5,7))</f>
        <v/>
      </c>
      <c r="EQ164">
        <f>COUNTIFS('DRAFT 2'!$D:$D,$B164,'DRAFT 2'!$A:$A,"&gt;="&amp;DATE(2026,5,8),'DRAFT 2'!$A:$A,"&lt;="&amp;DATE(2026,5,14))</f>
        <v/>
      </c>
      <c r="ER164">
        <f>COUNTIFS('DRAFT 2'!$D:$D,$B164,'DRAFT 2'!$A:$A,"&gt;="&amp;DATE(2026,5,15),'DRAFT 2'!$A:$A,"&lt;="&amp;DATE(2026,5,21))</f>
        <v/>
      </c>
      <c r="ES164">
        <f>COUNTIFS('DRAFT 2'!$D:$D,$B164,'DRAFT 2'!$A:$A,"&gt;="&amp;DATE(2026,5,22),'DRAFT 2'!$A:$A,"&lt;"&amp;DATE(2026,IF(5=12,5+1,5+1),1))</f>
        <v/>
      </c>
      <c r="ET164">
        <f>SUM(EP164:ES164)</f>
        <v/>
      </c>
      <c r="FD164">
        <f>IFERROR(LOOKUP(2,1/('DRAFT 2'!$D:$D=$B164)*('DRAFT 2'!$A:$A&gt;=DATE(2026,6,1))*('DRAFT 2'!$A:$A&lt;DATE(2026,IF(6=12,6+1,6+1),1)),'DRAFT 2'!$A:$A),"")</f>
        <v/>
      </c>
      <c r="FE164">
        <f>COUNTIFS('DRAFT 2'!$D:$D,$B164,'DRAFT 2'!$A:$A,"&gt;="&amp;DATE(2026,6,1),'DRAFT 2'!$A:$A,"&lt;="&amp;DATE(2026,6,7))</f>
        <v/>
      </c>
      <c r="FF164">
        <f>COUNTIFS('DRAFT 2'!$D:$D,$B164,'DRAFT 2'!$A:$A,"&gt;="&amp;DATE(2026,6,8),'DRAFT 2'!$A:$A,"&lt;="&amp;DATE(2026,6,14))</f>
        <v/>
      </c>
      <c r="FG164">
        <f>COUNTIFS('DRAFT 2'!$D:$D,$B164,'DRAFT 2'!$A:$A,"&gt;="&amp;DATE(2026,6,15),'DRAFT 2'!$A:$A,"&lt;="&amp;DATE(2026,6,21))</f>
        <v/>
      </c>
      <c r="FH164">
        <f>COUNTIFS('DRAFT 2'!$D:$D,$B164,'DRAFT 2'!$A:$A,"&gt;="&amp;DATE(2026,6,22),'DRAFT 2'!$A:$A,"&lt;"&amp;DATE(2026,IF(6=12,6+1,6+1),1))</f>
        <v/>
      </c>
      <c r="FI164">
        <f>SUM(FE164:FH164)</f>
        <v/>
      </c>
      <c r="FT164">
        <f>IFERROR(LOOKUP(2,1/('DRAFT 2'!$D:$D=$B164)*('DRAFT 2'!$A:$A&gt;=DATE(2026,7,1))*('DRAFT 2'!$A:$A&lt;DATE(2026,IF(7=12,7+1,7+1),1)),'DRAFT 2'!$A:$A),"")</f>
        <v/>
      </c>
      <c r="FU164">
        <f>COUNTIFS('DRAFT 2'!$D:$D,$B164,'DRAFT 2'!$A:$A,"&gt;="&amp;DATE(2026,7,1),'DRAFT 2'!$A:$A,"&lt;="&amp;DATE(2026,7,7))</f>
        <v/>
      </c>
      <c r="FV164">
        <f>COUNTIFS('DRAFT 2'!$D:$D,$B164,'DRAFT 2'!$A:$A,"&gt;="&amp;DATE(2026,7,8),'DRAFT 2'!$A:$A,"&lt;="&amp;DATE(2026,7,14))</f>
        <v/>
      </c>
      <c r="FW164">
        <f>COUNTIFS('DRAFT 2'!$D:$D,$B164,'DRAFT 2'!$A:$A,"&gt;="&amp;DATE(2026,7,15),'DRAFT 2'!$A:$A,"&lt;="&amp;DATE(2026,7,21))</f>
        <v/>
      </c>
      <c r="FX164">
        <f>COUNTIFS('DRAFT 2'!$D:$D,$B164,'DRAFT 2'!$A:$A,"&gt;="&amp;DATE(2026,7,22),'DRAFT 2'!$A:$A,"&lt;"&amp;DATE(2026,IF(7=12,7+1,7+1),1))</f>
        <v/>
      </c>
      <c r="FY164">
        <f>SUM(FU164:FX164)</f>
        <v/>
      </c>
      <c r="GI164">
        <f>IFERROR(LOOKUP(2,1/('DRAFT 2'!$D:$D=$B164)*('DRAFT 2'!$A:$A&gt;=DATE(2026,8,1))*('DRAFT 2'!$A:$A&lt;DATE(2026,IF(8=12,8+1,8+1),1)),'DRAFT 2'!$A:$A),"")</f>
        <v/>
      </c>
      <c r="GJ164">
        <f>COUNTIFS('DRAFT 2'!$D:$D,$B164,'DRAFT 2'!$A:$A,"&gt;="&amp;DATE(2026,8,1),'DRAFT 2'!$A:$A,"&lt;="&amp;DATE(2026,8,7))</f>
        <v/>
      </c>
      <c r="GK164">
        <f>COUNTIFS('DRAFT 2'!$D:$D,$B164,'DRAFT 2'!$A:$A,"&gt;="&amp;DATE(2026,8,8),'DRAFT 2'!$A:$A,"&lt;="&amp;DATE(2026,8,14))</f>
        <v/>
      </c>
      <c r="GL164">
        <f>COUNTIFS('DRAFT 2'!$D:$D,$B164,'DRAFT 2'!$A:$A,"&gt;="&amp;DATE(2026,8,15),'DRAFT 2'!$A:$A,"&lt;="&amp;DATE(2026,8,21))</f>
        <v/>
      </c>
      <c r="GM164">
        <f>COUNTIFS('DRAFT 2'!$D:$D,$B164,'DRAFT 2'!$A:$A,"&gt;="&amp;DATE(2026,8,22),'DRAFT 2'!$A:$A,"&lt;"&amp;DATE(2026,IF(8=12,8+1,8+1),1))</f>
        <v/>
      </c>
      <c r="GN164">
        <f>SUM(GJ164:GM164)</f>
        <v/>
      </c>
      <c r="GX164">
        <f>IFERROR(LOOKUP(2,1/('DRAFT 2'!$D:$D=$B164)*('DRAFT 2'!$A:$A&gt;=DATE(2026,9,1))*('DRAFT 2'!$A:$A&lt;DATE(2026,IF(9=12,9+1,9+1),1)),'DRAFT 2'!$A:$A),"")</f>
        <v/>
      </c>
      <c r="GY164">
        <f>COUNTIFS('DRAFT 2'!$D:$D,$B164,'DRAFT 2'!$A:$A,"&gt;="&amp;DATE(2026,9,1),'DRAFT 2'!$A:$A,"&lt;="&amp;DATE(2026,9,7))</f>
        <v/>
      </c>
      <c r="GZ164">
        <f>COUNTIFS('DRAFT 2'!$D:$D,$B164,'DRAFT 2'!$A:$A,"&gt;="&amp;DATE(2026,9,8),'DRAFT 2'!$A:$A,"&lt;="&amp;DATE(2026,9,14))</f>
        <v/>
      </c>
      <c r="HA164">
        <f>COUNTIFS('DRAFT 2'!$D:$D,$B164,'DRAFT 2'!$A:$A,"&gt;="&amp;DATE(2026,9,15),'DRAFT 2'!$A:$A,"&lt;="&amp;DATE(2026,9,21))</f>
        <v/>
      </c>
      <c r="HB164">
        <f>COUNTIFS('DRAFT 2'!$D:$D,$B164,'DRAFT 2'!$A:$A,"&gt;="&amp;DATE(2026,9,22),'DRAFT 2'!$A:$A,"&lt;"&amp;DATE(2026,IF(9=12,9+1,9+1),1))</f>
        <v/>
      </c>
      <c r="HC164">
        <f>SUM(GY164:HB164)</f>
        <v/>
      </c>
      <c r="HN164">
        <f>IFERROR(LOOKUP(2,1/('DRAFT 2'!$D:$D=$B164)*('DRAFT 2'!$A:$A&gt;=DATE(2026,10,1))*('DRAFT 2'!$A:$A&lt;DATE(2026,IF(10=12,10+1,10+1),1)),'DRAFT 2'!$A:$A),"")</f>
        <v/>
      </c>
      <c r="HO164">
        <f>COUNTIFS('DRAFT 2'!$D:$D,$B164,'DRAFT 2'!$A:$A,"&gt;="&amp;DATE(2026,10,1),'DRAFT 2'!$A:$A,"&lt;="&amp;DATE(2026,10,7))</f>
        <v/>
      </c>
      <c r="HP164">
        <f>COUNTIFS('DRAFT 2'!$D:$D,$B164,'DRAFT 2'!$A:$A,"&gt;="&amp;DATE(2026,10,8),'DRAFT 2'!$A:$A,"&lt;="&amp;DATE(2026,10,14))</f>
        <v/>
      </c>
      <c r="HQ164">
        <f>COUNTIFS('DRAFT 2'!$D:$D,$B164,'DRAFT 2'!$A:$A,"&gt;="&amp;DATE(2026,10,15),'DRAFT 2'!$A:$A,"&lt;="&amp;DATE(2026,10,21))</f>
        <v/>
      </c>
      <c r="HR164">
        <f>COUNTIFS('DRAFT 2'!$D:$D,$B164,'DRAFT 2'!$A:$A,"&gt;="&amp;DATE(2026,10,22),'DRAFT 2'!$A:$A,"&lt;"&amp;DATE(2026,IF(10=12,10+1,10+1),1))</f>
        <v/>
      </c>
      <c r="HS164">
        <f>SUM(HO164:HR164)</f>
        <v/>
      </c>
      <c r="IC164">
        <f>IFERROR(LOOKUP(2,1/('DRAFT 2'!$D:$D=$B164)*('DRAFT 2'!$A:$A&gt;=DATE(2026,11,1))*('DRAFT 2'!$A:$A&lt;DATE(2026,IF(11=12,11+1,11+1),1)),'DRAFT 2'!$A:$A),"")</f>
        <v/>
      </c>
      <c r="ID164">
        <f>COUNTIFS('DRAFT 2'!$D:$D,$B164,'DRAFT 2'!$A:$A,"&gt;="&amp;DATE(2026,11,1),'DRAFT 2'!$A:$A,"&lt;="&amp;DATE(2026,11,7))</f>
        <v/>
      </c>
      <c r="IE164">
        <f>COUNTIFS('DRAFT 2'!$D:$D,$B164,'DRAFT 2'!$A:$A,"&gt;="&amp;DATE(2026,11,8),'DRAFT 2'!$A:$A,"&lt;="&amp;DATE(2026,11,14))</f>
        <v/>
      </c>
      <c r="IF164">
        <f>COUNTIFS('DRAFT 2'!$D:$D,$B164,'DRAFT 2'!$A:$A,"&gt;="&amp;DATE(2026,11,15),'DRAFT 2'!$A:$A,"&lt;="&amp;DATE(2026,11,21))</f>
        <v/>
      </c>
      <c r="IG164">
        <f>COUNTIFS('DRAFT 2'!$D:$D,$B164,'DRAFT 2'!$A:$A,"&gt;="&amp;DATE(2026,11,22),'DRAFT 2'!$A:$A,"&lt;"&amp;DATE(2026,IF(11=12,11+1,11+1),1))</f>
        <v/>
      </c>
      <c r="IH164">
        <f>SUM(ID164:IG164)</f>
        <v/>
      </c>
      <c r="IR164">
        <f>IFERROR(LOOKUP(2,1/('DRAFT 2'!$D:$D=$B164)*('DRAFT 2'!$A:$A&gt;=DATE(2026,12,1))*('DRAFT 2'!$A:$A&lt;DATE(2026,IF(12=12,12+1,12+1),1)),'DRAFT 2'!$A:$A),"")</f>
        <v/>
      </c>
      <c r="IS164">
        <f>COUNTIFS('DRAFT 2'!$D:$D,$B164,'DRAFT 2'!$A:$A,"&gt;="&amp;DATE(2026,12,1),'DRAFT 2'!$A:$A,"&lt;="&amp;DATE(2026,12,7))</f>
        <v/>
      </c>
      <c r="IT164">
        <f>COUNTIFS('DRAFT 2'!$D:$D,$B164,'DRAFT 2'!$A:$A,"&gt;="&amp;DATE(2026,12,8),'DRAFT 2'!$A:$A,"&lt;="&amp;DATE(2026,12,14))</f>
        <v/>
      </c>
      <c r="IU164">
        <f>COUNTIFS('DRAFT 2'!$D:$D,$B164,'DRAFT 2'!$A:$A,"&gt;="&amp;DATE(2026,12,15),'DRAFT 2'!$A:$A,"&lt;="&amp;DATE(2026,12,21))</f>
        <v/>
      </c>
      <c r="IV164">
        <f>COUNTIFS('DRAFT 2'!$D:$D,$B164,'DRAFT 2'!$A:$A,"&gt;="&amp;DATE(2026,12,22),'DRAFT 2'!$A:$A,"&lt;"&amp;DATE(2026,IF(12=12,12+1,12+1),1))</f>
        <v/>
      </c>
      <c r="IW164">
        <f>SUM(IS164:IV164)</f>
        <v/>
      </c>
    </row>
    <row r="165">
      <c r="A165">
        <f>IFERROR(INDEX('DRAFT 1'!$A:$A,MATCH($B165,'DRAFT 1'!$B:$B,0)),"")</f>
        <v/>
      </c>
      <c r="C165">
        <f>IFERROR(INDEX('DRAFT 1'!$C:$C,MATCH($B165,'DRAFT 1'!$B:$B,0)),"")</f>
        <v/>
      </c>
      <c r="D165">
        <f>IFERROR(INDEX('DRAFT 1'!$D:$D,MATCH($B165,'DRAFT 1'!$B:$B,0)),"")</f>
        <v/>
      </c>
      <c r="E165">
        <f>IFERROR(INDEX('DRAFT 1'!$E:$E,MATCH($B165,'DRAFT 1'!$B:$B,0)),"")</f>
        <v/>
      </c>
      <c r="F165">
        <f>IFERROR(INDEX('DRAFT 1'!$F:$F,MATCH($B165,'DRAFT 1'!$B:$B,0)),"")</f>
        <v/>
      </c>
      <c r="G165">
        <f>IFERROR(INDEX('DRAFT 1'!$G:$G,MATCH($B165,'DRAFT 1'!$B:$B,0)),"")</f>
        <v/>
      </c>
      <c r="H165">
        <f>IFERROR(INDEX('DRAFT 1'!$H:$H,MATCH($B165,'DRAFT 1'!$B:$B,0)),"")</f>
        <v/>
      </c>
      <c r="I165">
        <f>IFERROR(INDEX('DRAFT 1'!$I:$I,MATCH($B165,'DRAFT 1'!$B:$B,0)),"")</f>
        <v/>
      </c>
      <c r="K165">
        <f>IFERROR(INDEX('DRAFT 1'!$AL:$AL,MATCH($B165,'DRAFT 1'!$B:$B,0)),"")</f>
        <v/>
      </c>
      <c r="L165">
        <f>IFERROR(INDEX('DRAFT 1'!$J:$J,MATCH($B165,'DRAFT 1'!$B:$B,0)),"")</f>
        <v/>
      </c>
      <c r="M165">
        <f>IFERROR(INDEX('DRAFT 1'!$K:$K,MATCH($B165,'DRAFT 1'!$B:$B,0)),"")</f>
        <v/>
      </c>
      <c r="P165">
        <f>IFERROR(INDEX('DRAFT 1'!$L:$L,MATCH($B165,'DRAFT 1'!$B:$B,0)),"")</f>
        <v/>
      </c>
      <c r="Q165">
        <f>IFERROR(INDEX('DRAFT 1'!$M:$M,MATCH($B165,'DRAFT 1'!$B:$B,0)),"")</f>
        <v/>
      </c>
      <c r="R165">
        <f>IFERROR(INDEX('DRAFT 1'!$N:$N,MATCH($B165,'DRAFT 1'!$B:$B,0)),"")</f>
        <v/>
      </c>
      <c r="S165">
        <f>IFERROR(INDEX('DRAFT 1'!$O:$O,MATCH($B165,'DRAFT 1'!$B:$B,0)),"")</f>
        <v/>
      </c>
      <c r="T165">
        <f>IFERROR(INDEX('DRAFT 1'!$P:$P,MATCH($B165,'DRAFT 1'!$B:$B,0)),"")</f>
        <v/>
      </c>
      <c r="U165">
        <f>IFERROR(INDEX('DRAFT 1'!$Q:$Q,MATCH($B165,'DRAFT 1'!$B:$B,0)),"")</f>
        <v/>
      </c>
      <c r="V165">
        <f>IFERROR(INDEX('DRAFT 1'!$R:$R,MATCH($B165,'DRAFT 1'!$B:$B,0)),"")</f>
        <v/>
      </c>
      <c r="W165">
        <f>IFERROR(INDEX('DRAFT 1'!$S:$S,MATCH($B165,'DRAFT 1'!$B:$B,0)),"")</f>
        <v/>
      </c>
      <c r="X165">
        <f>IFERROR(INDEX('DRAFT 1'!$T:$T,MATCH($B165,'DRAFT 1'!$B:$B,0)),"")</f>
        <v/>
      </c>
      <c r="Z165">
        <f>IFERROR(INDEX('DRAFT 1'!$U:$U,MATCH($B165,'DRAFT 1'!$B:$B,0)),"")</f>
        <v/>
      </c>
      <c r="AA165">
        <f>IFERROR(INDEX('DRAFT 1'!$V:$V,MATCH($B165,'DRAFT 1'!$B:$B,0)),"")</f>
        <v/>
      </c>
      <c r="AB165">
        <f>IFERROR(INDEX('DRAFT 1'!$W:$W,MATCH($B165,'DRAFT 1'!$B:$B,0)),"")</f>
        <v/>
      </c>
      <c r="AC165">
        <f>IFERROR(INDEX('DRAFT 1'!$X:$X,MATCH($B165,'DRAFT 1'!$B:$B,0)),"")</f>
        <v/>
      </c>
      <c r="AD165">
        <f>IFERROR(INDEX('DRAFT 1'!$Y:$Y,MATCH($B165,'DRAFT 1'!$B:$B,0)),"")</f>
        <v/>
      </c>
      <c r="AE165">
        <f>IFERROR(INDEX('DRAFT 1'!$Z:$Z,MATCH($B165,'DRAFT 1'!$B:$B,0)),"")</f>
        <v/>
      </c>
      <c r="AF165">
        <f>IFERROR(INDEX('DRAFT 1'!$AA:$AA,MATCH($B165,'DRAFT 1'!$B:$B,0)),"")</f>
        <v/>
      </c>
      <c r="AG165">
        <f>IFERROR(INDEX('DRAFT 1'!$AB:$AB,MATCH($B165,'DRAFT 1'!$B:$B,0)),"")</f>
        <v/>
      </c>
      <c r="AH165">
        <f>IFERROR(INDEX('DRAFT 1'!$AC:$AC,MATCH($B165,'DRAFT 1'!$B:$B,0)),"")</f>
        <v/>
      </c>
      <c r="AI165">
        <f>IFERROR(INDEX('DRAFT 1'!$AD:$AD,MATCH($B165,'DRAFT 1'!$B:$B,0)),"")</f>
        <v/>
      </c>
      <c r="AJ165">
        <f>IFERROR(INDEX('DRAFT 1'!$AE:$AE,MATCH($B165,'DRAFT 1'!$B:$B,0)),"")</f>
        <v/>
      </c>
      <c r="AK165">
        <f>IFERROR(INDEX('DRAFT 1'!$AG:$AG,MATCH($B165,'DRAFT 1'!$B:$B,0)),"")</f>
        <v/>
      </c>
      <c r="AL165">
        <f>IFERROR(INDEX('DRAFT 1'!$AH:$AH,MATCH($B165,'DRAFT 1'!$B:$B,0)),"")</f>
        <v/>
      </c>
      <c r="AM165">
        <f>IFERROR(INDEX('DRAFT 1'!$AI:$AI,MATCH($B165,'DRAFT 1'!$B:$B,0)),"")</f>
        <v/>
      </c>
      <c r="AN165">
        <f>IFERROR(INDEX('DRAFT 1'!$AJ:$AJ,MATCH($B165,'DRAFT 1'!$B:$B,0)),"")</f>
        <v/>
      </c>
      <c r="AO165">
        <f>IFERROR(Y165/AN165,0)</f>
        <v/>
      </c>
      <c r="AP165">
        <f>IFERROR(INDEX('DRAFT 1'!$AK:$AK,MATCH($B165,'DRAFT 1'!$B:$B,0)),"")</f>
        <v/>
      </c>
      <c r="AR165">
        <f>IFERROR(LOOKUP(2,1/('DRAFT 2'!$D:$D=$B165),'DRAFT 2'!$I:$I),"")</f>
        <v/>
      </c>
      <c r="AS165">
        <f>IFERROR(LOOKUP(2,1/('DRAFT 2'!$D:$D=$B165),'DRAFT 2'!$T:$T),"")</f>
        <v/>
      </c>
      <c r="AT165">
        <f>IFERROR(LOOKUP(2,1/('DRAFT 2'!$D:$D=$B165),'DRAFT 2'!$A:$A),"")</f>
        <v/>
      </c>
      <c r="AU165">
        <f>IFERROR(LOOKUP(2,1/('DRAFT 2'!$D:$D=$B165),'DRAFT 2'!$R:$R),"")</f>
        <v/>
      </c>
      <c r="AV165">
        <f>IFERROR(LOOKUP(2,1/('DRAFT 2'!$D:$D=$B165),'DRAFT 2'!$S:$S),"")</f>
        <v/>
      </c>
      <c r="AX165">
        <f>IFERROR(LOOKUP(2,1/('DRAFT 2'!$D:$D=$B165),'DRAFT 2'!$M:$M),"")</f>
        <v/>
      </c>
      <c r="AY165">
        <f>IFERROR(LOOKUP(2,1/('DRAFT 2'!$D:$D=$B165),'DRAFT 2'!$K:$K),"")</f>
        <v/>
      </c>
      <c r="BG165">
        <f>IFERROR(LOOKUP(2,1/('DRAFT 2'!$D:$D=$B165),'DRAFT 2'!$U:$U),"")</f>
        <v/>
      </c>
      <c r="BH165">
        <f>IFERROR(LOOKUP(2,1/('DRAFT 2'!$D:$D=$B165),'DRAFT 2'!$V:$V),"")</f>
        <v/>
      </c>
      <c r="CE165">
        <f>IFERROR(AJ165,0)</f>
        <v/>
      </c>
      <c r="CF165">
        <f>IFERROR(LOOKUP(2,1/('DRAFT 2'!$D:$D=$B165)*('DRAFT 2'!$A:$A&gt;=DATE(2026,1,1))*('DRAFT 2'!$A:$A&lt;DATE(2026,IF(1=12,1+1,1+1),1)),'DRAFT 2'!$A:$A),"")</f>
        <v/>
      </c>
      <c r="CG165">
        <f>COUNTIFS('DRAFT 2'!$D:$D,$B165,'DRAFT 2'!$A:$A,"&gt;="&amp;DATE(2026,1,1),'DRAFT 2'!$A:$A,"&lt;="&amp;DATE(2026,1,7))</f>
        <v/>
      </c>
      <c r="CH165">
        <f>COUNTIFS('DRAFT 2'!$D:$D,$B165,'DRAFT 2'!$A:$A,"&gt;="&amp;DATE(2026,1,8),'DRAFT 2'!$A:$A,"&lt;="&amp;DATE(2026,1,14))</f>
        <v/>
      </c>
      <c r="CI165">
        <f>COUNTIFS('DRAFT 2'!$D:$D,$B165,'DRAFT 2'!$A:$A,"&gt;="&amp;DATE(2026,1,15),'DRAFT 2'!$A:$A,"&lt;="&amp;DATE(2026,1,21))</f>
        <v/>
      </c>
      <c r="CJ165">
        <f>COUNTIFS('DRAFT 2'!$D:$D,$B165,'DRAFT 2'!$A:$A,"&gt;="&amp;DATE(2026,1,22),'DRAFT 2'!$A:$A,"&lt;"&amp;DATE(2026,IF(1=12,1+1,1+1),1))</f>
        <v/>
      </c>
      <c r="CK165">
        <f>SUM(CG165:CJ165)</f>
        <v/>
      </c>
      <c r="CT165" t="n">
        <v>0</v>
      </c>
      <c r="CU165">
        <f>IFERROR(LOOKUP(2,1/('DRAFT 2'!$D:$D=$B165)*('DRAFT 2'!$A:$A&gt;=DATE(2026,2,1))*('DRAFT 2'!$A:$A&lt;DATE(2026,IF(2=12,2+1,2+1),1)),'DRAFT 2'!$A:$A),"")</f>
        <v/>
      </c>
      <c r="CV165">
        <f>COUNTIFS('DRAFT 2'!$D:$D,$B165,'DRAFT 2'!$A:$A,"&gt;="&amp;DATE(2026,2,1),'DRAFT 2'!$A:$A,"&lt;="&amp;DATE(2026,2,7))</f>
        <v/>
      </c>
      <c r="CW165">
        <f>COUNTIFS('DRAFT 2'!$D:$D,$B165,'DRAFT 2'!$A:$A,"&gt;="&amp;DATE(2026,2,8),'DRAFT 2'!$A:$A,"&lt;="&amp;DATE(2026,2,14))</f>
        <v/>
      </c>
      <c r="CX165">
        <f>COUNTIFS('DRAFT 2'!$D:$D,$B165,'DRAFT 2'!$A:$A,"&gt;="&amp;DATE(2026,2,15),'DRAFT 2'!$A:$A,"&lt;="&amp;DATE(2026,2,21))</f>
        <v/>
      </c>
      <c r="CY165">
        <f>COUNTIFS('DRAFT 2'!$D:$D,$B165,'DRAFT 2'!$A:$A,"&gt;="&amp;DATE(2026,2,22),'DRAFT 2'!$A:$A,"&lt;"&amp;DATE(2026,IF(2=12,2+1,2+1),1))</f>
        <v/>
      </c>
      <c r="CZ165">
        <f>SUM(CV165:CY165)</f>
        <v/>
      </c>
      <c r="DJ165">
        <f>IFERROR(LOOKUP(2,1/('DRAFT 2'!$D:$D=$B165)*('DRAFT 2'!$A:$A&gt;=DATE(2026,3,1))*('DRAFT 2'!$A:$A&lt;DATE(2026,IF(3=12,3+1,3+1),1)),'DRAFT 2'!$A:$A),"")</f>
        <v/>
      </c>
      <c r="DK165">
        <f>COUNTIFS('DRAFT 2'!$D:$D,$B165,'DRAFT 2'!$A:$A,"&gt;="&amp;DATE(2026,3,1),'DRAFT 2'!$A:$A,"&lt;="&amp;DATE(2026,3,7))</f>
        <v/>
      </c>
      <c r="DL165">
        <f>COUNTIFS('DRAFT 2'!$D:$D,$B165,'DRAFT 2'!$A:$A,"&gt;="&amp;DATE(2026,3,8),'DRAFT 2'!$A:$A,"&lt;="&amp;DATE(2026,3,14))</f>
        <v/>
      </c>
      <c r="DM165">
        <f>COUNTIFS('DRAFT 2'!$D:$D,$B165,'DRAFT 2'!$A:$A,"&gt;="&amp;DATE(2026,3,15),'DRAFT 2'!$A:$A,"&lt;="&amp;DATE(2026,3,21))</f>
        <v/>
      </c>
      <c r="DN165">
        <f>COUNTIFS('DRAFT 2'!$D:$D,$B165,'DRAFT 2'!$A:$A,"&gt;="&amp;DATE(2026,3,22),'DRAFT 2'!$A:$A,"&lt;"&amp;DATE(2026,IF(3=12,3+1,3+1),1))</f>
        <v/>
      </c>
      <c r="DO165">
        <f>SUM(DK165:DN165)</f>
        <v/>
      </c>
      <c r="DZ165">
        <f>IFERROR(LOOKUP(2,1/('DRAFT 2'!$D:$D=$B165)*('DRAFT 2'!$A:$A&gt;=DATE(2026,4,1))*('DRAFT 2'!$A:$A&lt;DATE(2026,IF(4=12,4+1,4+1),1)),'DRAFT 2'!$A:$A),"")</f>
        <v/>
      </c>
      <c r="EA165">
        <f>COUNTIFS('DRAFT 2'!$D:$D,$B165,'DRAFT 2'!$A:$A,"&gt;="&amp;DATE(2026,4,1),'DRAFT 2'!$A:$A,"&lt;="&amp;DATE(2026,4,7))</f>
        <v/>
      </c>
      <c r="EB165">
        <f>COUNTIFS('DRAFT 2'!$D:$D,$B165,'DRAFT 2'!$A:$A,"&gt;="&amp;DATE(2026,4,8),'DRAFT 2'!$A:$A,"&lt;="&amp;DATE(2026,4,14))</f>
        <v/>
      </c>
      <c r="EC165">
        <f>COUNTIFS('DRAFT 2'!$D:$D,$B165,'DRAFT 2'!$A:$A,"&gt;="&amp;DATE(2026,4,15),'DRAFT 2'!$A:$A,"&lt;="&amp;DATE(2026,4,21))</f>
        <v/>
      </c>
      <c r="ED165">
        <f>COUNTIFS('DRAFT 2'!$D:$D,$B165,'DRAFT 2'!$A:$A,"&gt;="&amp;DATE(2026,4,22),'DRAFT 2'!$A:$A,"&lt;"&amp;DATE(2026,IF(4=12,4+1,4+1),1))</f>
        <v/>
      </c>
      <c r="EE165">
        <f>SUM(EA165:ED165)</f>
        <v/>
      </c>
      <c r="EO165">
        <f>IFERROR(LOOKUP(2,1/('DRAFT 2'!$D:$D=$B165)*('DRAFT 2'!$A:$A&gt;=DATE(2026,5,1))*('DRAFT 2'!$A:$A&lt;DATE(2026,IF(5=12,5+1,5+1),1)),'DRAFT 2'!$A:$A),"")</f>
        <v/>
      </c>
      <c r="EP165">
        <f>COUNTIFS('DRAFT 2'!$D:$D,$B165,'DRAFT 2'!$A:$A,"&gt;="&amp;DATE(2026,5,1),'DRAFT 2'!$A:$A,"&lt;="&amp;DATE(2026,5,7))</f>
        <v/>
      </c>
      <c r="EQ165">
        <f>COUNTIFS('DRAFT 2'!$D:$D,$B165,'DRAFT 2'!$A:$A,"&gt;="&amp;DATE(2026,5,8),'DRAFT 2'!$A:$A,"&lt;="&amp;DATE(2026,5,14))</f>
        <v/>
      </c>
      <c r="ER165">
        <f>COUNTIFS('DRAFT 2'!$D:$D,$B165,'DRAFT 2'!$A:$A,"&gt;="&amp;DATE(2026,5,15),'DRAFT 2'!$A:$A,"&lt;="&amp;DATE(2026,5,21))</f>
        <v/>
      </c>
      <c r="ES165">
        <f>COUNTIFS('DRAFT 2'!$D:$D,$B165,'DRAFT 2'!$A:$A,"&gt;="&amp;DATE(2026,5,22),'DRAFT 2'!$A:$A,"&lt;"&amp;DATE(2026,IF(5=12,5+1,5+1),1))</f>
        <v/>
      </c>
      <c r="ET165">
        <f>SUM(EP165:ES165)</f>
        <v/>
      </c>
      <c r="FD165">
        <f>IFERROR(LOOKUP(2,1/('DRAFT 2'!$D:$D=$B165)*('DRAFT 2'!$A:$A&gt;=DATE(2026,6,1))*('DRAFT 2'!$A:$A&lt;DATE(2026,IF(6=12,6+1,6+1),1)),'DRAFT 2'!$A:$A),"")</f>
        <v/>
      </c>
      <c r="FE165">
        <f>COUNTIFS('DRAFT 2'!$D:$D,$B165,'DRAFT 2'!$A:$A,"&gt;="&amp;DATE(2026,6,1),'DRAFT 2'!$A:$A,"&lt;="&amp;DATE(2026,6,7))</f>
        <v/>
      </c>
      <c r="FF165">
        <f>COUNTIFS('DRAFT 2'!$D:$D,$B165,'DRAFT 2'!$A:$A,"&gt;="&amp;DATE(2026,6,8),'DRAFT 2'!$A:$A,"&lt;="&amp;DATE(2026,6,14))</f>
        <v/>
      </c>
      <c r="FG165">
        <f>COUNTIFS('DRAFT 2'!$D:$D,$B165,'DRAFT 2'!$A:$A,"&gt;="&amp;DATE(2026,6,15),'DRAFT 2'!$A:$A,"&lt;="&amp;DATE(2026,6,21))</f>
        <v/>
      </c>
      <c r="FH165">
        <f>COUNTIFS('DRAFT 2'!$D:$D,$B165,'DRAFT 2'!$A:$A,"&gt;="&amp;DATE(2026,6,22),'DRAFT 2'!$A:$A,"&lt;"&amp;DATE(2026,IF(6=12,6+1,6+1),1))</f>
        <v/>
      </c>
      <c r="FI165">
        <f>SUM(FE165:FH165)</f>
        <v/>
      </c>
      <c r="FT165">
        <f>IFERROR(LOOKUP(2,1/('DRAFT 2'!$D:$D=$B165)*('DRAFT 2'!$A:$A&gt;=DATE(2026,7,1))*('DRAFT 2'!$A:$A&lt;DATE(2026,IF(7=12,7+1,7+1),1)),'DRAFT 2'!$A:$A),"")</f>
        <v/>
      </c>
      <c r="FU165">
        <f>COUNTIFS('DRAFT 2'!$D:$D,$B165,'DRAFT 2'!$A:$A,"&gt;="&amp;DATE(2026,7,1),'DRAFT 2'!$A:$A,"&lt;="&amp;DATE(2026,7,7))</f>
        <v/>
      </c>
      <c r="FV165">
        <f>COUNTIFS('DRAFT 2'!$D:$D,$B165,'DRAFT 2'!$A:$A,"&gt;="&amp;DATE(2026,7,8),'DRAFT 2'!$A:$A,"&lt;="&amp;DATE(2026,7,14))</f>
        <v/>
      </c>
      <c r="FW165">
        <f>COUNTIFS('DRAFT 2'!$D:$D,$B165,'DRAFT 2'!$A:$A,"&gt;="&amp;DATE(2026,7,15),'DRAFT 2'!$A:$A,"&lt;="&amp;DATE(2026,7,21))</f>
        <v/>
      </c>
      <c r="FX165">
        <f>COUNTIFS('DRAFT 2'!$D:$D,$B165,'DRAFT 2'!$A:$A,"&gt;="&amp;DATE(2026,7,22),'DRAFT 2'!$A:$A,"&lt;"&amp;DATE(2026,IF(7=12,7+1,7+1),1))</f>
        <v/>
      </c>
      <c r="FY165">
        <f>SUM(FU165:FX165)</f>
        <v/>
      </c>
      <c r="GI165">
        <f>IFERROR(LOOKUP(2,1/('DRAFT 2'!$D:$D=$B165)*('DRAFT 2'!$A:$A&gt;=DATE(2026,8,1))*('DRAFT 2'!$A:$A&lt;DATE(2026,IF(8=12,8+1,8+1),1)),'DRAFT 2'!$A:$A),"")</f>
        <v/>
      </c>
      <c r="GJ165">
        <f>COUNTIFS('DRAFT 2'!$D:$D,$B165,'DRAFT 2'!$A:$A,"&gt;="&amp;DATE(2026,8,1),'DRAFT 2'!$A:$A,"&lt;="&amp;DATE(2026,8,7))</f>
        <v/>
      </c>
      <c r="GK165">
        <f>COUNTIFS('DRAFT 2'!$D:$D,$B165,'DRAFT 2'!$A:$A,"&gt;="&amp;DATE(2026,8,8),'DRAFT 2'!$A:$A,"&lt;="&amp;DATE(2026,8,14))</f>
        <v/>
      </c>
      <c r="GL165">
        <f>COUNTIFS('DRAFT 2'!$D:$D,$B165,'DRAFT 2'!$A:$A,"&gt;="&amp;DATE(2026,8,15),'DRAFT 2'!$A:$A,"&lt;="&amp;DATE(2026,8,21))</f>
        <v/>
      </c>
      <c r="GM165">
        <f>COUNTIFS('DRAFT 2'!$D:$D,$B165,'DRAFT 2'!$A:$A,"&gt;="&amp;DATE(2026,8,22),'DRAFT 2'!$A:$A,"&lt;"&amp;DATE(2026,IF(8=12,8+1,8+1),1))</f>
        <v/>
      </c>
      <c r="GN165">
        <f>SUM(GJ165:GM165)</f>
        <v/>
      </c>
      <c r="GX165">
        <f>IFERROR(LOOKUP(2,1/('DRAFT 2'!$D:$D=$B165)*('DRAFT 2'!$A:$A&gt;=DATE(2026,9,1))*('DRAFT 2'!$A:$A&lt;DATE(2026,IF(9=12,9+1,9+1),1)),'DRAFT 2'!$A:$A),"")</f>
        <v/>
      </c>
      <c r="GY165">
        <f>COUNTIFS('DRAFT 2'!$D:$D,$B165,'DRAFT 2'!$A:$A,"&gt;="&amp;DATE(2026,9,1),'DRAFT 2'!$A:$A,"&lt;="&amp;DATE(2026,9,7))</f>
        <v/>
      </c>
      <c r="GZ165">
        <f>COUNTIFS('DRAFT 2'!$D:$D,$B165,'DRAFT 2'!$A:$A,"&gt;="&amp;DATE(2026,9,8),'DRAFT 2'!$A:$A,"&lt;="&amp;DATE(2026,9,14))</f>
        <v/>
      </c>
      <c r="HA165">
        <f>COUNTIFS('DRAFT 2'!$D:$D,$B165,'DRAFT 2'!$A:$A,"&gt;="&amp;DATE(2026,9,15),'DRAFT 2'!$A:$A,"&lt;="&amp;DATE(2026,9,21))</f>
        <v/>
      </c>
      <c r="HB165">
        <f>COUNTIFS('DRAFT 2'!$D:$D,$B165,'DRAFT 2'!$A:$A,"&gt;="&amp;DATE(2026,9,22),'DRAFT 2'!$A:$A,"&lt;"&amp;DATE(2026,IF(9=12,9+1,9+1),1))</f>
        <v/>
      </c>
      <c r="HC165">
        <f>SUM(GY165:HB165)</f>
        <v/>
      </c>
      <c r="HN165">
        <f>IFERROR(LOOKUP(2,1/('DRAFT 2'!$D:$D=$B165)*('DRAFT 2'!$A:$A&gt;=DATE(2026,10,1))*('DRAFT 2'!$A:$A&lt;DATE(2026,IF(10=12,10+1,10+1),1)),'DRAFT 2'!$A:$A),"")</f>
        <v/>
      </c>
      <c r="HO165">
        <f>COUNTIFS('DRAFT 2'!$D:$D,$B165,'DRAFT 2'!$A:$A,"&gt;="&amp;DATE(2026,10,1),'DRAFT 2'!$A:$A,"&lt;="&amp;DATE(2026,10,7))</f>
        <v/>
      </c>
      <c r="HP165">
        <f>COUNTIFS('DRAFT 2'!$D:$D,$B165,'DRAFT 2'!$A:$A,"&gt;="&amp;DATE(2026,10,8),'DRAFT 2'!$A:$A,"&lt;="&amp;DATE(2026,10,14))</f>
        <v/>
      </c>
      <c r="HQ165">
        <f>COUNTIFS('DRAFT 2'!$D:$D,$B165,'DRAFT 2'!$A:$A,"&gt;="&amp;DATE(2026,10,15),'DRAFT 2'!$A:$A,"&lt;="&amp;DATE(2026,10,21))</f>
        <v/>
      </c>
      <c r="HR165">
        <f>COUNTIFS('DRAFT 2'!$D:$D,$B165,'DRAFT 2'!$A:$A,"&gt;="&amp;DATE(2026,10,22),'DRAFT 2'!$A:$A,"&lt;"&amp;DATE(2026,IF(10=12,10+1,10+1),1))</f>
        <v/>
      </c>
      <c r="HS165">
        <f>SUM(HO165:HR165)</f>
        <v/>
      </c>
      <c r="IC165">
        <f>IFERROR(LOOKUP(2,1/('DRAFT 2'!$D:$D=$B165)*('DRAFT 2'!$A:$A&gt;=DATE(2026,11,1))*('DRAFT 2'!$A:$A&lt;DATE(2026,IF(11=12,11+1,11+1),1)),'DRAFT 2'!$A:$A),"")</f>
        <v/>
      </c>
      <c r="ID165">
        <f>COUNTIFS('DRAFT 2'!$D:$D,$B165,'DRAFT 2'!$A:$A,"&gt;="&amp;DATE(2026,11,1),'DRAFT 2'!$A:$A,"&lt;="&amp;DATE(2026,11,7))</f>
        <v/>
      </c>
      <c r="IE165">
        <f>COUNTIFS('DRAFT 2'!$D:$D,$B165,'DRAFT 2'!$A:$A,"&gt;="&amp;DATE(2026,11,8),'DRAFT 2'!$A:$A,"&lt;="&amp;DATE(2026,11,14))</f>
        <v/>
      </c>
      <c r="IF165">
        <f>COUNTIFS('DRAFT 2'!$D:$D,$B165,'DRAFT 2'!$A:$A,"&gt;="&amp;DATE(2026,11,15),'DRAFT 2'!$A:$A,"&lt;="&amp;DATE(2026,11,21))</f>
        <v/>
      </c>
      <c r="IG165">
        <f>COUNTIFS('DRAFT 2'!$D:$D,$B165,'DRAFT 2'!$A:$A,"&gt;="&amp;DATE(2026,11,22),'DRAFT 2'!$A:$A,"&lt;"&amp;DATE(2026,IF(11=12,11+1,11+1),1))</f>
        <v/>
      </c>
      <c r="IH165">
        <f>SUM(ID165:IG165)</f>
        <v/>
      </c>
      <c r="IR165">
        <f>IFERROR(LOOKUP(2,1/('DRAFT 2'!$D:$D=$B165)*('DRAFT 2'!$A:$A&gt;=DATE(2026,12,1))*('DRAFT 2'!$A:$A&lt;DATE(2026,IF(12=12,12+1,12+1),1)),'DRAFT 2'!$A:$A),"")</f>
        <v/>
      </c>
      <c r="IS165">
        <f>COUNTIFS('DRAFT 2'!$D:$D,$B165,'DRAFT 2'!$A:$A,"&gt;="&amp;DATE(2026,12,1),'DRAFT 2'!$A:$A,"&lt;="&amp;DATE(2026,12,7))</f>
        <v/>
      </c>
      <c r="IT165">
        <f>COUNTIFS('DRAFT 2'!$D:$D,$B165,'DRAFT 2'!$A:$A,"&gt;="&amp;DATE(2026,12,8),'DRAFT 2'!$A:$A,"&lt;="&amp;DATE(2026,12,14))</f>
        <v/>
      </c>
      <c r="IU165">
        <f>COUNTIFS('DRAFT 2'!$D:$D,$B165,'DRAFT 2'!$A:$A,"&gt;="&amp;DATE(2026,12,15),'DRAFT 2'!$A:$A,"&lt;="&amp;DATE(2026,12,21))</f>
        <v/>
      </c>
      <c r="IV165">
        <f>COUNTIFS('DRAFT 2'!$D:$D,$B165,'DRAFT 2'!$A:$A,"&gt;="&amp;DATE(2026,12,22),'DRAFT 2'!$A:$A,"&lt;"&amp;DATE(2026,IF(12=12,12+1,12+1),1))</f>
        <v/>
      </c>
      <c r="IW165">
        <f>SUM(IS165:IV165)</f>
        <v/>
      </c>
    </row>
    <row r="166">
      <c r="A166">
        <f>IFERROR(INDEX('DRAFT 1'!$A:$A,MATCH($B166,'DRAFT 1'!$B:$B,0)),"")</f>
        <v/>
      </c>
      <c r="C166">
        <f>IFERROR(INDEX('DRAFT 1'!$C:$C,MATCH($B166,'DRAFT 1'!$B:$B,0)),"")</f>
        <v/>
      </c>
      <c r="D166">
        <f>IFERROR(INDEX('DRAFT 1'!$D:$D,MATCH($B166,'DRAFT 1'!$B:$B,0)),"")</f>
        <v/>
      </c>
      <c r="E166">
        <f>IFERROR(INDEX('DRAFT 1'!$E:$E,MATCH($B166,'DRAFT 1'!$B:$B,0)),"")</f>
        <v/>
      </c>
      <c r="F166">
        <f>IFERROR(INDEX('DRAFT 1'!$F:$F,MATCH($B166,'DRAFT 1'!$B:$B,0)),"")</f>
        <v/>
      </c>
      <c r="G166">
        <f>IFERROR(INDEX('DRAFT 1'!$G:$G,MATCH($B166,'DRAFT 1'!$B:$B,0)),"")</f>
        <v/>
      </c>
      <c r="H166">
        <f>IFERROR(INDEX('DRAFT 1'!$H:$H,MATCH($B166,'DRAFT 1'!$B:$B,0)),"")</f>
        <v/>
      </c>
      <c r="I166">
        <f>IFERROR(INDEX('DRAFT 1'!$I:$I,MATCH($B166,'DRAFT 1'!$B:$B,0)),"")</f>
        <v/>
      </c>
      <c r="K166">
        <f>IFERROR(INDEX('DRAFT 1'!$AL:$AL,MATCH($B166,'DRAFT 1'!$B:$B,0)),"")</f>
        <v/>
      </c>
      <c r="L166">
        <f>IFERROR(INDEX('DRAFT 1'!$J:$J,MATCH($B166,'DRAFT 1'!$B:$B,0)),"")</f>
        <v/>
      </c>
      <c r="M166">
        <f>IFERROR(INDEX('DRAFT 1'!$K:$K,MATCH($B166,'DRAFT 1'!$B:$B,0)),"")</f>
        <v/>
      </c>
      <c r="P166">
        <f>IFERROR(INDEX('DRAFT 1'!$L:$L,MATCH($B166,'DRAFT 1'!$B:$B,0)),"")</f>
        <v/>
      </c>
      <c r="Q166">
        <f>IFERROR(INDEX('DRAFT 1'!$M:$M,MATCH($B166,'DRAFT 1'!$B:$B,0)),"")</f>
        <v/>
      </c>
      <c r="R166">
        <f>IFERROR(INDEX('DRAFT 1'!$N:$N,MATCH($B166,'DRAFT 1'!$B:$B,0)),"")</f>
        <v/>
      </c>
      <c r="S166">
        <f>IFERROR(INDEX('DRAFT 1'!$O:$O,MATCH($B166,'DRAFT 1'!$B:$B,0)),"")</f>
        <v/>
      </c>
      <c r="T166">
        <f>IFERROR(INDEX('DRAFT 1'!$P:$P,MATCH($B166,'DRAFT 1'!$B:$B,0)),"")</f>
        <v/>
      </c>
      <c r="U166">
        <f>IFERROR(INDEX('DRAFT 1'!$Q:$Q,MATCH($B166,'DRAFT 1'!$B:$B,0)),"")</f>
        <v/>
      </c>
      <c r="V166">
        <f>IFERROR(INDEX('DRAFT 1'!$R:$R,MATCH($B166,'DRAFT 1'!$B:$B,0)),"")</f>
        <v/>
      </c>
      <c r="W166">
        <f>IFERROR(INDEX('DRAFT 1'!$S:$S,MATCH($B166,'DRAFT 1'!$B:$B,0)),"")</f>
        <v/>
      </c>
      <c r="X166">
        <f>IFERROR(INDEX('DRAFT 1'!$T:$T,MATCH($B166,'DRAFT 1'!$B:$B,0)),"")</f>
        <v/>
      </c>
      <c r="Z166">
        <f>IFERROR(INDEX('DRAFT 1'!$U:$U,MATCH($B166,'DRAFT 1'!$B:$B,0)),"")</f>
        <v/>
      </c>
      <c r="AA166">
        <f>IFERROR(INDEX('DRAFT 1'!$V:$V,MATCH($B166,'DRAFT 1'!$B:$B,0)),"")</f>
        <v/>
      </c>
      <c r="AB166">
        <f>IFERROR(INDEX('DRAFT 1'!$W:$W,MATCH($B166,'DRAFT 1'!$B:$B,0)),"")</f>
        <v/>
      </c>
      <c r="AC166">
        <f>IFERROR(INDEX('DRAFT 1'!$X:$X,MATCH($B166,'DRAFT 1'!$B:$B,0)),"")</f>
        <v/>
      </c>
      <c r="AD166">
        <f>IFERROR(INDEX('DRAFT 1'!$Y:$Y,MATCH($B166,'DRAFT 1'!$B:$B,0)),"")</f>
        <v/>
      </c>
      <c r="AE166">
        <f>IFERROR(INDEX('DRAFT 1'!$Z:$Z,MATCH($B166,'DRAFT 1'!$B:$B,0)),"")</f>
        <v/>
      </c>
      <c r="AF166">
        <f>IFERROR(INDEX('DRAFT 1'!$AA:$AA,MATCH($B166,'DRAFT 1'!$B:$B,0)),"")</f>
        <v/>
      </c>
      <c r="AG166">
        <f>IFERROR(INDEX('DRAFT 1'!$AB:$AB,MATCH($B166,'DRAFT 1'!$B:$B,0)),"")</f>
        <v/>
      </c>
      <c r="AH166">
        <f>IFERROR(INDEX('DRAFT 1'!$AC:$AC,MATCH($B166,'DRAFT 1'!$B:$B,0)),"")</f>
        <v/>
      </c>
      <c r="AI166">
        <f>IFERROR(INDEX('DRAFT 1'!$AD:$AD,MATCH($B166,'DRAFT 1'!$B:$B,0)),"")</f>
        <v/>
      </c>
      <c r="AJ166">
        <f>IFERROR(INDEX('DRAFT 1'!$AE:$AE,MATCH($B166,'DRAFT 1'!$B:$B,0)),"")</f>
        <v/>
      </c>
      <c r="AK166">
        <f>IFERROR(INDEX('DRAFT 1'!$AG:$AG,MATCH($B166,'DRAFT 1'!$B:$B,0)),"")</f>
        <v/>
      </c>
      <c r="AL166">
        <f>IFERROR(INDEX('DRAFT 1'!$AH:$AH,MATCH($B166,'DRAFT 1'!$B:$B,0)),"")</f>
        <v/>
      </c>
      <c r="AM166">
        <f>IFERROR(INDEX('DRAFT 1'!$AI:$AI,MATCH($B166,'DRAFT 1'!$B:$B,0)),"")</f>
        <v/>
      </c>
      <c r="AN166">
        <f>IFERROR(INDEX('DRAFT 1'!$AJ:$AJ,MATCH($B166,'DRAFT 1'!$B:$B,0)),"")</f>
        <v/>
      </c>
      <c r="AO166">
        <f>IFERROR(Y166/AN166,0)</f>
        <v/>
      </c>
      <c r="AP166">
        <f>IFERROR(INDEX('DRAFT 1'!$AK:$AK,MATCH($B166,'DRAFT 1'!$B:$B,0)),"")</f>
        <v/>
      </c>
      <c r="AR166">
        <f>IFERROR(LOOKUP(2,1/('DRAFT 2'!$D:$D=$B166),'DRAFT 2'!$I:$I),"")</f>
        <v/>
      </c>
      <c r="AS166">
        <f>IFERROR(LOOKUP(2,1/('DRAFT 2'!$D:$D=$B166),'DRAFT 2'!$T:$T),"")</f>
        <v/>
      </c>
      <c r="AT166">
        <f>IFERROR(LOOKUP(2,1/('DRAFT 2'!$D:$D=$B166),'DRAFT 2'!$A:$A),"")</f>
        <v/>
      </c>
      <c r="AU166">
        <f>IFERROR(LOOKUP(2,1/('DRAFT 2'!$D:$D=$B166),'DRAFT 2'!$R:$R),"")</f>
        <v/>
      </c>
      <c r="AV166">
        <f>IFERROR(LOOKUP(2,1/('DRAFT 2'!$D:$D=$B166),'DRAFT 2'!$S:$S),"")</f>
        <v/>
      </c>
      <c r="AX166">
        <f>IFERROR(LOOKUP(2,1/('DRAFT 2'!$D:$D=$B166),'DRAFT 2'!$M:$M),"")</f>
        <v/>
      </c>
      <c r="AY166">
        <f>IFERROR(LOOKUP(2,1/('DRAFT 2'!$D:$D=$B166),'DRAFT 2'!$K:$K),"")</f>
        <v/>
      </c>
      <c r="BG166">
        <f>IFERROR(LOOKUP(2,1/('DRAFT 2'!$D:$D=$B166),'DRAFT 2'!$U:$U),"")</f>
        <v/>
      </c>
      <c r="BH166">
        <f>IFERROR(LOOKUP(2,1/('DRAFT 2'!$D:$D=$B166),'DRAFT 2'!$V:$V),"")</f>
        <v/>
      </c>
      <c r="CE166">
        <f>IFERROR(AJ166,0)</f>
        <v/>
      </c>
      <c r="CF166">
        <f>IFERROR(LOOKUP(2,1/('DRAFT 2'!$D:$D=$B166)*('DRAFT 2'!$A:$A&gt;=DATE(2026,1,1))*('DRAFT 2'!$A:$A&lt;DATE(2026,IF(1=12,1+1,1+1),1)),'DRAFT 2'!$A:$A),"")</f>
        <v/>
      </c>
      <c r="CG166">
        <f>COUNTIFS('DRAFT 2'!$D:$D,$B166,'DRAFT 2'!$A:$A,"&gt;="&amp;DATE(2026,1,1),'DRAFT 2'!$A:$A,"&lt;="&amp;DATE(2026,1,7))</f>
        <v/>
      </c>
      <c r="CH166">
        <f>COUNTIFS('DRAFT 2'!$D:$D,$B166,'DRAFT 2'!$A:$A,"&gt;="&amp;DATE(2026,1,8),'DRAFT 2'!$A:$A,"&lt;="&amp;DATE(2026,1,14))</f>
        <v/>
      </c>
      <c r="CI166">
        <f>COUNTIFS('DRAFT 2'!$D:$D,$B166,'DRAFT 2'!$A:$A,"&gt;="&amp;DATE(2026,1,15),'DRAFT 2'!$A:$A,"&lt;="&amp;DATE(2026,1,21))</f>
        <v/>
      </c>
      <c r="CJ166">
        <f>COUNTIFS('DRAFT 2'!$D:$D,$B166,'DRAFT 2'!$A:$A,"&gt;="&amp;DATE(2026,1,22),'DRAFT 2'!$A:$A,"&lt;"&amp;DATE(2026,IF(1=12,1+1,1+1),1))</f>
        <v/>
      </c>
      <c r="CK166">
        <f>SUM(CG166:CJ166)</f>
        <v/>
      </c>
      <c r="CT166" t="n">
        <v>0</v>
      </c>
      <c r="CU166">
        <f>IFERROR(LOOKUP(2,1/('DRAFT 2'!$D:$D=$B166)*('DRAFT 2'!$A:$A&gt;=DATE(2026,2,1))*('DRAFT 2'!$A:$A&lt;DATE(2026,IF(2=12,2+1,2+1),1)),'DRAFT 2'!$A:$A),"")</f>
        <v/>
      </c>
      <c r="CV166">
        <f>COUNTIFS('DRAFT 2'!$D:$D,$B166,'DRAFT 2'!$A:$A,"&gt;="&amp;DATE(2026,2,1),'DRAFT 2'!$A:$A,"&lt;="&amp;DATE(2026,2,7))</f>
        <v/>
      </c>
      <c r="CW166">
        <f>COUNTIFS('DRAFT 2'!$D:$D,$B166,'DRAFT 2'!$A:$A,"&gt;="&amp;DATE(2026,2,8),'DRAFT 2'!$A:$A,"&lt;="&amp;DATE(2026,2,14))</f>
        <v/>
      </c>
      <c r="CX166">
        <f>COUNTIFS('DRAFT 2'!$D:$D,$B166,'DRAFT 2'!$A:$A,"&gt;="&amp;DATE(2026,2,15),'DRAFT 2'!$A:$A,"&lt;="&amp;DATE(2026,2,21))</f>
        <v/>
      </c>
      <c r="CY166">
        <f>COUNTIFS('DRAFT 2'!$D:$D,$B166,'DRAFT 2'!$A:$A,"&gt;="&amp;DATE(2026,2,22),'DRAFT 2'!$A:$A,"&lt;"&amp;DATE(2026,IF(2=12,2+1,2+1),1))</f>
        <v/>
      </c>
      <c r="CZ166">
        <f>SUM(CV166:CY166)</f>
        <v/>
      </c>
      <c r="DJ166">
        <f>IFERROR(LOOKUP(2,1/('DRAFT 2'!$D:$D=$B166)*('DRAFT 2'!$A:$A&gt;=DATE(2026,3,1))*('DRAFT 2'!$A:$A&lt;DATE(2026,IF(3=12,3+1,3+1),1)),'DRAFT 2'!$A:$A),"")</f>
        <v/>
      </c>
      <c r="DK166">
        <f>COUNTIFS('DRAFT 2'!$D:$D,$B166,'DRAFT 2'!$A:$A,"&gt;="&amp;DATE(2026,3,1),'DRAFT 2'!$A:$A,"&lt;="&amp;DATE(2026,3,7))</f>
        <v/>
      </c>
      <c r="DL166">
        <f>COUNTIFS('DRAFT 2'!$D:$D,$B166,'DRAFT 2'!$A:$A,"&gt;="&amp;DATE(2026,3,8),'DRAFT 2'!$A:$A,"&lt;="&amp;DATE(2026,3,14))</f>
        <v/>
      </c>
      <c r="DM166">
        <f>COUNTIFS('DRAFT 2'!$D:$D,$B166,'DRAFT 2'!$A:$A,"&gt;="&amp;DATE(2026,3,15),'DRAFT 2'!$A:$A,"&lt;="&amp;DATE(2026,3,21))</f>
        <v/>
      </c>
      <c r="DN166">
        <f>COUNTIFS('DRAFT 2'!$D:$D,$B166,'DRAFT 2'!$A:$A,"&gt;="&amp;DATE(2026,3,22),'DRAFT 2'!$A:$A,"&lt;"&amp;DATE(2026,IF(3=12,3+1,3+1),1))</f>
        <v/>
      </c>
      <c r="DO166">
        <f>SUM(DK166:DN166)</f>
        <v/>
      </c>
      <c r="DZ166">
        <f>IFERROR(LOOKUP(2,1/('DRAFT 2'!$D:$D=$B166)*('DRAFT 2'!$A:$A&gt;=DATE(2026,4,1))*('DRAFT 2'!$A:$A&lt;DATE(2026,IF(4=12,4+1,4+1),1)),'DRAFT 2'!$A:$A),"")</f>
        <v/>
      </c>
      <c r="EA166">
        <f>COUNTIFS('DRAFT 2'!$D:$D,$B166,'DRAFT 2'!$A:$A,"&gt;="&amp;DATE(2026,4,1),'DRAFT 2'!$A:$A,"&lt;="&amp;DATE(2026,4,7))</f>
        <v/>
      </c>
      <c r="EB166">
        <f>COUNTIFS('DRAFT 2'!$D:$D,$B166,'DRAFT 2'!$A:$A,"&gt;="&amp;DATE(2026,4,8),'DRAFT 2'!$A:$A,"&lt;="&amp;DATE(2026,4,14))</f>
        <v/>
      </c>
      <c r="EC166">
        <f>COUNTIFS('DRAFT 2'!$D:$D,$B166,'DRAFT 2'!$A:$A,"&gt;="&amp;DATE(2026,4,15),'DRAFT 2'!$A:$A,"&lt;="&amp;DATE(2026,4,21))</f>
        <v/>
      </c>
      <c r="ED166">
        <f>COUNTIFS('DRAFT 2'!$D:$D,$B166,'DRAFT 2'!$A:$A,"&gt;="&amp;DATE(2026,4,22),'DRAFT 2'!$A:$A,"&lt;"&amp;DATE(2026,IF(4=12,4+1,4+1),1))</f>
        <v/>
      </c>
      <c r="EE166">
        <f>SUM(EA166:ED166)</f>
        <v/>
      </c>
      <c r="EO166">
        <f>IFERROR(LOOKUP(2,1/('DRAFT 2'!$D:$D=$B166)*('DRAFT 2'!$A:$A&gt;=DATE(2026,5,1))*('DRAFT 2'!$A:$A&lt;DATE(2026,IF(5=12,5+1,5+1),1)),'DRAFT 2'!$A:$A),"")</f>
        <v/>
      </c>
      <c r="EP166">
        <f>COUNTIFS('DRAFT 2'!$D:$D,$B166,'DRAFT 2'!$A:$A,"&gt;="&amp;DATE(2026,5,1),'DRAFT 2'!$A:$A,"&lt;="&amp;DATE(2026,5,7))</f>
        <v/>
      </c>
      <c r="EQ166">
        <f>COUNTIFS('DRAFT 2'!$D:$D,$B166,'DRAFT 2'!$A:$A,"&gt;="&amp;DATE(2026,5,8),'DRAFT 2'!$A:$A,"&lt;="&amp;DATE(2026,5,14))</f>
        <v/>
      </c>
      <c r="ER166">
        <f>COUNTIFS('DRAFT 2'!$D:$D,$B166,'DRAFT 2'!$A:$A,"&gt;="&amp;DATE(2026,5,15),'DRAFT 2'!$A:$A,"&lt;="&amp;DATE(2026,5,21))</f>
        <v/>
      </c>
      <c r="ES166">
        <f>COUNTIFS('DRAFT 2'!$D:$D,$B166,'DRAFT 2'!$A:$A,"&gt;="&amp;DATE(2026,5,22),'DRAFT 2'!$A:$A,"&lt;"&amp;DATE(2026,IF(5=12,5+1,5+1),1))</f>
        <v/>
      </c>
      <c r="ET166">
        <f>SUM(EP166:ES166)</f>
        <v/>
      </c>
      <c r="FD166">
        <f>IFERROR(LOOKUP(2,1/('DRAFT 2'!$D:$D=$B166)*('DRAFT 2'!$A:$A&gt;=DATE(2026,6,1))*('DRAFT 2'!$A:$A&lt;DATE(2026,IF(6=12,6+1,6+1),1)),'DRAFT 2'!$A:$A),"")</f>
        <v/>
      </c>
      <c r="FE166">
        <f>COUNTIFS('DRAFT 2'!$D:$D,$B166,'DRAFT 2'!$A:$A,"&gt;="&amp;DATE(2026,6,1),'DRAFT 2'!$A:$A,"&lt;="&amp;DATE(2026,6,7))</f>
        <v/>
      </c>
      <c r="FF166">
        <f>COUNTIFS('DRAFT 2'!$D:$D,$B166,'DRAFT 2'!$A:$A,"&gt;="&amp;DATE(2026,6,8),'DRAFT 2'!$A:$A,"&lt;="&amp;DATE(2026,6,14))</f>
        <v/>
      </c>
      <c r="FG166">
        <f>COUNTIFS('DRAFT 2'!$D:$D,$B166,'DRAFT 2'!$A:$A,"&gt;="&amp;DATE(2026,6,15),'DRAFT 2'!$A:$A,"&lt;="&amp;DATE(2026,6,21))</f>
        <v/>
      </c>
      <c r="FH166">
        <f>COUNTIFS('DRAFT 2'!$D:$D,$B166,'DRAFT 2'!$A:$A,"&gt;="&amp;DATE(2026,6,22),'DRAFT 2'!$A:$A,"&lt;"&amp;DATE(2026,IF(6=12,6+1,6+1),1))</f>
        <v/>
      </c>
      <c r="FI166">
        <f>SUM(FE166:FH166)</f>
        <v/>
      </c>
      <c r="FT166">
        <f>IFERROR(LOOKUP(2,1/('DRAFT 2'!$D:$D=$B166)*('DRAFT 2'!$A:$A&gt;=DATE(2026,7,1))*('DRAFT 2'!$A:$A&lt;DATE(2026,IF(7=12,7+1,7+1),1)),'DRAFT 2'!$A:$A),"")</f>
        <v/>
      </c>
      <c r="FU166">
        <f>COUNTIFS('DRAFT 2'!$D:$D,$B166,'DRAFT 2'!$A:$A,"&gt;="&amp;DATE(2026,7,1),'DRAFT 2'!$A:$A,"&lt;="&amp;DATE(2026,7,7))</f>
        <v/>
      </c>
      <c r="FV166">
        <f>COUNTIFS('DRAFT 2'!$D:$D,$B166,'DRAFT 2'!$A:$A,"&gt;="&amp;DATE(2026,7,8),'DRAFT 2'!$A:$A,"&lt;="&amp;DATE(2026,7,14))</f>
        <v/>
      </c>
      <c r="FW166">
        <f>COUNTIFS('DRAFT 2'!$D:$D,$B166,'DRAFT 2'!$A:$A,"&gt;="&amp;DATE(2026,7,15),'DRAFT 2'!$A:$A,"&lt;="&amp;DATE(2026,7,21))</f>
        <v/>
      </c>
      <c r="FX166">
        <f>COUNTIFS('DRAFT 2'!$D:$D,$B166,'DRAFT 2'!$A:$A,"&gt;="&amp;DATE(2026,7,22),'DRAFT 2'!$A:$A,"&lt;"&amp;DATE(2026,IF(7=12,7+1,7+1),1))</f>
        <v/>
      </c>
      <c r="FY166">
        <f>SUM(FU166:FX166)</f>
        <v/>
      </c>
      <c r="GI166">
        <f>IFERROR(LOOKUP(2,1/('DRAFT 2'!$D:$D=$B166)*('DRAFT 2'!$A:$A&gt;=DATE(2026,8,1))*('DRAFT 2'!$A:$A&lt;DATE(2026,IF(8=12,8+1,8+1),1)),'DRAFT 2'!$A:$A),"")</f>
        <v/>
      </c>
      <c r="GJ166">
        <f>COUNTIFS('DRAFT 2'!$D:$D,$B166,'DRAFT 2'!$A:$A,"&gt;="&amp;DATE(2026,8,1),'DRAFT 2'!$A:$A,"&lt;="&amp;DATE(2026,8,7))</f>
        <v/>
      </c>
      <c r="GK166">
        <f>COUNTIFS('DRAFT 2'!$D:$D,$B166,'DRAFT 2'!$A:$A,"&gt;="&amp;DATE(2026,8,8),'DRAFT 2'!$A:$A,"&lt;="&amp;DATE(2026,8,14))</f>
        <v/>
      </c>
      <c r="GL166">
        <f>COUNTIFS('DRAFT 2'!$D:$D,$B166,'DRAFT 2'!$A:$A,"&gt;="&amp;DATE(2026,8,15),'DRAFT 2'!$A:$A,"&lt;="&amp;DATE(2026,8,21))</f>
        <v/>
      </c>
      <c r="GM166">
        <f>COUNTIFS('DRAFT 2'!$D:$D,$B166,'DRAFT 2'!$A:$A,"&gt;="&amp;DATE(2026,8,22),'DRAFT 2'!$A:$A,"&lt;"&amp;DATE(2026,IF(8=12,8+1,8+1),1))</f>
        <v/>
      </c>
      <c r="GN166">
        <f>SUM(GJ166:GM166)</f>
        <v/>
      </c>
      <c r="GX166">
        <f>IFERROR(LOOKUP(2,1/('DRAFT 2'!$D:$D=$B166)*('DRAFT 2'!$A:$A&gt;=DATE(2026,9,1))*('DRAFT 2'!$A:$A&lt;DATE(2026,IF(9=12,9+1,9+1),1)),'DRAFT 2'!$A:$A),"")</f>
        <v/>
      </c>
      <c r="GY166">
        <f>COUNTIFS('DRAFT 2'!$D:$D,$B166,'DRAFT 2'!$A:$A,"&gt;="&amp;DATE(2026,9,1),'DRAFT 2'!$A:$A,"&lt;="&amp;DATE(2026,9,7))</f>
        <v/>
      </c>
      <c r="GZ166">
        <f>COUNTIFS('DRAFT 2'!$D:$D,$B166,'DRAFT 2'!$A:$A,"&gt;="&amp;DATE(2026,9,8),'DRAFT 2'!$A:$A,"&lt;="&amp;DATE(2026,9,14))</f>
        <v/>
      </c>
      <c r="HA166">
        <f>COUNTIFS('DRAFT 2'!$D:$D,$B166,'DRAFT 2'!$A:$A,"&gt;="&amp;DATE(2026,9,15),'DRAFT 2'!$A:$A,"&lt;="&amp;DATE(2026,9,21))</f>
        <v/>
      </c>
      <c r="HB166">
        <f>COUNTIFS('DRAFT 2'!$D:$D,$B166,'DRAFT 2'!$A:$A,"&gt;="&amp;DATE(2026,9,22),'DRAFT 2'!$A:$A,"&lt;"&amp;DATE(2026,IF(9=12,9+1,9+1),1))</f>
        <v/>
      </c>
      <c r="HC166">
        <f>SUM(GY166:HB166)</f>
        <v/>
      </c>
      <c r="HN166">
        <f>IFERROR(LOOKUP(2,1/('DRAFT 2'!$D:$D=$B166)*('DRAFT 2'!$A:$A&gt;=DATE(2026,10,1))*('DRAFT 2'!$A:$A&lt;DATE(2026,IF(10=12,10+1,10+1),1)),'DRAFT 2'!$A:$A),"")</f>
        <v/>
      </c>
      <c r="HO166">
        <f>COUNTIFS('DRAFT 2'!$D:$D,$B166,'DRAFT 2'!$A:$A,"&gt;="&amp;DATE(2026,10,1),'DRAFT 2'!$A:$A,"&lt;="&amp;DATE(2026,10,7))</f>
        <v/>
      </c>
      <c r="HP166">
        <f>COUNTIFS('DRAFT 2'!$D:$D,$B166,'DRAFT 2'!$A:$A,"&gt;="&amp;DATE(2026,10,8),'DRAFT 2'!$A:$A,"&lt;="&amp;DATE(2026,10,14))</f>
        <v/>
      </c>
      <c r="HQ166">
        <f>COUNTIFS('DRAFT 2'!$D:$D,$B166,'DRAFT 2'!$A:$A,"&gt;="&amp;DATE(2026,10,15),'DRAFT 2'!$A:$A,"&lt;="&amp;DATE(2026,10,21))</f>
        <v/>
      </c>
      <c r="HR166">
        <f>COUNTIFS('DRAFT 2'!$D:$D,$B166,'DRAFT 2'!$A:$A,"&gt;="&amp;DATE(2026,10,22),'DRAFT 2'!$A:$A,"&lt;"&amp;DATE(2026,IF(10=12,10+1,10+1),1))</f>
        <v/>
      </c>
      <c r="HS166">
        <f>SUM(HO166:HR166)</f>
        <v/>
      </c>
      <c r="IC166">
        <f>IFERROR(LOOKUP(2,1/('DRAFT 2'!$D:$D=$B166)*('DRAFT 2'!$A:$A&gt;=DATE(2026,11,1))*('DRAFT 2'!$A:$A&lt;DATE(2026,IF(11=12,11+1,11+1),1)),'DRAFT 2'!$A:$A),"")</f>
        <v/>
      </c>
      <c r="ID166">
        <f>COUNTIFS('DRAFT 2'!$D:$D,$B166,'DRAFT 2'!$A:$A,"&gt;="&amp;DATE(2026,11,1),'DRAFT 2'!$A:$A,"&lt;="&amp;DATE(2026,11,7))</f>
        <v/>
      </c>
      <c r="IE166">
        <f>COUNTIFS('DRAFT 2'!$D:$D,$B166,'DRAFT 2'!$A:$A,"&gt;="&amp;DATE(2026,11,8),'DRAFT 2'!$A:$A,"&lt;="&amp;DATE(2026,11,14))</f>
        <v/>
      </c>
      <c r="IF166">
        <f>COUNTIFS('DRAFT 2'!$D:$D,$B166,'DRAFT 2'!$A:$A,"&gt;="&amp;DATE(2026,11,15),'DRAFT 2'!$A:$A,"&lt;="&amp;DATE(2026,11,21))</f>
        <v/>
      </c>
      <c r="IG166">
        <f>COUNTIFS('DRAFT 2'!$D:$D,$B166,'DRAFT 2'!$A:$A,"&gt;="&amp;DATE(2026,11,22),'DRAFT 2'!$A:$A,"&lt;"&amp;DATE(2026,IF(11=12,11+1,11+1),1))</f>
        <v/>
      </c>
      <c r="IH166">
        <f>SUM(ID166:IG166)</f>
        <v/>
      </c>
      <c r="IR166">
        <f>IFERROR(LOOKUP(2,1/('DRAFT 2'!$D:$D=$B166)*('DRAFT 2'!$A:$A&gt;=DATE(2026,12,1))*('DRAFT 2'!$A:$A&lt;DATE(2026,IF(12=12,12+1,12+1),1)),'DRAFT 2'!$A:$A),"")</f>
        <v/>
      </c>
      <c r="IS166">
        <f>COUNTIFS('DRAFT 2'!$D:$D,$B166,'DRAFT 2'!$A:$A,"&gt;="&amp;DATE(2026,12,1),'DRAFT 2'!$A:$A,"&lt;="&amp;DATE(2026,12,7))</f>
        <v/>
      </c>
      <c r="IT166">
        <f>COUNTIFS('DRAFT 2'!$D:$D,$B166,'DRAFT 2'!$A:$A,"&gt;="&amp;DATE(2026,12,8),'DRAFT 2'!$A:$A,"&lt;="&amp;DATE(2026,12,14))</f>
        <v/>
      </c>
      <c r="IU166">
        <f>COUNTIFS('DRAFT 2'!$D:$D,$B166,'DRAFT 2'!$A:$A,"&gt;="&amp;DATE(2026,12,15),'DRAFT 2'!$A:$A,"&lt;="&amp;DATE(2026,12,21))</f>
        <v/>
      </c>
      <c r="IV166">
        <f>COUNTIFS('DRAFT 2'!$D:$D,$B166,'DRAFT 2'!$A:$A,"&gt;="&amp;DATE(2026,12,22),'DRAFT 2'!$A:$A,"&lt;"&amp;DATE(2026,IF(12=12,12+1,12+1),1))</f>
        <v/>
      </c>
      <c r="IW166">
        <f>SUM(IS166:IV166)</f>
        <v/>
      </c>
    </row>
    <row r="167">
      <c r="A167">
        <f>IFERROR(INDEX('DRAFT 1'!$A:$A,MATCH($B167,'DRAFT 1'!$B:$B,0)),"")</f>
        <v/>
      </c>
      <c r="C167">
        <f>IFERROR(INDEX('DRAFT 1'!$C:$C,MATCH($B167,'DRAFT 1'!$B:$B,0)),"")</f>
        <v/>
      </c>
      <c r="D167">
        <f>IFERROR(INDEX('DRAFT 1'!$D:$D,MATCH($B167,'DRAFT 1'!$B:$B,0)),"")</f>
        <v/>
      </c>
      <c r="E167">
        <f>IFERROR(INDEX('DRAFT 1'!$E:$E,MATCH($B167,'DRAFT 1'!$B:$B,0)),"")</f>
        <v/>
      </c>
      <c r="F167">
        <f>IFERROR(INDEX('DRAFT 1'!$F:$F,MATCH($B167,'DRAFT 1'!$B:$B,0)),"")</f>
        <v/>
      </c>
      <c r="G167">
        <f>IFERROR(INDEX('DRAFT 1'!$G:$G,MATCH($B167,'DRAFT 1'!$B:$B,0)),"")</f>
        <v/>
      </c>
      <c r="H167">
        <f>IFERROR(INDEX('DRAFT 1'!$H:$H,MATCH($B167,'DRAFT 1'!$B:$B,0)),"")</f>
        <v/>
      </c>
      <c r="I167">
        <f>IFERROR(INDEX('DRAFT 1'!$I:$I,MATCH($B167,'DRAFT 1'!$B:$B,0)),"")</f>
        <v/>
      </c>
      <c r="K167">
        <f>IFERROR(INDEX('DRAFT 1'!$AL:$AL,MATCH($B167,'DRAFT 1'!$B:$B,0)),"")</f>
        <v/>
      </c>
      <c r="L167">
        <f>IFERROR(INDEX('DRAFT 1'!$J:$J,MATCH($B167,'DRAFT 1'!$B:$B,0)),"")</f>
        <v/>
      </c>
      <c r="M167">
        <f>IFERROR(INDEX('DRAFT 1'!$K:$K,MATCH($B167,'DRAFT 1'!$B:$B,0)),"")</f>
        <v/>
      </c>
      <c r="P167">
        <f>IFERROR(INDEX('DRAFT 1'!$L:$L,MATCH($B167,'DRAFT 1'!$B:$B,0)),"")</f>
        <v/>
      </c>
      <c r="Q167">
        <f>IFERROR(INDEX('DRAFT 1'!$M:$M,MATCH($B167,'DRAFT 1'!$B:$B,0)),"")</f>
        <v/>
      </c>
      <c r="R167">
        <f>IFERROR(INDEX('DRAFT 1'!$N:$N,MATCH($B167,'DRAFT 1'!$B:$B,0)),"")</f>
        <v/>
      </c>
      <c r="S167">
        <f>IFERROR(INDEX('DRAFT 1'!$O:$O,MATCH($B167,'DRAFT 1'!$B:$B,0)),"")</f>
        <v/>
      </c>
      <c r="T167">
        <f>IFERROR(INDEX('DRAFT 1'!$P:$P,MATCH($B167,'DRAFT 1'!$B:$B,0)),"")</f>
        <v/>
      </c>
      <c r="U167">
        <f>IFERROR(INDEX('DRAFT 1'!$Q:$Q,MATCH($B167,'DRAFT 1'!$B:$B,0)),"")</f>
        <v/>
      </c>
      <c r="V167">
        <f>IFERROR(INDEX('DRAFT 1'!$R:$R,MATCH($B167,'DRAFT 1'!$B:$B,0)),"")</f>
        <v/>
      </c>
      <c r="W167">
        <f>IFERROR(INDEX('DRAFT 1'!$S:$S,MATCH($B167,'DRAFT 1'!$B:$B,0)),"")</f>
        <v/>
      </c>
      <c r="X167">
        <f>IFERROR(INDEX('DRAFT 1'!$T:$T,MATCH($B167,'DRAFT 1'!$B:$B,0)),"")</f>
        <v/>
      </c>
      <c r="Z167">
        <f>IFERROR(INDEX('DRAFT 1'!$U:$U,MATCH($B167,'DRAFT 1'!$B:$B,0)),"")</f>
        <v/>
      </c>
      <c r="AA167">
        <f>IFERROR(INDEX('DRAFT 1'!$V:$V,MATCH($B167,'DRAFT 1'!$B:$B,0)),"")</f>
        <v/>
      </c>
      <c r="AB167">
        <f>IFERROR(INDEX('DRAFT 1'!$W:$W,MATCH($B167,'DRAFT 1'!$B:$B,0)),"")</f>
        <v/>
      </c>
      <c r="AC167">
        <f>IFERROR(INDEX('DRAFT 1'!$X:$X,MATCH($B167,'DRAFT 1'!$B:$B,0)),"")</f>
        <v/>
      </c>
      <c r="AD167">
        <f>IFERROR(INDEX('DRAFT 1'!$Y:$Y,MATCH($B167,'DRAFT 1'!$B:$B,0)),"")</f>
        <v/>
      </c>
      <c r="AE167">
        <f>IFERROR(INDEX('DRAFT 1'!$Z:$Z,MATCH($B167,'DRAFT 1'!$B:$B,0)),"")</f>
        <v/>
      </c>
      <c r="AF167">
        <f>IFERROR(INDEX('DRAFT 1'!$AA:$AA,MATCH($B167,'DRAFT 1'!$B:$B,0)),"")</f>
        <v/>
      </c>
      <c r="AG167">
        <f>IFERROR(INDEX('DRAFT 1'!$AB:$AB,MATCH($B167,'DRAFT 1'!$B:$B,0)),"")</f>
        <v/>
      </c>
      <c r="AH167">
        <f>IFERROR(INDEX('DRAFT 1'!$AC:$AC,MATCH($B167,'DRAFT 1'!$B:$B,0)),"")</f>
        <v/>
      </c>
      <c r="AI167">
        <f>IFERROR(INDEX('DRAFT 1'!$AD:$AD,MATCH($B167,'DRAFT 1'!$B:$B,0)),"")</f>
        <v/>
      </c>
      <c r="AJ167">
        <f>IFERROR(INDEX('DRAFT 1'!$AE:$AE,MATCH($B167,'DRAFT 1'!$B:$B,0)),"")</f>
        <v/>
      </c>
      <c r="AK167">
        <f>IFERROR(INDEX('DRAFT 1'!$AG:$AG,MATCH($B167,'DRAFT 1'!$B:$B,0)),"")</f>
        <v/>
      </c>
      <c r="AL167">
        <f>IFERROR(INDEX('DRAFT 1'!$AH:$AH,MATCH($B167,'DRAFT 1'!$B:$B,0)),"")</f>
        <v/>
      </c>
      <c r="AM167">
        <f>IFERROR(INDEX('DRAFT 1'!$AI:$AI,MATCH($B167,'DRAFT 1'!$B:$B,0)),"")</f>
        <v/>
      </c>
      <c r="AN167">
        <f>IFERROR(INDEX('DRAFT 1'!$AJ:$AJ,MATCH($B167,'DRAFT 1'!$B:$B,0)),"")</f>
        <v/>
      </c>
      <c r="AO167">
        <f>IFERROR(Y167/AN167,0)</f>
        <v/>
      </c>
      <c r="AP167">
        <f>IFERROR(INDEX('DRAFT 1'!$AK:$AK,MATCH($B167,'DRAFT 1'!$B:$B,0)),"")</f>
        <v/>
      </c>
      <c r="AR167">
        <f>IFERROR(LOOKUP(2,1/('DRAFT 2'!$D:$D=$B167),'DRAFT 2'!$I:$I),"")</f>
        <v/>
      </c>
      <c r="AS167">
        <f>IFERROR(LOOKUP(2,1/('DRAFT 2'!$D:$D=$B167),'DRAFT 2'!$T:$T),"")</f>
        <v/>
      </c>
      <c r="AT167">
        <f>IFERROR(LOOKUP(2,1/('DRAFT 2'!$D:$D=$B167),'DRAFT 2'!$A:$A),"")</f>
        <v/>
      </c>
      <c r="AU167">
        <f>IFERROR(LOOKUP(2,1/('DRAFT 2'!$D:$D=$B167),'DRAFT 2'!$R:$R),"")</f>
        <v/>
      </c>
      <c r="AV167">
        <f>IFERROR(LOOKUP(2,1/('DRAFT 2'!$D:$D=$B167),'DRAFT 2'!$S:$S),"")</f>
        <v/>
      </c>
      <c r="AX167">
        <f>IFERROR(LOOKUP(2,1/('DRAFT 2'!$D:$D=$B167),'DRAFT 2'!$M:$M),"")</f>
        <v/>
      </c>
      <c r="AY167">
        <f>IFERROR(LOOKUP(2,1/('DRAFT 2'!$D:$D=$B167),'DRAFT 2'!$K:$K),"")</f>
        <v/>
      </c>
      <c r="BG167">
        <f>IFERROR(LOOKUP(2,1/('DRAFT 2'!$D:$D=$B167),'DRAFT 2'!$U:$U),"")</f>
        <v/>
      </c>
      <c r="BH167">
        <f>IFERROR(LOOKUP(2,1/('DRAFT 2'!$D:$D=$B167),'DRAFT 2'!$V:$V),"")</f>
        <v/>
      </c>
      <c r="CE167">
        <f>IFERROR(AJ167,0)</f>
        <v/>
      </c>
      <c r="CF167">
        <f>IFERROR(LOOKUP(2,1/('DRAFT 2'!$D:$D=$B167)*('DRAFT 2'!$A:$A&gt;=DATE(2026,1,1))*('DRAFT 2'!$A:$A&lt;DATE(2026,IF(1=12,1+1,1+1),1)),'DRAFT 2'!$A:$A),"")</f>
        <v/>
      </c>
      <c r="CG167">
        <f>COUNTIFS('DRAFT 2'!$D:$D,$B167,'DRAFT 2'!$A:$A,"&gt;="&amp;DATE(2026,1,1),'DRAFT 2'!$A:$A,"&lt;="&amp;DATE(2026,1,7))</f>
        <v/>
      </c>
      <c r="CH167">
        <f>COUNTIFS('DRAFT 2'!$D:$D,$B167,'DRAFT 2'!$A:$A,"&gt;="&amp;DATE(2026,1,8),'DRAFT 2'!$A:$A,"&lt;="&amp;DATE(2026,1,14))</f>
        <v/>
      </c>
      <c r="CI167">
        <f>COUNTIFS('DRAFT 2'!$D:$D,$B167,'DRAFT 2'!$A:$A,"&gt;="&amp;DATE(2026,1,15),'DRAFT 2'!$A:$A,"&lt;="&amp;DATE(2026,1,21))</f>
        <v/>
      </c>
      <c r="CJ167">
        <f>COUNTIFS('DRAFT 2'!$D:$D,$B167,'DRAFT 2'!$A:$A,"&gt;="&amp;DATE(2026,1,22),'DRAFT 2'!$A:$A,"&lt;"&amp;DATE(2026,IF(1=12,1+1,1+1),1))</f>
        <v/>
      </c>
      <c r="CK167">
        <f>SUM(CG167:CJ167)</f>
        <v/>
      </c>
      <c r="CT167" t="n">
        <v>0</v>
      </c>
      <c r="CU167">
        <f>IFERROR(LOOKUP(2,1/('DRAFT 2'!$D:$D=$B167)*('DRAFT 2'!$A:$A&gt;=DATE(2026,2,1))*('DRAFT 2'!$A:$A&lt;DATE(2026,IF(2=12,2+1,2+1),1)),'DRAFT 2'!$A:$A),"")</f>
        <v/>
      </c>
      <c r="CV167">
        <f>COUNTIFS('DRAFT 2'!$D:$D,$B167,'DRAFT 2'!$A:$A,"&gt;="&amp;DATE(2026,2,1),'DRAFT 2'!$A:$A,"&lt;="&amp;DATE(2026,2,7))</f>
        <v/>
      </c>
      <c r="CW167">
        <f>COUNTIFS('DRAFT 2'!$D:$D,$B167,'DRAFT 2'!$A:$A,"&gt;="&amp;DATE(2026,2,8),'DRAFT 2'!$A:$A,"&lt;="&amp;DATE(2026,2,14))</f>
        <v/>
      </c>
      <c r="CX167">
        <f>COUNTIFS('DRAFT 2'!$D:$D,$B167,'DRAFT 2'!$A:$A,"&gt;="&amp;DATE(2026,2,15),'DRAFT 2'!$A:$A,"&lt;="&amp;DATE(2026,2,21))</f>
        <v/>
      </c>
      <c r="CY167">
        <f>COUNTIFS('DRAFT 2'!$D:$D,$B167,'DRAFT 2'!$A:$A,"&gt;="&amp;DATE(2026,2,22),'DRAFT 2'!$A:$A,"&lt;"&amp;DATE(2026,IF(2=12,2+1,2+1),1))</f>
        <v/>
      </c>
      <c r="CZ167">
        <f>SUM(CV167:CY167)</f>
        <v/>
      </c>
      <c r="DJ167">
        <f>IFERROR(LOOKUP(2,1/('DRAFT 2'!$D:$D=$B167)*('DRAFT 2'!$A:$A&gt;=DATE(2026,3,1))*('DRAFT 2'!$A:$A&lt;DATE(2026,IF(3=12,3+1,3+1),1)),'DRAFT 2'!$A:$A),"")</f>
        <v/>
      </c>
      <c r="DK167">
        <f>COUNTIFS('DRAFT 2'!$D:$D,$B167,'DRAFT 2'!$A:$A,"&gt;="&amp;DATE(2026,3,1),'DRAFT 2'!$A:$A,"&lt;="&amp;DATE(2026,3,7))</f>
        <v/>
      </c>
      <c r="DL167">
        <f>COUNTIFS('DRAFT 2'!$D:$D,$B167,'DRAFT 2'!$A:$A,"&gt;="&amp;DATE(2026,3,8),'DRAFT 2'!$A:$A,"&lt;="&amp;DATE(2026,3,14))</f>
        <v/>
      </c>
      <c r="DM167">
        <f>COUNTIFS('DRAFT 2'!$D:$D,$B167,'DRAFT 2'!$A:$A,"&gt;="&amp;DATE(2026,3,15),'DRAFT 2'!$A:$A,"&lt;="&amp;DATE(2026,3,21))</f>
        <v/>
      </c>
      <c r="DN167">
        <f>COUNTIFS('DRAFT 2'!$D:$D,$B167,'DRAFT 2'!$A:$A,"&gt;="&amp;DATE(2026,3,22),'DRAFT 2'!$A:$A,"&lt;"&amp;DATE(2026,IF(3=12,3+1,3+1),1))</f>
        <v/>
      </c>
      <c r="DO167">
        <f>SUM(DK167:DN167)</f>
        <v/>
      </c>
      <c r="DZ167">
        <f>IFERROR(LOOKUP(2,1/('DRAFT 2'!$D:$D=$B167)*('DRAFT 2'!$A:$A&gt;=DATE(2026,4,1))*('DRAFT 2'!$A:$A&lt;DATE(2026,IF(4=12,4+1,4+1),1)),'DRAFT 2'!$A:$A),"")</f>
        <v/>
      </c>
      <c r="EA167">
        <f>COUNTIFS('DRAFT 2'!$D:$D,$B167,'DRAFT 2'!$A:$A,"&gt;="&amp;DATE(2026,4,1),'DRAFT 2'!$A:$A,"&lt;="&amp;DATE(2026,4,7))</f>
        <v/>
      </c>
      <c r="EB167">
        <f>COUNTIFS('DRAFT 2'!$D:$D,$B167,'DRAFT 2'!$A:$A,"&gt;="&amp;DATE(2026,4,8),'DRAFT 2'!$A:$A,"&lt;="&amp;DATE(2026,4,14))</f>
        <v/>
      </c>
      <c r="EC167">
        <f>COUNTIFS('DRAFT 2'!$D:$D,$B167,'DRAFT 2'!$A:$A,"&gt;="&amp;DATE(2026,4,15),'DRAFT 2'!$A:$A,"&lt;="&amp;DATE(2026,4,21))</f>
        <v/>
      </c>
      <c r="ED167">
        <f>COUNTIFS('DRAFT 2'!$D:$D,$B167,'DRAFT 2'!$A:$A,"&gt;="&amp;DATE(2026,4,22),'DRAFT 2'!$A:$A,"&lt;"&amp;DATE(2026,IF(4=12,4+1,4+1),1))</f>
        <v/>
      </c>
      <c r="EE167">
        <f>SUM(EA167:ED167)</f>
        <v/>
      </c>
      <c r="EO167">
        <f>IFERROR(LOOKUP(2,1/('DRAFT 2'!$D:$D=$B167)*('DRAFT 2'!$A:$A&gt;=DATE(2026,5,1))*('DRAFT 2'!$A:$A&lt;DATE(2026,IF(5=12,5+1,5+1),1)),'DRAFT 2'!$A:$A),"")</f>
        <v/>
      </c>
      <c r="EP167">
        <f>COUNTIFS('DRAFT 2'!$D:$D,$B167,'DRAFT 2'!$A:$A,"&gt;="&amp;DATE(2026,5,1),'DRAFT 2'!$A:$A,"&lt;="&amp;DATE(2026,5,7))</f>
        <v/>
      </c>
      <c r="EQ167">
        <f>COUNTIFS('DRAFT 2'!$D:$D,$B167,'DRAFT 2'!$A:$A,"&gt;="&amp;DATE(2026,5,8),'DRAFT 2'!$A:$A,"&lt;="&amp;DATE(2026,5,14))</f>
        <v/>
      </c>
      <c r="ER167">
        <f>COUNTIFS('DRAFT 2'!$D:$D,$B167,'DRAFT 2'!$A:$A,"&gt;="&amp;DATE(2026,5,15),'DRAFT 2'!$A:$A,"&lt;="&amp;DATE(2026,5,21))</f>
        <v/>
      </c>
      <c r="ES167">
        <f>COUNTIFS('DRAFT 2'!$D:$D,$B167,'DRAFT 2'!$A:$A,"&gt;="&amp;DATE(2026,5,22),'DRAFT 2'!$A:$A,"&lt;"&amp;DATE(2026,IF(5=12,5+1,5+1),1))</f>
        <v/>
      </c>
      <c r="ET167">
        <f>SUM(EP167:ES167)</f>
        <v/>
      </c>
      <c r="FD167">
        <f>IFERROR(LOOKUP(2,1/('DRAFT 2'!$D:$D=$B167)*('DRAFT 2'!$A:$A&gt;=DATE(2026,6,1))*('DRAFT 2'!$A:$A&lt;DATE(2026,IF(6=12,6+1,6+1),1)),'DRAFT 2'!$A:$A),"")</f>
        <v/>
      </c>
      <c r="FE167">
        <f>COUNTIFS('DRAFT 2'!$D:$D,$B167,'DRAFT 2'!$A:$A,"&gt;="&amp;DATE(2026,6,1),'DRAFT 2'!$A:$A,"&lt;="&amp;DATE(2026,6,7))</f>
        <v/>
      </c>
      <c r="FF167">
        <f>COUNTIFS('DRAFT 2'!$D:$D,$B167,'DRAFT 2'!$A:$A,"&gt;="&amp;DATE(2026,6,8),'DRAFT 2'!$A:$A,"&lt;="&amp;DATE(2026,6,14))</f>
        <v/>
      </c>
      <c r="FG167">
        <f>COUNTIFS('DRAFT 2'!$D:$D,$B167,'DRAFT 2'!$A:$A,"&gt;="&amp;DATE(2026,6,15),'DRAFT 2'!$A:$A,"&lt;="&amp;DATE(2026,6,21))</f>
        <v/>
      </c>
      <c r="FH167">
        <f>COUNTIFS('DRAFT 2'!$D:$D,$B167,'DRAFT 2'!$A:$A,"&gt;="&amp;DATE(2026,6,22),'DRAFT 2'!$A:$A,"&lt;"&amp;DATE(2026,IF(6=12,6+1,6+1),1))</f>
        <v/>
      </c>
      <c r="FI167">
        <f>SUM(FE167:FH167)</f>
        <v/>
      </c>
      <c r="FT167">
        <f>IFERROR(LOOKUP(2,1/('DRAFT 2'!$D:$D=$B167)*('DRAFT 2'!$A:$A&gt;=DATE(2026,7,1))*('DRAFT 2'!$A:$A&lt;DATE(2026,IF(7=12,7+1,7+1),1)),'DRAFT 2'!$A:$A),"")</f>
        <v/>
      </c>
      <c r="FU167">
        <f>COUNTIFS('DRAFT 2'!$D:$D,$B167,'DRAFT 2'!$A:$A,"&gt;="&amp;DATE(2026,7,1),'DRAFT 2'!$A:$A,"&lt;="&amp;DATE(2026,7,7))</f>
        <v/>
      </c>
      <c r="FV167">
        <f>COUNTIFS('DRAFT 2'!$D:$D,$B167,'DRAFT 2'!$A:$A,"&gt;="&amp;DATE(2026,7,8),'DRAFT 2'!$A:$A,"&lt;="&amp;DATE(2026,7,14))</f>
        <v/>
      </c>
      <c r="FW167">
        <f>COUNTIFS('DRAFT 2'!$D:$D,$B167,'DRAFT 2'!$A:$A,"&gt;="&amp;DATE(2026,7,15),'DRAFT 2'!$A:$A,"&lt;="&amp;DATE(2026,7,21))</f>
        <v/>
      </c>
      <c r="FX167">
        <f>COUNTIFS('DRAFT 2'!$D:$D,$B167,'DRAFT 2'!$A:$A,"&gt;="&amp;DATE(2026,7,22),'DRAFT 2'!$A:$A,"&lt;"&amp;DATE(2026,IF(7=12,7+1,7+1),1))</f>
        <v/>
      </c>
      <c r="FY167">
        <f>SUM(FU167:FX167)</f>
        <v/>
      </c>
      <c r="GI167">
        <f>IFERROR(LOOKUP(2,1/('DRAFT 2'!$D:$D=$B167)*('DRAFT 2'!$A:$A&gt;=DATE(2026,8,1))*('DRAFT 2'!$A:$A&lt;DATE(2026,IF(8=12,8+1,8+1),1)),'DRAFT 2'!$A:$A),"")</f>
        <v/>
      </c>
      <c r="GJ167">
        <f>COUNTIFS('DRAFT 2'!$D:$D,$B167,'DRAFT 2'!$A:$A,"&gt;="&amp;DATE(2026,8,1),'DRAFT 2'!$A:$A,"&lt;="&amp;DATE(2026,8,7))</f>
        <v/>
      </c>
      <c r="GK167">
        <f>COUNTIFS('DRAFT 2'!$D:$D,$B167,'DRAFT 2'!$A:$A,"&gt;="&amp;DATE(2026,8,8),'DRAFT 2'!$A:$A,"&lt;="&amp;DATE(2026,8,14))</f>
        <v/>
      </c>
      <c r="GL167">
        <f>COUNTIFS('DRAFT 2'!$D:$D,$B167,'DRAFT 2'!$A:$A,"&gt;="&amp;DATE(2026,8,15),'DRAFT 2'!$A:$A,"&lt;="&amp;DATE(2026,8,21))</f>
        <v/>
      </c>
      <c r="GM167">
        <f>COUNTIFS('DRAFT 2'!$D:$D,$B167,'DRAFT 2'!$A:$A,"&gt;="&amp;DATE(2026,8,22),'DRAFT 2'!$A:$A,"&lt;"&amp;DATE(2026,IF(8=12,8+1,8+1),1))</f>
        <v/>
      </c>
      <c r="GN167">
        <f>SUM(GJ167:GM167)</f>
        <v/>
      </c>
      <c r="GX167">
        <f>IFERROR(LOOKUP(2,1/('DRAFT 2'!$D:$D=$B167)*('DRAFT 2'!$A:$A&gt;=DATE(2026,9,1))*('DRAFT 2'!$A:$A&lt;DATE(2026,IF(9=12,9+1,9+1),1)),'DRAFT 2'!$A:$A),"")</f>
        <v/>
      </c>
      <c r="GY167">
        <f>COUNTIFS('DRAFT 2'!$D:$D,$B167,'DRAFT 2'!$A:$A,"&gt;="&amp;DATE(2026,9,1),'DRAFT 2'!$A:$A,"&lt;="&amp;DATE(2026,9,7))</f>
        <v/>
      </c>
      <c r="GZ167">
        <f>COUNTIFS('DRAFT 2'!$D:$D,$B167,'DRAFT 2'!$A:$A,"&gt;="&amp;DATE(2026,9,8),'DRAFT 2'!$A:$A,"&lt;="&amp;DATE(2026,9,14))</f>
        <v/>
      </c>
      <c r="HA167">
        <f>COUNTIFS('DRAFT 2'!$D:$D,$B167,'DRAFT 2'!$A:$A,"&gt;="&amp;DATE(2026,9,15),'DRAFT 2'!$A:$A,"&lt;="&amp;DATE(2026,9,21))</f>
        <v/>
      </c>
      <c r="HB167">
        <f>COUNTIFS('DRAFT 2'!$D:$D,$B167,'DRAFT 2'!$A:$A,"&gt;="&amp;DATE(2026,9,22),'DRAFT 2'!$A:$A,"&lt;"&amp;DATE(2026,IF(9=12,9+1,9+1),1))</f>
        <v/>
      </c>
      <c r="HC167">
        <f>SUM(GY167:HB167)</f>
        <v/>
      </c>
      <c r="HN167">
        <f>IFERROR(LOOKUP(2,1/('DRAFT 2'!$D:$D=$B167)*('DRAFT 2'!$A:$A&gt;=DATE(2026,10,1))*('DRAFT 2'!$A:$A&lt;DATE(2026,IF(10=12,10+1,10+1),1)),'DRAFT 2'!$A:$A),"")</f>
        <v/>
      </c>
      <c r="HO167">
        <f>COUNTIFS('DRAFT 2'!$D:$D,$B167,'DRAFT 2'!$A:$A,"&gt;="&amp;DATE(2026,10,1),'DRAFT 2'!$A:$A,"&lt;="&amp;DATE(2026,10,7))</f>
        <v/>
      </c>
      <c r="HP167">
        <f>COUNTIFS('DRAFT 2'!$D:$D,$B167,'DRAFT 2'!$A:$A,"&gt;="&amp;DATE(2026,10,8),'DRAFT 2'!$A:$A,"&lt;="&amp;DATE(2026,10,14))</f>
        <v/>
      </c>
      <c r="HQ167">
        <f>COUNTIFS('DRAFT 2'!$D:$D,$B167,'DRAFT 2'!$A:$A,"&gt;="&amp;DATE(2026,10,15),'DRAFT 2'!$A:$A,"&lt;="&amp;DATE(2026,10,21))</f>
        <v/>
      </c>
      <c r="HR167">
        <f>COUNTIFS('DRAFT 2'!$D:$D,$B167,'DRAFT 2'!$A:$A,"&gt;="&amp;DATE(2026,10,22),'DRAFT 2'!$A:$A,"&lt;"&amp;DATE(2026,IF(10=12,10+1,10+1),1))</f>
        <v/>
      </c>
      <c r="HS167">
        <f>SUM(HO167:HR167)</f>
        <v/>
      </c>
      <c r="IC167">
        <f>IFERROR(LOOKUP(2,1/('DRAFT 2'!$D:$D=$B167)*('DRAFT 2'!$A:$A&gt;=DATE(2026,11,1))*('DRAFT 2'!$A:$A&lt;DATE(2026,IF(11=12,11+1,11+1),1)),'DRAFT 2'!$A:$A),"")</f>
        <v/>
      </c>
      <c r="ID167">
        <f>COUNTIFS('DRAFT 2'!$D:$D,$B167,'DRAFT 2'!$A:$A,"&gt;="&amp;DATE(2026,11,1),'DRAFT 2'!$A:$A,"&lt;="&amp;DATE(2026,11,7))</f>
        <v/>
      </c>
      <c r="IE167">
        <f>COUNTIFS('DRAFT 2'!$D:$D,$B167,'DRAFT 2'!$A:$A,"&gt;="&amp;DATE(2026,11,8),'DRAFT 2'!$A:$A,"&lt;="&amp;DATE(2026,11,14))</f>
        <v/>
      </c>
      <c r="IF167">
        <f>COUNTIFS('DRAFT 2'!$D:$D,$B167,'DRAFT 2'!$A:$A,"&gt;="&amp;DATE(2026,11,15),'DRAFT 2'!$A:$A,"&lt;="&amp;DATE(2026,11,21))</f>
        <v/>
      </c>
      <c r="IG167">
        <f>COUNTIFS('DRAFT 2'!$D:$D,$B167,'DRAFT 2'!$A:$A,"&gt;="&amp;DATE(2026,11,22),'DRAFT 2'!$A:$A,"&lt;"&amp;DATE(2026,IF(11=12,11+1,11+1),1))</f>
        <v/>
      </c>
      <c r="IH167">
        <f>SUM(ID167:IG167)</f>
        <v/>
      </c>
      <c r="IR167">
        <f>IFERROR(LOOKUP(2,1/('DRAFT 2'!$D:$D=$B167)*('DRAFT 2'!$A:$A&gt;=DATE(2026,12,1))*('DRAFT 2'!$A:$A&lt;DATE(2026,IF(12=12,12+1,12+1),1)),'DRAFT 2'!$A:$A),"")</f>
        <v/>
      </c>
      <c r="IS167">
        <f>COUNTIFS('DRAFT 2'!$D:$D,$B167,'DRAFT 2'!$A:$A,"&gt;="&amp;DATE(2026,12,1),'DRAFT 2'!$A:$A,"&lt;="&amp;DATE(2026,12,7))</f>
        <v/>
      </c>
      <c r="IT167">
        <f>COUNTIFS('DRAFT 2'!$D:$D,$B167,'DRAFT 2'!$A:$A,"&gt;="&amp;DATE(2026,12,8),'DRAFT 2'!$A:$A,"&lt;="&amp;DATE(2026,12,14))</f>
        <v/>
      </c>
      <c r="IU167">
        <f>COUNTIFS('DRAFT 2'!$D:$D,$B167,'DRAFT 2'!$A:$A,"&gt;="&amp;DATE(2026,12,15),'DRAFT 2'!$A:$A,"&lt;="&amp;DATE(2026,12,21))</f>
        <v/>
      </c>
      <c r="IV167">
        <f>COUNTIFS('DRAFT 2'!$D:$D,$B167,'DRAFT 2'!$A:$A,"&gt;="&amp;DATE(2026,12,22),'DRAFT 2'!$A:$A,"&lt;"&amp;DATE(2026,IF(12=12,12+1,12+1),1))</f>
        <v/>
      </c>
      <c r="IW167">
        <f>SUM(IS167:IV167)</f>
        <v/>
      </c>
    </row>
    <row r="168">
      <c r="A168">
        <f>IFERROR(INDEX('DRAFT 1'!$A:$A,MATCH($B168,'DRAFT 1'!$B:$B,0)),"")</f>
        <v/>
      </c>
      <c r="C168">
        <f>IFERROR(INDEX('DRAFT 1'!$C:$C,MATCH($B168,'DRAFT 1'!$B:$B,0)),"")</f>
        <v/>
      </c>
      <c r="D168">
        <f>IFERROR(INDEX('DRAFT 1'!$D:$D,MATCH($B168,'DRAFT 1'!$B:$B,0)),"")</f>
        <v/>
      </c>
      <c r="E168">
        <f>IFERROR(INDEX('DRAFT 1'!$E:$E,MATCH($B168,'DRAFT 1'!$B:$B,0)),"")</f>
        <v/>
      </c>
      <c r="F168">
        <f>IFERROR(INDEX('DRAFT 1'!$F:$F,MATCH($B168,'DRAFT 1'!$B:$B,0)),"")</f>
        <v/>
      </c>
      <c r="G168">
        <f>IFERROR(INDEX('DRAFT 1'!$G:$G,MATCH($B168,'DRAFT 1'!$B:$B,0)),"")</f>
        <v/>
      </c>
      <c r="H168">
        <f>IFERROR(INDEX('DRAFT 1'!$H:$H,MATCH($B168,'DRAFT 1'!$B:$B,0)),"")</f>
        <v/>
      </c>
      <c r="I168">
        <f>IFERROR(INDEX('DRAFT 1'!$I:$I,MATCH($B168,'DRAFT 1'!$B:$B,0)),"")</f>
        <v/>
      </c>
      <c r="K168">
        <f>IFERROR(INDEX('DRAFT 1'!$AL:$AL,MATCH($B168,'DRAFT 1'!$B:$B,0)),"")</f>
        <v/>
      </c>
      <c r="L168">
        <f>IFERROR(INDEX('DRAFT 1'!$J:$J,MATCH($B168,'DRAFT 1'!$B:$B,0)),"")</f>
        <v/>
      </c>
      <c r="M168">
        <f>IFERROR(INDEX('DRAFT 1'!$K:$K,MATCH($B168,'DRAFT 1'!$B:$B,0)),"")</f>
        <v/>
      </c>
      <c r="P168">
        <f>IFERROR(INDEX('DRAFT 1'!$L:$L,MATCH($B168,'DRAFT 1'!$B:$B,0)),"")</f>
        <v/>
      </c>
      <c r="Q168">
        <f>IFERROR(INDEX('DRAFT 1'!$M:$M,MATCH($B168,'DRAFT 1'!$B:$B,0)),"")</f>
        <v/>
      </c>
      <c r="R168">
        <f>IFERROR(INDEX('DRAFT 1'!$N:$N,MATCH($B168,'DRAFT 1'!$B:$B,0)),"")</f>
        <v/>
      </c>
      <c r="S168">
        <f>IFERROR(INDEX('DRAFT 1'!$O:$O,MATCH($B168,'DRAFT 1'!$B:$B,0)),"")</f>
        <v/>
      </c>
      <c r="T168">
        <f>IFERROR(INDEX('DRAFT 1'!$P:$P,MATCH($B168,'DRAFT 1'!$B:$B,0)),"")</f>
        <v/>
      </c>
      <c r="U168">
        <f>IFERROR(INDEX('DRAFT 1'!$Q:$Q,MATCH($B168,'DRAFT 1'!$B:$B,0)),"")</f>
        <v/>
      </c>
      <c r="V168">
        <f>IFERROR(INDEX('DRAFT 1'!$R:$R,MATCH($B168,'DRAFT 1'!$B:$B,0)),"")</f>
        <v/>
      </c>
      <c r="W168">
        <f>IFERROR(INDEX('DRAFT 1'!$S:$S,MATCH($B168,'DRAFT 1'!$B:$B,0)),"")</f>
        <v/>
      </c>
      <c r="X168">
        <f>IFERROR(INDEX('DRAFT 1'!$T:$T,MATCH($B168,'DRAFT 1'!$B:$B,0)),"")</f>
        <v/>
      </c>
      <c r="Z168">
        <f>IFERROR(INDEX('DRAFT 1'!$U:$U,MATCH($B168,'DRAFT 1'!$B:$B,0)),"")</f>
        <v/>
      </c>
      <c r="AA168">
        <f>IFERROR(INDEX('DRAFT 1'!$V:$V,MATCH($B168,'DRAFT 1'!$B:$B,0)),"")</f>
        <v/>
      </c>
      <c r="AB168">
        <f>IFERROR(INDEX('DRAFT 1'!$W:$W,MATCH($B168,'DRAFT 1'!$B:$B,0)),"")</f>
        <v/>
      </c>
      <c r="AC168">
        <f>IFERROR(INDEX('DRAFT 1'!$X:$X,MATCH($B168,'DRAFT 1'!$B:$B,0)),"")</f>
        <v/>
      </c>
      <c r="AD168">
        <f>IFERROR(INDEX('DRAFT 1'!$Y:$Y,MATCH($B168,'DRAFT 1'!$B:$B,0)),"")</f>
        <v/>
      </c>
      <c r="AE168">
        <f>IFERROR(INDEX('DRAFT 1'!$Z:$Z,MATCH($B168,'DRAFT 1'!$B:$B,0)),"")</f>
        <v/>
      </c>
      <c r="AF168">
        <f>IFERROR(INDEX('DRAFT 1'!$AA:$AA,MATCH($B168,'DRAFT 1'!$B:$B,0)),"")</f>
        <v/>
      </c>
      <c r="AG168">
        <f>IFERROR(INDEX('DRAFT 1'!$AB:$AB,MATCH($B168,'DRAFT 1'!$B:$B,0)),"")</f>
        <v/>
      </c>
      <c r="AH168">
        <f>IFERROR(INDEX('DRAFT 1'!$AC:$AC,MATCH($B168,'DRAFT 1'!$B:$B,0)),"")</f>
        <v/>
      </c>
      <c r="AI168">
        <f>IFERROR(INDEX('DRAFT 1'!$AD:$AD,MATCH($B168,'DRAFT 1'!$B:$B,0)),"")</f>
        <v/>
      </c>
      <c r="AJ168">
        <f>IFERROR(INDEX('DRAFT 1'!$AE:$AE,MATCH($B168,'DRAFT 1'!$B:$B,0)),"")</f>
        <v/>
      </c>
      <c r="AK168">
        <f>IFERROR(INDEX('DRAFT 1'!$AG:$AG,MATCH($B168,'DRAFT 1'!$B:$B,0)),"")</f>
        <v/>
      </c>
      <c r="AL168">
        <f>IFERROR(INDEX('DRAFT 1'!$AH:$AH,MATCH($B168,'DRAFT 1'!$B:$B,0)),"")</f>
        <v/>
      </c>
      <c r="AM168">
        <f>IFERROR(INDEX('DRAFT 1'!$AI:$AI,MATCH($B168,'DRAFT 1'!$B:$B,0)),"")</f>
        <v/>
      </c>
      <c r="AN168">
        <f>IFERROR(INDEX('DRAFT 1'!$AJ:$AJ,MATCH($B168,'DRAFT 1'!$B:$B,0)),"")</f>
        <v/>
      </c>
      <c r="AO168">
        <f>IFERROR(Y168/AN168,0)</f>
        <v/>
      </c>
      <c r="AP168">
        <f>IFERROR(INDEX('DRAFT 1'!$AK:$AK,MATCH($B168,'DRAFT 1'!$B:$B,0)),"")</f>
        <v/>
      </c>
      <c r="AR168">
        <f>IFERROR(LOOKUP(2,1/('DRAFT 2'!$D:$D=$B168),'DRAFT 2'!$I:$I),"")</f>
        <v/>
      </c>
      <c r="AS168">
        <f>IFERROR(LOOKUP(2,1/('DRAFT 2'!$D:$D=$B168),'DRAFT 2'!$T:$T),"")</f>
        <v/>
      </c>
      <c r="AT168">
        <f>IFERROR(LOOKUP(2,1/('DRAFT 2'!$D:$D=$B168),'DRAFT 2'!$A:$A),"")</f>
        <v/>
      </c>
      <c r="AU168">
        <f>IFERROR(LOOKUP(2,1/('DRAFT 2'!$D:$D=$B168),'DRAFT 2'!$R:$R),"")</f>
        <v/>
      </c>
      <c r="AV168">
        <f>IFERROR(LOOKUP(2,1/('DRAFT 2'!$D:$D=$B168),'DRAFT 2'!$S:$S),"")</f>
        <v/>
      </c>
      <c r="AX168">
        <f>IFERROR(LOOKUP(2,1/('DRAFT 2'!$D:$D=$B168),'DRAFT 2'!$M:$M),"")</f>
        <v/>
      </c>
      <c r="AY168">
        <f>IFERROR(LOOKUP(2,1/('DRAFT 2'!$D:$D=$B168),'DRAFT 2'!$K:$K),"")</f>
        <v/>
      </c>
      <c r="BG168">
        <f>IFERROR(LOOKUP(2,1/('DRAFT 2'!$D:$D=$B168),'DRAFT 2'!$U:$U),"")</f>
        <v/>
      </c>
      <c r="BH168">
        <f>IFERROR(LOOKUP(2,1/('DRAFT 2'!$D:$D=$B168),'DRAFT 2'!$V:$V),"")</f>
        <v/>
      </c>
      <c r="CE168">
        <f>IFERROR(AJ168,0)</f>
        <v/>
      </c>
      <c r="CF168">
        <f>IFERROR(LOOKUP(2,1/('DRAFT 2'!$D:$D=$B168)*('DRAFT 2'!$A:$A&gt;=DATE(2026,1,1))*('DRAFT 2'!$A:$A&lt;DATE(2026,IF(1=12,1+1,1+1),1)),'DRAFT 2'!$A:$A),"")</f>
        <v/>
      </c>
      <c r="CG168">
        <f>COUNTIFS('DRAFT 2'!$D:$D,$B168,'DRAFT 2'!$A:$A,"&gt;="&amp;DATE(2026,1,1),'DRAFT 2'!$A:$A,"&lt;="&amp;DATE(2026,1,7))</f>
        <v/>
      </c>
      <c r="CH168">
        <f>COUNTIFS('DRAFT 2'!$D:$D,$B168,'DRAFT 2'!$A:$A,"&gt;="&amp;DATE(2026,1,8),'DRAFT 2'!$A:$A,"&lt;="&amp;DATE(2026,1,14))</f>
        <v/>
      </c>
      <c r="CI168">
        <f>COUNTIFS('DRAFT 2'!$D:$D,$B168,'DRAFT 2'!$A:$A,"&gt;="&amp;DATE(2026,1,15),'DRAFT 2'!$A:$A,"&lt;="&amp;DATE(2026,1,21))</f>
        <v/>
      </c>
      <c r="CJ168">
        <f>COUNTIFS('DRAFT 2'!$D:$D,$B168,'DRAFT 2'!$A:$A,"&gt;="&amp;DATE(2026,1,22),'DRAFT 2'!$A:$A,"&lt;"&amp;DATE(2026,IF(1=12,1+1,1+1),1))</f>
        <v/>
      </c>
      <c r="CK168">
        <f>SUM(CG168:CJ168)</f>
        <v/>
      </c>
      <c r="CT168" t="n">
        <v>0</v>
      </c>
      <c r="CU168">
        <f>IFERROR(LOOKUP(2,1/('DRAFT 2'!$D:$D=$B168)*('DRAFT 2'!$A:$A&gt;=DATE(2026,2,1))*('DRAFT 2'!$A:$A&lt;DATE(2026,IF(2=12,2+1,2+1),1)),'DRAFT 2'!$A:$A),"")</f>
        <v/>
      </c>
      <c r="CV168">
        <f>COUNTIFS('DRAFT 2'!$D:$D,$B168,'DRAFT 2'!$A:$A,"&gt;="&amp;DATE(2026,2,1),'DRAFT 2'!$A:$A,"&lt;="&amp;DATE(2026,2,7))</f>
        <v/>
      </c>
      <c r="CW168">
        <f>COUNTIFS('DRAFT 2'!$D:$D,$B168,'DRAFT 2'!$A:$A,"&gt;="&amp;DATE(2026,2,8),'DRAFT 2'!$A:$A,"&lt;="&amp;DATE(2026,2,14))</f>
        <v/>
      </c>
      <c r="CX168">
        <f>COUNTIFS('DRAFT 2'!$D:$D,$B168,'DRAFT 2'!$A:$A,"&gt;="&amp;DATE(2026,2,15),'DRAFT 2'!$A:$A,"&lt;="&amp;DATE(2026,2,21))</f>
        <v/>
      </c>
      <c r="CY168">
        <f>COUNTIFS('DRAFT 2'!$D:$D,$B168,'DRAFT 2'!$A:$A,"&gt;="&amp;DATE(2026,2,22),'DRAFT 2'!$A:$A,"&lt;"&amp;DATE(2026,IF(2=12,2+1,2+1),1))</f>
        <v/>
      </c>
      <c r="CZ168">
        <f>SUM(CV168:CY168)</f>
        <v/>
      </c>
      <c r="DJ168">
        <f>IFERROR(LOOKUP(2,1/('DRAFT 2'!$D:$D=$B168)*('DRAFT 2'!$A:$A&gt;=DATE(2026,3,1))*('DRAFT 2'!$A:$A&lt;DATE(2026,IF(3=12,3+1,3+1),1)),'DRAFT 2'!$A:$A),"")</f>
        <v/>
      </c>
      <c r="DK168">
        <f>COUNTIFS('DRAFT 2'!$D:$D,$B168,'DRAFT 2'!$A:$A,"&gt;="&amp;DATE(2026,3,1),'DRAFT 2'!$A:$A,"&lt;="&amp;DATE(2026,3,7))</f>
        <v/>
      </c>
      <c r="DL168">
        <f>COUNTIFS('DRAFT 2'!$D:$D,$B168,'DRAFT 2'!$A:$A,"&gt;="&amp;DATE(2026,3,8),'DRAFT 2'!$A:$A,"&lt;="&amp;DATE(2026,3,14))</f>
        <v/>
      </c>
      <c r="DM168">
        <f>COUNTIFS('DRAFT 2'!$D:$D,$B168,'DRAFT 2'!$A:$A,"&gt;="&amp;DATE(2026,3,15),'DRAFT 2'!$A:$A,"&lt;="&amp;DATE(2026,3,21))</f>
        <v/>
      </c>
      <c r="DN168">
        <f>COUNTIFS('DRAFT 2'!$D:$D,$B168,'DRAFT 2'!$A:$A,"&gt;="&amp;DATE(2026,3,22),'DRAFT 2'!$A:$A,"&lt;"&amp;DATE(2026,IF(3=12,3+1,3+1),1))</f>
        <v/>
      </c>
      <c r="DO168">
        <f>SUM(DK168:DN168)</f>
        <v/>
      </c>
      <c r="DZ168">
        <f>IFERROR(LOOKUP(2,1/('DRAFT 2'!$D:$D=$B168)*('DRAFT 2'!$A:$A&gt;=DATE(2026,4,1))*('DRAFT 2'!$A:$A&lt;DATE(2026,IF(4=12,4+1,4+1),1)),'DRAFT 2'!$A:$A),"")</f>
        <v/>
      </c>
      <c r="EA168">
        <f>COUNTIFS('DRAFT 2'!$D:$D,$B168,'DRAFT 2'!$A:$A,"&gt;="&amp;DATE(2026,4,1),'DRAFT 2'!$A:$A,"&lt;="&amp;DATE(2026,4,7))</f>
        <v/>
      </c>
      <c r="EB168">
        <f>COUNTIFS('DRAFT 2'!$D:$D,$B168,'DRAFT 2'!$A:$A,"&gt;="&amp;DATE(2026,4,8),'DRAFT 2'!$A:$A,"&lt;="&amp;DATE(2026,4,14))</f>
        <v/>
      </c>
      <c r="EC168">
        <f>COUNTIFS('DRAFT 2'!$D:$D,$B168,'DRAFT 2'!$A:$A,"&gt;="&amp;DATE(2026,4,15),'DRAFT 2'!$A:$A,"&lt;="&amp;DATE(2026,4,21))</f>
        <v/>
      </c>
      <c r="ED168">
        <f>COUNTIFS('DRAFT 2'!$D:$D,$B168,'DRAFT 2'!$A:$A,"&gt;="&amp;DATE(2026,4,22),'DRAFT 2'!$A:$A,"&lt;"&amp;DATE(2026,IF(4=12,4+1,4+1),1))</f>
        <v/>
      </c>
      <c r="EE168">
        <f>SUM(EA168:ED168)</f>
        <v/>
      </c>
      <c r="EO168">
        <f>IFERROR(LOOKUP(2,1/('DRAFT 2'!$D:$D=$B168)*('DRAFT 2'!$A:$A&gt;=DATE(2026,5,1))*('DRAFT 2'!$A:$A&lt;DATE(2026,IF(5=12,5+1,5+1),1)),'DRAFT 2'!$A:$A),"")</f>
        <v/>
      </c>
      <c r="EP168">
        <f>COUNTIFS('DRAFT 2'!$D:$D,$B168,'DRAFT 2'!$A:$A,"&gt;="&amp;DATE(2026,5,1),'DRAFT 2'!$A:$A,"&lt;="&amp;DATE(2026,5,7))</f>
        <v/>
      </c>
      <c r="EQ168">
        <f>COUNTIFS('DRAFT 2'!$D:$D,$B168,'DRAFT 2'!$A:$A,"&gt;="&amp;DATE(2026,5,8),'DRAFT 2'!$A:$A,"&lt;="&amp;DATE(2026,5,14))</f>
        <v/>
      </c>
      <c r="ER168">
        <f>COUNTIFS('DRAFT 2'!$D:$D,$B168,'DRAFT 2'!$A:$A,"&gt;="&amp;DATE(2026,5,15),'DRAFT 2'!$A:$A,"&lt;="&amp;DATE(2026,5,21))</f>
        <v/>
      </c>
      <c r="ES168">
        <f>COUNTIFS('DRAFT 2'!$D:$D,$B168,'DRAFT 2'!$A:$A,"&gt;="&amp;DATE(2026,5,22),'DRAFT 2'!$A:$A,"&lt;"&amp;DATE(2026,IF(5=12,5+1,5+1),1))</f>
        <v/>
      </c>
      <c r="ET168">
        <f>SUM(EP168:ES168)</f>
        <v/>
      </c>
      <c r="FD168">
        <f>IFERROR(LOOKUP(2,1/('DRAFT 2'!$D:$D=$B168)*('DRAFT 2'!$A:$A&gt;=DATE(2026,6,1))*('DRAFT 2'!$A:$A&lt;DATE(2026,IF(6=12,6+1,6+1),1)),'DRAFT 2'!$A:$A),"")</f>
        <v/>
      </c>
      <c r="FE168">
        <f>COUNTIFS('DRAFT 2'!$D:$D,$B168,'DRAFT 2'!$A:$A,"&gt;="&amp;DATE(2026,6,1),'DRAFT 2'!$A:$A,"&lt;="&amp;DATE(2026,6,7))</f>
        <v/>
      </c>
      <c r="FF168">
        <f>COUNTIFS('DRAFT 2'!$D:$D,$B168,'DRAFT 2'!$A:$A,"&gt;="&amp;DATE(2026,6,8),'DRAFT 2'!$A:$A,"&lt;="&amp;DATE(2026,6,14))</f>
        <v/>
      </c>
      <c r="FG168">
        <f>COUNTIFS('DRAFT 2'!$D:$D,$B168,'DRAFT 2'!$A:$A,"&gt;="&amp;DATE(2026,6,15),'DRAFT 2'!$A:$A,"&lt;="&amp;DATE(2026,6,21))</f>
        <v/>
      </c>
      <c r="FH168">
        <f>COUNTIFS('DRAFT 2'!$D:$D,$B168,'DRAFT 2'!$A:$A,"&gt;="&amp;DATE(2026,6,22),'DRAFT 2'!$A:$A,"&lt;"&amp;DATE(2026,IF(6=12,6+1,6+1),1))</f>
        <v/>
      </c>
      <c r="FI168">
        <f>SUM(FE168:FH168)</f>
        <v/>
      </c>
      <c r="FT168">
        <f>IFERROR(LOOKUP(2,1/('DRAFT 2'!$D:$D=$B168)*('DRAFT 2'!$A:$A&gt;=DATE(2026,7,1))*('DRAFT 2'!$A:$A&lt;DATE(2026,IF(7=12,7+1,7+1),1)),'DRAFT 2'!$A:$A),"")</f>
        <v/>
      </c>
      <c r="FU168">
        <f>COUNTIFS('DRAFT 2'!$D:$D,$B168,'DRAFT 2'!$A:$A,"&gt;="&amp;DATE(2026,7,1),'DRAFT 2'!$A:$A,"&lt;="&amp;DATE(2026,7,7))</f>
        <v/>
      </c>
      <c r="FV168">
        <f>COUNTIFS('DRAFT 2'!$D:$D,$B168,'DRAFT 2'!$A:$A,"&gt;="&amp;DATE(2026,7,8),'DRAFT 2'!$A:$A,"&lt;="&amp;DATE(2026,7,14))</f>
        <v/>
      </c>
      <c r="FW168">
        <f>COUNTIFS('DRAFT 2'!$D:$D,$B168,'DRAFT 2'!$A:$A,"&gt;="&amp;DATE(2026,7,15),'DRAFT 2'!$A:$A,"&lt;="&amp;DATE(2026,7,21))</f>
        <v/>
      </c>
      <c r="FX168">
        <f>COUNTIFS('DRAFT 2'!$D:$D,$B168,'DRAFT 2'!$A:$A,"&gt;="&amp;DATE(2026,7,22),'DRAFT 2'!$A:$A,"&lt;"&amp;DATE(2026,IF(7=12,7+1,7+1),1))</f>
        <v/>
      </c>
      <c r="FY168">
        <f>SUM(FU168:FX168)</f>
        <v/>
      </c>
      <c r="GI168">
        <f>IFERROR(LOOKUP(2,1/('DRAFT 2'!$D:$D=$B168)*('DRAFT 2'!$A:$A&gt;=DATE(2026,8,1))*('DRAFT 2'!$A:$A&lt;DATE(2026,IF(8=12,8+1,8+1),1)),'DRAFT 2'!$A:$A),"")</f>
        <v/>
      </c>
      <c r="GJ168">
        <f>COUNTIFS('DRAFT 2'!$D:$D,$B168,'DRAFT 2'!$A:$A,"&gt;="&amp;DATE(2026,8,1),'DRAFT 2'!$A:$A,"&lt;="&amp;DATE(2026,8,7))</f>
        <v/>
      </c>
      <c r="GK168">
        <f>COUNTIFS('DRAFT 2'!$D:$D,$B168,'DRAFT 2'!$A:$A,"&gt;="&amp;DATE(2026,8,8),'DRAFT 2'!$A:$A,"&lt;="&amp;DATE(2026,8,14))</f>
        <v/>
      </c>
      <c r="GL168">
        <f>COUNTIFS('DRAFT 2'!$D:$D,$B168,'DRAFT 2'!$A:$A,"&gt;="&amp;DATE(2026,8,15),'DRAFT 2'!$A:$A,"&lt;="&amp;DATE(2026,8,21))</f>
        <v/>
      </c>
      <c r="GM168">
        <f>COUNTIFS('DRAFT 2'!$D:$D,$B168,'DRAFT 2'!$A:$A,"&gt;="&amp;DATE(2026,8,22),'DRAFT 2'!$A:$A,"&lt;"&amp;DATE(2026,IF(8=12,8+1,8+1),1))</f>
        <v/>
      </c>
      <c r="GN168">
        <f>SUM(GJ168:GM168)</f>
        <v/>
      </c>
      <c r="GX168">
        <f>IFERROR(LOOKUP(2,1/('DRAFT 2'!$D:$D=$B168)*('DRAFT 2'!$A:$A&gt;=DATE(2026,9,1))*('DRAFT 2'!$A:$A&lt;DATE(2026,IF(9=12,9+1,9+1),1)),'DRAFT 2'!$A:$A),"")</f>
        <v/>
      </c>
      <c r="GY168">
        <f>COUNTIFS('DRAFT 2'!$D:$D,$B168,'DRAFT 2'!$A:$A,"&gt;="&amp;DATE(2026,9,1),'DRAFT 2'!$A:$A,"&lt;="&amp;DATE(2026,9,7))</f>
        <v/>
      </c>
      <c r="GZ168">
        <f>COUNTIFS('DRAFT 2'!$D:$D,$B168,'DRAFT 2'!$A:$A,"&gt;="&amp;DATE(2026,9,8),'DRAFT 2'!$A:$A,"&lt;="&amp;DATE(2026,9,14))</f>
        <v/>
      </c>
      <c r="HA168">
        <f>COUNTIFS('DRAFT 2'!$D:$D,$B168,'DRAFT 2'!$A:$A,"&gt;="&amp;DATE(2026,9,15),'DRAFT 2'!$A:$A,"&lt;="&amp;DATE(2026,9,21))</f>
        <v/>
      </c>
      <c r="HB168">
        <f>COUNTIFS('DRAFT 2'!$D:$D,$B168,'DRAFT 2'!$A:$A,"&gt;="&amp;DATE(2026,9,22),'DRAFT 2'!$A:$A,"&lt;"&amp;DATE(2026,IF(9=12,9+1,9+1),1))</f>
        <v/>
      </c>
      <c r="HC168">
        <f>SUM(GY168:HB168)</f>
        <v/>
      </c>
      <c r="HN168">
        <f>IFERROR(LOOKUP(2,1/('DRAFT 2'!$D:$D=$B168)*('DRAFT 2'!$A:$A&gt;=DATE(2026,10,1))*('DRAFT 2'!$A:$A&lt;DATE(2026,IF(10=12,10+1,10+1),1)),'DRAFT 2'!$A:$A),"")</f>
        <v/>
      </c>
      <c r="HO168">
        <f>COUNTIFS('DRAFT 2'!$D:$D,$B168,'DRAFT 2'!$A:$A,"&gt;="&amp;DATE(2026,10,1),'DRAFT 2'!$A:$A,"&lt;="&amp;DATE(2026,10,7))</f>
        <v/>
      </c>
      <c r="HP168">
        <f>COUNTIFS('DRAFT 2'!$D:$D,$B168,'DRAFT 2'!$A:$A,"&gt;="&amp;DATE(2026,10,8),'DRAFT 2'!$A:$A,"&lt;="&amp;DATE(2026,10,14))</f>
        <v/>
      </c>
      <c r="HQ168">
        <f>COUNTIFS('DRAFT 2'!$D:$D,$B168,'DRAFT 2'!$A:$A,"&gt;="&amp;DATE(2026,10,15),'DRAFT 2'!$A:$A,"&lt;="&amp;DATE(2026,10,21))</f>
        <v/>
      </c>
      <c r="HR168">
        <f>COUNTIFS('DRAFT 2'!$D:$D,$B168,'DRAFT 2'!$A:$A,"&gt;="&amp;DATE(2026,10,22),'DRAFT 2'!$A:$A,"&lt;"&amp;DATE(2026,IF(10=12,10+1,10+1),1))</f>
        <v/>
      </c>
      <c r="HS168">
        <f>SUM(HO168:HR168)</f>
        <v/>
      </c>
      <c r="IC168">
        <f>IFERROR(LOOKUP(2,1/('DRAFT 2'!$D:$D=$B168)*('DRAFT 2'!$A:$A&gt;=DATE(2026,11,1))*('DRAFT 2'!$A:$A&lt;DATE(2026,IF(11=12,11+1,11+1),1)),'DRAFT 2'!$A:$A),"")</f>
        <v/>
      </c>
      <c r="ID168">
        <f>COUNTIFS('DRAFT 2'!$D:$D,$B168,'DRAFT 2'!$A:$A,"&gt;="&amp;DATE(2026,11,1),'DRAFT 2'!$A:$A,"&lt;="&amp;DATE(2026,11,7))</f>
        <v/>
      </c>
      <c r="IE168">
        <f>COUNTIFS('DRAFT 2'!$D:$D,$B168,'DRAFT 2'!$A:$A,"&gt;="&amp;DATE(2026,11,8),'DRAFT 2'!$A:$A,"&lt;="&amp;DATE(2026,11,14))</f>
        <v/>
      </c>
      <c r="IF168">
        <f>COUNTIFS('DRAFT 2'!$D:$D,$B168,'DRAFT 2'!$A:$A,"&gt;="&amp;DATE(2026,11,15),'DRAFT 2'!$A:$A,"&lt;="&amp;DATE(2026,11,21))</f>
        <v/>
      </c>
      <c r="IG168">
        <f>COUNTIFS('DRAFT 2'!$D:$D,$B168,'DRAFT 2'!$A:$A,"&gt;="&amp;DATE(2026,11,22),'DRAFT 2'!$A:$A,"&lt;"&amp;DATE(2026,IF(11=12,11+1,11+1),1))</f>
        <v/>
      </c>
      <c r="IH168">
        <f>SUM(ID168:IG168)</f>
        <v/>
      </c>
      <c r="IR168">
        <f>IFERROR(LOOKUP(2,1/('DRAFT 2'!$D:$D=$B168)*('DRAFT 2'!$A:$A&gt;=DATE(2026,12,1))*('DRAFT 2'!$A:$A&lt;DATE(2026,IF(12=12,12+1,12+1),1)),'DRAFT 2'!$A:$A),"")</f>
        <v/>
      </c>
      <c r="IS168">
        <f>COUNTIFS('DRAFT 2'!$D:$D,$B168,'DRAFT 2'!$A:$A,"&gt;="&amp;DATE(2026,12,1),'DRAFT 2'!$A:$A,"&lt;="&amp;DATE(2026,12,7))</f>
        <v/>
      </c>
      <c r="IT168">
        <f>COUNTIFS('DRAFT 2'!$D:$D,$B168,'DRAFT 2'!$A:$A,"&gt;="&amp;DATE(2026,12,8),'DRAFT 2'!$A:$A,"&lt;="&amp;DATE(2026,12,14))</f>
        <v/>
      </c>
      <c r="IU168">
        <f>COUNTIFS('DRAFT 2'!$D:$D,$B168,'DRAFT 2'!$A:$A,"&gt;="&amp;DATE(2026,12,15),'DRAFT 2'!$A:$A,"&lt;="&amp;DATE(2026,12,21))</f>
        <v/>
      </c>
      <c r="IV168">
        <f>COUNTIFS('DRAFT 2'!$D:$D,$B168,'DRAFT 2'!$A:$A,"&gt;="&amp;DATE(2026,12,22),'DRAFT 2'!$A:$A,"&lt;"&amp;DATE(2026,IF(12=12,12+1,12+1),1))</f>
        <v/>
      </c>
      <c r="IW168">
        <f>SUM(IS168:IV168)</f>
        <v/>
      </c>
    </row>
    <row r="169">
      <c r="A169">
        <f>IFERROR(INDEX('DRAFT 1'!$A:$A,MATCH($B169,'DRAFT 1'!$B:$B,0)),"")</f>
        <v/>
      </c>
      <c r="C169">
        <f>IFERROR(INDEX('DRAFT 1'!$C:$C,MATCH($B169,'DRAFT 1'!$B:$B,0)),"")</f>
        <v/>
      </c>
      <c r="D169">
        <f>IFERROR(INDEX('DRAFT 1'!$D:$D,MATCH($B169,'DRAFT 1'!$B:$B,0)),"")</f>
        <v/>
      </c>
      <c r="E169">
        <f>IFERROR(INDEX('DRAFT 1'!$E:$E,MATCH($B169,'DRAFT 1'!$B:$B,0)),"")</f>
        <v/>
      </c>
      <c r="F169">
        <f>IFERROR(INDEX('DRAFT 1'!$F:$F,MATCH($B169,'DRAFT 1'!$B:$B,0)),"")</f>
        <v/>
      </c>
      <c r="G169">
        <f>IFERROR(INDEX('DRAFT 1'!$G:$G,MATCH($B169,'DRAFT 1'!$B:$B,0)),"")</f>
        <v/>
      </c>
      <c r="H169">
        <f>IFERROR(INDEX('DRAFT 1'!$H:$H,MATCH($B169,'DRAFT 1'!$B:$B,0)),"")</f>
        <v/>
      </c>
      <c r="I169">
        <f>IFERROR(INDEX('DRAFT 1'!$I:$I,MATCH($B169,'DRAFT 1'!$B:$B,0)),"")</f>
        <v/>
      </c>
      <c r="K169">
        <f>IFERROR(INDEX('DRAFT 1'!$AL:$AL,MATCH($B169,'DRAFT 1'!$B:$B,0)),"")</f>
        <v/>
      </c>
      <c r="L169">
        <f>IFERROR(INDEX('DRAFT 1'!$J:$J,MATCH($B169,'DRAFT 1'!$B:$B,0)),"")</f>
        <v/>
      </c>
      <c r="M169">
        <f>IFERROR(INDEX('DRAFT 1'!$K:$K,MATCH($B169,'DRAFT 1'!$B:$B,0)),"")</f>
        <v/>
      </c>
      <c r="P169">
        <f>IFERROR(INDEX('DRAFT 1'!$L:$L,MATCH($B169,'DRAFT 1'!$B:$B,0)),"")</f>
        <v/>
      </c>
      <c r="Q169">
        <f>IFERROR(INDEX('DRAFT 1'!$M:$M,MATCH($B169,'DRAFT 1'!$B:$B,0)),"")</f>
        <v/>
      </c>
      <c r="R169">
        <f>IFERROR(INDEX('DRAFT 1'!$N:$N,MATCH($B169,'DRAFT 1'!$B:$B,0)),"")</f>
        <v/>
      </c>
      <c r="S169">
        <f>IFERROR(INDEX('DRAFT 1'!$O:$O,MATCH($B169,'DRAFT 1'!$B:$B,0)),"")</f>
        <v/>
      </c>
      <c r="T169">
        <f>IFERROR(INDEX('DRAFT 1'!$P:$P,MATCH($B169,'DRAFT 1'!$B:$B,0)),"")</f>
        <v/>
      </c>
      <c r="U169">
        <f>IFERROR(INDEX('DRAFT 1'!$Q:$Q,MATCH($B169,'DRAFT 1'!$B:$B,0)),"")</f>
        <v/>
      </c>
      <c r="V169">
        <f>IFERROR(INDEX('DRAFT 1'!$R:$R,MATCH($B169,'DRAFT 1'!$B:$B,0)),"")</f>
        <v/>
      </c>
      <c r="W169">
        <f>IFERROR(INDEX('DRAFT 1'!$S:$S,MATCH($B169,'DRAFT 1'!$B:$B,0)),"")</f>
        <v/>
      </c>
      <c r="X169">
        <f>IFERROR(INDEX('DRAFT 1'!$T:$T,MATCH($B169,'DRAFT 1'!$B:$B,0)),"")</f>
        <v/>
      </c>
      <c r="Z169">
        <f>IFERROR(INDEX('DRAFT 1'!$U:$U,MATCH($B169,'DRAFT 1'!$B:$B,0)),"")</f>
        <v/>
      </c>
      <c r="AA169">
        <f>IFERROR(INDEX('DRAFT 1'!$V:$V,MATCH($B169,'DRAFT 1'!$B:$B,0)),"")</f>
        <v/>
      </c>
      <c r="AB169">
        <f>IFERROR(INDEX('DRAFT 1'!$W:$W,MATCH($B169,'DRAFT 1'!$B:$B,0)),"")</f>
        <v/>
      </c>
      <c r="AC169">
        <f>IFERROR(INDEX('DRAFT 1'!$X:$X,MATCH($B169,'DRAFT 1'!$B:$B,0)),"")</f>
        <v/>
      </c>
      <c r="AD169">
        <f>IFERROR(INDEX('DRAFT 1'!$Y:$Y,MATCH($B169,'DRAFT 1'!$B:$B,0)),"")</f>
        <v/>
      </c>
      <c r="AE169">
        <f>IFERROR(INDEX('DRAFT 1'!$Z:$Z,MATCH($B169,'DRAFT 1'!$B:$B,0)),"")</f>
        <v/>
      </c>
      <c r="AF169">
        <f>IFERROR(INDEX('DRAFT 1'!$AA:$AA,MATCH($B169,'DRAFT 1'!$B:$B,0)),"")</f>
        <v/>
      </c>
      <c r="AG169">
        <f>IFERROR(INDEX('DRAFT 1'!$AB:$AB,MATCH($B169,'DRAFT 1'!$B:$B,0)),"")</f>
        <v/>
      </c>
      <c r="AH169">
        <f>IFERROR(INDEX('DRAFT 1'!$AC:$AC,MATCH($B169,'DRAFT 1'!$B:$B,0)),"")</f>
        <v/>
      </c>
      <c r="AI169">
        <f>IFERROR(INDEX('DRAFT 1'!$AD:$AD,MATCH($B169,'DRAFT 1'!$B:$B,0)),"")</f>
        <v/>
      </c>
      <c r="AJ169">
        <f>IFERROR(INDEX('DRAFT 1'!$AE:$AE,MATCH($B169,'DRAFT 1'!$B:$B,0)),"")</f>
        <v/>
      </c>
      <c r="AK169">
        <f>IFERROR(INDEX('DRAFT 1'!$AG:$AG,MATCH($B169,'DRAFT 1'!$B:$B,0)),"")</f>
        <v/>
      </c>
      <c r="AL169">
        <f>IFERROR(INDEX('DRAFT 1'!$AH:$AH,MATCH($B169,'DRAFT 1'!$B:$B,0)),"")</f>
        <v/>
      </c>
      <c r="AM169">
        <f>IFERROR(INDEX('DRAFT 1'!$AI:$AI,MATCH($B169,'DRAFT 1'!$B:$B,0)),"")</f>
        <v/>
      </c>
      <c r="AN169">
        <f>IFERROR(INDEX('DRAFT 1'!$AJ:$AJ,MATCH($B169,'DRAFT 1'!$B:$B,0)),"")</f>
        <v/>
      </c>
      <c r="AO169">
        <f>IFERROR(Y169/AN169,0)</f>
        <v/>
      </c>
      <c r="AP169">
        <f>IFERROR(INDEX('DRAFT 1'!$AK:$AK,MATCH($B169,'DRAFT 1'!$B:$B,0)),"")</f>
        <v/>
      </c>
      <c r="AR169">
        <f>IFERROR(LOOKUP(2,1/('DRAFT 2'!$D:$D=$B169),'DRAFT 2'!$I:$I),"")</f>
        <v/>
      </c>
      <c r="AS169">
        <f>IFERROR(LOOKUP(2,1/('DRAFT 2'!$D:$D=$B169),'DRAFT 2'!$T:$T),"")</f>
        <v/>
      </c>
      <c r="AT169">
        <f>IFERROR(LOOKUP(2,1/('DRAFT 2'!$D:$D=$B169),'DRAFT 2'!$A:$A),"")</f>
        <v/>
      </c>
      <c r="AU169">
        <f>IFERROR(LOOKUP(2,1/('DRAFT 2'!$D:$D=$B169),'DRAFT 2'!$R:$R),"")</f>
        <v/>
      </c>
      <c r="AV169">
        <f>IFERROR(LOOKUP(2,1/('DRAFT 2'!$D:$D=$B169),'DRAFT 2'!$S:$S),"")</f>
        <v/>
      </c>
      <c r="AX169">
        <f>IFERROR(LOOKUP(2,1/('DRAFT 2'!$D:$D=$B169),'DRAFT 2'!$M:$M),"")</f>
        <v/>
      </c>
      <c r="AY169">
        <f>IFERROR(LOOKUP(2,1/('DRAFT 2'!$D:$D=$B169),'DRAFT 2'!$K:$K),"")</f>
        <v/>
      </c>
      <c r="BG169">
        <f>IFERROR(LOOKUP(2,1/('DRAFT 2'!$D:$D=$B169),'DRAFT 2'!$U:$U),"")</f>
        <v/>
      </c>
      <c r="BH169">
        <f>IFERROR(LOOKUP(2,1/('DRAFT 2'!$D:$D=$B169),'DRAFT 2'!$V:$V),"")</f>
        <v/>
      </c>
      <c r="CE169">
        <f>IFERROR(AJ169,0)</f>
        <v/>
      </c>
      <c r="CF169">
        <f>IFERROR(LOOKUP(2,1/('DRAFT 2'!$D:$D=$B169)*('DRAFT 2'!$A:$A&gt;=DATE(2026,1,1))*('DRAFT 2'!$A:$A&lt;DATE(2026,IF(1=12,1+1,1+1),1)),'DRAFT 2'!$A:$A),"")</f>
        <v/>
      </c>
      <c r="CG169">
        <f>COUNTIFS('DRAFT 2'!$D:$D,$B169,'DRAFT 2'!$A:$A,"&gt;="&amp;DATE(2026,1,1),'DRAFT 2'!$A:$A,"&lt;="&amp;DATE(2026,1,7))</f>
        <v/>
      </c>
      <c r="CH169">
        <f>COUNTIFS('DRAFT 2'!$D:$D,$B169,'DRAFT 2'!$A:$A,"&gt;="&amp;DATE(2026,1,8),'DRAFT 2'!$A:$A,"&lt;="&amp;DATE(2026,1,14))</f>
        <v/>
      </c>
      <c r="CI169">
        <f>COUNTIFS('DRAFT 2'!$D:$D,$B169,'DRAFT 2'!$A:$A,"&gt;="&amp;DATE(2026,1,15),'DRAFT 2'!$A:$A,"&lt;="&amp;DATE(2026,1,21))</f>
        <v/>
      </c>
      <c r="CJ169">
        <f>COUNTIFS('DRAFT 2'!$D:$D,$B169,'DRAFT 2'!$A:$A,"&gt;="&amp;DATE(2026,1,22),'DRAFT 2'!$A:$A,"&lt;"&amp;DATE(2026,IF(1=12,1+1,1+1),1))</f>
        <v/>
      </c>
      <c r="CK169">
        <f>SUM(CG169:CJ169)</f>
        <v/>
      </c>
      <c r="CT169" t="n">
        <v>0</v>
      </c>
      <c r="CU169">
        <f>IFERROR(LOOKUP(2,1/('DRAFT 2'!$D:$D=$B169)*('DRAFT 2'!$A:$A&gt;=DATE(2026,2,1))*('DRAFT 2'!$A:$A&lt;DATE(2026,IF(2=12,2+1,2+1),1)),'DRAFT 2'!$A:$A),"")</f>
        <v/>
      </c>
      <c r="CV169">
        <f>COUNTIFS('DRAFT 2'!$D:$D,$B169,'DRAFT 2'!$A:$A,"&gt;="&amp;DATE(2026,2,1),'DRAFT 2'!$A:$A,"&lt;="&amp;DATE(2026,2,7))</f>
        <v/>
      </c>
      <c r="CW169">
        <f>COUNTIFS('DRAFT 2'!$D:$D,$B169,'DRAFT 2'!$A:$A,"&gt;="&amp;DATE(2026,2,8),'DRAFT 2'!$A:$A,"&lt;="&amp;DATE(2026,2,14))</f>
        <v/>
      </c>
      <c r="CX169">
        <f>COUNTIFS('DRAFT 2'!$D:$D,$B169,'DRAFT 2'!$A:$A,"&gt;="&amp;DATE(2026,2,15),'DRAFT 2'!$A:$A,"&lt;="&amp;DATE(2026,2,21))</f>
        <v/>
      </c>
      <c r="CY169">
        <f>COUNTIFS('DRAFT 2'!$D:$D,$B169,'DRAFT 2'!$A:$A,"&gt;="&amp;DATE(2026,2,22),'DRAFT 2'!$A:$A,"&lt;"&amp;DATE(2026,IF(2=12,2+1,2+1),1))</f>
        <v/>
      </c>
      <c r="CZ169">
        <f>SUM(CV169:CY169)</f>
        <v/>
      </c>
      <c r="DJ169">
        <f>IFERROR(LOOKUP(2,1/('DRAFT 2'!$D:$D=$B169)*('DRAFT 2'!$A:$A&gt;=DATE(2026,3,1))*('DRAFT 2'!$A:$A&lt;DATE(2026,IF(3=12,3+1,3+1),1)),'DRAFT 2'!$A:$A),"")</f>
        <v/>
      </c>
      <c r="DK169">
        <f>COUNTIFS('DRAFT 2'!$D:$D,$B169,'DRAFT 2'!$A:$A,"&gt;="&amp;DATE(2026,3,1),'DRAFT 2'!$A:$A,"&lt;="&amp;DATE(2026,3,7))</f>
        <v/>
      </c>
      <c r="DL169">
        <f>COUNTIFS('DRAFT 2'!$D:$D,$B169,'DRAFT 2'!$A:$A,"&gt;="&amp;DATE(2026,3,8),'DRAFT 2'!$A:$A,"&lt;="&amp;DATE(2026,3,14))</f>
        <v/>
      </c>
      <c r="DM169">
        <f>COUNTIFS('DRAFT 2'!$D:$D,$B169,'DRAFT 2'!$A:$A,"&gt;="&amp;DATE(2026,3,15),'DRAFT 2'!$A:$A,"&lt;="&amp;DATE(2026,3,21))</f>
        <v/>
      </c>
      <c r="DN169">
        <f>COUNTIFS('DRAFT 2'!$D:$D,$B169,'DRAFT 2'!$A:$A,"&gt;="&amp;DATE(2026,3,22),'DRAFT 2'!$A:$A,"&lt;"&amp;DATE(2026,IF(3=12,3+1,3+1),1))</f>
        <v/>
      </c>
      <c r="DO169">
        <f>SUM(DK169:DN169)</f>
        <v/>
      </c>
      <c r="DZ169">
        <f>IFERROR(LOOKUP(2,1/('DRAFT 2'!$D:$D=$B169)*('DRAFT 2'!$A:$A&gt;=DATE(2026,4,1))*('DRAFT 2'!$A:$A&lt;DATE(2026,IF(4=12,4+1,4+1),1)),'DRAFT 2'!$A:$A),"")</f>
        <v/>
      </c>
      <c r="EA169">
        <f>COUNTIFS('DRAFT 2'!$D:$D,$B169,'DRAFT 2'!$A:$A,"&gt;="&amp;DATE(2026,4,1),'DRAFT 2'!$A:$A,"&lt;="&amp;DATE(2026,4,7))</f>
        <v/>
      </c>
      <c r="EB169">
        <f>COUNTIFS('DRAFT 2'!$D:$D,$B169,'DRAFT 2'!$A:$A,"&gt;="&amp;DATE(2026,4,8),'DRAFT 2'!$A:$A,"&lt;="&amp;DATE(2026,4,14))</f>
        <v/>
      </c>
      <c r="EC169">
        <f>COUNTIFS('DRAFT 2'!$D:$D,$B169,'DRAFT 2'!$A:$A,"&gt;="&amp;DATE(2026,4,15),'DRAFT 2'!$A:$A,"&lt;="&amp;DATE(2026,4,21))</f>
        <v/>
      </c>
      <c r="ED169">
        <f>COUNTIFS('DRAFT 2'!$D:$D,$B169,'DRAFT 2'!$A:$A,"&gt;="&amp;DATE(2026,4,22),'DRAFT 2'!$A:$A,"&lt;"&amp;DATE(2026,IF(4=12,4+1,4+1),1))</f>
        <v/>
      </c>
      <c r="EE169">
        <f>SUM(EA169:ED169)</f>
        <v/>
      </c>
      <c r="EO169">
        <f>IFERROR(LOOKUP(2,1/('DRAFT 2'!$D:$D=$B169)*('DRAFT 2'!$A:$A&gt;=DATE(2026,5,1))*('DRAFT 2'!$A:$A&lt;DATE(2026,IF(5=12,5+1,5+1),1)),'DRAFT 2'!$A:$A),"")</f>
        <v/>
      </c>
      <c r="EP169">
        <f>COUNTIFS('DRAFT 2'!$D:$D,$B169,'DRAFT 2'!$A:$A,"&gt;="&amp;DATE(2026,5,1),'DRAFT 2'!$A:$A,"&lt;="&amp;DATE(2026,5,7))</f>
        <v/>
      </c>
      <c r="EQ169">
        <f>COUNTIFS('DRAFT 2'!$D:$D,$B169,'DRAFT 2'!$A:$A,"&gt;="&amp;DATE(2026,5,8),'DRAFT 2'!$A:$A,"&lt;="&amp;DATE(2026,5,14))</f>
        <v/>
      </c>
      <c r="ER169">
        <f>COUNTIFS('DRAFT 2'!$D:$D,$B169,'DRAFT 2'!$A:$A,"&gt;="&amp;DATE(2026,5,15),'DRAFT 2'!$A:$A,"&lt;="&amp;DATE(2026,5,21))</f>
        <v/>
      </c>
      <c r="ES169">
        <f>COUNTIFS('DRAFT 2'!$D:$D,$B169,'DRAFT 2'!$A:$A,"&gt;="&amp;DATE(2026,5,22),'DRAFT 2'!$A:$A,"&lt;"&amp;DATE(2026,IF(5=12,5+1,5+1),1))</f>
        <v/>
      </c>
      <c r="ET169">
        <f>SUM(EP169:ES169)</f>
        <v/>
      </c>
      <c r="FD169">
        <f>IFERROR(LOOKUP(2,1/('DRAFT 2'!$D:$D=$B169)*('DRAFT 2'!$A:$A&gt;=DATE(2026,6,1))*('DRAFT 2'!$A:$A&lt;DATE(2026,IF(6=12,6+1,6+1),1)),'DRAFT 2'!$A:$A),"")</f>
        <v/>
      </c>
      <c r="FE169">
        <f>COUNTIFS('DRAFT 2'!$D:$D,$B169,'DRAFT 2'!$A:$A,"&gt;="&amp;DATE(2026,6,1),'DRAFT 2'!$A:$A,"&lt;="&amp;DATE(2026,6,7))</f>
        <v/>
      </c>
      <c r="FF169">
        <f>COUNTIFS('DRAFT 2'!$D:$D,$B169,'DRAFT 2'!$A:$A,"&gt;="&amp;DATE(2026,6,8),'DRAFT 2'!$A:$A,"&lt;="&amp;DATE(2026,6,14))</f>
        <v/>
      </c>
      <c r="FG169">
        <f>COUNTIFS('DRAFT 2'!$D:$D,$B169,'DRAFT 2'!$A:$A,"&gt;="&amp;DATE(2026,6,15),'DRAFT 2'!$A:$A,"&lt;="&amp;DATE(2026,6,21))</f>
        <v/>
      </c>
      <c r="FH169">
        <f>COUNTIFS('DRAFT 2'!$D:$D,$B169,'DRAFT 2'!$A:$A,"&gt;="&amp;DATE(2026,6,22),'DRAFT 2'!$A:$A,"&lt;"&amp;DATE(2026,IF(6=12,6+1,6+1),1))</f>
        <v/>
      </c>
      <c r="FI169">
        <f>SUM(FE169:FH169)</f>
        <v/>
      </c>
      <c r="FT169">
        <f>IFERROR(LOOKUP(2,1/('DRAFT 2'!$D:$D=$B169)*('DRAFT 2'!$A:$A&gt;=DATE(2026,7,1))*('DRAFT 2'!$A:$A&lt;DATE(2026,IF(7=12,7+1,7+1),1)),'DRAFT 2'!$A:$A),"")</f>
        <v/>
      </c>
      <c r="FU169">
        <f>COUNTIFS('DRAFT 2'!$D:$D,$B169,'DRAFT 2'!$A:$A,"&gt;="&amp;DATE(2026,7,1),'DRAFT 2'!$A:$A,"&lt;="&amp;DATE(2026,7,7))</f>
        <v/>
      </c>
      <c r="FV169">
        <f>COUNTIFS('DRAFT 2'!$D:$D,$B169,'DRAFT 2'!$A:$A,"&gt;="&amp;DATE(2026,7,8),'DRAFT 2'!$A:$A,"&lt;="&amp;DATE(2026,7,14))</f>
        <v/>
      </c>
      <c r="FW169">
        <f>COUNTIFS('DRAFT 2'!$D:$D,$B169,'DRAFT 2'!$A:$A,"&gt;="&amp;DATE(2026,7,15),'DRAFT 2'!$A:$A,"&lt;="&amp;DATE(2026,7,21))</f>
        <v/>
      </c>
      <c r="FX169">
        <f>COUNTIFS('DRAFT 2'!$D:$D,$B169,'DRAFT 2'!$A:$A,"&gt;="&amp;DATE(2026,7,22),'DRAFT 2'!$A:$A,"&lt;"&amp;DATE(2026,IF(7=12,7+1,7+1),1))</f>
        <v/>
      </c>
      <c r="FY169">
        <f>SUM(FU169:FX169)</f>
        <v/>
      </c>
      <c r="GI169">
        <f>IFERROR(LOOKUP(2,1/('DRAFT 2'!$D:$D=$B169)*('DRAFT 2'!$A:$A&gt;=DATE(2026,8,1))*('DRAFT 2'!$A:$A&lt;DATE(2026,IF(8=12,8+1,8+1),1)),'DRAFT 2'!$A:$A),"")</f>
        <v/>
      </c>
      <c r="GJ169">
        <f>COUNTIFS('DRAFT 2'!$D:$D,$B169,'DRAFT 2'!$A:$A,"&gt;="&amp;DATE(2026,8,1),'DRAFT 2'!$A:$A,"&lt;="&amp;DATE(2026,8,7))</f>
        <v/>
      </c>
      <c r="GK169">
        <f>COUNTIFS('DRAFT 2'!$D:$D,$B169,'DRAFT 2'!$A:$A,"&gt;="&amp;DATE(2026,8,8),'DRAFT 2'!$A:$A,"&lt;="&amp;DATE(2026,8,14))</f>
        <v/>
      </c>
      <c r="GL169">
        <f>COUNTIFS('DRAFT 2'!$D:$D,$B169,'DRAFT 2'!$A:$A,"&gt;="&amp;DATE(2026,8,15),'DRAFT 2'!$A:$A,"&lt;="&amp;DATE(2026,8,21))</f>
        <v/>
      </c>
      <c r="GM169">
        <f>COUNTIFS('DRAFT 2'!$D:$D,$B169,'DRAFT 2'!$A:$A,"&gt;="&amp;DATE(2026,8,22),'DRAFT 2'!$A:$A,"&lt;"&amp;DATE(2026,IF(8=12,8+1,8+1),1))</f>
        <v/>
      </c>
      <c r="GN169">
        <f>SUM(GJ169:GM169)</f>
        <v/>
      </c>
      <c r="GX169">
        <f>IFERROR(LOOKUP(2,1/('DRAFT 2'!$D:$D=$B169)*('DRAFT 2'!$A:$A&gt;=DATE(2026,9,1))*('DRAFT 2'!$A:$A&lt;DATE(2026,IF(9=12,9+1,9+1),1)),'DRAFT 2'!$A:$A),"")</f>
        <v/>
      </c>
      <c r="GY169">
        <f>COUNTIFS('DRAFT 2'!$D:$D,$B169,'DRAFT 2'!$A:$A,"&gt;="&amp;DATE(2026,9,1),'DRAFT 2'!$A:$A,"&lt;="&amp;DATE(2026,9,7))</f>
        <v/>
      </c>
      <c r="GZ169">
        <f>COUNTIFS('DRAFT 2'!$D:$D,$B169,'DRAFT 2'!$A:$A,"&gt;="&amp;DATE(2026,9,8),'DRAFT 2'!$A:$A,"&lt;="&amp;DATE(2026,9,14))</f>
        <v/>
      </c>
      <c r="HA169">
        <f>COUNTIFS('DRAFT 2'!$D:$D,$B169,'DRAFT 2'!$A:$A,"&gt;="&amp;DATE(2026,9,15),'DRAFT 2'!$A:$A,"&lt;="&amp;DATE(2026,9,21))</f>
        <v/>
      </c>
      <c r="HB169">
        <f>COUNTIFS('DRAFT 2'!$D:$D,$B169,'DRAFT 2'!$A:$A,"&gt;="&amp;DATE(2026,9,22),'DRAFT 2'!$A:$A,"&lt;"&amp;DATE(2026,IF(9=12,9+1,9+1),1))</f>
        <v/>
      </c>
      <c r="HC169">
        <f>SUM(GY169:HB169)</f>
        <v/>
      </c>
      <c r="HN169">
        <f>IFERROR(LOOKUP(2,1/('DRAFT 2'!$D:$D=$B169)*('DRAFT 2'!$A:$A&gt;=DATE(2026,10,1))*('DRAFT 2'!$A:$A&lt;DATE(2026,IF(10=12,10+1,10+1),1)),'DRAFT 2'!$A:$A),"")</f>
        <v/>
      </c>
      <c r="HO169">
        <f>COUNTIFS('DRAFT 2'!$D:$D,$B169,'DRAFT 2'!$A:$A,"&gt;="&amp;DATE(2026,10,1),'DRAFT 2'!$A:$A,"&lt;="&amp;DATE(2026,10,7))</f>
        <v/>
      </c>
      <c r="HP169">
        <f>COUNTIFS('DRAFT 2'!$D:$D,$B169,'DRAFT 2'!$A:$A,"&gt;="&amp;DATE(2026,10,8),'DRAFT 2'!$A:$A,"&lt;="&amp;DATE(2026,10,14))</f>
        <v/>
      </c>
      <c r="HQ169">
        <f>COUNTIFS('DRAFT 2'!$D:$D,$B169,'DRAFT 2'!$A:$A,"&gt;="&amp;DATE(2026,10,15),'DRAFT 2'!$A:$A,"&lt;="&amp;DATE(2026,10,21))</f>
        <v/>
      </c>
      <c r="HR169">
        <f>COUNTIFS('DRAFT 2'!$D:$D,$B169,'DRAFT 2'!$A:$A,"&gt;="&amp;DATE(2026,10,22),'DRAFT 2'!$A:$A,"&lt;"&amp;DATE(2026,IF(10=12,10+1,10+1),1))</f>
        <v/>
      </c>
      <c r="HS169">
        <f>SUM(HO169:HR169)</f>
        <v/>
      </c>
      <c r="IC169">
        <f>IFERROR(LOOKUP(2,1/('DRAFT 2'!$D:$D=$B169)*('DRAFT 2'!$A:$A&gt;=DATE(2026,11,1))*('DRAFT 2'!$A:$A&lt;DATE(2026,IF(11=12,11+1,11+1),1)),'DRAFT 2'!$A:$A),"")</f>
        <v/>
      </c>
      <c r="ID169">
        <f>COUNTIFS('DRAFT 2'!$D:$D,$B169,'DRAFT 2'!$A:$A,"&gt;="&amp;DATE(2026,11,1),'DRAFT 2'!$A:$A,"&lt;="&amp;DATE(2026,11,7))</f>
        <v/>
      </c>
      <c r="IE169">
        <f>COUNTIFS('DRAFT 2'!$D:$D,$B169,'DRAFT 2'!$A:$A,"&gt;="&amp;DATE(2026,11,8),'DRAFT 2'!$A:$A,"&lt;="&amp;DATE(2026,11,14))</f>
        <v/>
      </c>
      <c r="IF169">
        <f>COUNTIFS('DRAFT 2'!$D:$D,$B169,'DRAFT 2'!$A:$A,"&gt;="&amp;DATE(2026,11,15),'DRAFT 2'!$A:$A,"&lt;="&amp;DATE(2026,11,21))</f>
        <v/>
      </c>
      <c r="IG169">
        <f>COUNTIFS('DRAFT 2'!$D:$D,$B169,'DRAFT 2'!$A:$A,"&gt;="&amp;DATE(2026,11,22),'DRAFT 2'!$A:$A,"&lt;"&amp;DATE(2026,IF(11=12,11+1,11+1),1))</f>
        <v/>
      </c>
      <c r="IH169">
        <f>SUM(ID169:IG169)</f>
        <v/>
      </c>
      <c r="IR169">
        <f>IFERROR(LOOKUP(2,1/('DRAFT 2'!$D:$D=$B169)*('DRAFT 2'!$A:$A&gt;=DATE(2026,12,1))*('DRAFT 2'!$A:$A&lt;DATE(2026,IF(12=12,12+1,12+1),1)),'DRAFT 2'!$A:$A),"")</f>
        <v/>
      </c>
      <c r="IS169">
        <f>COUNTIFS('DRAFT 2'!$D:$D,$B169,'DRAFT 2'!$A:$A,"&gt;="&amp;DATE(2026,12,1),'DRAFT 2'!$A:$A,"&lt;="&amp;DATE(2026,12,7))</f>
        <v/>
      </c>
      <c r="IT169">
        <f>COUNTIFS('DRAFT 2'!$D:$D,$B169,'DRAFT 2'!$A:$A,"&gt;="&amp;DATE(2026,12,8),'DRAFT 2'!$A:$A,"&lt;="&amp;DATE(2026,12,14))</f>
        <v/>
      </c>
      <c r="IU169">
        <f>COUNTIFS('DRAFT 2'!$D:$D,$B169,'DRAFT 2'!$A:$A,"&gt;="&amp;DATE(2026,12,15),'DRAFT 2'!$A:$A,"&lt;="&amp;DATE(2026,12,21))</f>
        <v/>
      </c>
      <c r="IV169">
        <f>COUNTIFS('DRAFT 2'!$D:$D,$B169,'DRAFT 2'!$A:$A,"&gt;="&amp;DATE(2026,12,22),'DRAFT 2'!$A:$A,"&lt;"&amp;DATE(2026,IF(12=12,12+1,12+1),1))</f>
        <v/>
      </c>
      <c r="IW169">
        <f>SUM(IS169:IV169)</f>
        <v/>
      </c>
    </row>
    <row r="170">
      <c r="A170">
        <f>IFERROR(INDEX('DRAFT 1'!$A:$A,MATCH($B170,'DRAFT 1'!$B:$B,0)),"")</f>
        <v/>
      </c>
      <c r="C170">
        <f>IFERROR(INDEX('DRAFT 1'!$C:$C,MATCH($B170,'DRAFT 1'!$B:$B,0)),"")</f>
        <v/>
      </c>
      <c r="D170">
        <f>IFERROR(INDEX('DRAFT 1'!$D:$D,MATCH($B170,'DRAFT 1'!$B:$B,0)),"")</f>
        <v/>
      </c>
      <c r="E170">
        <f>IFERROR(INDEX('DRAFT 1'!$E:$E,MATCH($B170,'DRAFT 1'!$B:$B,0)),"")</f>
        <v/>
      </c>
      <c r="F170">
        <f>IFERROR(INDEX('DRAFT 1'!$F:$F,MATCH($B170,'DRAFT 1'!$B:$B,0)),"")</f>
        <v/>
      </c>
      <c r="G170">
        <f>IFERROR(INDEX('DRAFT 1'!$G:$G,MATCH($B170,'DRAFT 1'!$B:$B,0)),"")</f>
        <v/>
      </c>
      <c r="H170">
        <f>IFERROR(INDEX('DRAFT 1'!$H:$H,MATCH($B170,'DRAFT 1'!$B:$B,0)),"")</f>
        <v/>
      </c>
      <c r="I170">
        <f>IFERROR(INDEX('DRAFT 1'!$I:$I,MATCH($B170,'DRAFT 1'!$B:$B,0)),"")</f>
        <v/>
      </c>
      <c r="K170">
        <f>IFERROR(INDEX('DRAFT 1'!$AL:$AL,MATCH($B170,'DRAFT 1'!$B:$B,0)),"")</f>
        <v/>
      </c>
      <c r="L170">
        <f>IFERROR(INDEX('DRAFT 1'!$J:$J,MATCH($B170,'DRAFT 1'!$B:$B,0)),"")</f>
        <v/>
      </c>
      <c r="M170">
        <f>IFERROR(INDEX('DRAFT 1'!$K:$K,MATCH($B170,'DRAFT 1'!$B:$B,0)),"")</f>
        <v/>
      </c>
      <c r="P170">
        <f>IFERROR(INDEX('DRAFT 1'!$L:$L,MATCH($B170,'DRAFT 1'!$B:$B,0)),"")</f>
        <v/>
      </c>
      <c r="Q170">
        <f>IFERROR(INDEX('DRAFT 1'!$M:$M,MATCH($B170,'DRAFT 1'!$B:$B,0)),"")</f>
        <v/>
      </c>
      <c r="R170">
        <f>IFERROR(INDEX('DRAFT 1'!$N:$N,MATCH($B170,'DRAFT 1'!$B:$B,0)),"")</f>
        <v/>
      </c>
      <c r="S170">
        <f>IFERROR(INDEX('DRAFT 1'!$O:$O,MATCH($B170,'DRAFT 1'!$B:$B,0)),"")</f>
        <v/>
      </c>
      <c r="T170">
        <f>IFERROR(INDEX('DRAFT 1'!$P:$P,MATCH($B170,'DRAFT 1'!$B:$B,0)),"")</f>
        <v/>
      </c>
      <c r="U170">
        <f>IFERROR(INDEX('DRAFT 1'!$Q:$Q,MATCH($B170,'DRAFT 1'!$B:$B,0)),"")</f>
        <v/>
      </c>
      <c r="V170">
        <f>IFERROR(INDEX('DRAFT 1'!$R:$R,MATCH($B170,'DRAFT 1'!$B:$B,0)),"")</f>
        <v/>
      </c>
      <c r="W170">
        <f>IFERROR(INDEX('DRAFT 1'!$S:$S,MATCH($B170,'DRAFT 1'!$B:$B,0)),"")</f>
        <v/>
      </c>
      <c r="X170">
        <f>IFERROR(INDEX('DRAFT 1'!$T:$T,MATCH($B170,'DRAFT 1'!$B:$B,0)),"")</f>
        <v/>
      </c>
      <c r="Z170">
        <f>IFERROR(INDEX('DRAFT 1'!$U:$U,MATCH($B170,'DRAFT 1'!$B:$B,0)),"")</f>
        <v/>
      </c>
      <c r="AA170">
        <f>IFERROR(INDEX('DRAFT 1'!$V:$V,MATCH($B170,'DRAFT 1'!$B:$B,0)),"")</f>
        <v/>
      </c>
      <c r="AB170">
        <f>IFERROR(INDEX('DRAFT 1'!$W:$W,MATCH($B170,'DRAFT 1'!$B:$B,0)),"")</f>
        <v/>
      </c>
      <c r="AC170">
        <f>IFERROR(INDEX('DRAFT 1'!$X:$X,MATCH($B170,'DRAFT 1'!$B:$B,0)),"")</f>
        <v/>
      </c>
      <c r="AD170">
        <f>IFERROR(INDEX('DRAFT 1'!$Y:$Y,MATCH($B170,'DRAFT 1'!$B:$B,0)),"")</f>
        <v/>
      </c>
      <c r="AE170">
        <f>IFERROR(INDEX('DRAFT 1'!$Z:$Z,MATCH($B170,'DRAFT 1'!$B:$B,0)),"")</f>
        <v/>
      </c>
      <c r="AF170">
        <f>IFERROR(INDEX('DRAFT 1'!$AA:$AA,MATCH($B170,'DRAFT 1'!$B:$B,0)),"")</f>
        <v/>
      </c>
      <c r="AG170">
        <f>IFERROR(INDEX('DRAFT 1'!$AB:$AB,MATCH($B170,'DRAFT 1'!$B:$B,0)),"")</f>
        <v/>
      </c>
      <c r="AH170">
        <f>IFERROR(INDEX('DRAFT 1'!$AC:$AC,MATCH($B170,'DRAFT 1'!$B:$B,0)),"")</f>
        <v/>
      </c>
      <c r="AI170">
        <f>IFERROR(INDEX('DRAFT 1'!$AD:$AD,MATCH($B170,'DRAFT 1'!$B:$B,0)),"")</f>
        <v/>
      </c>
      <c r="AJ170">
        <f>IFERROR(INDEX('DRAFT 1'!$AE:$AE,MATCH($B170,'DRAFT 1'!$B:$B,0)),"")</f>
        <v/>
      </c>
      <c r="AK170">
        <f>IFERROR(INDEX('DRAFT 1'!$AG:$AG,MATCH($B170,'DRAFT 1'!$B:$B,0)),"")</f>
        <v/>
      </c>
      <c r="AL170">
        <f>IFERROR(INDEX('DRAFT 1'!$AH:$AH,MATCH($B170,'DRAFT 1'!$B:$B,0)),"")</f>
        <v/>
      </c>
      <c r="AM170">
        <f>IFERROR(INDEX('DRAFT 1'!$AI:$AI,MATCH($B170,'DRAFT 1'!$B:$B,0)),"")</f>
        <v/>
      </c>
      <c r="AN170">
        <f>IFERROR(INDEX('DRAFT 1'!$AJ:$AJ,MATCH($B170,'DRAFT 1'!$B:$B,0)),"")</f>
        <v/>
      </c>
      <c r="AO170">
        <f>IFERROR(Y170/AN170,0)</f>
        <v/>
      </c>
      <c r="AP170">
        <f>IFERROR(INDEX('DRAFT 1'!$AK:$AK,MATCH($B170,'DRAFT 1'!$B:$B,0)),"")</f>
        <v/>
      </c>
      <c r="AR170">
        <f>IFERROR(LOOKUP(2,1/('DRAFT 2'!$D:$D=$B170),'DRAFT 2'!$I:$I),"")</f>
        <v/>
      </c>
      <c r="AS170">
        <f>IFERROR(LOOKUP(2,1/('DRAFT 2'!$D:$D=$B170),'DRAFT 2'!$T:$T),"")</f>
        <v/>
      </c>
      <c r="AT170">
        <f>IFERROR(LOOKUP(2,1/('DRAFT 2'!$D:$D=$B170),'DRAFT 2'!$A:$A),"")</f>
        <v/>
      </c>
      <c r="AU170">
        <f>IFERROR(LOOKUP(2,1/('DRAFT 2'!$D:$D=$B170),'DRAFT 2'!$R:$R),"")</f>
        <v/>
      </c>
      <c r="AV170">
        <f>IFERROR(LOOKUP(2,1/('DRAFT 2'!$D:$D=$B170),'DRAFT 2'!$S:$S),"")</f>
        <v/>
      </c>
      <c r="AX170">
        <f>IFERROR(LOOKUP(2,1/('DRAFT 2'!$D:$D=$B170),'DRAFT 2'!$M:$M),"")</f>
        <v/>
      </c>
      <c r="AY170">
        <f>IFERROR(LOOKUP(2,1/('DRAFT 2'!$D:$D=$B170),'DRAFT 2'!$K:$K),"")</f>
        <v/>
      </c>
      <c r="BG170">
        <f>IFERROR(LOOKUP(2,1/('DRAFT 2'!$D:$D=$B170),'DRAFT 2'!$U:$U),"")</f>
        <v/>
      </c>
      <c r="BH170">
        <f>IFERROR(LOOKUP(2,1/('DRAFT 2'!$D:$D=$B170),'DRAFT 2'!$V:$V),"")</f>
        <v/>
      </c>
      <c r="CE170">
        <f>IFERROR(AJ170,0)</f>
        <v/>
      </c>
      <c r="CF170">
        <f>IFERROR(LOOKUP(2,1/('DRAFT 2'!$D:$D=$B170)*('DRAFT 2'!$A:$A&gt;=DATE(2026,1,1))*('DRAFT 2'!$A:$A&lt;DATE(2026,IF(1=12,1+1,1+1),1)),'DRAFT 2'!$A:$A),"")</f>
        <v/>
      </c>
      <c r="CG170">
        <f>COUNTIFS('DRAFT 2'!$D:$D,$B170,'DRAFT 2'!$A:$A,"&gt;="&amp;DATE(2026,1,1),'DRAFT 2'!$A:$A,"&lt;="&amp;DATE(2026,1,7))</f>
        <v/>
      </c>
      <c r="CH170">
        <f>COUNTIFS('DRAFT 2'!$D:$D,$B170,'DRAFT 2'!$A:$A,"&gt;="&amp;DATE(2026,1,8),'DRAFT 2'!$A:$A,"&lt;="&amp;DATE(2026,1,14))</f>
        <v/>
      </c>
      <c r="CI170">
        <f>COUNTIFS('DRAFT 2'!$D:$D,$B170,'DRAFT 2'!$A:$A,"&gt;="&amp;DATE(2026,1,15),'DRAFT 2'!$A:$A,"&lt;="&amp;DATE(2026,1,21))</f>
        <v/>
      </c>
      <c r="CJ170">
        <f>COUNTIFS('DRAFT 2'!$D:$D,$B170,'DRAFT 2'!$A:$A,"&gt;="&amp;DATE(2026,1,22),'DRAFT 2'!$A:$A,"&lt;"&amp;DATE(2026,IF(1=12,1+1,1+1),1))</f>
        <v/>
      </c>
      <c r="CK170">
        <f>SUM(CG170:CJ170)</f>
        <v/>
      </c>
      <c r="CT170" t="n">
        <v>0</v>
      </c>
      <c r="CU170">
        <f>IFERROR(LOOKUP(2,1/('DRAFT 2'!$D:$D=$B170)*('DRAFT 2'!$A:$A&gt;=DATE(2026,2,1))*('DRAFT 2'!$A:$A&lt;DATE(2026,IF(2=12,2+1,2+1),1)),'DRAFT 2'!$A:$A),"")</f>
        <v/>
      </c>
      <c r="CV170">
        <f>COUNTIFS('DRAFT 2'!$D:$D,$B170,'DRAFT 2'!$A:$A,"&gt;="&amp;DATE(2026,2,1),'DRAFT 2'!$A:$A,"&lt;="&amp;DATE(2026,2,7))</f>
        <v/>
      </c>
      <c r="CW170">
        <f>COUNTIFS('DRAFT 2'!$D:$D,$B170,'DRAFT 2'!$A:$A,"&gt;="&amp;DATE(2026,2,8),'DRAFT 2'!$A:$A,"&lt;="&amp;DATE(2026,2,14))</f>
        <v/>
      </c>
      <c r="CX170">
        <f>COUNTIFS('DRAFT 2'!$D:$D,$B170,'DRAFT 2'!$A:$A,"&gt;="&amp;DATE(2026,2,15),'DRAFT 2'!$A:$A,"&lt;="&amp;DATE(2026,2,21))</f>
        <v/>
      </c>
      <c r="CY170">
        <f>COUNTIFS('DRAFT 2'!$D:$D,$B170,'DRAFT 2'!$A:$A,"&gt;="&amp;DATE(2026,2,22),'DRAFT 2'!$A:$A,"&lt;"&amp;DATE(2026,IF(2=12,2+1,2+1),1))</f>
        <v/>
      </c>
      <c r="CZ170">
        <f>SUM(CV170:CY170)</f>
        <v/>
      </c>
      <c r="DJ170">
        <f>IFERROR(LOOKUP(2,1/('DRAFT 2'!$D:$D=$B170)*('DRAFT 2'!$A:$A&gt;=DATE(2026,3,1))*('DRAFT 2'!$A:$A&lt;DATE(2026,IF(3=12,3+1,3+1),1)),'DRAFT 2'!$A:$A),"")</f>
        <v/>
      </c>
      <c r="DK170">
        <f>COUNTIFS('DRAFT 2'!$D:$D,$B170,'DRAFT 2'!$A:$A,"&gt;="&amp;DATE(2026,3,1),'DRAFT 2'!$A:$A,"&lt;="&amp;DATE(2026,3,7))</f>
        <v/>
      </c>
      <c r="DL170">
        <f>COUNTIFS('DRAFT 2'!$D:$D,$B170,'DRAFT 2'!$A:$A,"&gt;="&amp;DATE(2026,3,8),'DRAFT 2'!$A:$A,"&lt;="&amp;DATE(2026,3,14))</f>
        <v/>
      </c>
      <c r="DM170">
        <f>COUNTIFS('DRAFT 2'!$D:$D,$B170,'DRAFT 2'!$A:$A,"&gt;="&amp;DATE(2026,3,15),'DRAFT 2'!$A:$A,"&lt;="&amp;DATE(2026,3,21))</f>
        <v/>
      </c>
      <c r="DN170">
        <f>COUNTIFS('DRAFT 2'!$D:$D,$B170,'DRAFT 2'!$A:$A,"&gt;="&amp;DATE(2026,3,22),'DRAFT 2'!$A:$A,"&lt;"&amp;DATE(2026,IF(3=12,3+1,3+1),1))</f>
        <v/>
      </c>
      <c r="DO170">
        <f>SUM(DK170:DN170)</f>
        <v/>
      </c>
      <c r="DZ170">
        <f>IFERROR(LOOKUP(2,1/('DRAFT 2'!$D:$D=$B170)*('DRAFT 2'!$A:$A&gt;=DATE(2026,4,1))*('DRAFT 2'!$A:$A&lt;DATE(2026,IF(4=12,4+1,4+1),1)),'DRAFT 2'!$A:$A),"")</f>
        <v/>
      </c>
      <c r="EA170">
        <f>COUNTIFS('DRAFT 2'!$D:$D,$B170,'DRAFT 2'!$A:$A,"&gt;="&amp;DATE(2026,4,1),'DRAFT 2'!$A:$A,"&lt;="&amp;DATE(2026,4,7))</f>
        <v/>
      </c>
      <c r="EB170">
        <f>COUNTIFS('DRAFT 2'!$D:$D,$B170,'DRAFT 2'!$A:$A,"&gt;="&amp;DATE(2026,4,8),'DRAFT 2'!$A:$A,"&lt;="&amp;DATE(2026,4,14))</f>
        <v/>
      </c>
      <c r="EC170">
        <f>COUNTIFS('DRAFT 2'!$D:$D,$B170,'DRAFT 2'!$A:$A,"&gt;="&amp;DATE(2026,4,15),'DRAFT 2'!$A:$A,"&lt;="&amp;DATE(2026,4,21))</f>
        <v/>
      </c>
      <c r="ED170">
        <f>COUNTIFS('DRAFT 2'!$D:$D,$B170,'DRAFT 2'!$A:$A,"&gt;="&amp;DATE(2026,4,22),'DRAFT 2'!$A:$A,"&lt;"&amp;DATE(2026,IF(4=12,4+1,4+1),1))</f>
        <v/>
      </c>
      <c r="EE170">
        <f>SUM(EA170:ED170)</f>
        <v/>
      </c>
      <c r="EO170">
        <f>IFERROR(LOOKUP(2,1/('DRAFT 2'!$D:$D=$B170)*('DRAFT 2'!$A:$A&gt;=DATE(2026,5,1))*('DRAFT 2'!$A:$A&lt;DATE(2026,IF(5=12,5+1,5+1),1)),'DRAFT 2'!$A:$A),"")</f>
        <v/>
      </c>
      <c r="EP170">
        <f>COUNTIFS('DRAFT 2'!$D:$D,$B170,'DRAFT 2'!$A:$A,"&gt;="&amp;DATE(2026,5,1),'DRAFT 2'!$A:$A,"&lt;="&amp;DATE(2026,5,7))</f>
        <v/>
      </c>
      <c r="EQ170">
        <f>COUNTIFS('DRAFT 2'!$D:$D,$B170,'DRAFT 2'!$A:$A,"&gt;="&amp;DATE(2026,5,8),'DRAFT 2'!$A:$A,"&lt;="&amp;DATE(2026,5,14))</f>
        <v/>
      </c>
      <c r="ER170">
        <f>COUNTIFS('DRAFT 2'!$D:$D,$B170,'DRAFT 2'!$A:$A,"&gt;="&amp;DATE(2026,5,15),'DRAFT 2'!$A:$A,"&lt;="&amp;DATE(2026,5,21))</f>
        <v/>
      </c>
      <c r="ES170">
        <f>COUNTIFS('DRAFT 2'!$D:$D,$B170,'DRAFT 2'!$A:$A,"&gt;="&amp;DATE(2026,5,22),'DRAFT 2'!$A:$A,"&lt;"&amp;DATE(2026,IF(5=12,5+1,5+1),1))</f>
        <v/>
      </c>
      <c r="ET170">
        <f>SUM(EP170:ES170)</f>
        <v/>
      </c>
      <c r="FD170">
        <f>IFERROR(LOOKUP(2,1/('DRAFT 2'!$D:$D=$B170)*('DRAFT 2'!$A:$A&gt;=DATE(2026,6,1))*('DRAFT 2'!$A:$A&lt;DATE(2026,IF(6=12,6+1,6+1),1)),'DRAFT 2'!$A:$A),"")</f>
        <v/>
      </c>
      <c r="FE170">
        <f>COUNTIFS('DRAFT 2'!$D:$D,$B170,'DRAFT 2'!$A:$A,"&gt;="&amp;DATE(2026,6,1),'DRAFT 2'!$A:$A,"&lt;="&amp;DATE(2026,6,7))</f>
        <v/>
      </c>
      <c r="FF170">
        <f>COUNTIFS('DRAFT 2'!$D:$D,$B170,'DRAFT 2'!$A:$A,"&gt;="&amp;DATE(2026,6,8),'DRAFT 2'!$A:$A,"&lt;="&amp;DATE(2026,6,14))</f>
        <v/>
      </c>
      <c r="FG170">
        <f>COUNTIFS('DRAFT 2'!$D:$D,$B170,'DRAFT 2'!$A:$A,"&gt;="&amp;DATE(2026,6,15),'DRAFT 2'!$A:$A,"&lt;="&amp;DATE(2026,6,21))</f>
        <v/>
      </c>
      <c r="FH170">
        <f>COUNTIFS('DRAFT 2'!$D:$D,$B170,'DRAFT 2'!$A:$A,"&gt;="&amp;DATE(2026,6,22),'DRAFT 2'!$A:$A,"&lt;"&amp;DATE(2026,IF(6=12,6+1,6+1),1))</f>
        <v/>
      </c>
      <c r="FI170">
        <f>SUM(FE170:FH170)</f>
        <v/>
      </c>
      <c r="FT170">
        <f>IFERROR(LOOKUP(2,1/('DRAFT 2'!$D:$D=$B170)*('DRAFT 2'!$A:$A&gt;=DATE(2026,7,1))*('DRAFT 2'!$A:$A&lt;DATE(2026,IF(7=12,7+1,7+1),1)),'DRAFT 2'!$A:$A),"")</f>
        <v/>
      </c>
      <c r="FU170">
        <f>COUNTIFS('DRAFT 2'!$D:$D,$B170,'DRAFT 2'!$A:$A,"&gt;="&amp;DATE(2026,7,1),'DRAFT 2'!$A:$A,"&lt;="&amp;DATE(2026,7,7))</f>
        <v/>
      </c>
      <c r="FV170">
        <f>COUNTIFS('DRAFT 2'!$D:$D,$B170,'DRAFT 2'!$A:$A,"&gt;="&amp;DATE(2026,7,8),'DRAFT 2'!$A:$A,"&lt;="&amp;DATE(2026,7,14))</f>
        <v/>
      </c>
      <c r="FW170">
        <f>COUNTIFS('DRAFT 2'!$D:$D,$B170,'DRAFT 2'!$A:$A,"&gt;="&amp;DATE(2026,7,15),'DRAFT 2'!$A:$A,"&lt;="&amp;DATE(2026,7,21))</f>
        <v/>
      </c>
      <c r="FX170">
        <f>COUNTIFS('DRAFT 2'!$D:$D,$B170,'DRAFT 2'!$A:$A,"&gt;="&amp;DATE(2026,7,22),'DRAFT 2'!$A:$A,"&lt;"&amp;DATE(2026,IF(7=12,7+1,7+1),1))</f>
        <v/>
      </c>
      <c r="FY170">
        <f>SUM(FU170:FX170)</f>
        <v/>
      </c>
      <c r="GI170">
        <f>IFERROR(LOOKUP(2,1/('DRAFT 2'!$D:$D=$B170)*('DRAFT 2'!$A:$A&gt;=DATE(2026,8,1))*('DRAFT 2'!$A:$A&lt;DATE(2026,IF(8=12,8+1,8+1),1)),'DRAFT 2'!$A:$A),"")</f>
        <v/>
      </c>
      <c r="GJ170">
        <f>COUNTIFS('DRAFT 2'!$D:$D,$B170,'DRAFT 2'!$A:$A,"&gt;="&amp;DATE(2026,8,1),'DRAFT 2'!$A:$A,"&lt;="&amp;DATE(2026,8,7))</f>
        <v/>
      </c>
      <c r="GK170">
        <f>COUNTIFS('DRAFT 2'!$D:$D,$B170,'DRAFT 2'!$A:$A,"&gt;="&amp;DATE(2026,8,8),'DRAFT 2'!$A:$A,"&lt;="&amp;DATE(2026,8,14))</f>
        <v/>
      </c>
      <c r="GL170">
        <f>COUNTIFS('DRAFT 2'!$D:$D,$B170,'DRAFT 2'!$A:$A,"&gt;="&amp;DATE(2026,8,15),'DRAFT 2'!$A:$A,"&lt;="&amp;DATE(2026,8,21))</f>
        <v/>
      </c>
      <c r="GM170">
        <f>COUNTIFS('DRAFT 2'!$D:$D,$B170,'DRAFT 2'!$A:$A,"&gt;="&amp;DATE(2026,8,22),'DRAFT 2'!$A:$A,"&lt;"&amp;DATE(2026,IF(8=12,8+1,8+1),1))</f>
        <v/>
      </c>
      <c r="GN170">
        <f>SUM(GJ170:GM170)</f>
        <v/>
      </c>
      <c r="GX170">
        <f>IFERROR(LOOKUP(2,1/('DRAFT 2'!$D:$D=$B170)*('DRAFT 2'!$A:$A&gt;=DATE(2026,9,1))*('DRAFT 2'!$A:$A&lt;DATE(2026,IF(9=12,9+1,9+1),1)),'DRAFT 2'!$A:$A),"")</f>
        <v/>
      </c>
      <c r="GY170">
        <f>COUNTIFS('DRAFT 2'!$D:$D,$B170,'DRAFT 2'!$A:$A,"&gt;="&amp;DATE(2026,9,1),'DRAFT 2'!$A:$A,"&lt;="&amp;DATE(2026,9,7))</f>
        <v/>
      </c>
      <c r="GZ170">
        <f>COUNTIFS('DRAFT 2'!$D:$D,$B170,'DRAFT 2'!$A:$A,"&gt;="&amp;DATE(2026,9,8),'DRAFT 2'!$A:$A,"&lt;="&amp;DATE(2026,9,14))</f>
        <v/>
      </c>
      <c r="HA170">
        <f>COUNTIFS('DRAFT 2'!$D:$D,$B170,'DRAFT 2'!$A:$A,"&gt;="&amp;DATE(2026,9,15),'DRAFT 2'!$A:$A,"&lt;="&amp;DATE(2026,9,21))</f>
        <v/>
      </c>
      <c r="HB170">
        <f>COUNTIFS('DRAFT 2'!$D:$D,$B170,'DRAFT 2'!$A:$A,"&gt;="&amp;DATE(2026,9,22),'DRAFT 2'!$A:$A,"&lt;"&amp;DATE(2026,IF(9=12,9+1,9+1),1))</f>
        <v/>
      </c>
      <c r="HC170">
        <f>SUM(GY170:HB170)</f>
        <v/>
      </c>
      <c r="HN170">
        <f>IFERROR(LOOKUP(2,1/('DRAFT 2'!$D:$D=$B170)*('DRAFT 2'!$A:$A&gt;=DATE(2026,10,1))*('DRAFT 2'!$A:$A&lt;DATE(2026,IF(10=12,10+1,10+1),1)),'DRAFT 2'!$A:$A),"")</f>
        <v/>
      </c>
      <c r="HO170">
        <f>COUNTIFS('DRAFT 2'!$D:$D,$B170,'DRAFT 2'!$A:$A,"&gt;="&amp;DATE(2026,10,1),'DRAFT 2'!$A:$A,"&lt;="&amp;DATE(2026,10,7))</f>
        <v/>
      </c>
      <c r="HP170">
        <f>COUNTIFS('DRAFT 2'!$D:$D,$B170,'DRAFT 2'!$A:$A,"&gt;="&amp;DATE(2026,10,8),'DRAFT 2'!$A:$A,"&lt;="&amp;DATE(2026,10,14))</f>
        <v/>
      </c>
      <c r="HQ170">
        <f>COUNTIFS('DRAFT 2'!$D:$D,$B170,'DRAFT 2'!$A:$A,"&gt;="&amp;DATE(2026,10,15),'DRAFT 2'!$A:$A,"&lt;="&amp;DATE(2026,10,21))</f>
        <v/>
      </c>
      <c r="HR170">
        <f>COUNTIFS('DRAFT 2'!$D:$D,$B170,'DRAFT 2'!$A:$A,"&gt;="&amp;DATE(2026,10,22),'DRAFT 2'!$A:$A,"&lt;"&amp;DATE(2026,IF(10=12,10+1,10+1),1))</f>
        <v/>
      </c>
      <c r="HS170">
        <f>SUM(HO170:HR170)</f>
        <v/>
      </c>
      <c r="IC170">
        <f>IFERROR(LOOKUP(2,1/('DRAFT 2'!$D:$D=$B170)*('DRAFT 2'!$A:$A&gt;=DATE(2026,11,1))*('DRAFT 2'!$A:$A&lt;DATE(2026,IF(11=12,11+1,11+1),1)),'DRAFT 2'!$A:$A),"")</f>
        <v/>
      </c>
      <c r="ID170">
        <f>COUNTIFS('DRAFT 2'!$D:$D,$B170,'DRAFT 2'!$A:$A,"&gt;="&amp;DATE(2026,11,1),'DRAFT 2'!$A:$A,"&lt;="&amp;DATE(2026,11,7))</f>
        <v/>
      </c>
      <c r="IE170">
        <f>COUNTIFS('DRAFT 2'!$D:$D,$B170,'DRAFT 2'!$A:$A,"&gt;="&amp;DATE(2026,11,8),'DRAFT 2'!$A:$A,"&lt;="&amp;DATE(2026,11,14))</f>
        <v/>
      </c>
      <c r="IF170">
        <f>COUNTIFS('DRAFT 2'!$D:$D,$B170,'DRAFT 2'!$A:$A,"&gt;="&amp;DATE(2026,11,15),'DRAFT 2'!$A:$A,"&lt;="&amp;DATE(2026,11,21))</f>
        <v/>
      </c>
      <c r="IG170">
        <f>COUNTIFS('DRAFT 2'!$D:$D,$B170,'DRAFT 2'!$A:$A,"&gt;="&amp;DATE(2026,11,22),'DRAFT 2'!$A:$A,"&lt;"&amp;DATE(2026,IF(11=12,11+1,11+1),1))</f>
        <v/>
      </c>
      <c r="IH170">
        <f>SUM(ID170:IG170)</f>
        <v/>
      </c>
      <c r="IR170">
        <f>IFERROR(LOOKUP(2,1/('DRAFT 2'!$D:$D=$B170)*('DRAFT 2'!$A:$A&gt;=DATE(2026,12,1))*('DRAFT 2'!$A:$A&lt;DATE(2026,IF(12=12,12+1,12+1),1)),'DRAFT 2'!$A:$A),"")</f>
        <v/>
      </c>
      <c r="IS170">
        <f>COUNTIFS('DRAFT 2'!$D:$D,$B170,'DRAFT 2'!$A:$A,"&gt;="&amp;DATE(2026,12,1),'DRAFT 2'!$A:$A,"&lt;="&amp;DATE(2026,12,7))</f>
        <v/>
      </c>
      <c r="IT170">
        <f>COUNTIFS('DRAFT 2'!$D:$D,$B170,'DRAFT 2'!$A:$A,"&gt;="&amp;DATE(2026,12,8),'DRAFT 2'!$A:$A,"&lt;="&amp;DATE(2026,12,14))</f>
        <v/>
      </c>
      <c r="IU170">
        <f>COUNTIFS('DRAFT 2'!$D:$D,$B170,'DRAFT 2'!$A:$A,"&gt;="&amp;DATE(2026,12,15),'DRAFT 2'!$A:$A,"&lt;="&amp;DATE(2026,12,21))</f>
        <v/>
      </c>
      <c r="IV170">
        <f>COUNTIFS('DRAFT 2'!$D:$D,$B170,'DRAFT 2'!$A:$A,"&gt;="&amp;DATE(2026,12,22),'DRAFT 2'!$A:$A,"&lt;"&amp;DATE(2026,IF(12=12,12+1,12+1),1))</f>
        <v/>
      </c>
      <c r="IW170">
        <f>SUM(IS170:IV170)</f>
        <v/>
      </c>
    </row>
    <row r="171">
      <c r="A171">
        <f>IFERROR(INDEX('DRAFT 1'!$A:$A,MATCH($B171,'DRAFT 1'!$B:$B,0)),"")</f>
        <v/>
      </c>
      <c r="C171">
        <f>IFERROR(INDEX('DRAFT 1'!$C:$C,MATCH($B171,'DRAFT 1'!$B:$B,0)),"")</f>
        <v/>
      </c>
      <c r="D171">
        <f>IFERROR(INDEX('DRAFT 1'!$D:$D,MATCH($B171,'DRAFT 1'!$B:$B,0)),"")</f>
        <v/>
      </c>
      <c r="E171">
        <f>IFERROR(INDEX('DRAFT 1'!$E:$E,MATCH($B171,'DRAFT 1'!$B:$B,0)),"")</f>
        <v/>
      </c>
      <c r="F171">
        <f>IFERROR(INDEX('DRAFT 1'!$F:$F,MATCH($B171,'DRAFT 1'!$B:$B,0)),"")</f>
        <v/>
      </c>
      <c r="G171">
        <f>IFERROR(INDEX('DRAFT 1'!$G:$G,MATCH($B171,'DRAFT 1'!$B:$B,0)),"")</f>
        <v/>
      </c>
      <c r="H171">
        <f>IFERROR(INDEX('DRAFT 1'!$H:$H,MATCH($B171,'DRAFT 1'!$B:$B,0)),"")</f>
        <v/>
      </c>
      <c r="I171">
        <f>IFERROR(INDEX('DRAFT 1'!$I:$I,MATCH($B171,'DRAFT 1'!$B:$B,0)),"")</f>
        <v/>
      </c>
      <c r="K171">
        <f>IFERROR(INDEX('DRAFT 1'!$AL:$AL,MATCH($B171,'DRAFT 1'!$B:$B,0)),"")</f>
        <v/>
      </c>
      <c r="L171">
        <f>IFERROR(INDEX('DRAFT 1'!$J:$J,MATCH($B171,'DRAFT 1'!$B:$B,0)),"")</f>
        <v/>
      </c>
      <c r="M171">
        <f>IFERROR(INDEX('DRAFT 1'!$K:$K,MATCH($B171,'DRAFT 1'!$B:$B,0)),"")</f>
        <v/>
      </c>
      <c r="P171">
        <f>IFERROR(INDEX('DRAFT 1'!$L:$L,MATCH($B171,'DRAFT 1'!$B:$B,0)),"")</f>
        <v/>
      </c>
      <c r="Q171">
        <f>IFERROR(INDEX('DRAFT 1'!$M:$M,MATCH($B171,'DRAFT 1'!$B:$B,0)),"")</f>
        <v/>
      </c>
      <c r="R171">
        <f>IFERROR(INDEX('DRAFT 1'!$N:$N,MATCH($B171,'DRAFT 1'!$B:$B,0)),"")</f>
        <v/>
      </c>
      <c r="S171">
        <f>IFERROR(INDEX('DRAFT 1'!$O:$O,MATCH($B171,'DRAFT 1'!$B:$B,0)),"")</f>
        <v/>
      </c>
      <c r="T171">
        <f>IFERROR(INDEX('DRAFT 1'!$P:$P,MATCH($B171,'DRAFT 1'!$B:$B,0)),"")</f>
        <v/>
      </c>
      <c r="U171">
        <f>IFERROR(INDEX('DRAFT 1'!$Q:$Q,MATCH($B171,'DRAFT 1'!$B:$B,0)),"")</f>
        <v/>
      </c>
      <c r="V171">
        <f>IFERROR(INDEX('DRAFT 1'!$R:$R,MATCH($B171,'DRAFT 1'!$B:$B,0)),"")</f>
        <v/>
      </c>
      <c r="W171">
        <f>IFERROR(INDEX('DRAFT 1'!$S:$S,MATCH($B171,'DRAFT 1'!$B:$B,0)),"")</f>
        <v/>
      </c>
      <c r="X171">
        <f>IFERROR(INDEX('DRAFT 1'!$T:$T,MATCH($B171,'DRAFT 1'!$B:$B,0)),"")</f>
        <v/>
      </c>
      <c r="Z171">
        <f>IFERROR(INDEX('DRAFT 1'!$U:$U,MATCH($B171,'DRAFT 1'!$B:$B,0)),"")</f>
        <v/>
      </c>
      <c r="AA171">
        <f>IFERROR(INDEX('DRAFT 1'!$V:$V,MATCH($B171,'DRAFT 1'!$B:$B,0)),"")</f>
        <v/>
      </c>
      <c r="AB171">
        <f>IFERROR(INDEX('DRAFT 1'!$W:$W,MATCH($B171,'DRAFT 1'!$B:$B,0)),"")</f>
        <v/>
      </c>
      <c r="AC171">
        <f>IFERROR(INDEX('DRAFT 1'!$X:$X,MATCH($B171,'DRAFT 1'!$B:$B,0)),"")</f>
        <v/>
      </c>
      <c r="AD171">
        <f>IFERROR(INDEX('DRAFT 1'!$Y:$Y,MATCH($B171,'DRAFT 1'!$B:$B,0)),"")</f>
        <v/>
      </c>
      <c r="AE171">
        <f>IFERROR(INDEX('DRAFT 1'!$Z:$Z,MATCH($B171,'DRAFT 1'!$B:$B,0)),"")</f>
        <v/>
      </c>
      <c r="AF171">
        <f>IFERROR(INDEX('DRAFT 1'!$AA:$AA,MATCH($B171,'DRAFT 1'!$B:$B,0)),"")</f>
        <v/>
      </c>
      <c r="AG171">
        <f>IFERROR(INDEX('DRAFT 1'!$AB:$AB,MATCH($B171,'DRAFT 1'!$B:$B,0)),"")</f>
        <v/>
      </c>
      <c r="AH171">
        <f>IFERROR(INDEX('DRAFT 1'!$AC:$AC,MATCH($B171,'DRAFT 1'!$B:$B,0)),"")</f>
        <v/>
      </c>
      <c r="AI171">
        <f>IFERROR(INDEX('DRAFT 1'!$AD:$AD,MATCH($B171,'DRAFT 1'!$B:$B,0)),"")</f>
        <v/>
      </c>
      <c r="AJ171">
        <f>IFERROR(INDEX('DRAFT 1'!$AE:$AE,MATCH($B171,'DRAFT 1'!$B:$B,0)),"")</f>
        <v/>
      </c>
      <c r="AK171">
        <f>IFERROR(INDEX('DRAFT 1'!$AG:$AG,MATCH($B171,'DRAFT 1'!$B:$B,0)),"")</f>
        <v/>
      </c>
      <c r="AL171">
        <f>IFERROR(INDEX('DRAFT 1'!$AH:$AH,MATCH($B171,'DRAFT 1'!$B:$B,0)),"")</f>
        <v/>
      </c>
      <c r="AM171">
        <f>IFERROR(INDEX('DRAFT 1'!$AI:$AI,MATCH($B171,'DRAFT 1'!$B:$B,0)),"")</f>
        <v/>
      </c>
      <c r="AN171">
        <f>IFERROR(INDEX('DRAFT 1'!$AJ:$AJ,MATCH($B171,'DRAFT 1'!$B:$B,0)),"")</f>
        <v/>
      </c>
      <c r="AO171">
        <f>IFERROR(Y171/AN171,0)</f>
        <v/>
      </c>
      <c r="AP171">
        <f>IFERROR(INDEX('DRAFT 1'!$AK:$AK,MATCH($B171,'DRAFT 1'!$B:$B,0)),"")</f>
        <v/>
      </c>
      <c r="AR171">
        <f>IFERROR(LOOKUP(2,1/('DRAFT 2'!$D:$D=$B171),'DRAFT 2'!$I:$I),"")</f>
        <v/>
      </c>
      <c r="AS171">
        <f>IFERROR(LOOKUP(2,1/('DRAFT 2'!$D:$D=$B171),'DRAFT 2'!$T:$T),"")</f>
        <v/>
      </c>
      <c r="AT171">
        <f>IFERROR(LOOKUP(2,1/('DRAFT 2'!$D:$D=$B171),'DRAFT 2'!$A:$A),"")</f>
        <v/>
      </c>
      <c r="AU171">
        <f>IFERROR(LOOKUP(2,1/('DRAFT 2'!$D:$D=$B171),'DRAFT 2'!$R:$R),"")</f>
        <v/>
      </c>
      <c r="AV171">
        <f>IFERROR(LOOKUP(2,1/('DRAFT 2'!$D:$D=$B171),'DRAFT 2'!$S:$S),"")</f>
        <v/>
      </c>
      <c r="AX171">
        <f>IFERROR(LOOKUP(2,1/('DRAFT 2'!$D:$D=$B171),'DRAFT 2'!$M:$M),"")</f>
        <v/>
      </c>
      <c r="AY171">
        <f>IFERROR(LOOKUP(2,1/('DRAFT 2'!$D:$D=$B171),'DRAFT 2'!$K:$K),"")</f>
        <v/>
      </c>
      <c r="BG171">
        <f>IFERROR(LOOKUP(2,1/('DRAFT 2'!$D:$D=$B171),'DRAFT 2'!$U:$U),"")</f>
        <v/>
      </c>
      <c r="BH171">
        <f>IFERROR(LOOKUP(2,1/('DRAFT 2'!$D:$D=$B171),'DRAFT 2'!$V:$V),"")</f>
        <v/>
      </c>
      <c r="CE171">
        <f>IFERROR(AJ171,0)</f>
        <v/>
      </c>
      <c r="CF171">
        <f>IFERROR(LOOKUP(2,1/('DRAFT 2'!$D:$D=$B171)*('DRAFT 2'!$A:$A&gt;=DATE(2026,1,1))*('DRAFT 2'!$A:$A&lt;DATE(2026,IF(1=12,1+1,1+1),1)),'DRAFT 2'!$A:$A),"")</f>
        <v/>
      </c>
      <c r="CG171">
        <f>COUNTIFS('DRAFT 2'!$D:$D,$B171,'DRAFT 2'!$A:$A,"&gt;="&amp;DATE(2026,1,1),'DRAFT 2'!$A:$A,"&lt;="&amp;DATE(2026,1,7))</f>
        <v/>
      </c>
      <c r="CH171">
        <f>COUNTIFS('DRAFT 2'!$D:$D,$B171,'DRAFT 2'!$A:$A,"&gt;="&amp;DATE(2026,1,8),'DRAFT 2'!$A:$A,"&lt;="&amp;DATE(2026,1,14))</f>
        <v/>
      </c>
      <c r="CI171">
        <f>COUNTIFS('DRAFT 2'!$D:$D,$B171,'DRAFT 2'!$A:$A,"&gt;="&amp;DATE(2026,1,15),'DRAFT 2'!$A:$A,"&lt;="&amp;DATE(2026,1,21))</f>
        <v/>
      </c>
      <c r="CJ171">
        <f>COUNTIFS('DRAFT 2'!$D:$D,$B171,'DRAFT 2'!$A:$A,"&gt;="&amp;DATE(2026,1,22),'DRAFT 2'!$A:$A,"&lt;"&amp;DATE(2026,IF(1=12,1+1,1+1),1))</f>
        <v/>
      </c>
      <c r="CK171">
        <f>SUM(CG171:CJ171)</f>
        <v/>
      </c>
      <c r="CT171" t="n">
        <v>0</v>
      </c>
      <c r="CU171">
        <f>IFERROR(LOOKUP(2,1/('DRAFT 2'!$D:$D=$B171)*('DRAFT 2'!$A:$A&gt;=DATE(2026,2,1))*('DRAFT 2'!$A:$A&lt;DATE(2026,IF(2=12,2+1,2+1),1)),'DRAFT 2'!$A:$A),"")</f>
        <v/>
      </c>
      <c r="CV171">
        <f>COUNTIFS('DRAFT 2'!$D:$D,$B171,'DRAFT 2'!$A:$A,"&gt;="&amp;DATE(2026,2,1),'DRAFT 2'!$A:$A,"&lt;="&amp;DATE(2026,2,7))</f>
        <v/>
      </c>
      <c r="CW171">
        <f>COUNTIFS('DRAFT 2'!$D:$D,$B171,'DRAFT 2'!$A:$A,"&gt;="&amp;DATE(2026,2,8),'DRAFT 2'!$A:$A,"&lt;="&amp;DATE(2026,2,14))</f>
        <v/>
      </c>
      <c r="CX171">
        <f>COUNTIFS('DRAFT 2'!$D:$D,$B171,'DRAFT 2'!$A:$A,"&gt;="&amp;DATE(2026,2,15),'DRAFT 2'!$A:$A,"&lt;="&amp;DATE(2026,2,21))</f>
        <v/>
      </c>
      <c r="CY171">
        <f>COUNTIFS('DRAFT 2'!$D:$D,$B171,'DRAFT 2'!$A:$A,"&gt;="&amp;DATE(2026,2,22),'DRAFT 2'!$A:$A,"&lt;"&amp;DATE(2026,IF(2=12,2+1,2+1),1))</f>
        <v/>
      </c>
      <c r="CZ171">
        <f>SUM(CV171:CY171)</f>
        <v/>
      </c>
      <c r="DJ171">
        <f>IFERROR(LOOKUP(2,1/('DRAFT 2'!$D:$D=$B171)*('DRAFT 2'!$A:$A&gt;=DATE(2026,3,1))*('DRAFT 2'!$A:$A&lt;DATE(2026,IF(3=12,3+1,3+1),1)),'DRAFT 2'!$A:$A),"")</f>
        <v/>
      </c>
      <c r="DK171">
        <f>COUNTIFS('DRAFT 2'!$D:$D,$B171,'DRAFT 2'!$A:$A,"&gt;="&amp;DATE(2026,3,1),'DRAFT 2'!$A:$A,"&lt;="&amp;DATE(2026,3,7))</f>
        <v/>
      </c>
      <c r="DL171">
        <f>COUNTIFS('DRAFT 2'!$D:$D,$B171,'DRAFT 2'!$A:$A,"&gt;="&amp;DATE(2026,3,8),'DRAFT 2'!$A:$A,"&lt;="&amp;DATE(2026,3,14))</f>
        <v/>
      </c>
      <c r="DM171">
        <f>COUNTIFS('DRAFT 2'!$D:$D,$B171,'DRAFT 2'!$A:$A,"&gt;="&amp;DATE(2026,3,15),'DRAFT 2'!$A:$A,"&lt;="&amp;DATE(2026,3,21))</f>
        <v/>
      </c>
      <c r="DN171">
        <f>COUNTIFS('DRAFT 2'!$D:$D,$B171,'DRAFT 2'!$A:$A,"&gt;="&amp;DATE(2026,3,22),'DRAFT 2'!$A:$A,"&lt;"&amp;DATE(2026,IF(3=12,3+1,3+1),1))</f>
        <v/>
      </c>
      <c r="DO171">
        <f>SUM(DK171:DN171)</f>
        <v/>
      </c>
      <c r="DZ171">
        <f>IFERROR(LOOKUP(2,1/('DRAFT 2'!$D:$D=$B171)*('DRAFT 2'!$A:$A&gt;=DATE(2026,4,1))*('DRAFT 2'!$A:$A&lt;DATE(2026,IF(4=12,4+1,4+1),1)),'DRAFT 2'!$A:$A),"")</f>
        <v/>
      </c>
      <c r="EA171">
        <f>COUNTIFS('DRAFT 2'!$D:$D,$B171,'DRAFT 2'!$A:$A,"&gt;="&amp;DATE(2026,4,1),'DRAFT 2'!$A:$A,"&lt;="&amp;DATE(2026,4,7))</f>
        <v/>
      </c>
      <c r="EB171">
        <f>COUNTIFS('DRAFT 2'!$D:$D,$B171,'DRAFT 2'!$A:$A,"&gt;="&amp;DATE(2026,4,8),'DRAFT 2'!$A:$A,"&lt;="&amp;DATE(2026,4,14))</f>
        <v/>
      </c>
      <c r="EC171">
        <f>COUNTIFS('DRAFT 2'!$D:$D,$B171,'DRAFT 2'!$A:$A,"&gt;="&amp;DATE(2026,4,15),'DRAFT 2'!$A:$A,"&lt;="&amp;DATE(2026,4,21))</f>
        <v/>
      </c>
      <c r="ED171">
        <f>COUNTIFS('DRAFT 2'!$D:$D,$B171,'DRAFT 2'!$A:$A,"&gt;="&amp;DATE(2026,4,22),'DRAFT 2'!$A:$A,"&lt;"&amp;DATE(2026,IF(4=12,4+1,4+1),1))</f>
        <v/>
      </c>
      <c r="EE171">
        <f>SUM(EA171:ED171)</f>
        <v/>
      </c>
      <c r="EO171">
        <f>IFERROR(LOOKUP(2,1/('DRAFT 2'!$D:$D=$B171)*('DRAFT 2'!$A:$A&gt;=DATE(2026,5,1))*('DRAFT 2'!$A:$A&lt;DATE(2026,IF(5=12,5+1,5+1),1)),'DRAFT 2'!$A:$A),"")</f>
        <v/>
      </c>
      <c r="EP171">
        <f>COUNTIFS('DRAFT 2'!$D:$D,$B171,'DRAFT 2'!$A:$A,"&gt;="&amp;DATE(2026,5,1),'DRAFT 2'!$A:$A,"&lt;="&amp;DATE(2026,5,7))</f>
        <v/>
      </c>
      <c r="EQ171">
        <f>COUNTIFS('DRAFT 2'!$D:$D,$B171,'DRAFT 2'!$A:$A,"&gt;="&amp;DATE(2026,5,8),'DRAFT 2'!$A:$A,"&lt;="&amp;DATE(2026,5,14))</f>
        <v/>
      </c>
      <c r="ER171">
        <f>COUNTIFS('DRAFT 2'!$D:$D,$B171,'DRAFT 2'!$A:$A,"&gt;="&amp;DATE(2026,5,15),'DRAFT 2'!$A:$A,"&lt;="&amp;DATE(2026,5,21))</f>
        <v/>
      </c>
      <c r="ES171">
        <f>COUNTIFS('DRAFT 2'!$D:$D,$B171,'DRAFT 2'!$A:$A,"&gt;="&amp;DATE(2026,5,22),'DRAFT 2'!$A:$A,"&lt;"&amp;DATE(2026,IF(5=12,5+1,5+1),1))</f>
        <v/>
      </c>
      <c r="ET171">
        <f>SUM(EP171:ES171)</f>
        <v/>
      </c>
      <c r="FD171">
        <f>IFERROR(LOOKUP(2,1/('DRAFT 2'!$D:$D=$B171)*('DRAFT 2'!$A:$A&gt;=DATE(2026,6,1))*('DRAFT 2'!$A:$A&lt;DATE(2026,IF(6=12,6+1,6+1),1)),'DRAFT 2'!$A:$A),"")</f>
        <v/>
      </c>
      <c r="FE171">
        <f>COUNTIFS('DRAFT 2'!$D:$D,$B171,'DRAFT 2'!$A:$A,"&gt;="&amp;DATE(2026,6,1),'DRAFT 2'!$A:$A,"&lt;="&amp;DATE(2026,6,7))</f>
        <v/>
      </c>
      <c r="FF171">
        <f>COUNTIFS('DRAFT 2'!$D:$D,$B171,'DRAFT 2'!$A:$A,"&gt;="&amp;DATE(2026,6,8),'DRAFT 2'!$A:$A,"&lt;="&amp;DATE(2026,6,14))</f>
        <v/>
      </c>
      <c r="FG171">
        <f>COUNTIFS('DRAFT 2'!$D:$D,$B171,'DRAFT 2'!$A:$A,"&gt;="&amp;DATE(2026,6,15),'DRAFT 2'!$A:$A,"&lt;="&amp;DATE(2026,6,21))</f>
        <v/>
      </c>
      <c r="FH171">
        <f>COUNTIFS('DRAFT 2'!$D:$D,$B171,'DRAFT 2'!$A:$A,"&gt;="&amp;DATE(2026,6,22),'DRAFT 2'!$A:$A,"&lt;"&amp;DATE(2026,IF(6=12,6+1,6+1),1))</f>
        <v/>
      </c>
      <c r="FI171">
        <f>SUM(FE171:FH171)</f>
        <v/>
      </c>
      <c r="FT171">
        <f>IFERROR(LOOKUP(2,1/('DRAFT 2'!$D:$D=$B171)*('DRAFT 2'!$A:$A&gt;=DATE(2026,7,1))*('DRAFT 2'!$A:$A&lt;DATE(2026,IF(7=12,7+1,7+1),1)),'DRAFT 2'!$A:$A),"")</f>
        <v/>
      </c>
      <c r="FU171">
        <f>COUNTIFS('DRAFT 2'!$D:$D,$B171,'DRAFT 2'!$A:$A,"&gt;="&amp;DATE(2026,7,1),'DRAFT 2'!$A:$A,"&lt;="&amp;DATE(2026,7,7))</f>
        <v/>
      </c>
      <c r="FV171">
        <f>COUNTIFS('DRAFT 2'!$D:$D,$B171,'DRAFT 2'!$A:$A,"&gt;="&amp;DATE(2026,7,8),'DRAFT 2'!$A:$A,"&lt;="&amp;DATE(2026,7,14))</f>
        <v/>
      </c>
      <c r="FW171">
        <f>COUNTIFS('DRAFT 2'!$D:$D,$B171,'DRAFT 2'!$A:$A,"&gt;="&amp;DATE(2026,7,15),'DRAFT 2'!$A:$A,"&lt;="&amp;DATE(2026,7,21))</f>
        <v/>
      </c>
      <c r="FX171">
        <f>COUNTIFS('DRAFT 2'!$D:$D,$B171,'DRAFT 2'!$A:$A,"&gt;="&amp;DATE(2026,7,22),'DRAFT 2'!$A:$A,"&lt;"&amp;DATE(2026,IF(7=12,7+1,7+1),1))</f>
        <v/>
      </c>
      <c r="FY171">
        <f>SUM(FU171:FX171)</f>
        <v/>
      </c>
      <c r="GI171">
        <f>IFERROR(LOOKUP(2,1/('DRAFT 2'!$D:$D=$B171)*('DRAFT 2'!$A:$A&gt;=DATE(2026,8,1))*('DRAFT 2'!$A:$A&lt;DATE(2026,IF(8=12,8+1,8+1),1)),'DRAFT 2'!$A:$A),"")</f>
        <v/>
      </c>
      <c r="GJ171">
        <f>COUNTIFS('DRAFT 2'!$D:$D,$B171,'DRAFT 2'!$A:$A,"&gt;="&amp;DATE(2026,8,1),'DRAFT 2'!$A:$A,"&lt;="&amp;DATE(2026,8,7))</f>
        <v/>
      </c>
      <c r="GK171">
        <f>COUNTIFS('DRAFT 2'!$D:$D,$B171,'DRAFT 2'!$A:$A,"&gt;="&amp;DATE(2026,8,8),'DRAFT 2'!$A:$A,"&lt;="&amp;DATE(2026,8,14))</f>
        <v/>
      </c>
      <c r="GL171">
        <f>COUNTIFS('DRAFT 2'!$D:$D,$B171,'DRAFT 2'!$A:$A,"&gt;="&amp;DATE(2026,8,15),'DRAFT 2'!$A:$A,"&lt;="&amp;DATE(2026,8,21))</f>
        <v/>
      </c>
      <c r="GM171">
        <f>COUNTIFS('DRAFT 2'!$D:$D,$B171,'DRAFT 2'!$A:$A,"&gt;="&amp;DATE(2026,8,22),'DRAFT 2'!$A:$A,"&lt;"&amp;DATE(2026,IF(8=12,8+1,8+1),1))</f>
        <v/>
      </c>
      <c r="GN171">
        <f>SUM(GJ171:GM171)</f>
        <v/>
      </c>
      <c r="GX171">
        <f>IFERROR(LOOKUP(2,1/('DRAFT 2'!$D:$D=$B171)*('DRAFT 2'!$A:$A&gt;=DATE(2026,9,1))*('DRAFT 2'!$A:$A&lt;DATE(2026,IF(9=12,9+1,9+1),1)),'DRAFT 2'!$A:$A),"")</f>
        <v/>
      </c>
      <c r="GY171">
        <f>COUNTIFS('DRAFT 2'!$D:$D,$B171,'DRAFT 2'!$A:$A,"&gt;="&amp;DATE(2026,9,1),'DRAFT 2'!$A:$A,"&lt;="&amp;DATE(2026,9,7))</f>
        <v/>
      </c>
      <c r="GZ171">
        <f>COUNTIFS('DRAFT 2'!$D:$D,$B171,'DRAFT 2'!$A:$A,"&gt;="&amp;DATE(2026,9,8),'DRAFT 2'!$A:$A,"&lt;="&amp;DATE(2026,9,14))</f>
        <v/>
      </c>
      <c r="HA171">
        <f>COUNTIFS('DRAFT 2'!$D:$D,$B171,'DRAFT 2'!$A:$A,"&gt;="&amp;DATE(2026,9,15),'DRAFT 2'!$A:$A,"&lt;="&amp;DATE(2026,9,21))</f>
        <v/>
      </c>
      <c r="HB171">
        <f>COUNTIFS('DRAFT 2'!$D:$D,$B171,'DRAFT 2'!$A:$A,"&gt;="&amp;DATE(2026,9,22),'DRAFT 2'!$A:$A,"&lt;"&amp;DATE(2026,IF(9=12,9+1,9+1),1))</f>
        <v/>
      </c>
      <c r="HC171">
        <f>SUM(GY171:HB171)</f>
        <v/>
      </c>
      <c r="HN171">
        <f>IFERROR(LOOKUP(2,1/('DRAFT 2'!$D:$D=$B171)*('DRAFT 2'!$A:$A&gt;=DATE(2026,10,1))*('DRAFT 2'!$A:$A&lt;DATE(2026,IF(10=12,10+1,10+1),1)),'DRAFT 2'!$A:$A),"")</f>
        <v/>
      </c>
      <c r="HO171">
        <f>COUNTIFS('DRAFT 2'!$D:$D,$B171,'DRAFT 2'!$A:$A,"&gt;="&amp;DATE(2026,10,1),'DRAFT 2'!$A:$A,"&lt;="&amp;DATE(2026,10,7))</f>
        <v/>
      </c>
      <c r="HP171">
        <f>COUNTIFS('DRAFT 2'!$D:$D,$B171,'DRAFT 2'!$A:$A,"&gt;="&amp;DATE(2026,10,8),'DRAFT 2'!$A:$A,"&lt;="&amp;DATE(2026,10,14))</f>
        <v/>
      </c>
      <c r="HQ171">
        <f>COUNTIFS('DRAFT 2'!$D:$D,$B171,'DRAFT 2'!$A:$A,"&gt;="&amp;DATE(2026,10,15),'DRAFT 2'!$A:$A,"&lt;="&amp;DATE(2026,10,21))</f>
        <v/>
      </c>
      <c r="HR171">
        <f>COUNTIFS('DRAFT 2'!$D:$D,$B171,'DRAFT 2'!$A:$A,"&gt;="&amp;DATE(2026,10,22),'DRAFT 2'!$A:$A,"&lt;"&amp;DATE(2026,IF(10=12,10+1,10+1),1))</f>
        <v/>
      </c>
      <c r="HS171">
        <f>SUM(HO171:HR171)</f>
        <v/>
      </c>
      <c r="IC171">
        <f>IFERROR(LOOKUP(2,1/('DRAFT 2'!$D:$D=$B171)*('DRAFT 2'!$A:$A&gt;=DATE(2026,11,1))*('DRAFT 2'!$A:$A&lt;DATE(2026,IF(11=12,11+1,11+1),1)),'DRAFT 2'!$A:$A),"")</f>
        <v/>
      </c>
      <c r="ID171">
        <f>COUNTIFS('DRAFT 2'!$D:$D,$B171,'DRAFT 2'!$A:$A,"&gt;="&amp;DATE(2026,11,1),'DRAFT 2'!$A:$A,"&lt;="&amp;DATE(2026,11,7))</f>
        <v/>
      </c>
      <c r="IE171">
        <f>COUNTIFS('DRAFT 2'!$D:$D,$B171,'DRAFT 2'!$A:$A,"&gt;="&amp;DATE(2026,11,8),'DRAFT 2'!$A:$A,"&lt;="&amp;DATE(2026,11,14))</f>
        <v/>
      </c>
      <c r="IF171">
        <f>COUNTIFS('DRAFT 2'!$D:$D,$B171,'DRAFT 2'!$A:$A,"&gt;="&amp;DATE(2026,11,15),'DRAFT 2'!$A:$A,"&lt;="&amp;DATE(2026,11,21))</f>
        <v/>
      </c>
      <c r="IG171">
        <f>COUNTIFS('DRAFT 2'!$D:$D,$B171,'DRAFT 2'!$A:$A,"&gt;="&amp;DATE(2026,11,22),'DRAFT 2'!$A:$A,"&lt;"&amp;DATE(2026,IF(11=12,11+1,11+1),1))</f>
        <v/>
      </c>
      <c r="IH171">
        <f>SUM(ID171:IG171)</f>
        <v/>
      </c>
      <c r="IR171">
        <f>IFERROR(LOOKUP(2,1/('DRAFT 2'!$D:$D=$B171)*('DRAFT 2'!$A:$A&gt;=DATE(2026,12,1))*('DRAFT 2'!$A:$A&lt;DATE(2026,IF(12=12,12+1,12+1),1)),'DRAFT 2'!$A:$A),"")</f>
        <v/>
      </c>
      <c r="IS171">
        <f>COUNTIFS('DRAFT 2'!$D:$D,$B171,'DRAFT 2'!$A:$A,"&gt;="&amp;DATE(2026,12,1),'DRAFT 2'!$A:$A,"&lt;="&amp;DATE(2026,12,7))</f>
        <v/>
      </c>
      <c r="IT171">
        <f>COUNTIFS('DRAFT 2'!$D:$D,$B171,'DRAFT 2'!$A:$A,"&gt;="&amp;DATE(2026,12,8),'DRAFT 2'!$A:$A,"&lt;="&amp;DATE(2026,12,14))</f>
        <v/>
      </c>
      <c r="IU171">
        <f>COUNTIFS('DRAFT 2'!$D:$D,$B171,'DRAFT 2'!$A:$A,"&gt;="&amp;DATE(2026,12,15),'DRAFT 2'!$A:$A,"&lt;="&amp;DATE(2026,12,21))</f>
        <v/>
      </c>
      <c r="IV171">
        <f>COUNTIFS('DRAFT 2'!$D:$D,$B171,'DRAFT 2'!$A:$A,"&gt;="&amp;DATE(2026,12,22),'DRAFT 2'!$A:$A,"&lt;"&amp;DATE(2026,IF(12=12,12+1,12+1),1))</f>
        <v/>
      </c>
      <c r="IW171">
        <f>SUM(IS171:IV171)</f>
        <v/>
      </c>
    </row>
    <row r="172">
      <c r="A172">
        <f>IFERROR(INDEX('DRAFT 1'!$A:$A,MATCH($B172,'DRAFT 1'!$B:$B,0)),"")</f>
        <v/>
      </c>
      <c r="C172">
        <f>IFERROR(INDEX('DRAFT 1'!$C:$C,MATCH($B172,'DRAFT 1'!$B:$B,0)),"")</f>
        <v/>
      </c>
      <c r="D172">
        <f>IFERROR(INDEX('DRAFT 1'!$D:$D,MATCH($B172,'DRAFT 1'!$B:$B,0)),"")</f>
        <v/>
      </c>
      <c r="E172">
        <f>IFERROR(INDEX('DRAFT 1'!$E:$E,MATCH($B172,'DRAFT 1'!$B:$B,0)),"")</f>
        <v/>
      </c>
      <c r="F172">
        <f>IFERROR(INDEX('DRAFT 1'!$F:$F,MATCH($B172,'DRAFT 1'!$B:$B,0)),"")</f>
        <v/>
      </c>
      <c r="G172">
        <f>IFERROR(INDEX('DRAFT 1'!$G:$G,MATCH($B172,'DRAFT 1'!$B:$B,0)),"")</f>
        <v/>
      </c>
      <c r="H172">
        <f>IFERROR(INDEX('DRAFT 1'!$H:$H,MATCH($B172,'DRAFT 1'!$B:$B,0)),"")</f>
        <v/>
      </c>
      <c r="I172">
        <f>IFERROR(INDEX('DRAFT 1'!$I:$I,MATCH($B172,'DRAFT 1'!$B:$B,0)),"")</f>
        <v/>
      </c>
      <c r="K172">
        <f>IFERROR(INDEX('DRAFT 1'!$AL:$AL,MATCH($B172,'DRAFT 1'!$B:$B,0)),"")</f>
        <v/>
      </c>
      <c r="L172">
        <f>IFERROR(INDEX('DRAFT 1'!$J:$J,MATCH($B172,'DRAFT 1'!$B:$B,0)),"")</f>
        <v/>
      </c>
      <c r="M172">
        <f>IFERROR(INDEX('DRAFT 1'!$K:$K,MATCH($B172,'DRAFT 1'!$B:$B,0)),"")</f>
        <v/>
      </c>
      <c r="P172">
        <f>IFERROR(INDEX('DRAFT 1'!$L:$L,MATCH($B172,'DRAFT 1'!$B:$B,0)),"")</f>
        <v/>
      </c>
      <c r="Q172">
        <f>IFERROR(INDEX('DRAFT 1'!$M:$M,MATCH($B172,'DRAFT 1'!$B:$B,0)),"")</f>
        <v/>
      </c>
      <c r="R172">
        <f>IFERROR(INDEX('DRAFT 1'!$N:$N,MATCH($B172,'DRAFT 1'!$B:$B,0)),"")</f>
        <v/>
      </c>
      <c r="S172">
        <f>IFERROR(INDEX('DRAFT 1'!$O:$O,MATCH($B172,'DRAFT 1'!$B:$B,0)),"")</f>
        <v/>
      </c>
      <c r="T172">
        <f>IFERROR(INDEX('DRAFT 1'!$P:$P,MATCH($B172,'DRAFT 1'!$B:$B,0)),"")</f>
        <v/>
      </c>
      <c r="U172">
        <f>IFERROR(INDEX('DRAFT 1'!$Q:$Q,MATCH($B172,'DRAFT 1'!$B:$B,0)),"")</f>
        <v/>
      </c>
      <c r="V172">
        <f>IFERROR(INDEX('DRAFT 1'!$R:$R,MATCH($B172,'DRAFT 1'!$B:$B,0)),"")</f>
        <v/>
      </c>
      <c r="W172">
        <f>IFERROR(INDEX('DRAFT 1'!$S:$S,MATCH($B172,'DRAFT 1'!$B:$B,0)),"")</f>
        <v/>
      </c>
      <c r="X172">
        <f>IFERROR(INDEX('DRAFT 1'!$T:$T,MATCH($B172,'DRAFT 1'!$B:$B,0)),"")</f>
        <v/>
      </c>
      <c r="Z172">
        <f>IFERROR(INDEX('DRAFT 1'!$U:$U,MATCH($B172,'DRAFT 1'!$B:$B,0)),"")</f>
        <v/>
      </c>
      <c r="AA172">
        <f>IFERROR(INDEX('DRAFT 1'!$V:$V,MATCH($B172,'DRAFT 1'!$B:$B,0)),"")</f>
        <v/>
      </c>
      <c r="AB172">
        <f>IFERROR(INDEX('DRAFT 1'!$W:$W,MATCH($B172,'DRAFT 1'!$B:$B,0)),"")</f>
        <v/>
      </c>
      <c r="AC172">
        <f>IFERROR(INDEX('DRAFT 1'!$X:$X,MATCH($B172,'DRAFT 1'!$B:$B,0)),"")</f>
        <v/>
      </c>
      <c r="AD172">
        <f>IFERROR(INDEX('DRAFT 1'!$Y:$Y,MATCH($B172,'DRAFT 1'!$B:$B,0)),"")</f>
        <v/>
      </c>
      <c r="AE172">
        <f>IFERROR(INDEX('DRAFT 1'!$Z:$Z,MATCH($B172,'DRAFT 1'!$B:$B,0)),"")</f>
        <v/>
      </c>
      <c r="AF172">
        <f>IFERROR(INDEX('DRAFT 1'!$AA:$AA,MATCH($B172,'DRAFT 1'!$B:$B,0)),"")</f>
        <v/>
      </c>
      <c r="AG172">
        <f>IFERROR(INDEX('DRAFT 1'!$AB:$AB,MATCH($B172,'DRAFT 1'!$B:$B,0)),"")</f>
        <v/>
      </c>
      <c r="AH172">
        <f>IFERROR(INDEX('DRAFT 1'!$AC:$AC,MATCH($B172,'DRAFT 1'!$B:$B,0)),"")</f>
        <v/>
      </c>
      <c r="AI172">
        <f>IFERROR(INDEX('DRAFT 1'!$AD:$AD,MATCH($B172,'DRAFT 1'!$B:$B,0)),"")</f>
        <v/>
      </c>
      <c r="AJ172">
        <f>IFERROR(INDEX('DRAFT 1'!$AE:$AE,MATCH($B172,'DRAFT 1'!$B:$B,0)),"")</f>
        <v/>
      </c>
      <c r="AK172">
        <f>IFERROR(INDEX('DRAFT 1'!$AG:$AG,MATCH($B172,'DRAFT 1'!$B:$B,0)),"")</f>
        <v/>
      </c>
      <c r="AL172">
        <f>IFERROR(INDEX('DRAFT 1'!$AH:$AH,MATCH($B172,'DRAFT 1'!$B:$B,0)),"")</f>
        <v/>
      </c>
      <c r="AM172">
        <f>IFERROR(INDEX('DRAFT 1'!$AI:$AI,MATCH($B172,'DRAFT 1'!$B:$B,0)),"")</f>
        <v/>
      </c>
      <c r="AN172">
        <f>IFERROR(INDEX('DRAFT 1'!$AJ:$AJ,MATCH($B172,'DRAFT 1'!$B:$B,0)),"")</f>
        <v/>
      </c>
      <c r="AO172">
        <f>IFERROR(Y172/AN172,0)</f>
        <v/>
      </c>
      <c r="AP172">
        <f>IFERROR(INDEX('DRAFT 1'!$AK:$AK,MATCH($B172,'DRAFT 1'!$B:$B,0)),"")</f>
        <v/>
      </c>
      <c r="AR172">
        <f>IFERROR(LOOKUP(2,1/('DRAFT 2'!$D:$D=$B172),'DRAFT 2'!$I:$I),"")</f>
        <v/>
      </c>
      <c r="AS172">
        <f>IFERROR(LOOKUP(2,1/('DRAFT 2'!$D:$D=$B172),'DRAFT 2'!$T:$T),"")</f>
        <v/>
      </c>
      <c r="AT172">
        <f>IFERROR(LOOKUP(2,1/('DRAFT 2'!$D:$D=$B172),'DRAFT 2'!$A:$A),"")</f>
        <v/>
      </c>
      <c r="AU172">
        <f>IFERROR(LOOKUP(2,1/('DRAFT 2'!$D:$D=$B172),'DRAFT 2'!$R:$R),"")</f>
        <v/>
      </c>
      <c r="AV172">
        <f>IFERROR(LOOKUP(2,1/('DRAFT 2'!$D:$D=$B172),'DRAFT 2'!$S:$S),"")</f>
        <v/>
      </c>
      <c r="AX172">
        <f>IFERROR(LOOKUP(2,1/('DRAFT 2'!$D:$D=$B172),'DRAFT 2'!$M:$M),"")</f>
        <v/>
      </c>
      <c r="AY172">
        <f>IFERROR(LOOKUP(2,1/('DRAFT 2'!$D:$D=$B172),'DRAFT 2'!$K:$K),"")</f>
        <v/>
      </c>
      <c r="BG172">
        <f>IFERROR(LOOKUP(2,1/('DRAFT 2'!$D:$D=$B172),'DRAFT 2'!$U:$U),"")</f>
        <v/>
      </c>
      <c r="BH172">
        <f>IFERROR(LOOKUP(2,1/('DRAFT 2'!$D:$D=$B172),'DRAFT 2'!$V:$V),"")</f>
        <v/>
      </c>
      <c r="CE172">
        <f>IFERROR(AJ172,0)</f>
        <v/>
      </c>
      <c r="CF172">
        <f>IFERROR(LOOKUP(2,1/('DRAFT 2'!$D:$D=$B172)*('DRAFT 2'!$A:$A&gt;=DATE(2026,1,1))*('DRAFT 2'!$A:$A&lt;DATE(2026,IF(1=12,1+1,1+1),1)),'DRAFT 2'!$A:$A),"")</f>
        <v/>
      </c>
      <c r="CG172">
        <f>COUNTIFS('DRAFT 2'!$D:$D,$B172,'DRAFT 2'!$A:$A,"&gt;="&amp;DATE(2026,1,1),'DRAFT 2'!$A:$A,"&lt;="&amp;DATE(2026,1,7))</f>
        <v/>
      </c>
      <c r="CH172">
        <f>COUNTIFS('DRAFT 2'!$D:$D,$B172,'DRAFT 2'!$A:$A,"&gt;="&amp;DATE(2026,1,8),'DRAFT 2'!$A:$A,"&lt;="&amp;DATE(2026,1,14))</f>
        <v/>
      </c>
      <c r="CI172">
        <f>COUNTIFS('DRAFT 2'!$D:$D,$B172,'DRAFT 2'!$A:$A,"&gt;="&amp;DATE(2026,1,15),'DRAFT 2'!$A:$A,"&lt;="&amp;DATE(2026,1,21))</f>
        <v/>
      </c>
      <c r="CJ172">
        <f>COUNTIFS('DRAFT 2'!$D:$D,$B172,'DRAFT 2'!$A:$A,"&gt;="&amp;DATE(2026,1,22),'DRAFT 2'!$A:$A,"&lt;"&amp;DATE(2026,IF(1=12,1+1,1+1),1))</f>
        <v/>
      </c>
      <c r="CK172">
        <f>SUM(CG172:CJ172)</f>
        <v/>
      </c>
      <c r="CT172" t="n">
        <v>0</v>
      </c>
      <c r="CU172">
        <f>IFERROR(LOOKUP(2,1/('DRAFT 2'!$D:$D=$B172)*('DRAFT 2'!$A:$A&gt;=DATE(2026,2,1))*('DRAFT 2'!$A:$A&lt;DATE(2026,IF(2=12,2+1,2+1),1)),'DRAFT 2'!$A:$A),"")</f>
        <v/>
      </c>
      <c r="CV172">
        <f>COUNTIFS('DRAFT 2'!$D:$D,$B172,'DRAFT 2'!$A:$A,"&gt;="&amp;DATE(2026,2,1),'DRAFT 2'!$A:$A,"&lt;="&amp;DATE(2026,2,7))</f>
        <v/>
      </c>
      <c r="CW172">
        <f>COUNTIFS('DRAFT 2'!$D:$D,$B172,'DRAFT 2'!$A:$A,"&gt;="&amp;DATE(2026,2,8),'DRAFT 2'!$A:$A,"&lt;="&amp;DATE(2026,2,14))</f>
        <v/>
      </c>
      <c r="CX172">
        <f>COUNTIFS('DRAFT 2'!$D:$D,$B172,'DRAFT 2'!$A:$A,"&gt;="&amp;DATE(2026,2,15),'DRAFT 2'!$A:$A,"&lt;="&amp;DATE(2026,2,21))</f>
        <v/>
      </c>
      <c r="CY172">
        <f>COUNTIFS('DRAFT 2'!$D:$D,$B172,'DRAFT 2'!$A:$A,"&gt;="&amp;DATE(2026,2,22),'DRAFT 2'!$A:$A,"&lt;"&amp;DATE(2026,IF(2=12,2+1,2+1),1))</f>
        <v/>
      </c>
      <c r="CZ172">
        <f>SUM(CV172:CY172)</f>
        <v/>
      </c>
      <c r="DJ172">
        <f>IFERROR(LOOKUP(2,1/('DRAFT 2'!$D:$D=$B172)*('DRAFT 2'!$A:$A&gt;=DATE(2026,3,1))*('DRAFT 2'!$A:$A&lt;DATE(2026,IF(3=12,3+1,3+1),1)),'DRAFT 2'!$A:$A),"")</f>
        <v/>
      </c>
      <c r="DK172">
        <f>COUNTIFS('DRAFT 2'!$D:$D,$B172,'DRAFT 2'!$A:$A,"&gt;="&amp;DATE(2026,3,1),'DRAFT 2'!$A:$A,"&lt;="&amp;DATE(2026,3,7))</f>
        <v/>
      </c>
      <c r="DL172">
        <f>COUNTIFS('DRAFT 2'!$D:$D,$B172,'DRAFT 2'!$A:$A,"&gt;="&amp;DATE(2026,3,8),'DRAFT 2'!$A:$A,"&lt;="&amp;DATE(2026,3,14))</f>
        <v/>
      </c>
      <c r="DM172">
        <f>COUNTIFS('DRAFT 2'!$D:$D,$B172,'DRAFT 2'!$A:$A,"&gt;="&amp;DATE(2026,3,15),'DRAFT 2'!$A:$A,"&lt;="&amp;DATE(2026,3,21))</f>
        <v/>
      </c>
      <c r="DN172">
        <f>COUNTIFS('DRAFT 2'!$D:$D,$B172,'DRAFT 2'!$A:$A,"&gt;="&amp;DATE(2026,3,22),'DRAFT 2'!$A:$A,"&lt;"&amp;DATE(2026,IF(3=12,3+1,3+1),1))</f>
        <v/>
      </c>
      <c r="DO172">
        <f>SUM(DK172:DN172)</f>
        <v/>
      </c>
      <c r="DZ172">
        <f>IFERROR(LOOKUP(2,1/('DRAFT 2'!$D:$D=$B172)*('DRAFT 2'!$A:$A&gt;=DATE(2026,4,1))*('DRAFT 2'!$A:$A&lt;DATE(2026,IF(4=12,4+1,4+1),1)),'DRAFT 2'!$A:$A),"")</f>
        <v/>
      </c>
      <c r="EA172">
        <f>COUNTIFS('DRAFT 2'!$D:$D,$B172,'DRAFT 2'!$A:$A,"&gt;="&amp;DATE(2026,4,1),'DRAFT 2'!$A:$A,"&lt;="&amp;DATE(2026,4,7))</f>
        <v/>
      </c>
      <c r="EB172">
        <f>COUNTIFS('DRAFT 2'!$D:$D,$B172,'DRAFT 2'!$A:$A,"&gt;="&amp;DATE(2026,4,8),'DRAFT 2'!$A:$A,"&lt;="&amp;DATE(2026,4,14))</f>
        <v/>
      </c>
      <c r="EC172">
        <f>COUNTIFS('DRAFT 2'!$D:$D,$B172,'DRAFT 2'!$A:$A,"&gt;="&amp;DATE(2026,4,15),'DRAFT 2'!$A:$A,"&lt;="&amp;DATE(2026,4,21))</f>
        <v/>
      </c>
      <c r="ED172">
        <f>COUNTIFS('DRAFT 2'!$D:$D,$B172,'DRAFT 2'!$A:$A,"&gt;="&amp;DATE(2026,4,22),'DRAFT 2'!$A:$A,"&lt;"&amp;DATE(2026,IF(4=12,4+1,4+1),1))</f>
        <v/>
      </c>
      <c r="EE172">
        <f>SUM(EA172:ED172)</f>
        <v/>
      </c>
      <c r="EO172">
        <f>IFERROR(LOOKUP(2,1/('DRAFT 2'!$D:$D=$B172)*('DRAFT 2'!$A:$A&gt;=DATE(2026,5,1))*('DRAFT 2'!$A:$A&lt;DATE(2026,IF(5=12,5+1,5+1),1)),'DRAFT 2'!$A:$A),"")</f>
        <v/>
      </c>
      <c r="EP172">
        <f>COUNTIFS('DRAFT 2'!$D:$D,$B172,'DRAFT 2'!$A:$A,"&gt;="&amp;DATE(2026,5,1),'DRAFT 2'!$A:$A,"&lt;="&amp;DATE(2026,5,7))</f>
        <v/>
      </c>
      <c r="EQ172">
        <f>COUNTIFS('DRAFT 2'!$D:$D,$B172,'DRAFT 2'!$A:$A,"&gt;="&amp;DATE(2026,5,8),'DRAFT 2'!$A:$A,"&lt;="&amp;DATE(2026,5,14))</f>
        <v/>
      </c>
      <c r="ER172">
        <f>COUNTIFS('DRAFT 2'!$D:$D,$B172,'DRAFT 2'!$A:$A,"&gt;="&amp;DATE(2026,5,15),'DRAFT 2'!$A:$A,"&lt;="&amp;DATE(2026,5,21))</f>
        <v/>
      </c>
      <c r="ES172">
        <f>COUNTIFS('DRAFT 2'!$D:$D,$B172,'DRAFT 2'!$A:$A,"&gt;="&amp;DATE(2026,5,22),'DRAFT 2'!$A:$A,"&lt;"&amp;DATE(2026,IF(5=12,5+1,5+1),1))</f>
        <v/>
      </c>
      <c r="ET172">
        <f>SUM(EP172:ES172)</f>
        <v/>
      </c>
      <c r="FD172">
        <f>IFERROR(LOOKUP(2,1/('DRAFT 2'!$D:$D=$B172)*('DRAFT 2'!$A:$A&gt;=DATE(2026,6,1))*('DRAFT 2'!$A:$A&lt;DATE(2026,IF(6=12,6+1,6+1),1)),'DRAFT 2'!$A:$A),"")</f>
        <v/>
      </c>
      <c r="FE172">
        <f>COUNTIFS('DRAFT 2'!$D:$D,$B172,'DRAFT 2'!$A:$A,"&gt;="&amp;DATE(2026,6,1),'DRAFT 2'!$A:$A,"&lt;="&amp;DATE(2026,6,7))</f>
        <v/>
      </c>
      <c r="FF172">
        <f>COUNTIFS('DRAFT 2'!$D:$D,$B172,'DRAFT 2'!$A:$A,"&gt;="&amp;DATE(2026,6,8),'DRAFT 2'!$A:$A,"&lt;="&amp;DATE(2026,6,14))</f>
        <v/>
      </c>
      <c r="FG172">
        <f>COUNTIFS('DRAFT 2'!$D:$D,$B172,'DRAFT 2'!$A:$A,"&gt;="&amp;DATE(2026,6,15),'DRAFT 2'!$A:$A,"&lt;="&amp;DATE(2026,6,21))</f>
        <v/>
      </c>
      <c r="FH172">
        <f>COUNTIFS('DRAFT 2'!$D:$D,$B172,'DRAFT 2'!$A:$A,"&gt;="&amp;DATE(2026,6,22),'DRAFT 2'!$A:$A,"&lt;"&amp;DATE(2026,IF(6=12,6+1,6+1),1))</f>
        <v/>
      </c>
      <c r="FI172">
        <f>SUM(FE172:FH172)</f>
        <v/>
      </c>
      <c r="FT172">
        <f>IFERROR(LOOKUP(2,1/('DRAFT 2'!$D:$D=$B172)*('DRAFT 2'!$A:$A&gt;=DATE(2026,7,1))*('DRAFT 2'!$A:$A&lt;DATE(2026,IF(7=12,7+1,7+1),1)),'DRAFT 2'!$A:$A),"")</f>
        <v/>
      </c>
      <c r="FU172">
        <f>COUNTIFS('DRAFT 2'!$D:$D,$B172,'DRAFT 2'!$A:$A,"&gt;="&amp;DATE(2026,7,1),'DRAFT 2'!$A:$A,"&lt;="&amp;DATE(2026,7,7))</f>
        <v/>
      </c>
      <c r="FV172">
        <f>COUNTIFS('DRAFT 2'!$D:$D,$B172,'DRAFT 2'!$A:$A,"&gt;="&amp;DATE(2026,7,8),'DRAFT 2'!$A:$A,"&lt;="&amp;DATE(2026,7,14))</f>
        <v/>
      </c>
      <c r="FW172">
        <f>COUNTIFS('DRAFT 2'!$D:$D,$B172,'DRAFT 2'!$A:$A,"&gt;="&amp;DATE(2026,7,15),'DRAFT 2'!$A:$A,"&lt;="&amp;DATE(2026,7,21))</f>
        <v/>
      </c>
      <c r="FX172">
        <f>COUNTIFS('DRAFT 2'!$D:$D,$B172,'DRAFT 2'!$A:$A,"&gt;="&amp;DATE(2026,7,22),'DRAFT 2'!$A:$A,"&lt;"&amp;DATE(2026,IF(7=12,7+1,7+1),1))</f>
        <v/>
      </c>
      <c r="FY172">
        <f>SUM(FU172:FX172)</f>
        <v/>
      </c>
      <c r="GI172">
        <f>IFERROR(LOOKUP(2,1/('DRAFT 2'!$D:$D=$B172)*('DRAFT 2'!$A:$A&gt;=DATE(2026,8,1))*('DRAFT 2'!$A:$A&lt;DATE(2026,IF(8=12,8+1,8+1),1)),'DRAFT 2'!$A:$A),"")</f>
        <v/>
      </c>
      <c r="GJ172">
        <f>COUNTIFS('DRAFT 2'!$D:$D,$B172,'DRAFT 2'!$A:$A,"&gt;="&amp;DATE(2026,8,1),'DRAFT 2'!$A:$A,"&lt;="&amp;DATE(2026,8,7))</f>
        <v/>
      </c>
      <c r="GK172">
        <f>COUNTIFS('DRAFT 2'!$D:$D,$B172,'DRAFT 2'!$A:$A,"&gt;="&amp;DATE(2026,8,8),'DRAFT 2'!$A:$A,"&lt;="&amp;DATE(2026,8,14))</f>
        <v/>
      </c>
      <c r="GL172">
        <f>COUNTIFS('DRAFT 2'!$D:$D,$B172,'DRAFT 2'!$A:$A,"&gt;="&amp;DATE(2026,8,15),'DRAFT 2'!$A:$A,"&lt;="&amp;DATE(2026,8,21))</f>
        <v/>
      </c>
      <c r="GM172">
        <f>COUNTIFS('DRAFT 2'!$D:$D,$B172,'DRAFT 2'!$A:$A,"&gt;="&amp;DATE(2026,8,22),'DRAFT 2'!$A:$A,"&lt;"&amp;DATE(2026,IF(8=12,8+1,8+1),1))</f>
        <v/>
      </c>
      <c r="GN172">
        <f>SUM(GJ172:GM172)</f>
        <v/>
      </c>
      <c r="GX172">
        <f>IFERROR(LOOKUP(2,1/('DRAFT 2'!$D:$D=$B172)*('DRAFT 2'!$A:$A&gt;=DATE(2026,9,1))*('DRAFT 2'!$A:$A&lt;DATE(2026,IF(9=12,9+1,9+1),1)),'DRAFT 2'!$A:$A),"")</f>
        <v/>
      </c>
      <c r="GY172">
        <f>COUNTIFS('DRAFT 2'!$D:$D,$B172,'DRAFT 2'!$A:$A,"&gt;="&amp;DATE(2026,9,1),'DRAFT 2'!$A:$A,"&lt;="&amp;DATE(2026,9,7))</f>
        <v/>
      </c>
      <c r="GZ172">
        <f>COUNTIFS('DRAFT 2'!$D:$D,$B172,'DRAFT 2'!$A:$A,"&gt;="&amp;DATE(2026,9,8),'DRAFT 2'!$A:$A,"&lt;="&amp;DATE(2026,9,14))</f>
        <v/>
      </c>
      <c r="HA172">
        <f>COUNTIFS('DRAFT 2'!$D:$D,$B172,'DRAFT 2'!$A:$A,"&gt;="&amp;DATE(2026,9,15),'DRAFT 2'!$A:$A,"&lt;="&amp;DATE(2026,9,21))</f>
        <v/>
      </c>
      <c r="HB172">
        <f>COUNTIFS('DRAFT 2'!$D:$D,$B172,'DRAFT 2'!$A:$A,"&gt;="&amp;DATE(2026,9,22),'DRAFT 2'!$A:$A,"&lt;"&amp;DATE(2026,IF(9=12,9+1,9+1),1))</f>
        <v/>
      </c>
      <c r="HC172">
        <f>SUM(GY172:HB172)</f>
        <v/>
      </c>
      <c r="HN172">
        <f>IFERROR(LOOKUP(2,1/('DRAFT 2'!$D:$D=$B172)*('DRAFT 2'!$A:$A&gt;=DATE(2026,10,1))*('DRAFT 2'!$A:$A&lt;DATE(2026,IF(10=12,10+1,10+1),1)),'DRAFT 2'!$A:$A),"")</f>
        <v/>
      </c>
      <c r="HO172">
        <f>COUNTIFS('DRAFT 2'!$D:$D,$B172,'DRAFT 2'!$A:$A,"&gt;="&amp;DATE(2026,10,1),'DRAFT 2'!$A:$A,"&lt;="&amp;DATE(2026,10,7))</f>
        <v/>
      </c>
      <c r="HP172">
        <f>COUNTIFS('DRAFT 2'!$D:$D,$B172,'DRAFT 2'!$A:$A,"&gt;="&amp;DATE(2026,10,8),'DRAFT 2'!$A:$A,"&lt;="&amp;DATE(2026,10,14))</f>
        <v/>
      </c>
      <c r="HQ172">
        <f>COUNTIFS('DRAFT 2'!$D:$D,$B172,'DRAFT 2'!$A:$A,"&gt;="&amp;DATE(2026,10,15),'DRAFT 2'!$A:$A,"&lt;="&amp;DATE(2026,10,21))</f>
        <v/>
      </c>
      <c r="HR172">
        <f>COUNTIFS('DRAFT 2'!$D:$D,$B172,'DRAFT 2'!$A:$A,"&gt;="&amp;DATE(2026,10,22),'DRAFT 2'!$A:$A,"&lt;"&amp;DATE(2026,IF(10=12,10+1,10+1),1))</f>
        <v/>
      </c>
      <c r="HS172">
        <f>SUM(HO172:HR172)</f>
        <v/>
      </c>
      <c r="IC172">
        <f>IFERROR(LOOKUP(2,1/('DRAFT 2'!$D:$D=$B172)*('DRAFT 2'!$A:$A&gt;=DATE(2026,11,1))*('DRAFT 2'!$A:$A&lt;DATE(2026,IF(11=12,11+1,11+1),1)),'DRAFT 2'!$A:$A),"")</f>
        <v/>
      </c>
      <c r="ID172">
        <f>COUNTIFS('DRAFT 2'!$D:$D,$B172,'DRAFT 2'!$A:$A,"&gt;="&amp;DATE(2026,11,1),'DRAFT 2'!$A:$A,"&lt;="&amp;DATE(2026,11,7))</f>
        <v/>
      </c>
      <c r="IE172">
        <f>COUNTIFS('DRAFT 2'!$D:$D,$B172,'DRAFT 2'!$A:$A,"&gt;="&amp;DATE(2026,11,8),'DRAFT 2'!$A:$A,"&lt;="&amp;DATE(2026,11,14))</f>
        <v/>
      </c>
      <c r="IF172">
        <f>COUNTIFS('DRAFT 2'!$D:$D,$B172,'DRAFT 2'!$A:$A,"&gt;="&amp;DATE(2026,11,15),'DRAFT 2'!$A:$A,"&lt;="&amp;DATE(2026,11,21))</f>
        <v/>
      </c>
      <c r="IG172">
        <f>COUNTIFS('DRAFT 2'!$D:$D,$B172,'DRAFT 2'!$A:$A,"&gt;="&amp;DATE(2026,11,22),'DRAFT 2'!$A:$A,"&lt;"&amp;DATE(2026,IF(11=12,11+1,11+1),1))</f>
        <v/>
      </c>
      <c r="IH172">
        <f>SUM(ID172:IG172)</f>
        <v/>
      </c>
      <c r="IR172">
        <f>IFERROR(LOOKUP(2,1/('DRAFT 2'!$D:$D=$B172)*('DRAFT 2'!$A:$A&gt;=DATE(2026,12,1))*('DRAFT 2'!$A:$A&lt;DATE(2026,IF(12=12,12+1,12+1),1)),'DRAFT 2'!$A:$A),"")</f>
        <v/>
      </c>
      <c r="IS172">
        <f>COUNTIFS('DRAFT 2'!$D:$D,$B172,'DRAFT 2'!$A:$A,"&gt;="&amp;DATE(2026,12,1),'DRAFT 2'!$A:$A,"&lt;="&amp;DATE(2026,12,7))</f>
        <v/>
      </c>
      <c r="IT172">
        <f>COUNTIFS('DRAFT 2'!$D:$D,$B172,'DRAFT 2'!$A:$A,"&gt;="&amp;DATE(2026,12,8),'DRAFT 2'!$A:$A,"&lt;="&amp;DATE(2026,12,14))</f>
        <v/>
      </c>
      <c r="IU172">
        <f>COUNTIFS('DRAFT 2'!$D:$D,$B172,'DRAFT 2'!$A:$A,"&gt;="&amp;DATE(2026,12,15),'DRAFT 2'!$A:$A,"&lt;="&amp;DATE(2026,12,21))</f>
        <v/>
      </c>
      <c r="IV172">
        <f>COUNTIFS('DRAFT 2'!$D:$D,$B172,'DRAFT 2'!$A:$A,"&gt;="&amp;DATE(2026,12,22),'DRAFT 2'!$A:$A,"&lt;"&amp;DATE(2026,IF(12=12,12+1,12+1),1))</f>
        <v/>
      </c>
      <c r="IW172">
        <f>SUM(IS172:IV172)</f>
        <v/>
      </c>
    </row>
    <row r="173">
      <c r="A173">
        <f>IFERROR(INDEX('DRAFT 1'!$A:$A,MATCH($B173,'DRAFT 1'!$B:$B,0)),"")</f>
        <v/>
      </c>
      <c r="C173">
        <f>IFERROR(INDEX('DRAFT 1'!$C:$C,MATCH($B173,'DRAFT 1'!$B:$B,0)),"")</f>
        <v/>
      </c>
      <c r="D173">
        <f>IFERROR(INDEX('DRAFT 1'!$D:$D,MATCH($B173,'DRAFT 1'!$B:$B,0)),"")</f>
        <v/>
      </c>
      <c r="E173">
        <f>IFERROR(INDEX('DRAFT 1'!$E:$E,MATCH($B173,'DRAFT 1'!$B:$B,0)),"")</f>
        <v/>
      </c>
      <c r="F173">
        <f>IFERROR(INDEX('DRAFT 1'!$F:$F,MATCH($B173,'DRAFT 1'!$B:$B,0)),"")</f>
        <v/>
      </c>
      <c r="G173">
        <f>IFERROR(INDEX('DRAFT 1'!$G:$G,MATCH($B173,'DRAFT 1'!$B:$B,0)),"")</f>
        <v/>
      </c>
      <c r="H173">
        <f>IFERROR(INDEX('DRAFT 1'!$H:$H,MATCH($B173,'DRAFT 1'!$B:$B,0)),"")</f>
        <v/>
      </c>
      <c r="I173">
        <f>IFERROR(INDEX('DRAFT 1'!$I:$I,MATCH($B173,'DRAFT 1'!$B:$B,0)),"")</f>
        <v/>
      </c>
      <c r="K173">
        <f>IFERROR(INDEX('DRAFT 1'!$AL:$AL,MATCH($B173,'DRAFT 1'!$B:$B,0)),"")</f>
        <v/>
      </c>
      <c r="L173">
        <f>IFERROR(INDEX('DRAFT 1'!$J:$J,MATCH($B173,'DRAFT 1'!$B:$B,0)),"")</f>
        <v/>
      </c>
      <c r="M173">
        <f>IFERROR(INDEX('DRAFT 1'!$K:$K,MATCH($B173,'DRAFT 1'!$B:$B,0)),"")</f>
        <v/>
      </c>
      <c r="P173">
        <f>IFERROR(INDEX('DRAFT 1'!$L:$L,MATCH($B173,'DRAFT 1'!$B:$B,0)),"")</f>
        <v/>
      </c>
      <c r="Q173">
        <f>IFERROR(INDEX('DRAFT 1'!$M:$M,MATCH($B173,'DRAFT 1'!$B:$B,0)),"")</f>
        <v/>
      </c>
      <c r="R173">
        <f>IFERROR(INDEX('DRAFT 1'!$N:$N,MATCH($B173,'DRAFT 1'!$B:$B,0)),"")</f>
        <v/>
      </c>
      <c r="S173">
        <f>IFERROR(INDEX('DRAFT 1'!$O:$O,MATCH($B173,'DRAFT 1'!$B:$B,0)),"")</f>
        <v/>
      </c>
      <c r="T173">
        <f>IFERROR(INDEX('DRAFT 1'!$P:$P,MATCH($B173,'DRAFT 1'!$B:$B,0)),"")</f>
        <v/>
      </c>
      <c r="U173">
        <f>IFERROR(INDEX('DRAFT 1'!$Q:$Q,MATCH($B173,'DRAFT 1'!$B:$B,0)),"")</f>
        <v/>
      </c>
      <c r="V173">
        <f>IFERROR(INDEX('DRAFT 1'!$R:$R,MATCH($B173,'DRAFT 1'!$B:$B,0)),"")</f>
        <v/>
      </c>
      <c r="W173">
        <f>IFERROR(INDEX('DRAFT 1'!$S:$S,MATCH($B173,'DRAFT 1'!$B:$B,0)),"")</f>
        <v/>
      </c>
      <c r="X173">
        <f>IFERROR(INDEX('DRAFT 1'!$T:$T,MATCH($B173,'DRAFT 1'!$B:$B,0)),"")</f>
        <v/>
      </c>
      <c r="Z173">
        <f>IFERROR(INDEX('DRAFT 1'!$U:$U,MATCH($B173,'DRAFT 1'!$B:$B,0)),"")</f>
        <v/>
      </c>
      <c r="AA173">
        <f>IFERROR(INDEX('DRAFT 1'!$V:$V,MATCH($B173,'DRAFT 1'!$B:$B,0)),"")</f>
        <v/>
      </c>
      <c r="AB173">
        <f>IFERROR(INDEX('DRAFT 1'!$W:$W,MATCH($B173,'DRAFT 1'!$B:$B,0)),"")</f>
        <v/>
      </c>
      <c r="AC173">
        <f>IFERROR(INDEX('DRAFT 1'!$X:$X,MATCH($B173,'DRAFT 1'!$B:$B,0)),"")</f>
        <v/>
      </c>
      <c r="AD173">
        <f>IFERROR(INDEX('DRAFT 1'!$Y:$Y,MATCH($B173,'DRAFT 1'!$B:$B,0)),"")</f>
        <v/>
      </c>
      <c r="AE173">
        <f>IFERROR(INDEX('DRAFT 1'!$Z:$Z,MATCH($B173,'DRAFT 1'!$B:$B,0)),"")</f>
        <v/>
      </c>
      <c r="AF173">
        <f>IFERROR(INDEX('DRAFT 1'!$AA:$AA,MATCH($B173,'DRAFT 1'!$B:$B,0)),"")</f>
        <v/>
      </c>
      <c r="AG173">
        <f>IFERROR(INDEX('DRAFT 1'!$AB:$AB,MATCH($B173,'DRAFT 1'!$B:$B,0)),"")</f>
        <v/>
      </c>
      <c r="AH173">
        <f>IFERROR(INDEX('DRAFT 1'!$AC:$AC,MATCH($B173,'DRAFT 1'!$B:$B,0)),"")</f>
        <v/>
      </c>
      <c r="AI173">
        <f>IFERROR(INDEX('DRAFT 1'!$AD:$AD,MATCH($B173,'DRAFT 1'!$B:$B,0)),"")</f>
        <v/>
      </c>
      <c r="AJ173">
        <f>IFERROR(INDEX('DRAFT 1'!$AE:$AE,MATCH($B173,'DRAFT 1'!$B:$B,0)),"")</f>
        <v/>
      </c>
      <c r="AK173">
        <f>IFERROR(INDEX('DRAFT 1'!$AG:$AG,MATCH($B173,'DRAFT 1'!$B:$B,0)),"")</f>
        <v/>
      </c>
      <c r="AL173">
        <f>IFERROR(INDEX('DRAFT 1'!$AH:$AH,MATCH($B173,'DRAFT 1'!$B:$B,0)),"")</f>
        <v/>
      </c>
      <c r="AM173">
        <f>IFERROR(INDEX('DRAFT 1'!$AI:$AI,MATCH($B173,'DRAFT 1'!$B:$B,0)),"")</f>
        <v/>
      </c>
      <c r="AN173">
        <f>IFERROR(INDEX('DRAFT 1'!$AJ:$AJ,MATCH($B173,'DRAFT 1'!$B:$B,0)),"")</f>
        <v/>
      </c>
      <c r="AO173">
        <f>IFERROR(Y173/AN173,0)</f>
        <v/>
      </c>
      <c r="AP173">
        <f>IFERROR(INDEX('DRAFT 1'!$AK:$AK,MATCH($B173,'DRAFT 1'!$B:$B,0)),"")</f>
        <v/>
      </c>
      <c r="AR173">
        <f>IFERROR(LOOKUP(2,1/('DRAFT 2'!$D:$D=$B173),'DRAFT 2'!$I:$I),"")</f>
        <v/>
      </c>
      <c r="AS173">
        <f>IFERROR(LOOKUP(2,1/('DRAFT 2'!$D:$D=$B173),'DRAFT 2'!$T:$T),"")</f>
        <v/>
      </c>
      <c r="AT173">
        <f>IFERROR(LOOKUP(2,1/('DRAFT 2'!$D:$D=$B173),'DRAFT 2'!$A:$A),"")</f>
        <v/>
      </c>
      <c r="AU173">
        <f>IFERROR(LOOKUP(2,1/('DRAFT 2'!$D:$D=$B173),'DRAFT 2'!$R:$R),"")</f>
        <v/>
      </c>
      <c r="AV173">
        <f>IFERROR(LOOKUP(2,1/('DRAFT 2'!$D:$D=$B173),'DRAFT 2'!$S:$S),"")</f>
        <v/>
      </c>
      <c r="AX173">
        <f>IFERROR(LOOKUP(2,1/('DRAFT 2'!$D:$D=$B173),'DRAFT 2'!$M:$M),"")</f>
        <v/>
      </c>
      <c r="AY173">
        <f>IFERROR(LOOKUP(2,1/('DRAFT 2'!$D:$D=$B173),'DRAFT 2'!$K:$K),"")</f>
        <v/>
      </c>
      <c r="BG173">
        <f>IFERROR(LOOKUP(2,1/('DRAFT 2'!$D:$D=$B173),'DRAFT 2'!$U:$U),"")</f>
        <v/>
      </c>
      <c r="BH173">
        <f>IFERROR(LOOKUP(2,1/('DRAFT 2'!$D:$D=$B173),'DRAFT 2'!$V:$V),"")</f>
        <v/>
      </c>
      <c r="CE173">
        <f>IFERROR(AJ173,0)</f>
        <v/>
      </c>
      <c r="CF173">
        <f>IFERROR(LOOKUP(2,1/('DRAFT 2'!$D:$D=$B173)*('DRAFT 2'!$A:$A&gt;=DATE(2026,1,1))*('DRAFT 2'!$A:$A&lt;DATE(2026,IF(1=12,1+1,1+1),1)),'DRAFT 2'!$A:$A),"")</f>
        <v/>
      </c>
      <c r="CG173">
        <f>COUNTIFS('DRAFT 2'!$D:$D,$B173,'DRAFT 2'!$A:$A,"&gt;="&amp;DATE(2026,1,1),'DRAFT 2'!$A:$A,"&lt;="&amp;DATE(2026,1,7))</f>
        <v/>
      </c>
      <c r="CH173">
        <f>COUNTIFS('DRAFT 2'!$D:$D,$B173,'DRAFT 2'!$A:$A,"&gt;="&amp;DATE(2026,1,8),'DRAFT 2'!$A:$A,"&lt;="&amp;DATE(2026,1,14))</f>
        <v/>
      </c>
      <c r="CI173">
        <f>COUNTIFS('DRAFT 2'!$D:$D,$B173,'DRAFT 2'!$A:$A,"&gt;="&amp;DATE(2026,1,15),'DRAFT 2'!$A:$A,"&lt;="&amp;DATE(2026,1,21))</f>
        <v/>
      </c>
      <c r="CJ173">
        <f>COUNTIFS('DRAFT 2'!$D:$D,$B173,'DRAFT 2'!$A:$A,"&gt;="&amp;DATE(2026,1,22),'DRAFT 2'!$A:$A,"&lt;"&amp;DATE(2026,IF(1=12,1+1,1+1),1))</f>
        <v/>
      </c>
      <c r="CK173">
        <f>SUM(CG173:CJ173)</f>
        <v/>
      </c>
      <c r="CT173" t="n">
        <v>0</v>
      </c>
      <c r="CU173">
        <f>IFERROR(LOOKUP(2,1/('DRAFT 2'!$D:$D=$B173)*('DRAFT 2'!$A:$A&gt;=DATE(2026,2,1))*('DRAFT 2'!$A:$A&lt;DATE(2026,IF(2=12,2+1,2+1),1)),'DRAFT 2'!$A:$A),"")</f>
        <v/>
      </c>
      <c r="CV173">
        <f>COUNTIFS('DRAFT 2'!$D:$D,$B173,'DRAFT 2'!$A:$A,"&gt;="&amp;DATE(2026,2,1),'DRAFT 2'!$A:$A,"&lt;="&amp;DATE(2026,2,7))</f>
        <v/>
      </c>
      <c r="CW173">
        <f>COUNTIFS('DRAFT 2'!$D:$D,$B173,'DRAFT 2'!$A:$A,"&gt;="&amp;DATE(2026,2,8),'DRAFT 2'!$A:$A,"&lt;="&amp;DATE(2026,2,14))</f>
        <v/>
      </c>
      <c r="CX173">
        <f>COUNTIFS('DRAFT 2'!$D:$D,$B173,'DRAFT 2'!$A:$A,"&gt;="&amp;DATE(2026,2,15),'DRAFT 2'!$A:$A,"&lt;="&amp;DATE(2026,2,21))</f>
        <v/>
      </c>
      <c r="CY173">
        <f>COUNTIFS('DRAFT 2'!$D:$D,$B173,'DRAFT 2'!$A:$A,"&gt;="&amp;DATE(2026,2,22),'DRAFT 2'!$A:$A,"&lt;"&amp;DATE(2026,IF(2=12,2+1,2+1),1))</f>
        <v/>
      </c>
      <c r="CZ173">
        <f>SUM(CV173:CY173)</f>
        <v/>
      </c>
      <c r="DJ173">
        <f>IFERROR(LOOKUP(2,1/('DRAFT 2'!$D:$D=$B173)*('DRAFT 2'!$A:$A&gt;=DATE(2026,3,1))*('DRAFT 2'!$A:$A&lt;DATE(2026,IF(3=12,3+1,3+1),1)),'DRAFT 2'!$A:$A),"")</f>
        <v/>
      </c>
      <c r="DK173">
        <f>COUNTIFS('DRAFT 2'!$D:$D,$B173,'DRAFT 2'!$A:$A,"&gt;="&amp;DATE(2026,3,1),'DRAFT 2'!$A:$A,"&lt;="&amp;DATE(2026,3,7))</f>
        <v/>
      </c>
      <c r="DL173">
        <f>COUNTIFS('DRAFT 2'!$D:$D,$B173,'DRAFT 2'!$A:$A,"&gt;="&amp;DATE(2026,3,8),'DRAFT 2'!$A:$A,"&lt;="&amp;DATE(2026,3,14))</f>
        <v/>
      </c>
      <c r="DM173">
        <f>COUNTIFS('DRAFT 2'!$D:$D,$B173,'DRAFT 2'!$A:$A,"&gt;="&amp;DATE(2026,3,15),'DRAFT 2'!$A:$A,"&lt;="&amp;DATE(2026,3,21))</f>
        <v/>
      </c>
      <c r="DN173">
        <f>COUNTIFS('DRAFT 2'!$D:$D,$B173,'DRAFT 2'!$A:$A,"&gt;="&amp;DATE(2026,3,22),'DRAFT 2'!$A:$A,"&lt;"&amp;DATE(2026,IF(3=12,3+1,3+1),1))</f>
        <v/>
      </c>
      <c r="DO173">
        <f>SUM(DK173:DN173)</f>
        <v/>
      </c>
      <c r="DZ173">
        <f>IFERROR(LOOKUP(2,1/('DRAFT 2'!$D:$D=$B173)*('DRAFT 2'!$A:$A&gt;=DATE(2026,4,1))*('DRAFT 2'!$A:$A&lt;DATE(2026,IF(4=12,4+1,4+1),1)),'DRAFT 2'!$A:$A),"")</f>
        <v/>
      </c>
      <c r="EA173">
        <f>COUNTIFS('DRAFT 2'!$D:$D,$B173,'DRAFT 2'!$A:$A,"&gt;="&amp;DATE(2026,4,1),'DRAFT 2'!$A:$A,"&lt;="&amp;DATE(2026,4,7))</f>
        <v/>
      </c>
      <c r="EB173">
        <f>COUNTIFS('DRAFT 2'!$D:$D,$B173,'DRAFT 2'!$A:$A,"&gt;="&amp;DATE(2026,4,8),'DRAFT 2'!$A:$A,"&lt;="&amp;DATE(2026,4,14))</f>
        <v/>
      </c>
      <c r="EC173">
        <f>COUNTIFS('DRAFT 2'!$D:$D,$B173,'DRAFT 2'!$A:$A,"&gt;="&amp;DATE(2026,4,15),'DRAFT 2'!$A:$A,"&lt;="&amp;DATE(2026,4,21))</f>
        <v/>
      </c>
      <c r="ED173">
        <f>COUNTIFS('DRAFT 2'!$D:$D,$B173,'DRAFT 2'!$A:$A,"&gt;="&amp;DATE(2026,4,22),'DRAFT 2'!$A:$A,"&lt;"&amp;DATE(2026,IF(4=12,4+1,4+1),1))</f>
        <v/>
      </c>
      <c r="EE173">
        <f>SUM(EA173:ED173)</f>
        <v/>
      </c>
      <c r="EO173">
        <f>IFERROR(LOOKUP(2,1/('DRAFT 2'!$D:$D=$B173)*('DRAFT 2'!$A:$A&gt;=DATE(2026,5,1))*('DRAFT 2'!$A:$A&lt;DATE(2026,IF(5=12,5+1,5+1),1)),'DRAFT 2'!$A:$A),"")</f>
        <v/>
      </c>
      <c r="EP173">
        <f>COUNTIFS('DRAFT 2'!$D:$D,$B173,'DRAFT 2'!$A:$A,"&gt;="&amp;DATE(2026,5,1),'DRAFT 2'!$A:$A,"&lt;="&amp;DATE(2026,5,7))</f>
        <v/>
      </c>
      <c r="EQ173">
        <f>COUNTIFS('DRAFT 2'!$D:$D,$B173,'DRAFT 2'!$A:$A,"&gt;="&amp;DATE(2026,5,8),'DRAFT 2'!$A:$A,"&lt;="&amp;DATE(2026,5,14))</f>
        <v/>
      </c>
      <c r="ER173">
        <f>COUNTIFS('DRAFT 2'!$D:$D,$B173,'DRAFT 2'!$A:$A,"&gt;="&amp;DATE(2026,5,15),'DRAFT 2'!$A:$A,"&lt;="&amp;DATE(2026,5,21))</f>
        <v/>
      </c>
      <c r="ES173">
        <f>COUNTIFS('DRAFT 2'!$D:$D,$B173,'DRAFT 2'!$A:$A,"&gt;="&amp;DATE(2026,5,22),'DRAFT 2'!$A:$A,"&lt;"&amp;DATE(2026,IF(5=12,5+1,5+1),1))</f>
        <v/>
      </c>
      <c r="ET173">
        <f>SUM(EP173:ES173)</f>
        <v/>
      </c>
      <c r="FD173">
        <f>IFERROR(LOOKUP(2,1/('DRAFT 2'!$D:$D=$B173)*('DRAFT 2'!$A:$A&gt;=DATE(2026,6,1))*('DRAFT 2'!$A:$A&lt;DATE(2026,IF(6=12,6+1,6+1),1)),'DRAFT 2'!$A:$A),"")</f>
        <v/>
      </c>
      <c r="FE173">
        <f>COUNTIFS('DRAFT 2'!$D:$D,$B173,'DRAFT 2'!$A:$A,"&gt;="&amp;DATE(2026,6,1),'DRAFT 2'!$A:$A,"&lt;="&amp;DATE(2026,6,7))</f>
        <v/>
      </c>
      <c r="FF173">
        <f>COUNTIFS('DRAFT 2'!$D:$D,$B173,'DRAFT 2'!$A:$A,"&gt;="&amp;DATE(2026,6,8),'DRAFT 2'!$A:$A,"&lt;="&amp;DATE(2026,6,14))</f>
        <v/>
      </c>
      <c r="FG173">
        <f>COUNTIFS('DRAFT 2'!$D:$D,$B173,'DRAFT 2'!$A:$A,"&gt;="&amp;DATE(2026,6,15),'DRAFT 2'!$A:$A,"&lt;="&amp;DATE(2026,6,21))</f>
        <v/>
      </c>
      <c r="FH173">
        <f>COUNTIFS('DRAFT 2'!$D:$D,$B173,'DRAFT 2'!$A:$A,"&gt;="&amp;DATE(2026,6,22),'DRAFT 2'!$A:$A,"&lt;"&amp;DATE(2026,IF(6=12,6+1,6+1),1))</f>
        <v/>
      </c>
      <c r="FI173">
        <f>SUM(FE173:FH173)</f>
        <v/>
      </c>
      <c r="FT173">
        <f>IFERROR(LOOKUP(2,1/('DRAFT 2'!$D:$D=$B173)*('DRAFT 2'!$A:$A&gt;=DATE(2026,7,1))*('DRAFT 2'!$A:$A&lt;DATE(2026,IF(7=12,7+1,7+1),1)),'DRAFT 2'!$A:$A),"")</f>
        <v/>
      </c>
      <c r="FU173">
        <f>COUNTIFS('DRAFT 2'!$D:$D,$B173,'DRAFT 2'!$A:$A,"&gt;="&amp;DATE(2026,7,1),'DRAFT 2'!$A:$A,"&lt;="&amp;DATE(2026,7,7))</f>
        <v/>
      </c>
      <c r="FV173">
        <f>COUNTIFS('DRAFT 2'!$D:$D,$B173,'DRAFT 2'!$A:$A,"&gt;="&amp;DATE(2026,7,8),'DRAFT 2'!$A:$A,"&lt;="&amp;DATE(2026,7,14))</f>
        <v/>
      </c>
      <c r="FW173">
        <f>COUNTIFS('DRAFT 2'!$D:$D,$B173,'DRAFT 2'!$A:$A,"&gt;="&amp;DATE(2026,7,15),'DRAFT 2'!$A:$A,"&lt;="&amp;DATE(2026,7,21))</f>
        <v/>
      </c>
      <c r="FX173">
        <f>COUNTIFS('DRAFT 2'!$D:$D,$B173,'DRAFT 2'!$A:$A,"&gt;="&amp;DATE(2026,7,22),'DRAFT 2'!$A:$A,"&lt;"&amp;DATE(2026,IF(7=12,7+1,7+1),1))</f>
        <v/>
      </c>
      <c r="FY173">
        <f>SUM(FU173:FX173)</f>
        <v/>
      </c>
      <c r="GI173">
        <f>IFERROR(LOOKUP(2,1/('DRAFT 2'!$D:$D=$B173)*('DRAFT 2'!$A:$A&gt;=DATE(2026,8,1))*('DRAFT 2'!$A:$A&lt;DATE(2026,IF(8=12,8+1,8+1),1)),'DRAFT 2'!$A:$A),"")</f>
        <v/>
      </c>
      <c r="GJ173">
        <f>COUNTIFS('DRAFT 2'!$D:$D,$B173,'DRAFT 2'!$A:$A,"&gt;="&amp;DATE(2026,8,1),'DRAFT 2'!$A:$A,"&lt;="&amp;DATE(2026,8,7))</f>
        <v/>
      </c>
      <c r="GK173">
        <f>COUNTIFS('DRAFT 2'!$D:$D,$B173,'DRAFT 2'!$A:$A,"&gt;="&amp;DATE(2026,8,8),'DRAFT 2'!$A:$A,"&lt;="&amp;DATE(2026,8,14))</f>
        <v/>
      </c>
      <c r="GL173">
        <f>COUNTIFS('DRAFT 2'!$D:$D,$B173,'DRAFT 2'!$A:$A,"&gt;="&amp;DATE(2026,8,15),'DRAFT 2'!$A:$A,"&lt;="&amp;DATE(2026,8,21))</f>
        <v/>
      </c>
      <c r="GM173">
        <f>COUNTIFS('DRAFT 2'!$D:$D,$B173,'DRAFT 2'!$A:$A,"&gt;="&amp;DATE(2026,8,22),'DRAFT 2'!$A:$A,"&lt;"&amp;DATE(2026,IF(8=12,8+1,8+1),1))</f>
        <v/>
      </c>
      <c r="GN173">
        <f>SUM(GJ173:GM173)</f>
        <v/>
      </c>
      <c r="GX173">
        <f>IFERROR(LOOKUP(2,1/('DRAFT 2'!$D:$D=$B173)*('DRAFT 2'!$A:$A&gt;=DATE(2026,9,1))*('DRAFT 2'!$A:$A&lt;DATE(2026,IF(9=12,9+1,9+1),1)),'DRAFT 2'!$A:$A),"")</f>
        <v/>
      </c>
      <c r="GY173">
        <f>COUNTIFS('DRAFT 2'!$D:$D,$B173,'DRAFT 2'!$A:$A,"&gt;="&amp;DATE(2026,9,1),'DRAFT 2'!$A:$A,"&lt;="&amp;DATE(2026,9,7))</f>
        <v/>
      </c>
      <c r="GZ173">
        <f>COUNTIFS('DRAFT 2'!$D:$D,$B173,'DRAFT 2'!$A:$A,"&gt;="&amp;DATE(2026,9,8),'DRAFT 2'!$A:$A,"&lt;="&amp;DATE(2026,9,14))</f>
        <v/>
      </c>
      <c r="HA173">
        <f>COUNTIFS('DRAFT 2'!$D:$D,$B173,'DRAFT 2'!$A:$A,"&gt;="&amp;DATE(2026,9,15),'DRAFT 2'!$A:$A,"&lt;="&amp;DATE(2026,9,21))</f>
        <v/>
      </c>
      <c r="HB173">
        <f>COUNTIFS('DRAFT 2'!$D:$D,$B173,'DRAFT 2'!$A:$A,"&gt;="&amp;DATE(2026,9,22),'DRAFT 2'!$A:$A,"&lt;"&amp;DATE(2026,IF(9=12,9+1,9+1),1))</f>
        <v/>
      </c>
      <c r="HC173">
        <f>SUM(GY173:HB173)</f>
        <v/>
      </c>
      <c r="HN173">
        <f>IFERROR(LOOKUP(2,1/('DRAFT 2'!$D:$D=$B173)*('DRAFT 2'!$A:$A&gt;=DATE(2026,10,1))*('DRAFT 2'!$A:$A&lt;DATE(2026,IF(10=12,10+1,10+1),1)),'DRAFT 2'!$A:$A),"")</f>
        <v/>
      </c>
      <c r="HO173">
        <f>COUNTIFS('DRAFT 2'!$D:$D,$B173,'DRAFT 2'!$A:$A,"&gt;="&amp;DATE(2026,10,1),'DRAFT 2'!$A:$A,"&lt;="&amp;DATE(2026,10,7))</f>
        <v/>
      </c>
      <c r="HP173">
        <f>COUNTIFS('DRAFT 2'!$D:$D,$B173,'DRAFT 2'!$A:$A,"&gt;="&amp;DATE(2026,10,8),'DRAFT 2'!$A:$A,"&lt;="&amp;DATE(2026,10,14))</f>
        <v/>
      </c>
      <c r="HQ173">
        <f>COUNTIFS('DRAFT 2'!$D:$D,$B173,'DRAFT 2'!$A:$A,"&gt;="&amp;DATE(2026,10,15),'DRAFT 2'!$A:$A,"&lt;="&amp;DATE(2026,10,21))</f>
        <v/>
      </c>
      <c r="HR173">
        <f>COUNTIFS('DRAFT 2'!$D:$D,$B173,'DRAFT 2'!$A:$A,"&gt;="&amp;DATE(2026,10,22),'DRAFT 2'!$A:$A,"&lt;"&amp;DATE(2026,IF(10=12,10+1,10+1),1))</f>
        <v/>
      </c>
      <c r="HS173">
        <f>SUM(HO173:HR173)</f>
        <v/>
      </c>
      <c r="IC173">
        <f>IFERROR(LOOKUP(2,1/('DRAFT 2'!$D:$D=$B173)*('DRAFT 2'!$A:$A&gt;=DATE(2026,11,1))*('DRAFT 2'!$A:$A&lt;DATE(2026,IF(11=12,11+1,11+1),1)),'DRAFT 2'!$A:$A),"")</f>
        <v/>
      </c>
      <c r="ID173">
        <f>COUNTIFS('DRAFT 2'!$D:$D,$B173,'DRAFT 2'!$A:$A,"&gt;="&amp;DATE(2026,11,1),'DRAFT 2'!$A:$A,"&lt;="&amp;DATE(2026,11,7))</f>
        <v/>
      </c>
      <c r="IE173">
        <f>COUNTIFS('DRAFT 2'!$D:$D,$B173,'DRAFT 2'!$A:$A,"&gt;="&amp;DATE(2026,11,8),'DRAFT 2'!$A:$A,"&lt;="&amp;DATE(2026,11,14))</f>
        <v/>
      </c>
      <c r="IF173">
        <f>COUNTIFS('DRAFT 2'!$D:$D,$B173,'DRAFT 2'!$A:$A,"&gt;="&amp;DATE(2026,11,15),'DRAFT 2'!$A:$A,"&lt;="&amp;DATE(2026,11,21))</f>
        <v/>
      </c>
      <c r="IG173">
        <f>COUNTIFS('DRAFT 2'!$D:$D,$B173,'DRAFT 2'!$A:$A,"&gt;="&amp;DATE(2026,11,22),'DRAFT 2'!$A:$A,"&lt;"&amp;DATE(2026,IF(11=12,11+1,11+1),1))</f>
        <v/>
      </c>
      <c r="IH173">
        <f>SUM(ID173:IG173)</f>
        <v/>
      </c>
      <c r="IR173">
        <f>IFERROR(LOOKUP(2,1/('DRAFT 2'!$D:$D=$B173)*('DRAFT 2'!$A:$A&gt;=DATE(2026,12,1))*('DRAFT 2'!$A:$A&lt;DATE(2026,IF(12=12,12+1,12+1),1)),'DRAFT 2'!$A:$A),"")</f>
        <v/>
      </c>
      <c r="IS173">
        <f>COUNTIFS('DRAFT 2'!$D:$D,$B173,'DRAFT 2'!$A:$A,"&gt;="&amp;DATE(2026,12,1),'DRAFT 2'!$A:$A,"&lt;="&amp;DATE(2026,12,7))</f>
        <v/>
      </c>
      <c r="IT173">
        <f>COUNTIFS('DRAFT 2'!$D:$D,$B173,'DRAFT 2'!$A:$A,"&gt;="&amp;DATE(2026,12,8),'DRAFT 2'!$A:$A,"&lt;="&amp;DATE(2026,12,14))</f>
        <v/>
      </c>
      <c r="IU173">
        <f>COUNTIFS('DRAFT 2'!$D:$D,$B173,'DRAFT 2'!$A:$A,"&gt;="&amp;DATE(2026,12,15),'DRAFT 2'!$A:$A,"&lt;="&amp;DATE(2026,12,21))</f>
        <v/>
      </c>
      <c r="IV173">
        <f>COUNTIFS('DRAFT 2'!$D:$D,$B173,'DRAFT 2'!$A:$A,"&gt;="&amp;DATE(2026,12,22),'DRAFT 2'!$A:$A,"&lt;"&amp;DATE(2026,IF(12=12,12+1,12+1),1))</f>
        <v/>
      </c>
      <c r="IW173">
        <f>SUM(IS173:IV173)</f>
        <v/>
      </c>
    </row>
    <row r="174">
      <c r="A174">
        <f>IFERROR(INDEX('DRAFT 1'!$A:$A,MATCH($B174,'DRAFT 1'!$B:$B,0)),"")</f>
        <v/>
      </c>
      <c r="C174">
        <f>IFERROR(INDEX('DRAFT 1'!$C:$C,MATCH($B174,'DRAFT 1'!$B:$B,0)),"")</f>
        <v/>
      </c>
      <c r="D174">
        <f>IFERROR(INDEX('DRAFT 1'!$D:$D,MATCH($B174,'DRAFT 1'!$B:$B,0)),"")</f>
        <v/>
      </c>
      <c r="E174">
        <f>IFERROR(INDEX('DRAFT 1'!$E:$E,MATCH($B174,'DRAFT 1'!$B:$B,0)),"")</f>
        <v/>
      </c>
      <c r="F174">
        <f>IFERROR(INDEX('DRAFT 1'!$F:$F,MATCH($B174,'DRAFT 1'!$B:$B,0)),"")</f>
        <v/>
      </c>
      <c r="G174">
        <f>IFERROR(INDEX('DRAFT 1'!$G:$G,MATCH($B174,'DRAFT 1'!$B:$B,0)),"")</f>
        <v/>
      </c>
      <c r="H174">
        <f>IFERROR(INDEX('DRAFT 1'!$H:$H,MATCH($B174,'DRAFT 1'!$B:$B,0)),"")</f>
        <v/>
      </c>
      <c r="I174">
        <f>IFERROR(INDEX('DRAFT 1'!$I:$I,MATCH($B174,'DRAFT 1'!$B:$B,0)),"")</f>
        <v/>
      </c>
      <c r="K174">
        <f>IFERROR(INDEX('DRAFT 1'!$AL:$AL,MATCH($B174,'DRAFT 1'!$B:$B,0)),"")</f>
        <v/>
      </c>
      <c r="L174">
        <f>IFERROR(INDEX('DRAFT 1'!$J:$J,MATCH($B174,'DRAFT 1'!$B:$B,0)),"")</f>
        <v/>
      </c>
      <c r="M174">
        <f>IFERROR(INDEX('DRAFT 1'!$K:$K,MATCH($B174,'DRAFT 1'!$B:$B,0)),"")</f>
        <v/>
      </c>
      <c r="P174">
        <f>IFERROR(INDEX('DRAFT 1'!$L:$L,MATCH($B174,'DRAFT 1'!$B:$B,0)),"")</f>
        <v/>
      </c>
      <c r="Q174">
        <f>IFERROR(INDEX('DRAFT 1'!$M:$M,MATCH($B174,'DRAFT 1'!$B:$B,0)),"")</f>
        <v/>
      </c>
      <c r="R174">
        <f>IFERROR(INDEX('DRAFT 1'!$N:$N,MATCH($B174,'DRAFT 1'!$B:$B,0)),"")</f>
        <v/>
      </c>
      <c r="S174">
        <f>IFERROR(INDEX('DRAFT 1'!$O:$O,MATCH($B174,'DRAFT 1'!$B:$B,0)),"")</f>
        <v/>
      </c>
      <c r="T174">
        <f>IFERROR(INDEX('DRAFT 1'!$P:$P,MATCH($B174,'DRAFT 1'!$B:$B,0)),"")</f>
        <v/>
      </c>
      <c r="U174">
        <f>IFERROR(INDEX('DRAFT 1'!$Q:$Q,MATCH($B174,'DRAFT 1'!$B:$B,0)),"")</f>
        <v/>
      </c>
      <c r="V174">
        <f>IFERROR(INDEX('DRAFT 1'!$R:$R,MATCH($B174,'DRAFT 1'!$B:$B,0)),"")</f>
        <v/>
      </c>
      <c r="W174">
        <f>IFERROR(INDEX('DRAFT 1'!$S:$S,MATCH($B174,'DRAFT 1'!$B:$B,0)),"")</f>
        <v/>
      </c>
      <c r="X174">
        <f>IFERROR(INDEX('DRAFT 1'!$T:$T,MATCH($B174,'DRAFT 1'!$B:$B,0)),"")</f>
        <v/>
      </c>
      <c r="Z174">
        <f>IFERROR(INDEX('DRAFT 1'!$U:$U,MATCH($B174,'DRAFT 1'!$B:$B,0)),"")</f>
        <v/>
      </c>
      <c r="AA174">
        <f>IFERROR(INDEX('DRAFT 1'!$V:$V,MATCH($B174,'DRAFT 1'!$B:$B,0)),"")</f>
        <v/>
      </c>
      <c r="AB174">
        <f>IFERROR(INDEX('DRAFT 1'!$W:$W,MATCH($B174,'DRAFT 1'!$B:$B,0)),"")</f>
        <v/>
      </c>
      <c r="AC174">
        <f>IFERROR(INDEX('DRAFT 1'!$X:$X,MATCH($B174,'DRAFT 1'!$B:$B,0)),"")</f>
        <v/>
      </c>
      <c r="AD174">
        <f>IFERROR(INDEX('DRAFT 1'!$Y:$Y,MATCH($B174,'DRAFT 1'!$B:$B,0)),"")</f>
        <v/>
      </c>
      <c r="AE174">
        <f>IFERROR(INDEX('DRAFT 1'!$Z:$Z,MATCH($B174,'DRAFT 1'!$B:$B,0)),"")</f>
        <v/>
      </c>
      <c r="AF174">
        <f>IFERROR(INDEX('DRAFT 1'!$AA:$AA,MATCH($B174,'DRAFT 1'!$B:$B,0)),"")</f>
        <v/>
      </c>
      <c r="AG174">
        <f>IFERROR(INDEX('DRAFT 1'!$AB:$AB,MATCH($B174,'DRAFT 1'!$B:$B,0)),"")</f>
        <v/>
      </c>
      <c r="AH174">
        <f>IFERROR(INDEX('DRAFT 1'!$AC:$AC,MATCH($B174,'DRAFT 1'!$B:$B,0)),"")</f>
        <v/>
      </c>
      <c r="AI174">
        <f>IFERROR(INDEX('DRAFT 1'!$AD:$AD,MATCH($B174,'DRAFT 1'!$B:$B,0)),"")</f>
        <v/>
      </c>
      <c r="AJ174">
        <f>IFERROR(INDEX('DRAFT 1'!$AE:$AE,MATCH($B174,'DRAFT 1'!$B:$B,0)),"")</f>
        <v/>
      </c>
      <c r="AK174">
        <f>IFERROR(INDEX('DRAFT 1'!$AG:$AG,MATCH($B174,'DRAFT 1'!$B:$B,0)),"")</f>
        <v/>
      </c>
      <c r="AL174">
        <f>IFERROR(INDEX('DRAFT 1'!$AH:$AH,MATCH($B174,'DRAFT 1'!$B:$B,0)),"")</f>
        <v/>
      </c>
      <c r="AM174">
        <f>IFERROR(INDEX('DRAFT 1'!$AI:$AI,MATCH($B174,'DRAFT 1'!$B:$B,0)),"")</f>
        <v/>
      </c>
      <c r="AN174">
        <f>IFERROR(INDEX('DRAFT 1'!$AJ:$AJ,MATCH($B174,'DRAFT 1'!$B:$B,0)),"")</f>
        <v/>
      </c>
      <c r="AO174">
        <f>IFERROR(Y174/AN174,0)</f>
        <v/>
      </c>
      <c r="AP174">
        <f>IFERROR(INDEX('DRAFT 1'!$AK:$AK,MATCH($B174,'DRAFT 1'!$B:$B,0)),"")</f>
        <v/>
      </c>
      <c r="AR174">
        <f>IFERROR(LOOKUP(2,1/('DRAFT 2'!$D:$D=$B174),'DRAFT 2'!$I:$I),"")</f>
        <v/>
      </c>
      <c r="AS174">
        <f>IFERROR(LOOKUP(2,1/('DRAFT 2'!$D:$D=$B174),'DRAFT 2'!$T:$T),"")</f>
        <v/>
      </c>
      <c r="AT174">
        <f>IFERROR(LOOKUP(2,1/('DRAFT 2'!$D:$D=$B174),'DRAFT 2'!$A:$A),"")</f>
        <v/>
      </c>
      <c r="AU174">
        <f>IFERROR(LOOKUP(2,1/('DRAFT 2'!$D:$D=$B174),'DRAFT 2'!$R:$R),"")</f>
        <v/>
      </c>
      <c r="AV174">
        <f>IFERROR(LOOKUP(2,1/('DRAFT 2'!$D:$D=$B174),'DRAFT 2'!$S:$S),"")</f>
        <v/>
      </c>
      <c r="AX174">
        <f>IFERROR(LOOKUP(2,1/('DRAFT 2'!$D:$D=$B174),'DRAFT 2'!$M:$M),"")</f>
        <v/>
      </c>
      <c r="AY174">
        <f>IFERROR(LOOKUP(2,1/('DRAFT 2'!$D:$D=$B174),'DRAFT 2'!$K:$K),"")</f>
        <v/>
      </c>
      <c r="BG174">
        <f>IFERROR(LOOKUP(2,1/('DRAFT 2'!$D:$D=$B174),'DRAFT 2'!$U:$U),"")</f>
        <v/>
      </c>
      <c r="BH174">
        <f>IFERROR(LOOKUP(2,1/('DRAFT 2'!$D:$D=$B174),'DRAFT 2'!$V:$V),"")</f>
        <v/>
      </c>
      <c r="CE174">
        <f>IFERROR(AJ174,0)</f>
        <v/>
      </c>
      <c r="CF174">
        <f>IFERROR(LOOKUP(2,1/('DRAFT 2'!$D:$D=$B174)*('DRAFT 2'!$A:$A&gt;=DATE(2026,1,1))*('DRAFT 2'!$A:$A&lt;DATE(2026,IF(1=12,1+1,1+1),1)),'DRAFT 2'!$A:$A),"")</f>
        <v/>
      </c>
      <c r="CG174">
        <f>COUNTIFS('DRAFT 2'!$D:$D,$B174,'DRAFT 2'!$A:$A,"&gt;="&amp;DATE(2026,1,1),'DRAFT 2'!$A:$A,"&lt;="&amp;DATE(2026,1,7))</f>
        <v/>
      </c>
      <c r="CH174">
        <f>COUNTIFS('DRAFT 2'!$D:$D,$B174,'DRAFT 2'!$A:$A,"&gt;="&amp;DATE(2026,1,8),'DRAFT 2'!$A:$A,"&lt;="&amp;DATE(2026,1,14))</f>
        <v/>
      </c>
      <c r="CI174">
        <f>COUNTIFS('DRAFT 2'!$D:$D,$B174,'DRAFT 2'!$A:$A,"&gt;="&amp;DATE(2026,1,15),'DRAFT 2'!$A:$A,"&lt;="&amp;DATE(2026,1,21))</f>
        <v/>
      </c>
      <c r="CJ174">
        <f>COUNTIFS('DRAFT 2'!$D:$D,$B174,'DRAFT 2'!$A:$A,"&gt;="&amp;DATE(2026,1,22),'DRAFT 2'!$A:$A,"&lt;"&amp;DATE(2026,IF(1=12,1+1,1+1),1))</f>
        <v/>
      </c>
      <c r="CK174">
        <f>SUM(CG174:CJ174)</f>
        <v/>
      </c>
      <c r="CT174" t="n">
        <v>0</v>
      </c>
      <c r="CU174">
        <f>IFERROR(LOOKUP(2,1/('DRAFT 2'!$D:$D=$B174)*('DRAFT 2'!$A:$A&gt;=DATE(2026,2,1))*('DRAFT 2'!$A:$A&lt;DATE(2026,IF(2=12,2+1,2+1),1)),'DRAFT 2'!$A:$A),"")</f>
        <v/>
      </c>
      <c r="CV174">
        <f>COUNTIFS('DRAFT 2'!$D:$D,$B174,'DRAFT 2'!$A:$A,"&gt;="&amp;DATE(2026,2,1),'DRAFT 2'!$A:$A,"&lt;="&amp;DATE(2026,2,7))</f>
        <v/>
      </c>
      <c r="CW174">
        <f>COUNTIFS('DRAFT 2'!$D:$D,$B174,'DRAFT 2'!$A:$A,"&gt;="&amp;DATE(2026,2,8),'DRAFT 2'!$A:$A,"&lt;="&amp;DATE(2026,2,14))</f>
        <v/>
      </c>
      <c r="CX174">
        <f>COUNTIFS('DRAFT 2'!$D:$D,$B174,'DRAFT 2'!$A:$A,"&gt;="&amp;DATE(2026,2,15),'DRAFT 2'!$A:$A,"&lt;="&amp;DATE(2026,2,21))</f>
        <v/>
      </c>
      <c r="CY174">
        <f>COUNTIFS('DRAFT 2'!$D:$D,$B174,'DRAFT 2'!$A:$A,"&gt;="&amp;DATE(2026,2,22),'DRAFT 2'!$A:$A,"&lt;"&amp;DATE(2026,IF(2=12,2+1,2+1),1))</f>
        <v/>
      </c>
      <c r="CZ174">
        <f>SUM(CV174:CY174)</f>
        <v/>
      </c>
      <c r="DJ174">
        <f>IFERROR(LOOKUP(2,1/('DRAFT 2'!$D:$D=$B174)*('DRAFT 2'!$A:$A&gt;=DATE(2026,3,1))*('DRAFT 2'!$A:$A&lt;DATE(2026,IF(3=12,3+1,3+1),1)),'DRAFT 2'!$A:$A),"")</f>
        <v/>
      </c>
      <c r="DK174">
        <f>COUNTIFS('DRAFT 2'!$D:$D,$B174,'DRAFT 2'!$A:$A,"&gt;="&amp;DATE(2026,3,1),'DRAFT 2'!$A:$A,"&lt;="&amp;DATE(2026,3,7))</f>
        <v/>
      </c>
      <c r="DL174">
        <f>COUNTIFS('DRAFT 2'!$D:$D,$B174,'DRAFT 2'!$A:$A,"&gt;="&amp;DATE(2026,3,8),'DRAFT 2'!$A:$A,"&lt;="&amp;DATE(2026,3,14))</f>
        <v/>
      </c>
      <c r="DM174">
        <f>COUNTIFS('DRAFT 2'!$D:$D,$B174,'DRAFT 2'!$A:$A,"&gt;="&amp;DATE(2026,3,15),'DRAFT 2'!$A:$A,"&lt;="&amp;DATE(2026,3,21))</f>
        <v/>
      </c>
      <c r="DN174">
        <f>COUNTIFS('DRAFT 2'!$D:$D,$B174,'DRAFT 2'!$A:$A,"&gt;="&amp;DATE(2026,3,22),'DRAFT 2'!$A:$A,"&lt;"&amp;DATE(2026,IF(3=12,3+1,3+1),1))</f>
        <v/>
      </c>
      <c r="DO174">
        <f>SUM(DK174:DN174)</f>
        <v/>
      </c>
      <c r="DZ174">
        <f>IFERROR(LOOKUP(2,1/('DRAFT 2'!$D:$D=$B174)*('DRAFT 2'!$A:$A&gt;=DATE(2026,4,1))*('DRAFT 2'!$A:$A&lt;DATE(2026,IF(4=12,4+1,4+1),1)),'DRAFT 2'!$A:$A),"")</f>
        <v/>
      </c>
      <c r="EA174">
        <f>COUNTIFS('DRAFT 2'!$D:$D,$B174,'DRAFT 2'!$A:$A,"&gt;="&amp;DATE(2026,4,1),'DRAFT 2'!$A:$A,"&lt;="&amp;DATE(2026,4,7))</f>
        <v/>
      </c>
      <c r="EB174">
        <f>COUNTIFS('DRAFT 2'!$D:$D,$B174,'DRAFT 2'!$A:$A,"&gt;="&amp;DATE(2026,4,8),'DRAFT 2'!$A:$A,"&lt;="&amp;DATE(2026,4,14))</f>
        <v/>
      </c>
      <c r="EC174">
        <f>COUNTIFS('DRAFT 2'!$D:$D,$B174,'DRAFT 2'!$A:$A,"&gt;="&amp;DATE(2026,4,15),'DRAFT 2'!$A:$A,"&lt;="&amp;DATE(2026,4,21))</f>
        <v/>
      </c>
      <c r="ED174">
        <f>COUNTIFS('DRAFT 2'!$D:$D,$B174,'DRAFT 2'!$A:$A,"&gt;="&amp;DATE(2026,4,22),'DRAFT 2'!$A:$A,"&lt;"&amp;DATE(2026,IF(4=12,4+1,4+1),1))</f>
        <v/>
      </c>
      <c r="EE174">
        <f>SUM(EA174:ED174)</f>
        <v/>
      </c>
      <c r="EO174">
        <f>IFERROR(LOOKUP(2,1/('DRAFT 2'!$D:$D=$B174)*('DRAFT 2'!$A:$A&gt;=DATE(2026,5,1))*('DRAFT 2'!$A:$A&lt;DATE(2026,IF(5=12,5+1,5+1),1)),'DRAFT 2'!$A:$A),"")</f>
        <v/>
      </c>
      <c r="EP174">
        <f>COUNTIFS('DRAFT 2'!$D:$D,$B174,'DRAFT 2'!$A:$A,"&gt;="&amp;DATE(2026,5,1),'DRAFT 2'!$A:$A,"&lt;="&amp;DATE(2026,5,7))</f>
        <v/>
      </c>
      <c r="EQ174">
        <f>COUNTIFS('DRAFT 2'!$D:$D,$B174,'DRAFT 2'!$A:$A,"&gt;="&amp;DATE(2026,5,8),'DRAFT 2'!$A:$A,"&lt;="&amp;DATE(2026,5,14))</f>
        <v/>
      </c>
      <c r="ER174">
        <f>COUNTIFS('DRAFT 2'!$D:$D,$B174,'DRAFT 2'!$A:$A,"&gt;="&amp;DATE(2026,5,15),'DRAFT 2'!$A:$A,"&lt;="&amp;DATE(2026,5,21))</f>
        <v/>
      </c>
      <c r="ES174">
        <f>COUNTIFS('DRAFT 2'!$D:$D,$B174,'DRAFT 2'!$A:$A,"&gt;="&amp;DATE(2026,5,22),'DRAFT 2'!$A:$A,"&lt;"&amp;DATE(2026,IF(5=12,5+1,5+1),1))</f>
        <v/>
      </c>
      <c r="ET174">
        <f>SUM(EP174:ES174)</f>
        <v/>
      </c>
      <c r="FD174">
        <f>IFERROR(LOOKUP(2,1/('DRAFT 2'!$D:$D=$B174)*('DRAFT 2'!$A:$A&gt;=DATE(2026,6,1))*('DRAFT 2'!$A:$A&lt;DATE(2026,IF(6=12,6+1,6+1),1)),'DRAFT 2'!$A:$A),"")</f>
        <v/>
      </c>
      <c r="FE174">
        <f>COUNTIFS('DRAFT 2'!$D:$D,$B174,'DRAFT 2'!$A:$A,"&gt;="&amp;DATE(2026,6,1),'DRAFT 2'!$A:$A,"&lt;="&amp;DATE(2026,6,7))</f>
        <v/>
      </c>
      <c r="FF174">
        <f>COUNTIFS('DRAFT 2'!$D:$D,$B174,'DRAFT 2'!$A:$A,"&gt;="&amp;DATE(2026,6,8),'DRAFT 2'!$A:$A,"&lt;="&amp;DATE(2026,6,14))</f>
        <v/>
      </c>
      <c r="FG174">
        <f>COUNTIFS('DRAFT 2'!$D:$D,$B174,'DRAFT 2'!$A:$A,"&gt;="&amp;DATE(2026,6,15),'DRAFT 2'!$A:$A,"&lt;="&amp;DATE(2026,6,21))</f>
        <v/>
      </c>
      <c r="FH174">
        <f>COUNTIFS('DRAFT 2'!$D:$D,$B174,'DRAFT 2'!$A:$A,"&gt;="&amp;DATE(2026,6,22),'DRAFT 2'!$A:$A,"&lt;"&amp;DATE(2026,IF(6=12,6+1,6+1),1))</f>
        <v/>
      </c>
      <c r="FI174">
        <f>SUM(FE174:FH174)</f>
        <v/>
      </c>
      <c r="FT174">
        <f>IFERROR(LOOKUP(2,1/('DRAFT 2'!$D:$D=$B174)*('DRAFT 2'!$A:$A&gt;=DATE(2026,7,1))*('DRAFT 2'!$A:$A&lt;DATE(2026,IF(7=12,7+1,7+1),1)),'DRAFT 2'!$A:$A),"")</f>
        <v/>
      </c>
      <c r="FU174">
        <f>COUNTIFS('DRAFT 2'!$D:$D,$B174,'DRAFT 2'!$A:$A,"&gt;="&amp;DATE(2026,7,1),'DRAFT 2'!$A:$A,"&lt;="&amp;DATE(2026,7,7))</f>
        <v/>
      </c>
      <c r="FV174">
        <f>COUNTIFS('DRAFT 2'!$D:$D,$B174,'DRAFT 2'!$A:$A,"&gt;="&amp;DATE(2026,7,8),'DRAFT 2'!$A:$A,"&lt;="&amp;DATE(2026,7,14))</f>
        <v/>
      </c>
      <c r="FW174">
        <f>COUNTIFS('DRAFT 2'!$D:$D,$B174,'DRAFT 2'!$A:$A,"&gt;="&amp;DATE(2026,7,15),'DRAFT 2'!$A:$A,"&lt;="&amp;DATE(2026,7,21))</f>
        <v/>
      </c>
      <c r="FX174">
        <f>COUNTIFS('DRAFT 2'!$D:$D,$B174,'DRAFT 2'!$A:$A,"&gt;="&amp;DATE(2026,7,22),'DRAFT 2'!$A:$A,"&lt;"&amp;DATE(2026,IF(7=12,7+1,7+1),1))</f>
        <v/>
      </c>
      <c r="FY174">
        <f>SUM(FU174:FX174)</f>
        <v/>
      </c>
      <c r="GI174">
        <f>IFERROR(LOOKUP(2,1/('DRAFT 2'!$D:$D=$B174)*('DRAFT 2'!$A:$A&gt;=DATE(2026,8,1))*('DRAFT 2'!$A:$A&lt;DATE(2026,IF(8=12,8+1,8+1),1)),'DRAFT 2'!$A:$A),"")</f>
        <v/>
      </c>
      <c r="GJ174">
        <f>COUNTIFS('DRAFT 2'!$D:$D,$B174,'DRAFT 2'!$A:$A,"&gt;="&amp;DATE(2026,8,1),'DRAFT 2'!$A:$A,"&lt;="&amp;DATE(2026,8,7))</f>
        <v/>
      </c>
      <c r="GK174">
        <f>COUNTIFS('DRAFT 2'!$D:$D,$B174,'DRAFT 2'!$A:$A,"&gt;="&amp;DATE(2026,8,8),'DRAFT 2'!$A:$A,"&lt;="&amp;DATE(2026,8,14))</f>
        <v/>
      </c>
      <c r="GL174">
        <f>COUNTIFS('DRAFT 2'!$D:$D,$B174,'DRAFT 2'!$A:$A,"&gt;="&amp;DATE(2026,8,15),'DRAFT 2'!$A:$A,"&lt;="&amp;DATE(2026,8,21))</f>
        <v/>
      </c>
      <c r="GM174">
        <f>COUNTIFS('DRAFT 2'!$D:$D,$B174,'DRAFT 2'!$A:$A,"&gt;="&amp;DATE(2026,8,22),'DRAFT 2'!$A:$A,"&lt;"&amp;DATE(2026,IF(8=12,8+1,8+1),1))</f>
        <v/>
      </c>
      <c r="GN174">
        <f>SUM(GJ174:GM174)</f>
        <v/>
      </c>
      <c r="GX174">
        <f>IFERROR(LOOKUP(2,1/('DRAFT 2'!$D:$D=$B174)*('DRAFT 2'!$A:$A&gt;=DATE(2026,9,1))*('DRAFT 2'!$A:$A&lt;DATE(2026,IF(9=12,9+1,9+1),1)),'DRAFT 2'!$A:$A),"")</f>
        <v/>
      </c>
      <c r="GY174">
        <f>COUNTIFS('DRAFT 2'!$D:$D,$B174,'DRAFT 2'!$A:$A,"&gt;="&amp;DATE(2026,9,1),'DRAFT 2'!$A:$A,"&lt;="&amp;DATE(2026,9,7))</f>
        <v/>
      </c>
      <c r="GZ174">
        <f>COUNTIFS('DRAFT 2'!$D:$D,$B174,'DRAFT 2'!$A:$A,"&gt;="&amp;DATE(2026,9,8),'DRAFT 2'!$A:$A,"&lt;="&amp;DATE(2026,9,14))</f>
        <v/>
      </c>
      <c r="HA174">
        <f>COUNTIFS('DRAFT 2'!$D:$D,$B174,'DRAFT 2'!$A:$A,"&gt;="&amp;DATE(2026,9,15),'DRAFT 2'!$A:$A,"&lt;="&amp;DATE(2026,9,21))</f>
        <v/>
      </c>
      <c r="HB174">
        <f>COUNTIFS('DRAFT 2'!$D:$D,$B174,'DRAFT 2'!$A:$A,"&gt;="&amp;DATE(2026,9,22),'DRAFT 2'!$A:$A,"&lt;"&amp;DATE(2026,IF(9=12,9+1,9+1),1))</f>
        <v/>
      </c>
      <c r="HC174">
        <f>SUM(GY174:HB174)</f>
        <v/>
      </c>
      <c r="HN174">
        <f>IFERROR(LOOKUP(2,1/('DRAFT 2'!$D:$D=$B174)*('DRAFT 2'!$A:$A&gt;=DATE(2026,10,1))*('DRAFT 2'!$A:$A&lt;DATE(2026,IF(10=12,10+1,10+1),1)),'DRAFT 2'!$A:$A),"")</f>
        <v/>
      </c>
      <c r="HO174">
        <f>COUNTIFS('DRAFT 2'!$D:$D,$B174,'DRAFT 2'!$A:$A,"&gt;="&amp;DATE(2026,10,1),'DRAFT 2'!$A:$A,"&lt;="&amp;DATE(2026,10,7))</f>
        <v/>
      </c>
      <c r="HP174">
        <f>COUNTIFS('DRAFT 2'!$D:$D,$B174,'DRAFT 2'!$A:$A,"&gt;="&amp;DATE(2026,10,8),'DRAFT 2'!$A:$A,"&lt;="&amp;DATE(2026,10,14))</f>
        <v/>
      </c>
      <c r="HQ174">
        <f>COUNTIFS('DRAFT 2'!$D:$D,$B174,'DRAFT 2'!$A:$A,"&gt;="&amp;DATE(2026,10,15),'DRAFT 2'!$A:$A,"&lt;="&amp;DATE(2026,10,21))</f>
        <v/>
      </c>
      <c r="HR174">
        <f>COUNTIFS('DRAFT 2'!$D:$D,$B174,'DRAFT 2'!$A:$A,"&gt;="&amp;DATE(2026,10,22),'DRAFT 2'!$A:$A,"&lt;"&amp;DATE(2026,IF(10=12,10+1,10+1),1))</f>
        <v/>
      </c>
      <c r="HS174">
        <f>SUM(HO174:HR174)</f>
        <v/>
      </c>
      <c r="IC174">
        <f>IFERROR(LOOKUP(2,1/('DRAFT 2'!$D:$D=$B174)*('DRAFT 2'!$A:$A&gt;=DATE(2026,11,1))*('DRAFT 2'!$A:$A&lt;DATE(2026,IF(11=12,11+1,11+1),1)),'DRAFT 2'!$A:$A),"")</f>
        <v/>
      </c>
      <c r="ID174">
        <f>COUNTIFS('DRAFT 2'!$D:$D,$B174,'DRAFT 2'!$A:$A,"&gt;="&amp;DATE(2026,11,1),'DRAFT 2'!$A:$A,"&lt;="&amp;DATE(2026,11,7))</f>
        <v/>
      </c>
      <c r="IE174">
        <f>COUNTIFS('DRAFT 2'!$D:$D,$B174,'DRAFT 2'!$A:$A,"&gt;="&amp;DATE(2026,11,8),'DRAFT 2'!$A:$A,"&lt;="&amp;DATE(2026,11,14))</f>
        <v/>
      </c>
      <c r="IF174">
        <f>COUNTIFS('DRAFT 2'!$D:$D,$B174,'DRAFT 2'!$A:$A,"&gt;="&amp;DATE(2026,11,15),'DRAFT 2'!$A:$A,"&lt;="&amp;DATE(2026,11,21))</f>
        <v/>
      </c>
      <c r="IG174">
        <f>COUNTIFS('DRAFT 2'!$D:$D,$B174,'DRAFT 2'!$A:$A,"&gt;="&amp;DATE(2026,11,22),'DRAFT 2'!$A:$A,"&lt;"&amp;DATE(2026,IF(11=12,11+1,11+1),1))</f>
        <v/>
      </c>
      <c r="IH174">
        <f>SUM(ID174:IG174)</f>
        <v/>
      </c>
      <c r="IR174">
        <f>IFERROR(LOOKUP(2,1/('DRAFT 2'!$D:$D=$B174)*('DRAFT 2'!$A:$A&gt;=DATE(2026,12,1))*('DRAFT 2'!$A:$A&lt;DATE(2026,IF(12=12,12+1,12+1),1)),'DRAFT 2'!$A:$A),"")</f>
        <v/>
      </c>
      <c r="IS174">
        <f>COUNTIFS('DRAFT 2'!$D:$D,$B174,'DRAFT 2'!$A:$A,"&gt;="&amp;DATE(2026,12,1),'DRAFT 2'!$A:$A,"&lt;="&amp;DATE(2026,12,7))</f>
        <v/>
      </c>
      <c r="IT174">
        <f>COUNTIFS('DRAFT 2'!$D:$D,$B174,'DRAFT 2'!$A:$A,"&gt;="&amp;DATE(2026,12,8),'DRAFT 2'!$A:$A,"&lt;="&amp;DATE(2026,12,14))</f>
        <v/>
      </c>
      <c r="IU174">
        <f>COUNTIFS('DRAFT 2'!$D:$D,$B174,'DRAFT 2'!$A:$A,"&gt;="&amp;DATE(2026,12,15),'DRAFT 2'!$A:$A,"&lt;="&amp;DATE(2026,12,21))</f>
        <v/>
      </c>
      <c r="IV174">
        <f>COUNTIFS('DRAFT 2'!$D:$D,$B174,'DRAFT 2'!$A:$A,"&gt;="&amp;DATE(2026,12,22),'DRAFT 2'!$A:$A,"&lt;"&amp;DATE(2026,IF(12=12,12+1,12+1),1))</f>
        <v/>
      </c>
      <c r="IW174">
        <f>SUM(IS174:IV174)</f>
        <v/>
      </c>
    </row>
    <row r="175">
      <c r="A175">
        <f>IFERROR(INDEX('DRAFT 1'!$A:$A,MATCH($B175,'DRAFT 1'!$B:$B,0)),"")</f>
        <v/>
      </c>
      <c r="C175">
        <f>IFERROR(INDEX('DRAFT 1'!$C:$C,MATCH($B175,'DRAFT 1'!$B:$B,0)),"")</f>
        <v/>
      </c>
      <c r="D175">
        <f>IFERROR(INDEX('DRAFT 1'!$D:$D,MATCH($B175,'DRAFT 1'!$B:$B,0)),"")</f>
        <v/>
      </c>
      <c r="E175">
        <f>IFERROR(INDEX('DRAFT 1'!$E:$E,MATCH($B175,'DRAFT 1'!$B:$B,0)),"")</f>
        <v/>
      </c>
      <c r="F175">
        <f>IFERROR(INDEX('DRAFT 1'!$F:$F,MATCH($B175,'DRAFT 1'!$B:$B,0)),"")</f>
        <v/>
      </c>
      <c r="G175">
        <f>IFERROR(INDEX('DRAFT 1'!$G:$G,MATCH($B175,'DRAFT 1'!$B:$B,0)),"")</f>
        <v/>
      </c>
      <c r="H175">
        <f>IFERROR(INDEX('DRAFT 1'!$H:$H,MATCH($B175,'DRAFT 1'!$B:$B,0)),"")</f>
        <v/>
      </c>
      <c r="I175">
        <f>IFERROR(INDEX('DRAFT 1'!$I:$I,MATCH($B175,'DRAFT 1'!$B:$B,0)),"")</f>
        <v/>
      </c>
      <c r="K175">
        <f>IFERROR(INDEX('DRAFT 1'!$AL:$AL,MATCH($B175,'DRAFT 1'!$B:$B,0)),"")</f>
        <v/>
      </c>
      <c r="L175">
        <f>IFERROR(INDEX('DRAFT 1'!$J:$J,MATCH($B175,'DRAFT 1'!$B:$B,0)),"")</f>
        <v/>
      </c>
      <c r="M175">
        <f>IFERROR(INDEX('DRAFT 1'!$K:$K,MATCH($B175,'DRAFT 1'!$B:$B,0)),"")</f>
        <v/>
      </c>
      <c r="P175">
        <f>IFERROR(INDEX('DRAFT 1'!$L:$L,MATCH($B175,'DRAFT 1'!$B:$B,0)),"")</f>
        <v/>
      </c>
      <c r="Q175">
        <f>IFERROR(INDEX('DRAFT 1'!$M:$M,MATCH($B175,'DRAFT 1'!$B:$B,0)),"")</f>
        <v/>
      </c>
      <c r="R175">
        <f>IFERROR(INDEX('DRAFT 1'!$N:$N,MATCH($B175,'DRAFT 1'!$B:$B,0)),"")</f>
        <v/>
      </c>
      <c r="S175">
        <f>IFERROR(INDEX('DRAFT 1'!$O:$O,MATCH($B175,'DRAFT 1'!$B:$B,0)),"")</f>
        <v/>
      </c>
      <c r="T175">
        <f>IFERROR(INDEX('DRAFT 1'!$P:$P,MATCH($B175,'DRAFT 1'!$B:$B,0)),"")</f>
        <v/>
      </c>
      <c r="U175">
        <f>IFERROR(INDEX('DRAFT 1'!$Q:$Q,MATCH($B175,'DRAFT 1'!$B:$B,0)),"")</f>
        <v/>
      </c>
      <c r="V175">
        <f>IFERROR(INDEX('DRAFT 1'!$R:$R,MATCH($B175,'DRAFT 1'!$B:$B,0)),"")</f>
        <v/>
      </c>
      <c r="W175">
        <f>IFERROR(INDEX('DRAFT 1'!$S:$S,MATCH($B175,'DRAFT 1'!$B:$B,0)),"")</f>
        <v/>
      </c>
      <c r="X175">
        <f>IFERROR(INDEX('DRAFT 1'!$T:$T,MATCH($B175,'DRAFT 1'!$B:$B,0)),"")</f>
        <v/>
      </c>
      <c r="Z175">
        <f>IFERROR(INDEX('DRAFT 1'!$U:$U,MATCH($B175,'DRAFT 1'!$B:$B,0)),"")</f>
        <v/>
      </c>
      <c r="AA175">
        <f>IFERROR(INDEX('DRAFT 1'!$V:$V,MATCH($B175,'DRAFT 1'!$B:$B,0)),"")</f>
        <v/>
      </c>
      <c r="AB175">
        <f>IFERROR(INDEX('DRAFT 1'!$W:$W,MATCH($B175,'DRAFT 1'!$B:$B,0)),"")</f>
        <v/>
      </c>
      <c r="AC175">
        <f>IFERROR(INDEX('DRAFT 1'!$X:$X,MATCH($B175,'DRAFT 1'!$B:$B,0)),"")</f>
        <v/>
      </c>
      <c r="AD175">
        <f>IFERROR(INDEX('DRAFT 1'!$Y:$Y,MATCH($B175,'DRAFT 1'!$B:$B,0)),"")</f>
        <v/>
      </c>
      <c r="AE175">
        <f>IFERROR(INDEX('DRAFT 1'!$Z:$Z,MATCH($B175,'DRAFT 1'!$B:$B,0)),"")</f>
        <v/>
      </c>
      <c r="AF175">
        <f>IFERROR(INDEX('DRAFT 1'!$AA:$AA,MATCH($B175,'DRAFT 1'!$B:$B,0)),"")</f>
        <v/>
      </c>
      <c r="AG175">
        <f>IFERROR(INDEX('DRAFT 1'!$AB:$AB,MATCH($B175,'DRAFT 1'!$B:$B,0)),"")</f>
        <v/>
      </c>
      <c r="AH175">
        <f>IFERROR(INDEX('DRAFT 1'!$AC:$AC,MATCH($B175,'DRAFT 1'!$B:$B,0)),"")</f>
        <v/>
      </c>
      <c r="AI175">
        <f>IFERROR(INDEX('DRAFT 1'!$AD:$AD,MATCH($B175,'DRAFT 1'!$B:$B,0)),"")</f>
        <v/>
      </c>
      <c r="AJ175">
        <f>IFERROR(INDEX('DRAFT 1'!$AE:$AE,MATCH($B175,'DRAFT 1'!$B:$B,0)),"")</f>
        <v/>
      </c>
      <c r="AK175">
        <f>IFERROR(INDEX('DRAFT 1'!$AG:$AG,MATCH($B175,'DRAFT 1'!$B:$B,0)),"")</f>
        <v/>
      </c>
      <c r="AL175">
        <f>IFERROR(INDEX('DRAFT 1'!$AH:$AH,MATCH($B175,'DRAFT 1'!$B:$B,0)),"")</f>
        <v/>
      </c>
      <c r="AM175">
        <f>IFERROR(INDEX('DRAFT 1'!$AI:$AI,MATCH($B175,'DRAFT 1'!$B:$B,0)),"")</f>
        <v/>
      </c>
      <c r="AN175">
        <f>IFERROR(INDEX('DRAFT 1'!$AJ:$AJ,MATCH($B175,'DRAFT 1'!$B:$B,0)),"")</f>
        <v/>
      </c>
      <c r="AO175">
        <f>IFERROR(Y175/AN175,0)</f>
        <v/>
      </c>
      <c r="AP175">
        <f>IFERROR(INDEX('DRAFT 1'!$AK:$AK,MATCH($B175,'DRAFT 1'!$B:$B,0)),"")</f>
        <v/>
      </c>
      <c r="AR175">
        <f>IFERROR(LOOKUP(2,1/('DRAFT 2'!$D:$D=$B175),'DRAFT 2'!$I:$I),"")</f>
        <v/>
      </c>
      <c r="AS175">
        <f>IFERROR(LOOKUP(2,1/('DRAFT 2'!$D:$D=$B175),'DRAFT 2'!$T:$T),"")</f>
        <v/>
      </c>
      <c r="AT175">
        <f>IFERROR(LOOKUP(2,1/('DRAFT 2'!$D:$D=$B175),'DRAFT 2'!$A:$A),"")</f>
        <v/>
      </c>
      <c r="AU175">
        <f>IFERROR(LOOKUP(2,1/('DRAFT 2'!$D:$D=$B175),'DRAFT 2'!$R:$R),"")</f>
        <v/>
      </c>
      <c r="AV175">
        <f>IFERROR(LOOKUP(2,1/('DRAFT 2'!$D:$D=$B175),'DRAFT 2'!$S:$S),"")</f>
        <v/>
      </c>
      <c r="AX175">
        <f>IFERROR(LOOKUP(2,1/('DRAFT 2'!$D:$D=$B175),'DRAFT 2'!$M:$M),"")</f>
        <v/>
      </c>
      <c r="AY175">
        <f>IFERROR(LOOKUP(2,1/('DRAFT 2'!$D:$D=$B175),'DRAFT 2'!$K:$K),"")</f>
        <v/>
      </c>
      <c r="BG175">
        <f>IFERROR(LOOKUP(2,1/('DRAFT 2'!$D:$D=$B175),'DRAFT 2'!$U:$U),"")</f>
        <v/>
      </c>
      <c r="BH175">
        <f>IFERROR(LOOKUP(2,1/('DRAFT 2'!$D:$D=$B175),'DRAFT 2'!$V:$V),"")</f>
        <v/>
      </c>
      <c r="CE175">
        <f>IFERROR(AJ175,0)</f>
        <v/>
      </c>
      <c r="CF175">
        <f>IFERROR(LOOKUP(2,1/('DRAFT 2'!$D:$D=$B175)*('DRAFT 2'!$A:$A&gt;=DATE(2026,1,1))*('DRAFT 2'!$A:$A&lt;DATE(2026,IF(1=12,1+1,1+1),1)),'DRAFT 2'!$A:$A),"")</f>
        <v/>
      </c>
      <c r="CG175">
        <f>COUNTIFS('DRAFT 2'!$D:$D,$B175,'DRAFT 2'!$A:$A,"&gt;="&amp;DATE(2026,1,1),'DRAFT 2'!$A:$A,"&lt;="&amp;DATE(2026,1,7))</f>
        <v/>
      </c>
      <c r="CH175">
        <f>COUNTIFS('DRAFT 2'!$D:$D,$B175,'DRAFT 2'!$A:$A,"&gt;="&amp;DATE(2026,1,8),'DRAFT 2'!$A:$A,"&lt;="&amp;DATE(2026,1,14))</f>
        <v/>
      </c>
      <c r="CI175">
        <f>COUNTIFS('DRAFT 2'!$D:$D,$B175,'DRAFT 2'!$A:$A,"&gt;="&amp;DATE(2026,1,15),'DRAFT 2'!$A:$A,"&lt;="&amp;DATE(2026,1,21))</f>
        <v/>
      </c>
      <c r="CJ175">
        <f>COUNTIFS('DRAFT 2'!$D:$D,$B175,'DRAFT 2'!$A:$A,"&gt;="&amp;DATE(2026,1,22),'DRAFT 2'!$A:$A,"&lt;"&amp;DATE(2026,IF(1=12,1+1,1+1),1))</f>
        <v/>
      </c>
      <c r="CK175">
        <f>SUM(CG175:CJ175)</f>
        <v/>
      </c>
      <c r="CT175" t="n">
        <v>0</v>
      </c>
      <c r="CU175">
        <f>IFERROR(LOOKUP(2,1/('DRAFT 2'!$D:$D=$B175)*('DRAFT 2'!$A:$A&gt;=DATE(2026,2,1))*('DRAFT 2'!$A:$A&lt;DATE(2026,IF(2=12,2+1,2+1),1)),'DRAFT 2'!$A:$A),"")</f>
        <v/>
      </c>
      <c r="CV175">
        <f>COUNTIFS('DRAFT 2'!$D:$D,$B175,'DRAFT 2'!$A:$A,"&gt;="&amp;DATE(2026,2,1),'DRAFT 2'!$A:$A,"&lt;="&amp;DATE(2026,2,7))</f>
        <v/>
      </c>
      <c r="CW175">
        <f>COUNTIFS('DRAFT 2'!$D:$D,$B175,'DRAFT 2'!$A:$A,"&gt;="&amp;DATE(2026,2,8),'DRAFT 2'!$A:$A,"&lt;="&amp;DATE(2026,2,14))</f>
        <v/>
      </c>
      <c r="CX175">
        <f>COUNTIFS('DRAFT 2'!$D:$D,$B175,'DRAFT 2'!$A:$A,"&gt;="&amp;DATE(2026,2,15),'DRAFT 2'!$A:$A,"&lt;="&amp;DATE(2026,2,21))</f>
        <v/>
      </c>
      <c r="CY175">
        <f>COUNTIFS('DRAFT 2'!$D:$D,$B175,'DRAFT 2'!$A:$A,"&gt;="&amp;DATE(2026,2,22),'DRAFT 2'!$A:$A,"&lt;"&amp;DATE(2026,IF(2=12,2+1,2+1),1))</f>
        <v/>
      </c>
      <c r="CZ175">
        <f>SUM(CV175:CY175)</f>
        <v/>
      </c>
      <c r="DJ175">
        <f>IFERROR(LOOKUP(2,1/('DRAFT 2'!$D:$D=$B175)*('DRAFT 2'!$A:$A&gt;=DATE(2026,3,1))*('DRAFT 2'!$A:$A&lt;DATE(2026,IF(3=12,3+1,3+1),1)),'DRAFT 2'!$A:$A),"")</f>
        <v/>
      </c>
      <c r="DK175">
        <f>COUNTIFS('DRAFT 2'!$D:$D,$B175,'DRAFT 2'!$A:$A,"&gt;="&amp;DATE(2026,3,1),'DRAFT 2'!$A:$A,"&lt;="&amp;DATE(2026,3,7))</f>
        <v/>
      </c>
      <c r="DL175">
        <f>COUNTIFS('DRAFT 2'!$D:$D,$B175,'DRAFT 2'!$A:$A,"&gt;="&amp;DATE(2026,3,8),'DRAFT 2'!$A:$A,"&lt;="&amp;DATE(2026,3,14))</f>
        <v/>
      </c>
      <c r="DM175">
        <f>COUNTIFS('DRAFT 2'!$D:$D,$B175,'DRAFT 2'!$A:$A,"&gt;="&amp;DATE(2026,3,15),'DRAFT 2'!$A:$A,"&lt;="&amp;DATE(2026,3,21))</f>
        <v/>
      </c>
      <c r="DN175">
        <f>COUNTIFS('DRAFT 2'!$D:$D,$B175,'DRAFT 2'!$A:$A,"&gt;="&amp;DATE(2026,3,22),'DRAFT 2'!$A:$A,"&lt;"&amp;DATE(2026,IF(3=12,3+1,3+1),1))</f>
        <v/>
      </c>
      <c r="DO175">
        <f>SUM(DK175:DN175)</f>
        <v/>
      </c>
      <c r="DZ175">
        <f>IFERROR(LOOKUP(2,1/('DRAFT 2'!$D:$D=$B175)*('DRAFT 2'!$A:$A&gt;=DATE(2026,4,1))*('DRAFT 2'!$A:$A&lt;DATE(2026,IF(4=12,4+1,4+1),1)),'DRAFT 2'!$A:$A),"")</f>
        <v/>
      </c>
      <c r="EA175">
        <f>COUNTIFS('DRAFT 2'!$D:$D,$B175,'DRAFT 2'!$A:$A,"&gt;="&amp;DATE(2026,4,1),'DRAFT 2'!$A:$A,"&lt;="&amp;DATE(2026,4,7))</f>
        <v/>
      </c>
      <c r="EB175">
        <f>COUNTIFS('DRAFT 2'!$D:$D,$B175,'DRAFT 2'!$A:$A,"&gt;="&amp;DATE(2026,4,8),'DRAFT 2'!$A:$A,"&lt;="&amp;DATE(2026,4,14))</f>
        <v/>
      </c>
      <c r="EC175">
        <f>COUNTIFS('DRAFT 2'!$D:$D,$B175,'DRAFT 2'!$A:$A,"&gt;="&amp;DATE(2026,4,15),'DRAFT 2'!$A:$A,"&lt;="&amp;DATE(2026,4,21))</f>
        <v/>
      </c>
      <c r="ED175">
        <f>COUNTIFS('DRAFT 2'!$D:$D,$B175,'DRAFT 2'!$A:$A,"&gt;="&amp;DATE(2026,4,22),'DRAFT 2'!$A:$A,"&lt;"&amp;DATE(2026,IF(4=12,4+1,4+1),1))</f>
        <v/>
      </c>
      <c r="EE175">
        <f>SUM(EA175:ED175)</f>
        <v/>
      </c>
      <c r="EO175">
        <f>IFERROR(LOOKUP(2,1/('DRAFT 2'!$D:$D=$B175)*('DRAFT 2'!$A:$A&gt;=DATE(2026,5,1))*('DRAFT 2'!$A:$A&lt;DATE(2026,IF(5=12,5+1,5+1),1)),'DRAFT 2'!$A:$A),"")</f>
        <v/>
      </c>
      <c r="EP175">
        <f>COUNTIFS('DRAFT 2'!$D:$D,$B175,'DRAFT 2'!$A:$A,"&gt;="&amp;DATE(2026,5,1),'DRAFT 2'!$A:$A,"&lt;="&amp;DATE(2026,5,7))</f>
        <v/>
      </c>
      <c r="EQ175">
        <f>COUNTIFS('DRAFT 2'!$D:$D,$B175,'DRAFT 2'!$A:$A,"&gt;="&amp;DATE(2026,5,8),'DRAFT 2'!$A:$A,"&lt;="&amp;DATE(2026,5,14))</f>
        <v/>
      </c>
      <c r="ER175">
        <f>COUNTIFS('DRAFT 2'!$D:$D,$B175,'DRAFT 2'!$A:$A,"&gt;="&amp;DATE(2026,5,15),'DRAFT 2'!$A:$A,"&lt;="&amp;DATE(2026,5,21))</f>
        <v/>
      </c>
      <c r="ES175">
        <f>COUNTIFS('DRAFT 2'!$D:$D,$B175,'DRAFT 2'!$A:$A,"&gt;="&amp;DATE(2026,5,22),'DRAFT 2'!$A:$A,"&lt;"&amp;DATE(2026,IF(5=12,5+1,5+1),1))</f>
        <v/>
      </c>
      <c r="ET175">
        <f>SUM(EP175:ES175)</f>
        <v/>
      </c>
      <c r="FD175">
        <f>IFERROR(LOOKUP(2,1/('DRAFT 2'!$D:$D=$B175)*('DRAFT 2'!$A:$A&gt;=DATE(2026,6,1))*('DRAFT 2'!$A:$A&lt;DATE(2026,IF(6=12,6+1,6+1),1)),'DRAFT 2'!$A:$A),"")</f>
        <v/>
      </c>
      <c r="FE175">
        <f>COUNTIFS('DRAFT 2'!$D:$D,$B175,'DRAFT 2'!$A:$A,"&gt;="&amp;DATE(2026,6,1),'DRAFT 2'!$A:$A,"&lt;="&amp;DATE(2026,6,7))</f>
        <v/>
      </c>
      <c r="FF175">
        <f>COUNTIFS('DRAFT 2'!$D:$D,$B175,'DRAFT 2'!$A:$A,"&gt;="&amp;DATE(2026,6,8),'DRAFT 2'!$A:$A,"&lt;="&amp;DATE(2026,6,14))</f>
        <v/>
      </c>
      <c r="FG175">
        <f>COUNTIFS('DRAFT 2'!$D:$D,$B175,'DRAFT 2'!$A:$A,"&gt;="&amp;DATE(2026,6,15),'DRAFT 2'!$A:$A,"&lt;="&amp;DATE(2026,6,21))</f>
        <v/>
      </c>
      <c r="FH175">
        <f>COUNTIFS('DRAFT 2'!$D:$D,$B175,'DRAFT 2'!$A:$A,"&gt;="&amp;DATE(2026,6,22),'DRAFT 2'!$A:$A,"&lt;"&amp;DATE(2026,IF(6=12,6+1,6+1),1))</f>
        <v/>
      </c>
      <c r="FI175">
        <f>SUM(FE175:FH175)</f>
        <v/>
      </c>
      <c r="FT175">
        <f>IFERROR(LOOKUP(2,1/('DRAFT 2'!$D:$D=$B175)*('DRAFT 2'!$A:$A&gt;=DATE(2026,7,1))*('DRAFT 2'!$A:$A&lt;DATE(2026,IF(7=12,7+1,7+1),1)),'DRAFT 2'!$A:$A),"")</f>
        <v/>
      </c>
      <c r="FU175">
        <f>COUNTIFS('DRAFT 2'!$D:$D,$B175,'DRAFT 2'!$A:$A,"&gt;="&amp;DATE(2026,7,1),'DRAFT 2'!$A:$A,"&lt;="&amp;DATE(2026,7,7))</f>
        <v/>
      </c>
      <c r="FV175">
        <f>COUNTIFS('DRAFT 2'!$D:$D,$B175,'DRAFT 2'!$A:$A,"&gt;="&amp;DATE(2026,7,8),'DRAFT 2'!$A:$A,"&lt;="&amp;DATE(2026,7,14))</f>
        <v/>
      </c>
      <c r="FW175">
        <f>COUNTIFS('DRAFT 2'!$D:$D,$B175,'DRAFT 2'!$A:$A,"&gt;="&amp;DATE(2026,7,15),'DRAFT 2'!$A:$A,"&lt;="&amp;DATE(2026,7,21))</f>
        <v/>
      </c>
      <c r="FX175">
        <f>COUNTIFS('DRAFT 2'!$D:$D,$B175,'DRAFT 2'!$A:$A,"&gt;="&amp;DATE(2026,7,22),'DRAFT 2'!$A:$A,"&lt;"&amp;DATE(2026,IF(7=12,7+1,7+1),1))</f>
        <v/>
      </c>
      <c r="FY175">
        <f>SUM(FU175:FX175)</f>
        <v/>
      </c>
      <c r="GI175">
        <f>IFERROR(LOOKUP(2,1/('DRAFT 2'!$D:$D=$B175)*('DRAFT 2'!$A:$A&gt;=DATE(2026,8,1))*('DRAFT 2'!$A:$A&lt;DATE(2026,IF(8=12,8+1,8+1),1)),'DRAFT 2'!$A:$A),"")</f>
        <v/>
      </c>
      <c r="GJ175">
        <f>COUNTIFS('DRAFT 2'!$D:$D,$B175,'DRAFT 2'!$A:$A,"&gt;="&amp;DATE(2026,8,1),'DRAFT 2'!$A:$A,"&lt;="&amp;DATE(2026,8,7))</f>
        <v/>
      </c>
      <c r="GK175">
        <f>COUNTIFS('DRAFT 2'!$D:$D,$B175,'DRAFT 2'!$A:$A,"&gt;="&amp;DATE(2026,8,8),'DRAFT 2'!$A:$A,"&lt;="&amp;DATE(2026,8,14))</f>
        <v/>
      </c>
      <c r="GL175">
        <f>COUNTIFS('DRAFT 2'!$D:$D,$B175,'DRAFT 2'!$A:$A,"&gt;="&amp;DATE(2026,8,15),'DRAFT 2'!$A:$A,"&lt;="&amp;DATE(2026,8,21))</f>
        <v/>
      </c>
      <c r="GM175">
        <f>COUNTIFS('DRAFT 2'!$D:$D,$B175,'DRAFT 2'!$A:$A,"&gt;="&amp;DATE(2026,8,22),'DRAFT 2'!$A:$A,"&lt;"&amp;DATE(2026,IF(8=12,8+1,8+1),1))</f>
        <v/>
      </c>
      <c r="GN175">
        <f>SUM(GJ175:GM175)</f>
        <v/>
      </c>
      <c r="GX175">
        <f>IFERROR(LOOKUP(2,1/('DRAFT 2'!$D:$D=$B175)*('DRAFT 2'!$A:$A&gt;=DATE(2026,9,1))*('DRAFT 2'!$A:$A&lt;DATE(2026,IF(9=12,9+1,9+1),1)),'DRAFT 2'!$A:$A),"")</f>
        <v/>
      </c>
      <c r="GY175">
        <f>COUNTIFS('DRAFT 2'!$D:$D,$B175,'DRAFT 2'!$A:$A,"&gt;="&amp;DATE(2026,9,1),'DRAFT 2'!$A:$A,"&lt;="&amp;DATE(2026,9,7))</f>
        <v/>
      </c>
      <c r="GZ175">
        <f>COUNTIFS('DRAFT 2'!$D:$D,$B175,'DRAFT 2'!$A:$A,"&gt;="&amp;DATE(2026,9,8),'DRAFT 2'!$A:$A,"&lt;="&amp;DATE(2026,9,14))</f>
        <v/>
      </c>
      <c r="HA175">
        <f>COUNTIFS('DRAFT 2'!$D:$D,$B175,'DRAFT 2'!$A:$A,"&gt;="&amp;DATE(2026,9,15),'DRAFT 2'!$A:$A,"&lt;="&amp;DATE(2026,9,21))</f>
        <v/>
      </c>
      <c r="HB175">
        <f>COUNTIFS('DRAFT 2'!$D:$D,$B175,'DRAFT 2'!$A:$A,"&gt;="&amp;DATE(2026,9,22),'DRAFT 2'!$A:$A,"&lt;"&amp;DATE(2026,IF(9=12,9+1,9+1),1))</f>
        <v/>
      </c>
      <c r="HC175">
        <f>SUM(GY175:HB175)</f>
        <v/>
      </c>
      <c r="HN175">
        <f>IFERROR(LOOKUP(2,1/('DRAFT 2'!$D:$D=$B175)*('DRAFT 2'!$A:$A&gt;=DATE(2026,10,1))*('DRAFT 2'!$A:$A&lt;DATE(2026,IF(10=12,10+1,10+1),1)),'DRAFT 2'!$A:$A),"")</f>
        <v/>
      </c>
      <c r="HO175">
        <f>COUNTIFS('DRAFT 2'!$D:$D,$B175,'DRAFT 2'!$A:$A,"&gt;="&amp;DATE(2026,10,1),'DRAFT 2'!$A:$A,"&lt;="&amp;DATE(2026,10,7))</f>
        <v/>
      </c>
      <c r="HP175">
        <f>COUNTIFS('DRAFT 2'!$D:$D,$B175,'DRAFT 2'!$A:$A,"&gt;="&amp;DATE(2026,10,8),'DRAFT 2'!$A:$A,"&lt;="&amp;DATE(2026,10,14))</f>
        <v/>
      </c>
      <c r="HQ175">
        <f>COUNTIFS('DRAFT 2'!$D:$D,$B175,'DRAFT 2'!$A:$A,"&gt;="&amp;DATE(2026,10,15),'DRAFT 2'!$A:$A,"&lt;="&amp;DATE(2026,10,21))</f>
        <v/>
      </c>
      <c r="HR175">
        <f>COUNTIFS('DRAFT 2'!$D:$D,$B175,'DRAFT 2'!$A:$A,"&gt;="&amp;DATE(2026,10,22),'DRAFT 2'!$A:$A,"&lt;"&amp;DATE(2026,IF(10=12,10+1,10+1),1))</f>
        <v/>
      </c>
      <c r="HS175">
        <f>SUM(HO175:HR175)</f>
        <v/>
      </c>
      <c r="IC175">
        <f>IFERROR(LOOKUP(2,1/('DRAFT 2'!$D:$D=$B175)*('DRAFT 2'!$A:$A&gt;=DATE(2026,11,1))*('DRAFT 2'!$A:$A&lt;DATE(2026,IF(11=12,11+1,11+1),1)),'DRAFT 2'!$A:$A),"")</f>
        <v/>
      </c>
      <c r="ID175">
        <f>COUNTIFS('DRAFT 2'!$D:$D,$B175,'DRAFT 2'!$A:$A,"&gt;="&amp;DATE(2026,11,1),'DRAFT 2'!$A:$A,"&lt;="&amp;DATE(2026,11,7))</f>
        <v/>
      </c>
      <c r="IE175">
        <f>COUNTIFS('DRAFT 2'!$D:$D,$B175,'DRAFT 2'!$A:$A,"&gt;="&amp;DATE(2026,11,8),'DRAFT 2'!$A:$A,"&lt;="&amp;DATE(2026,11,14))</f>
        <v/>
      </c>
      <c r="IF175">
        <f>COUNTIFS('DRAFT 2'!$D:$D,$B175,'DRAFT 2'!$A:$A,"&gt;="&amp;DATE(2026,11,15),'DRAFT 2'!$A:$A,"&lt;="&amp;DATE(2026,11,21))</f>
        <v/>
      </c>
      <c r="IG175">
        <f>COUNTIFS('DRAFT 2'!$D:$D,$B175,'DRAFT 2'!$A:$A,"&gt;="&amp;DATE(2026,11,22),'DRAFT 2'!$A:$A,"&lt;"&amp;DATE(2026,IF(11=12,11+1,11+1),1))</f>
        <v/>
      </c>
      <c r="IH175">
        <f>SUM(ID175:IG175)</f>
        <v/>
      </c>
      <c r="IR175">
        <f>IFERROR(LOOKUP(2,1/('DRAFT 2'!$D:$D=$B175)*('DRAFT 2'!$A:$A&gt;=DATE(2026,12,1))*('DRAFT 2'!$A:$A&lt;DATE(2026,IF(12=12,12+1,12+1),1)),'DRAFT 2'!$A:$A),"")</f>
        <v/>
      </c>
      <c r="IS175">
        <f>COUNTIFS('DRAFT 2'!$D:$D,$B175,'DRAFT 2'!$A:$A,"&gt;="&amp;DATE(2026,12,1),'DRAFT 2'!$A:$A,"&lt;="&amp;DATE(2026,12,7))</f>
        <v/>
      </c>
      <c r="IT175">
        <f>COUNTIFS('DRAFT 2'!$D:$D,$B175,'DRAFT 2'!$A:$A,"&gt;="&amp;DATE(2026,12,8),'DRAFT 2'!$A:$A,"&lt;="&amp;DATE(2026,12,14))</f>
        <v/>
      </c>
      <c r="IU175">
        <f>COUNTIFS('DRAFT 2'!$D:$D,$B175,'DRAFT 2'!$A:$A,"&gt;="&amp;DATE(2026,12,15),'DRAFT 2'!$A:$A,"&lt;="&amp;DATE(2026,12,21))</f>
        <v/>
      </c>
      <c r="IV175">
        <f>COUNTIFS('DRAFT 2'!$D:$D,$B175,'DRAFT 2'!$A:$A,"&gt;="&amp;DATE(2026,12,22),'DRAFT 2'!$A:$A,"&lt;"&amp;DATE(2026,IF(12=12,12+1,12+1),1))</f>
        <v/>
      </c>
      <c r="IW175">
        <f>SUM(IS175:IV175)</f>
        <v/>
      </c>
    </row>
    <row r="176">
      <c r="A176">
        <f>IFERROR(INDEX('DRAFT 1'!$A:$A,MATCH($B176,'DRAFT 1'!$B:$B,0)),"")</f>
        <v/>
      </c>
      <c r="C176">
        <f>IFERROR(INDEX('DRAFT 1'!$C:$C,MATCH($B176,'DRAFT 1'!$B:$B,0)),"")</f>
        <v/>
      </c>
      <c r="D176">
        <f>IFERROR(INDEX('DRAFT 1'!$D:$D,MATCH($B176,'DRAFT 1'!$B:$B,0)),"")</f>
        <v/>
      </c>
      <c r="E176">
        <f>IFERROR(INDEX('DRAFT 1'!$E:$E,MATCH($B176,'DRAFT 1'!$B:$B,0)),"")</f>
        <v/>
      </c>
      <c r="F176">
        <f>IFERROR(INDEX('DRAFT 1'!$F:$F,MATCH($B176,'DRAFT 1'!$B:$B,0)),"")</f>
        <v/>
      </c>
      <c r="G176">
        <f>IFERROR(INDEX('DRAFT 1'!$G:$G,MATCH($B176,'DRAFT 1'!$B:$B,0)),"")</f>
        <v/>
      </c>
      <c r="H176">
        <f>IFERROR(INDEX('DRAFT 1'!$H:$H,MATCH($B176,'DRAFT 1'!$B:$B,0)),"")</f>
        <v/>
      </c>
      <c r="I176">
        <f>IFERROR(INDEX('DRAFT 1'!$I:$I,MATCH($B176,'DRAFT 1'!$B:$B,0)),"")</f>
        <v/>
      </c>
      <c r="K176">
        <f>IFERROR(INDEX('DRAFT 1'!$AL:$AL,MATCH($B176,'DRAFT 1'!$B:$B,0)),"")</f>
        <v/>
      </c>
      <c r="L176">
        <f>IFERROR(INDEX('DRAFT 1'!$J:$J,MATCH($B176,'DRAFT 1'!$B:$B,0)),"")</f>
        <v/>
      </c>
      <c r="M176">
        <f>IFERROR(INDEX('DRAFT 1'!$K:$K,MATCH($B176,'DRAFT 1'!$B:$B,0)),"")</f>
        <v/>
      </c>
      <c r="P176">
        <f>IFERROR(INDEX('DRAFT 1'!$L:$L,MATCH($B176,'DRAFT 1'!$B:$B,0)),"")</f>
        <v/>
      </c>
      <c r="Q176">
        <f>IFERROR(INDEX('DRAFT 1'!$M:$M,MATCH($B176,'DRAFT 1'!$B:$B,0)),"")</f>
        <v/>
      </c>
      <c r="R176">
        <f>IFERROR(INDEX('DRAFT 1'!$N:$N,MATCH($B176,'DRAFT 1'!$B:$B,0)),"")</f>
        <v/>
      </c>
      <c r="S176">
        <f>IFERROR(INDEX('DRAFT 1'!$O:$O,MATCH($B176,'DRAFT 1'!$B:$B,0)),"")</f>
        <v/>
      </c>
      <c r="T176">
        <f>IFERROR(INDEX('DRAFT 1'!$P:$P,MATCH($B176,'DRAFT 1'!$B:$B,0)),"")</f>
        <v/>
      </c>
      <c r="U176">
        <f>IFERROR(INDEX('DRAFT 1'!$Q:$Q,MATCH($B176,'DRAFT 1'!$B:$B,0)),"")</f>
        <v/>
      </c>
      <c r="V176">
        <f>IFERROR(INDEX('DRAFT 1'!$R:$R,MATCH($B176,'DRAFT 1'!$B:$B,0)),"")</f>
        <v/>
      </c>
      <c r="W176">
        <f>IFERROR(INDEX('DRAFT 1'!$S:$S,MATCH($B176,'DRAFT 1'!$B:$B,0)),"")</f>
        <v/>
      </c>
      <c r="X176">
        <f>IFERROR(INDEX('DRAFT 1'!$T:$T,MATCH($B176,'DRAFT 1'!$B:$B,0)),"")</f>
        <v/>
      </c>
      <c r="Z176">
        <f>IFERROR(INDEX('DRAFT 1'!$U:$U,MATCH($B176,'DRAFT 1'!$B:$B,0)),"")</f>
        <v/>
      </c>
      <c r="AA176">
        <f>IFERROR(INDEX('DRAFT 1'!$V:$V,MATCH($B176,'DRAFT 1'!$B:$B,0)),"")</f>
        <v/>
      </c>
      <c r="AB176">
        <f>IFERROR(INDEX('DRAFT 1'!$W:$W,MATCH($B176,'DRAFT 1'!$B:$B,0)),"")</f>
        <v/>
      </c>
      <c r="AC176">
        <f>IFERROR(INDEX('DRAFT 1'!$X:$X,MATCH($B176,'DRAFT 1'!$B:$B,0)),"")</f>
        <v/>
      </c>
      <c r="AD176">
        <f>IFERROR(INDEX('DRAFT 1'!$Y:$Y,MATCH($B176,'DRAFT 1'!$B:$B,0)),"")</f>
        <v/>
      </c>
      <c r="AE176">
        <f>IFERROR(INDEX('DRAFT 1'!$Z:$Z,MATCH($B176,'DRAFT 1'!$B:$B,0)),"")</f>
        <v/>
      </c>
      <c r="AF176">
        <f>IFERROR(INDEX('DRAFT 1'!$AA:$AA,MATCH($B176,'DRAFT 1'!$B:$B,0)),"")</f>
        <v/>
      </c>
      <c r="AG176">
        <f>IFERROR(INDEX('DRAFT 1'!$AB:$AB,MATCH($B176,'DRAFT 1'!$B:$B,0)),"")</f>
        <v/>
      </c>
      <c r="AH176">
        <f>IFERROR(INDEX('DRAFT 1'!$AC:$AC,MATCH($B176,'DRAFT 1'!$B:$B,0)),"")</f>
        <v/>
      </c>
      <c r="AI176">
        <f>IFERROR(INDEX('DRAFT 1'!$AD:$AD,MATCH($B176,'DRAFT 1'!$B:$B,0)),"")</f>
        <v/>
      </c>
      <c r="AJ176">
        <f>IFERROR(INDEX('DRAFT 1'!$AE:$AE,MATCH($B176,'DRAFT 1'!$B:$B,0)),"")</f>
        <v/>
      </c>
      <c r="AK176">
        <f>IFERROR(INDEX('DRAFT 1'!$AG:$AG,MATCH($B176,'DRAFT 1'!$B:$B,0)),"")</f>
        <v/>
      </c>
      <c r="AL176">
        <f>IFERROR(INDEX('DRAFT 1'!$AH:$AH,MATCH($B176,'DRAFT 1'!$B:$B,0)),"")</f>
        <v/>
      </c>
      <c r="AM176">
        <f>IFERROR(INDEX('DRAFT 1'!$AI:$AI,MATCH($B176,'DRAFT 1'!$B:$B,0)),"")</f>
        <v/>
      </c>
      <c r="AN176">
        <f>IFERROR(INDEX('DRAFT 1'!$AJ:$AJ,MATCH($B176,'DRAFT 1'!$B:$B,0)),"")</f>
        <v/>
      </c>
      <c r="AO176">
        <f>IFERROR(Y176/AN176,0)</f>
        <v/>
      </c>
      <c r="AP176">
        <f>IFERROR(INDEX('DRAFT 1'!$AK:$AK,MATCH($B176,'DRAFT 1'!$B:$B,0)),"")</f>
        <v/>
      </c>
      <c r="AR176">
        <f>IFERROR(LOOKUP(2,1/('DRAFT 2'!$D:$D=$B176),'DRAFT 2'!$I:$I),"")</f>
        <v/>
      </c>
      <c r="AS176">
        <f>IFERROR(LOOKUP(2,1/('DRAFT 2'!$D:$D=$B176),'DRAFT 2'!$T:$T),"")</f>
        <v/>
      </c>
      <c r="AT176">
        <f>IFERROR(LOOKUP(2,1/('DRAFT 2'!$D:$D=$B176),'DRAFT 2'!$A:$A),"")</f>
        <v/>
      </c>
      <c r="AU176">
        <f>IFERROR(LOOKUP(2,1/('DRAFT 2'!$D:$D=$B176),'DRAFT 2'!$R:$R),"")</f>
        <v/>
      </c>
      <c r="AV176">
        <f>IFERROR(LOOKUP(2,1/('DRAFT 2'!$D:$D=$B176),'DRAFT 2'!$S:$S),"")</f>
        <v/>
      </c>
      <c r="AX176">
        <f>IFERROR(LOOKUP(2,1/('DRAFT 2'!$D:$D=$B176),'DRAFT 2'!$M:$M),"")</f>
        <v/>
      </c>
      <c r="AY176">
        <f>IFERROR(LOOKUP(2,1/('DRAFT 2'!$D:$D=$B176),'DRAFT 2'!$K:$K),"")</f>
        <v/>
      </c>
      <c r="BG176">
        <f>IFERROR(LOOKUP(2,1/('DRAFT 2'!$D:$D=$B176),'DRAFT 2'!$U:$U),"")</f>
        <v/>
      </c>
      <c r="BH176">
        <f>IFERROR(LOOKUP(2,1/('DRAFT 2'!$D:$D=$B176),'DRAFT 2'!$V:$V),"")</f>
        <v/>
      </c>
      <c r="CE176">
        <f>IFERROR(AJ176,0)</f>
        <v/>
      </c>
      <c r="CF176">
        <f>IFERROR(LOOKUP(2,1/('DRAFT 2'!$D:$D=$B176)*('DRAFT 2'!$A:$A&gt;=DATE(2026,1,1))*('DRAFT 2'!$A:$A&lt;DATE(2026,IF(1=12,1+1,1+1),1)),'DRAFT 2'!$A:$A),"")</f>
        <v/>
      </c>
      <c r="CG176">
        <f>COUNTIFS('DRAFT 2'!$D:$D,$B176,'DRAFT 2'!$A:$A,"&gt;="&amp;DATE(2026,1,1),'DRAFT 2'!$A:$A,"&lt;="&amp;DATE(2026,1,7))</f>
        <v/>
      </c>
      <c r="CH176">
        <f>COUNTIFS('DRAFT 2'!$D:$D,$B176,'DRAFT 2'!$A:$A,"&gt;="&amp;DATE(2026,1,8),'DRAFT 2'!$A:$A,"&lt;="&amp;DATE(2026,1,14))</f>
        <v/>
      </c>
      <c r="CI176">
        <f>COUNTIFS('DRAFT 2'!$D:$D,$B176,'DRAFT 2'!$A:$A,"&gt;="&amp;DATE(2026,1,15),'DRAFT 2'!$A:$A,"&lt;="&amp;DATE(2026,1,21))</f>
        <v/>
      </c>
      <c r="CJ176">
        <f>COUNTIFS('DRAFT 2'!$D:$D,$B176,'DRAFT 2'!$A:$A,"&gt;="&amp;DATE(2026,1,22),'DRAFT 2'!$A:$A,"&lt;"&amp;DATE(2026,IF(1=12,1+1,1+1),1))</f>
        <v/>
      </c>
      <c r="CK176">
        <f>SUM(CG176:CJ176)</f>
        <v/>
      </c>
      <c r="CT176" t="n">
        <v>0</v>
      </c>
      <c r="CU176">
        <f>IFERROR(LOOKUP(2,1/('DRAFT 2'!$D:$D=$B176)*('DRAFT 2'!$A:$A&gt;=DATE(2026,2,1))*('DRAFT 2'!$A:$A&lt;DATE(2026,IF(2=12,2+1,2+1),1)),'DRAFT 2'!$A:$A),"")</f>
        <v/>
      </c>
      <c r="CV176">
        <f>COUNTIFS('DRAFT 2'!$D:$D,$B176,'DRAFT 2'!$A:$A,"&gt;="&amp;DATE(2026,2,1),'DRAFT 2'!$A:$A,"&lt;="&amp;DATE(2026,2,7))</f>
        <v/>
      </c>
      <c r="CW176">
        <f>COUNTIFS('DRAFT 2'!$D:$D,$B176,'DRAFT 2'!$A:$A,"&gt;="&amp;DATE(2026,2,8),'DRAFT 2'!$A:$A,"&lt;="&amp;DATE(2026,2,14))</f>
        <v/>
      </c>
      <c r="CX176">
        <f>COUNTIFS('DRAFT 2'!$D:$D,$B176,'DRAFT 2'!$A:$A,"&gt;="&amp;DATE(2026,2,15),'DRAFT 2'!$A:$A,"&lt;="&amp;DATE(2026,2,21))</f>
        <v/>
      </c>
      <c r="CY176">
        <f>COUNTIFS('DRAFT 2'!$D:$D,$B176,'DRAFT 2'!$A:$A,"&gt;="&amp;DATE(2026,2,22),'DRAFT 2'!$A:$A,"&lt;"&amp;DATE(2026,IF(2=12,2+1,2+1),1))</f>
        <v/>
      </c>
      <c r="CZ176">
        <f>SUM(CV176:CY176)</f>
        <v/>
      </c>
      <c r="DJ176">
        <f>IFERROR(LOOKUP(2,1/('DRAFT 2'!$D:$D=$B176)*('DRAFT 2'!$A:$A&gt;=DATE(2026,3,1))*('DRAFT 2'!$A:$A&lt;DATE(2026,IF(3=12,3+1,3+1),1)),'DRAFT 2'!$A:$A),"")</f>
        <v/>
      </c>
      <c r="DK176">
        <f>COUNTIFS('DRAFT 2'!$D:$D,$B176,'DRAFT 2'!$A:$A,"&gt;="&amp;DATE(2026,3,1),'DRAFT 2'!$A:$A,"&lt;="&amp;DATE(2026,3,7))</f>
        <v/>
      </c>
      <c r="DL176">
        <f>COUNTIFS('DRAFT 2'!$D:$D,$B176,'DRAFT 2'!$A:$A,"&gt;="&amp;DATE(2026,3,8),'DRAFT 2'!$A:$A,"&lt;="&amp;DATE(2026,3,14))</f>
        <v/>
      </c>
      <c r="DM176">
        <f>COUNTIFS('DRAFT 2'!$D:$D,$B176,'DRAFT 2'!$A:$A,"&gt;="&amp;DATE(2026,3,15),'DRAFT 2'!$A:$A,"&lt;="&amp;DATE(2026,3,21))</f>
        <v/>
      </c>
      <c r="DN176">
        <f>COUNTIFS('DRAFT 2'!$D:$D,$B176,'DRAFT 2'!$A:$A,"&gt;="&amp;DATE(2026,3,22),'DRAFT 2'!$A:$A,"&lt;"&amp;DATE(2026,IF(3=12,3+1,3+1),1))</f>
        <v/>
      </c>
      <c r="DO176">
        <f>SUM(DK176:DN176)</f>
        <v/>
      </c>
      <c r="DZ176">
        <f>IFERROR(LOOKUP(2,1/('DRAFT 2'!$D:$D=$B176)*('DRAFT 2'!$A:$A&gt;=DATE(2026,4,1))*('DRAFT 2'!$A:$A&lt;DATE(2026,IF(4=12,4+1,4+1),1)),'DRAFT 2'!$A:$A),"")</f>
        <v/>
      </c>
      <c r="EA176">
        <f>COUNTIFS('DRAFT 2'!$D:$D,$B176,'DRAFT 2'!$A:$A,"&gt;="&amp;DATE(2026,4,1),'DRAFT 2'!$A:$A,"&lt;="&amp;DATE(2026,4,7))</f>
        <v/>
      </c>
      <c r="EB176">
        <f>COUNTIFS('DRAFT 2'!$D:$D,$B176,'DRAFT 2'!$A:$A,"&gt;="&amp;DATE(2026,4,8),'DRAFT 2'!$A:$A,"&lt;="&amp;DATE(2026,4,14))</f>
        <v/>
      </c>
      <c r="EC176">
        <f>COUNTIFS('DRAFT 2'!$D:$D,$B176,'DRAFT 2'!$A:$A,"&gt;="&amp;DATE(2026,4,15),'DRAFT 2'!$A:$A,"&lt;="&amp;DATE(2026,4,21))</f>
        <v/>
      </c>
      <c r="ED176">
        <f>COUNTIFS('DRAFT 2'!$D:$D,$B176,'DRAFT 2'!$A:$A,"&gt;="&amp;DATE(2026,4,22),'DRAFT 2'!$A:$A,"&lt;"&amp;DATE(2026,IF(4=12,4+1,4+1),1))</f>
        <v/>
      </c>
      <c r="EE176">
        <f>SUM(EA176:ED176)</f>
        <v/>
      </c>
      <c r="EO176">
        <f>IFERROR(LOOKUP(2,1/('DRAFT 2'!$D:$D=$B176)*('DRAFT 2'!$A:$A&gt;=DATE(2026,5,1))*('DRAFT 2'!$A:$A&lt;DATE(2026,IF(5=12,5+1,5+1),1)),'DRAFT 2'!$A:$A),"")</f>
        <v/>
      </c>
      <c r="EP176">
        <f>COUNTIFS('DRAFT 2'!$D:$D,$B176,'DRAFT 2'!$A:$A,"&gt;="&amp;DATE(2026,5,1),'DRAFT 2'!$A:$A,"&lt;="&amp;DATE(2026,5,7))</f>
        <v/>
      </c>
      <c r="EQ176">
        <f>COUNTIFS('DRAFT 2'!$D:$D,$B176,'DRAFT 2'!$A:$A,"&gt;="&amp;DATE(2026,5,8),'DRAFT 2'!$A:$A,"&lt;="&amp;DATE(2026,5,14))</f>
        <v/>
      </c>
      <c r="ER176">
        <f>COUNTIFS('DRAFT 2'!$D:$D,$B176,'DRAFT 2'!$A:$A,"&gt;="&amp;DATE(2026,5,15),'DRAFT 2'!$A:$A,"&lt;="&amp;DATE(2026,5,21))</f>
        <v/>
      </c>
      <c r="ES176">
        <f>COUNTIFS('DRAFT 2'!$D:$D,$B176,'DRAFT 2'!$A:$A,"&gt;="&amp;DATE(2026,5,22),'DRAFT 2'!$A:$A,"&lt;"&amp;DATE(2026,IF(5=12,5+1,5+1),1))</f>
        <v/>
      </c>
      <c r="ET176">
        <f>SUM(EP176:ES176)</f>
        <v/>
      </c>
      <c r="FD176">
        <f>IFERROR(LOOKUP(2,1/('DRAFT 2'!$D:$D=$B176)*('DRAFT 2'!$A:$A&gt;=DATE(2026,6,1))*('DRAFT 2'!$A:$A&lt;DATE(2026,IF(6=12,6+1,6+1),1)),'DRAFT 2'!$A:$A),"")</f>
        <v/>
      </c>
      <c r="FE176">
        <f>COUNTIFS('DRAFT 2'!$D:$D,$B176,'DRAFT 2'!$A:$A,"&gt;="&amp;DATE(2026,6,1),'DRAFT 2'!$A:$A,"&lt;="&amp;DATE(2026,6,7))</f>
        <v/>
      </c>
      <c r="FF176">
        <f>COUNTIFS('DRAFT 2'!$D:$D,$B176,'DRAFT 2'!$A:$A,"&gt;="&amp;DATE(2026,6,8),'DRAFT 2'!$A:$A,"&lt;="&amp;DATE(2026,6,14))</f>
        <v/>
      </c>
      <c r="FG176">
        <f>COUNTIFS('DRAFT 2'!$D:$D,$B176,'DRAFT 2'!$A:$A,"&gt;="&amp;DATE(2026,6,15),'DRAFT 2'!$A:$A,"&lt;="&amp;DATE(2026,6,21))</f>
        <v/>
      </c>
      <c r="FH176">
        <f>COUNTIFS('DRAFT 2'!$D:$D,$B176,'DRAFT 2'!$A:$A,"&gt;="&amp;DATE(2026,6,22),'DRAFT 2'!$A:$A,"&lt;"&amp;DATE(2026,IF(6=12,6+1,6+1),1))</f>
        <v/>
      </c>
      <c r="FI176">
        <f>SUM(FE176:FH176)</f>
        <v/>
      </c>
      <c r="FT176">
        <f>IFERROR(LOOKUP(2,1/('DRAFT 2'!$D:$D=$B176)*('DRAFT 2'!$A:$A&gt;=DATE(2026,7,1))*('DRAFT 2'!$A:$A&lt;DATE(2026,IF(7=12,7+1,7+1),1)),'DRAFT 2'!$A:$A),"")</f>
        <v/>
      </c>
      <c r="FU176">
        <f>COUNTIFS('DRAFT 2'!$D:$D,$B176,'DRAFT 2'!$A:$A,"&gt;="&amp;DATE(2026,7,1),'DRAFT 2'!$A:$A,"&lt;="&amp;DATE(2026,7,7))</f>
        <v/>
      </c>
      <c r="FV176">
        <f>COUNTIFS('DRAFT 2'!$D:$D,$B176,'DRAFT 2'!$A:$A,"&gt;="&amp;DATE(2026,7,8),'DRAFT 2'!$A:$A,"&lt;="&amp;DATE(2026,7,14))</f>
        <v/>
      </c>
      <c r="FW176">
        <f>COUNTIFS('DRAFT 2'!$D:$D,$B176,'DRAFT 2'!$A:$A,"&gt;="&amp;DATE(2026,7,15),'DRAFT 2'!$A:$A,"&lt;="&amp;DATE(2026,7,21))</f>
        <v/>
      </c>
      <c r="FX176">
        <f>COUNTIFS('DRAFT 2'!$D:$D,$B176,'DRAFT 2'!$A:$A,"&gt;="&amp;DATE(2026,7,22),'DRAFT 2'!$A:$A,"&lt;"&amp;DATE(2026,IF(7=12,7+1,7+1),1))</f>
        <v/>
      </c>
      <c r="FY176">
        <f>SUM(FU176:FX176)</f>
        <v/>
      </c>
      <c r="GI176">
        <f>IFERROR(LOOKUP(2,1/('DRAFT 2'!$D:$D=$B176)*('DRAFT 2'!$A:$A&gt;=DATE(2026,8,1))*('DRAFT 2'!$A:$A&lt;DATE(2026,IF(8=12,8+1,8+1),1)),'DRAFT 2'!$A:$A),"")</f>
        <v/>
      </c>
      <c r="GJ176">
        <f>COUNTIFS('DRAFT 2'!$D:$D,$B176,'DRAFT 2'!$A:$A,"&gt;="&amp;DATE(2026,8,1),'DRAFT 2'!$A:$A,"&lt;="&amp;DATE(2026,8,7))</f>
        <v/>
      </c>
      <c r="GK176">
        <f>COUNTIFS('DRAFT 2'!$D:$D,$B176,'DRAFT 2'!$A:$A,"&gt;="&amp;DATE(2026,8,8),'DRAFT 2'!$A:$A,"&lt;="&amp;DATE(2026,8,14))</f>
        <v/>
      </c>
      <c r="GL176">
        <f>COUNTIFS('DRAFT 2'!$D:$D,$B176,'DRAFT 2'!$A:$A,"&gt;="&amp;DATE(2026,8,15),'DRAFT 2'!$A:$A,"&lt;="&amp;DATE(2026,8,21))</f>
        <v/>
      </c>
      <c r="GM176">
        <f>COUNTIFS('DRAFT 2'!$D:$D,$B176,'DRAFT 2'!$A:$A,"&gt;="&amp;DATE(2026,8,22),'DRAFT 2'!$A:$A,"&lt;"&amp;DATE(2026,IF(8=12,8+1,8+1),1))</f>
        <v/>
      </c>
      <c r="GN176">
        <f>SUM(GJ176:GM176)</f>
        <v/>
      </c>
      <c r="GX176">
        <f>IFERROR(LOOKUP(2,1/('DRAFT 2'!$D:$D=$B176)*('DRAFT 2'!$A:$A&gt;=DATE(2026,9,1))*('DRAFT 2'!$A:$A&lt;DATE(2026,IF(9=12,9+1,9+1),1)),'DRAFT 2'!$A:$A),"")</f>
        <v/>
      </c>
      <c r="GY176">
        <f>COUNTIFS('DRAFT 2'!$D:$D,$B176,'DRAFT 2'!$A:$A,"&gt;="&amp;DATE(2026,9,1),'DRAFT 2'!$A:$A,"&lt;="&amp;DATE(2026,9,7))</f>
        <v/>
      </c>
      <c r="GZ176">
        <f>COUNTIFS('DRAFT 2'!$D:$D,$B176,'DRAFT 2'!$A:$A,"&gt;="&amp;DATE(2026,9,8),'DRAFT 2'!$A:$A,"&lt;="&amp;DATE(2026,9,14))</f>
        <v/>
      </c>
      <c r="HA176">
        <f>COUNTIFS('DRAFT 2'!$D:$D,$B176,'DRAFT 2'!$A:$A,"&gt;="&amp;DATE(2026,9,15),'DRAFT 2'!$A:$A,"&lt;="&amp;DATE(2026,9,21))</f>
        <v/>
      </c>
      <c r="HB176">
        <f>COUNTIFS('DRAFT 2'!$D:$D,$B176,'DRAFT 2'!$A:$A,"&gt;="&amp;DATE(2026,9,22),'DRAFT 2'!$A:$A,"&lt;"&amp;DATE(2026,IF(9=12,9+1,9+1),1))</f>
        <v/>
      </c>
      <c r="HC176">
        <f>SUM(GY176:HB176)</f>
        <v/>
      </c>
      <c r="HN176">
        <f>IFERROR(LOOKUP(2,1/('DRAFT 2'!$D:$D=$B176)*('DRAFT 2'!$A:$A&gt;=DATE(2026,10,1))*('DRAFT 2'!$A:$A&lt;DATE(2026,IF(10=12,10+1,10+1),1)),'DRAFT 2'!$A:$A),"")</f>
        <v/>
      </c>
      <c r="HO176">
        <f>COUNTIFS('DRAFT 2'!$D:$D,$B176,'DRAFT 2'!$A:$A,"&gt;="&amp;DATE(2026,10,1),'DRAFT 2'!$A:$A,"&lt;="&amp;DATE(2026,10,7))</f>
        <v/>
      </c>
      <c r="HP176">
        <f>COUNTIFS('DRAFT 2'!$D:$D,$B176,'DRAFT 2'!$A:$A,"&gt;="&amp;DATE(2026,10,8),'DRAFT 2'!$A:$A,"&lt;="&amp;DATE(2026,10,14))</f>
        <v/>
      </c>
      <c r="HQ176">
        <f>COUNTIFS('DRAFT 2'!$D:$D,$B176,'DRAFT 2'!$A:$A,"&gt;="&amp;DATE(2026,10,15),'DRAFT 2'!$A:$A,"&lt;="&amp;DATE(2026,10,21))</f>
        <v/>
      </c>
      <c r="HR176">
        <f>COUNTIFS('DRAFT 2'!$D:$D,$B176,'DRAFT 2'!$A:$A,"&gt;="&amp;DATE(2026,10,22),'DRAFT 2'!$A:$A,"&lt;"&amp;DATE(2026,IF(10=12,10+1,10+1),1))</f>
        <v/>
      </c>
      <c r="HS176">
        <f>SUM(HO176:HR176)</f>
        <v/>
      </c>
      <c r="IC176">
        <f>IFERROR(LOOKUP(2,1/('DRAFT 2'!$D:$D=$B176)*('DRAFT 2'!$A:$A&gt;=DATE(2026,11,1))*('DRAFT 2'!$A:$A&lt;DATE(2026,IF(11=12,11+1,11+1),1)),'DRAFT 2'!$A:$A),"")</f>
        <v/>
      </c>
      <c r="ID176">
        <f>COUNTIFS('DRAFT 2'!$D:$D,$B176,'DRAFT 2'!$A:$A,"&gt;="&amp;DATE(2026,11,1),'DRAFT 2'!$A:$A,"&lt;="&amp;DATE(2026,11,7))</f>
        <v/>
      </c>
      <c r="IE176">
        <f>COUNTIFS('DRAFT 2'!$D:$D,$B176,'DRAFT 2'!$A:$A,"&gt;="&amp;DATE(2026,11,8),'DRAFT 2'!$A:$A,"&lt;="&amp;DATE(2026,11,14))</f>
        <v/>
      </c>
      <c r="IF176">
        <f>COUNTIFS('DRAFT 2'!$D:$D,$B176,'DRAFT 2'!$A:$A,"&gt;="&amp;DATE(2026,11,15),'DRAFT 2'!$A:$A,"&lt;="&amp;DATE(2026,11,21))</f>
        <v/>
      </c>
      <c r="IG176">
        <f>COUNTIFS('DRAFT 2'!$D:$D,$B176,'DRAFT 2'!$A:$A,"&gt;="&amp;DATE(2026,11,22),'DRAFT 2'!$A:$A,"&lt;"&amp;DATE(2026,IF(11=12,11+1,11+1),1))</f>
        <v/>
      </c>
      <c r="IH176">
        <f>SUM(ID176:IG176)</f>
        <v/>
      </c>
      <c r="IR176">
        <f>IFERROR(LOOKUP(2,1/('DRAFT 2'!$D:$D=$B176)*('DRAFT 2'!$A:$A&gt;=DATE(2026,12,1))*('DRAFT 2'!$A:$A&lt;DATE(2026,IF(12=12,12+1,12+1),1)),'DRAFT 2'!$A:$A),"")</f>
        <v/>
      </c>
      <c r="IS176">
        <f>COUNTIFS('DRAFT 2'!$D:$D,$B176,'DRAFT 2'!$A:$A,"&gt;="&amp;DATE(2026,12,1),'DRAFT 2'!$A:$A,"&lt;="&amp;DATE(2026,12,7))</f>
        <v/>
      </c>
      <c r="IT176">
        <f>COUNTIFS('DRAFT 2'!$D:$D,$B176,'DRAFT 2'!$A:$A,"&gt;="&amp;DATE(2026,12,8),'DRAFT 2'!$A:$A,"&lt;="&amp;DATE(2026,12,14))</f>
        <v/>
      </c>
      <c r="IU176">
        <f>COUNTIFS('DRAFT 2'!$D:$D,$B176,'DRAFT 2'!$A:$A,"&gt;="&amp;DATE(2026,12,15),'DRAFT 2'!$A:$A,"&lt;="&amp;DATE(2026,12,21))</f>
        <v/>
      </c>
      <c r="IV176">
        <f>COUNTIFS('DRAFT 2'!$D:$D,$B176,'DRAFT 2'!$A:$A,"&gt;="&amp;DATE(2026,12,22),'DRAFT 2'!$A:$A,"&lt;"&amp;DATE(2026,IF(12=12,12+1,12+1),1))</f>
        <v/>
      </c>
      <c r="IW176">
        <f>SUM(IS176:IV176)</f>
        <v/>
      </c>
    </row>
    <row r="177">
      <c r="A177">
        <f>IFERROR(INDEX('DRAFT 1'!$A:$A,MATCH($B177,'DRAFT 1'!$B:$B,0)),"")</f>
        <v/>
      </c>
      <c r="C177">
        <f>IFERROR(INDEX('DRAFT 1'!$C:$C,MATCH($B177,'DRAFT 1'!$B:$B,0)),"")</f>
        <v/>
      </c>
      <c r="D177">
        <f>IFERROR(INDEX('DRAFT 1'!$D:$D,MATCH($B177,'DRAFT 1'!$B:$B,0)),"")</f>
        <v/>
      </c>
      <c r="E177">
        <f>IFERROR(INDEX('DRAFT 1'!$E:$E,MATCH($B177,'DRAFT 1'!$B:$B,0)),"")</f>
        <v/>
      </c>
      <c r="F177">
        <f>IFERROR(INDEX('DRAFT 1'!$F:$F,MATCH($B177,'DRAFT 1'!$B:$B,0)),"")</f>
        <v/>
      </c>
      <c r="G177">
        <f>IFERROR(INDEX('DRAFT 1'!$G:$G,MATCH($B177,'DRAFT 1'!$B:$B,0)),"")</f>
        <v/>
      </c>
      <c r="H177">
        <f>IFERROR(INDEX('DRAFT 1'!$H:$H,MATCH($B177,'DRAFT 1'!$B:$B,0)),"")</f>
        <v/>
      </c>
      <c r="I177">
        <f>IFERROR(INDEX('DRAFT 1'!$I:$I,MATCH($B177,'DRAFT 1'!$B:$B,0)),"")</f>
        <v/>
      </c>
      <c r="K177">
        <f>IFERROR(INDEX('DRAFT 1'!$AL:$AL,MATCH($B177,'DRAFT 1'!$B:$B,0)),"")</f>
        <v/>
      </c>
      <c r="L177">
        <f>IFERROR(INDEX('DRAFT 1'!$J:$J,MATCH($B177,'DRAFT 1'!$B:$B,0)),"")</f>
        <v/>
      </c>
      <c r="M177">
        <f>IFERROR(INDEX('DRAFT 1'!$K:$K,MATCH($B177,'DRAFT 1'!$B:$B,0)),"")</f>
        <v/>
      </c>
      <c r="P177">
        <f>IFERROR(INDEX('DRAFT 1'!$L:$L,MATCH($B177,'DRAFT 1'!$B:$B,0)),"")</f>
        <v/>
      </c>
      <c r="Q177">
        <f>IFERROR(INDEX('DRAFT 1'!$M:$M,MATCH($B177,'DRAFT 1'!$B:$B,0)),"")</f>
        <v/>
      </c>
      <c r="R177">
        <f>IFERROR(INDEX('DRAFT 1'!$N:$N,MATCH($B177,'DRAFT 1'!$B:$B,0)),"")</f>
        <v/>
      </c>
      <c r="S177">
        <f>IFERROR(INDEX('DRAFT 1'!$O:$O,MATCH($B177,'DRAFT 1'!$B:$B,0)),"")</f>
        <v/>
      </c>
      <c r="T177">
        <f>IFERROR(INDEX('DRAFT 1'!$P:$P,MATCH($B177,'DRAFT 1'!$B:$B,0)),"")</f>
        <v/>
      </c>
      <c r="U177">
        <f>IFERROR(INDEX('DRAFT 1'!$Q:$Q,MATCH($B177,'DRAFT 1'!$B:$B,0)),"")</f>
        <v/>
      </c>
      <c r="V177">
        <f>IFERROR(INDEX('DRAFT 1'!$R:$R,MATCH($B177,'DRAFT 1'!$B:$B,0)),"")</f>
        <v/>
      </c>
      <c r="W177">
        <f>IFERROR(INDEX('DRAFT 1'!$S:$S,MATCH($B177,'DRAFT 1'!$B:$B,0)),"")</f>
        <v/>
      </c>
      <c r="X177">
        <f>IFERROR(INDEX('DRAFT 1'!$T:$T,MATCH($B177,'DRAFT 1'!$B:$B,0)),"")</f>
        <v/>
      </c>
      <c r="Z177">
        <f>IFERROR(INDEX('DRAFT 1'!$U:$U,MATCH($B177,'DRAFT 1'!$B:$B,0)),"")</f>
        <v/>
      </c>
      <c r="AA177">
        <f>IFERROR(INDEX('DRAFT 1'!$V:$V,MATCH($B177,'DRAFT 1'!$B:$B,0)),"")</f>
        <v/>
      </c>
      <c r="AB177">
        <f>IFERROR(INDEX('DRAFT 1'!$W:$W,MATCH($B177,'DRAFT 1'!$B:$B,0)),"")</f>
        <v/>
      </c>
      <c r="AC177">
        <f>IFERROR(INDEX('DRAFT 1'!$X:$X,MATCH($B177,'DRAFT 1'!$B:$B,0)),"")</f>
        <v/>
      </c>
      <c r="AD177">
        <f>IFERROR(INDEX('DRAFT 1'!$Y:$Y,MATCH($B177,'DRAFT 1'!$B:$B,0)),"")</f>
        <v/>
      </c>
      <c r="AE177">
        <f>IFERROR(INDEX('DRAFT 1'!$Z:$Z,MATCH($B177,'DRAFT 1'!$B:$B,0)),"")</f>
        <v/>
      </c>
      <c r="AF177">
        <f>IFERROR(INDEX('DRAFT 1'!$AA:$AA,MATCH($B177,'DRAFT 1'!$B:$B,0)),"")</f>
        <v/>
      </c>
      <c r="AG177">
        <f>IFERROR(INDEX('DRAFT 1'!$AB:$AB,MATCH($B177,'DRAFT 1'!$B:$B,0)),"")</f>
        <v/>
      </c>
      <c r="AH177">
        <f>IFERROR(INDEX('DRAFT 1'!$AC:$AC,MATCH($B177,'DRAFT 1'!$B:$B,0)),"")</f>
        <v/>
      </c>
      <c r="AI177">
        <f>IFERROR(INDEX('DRAFT 1'!$AD:$AD,MATCH($B177,'DRAFT 1'!$B:$B,0)),"")</f>
        <v/>
      </c>
      <c r="AJ177">
        <f>IFERROR(INDEX('DRAFT 1'!$AE:$AE,MATCH($B177,'DRAFT 1'!$B:$B,0)),"")</f>
        <v/>
      </c>
      <c r="AK177">
        <f>IFERROR(INDEX('DRAFT 1'!$AG:$AG,MATCH($B177,'DRAFT 1'!$B:$B,0)),"")</f>
        <v/>
      </c>
      <c r="AL177">
        <f>IFERROR(INDEX('DRAFT 1'!$AH:$AH,MATCH($B177,'DRAFT 1'!$B:$B,0)),"")</f>
        <v/>
      </c>
      <c r="AM177">
        <f>IFERROR(INDEX('DRAFT 1'!$AI:$AI,MATCH($B177,'DRAFT 1'!$B:$B,0)),"")</f>
        <v/>
      </c>
      <c r="AN177">
        <f>IFERROR(INDEX('DRAFT 1'!$AJ:$AJ,MATCH($B177,'DRAFT 1'!$B:$B,0)),"")</f>
        <v/>
      </c>
      <c r="AO177">
        <f>IFERROR(Y177/AN177,0)</f>
        <v/>
      </c>
      <c r="AP177">
        <f>IFERROR(INDEX('DRAFT 1'!$AK:$AK,MATCH($B177,'DRAFT 1'!$B:$B,0)),"")</f>
        <v/>
      </c>
      <c r="AR177">
        <f>IFERROR(LOOKUP(2,1/('DRAFT 2'!$D:$D=$B177),'DRAFT 2'!$I:$I),"")</f>
        <v/>
      </c>
      <c r="AS177">
        <f>IFERROR(LOOKUP(2,1/('DRAFT 2'!$D:$D=$B177),'DRAFT 2'!$T:$T),"")</f>
        <v/>
      </c>
      <c r="AT177">
        <f>IFERROR(LOOKUP(2,1/('DRAFT 2'!$D:$D=$B177),'DRAFT 2'!$A:$A),"")</f>
        <v/>
      </c>
      <c r="AU177">
        <f>IFERROR(LOOKUP(2,1/('DRAFT 2'!$D:$D=$B177),'DRAFT 2'!$R:$R),"")</f>
        <v/>
      </c>
      <c r="AV177">
        <f>IFERROR(LOOKUP(2,1/('DRAFT 2'!$D:$D=$B177),'DRAFT 2'!$S:$S),"")</f>
        <v/>
      </c>
      <c r="AX177">
        <f>IFERROR(LOOKUP(2,1/('DRAFT 2'!$D:$D=$B177),'DRAFT 2'!$M:$M),"")</f>
        <v/>
      </c>
      <c r="AY177">
        <f>IFERROR(LOOKUP(2,1/('DRAFT 2'!$D:$D=$B177),'DRAFT 2'!$K:$K),"")</f>
        <v/>
      </c>
      <c r="BG177">
        <f>IFERROR(LOOKUP(2,1/('DRAFT 2'!$D:$D=$B177),'DRAFT 2'!$U:$U),"")</f>
        <v/>
      </c>
      <c r="BH177">
        <f>IFERROR(LOOKUP(2,1/('DRAFT 2'!$D:$D=$B177),'DRAFT 2'!$V:$V),"")</f>
        <v/>
      </c>
      <c r="CE177">
        <f>IFERROR(AJ177,0)</f>
        <v/>
      </c>
      <c r="CF177">
        <f>IFERROR(LOOKUP(2,1/('DRAFT 2'!$D:$D=$B177)*('DRAFT 2'!$A:$A&gt;=DATE(2026,1,1))*('DRAFT 2'!$A:$A&lt;DATE(2026,IF(1=12,1+1,1+1),1)),'DRAFT 2'!$A:$A),"")</f>
        <v/>
      </c>
      <c r="CG177">
        <f>COUNTIFS('DRAFT 2'!$D:$D,$B177,'DRAFT 2'!$A:$A,"&gt;="&amp;DATE(2026,1,1),'DRAFT 2'!$A:$A,"&lt;="&amp;DATE(2026,1,7))</f>
        <v/>
      </c>
      <c r="CH177">
        <f>COUNTIFS('DRAFT 2'!$D:$D,$B177,'DRAFT 2'!$A:$A,"&gt;="&amp;DATE(2026,1,8),'DRAFT 2'!$A:$A,"&lt;="&amp;DATE(2026,1,14))</f>
        <v/>
      </c>
      <c r="CI177">
        <f>COUNTIFS('DRAFT 2'!$D:$D,$B177,'DRAFT 2'!$A:$A,"&gt;="&amp;DATE(2026,1,15),'DRAFT 2'!$A:$A,"&lt;="&amp;DATE(2026,1,21))</f>
        <v/>
      </c>
      <c r="CJ177">
        <f>COUNTIFS('DRAFT 2'!$D:$D,$B177,'DRAFT 2'!$A:$A,"&gt;="&amp;DATE(2026,1,22),'DRAFT 2'!$A:$A,"&lt;"&amp;DATE(2026,IF(1=12,1+1,1+1),1))</f>
        <v/>
      </c>
      <c r="CK177">
        <f>SUM(CG177:CJ177)</f>
        <v/>
      </c>
      <c r="CT177" t="n">
        <v>0</v>
      </c>
      <c r="CU177">
        <f>IFERROR(LOOKUP(2,1/('DRAFT 2'!$D:$D=$B177)*('DRAFT 2'!$A:$A&gt;=DATE(2026,2,1))*('DRAFT 2'!$A:$A&lt;DATE(2026,IF(2=12,2+1,2+1),1)),'DRAFT 2'!$A:$A),"")</f>
        <v/>
      </c>
      <c r="CV177">
        <f>COUNTIFS('DRAFT 2'!$D:$D,$B177,'DRAFT 2'!$A:$A,"&gt;="&amp;DATE(2026,2,1),'DRAFT 2'!$A:$A,"&lt;="&amp;DATE(2026,2,7))</f>
        <v/>
      </c>
      <c r="CW177">
        <f>COUNTIFS('DRAFT 2'!$D:$D,$B177,'DRAFT 2'!$A:$A,"&gt;="&amp;DATE(2026,2,8),'DRAFT 2'!$A:$A,"&lt;="&amp;DATE(2026,2,14))</f>
        <v/>
      </c>
      <c r="CX177">
        <f>COUNTIFS('DRAFT 2'!$D:$D,$B177,'DRAFT 2'!$A:$A,"&gt;="&amp;DATE(2026,2,15),'DRAFT 2'!$A:$A,"&lt;="&amp;DATE(2026,2,21))</f>
        <v/>
      </c>
      <c r="CY177">
        <f>COUNTIFS('DRAFT 2'!$D:$D,$B177,'DRAFT 2'!$A:$A,"&gt;="&amp;DATE(2026,2,22),'DRAFT 2'!$A:$A,"&lt;"&amp;DATE(2026,IF(2=12,2+1,2+1),1))</f>
        <v/>
      </c>
      <c r="CZ177">
        <f>SUM(CV177:CY177)</f>
        <v/>
      </c>
      <c r="DJ177">
        <f>IFERROR(LOOKUP(2,1/('DRAFT 2'!$D:$D=$B177)*('DRAFT 2'!$A:$A&gt;=DATE(2026,3,1))*('DRAFT 2'!$A:$A&lt;DATE(2026,IF(3=12,3+1,3+1),1)),'DRAFT 2'!$A:$A),"")</f>
        <v/>
      </c>
      <c r="DK177">
        <f>COUNTIFS('DRAFT 2'!$D:$D,$B177,'DRAFT 2'!$A:$A,"&gt;="&amp;DATE(2026,3,1),'DRAFT 2'!$A:$A,"&lt;="&amp;DATE(2026,3,7))</f>
        <v/>
      </c>
      <c r="DL177">
        <f>COUNTIFS('DRAFT 2'!$D:$D,$B177,'DRAFT 2'!$A:$A,"&gt;="&amp;DATE(2026,3,8),'DRAFT 2'!$A:$A,"&lt;="&amp;DATE(2026,3,14))</f>
        <v/>
      </c>
      <c r="DM177">
        <f>COUNTIFS('DRAFT 2'!$D:$D,$B177,'DRAFT 2'!$A:$A,"&gt;="&amp;DATE(2026,3,15),'DRAFT 2'!$A:$A,"&lt;="&amp;DATE(2026,3,21))</f>
        <v/>
      </c>
      <c r="DN177">
        <f>COUNTIFS('DRAFT 2'!$D:$D,$B177,'DRAFT 2'!$A:$A,"&gt;="&amp;DATE(2026,3,22),'DRAFT 2'!$A:$A,"&lt;"&amp;DATE(2026,IF(3=12,3+1,3+1),1))</f>
        <v/>
      </c>
      <c r="DO177">
        <f>SUM(DK177:DN177)</f>
        <v/>
      </c>
      <c r="DZ177">
        <f>IFERROR(LOOKUP(2,1/('DRAFT 2'!$D:$D=$B177)*('DRAFT 2'!$A:$A&gt;=DATE(2026,4,1))*('DRAFT 2'!$A:$A&lt;DATE(2026,IF(4=12,4+1,4+1),1)),'DRAFT 2'!$A:$A),"")</f>
        <v/>
      </c>
      <c r="EA177">
        <f>COUNTIFS('DRAFT 2'!$D:$D,$B177,'DRAFT 2'!$A:$A,"&gt;="&amp;DATE(2026,4,1),'DRAFT 2'!$A:$A,"&lt;="&amp;DATE(2026,4,7))</f>
        <v/>
      </c>
      <c r="EB177">
        <f>COUNTIFS('DRAFT 2'!$D:$D,$B177,'DRAFT 2'!$A:$A,"&gt;="&amp;DATE(2026,4,8),'DRAFT 2'!$A:$A,"&lt;="&amp;DATE(2026,4,14))</f>
        <v/>
      </c>
      <c r="EC177">
        <f>COUNTIFS('DRAFT 2'!$D:$D,$B177,'DRAFT 2'!$A:$A,"&gt;="&amp;DATE(2026,4,15),'DRAFT 2'!$A:$A,"&lt;="&amp;DATE(2026,4,21))</f>
        <v/>
      </c>
      <c r="ED177">
        <f>COUNTIFS('DRAFT 2'!$D:$D,$B177,'DRAFT 2'!$A:$A,"&gt;="&amp;DATE(2026,4,22),'DRAFT 2'!$A:$A,"&lt;"&amp;DATE(2026,IF(4=12,4+1,4+1),1))</f>
        <v/>
      </c>
      <c r="EE177">
        <f>SUM(EA177:ED177)</f>
        <v/>
      </c>
      <c r="EO177">
        <f>IFERROR(LOOKUP(2,1/('DRAFT 2'!$D:$D=$B177)*('DRAFT 2'!$A:$A&gt;=DATE(2026,5,1))*('DRAFT 2'!$A:$A&lt;DATE(2026,IF(5=12,5+1,5+1),1)),'DRAFT 2'!$A:$A),"")</f>
        <v/>
      </c>
      <c r="EP177">
        <f>COUNTIFS('DRAFT 2'!$D:$D,$B177,'DRAFT 2'!$A:$A,"&gt;="&amp;DATE(2026,5,1),'DRAFT 2'!$A:$A,"&lt;="&amp;DATE(2026,5,7))</f>
        <v/>
      </c>
      <c r="EQ177">
        <f>COUNTIFS('DRAFT 2'!$D:$D,$B177,'DRAFT 2'!$A:$A,"&gt;="&amp;DATE(2026,5,8),'DRAFT 2'!$A:$A,"&lt;="&amp;DATE(2026,5,14))</f>
        <v/>
      </c>
      <c r="ER177">
        <f>COUNTIFS('DRAFT 2'!$D:$D,$B177,'DRAFT 2'!$A:$A,"&gt;="&amp;DATE(2026,5,15),'DRAFT 2'!$A:$A,"&lt;="&amp;DATE(2026,5,21))</f>
        <v/>
      </c>
      <c r="ES177">
        <f>COUNTIFS('DRAFT 2'!$D:$D,$B177,'DRAFT 2'!$A:$A,"&gt;="&amp;DATE(2026,5,22),'DRAFT 2'!$A:$A,"&lt;"&amp;DATE(2026,IF(5=12,5+1,5+1),1))</f>
        <v/>
      </c>
      <c r="ET177">
        <f>SUM(EP177:ES177)</f>
        <v/>
      </c>
      <c r="FD177">
        <f>IFERROR(LOOKUP(2,1/('DRAFT 2'!$D:$D=$B177)*('DRAFT 2'!$A:$A&gt;=DATE(2026,6,1))*('DRAFT 2'!$A:$A&lt;DATE(2026,IF(6=12,6+1,6+1),1)),'DRAFT 2'!$A:$A),"")</f>
        <v/>
      </c>
      <c r="FE177">
        <f>COUNTIFS('DRAFT 2'!$D:$D,$B177,'DRAFT 2'!$A:$A,"&gt;="&amp;DATE(2026,6,1),'DRAFT 2'!$A:$A,"&lt;="&amp;DATE(2026,6,7))</f>
        <v/>
      </c>
      <c r="FF177">
        <f>COUNTIFS('DRAFT 2'!$D:$D,$B177,'DRAFT 2'!$A:$A,"&gt;="&amp;DATE(2026,6,8),'DRAFT 2'!$A:$A,"&lt;="&amp;DATE(2026,6,14))</f>
        <v/>
      </c>
      <c r="FG177">
        <f>COUNTIFS('DRAFT 2'!$D:$D,$B177,'DRAFT 2'!$A:$A,"&gt;="&amp;DATE(2026,6,15),'DRAFT 2'!$A:$A,"&lt;="&amp;DATE(2026,6,21))</f>
        <v/>
      </c>
      <c r="FH177">
        <f>COUNTIFS('DRAFT 2'!$D:$D,$B177,'DRAFT 2'!$A:$A,"&gt;="&amp;DATE(2026,6,22),'DRAFT 2'!$A:$A,"&lt;"&amp;DATE(2026,IF(6=12,6+1,6+1),1))</f>
        <v/>
      </c>
      <c r="FI177">
        <f>SUM(FE177:FH177)</f>
        <v/>
      </c>
      <c r="FT177">
        <f>IFERROR(LOOKUP(2,1/('DRAFT 2'!$D:$D=$B177)*('DRAFT 2'!$A:$A&gt;=DATE(2026,7,1))*('DRAFT 2'!$A:$A&lt;DATE(2026,IF(7=12,7+1,7+1),1)),'DRAFT 2'!$A:$A),"")</f>
        <v/>
      </c>
      <c r="FU177">
        <f>COUNTIFS('DRAFT 2'!$D:$D,$B177,'DRAFT 2'!$A:$A,"&gt;="&amp;DATE(2026,7,1),'DRAFT 2'!$A:$A,"&lt;="&amp;DATE(2026,7,7))</f>
        <v/>
      </c>
      <c r="FV177">
        <f>COUNTIFS('DRAFT 2'!$D:$D,$B177,'DRAFT 2'!$A:$A,"&gt;="&amp;DATE(2026,7,8),'DRAFT 2'!$A:$A,"&lt;="&amp;DATE(2026,7,14))</f>
        <v/>
      </c>
      <c r="FW177">
        <f>COUNTIFS('DRAFT 2'!$D:$D,$B177,'DRAFT 2'!$A:$A,"&gt;="&amp;DATE(2026,7,15),'DRAFT 2'!$A:$A,"&lt;="&amp;DATE(2026,7,21))</f>
        <v/>
      </c>
      <c r="FX177">
        <f>COUNTIFS('DRAFT 2'!$D:$D,$B177,'DRAFT 2'!$A:$A,"&gt;="&amp;DATE(2026,7,22),'DRAFT 2'!$A:$A,"&lt;"&amp;DATE(2026,IF(7=12,7+1,7+1),1))</f>
        <v/>
      </c>
      <c r="FY177">
        <f>SUM(FU177:FX177)</f>
        <v/>
      </c>
      <c r="GI177">
        <f>IFERROR(LOOKUP(2,1/('DRAFT 2'!$D:$D=$B177)*('DRAFT 2'!$A:$A&gt;=DATE(2026,8,1))*('DRAFT 2'!$A:$A&lt;DATE(2026,IF(8=12,8+1,8+1),1)),'DRAFT 2'!$A:$A),"")</f>
        <v/>
      </c>
      <c r="GJ177">
        <f>COUNTIFS('DRAFT 2'!$D:$D,$B177,'DRAFT 2'!$A:$A,"&gt;="&amp;DATE(2026,8,1),'DRAFT 2'!$A:$A,"&lt;="&amp;DATE(2026,8,7))</f>
        <v/>
      </c>
      <c r="GK177">
        <f>COUNTIFS('DRAFT 2'!$D:$D,$B177,'DRAFT 2'!$A:$A,"&gt;="&amp;DATE(2026,8,8),'DRAFT 2'!$A:$A,"&lt;="&amp;DATE(2026,8,14))</f>
        <v/>
      </c>
      <c r="GL177">
        <f>COUNTIFS('DRAFT 2'!$D:$D,$B177,'DRAFT 2'!$A:$A,"&gt;="&amp;DATE(2026,8,15),'DRAFT 2'!$A:$A,"&lt;="&amp;DATE(2026,8,21))</f>
        <v/>
      </c>
      <c r="GM177">
        <f>COUNTIFS('DRAFT 2'!$D:$D,$B177,'DRAFT 2'!$A:$A,"&gt;="&amp;DATE(2026,8,22),'DRAFT 2'!$A:$A,"&lt;"&amp;DATE(2026,IF(8=12,8+1,8+1),1))</f>
        <v/>
      </c>
      <c r="GN177">
        <f>SUM(GJ177:GM177)</f>
        <v/>
      </c>
      <c r="GX177">
        <f>IFERROR(LOOKUP(2,1/('DRAFT 2'!$D:$D=$B177)*('DRAFT 2'!$A:$A&gt;=DATE(2026,9,1))*('DRAFT 2'!$A:$A&lt;DATE(2026,IF(9=12,9+1,9+1),1)),'DRAFT 2'!$A:$A),"")</f>
        <v/>
      </c>
      <c r="GY177">
        <f>COUNTIFS('DRAFT 2'!$D:$D,$B177,'DRAFT 2'!$A:$A,"&gt;="&amp;DATE(2026,9,1),'DRAFT 2'!$A:$A,"&lt;="&amp;DATE(2026,9,7))</f>
        <v/>
      </c>
      <c r="GZ177">
        <f>COUNTIFS('DRAFT 2'!$D:$D,$B177,'DRAFT 2'!$A:$A,"&gt;="&amp;DATE(2026,9,8),'DRAFT 2'!$A:$A,"&lt;="&amp;DATE(2026,9,14))</f>
        <v/>
      </c>
      <c r="HA177">
        <f>COUNTIFS('DRAFT 2'!$D:$D,$B177,'DRAFT 2'!$A:$A,"&gt;="&amp;DATE(2026,9,15),'DRAFT 2'!$A:$A,"&lt;="&amp;DATE(2026,9,21))</f>
        <v/>
      </c>
      <c r="HB177">
        <f>COUNTIFS('DRAFT 2'!$D:$D,$B177,'DRAFT 2'!$A:$A,"&gt;="&amp;DATE(2026,9,22),'DRAFT 2'!$A:$A,"&lt;"&amp;DATE(2026,IF(9=12,9+1,9+1),1))</f>
        <v/>
      </c>
      <c r="HC177">
        <f>SUM(GY177:HB177)</f>
        <v/>
      </c>
      <c r="HN177">
        <f>IFERROR(LOOKUP(2,1/('DRAFT 2'!$D:$D=$B177)*('DRAFT 2'!$A:$A&gt;=DATE(2026,10,1))*('DRAFT 2'!$A:$A&lt;DATE(2026,IF(10=12,10+1,10+1),1)),'DRAFT 2'!$A:$A),"")</f>
        <v/>
      </c>
      <c r="HO177">
        <f>COUNTIFS('DRAFT 2'!$D:$D,$B177,'DRAFT 2'!$A:$A,"&gt;="&amp;DATE(2026,10,1),'DRAFT 2'!$A:$A,"&lt;="&amp;DATE(2026,10,7))</f>
        <v/>
      </c>
      <c r="HP177">
        <f>COUNTIFS('DRAFT 2'!$D:$D,$B177,'DRAFT 2'!$A:$A,"&gt;="&amp;DATE(2026,10,8),'DRAFT 2'!$A:$A,"&lt;="&amp;DATE(2026,10,14))</f>
        <v/>
      </c>
      <c r="HQ177">
        <f>COUNTIFS('DRAFT 2'!$D:$D,$B177,'DRAFT 2'!$A:$A,"&gt;="&amp;DATE(2026,10,15),'DRAFT 2'!$A:$A,"&lt;="&amp;DATE(2026,10,21))</f>
        <v/>
      </c>
      <c r="HR177">
        <f>COUNTIFS('DRAFT 2'!$D:$D,$B177,'DRAFT 2'!$A:$A,"&gt;="&amp;DATE(2026,10,22),'DRAFT 2'!$A:$A,"&lt;"&amp;DATE(2026,IF(10=12,10+1,10+1),1))</f>
        <v/>
      </c>
      <c r="HS177">
        <f>SUM(HO177:HR177)</f>
        <v/>
      </c>
      <c r="IC177">
        <f>IFERROR(LOOKUP(2,1/('DRAFT 2'!$D:$D=$B177)*('DRAFT 2'!$A:$A&gt;=DATE(2026,11,1))*('DRAFT 2'!$A:$A&lt;DATE(2026,IF(11=12,11+1,11+1),1)),'DRAFT 2'!$A:$A),"")</f>
        <v/>
      </c>
      <c r="ID177">
        <f>COUNTIFS('DRAFT 2'!$D:$D,$B177,'DRAFT 2'!$A:$A,"&gt;="&amp;DATE(2026,11,1),'DRAFT 2'!$A:$A,"&lt;="&amp;DATE(2026,11,7))</f>
        <v/>
      </c>
      <c r="IE177">
        <f>COUNTIFS('DRAFT 2'!$D:$D,$B177,'DRAFT 2'!$A:$A,"&gt;="&amp;DATE(2026,11,8),'DRAFT 2'!$A:$A,"&lt;="&amp;DATE(2026,11,14))</f>
        <v/>
      </c>
      <c r="IF177">
        <f>COUNTIFS('DRAFT 2'!$D:$D,$B177,'DRAFT 2'!$A:$A,"&gt;="&amp;DATE(2026,11,15),'DRAFT 2'!$A:$A,"&lt;="&amp;DATE(2026,11,21))</f>
        <v/>
      </c>
      <c r="IG177">
        <f>COUNTIFS('DRAFT 2'!$D:$D,$B177,'DRAFT 2'!$A:$A,"&gt;="&amp;DATE(2026,11,22),'DRAFT 2'!$A:$A,"&lt;"&amp;DATE(2026,IF(11=12,11+1,11+1),1))</f>
        <v/>
      </c>
      <c r="IH177">
        <f>SUM(ID177:IG177)</f>
        <v/>
      </c>
      <c r="IR177">
        <f>IFERROR(LOOKUP(2,1/('DRAFT 2'!$D:$D=$B177)*('DRAFT 2'!$A:$A&gt;=DATE(2026,12,1))*('DRAFT 2'!$A:$A&lt;DATE(2026,IF(12=12,12+1,12+1),1)),'DRAFT 2'!$A:$A),"")</f>
        <v/>
      </c>
      <c r="IS177">
        <f>COUNTIFS('DRAFT 2'!$D:$D,$B177,'DRAFT 2'!$A:$A,"&gt;="&amp;DATE(2026,12,1),'DRAFT 2'!$A:$A,"&lt;="&amp;DATE(2026,12,7))</f>
        <v/>
      </c>
      <c r="IT177">
        <f>COUNTIFS('DRAFT 2'!$D:$D,$B177,'DRAFT 2'!$A:$A,"&gt;="&amp;DATE(2026,12,8),'DRAFT 2'!$A:$A,"&lt;="&amp;DATE(2026,12,14))</f>
        <v/>
      </c>
      <c r="IU177">
        <f>COUNTIFS('DRAFT 2'!$D:$D,$B177,'DRAFT 2'!$A:$A,"&gt;="&amp;DATE(2026,12,15),'DRAFT 2'!$A:$A,"&lt;="&amp;DATE(2026,12,21))</f>
        <v/>
      </c>
      <c r="IV177">
        <f>COUNTIFS('DRAFT 2'!$D:$D,$B177,'DRAFT 2'!$A:$A,"&gt;="&amp;DATE(2026,12,22),'DRAFT 2'!$A:$A,"&lt;"&amp;DATE(2026,IF(12=12,12+1,12+1),1))</f>
        <v/>
      </c>
      <c r="IW177">
        <f>SUM(IS177:IV177)</f>
        <v/>
      </c>
    </row>
    <row r="178">
      <c r="A178">
        <f>IFERROR(INDEX('DRAFT 1'!$A:$A,MATCH($B178,'DRAFT 1'!$B:$B,0)),"")</f>
        <v/>
      </c>
      <c r="C178">
        <f>IFERROR(INDEX('DRAFT 1'!$C:$C,MATCH($B178,'DRAFT 1'!$B:$B,0)),"")</f>
        <v/>
      </c>
      <c r="D178">
        <f>IFERROR(INDEX('DRAFT 1'!$D:$D,MATCH($B178,'DRAFT 1'!$B:$B,0)),"")</f>
        <v/>
      </c>
      <c r="E178">
        <f>IFERROR(INDEX('DRAFT 1'!$E:$E,MATCH($B178,'DRAFT 1'!$B:$B,0)),"")</f>
        <v/>
      </c>
      <c r="F178">
        <f>IFERROR(INDEX('DRAFT 1'!$F:$F,MATCH($B178,'DRAFT 1'!$B:$B,0)),"")</f>
        <v/>
      </c>
      <c r="G178">
        <f>IFERROR(INDEX('DRAFT 1'!$G:$G,MATCH($B178,'DRAFT 1'!$B:$B,0)),"")</f>
        <v/>
      </c>
      <c r="H178">
        <f>IFERROR(INDEX('DRAFT 1'!$H:$H,MATCH($B178,'DRAFT 1'!$B:$B,0)),"")</f>
        <v/>
      </c>
      <c r="I178">
        <f>IFERROR(INDEX('DRAFT 1'!$I:$I,MATCH($B178,'DRAFT 1'!$B:$B,0)),"")</f>
        <v/>
      </c>
      <c r="K178">
        <f>IFERROR(INDEX('DRAFT 1'!$AL:$AL,MATCH($B178,'DRAFT 1'!$B:$B,0)),"")</f>
        <v/>
      </c>
      <c r="L178">
        <f>IFERROR(INDEX('DRAFT 1'!$J:$J,MATCH($B178,'DRAFT 1'!$B:$B,0)),"")</f>
        <v/>
      </c>
      <c r="M178">
        <f>IFERROR(INDEX('DRAFT 1'!$K:$K,MATCH($B178,'DRAFT 1'!$B:$B,0)),"")</f>
        <v/>
      </c>
      <c r="P178">
        <f>IFERROR(INDEX('DRAFT 1'!$L:$L,MATCH($B178,'DRAFT 1'!$B:$B,0)),"")</f>
        <v/>
      </c>
      <c r="Q178">
        <f>IFERROR(INDEX('DRAFT 1'!$M:$M,MATCH($B178,'DRAFT 1'!$B:$B,0)),"")</f>
        <v/>
      </c>
      <c r="R178">
        <f>IFERROR(INDEX('DRAFT 1'!$N:$N,MATCH($B178,'DRAFT 1'!$B:$B,0)),"")</f>
        <v/>
      </c>
      <c r="S178">
        <f>IFERROR(INDEX('DRAFT 1'!$O:$O,MATCH($B178,'DRAFT 1'!$B:$B,0)),"")</f>
        <v/>
      </c>
      <c r="T178">
        <f>IFERROR(INDEX('DRAFT 1'!$P:$P,MATCH($B178,'DRAFT 1'!$B:$B,0)),"")</f>
        <v/>
      </c>
      <c r="U178">
        <f>IFERROR(INDEX('DRAFT 1'!$Q:$Q,MATCH($B178,'DRAFT 1'!$B:$B,0)),"")</f>
        <v/>
      </c>
      <c r="V178">
        <f>IFERROR(INDEX('DRAFT 1'!$R:$R,MATCH($B178,'DRAFT 1'!$B:$B,0)),"")</f>
        <v/>
      </c>
      <c r="W178">
        <f>IFERROR(INDEX('DRAFT 1'!$S:$S,MATCH($B178,'DRAFT 1'!$B:$B,0)),"")</f>
        <v/>
      </c>
      <c r="X178">
        <f>IFERROR(INDEX('DRAFT 1'!$T:$T,MATCH($B178,'DRAFT 1'!$B:$B,0)),"")</f>
        <v/>
      </c>
      <c r="Z178">
        <f>IFERROR(INDEX('DRAFT 1'!$U:$U,MATCH($B178,'DRAFT 1'!$B:$B,0)),"")</f>
        <v/>
      </c>
      <c r="AA178">
        <f>IFERROR(INDEX('DRAFT 1'!$V:$V,MATCH($B178,'DRAFT 1'!$B:$B,0)),"")</f>
        <v/>
      </c>
      <c r="AB178">
        <f>IFERROR(INDEX('DRAFT 1'!$W:$W,MATCH($B178,'DRAFT 1'!$B:$B,0)),"")</f>
        <v/>
      </c>
      <c r="AC178">
        <f>IFERROR(INDEX('DRAFT 1'!$X:$X,MATCH($B178,'DRAFT 1'!$B:$B,0)),"")</f>
        <v/>
      </c>
      <c r="AD178">
        <f>IFERROR(INDEX('DRAFT 1'!$Y:$Y,MATCH($B178,'DRAFT 1'!$B:$B,0)),"")</f>
        <v/>
      </c>
      <c r="AE178">
        <f>IFERROR(INDEX('DRAFT 1'!$Z:$Z,MATCH($B178,'DRAFT 1'!$B:$B,0)),"")</f>
        <v/>
      </c>
      <c r="AF178">
        <f>IFERROR(INDEX('DRAFT 1'!$AA:$AA,MATCH($B178,'DRAFT 1'!$B:$B,0)),"")</f>
        <v/>
      </c>
      <c r="AG178">
        <f>IFERROR(INDEX('DRAFT 1'!$AB:$AB,MATCH($B178,'DRAFT 1'!$B:$B,0)),"")</f>
        <v/>
      </c>
      <c r="AH178">
        <f>IFERROR(INDEX('DRAFT 1'!$AC:$AC,MATCH($B178,'DRAFT 1'!$B:$B,0)),"")</f>
        <v/>
      </c>
      <c r="AI178">
        <f>IFERROR(INDEX('DRAFT 1'!$AD:$AD,MATCH($B178,'DRAFT 1'!$B:$B,0)),"")</f>
        <v/>
      </c>
      <c r="AJ178">
        <f>IFERROR(INDEX('DRAFT 1'!$AE:$AE,MATCH($B178,'DRAFT 1'!$B:$B,0)),"")</f>
        <v/>
      </c>
      <c r="AK178">
        <f>IFERROR(INDEX('DRAFT 1'!$AG:$AG,MATCH($B178,'DRAFT 1'!$B:$B,0)),"")</f>
        <v/>
      </c>
      <c r="AL178">
        <f>IFERROR(INDEX('DRAFT 1'!$AH:$AH,MATCH($B178,'DRAFT 1'!$B:$B,0)),"")</f>
        <v/>
      </c>
      <c r="AM178">
        <f>IFERROR(INDEX('DRAFT 1'!$AI:$AI,MATCH($B178,'DRAFT 1'!$B:$B,0)),"")</f>
        <v/>
      </c>
      <c r="AN178">
        <f>IFERROR(INDEX('DRAFT 1'!$AJ:$AJ,MATCH($B178,'DRAFT 1'!$B:$B,0)),"")</f>
        <v/>
      </c>
      <c r="AO178">
        <f>IFERROR(Y178/AN178,0)</f>
        <v/>
      </c>
      <c r="AP178">
        <f>IFERROR(INDEX('DRAFT 1'!$AK:$AK,MATCH($B178,'DRAFT 1'!$B:$B,0)),"")</f>
        <v/>
      </c>
      <c r="AR178">
        <f>IFERROR(LOOKUP(2,1/('DRAFT 2'!$D:$D=$B178),'DRAFT 2'!$I:$I),"")</f>
        <v/>
      </c>
      <c r="AS178">
        <f>IFERROR(LOOKUP(2,1/('DRAFT 2'!$D:$D=$B178),'DRAFT 2'!$T:$T),"")</f>
        <v/>
      </c>
      <c r="AT178">
        <f>IFERROR(LOOKUP(2,1/('DRAFT 2'!$D:$D=$B178),'DRAFT 2'!$A:$A),"")</f>
        <v/>
      </c>
      <c r="AU178">
        <f>IFERROR(LOOKUP(2,1/('DRAFT 2'!$D:$D=$B178),'DRAFT 2'!$R:$R),"")</f>
        <v/>
      </c>
      <c r="AV178">
        <f>IFERROR(LOOKUP(2,1/('DRAFT 2'!$D:$D=$B178),'DRAFT 2'!$S:$S),"")</f>
        <v/>
      </c>
      <c r="AX178">
        <f>IFERROR(LOOKUP(2,1/('DRAFT 2'!$D:$D=$B178),'DRAFT 2'!$M:$M),"")</f>
        <v/>
      </c>
      <c r="AY178">
        <f>IFERROR(LOOKUP(2,1/('DRAFT 2'!$D:$D=$B178),'DRAFT 2'!$K:$K),"")</f>
        <v/>
      </c>
      <c r="BG178">
        <f>IFERROR(LOOKUP(2,1/('DRAFT 2'!$D:$D=$B178),'DRAFT 2'!$U:$U),"")</f>
        <v/>
      </c>
      <c r="BH178">
        <f>IFERROR(LOOKUP(2,1/('DRAFT 2'!$D:$D=$B178),'DRAFT 2'!$V:$V),"")</f>
        <v/>
      </c>
      <c r="CE178">
        <f>IFERROR(AJ178,0)</f>
        <v/>
      </c>
      <c r="CF178">
        <f>IFERROR(LOOKUP(2,1/('DRAFT 2'!$D:$D=$B178)*('DRAFT 2'!$A:$A&gt;=DATE(2026,1,1))*('DRAFT 2'!$A:$A&lt;DATE(2026,IF(1=12,1+1,1+1),1)),'DRAFT 2'!$A:$A),"")</f>
        <v/>
      </c>
      <c r="CG178">
        <f>COUNTIFS('DRAFT 2'!$D:$D,$B178,'DRAFT 2'!$A:$A,"&gt;="&amp;DATE(2026,1,1),'DRAFT 2'!$A:$A,"&lt;="&amp;DATE(2026,1,7))</f>
        <v/>
      </c>
      <c r="CH178">
        <f>COUNTIFS('DRAFT 2'!$D:$D,$B178,'DRAFT 2'!$A:$A,"&gt;="&amp;DATE(2026,1,8),'DRAFT 2'!$A:$A,"&lt;="&amp;DATE(2026,1,14))</f>
        <v/>
      </c>
      <c r="CI178">
        <f>COUNTIFS('DRAFT 2'!$D:$D,$B178,'DRAFT 2'!$A:$A,"&gt;="&amp;DATE(2026,1,15),'DRAFT 2'!$A:$A,"&lt;="&amp;DATE(2026,1,21))</f>
        <v/>
      </c>
      <c r="CJ178">
        <f>COUNTIFS('DRAFT 2'!$D:$D,$B178,'DRAFT 2'!$A:$A,"&gt;="&amp;DATE(2026,1,22),'DRAFT 2'!$A:$A,"&lt;"&amp;DATE(2026,IF(1=12,1+1,1+1),1))</f>
        <v/>
      </c>
      <c r="CK178">
        <f>SUM(CG178:CJ178)</f>
        <v/>
      </c>
      <c r="CT178" t="n">
        <v>0</v>
      </c>
      <c r="CU178">
        <f>IFERROR(LOOKUP(2,1/('DRAFT 2'!$D:$D=$B178)*('DRAFT 2'!$A:$A&gt;=DATE(2026,2,1))*('DRAFT 2'!$A:$A&lt;DATE(2026,IF(2=12,2+1,2+1),1)),'DRAFT 2'!$A:$A),"")</f>
        <v/>
      </c>
      <c r="CV178">
        <f>COUNTIFS('DRAFT 2'!$D:$D,$B178,'DRAFT 2'!$A:$A,"&gt;="&amp;DATE(2026,2,1),'DRAFT 2'!$A:$A,"&lt;="&amp;DATE(2026,2,7))</f>
        <v/>
      </c>
      <c r="CW178">
        <f>COUNTIFS('DRAFT 2'!$D:$D,$B178,'DRAFT 2'!$A:$A,"&gt;="&amp;DATE(2026,2,8),'DRAFT 2'!$A:$A,"&lt;="&amp;DATE(2026,2,14))</f>
        <v/>
      </c>
      <c r="CX178">
        <f>COUNTIFS('DRAFT 2'!$D:$D,$B178,'DRAFT 2'!$A:$A,"&gt;="&amp;DATE(2026,2,15),'DRAFT 2'!$A:$A,"&lt;="&amp;DATE(2026,2,21))</f>
        <v/>
      </c>
      <c r="CY178">
        <f>COUNTIFS('DRAFT 2'!$D:$D,$B178,'DRAFT 2'!$A:$A,"&gt;="&amp;DATE(2026,2,22),'DRAFT 2'!$A:$A,"&lt;"&amp;DATE(2026,IF(2=12,2+1,2+1),1))</f>
        <v/>
      </c>
      <c r="CZ178">
        <f>SUM(CV178:CY178)</f>
        <v/>
      </c>
      <c r="DJ178">
        <f>IFERROR(LOOKUP(2,1/('DRAFT 2'!$D:$D=$B178)*('DRAFT 2'!$A:$A&gt;=DATE(2026,3,1))*('DRAFT 2'!$A:$A&lt;DATE(2026,IF(3=12,3+1,3+1),1)),'DRAFT 2'!$A:$A),"")</f>
        <v/>
      </c>
      <c r="DK178">
        <f>COUNTIFS('DRAFT 2'!$D:$D,$B178,'DRAFT 2'!$A:$A,"&gt;="&amp;DATE(2026,3,1),'DRAFT 2'!$A:$A,"&lt;="&amp;DATE(2026,3,7))</f>
        <v/>
      </c>
      <c r="DL178">
        <f>COUNTIFS('DRAFT 2'!$D:$D,$B178,'DRAFT 2'!$A:$A,"&gt;="&amp;DATE(2026,3,8),'DRAFT 2'!$A:$A,"&lt;="&amp;DATE(2026,3,14))</f>
        <v/>
      </c>
      <c r="DM178">
        <f>COUNTIFS('DRAFT 2'!$D:$D,$B178,'DRAFT 2'!$A:$A,"&gt;="&amp;DATE(2026,3,15),'DRAFT 2'!$A:$A,"&lt;="&amp;DATE(2026,3,21))</f>
        <v/>
      </c>
      <c r="DN178">
        <f>COUNTIFS('DRAFT 2'!$D:$D,$B178,'DRAFT 2'!$A:$A,"&gt;="&amp;DATE(2026,3,22),'DRAFT 2'!$A:$A,"&lt;"&amp;DATE(2026,IF(3=12,3+1,3+1),1))</f>
        <v/>
      </c>
      <c r="DO178">
        <f>SUM(DK178:DN178)</f>
        <v/>
      </c>
      <c r="DZ178">
        <f>IFERROR(LOOKUP(2,1/('DRAFT 2'!$D:$D=$B178)*('DRAFT 2'!$A:$A&gt;=DATE(2026,4,1))*('DRAFT 2'!$A:$A&lt;DATE(2026,IF(4=12,4+1,4+1),1)),'DRAFT 2'!$A:$A),"")</f>
        <v/>
      </c>
      <c r="EA178">
        <f>COUNTIFS('DRAFT 2'!$D:$D,$B178,'DRAFT 2'!$A:$A,"&gt;="&amp;DATE(2026,4,1),'DRAFT 2'!$A:$A,"&lt;="&amp;DATE(2026,4,7))</f>
        <v/>
      </c>
      <c r="EB178">
        <f>COUNTIFS('DRAFT 2'!$D:$D,$B178,'DRAFT 2'!$A:$A,"&gt;="&amp;DATE(2026,4,8),'DRAFT 2'!$A:$A,"&lt;="&amp;DATE(2026,4,14))</f>
        <v/>
      </c>
      <c r="EC178">
        <f>COUNTIFS('DRAFT 2'!$D:$D,$B178,'DRAFT 2'!$A:$A,"&gt;="&amp;DATE(2026,4,15),'DRAFT 2'!$A:$A,"&lt;="&amp;DATE(2026,4,21))</f>
        <v/>
      </c>
      <c r="ED178">
        <f>COUNTIFS('DRAFT 2'!$D:$D,$B178,'DRAFT 2'!$A:$A,"&gt;="&amp;DATE(2026,4,22),'DRAFT 2'!$A:$A,"&lt;"&amp;DATE(2026,IF(4=12,4+1,4+1),1))</f>
        <v/>
      </c>
      <c r="EE178">
        <f>SUM(EA178:ED178)</f>
        <v/>
      </c>
      <c r="EO178">
        <f>IFERROR(LOOKUP(2,1/('DRAFT 2'!$D:$D=$B178)*('DRAFT 2'!$A:$A&gt;=DATE(2026,5,1))*('DRAFT 2'!$A:$A&lt;DATE(2026,IF(5=12,5+1,5+1),1)),'DRAFT 2'!$A:$A),"")</f>
        <v/>
      </c>
      <c r="EP178">
        <f>COUNTIFS('DRAFT 2'!$D:$D,$B178,'DRAFT 2'!$A:$A,"&gt;="&amp;DATE(2026,5,1),'DRAFT 2'!$A:$A,"&lt;="&amp;DATE(2026,5,7))</f>
        <v/>
      </c>
      <c r="EQ178">
        <f>COUNTIFS('DRAFT 2'!$D:$D,$B178,'DRAFT 2'!$A:$A,"&gt;="&amp;DATE(2026,5,8),'DRAFT 2'!$A:$A,"&lt;="&amp;DATE(2026,5,14))</f>
        <v/>
      </c>
      <c r="ER178">
        <f>COUNTIFS('DRAFT 2'!$D:$D,$B178,'DRAFT 2'!$A:$A,"&gt;="&amp;DATE(2026,5,15),'DRAFT 2'!$A:$A,"&lt;="&amp;DATE(2026,5,21))</f>
        <v/>
      </c>
      <c r="ES178">
        <f>COUNTIFS('DRAFT 2'!$D:$D,$B178,'DRAFT 2'!$A:$A,"&gt;="&amp;DATE(2026,5,22),'DRAFT 2'!$A:$A,"&lt;"&amp;DATE(2026,IF(5=12,5+1,5+1),1))</f>
        <v/>
      </c>
      <c r="ET178">
        <f>SUM(EP178:ES178)</f>
        <v/>
      </c>
      <c r="FD178">
        <f>IFERROR(LOOKUP(2,1/('DRAFT 2'!$D:$D=$B178)*('DRAFT 2'!$A:$A&gt;=DATE(2026,6,1))*('DRAFT 2'!$A:$A&lt;DATE(2026,IF(6=12,6+1,6+1),1)),'DRAFT 2'!$A:$A),"")</f>
        <v/>
      </c>
      <c r="FE178">
        <f>COUNTIFS('DRAFT 2'!$D:$D,$B178,'DRAFT 2'!$A:$A,"&gt;="&amp;DATE(2026,6,1),'DRAFT 2'!$A:$A,"&lt;="&amp;DATE(2026,6,7))</f>
        <v/>
      </c>
      <c r="FF178">
        <f>COUNTIFS('DRAFT 2'!$D:$D,$B178,'DRAFT 2'!$A:$A,"&gt;="&amp;DATE(2026,6,8),'DRAFT 2'!$A:$A,"&lt;="&amp;DATE(2026,6,14))</f>
        <v/>
      </c>
      <c r="FG178">
        <f>COUNTIFS('DRAFT 2'!$D:$D,$B178,'DRAFT 2'!$A:$A,"&gt;="&amp;DATE(2026,6,15),'DRAFT 2'!$A:$A,"&lt;="&amp;DATE(2026,6,21))</f>
        <v/>
      </c>
      <c r="FH178">
        <f>COUNTIFS('DRAFT 2'!$D:$D,$B178,'DRAFT 2'!$A:$A,"&gt;="&amp;DATE(2026,6,22),'DRAFT 2'!$A:$A,"&lt;"&amp;DATE(2026,IF(6=12,6+1,6+1),1))</f>
        <v/>
      </c>
      <c r="FI178">
        <f>SUM(FE178:FH178)</f>
        <v/>
      </c>
      <c r="FT178">
        <f>IFERROR(LOOKUP(2,1/('DRAFT 2'!$D:$D=$B178)*('DRAFT 2'!$A:$A&gt;=DATE(2026,7,1))*('DRAFT 2'!$A:$A&lt;DATE(2026,IF(7=12,7+1,7+1),1)),'DRAFT 2'!$A:$A),"")</f>
        <v/>
      </c>
      <c r="FU178">
        <f>COUNTIFS('DRAFT 2'!$D:$D,$B178,'DRAFT 2'!$A:$A,"&gt;="&amp;DATE(2026,7,1),'DRAFT 2'!$A:$A,"&lt;="&amp;DATE(2026,7,7))</f>
        <v/>
      </c>
      <c r="FV178">
        <f>COUNTIFS('DRAFT 2'!$D:$D,$B178,'DRAFT 2'!$A:$A,"&gt;="&amp;DATE(2026,7,8),'DRAFT 2'!$A:$A,"&lt;="&amp;DATE(2026,7,14))</f>
        <v/>
      </c>
      <c r="FW178">
        <f>COUNTIFS('DRAFT 2'!$D:$D,$B178,'DRAFT 2'!$A:$A,"&gt;="&amp;DATE(2026,7,15),'DRAFT 2'!$A:$A,"&lt;="&amp;DATE(2026,7,21))</f>
        <v/>
      </c>
      <c r="FX178">
        <f>COUNTIFS('DRAFT 2'!$D:$D,$B178,'DRAFT 2'!$A:$A,"&gt;="&amp;DATE(2026,7,22),'DRAFT 2'!$A:$A,"&lt;"&amp;DATE(2026,IF(7=12,7+1,7+1),1))</f>
        <v/>
      </c>
      <c r="FY178">
        <f>SUM(FU178:FX178)</f>
        <v/>
      </c>
      <c r="GI178">
        <f>IFERROR(LOOKUP(2,1/('DRAFT 2'!$D:$D=$B178)*('DRAFT 2'!$A:$A&gt;=DATE(2026,8,1))*('DRAFT 2'!$A:$A&lt;DATE(2026,IF(8=12,8+1,8+1),1)),'DRAFT 2'!$A:$A),"")</f>
        <v/>
      </c>
      <c r="GJ178">
        <f>COUNTIFS('DRAFT 2'!$D:$D,$B178,'DRAFT 2'!$A:$A,"&gt;="&amp;DATE(2026,8,1),'DRAFT 2'!$A:$A,"&lt;="&amp;DATE(2026,8,7))</f>
        <v/>
      </c>
      <c r="GK178">
        <f>COUNTIFS('DRAFT 2'!$D:$D,$B178,'DRAFT 2'!$A:$A,"&gt;="&amp;DATE(2026,8,8),'DRAFT 2'!$A:$A,"&lt;="&amp;DATE(2026,8,14))</f>
        <v/>
      </c>
      <c r="GL178">
        <f>COUNTIFS('DRAFT 2'!$D:$D,$B178,'DRAFT 2'!$A:$A,"&gt;="&amp;DATE(2026,8,15),'DRAFT 2'!$A:$A,"&lt;="&amp;DATE(2026,8,21))</f>
        <v/>
      </c>
      <c r="GM178">
        <f>COUNTIFS('DRAFT 2'!$D:$D,$B178,'DRAFT 2'!$A:$A,"&gt;="&amp;DATE(2026,8,22),'DRAFT 2'!$A:$A,"&lt;"&amp;DATE(2026,IF(8=12,8+1,8+1),1))</f>
        <v/>
      </c>
      <c r="GN178">
        <f>SUM(GJ178:GM178)</f>
        <v/>
      </c>
      <c r="GX178">
        <f>IFERROR(LOOKUP(2,1/('DRAFT 2'!$D:$D=$B178)*('DRAFT 2'!$A:$A&gt;=DATE(2026,9,1))*('DRAFT 2'!$A:$A&lt;DATE(2026,IF(9=12,9+1,9+1),1)),'DRAFT 2'!$A:$A),"")</f>
        <v/>
      </c>
      <c r="GY178">
        <f>COUNTIFS('DRAFT 2'!$D:$D,$B178,'DRAFT 2'!$A:$A,"&gt;="&amp;DATE(2026,9,1),'DRAFT 2'!$A:$A,"&lt;="&amp;DATE(2026,9,7))</f>
        <v/>
      </c>
      <c r="GZ178">
        <f>COUNTIFS('DRAFT 2'!$D:$D,$B178,'DRAFT 2'!$A:$A,"&gt;="&amp;DATE(2026,9,8),'DRAFT 2'!$A:$A,"&lt;="&amp;DATE(2026,9,14))</f>
        <v/>
      </c>
      <c r="HA178">
        <f>COUNTIFS('DRAFT 2'!$D:$D,$B178,'DRAFT 2'!$A:$A,"&gt;="&amp;DATE(2026,9,15),'DRAFT 2'!$A:$A,"&lt;="&amp;DATE(2026,9,21))</f>
        <v/>
      </c>
      <c r="HB178">
        <f>COUNTIFS('DRAFT 2'!$D:$D,$B178,'DRAFT 2'!$A:$A,"&gt;="&amp;DATE(2026,9,22),'DRAFT 2'!$A:$A,"&lt;"&amp;DATE(2026,IF(9=12,9+1,9+1),1))</f>
        <v/>
      </c>
      <c r="HC178">
        <f>SUM(GY178:HB178)</f>
        <v/>
      </c>
      <c r="HN178">
        <f>IFERROR(LOOKUP(2,1/('DRAFT 2'!$D:$D=$B178)*('DRAFT 2'!$A:$A&gt;=DATE(2026,10,1))*('DRAFT 2'!$A:$A&lt;DATE(2026,IF(10=12,10+1,10+1),1)),'DRAFT 2'!$A:$A),"")</f>
        <v/>
      </c>
      <c r="HO178">
        <f>COUNTIFS('DRAFT 2'!$D:$D,$B178,'DRAFT 2'!$A:$A,"&gt;="&amp;DATE(2026,10,1),'DRAFT 2'!$A:$A,"&lt;="&amp;DATE(2026,10,7))</f>
        <v/>
      </c>
      <c r="HP178">
        <f>COUNTIFS('DRAFT 2'!$D:$D,$B178,'DRAFT 2'!$A:$A,"&gt;="&amp;DATE(2026,10,8),'DRAFT 2'!$A:$A,"&lt;="&amp;DATE(2026,10,14))</f>
        <v/>
      </c>
      <c r="HQ178">
        <f>COUNTIFS('DRAFT 2'!$D:$D,$B178,'DRAFT 2'!$A:$A,"&gt;="&amp;DATE(2026,10,15),'DRAFT 2'!$A:$A,"&lt;="&amp;DATE(2026,10,21))</f>
        <v/>
      </c>
      <c r="HR178">
        <f>COUNTIFS('DRAFT 2'!$D:$D,$B178,'DRAFT 2'!$A:$A,"&gt;="&amp;DATE(2026,10,22),'DRAFT 2'!$A:$A,"&lt;"&amp;DATE(2026,IF(10=12,10+1,10+1),1))</f>
        <v/>
      </c>
      <c r="HS178">
        <f>SUM(HO178:HR178)</f>
        <v/>
      </c>
      <c r="IC178">
        <f>IFERROR(LOOKUP(2,1/('DRAFT 2'!$D:$D=$B178)*('DRAFT 2'!$A:$A&gt;=DATE(2026,11,1))*('DRAFT 2'!$A:$A&lt;DATE(2026,IF(11=12,11+1,11+1),1)),'DRAFT 2'!$A:$A),"")</f>
        <v/>
      </c>
      <c r="ID178">
        <f>COUNTIFS('DRAFT 2'!$D:$D,$B178,'DRAFT 2'!$A:$A,"&gt;="&amp;DATE(2026,11,1),'DRAFT 2'!$A:$A,"&lt;="&amp;DATE(2026,11,7))</f>
        <v/>
      </c>
      <c r="IE178">
        <f>COUNTIFS('DRAFT 2'!$D:$D,$B178,'DRAFT 2'!$A:$A,"&gt;="&amp;DATE(2026,11,8),'DRAFT 2'!$A:$A,"&lt;="&amp;DATE(2026,11,14))</f>
        <v/>
      </c>
      <c r="IF178">
        <f>COUNTIFS('DRAFT 2'!$D:$D,$B178,'DRAFT 2'!$A:$A,"&gt;="&amp;DATE(2026,11,15),'DRAFT 2'!$A:$A,"&lt;="&amp;DATE(2026,11,21))</f>
        <v/>
      </c>
      <c r="IG178">
        <f>COUNTIFS('DRAFT 2'!$D:$D,$B178,'DRAFT 2'!$A:$A,"&gt;="&amp;DATE(2026,11,22),'DRAFT 2'!$A:$A,"&lt;"&amp;DATE(2026,IF(11=12,11+1,11+1),1))</f>
        <v/>
      </c>
      <c r="IH178">
        <f>SUM(ID178:IG178)</f>
        <v/>
      </c>
      <c r="IR178">
        <f>IFERROR(LOOKUP(2,1/('DRAFT 2'!$D:$D=$B178)*('DRAFT 2'!$A:$A&gt;=DATE(2026,12,1))*('DRAFT 2'!$A:$A&lt;DATE(2026,IF(12=12,12+1,12+1),1)),'DRAFT 2'!$A:$A),"")</f>
        <v/>
      </c>
      <c r="IS178">
        <f>COUNTIFS('DRAFT 2'!$D:$D,$B178,'DRAFT 2'!$A:$A,"&gt;="&amp;DATE(2026,12,1),'DRAFT 2'!$A:$A,"&lt;="&amp;DATE(2026,12,7))</f>
        <v/>
      </c>
      <c r="IT178">
        <f>COUNTIFS('DRAFT 2'!$D:$D,$B178,'DRAFT 2'!$A:$A,"&gt;="&amp;DATE(2026,12,8),'DRAFT 2'!$A:$A,"&lt;="&amp;DATE(2026,12,14))</f>
        <v/>
      </c>
      <c r="IU178">
        <f>COUNTIFS('DRAFT 2'!$D:$D,$B178,'DRAFT 2'!$A:$A,"&gt;="&amp;DATE(2026,12,15),'DRAFT 2'!$A:$A,"&lt;="&amp;DATE(2026,12,21))</f>
        <v/>
      </c>
      <c r="IV178">
        <f>COUNTIFS('DRAFT 2'!$D:$D,$B178,'DRAFT 2'!$A:$A,"&gt;="&amp;DATE(2026,12,22),'DRAFT 2'!$A:$A,"&lt;"&amp;DATE(2026,IF(12=12,12+1,12+1),1))</f>
        <v/>
      </c>
      <c r="IW178">
        <f>SUM(IS178:IV178)</f>
        <v/>
      </c>
    </row>
    <row r="179">
      <c r="A179">
        <f>IFERROR(INDEX('DRAFT 1'!$A:$A,MATCH($B179,'DRAFT 1'!$B:$B,0)),"")</f>
        <v/>
      </c>
      <c r="C179">
        <f>IFERROR(INDEX('DRAFT 1'!$C:$C,MATCH($B179,'DRAFT 1'!$B:$B,0)),"")</f>
        <v/>
      </c>
      <c r="D179">
        <f>IFERROR(INDEX('DRAFT 1'!$D:$D,MATCH($B179,'DRAFT 1'!$B:$B,0)),"")</f>
        <v/>
      </c>
      <c r="E179">
        <f>IFERROR(INDEX('DRAFT 1'!$E:$E,MATCH($B179,'DRAFT 1'!$B:$B,0)),"")</f>
        <v/>
      </c>
      <c r="F179">
        <f>IFERROR(INDEX('DRAFT 1'!$F:$F,MATCH($B179,'DRAFT 1'!$B:$B,0)),"")</f>
        <v/>
      </c>
      <c r="G179">
        <f>IFERROR(INDEX('DRAFT 1'!$G:$G,MATCH($B179,'DRAFT 1'!$B:$B,0)),"")</f>
        <v/>
      </c>
      <c r="H179">
        <f>IFERROR(INDEX('DRAFT 1'!$H:$H,MATCH($B179,'DRAFT 1'!$B:$B,0)),"")</f>
        <v/>
      </c>
      <c r="I179">
        <f>IFERROR(INDEX('DRAFT 1'!$I:$I,MATCH($B179,'DRAFT 1'!$B:$B,0)),"")</f>
        <v/>
      </c>
      <c r="K179">
        <f>IFERROR(INDEX('DRAFT 1'!$AL:$AL,MATCH($B179,'DRAFT 1'!$B:$B,0)),"")</f>
        <v/>
      </c>
      <c r="L179">
        <f>IFERROR(INDEX('DRAFT 1'!$J:$J,MATCH($B179,'DRAFT 1'!$B:$B,0)),"")</f>
        <v/>
      </c>
      <c r="M179">
        <f>IFERROR(INDEX('DRAFT 1'!$K:$K,MATCH($B179,'DRAFT 1'!$B:$B,0)),"")</f>
        <v/>
      </c>
      <c r="P179">
        <f>IFERROR(INDEX('DRAFT 1'!$L:$L,MATCH($B179,'DRAFT 1'!$B:$B,0)),"")</f>
        <v/>
      </c>
      <c r="Q179">
        <f>IFERROR(INDEX('DRAFT 1'!$M:$M,MATCH($B179,'DRAFT 1'!$B:$B,0)),"")</f>
        <v/>
      </c>
      <c r="R179">
        <f>IFERROR(INDEX('DRAFT 1'!$N:$N,MATCH($B179,'DRAFT 1'!$B:$B,0)),"")</f>
        <v/>
      </c>
      <c r="S179">
        <f>IFERROR(INDEX('DRAFT 1'!$O:$O,MATCH($B179,'DRAFT 1'!$B:$B,0)),"")</f>
        <v/>
      </c>
      <c r="T179">
        <f>IFERROR(INDEX('DRAFT 1'!$P:$P,MATCH($B179,'DRAFT 1'!$B:$B,0)),"")</f>
        <v/>
      </c>
      <c r="U179">
        <f>IFERROR(INDEX('DRAFT 1'!$Q:$Q,MATCH($B179,'DRAFT 1'!$B:$B,0)),"")</f>
        <v/>
      </c>
      <c r="V179">
        <f>IFERROR(INDEX('DRAFT 1'!$R:$R,MATCH($B179,'DRAFT 1'!$B:$B,0)),"")</f>
        <v/>
      </c>
      <c r="W179">
        <f>IFERROR(INDEX('DRAFT 1'!$S:$S,MATCH($B179,'DRAFT 1'!$B:$B,0)),"")</f>
        <v/>
      </c>
      <c r="X179">
        <f>IFERROR(INDEX('DRAFT 1'!$T:$T,MATCH($B179,'DRAFT 1'!$B:$B,0)),"")</f>
        <v/>
      </c>
      <c r="Z179">
        <f>IFERROR(INDEX('DRAFT 1'!$U:$U,MATCH($B179,'DRAFT 1'!$B:$B,0)),"")</f>
        <v/>
      </c>
      <c r="AA179">
        <f>IFERROR(INDEX('DRAFT 1'!$V:$V,MATCH($B179,'DRAFT 1'!$B:$B,0)),"")</f>
        <v/>
      </c>
      <c r="AB179">
        <f>IFERROR(INDEX('DRAFT 1'!$W:$W,MATCH($B179,'DRAFT 1'!$B:$B,0)),"")</f>
        <v/>
      </c>
      <c r="AC179">
        <f>IFERROR(INDEX('DRAFT 1'!$X:$X,MATCH($B179,'DRAFT 1'!$B:$B,0)),"")</f>
        <v/>
      </c>
      <c r="AD179">
        <f>IFERROR(INDEX('DRAFT 1'!$Y:$Y,MATCH($B179,'DRAFT 1'!$B:$B,0)),"")</f>
        <v/>
      </c>
      <c r="AE179">
        <f>IFERROR(INDEX('DRAFT 1'!$Z:$Z,MATCH($B179,'DRAFT 1'!$B:$B,0)),"")</f>
        <v/>
      </c>
      <c r="AF179">
        <f>IFERROR(INDEX('DRAFT 1'!$AA:$AA,MATCH($B179,'DRAFT 1'!$B:$B,0)),"")</f>
        <v/>
      </c>
      <c r="AG179">
        <f>IFERROR(INDEX('DRAFT 1'!$AB:$AB,MATCH($B179,'DRAFT 1'!$B:$B,0)),"")</f>
        <v/>
      </c>
      <c r="AH179">
        <f>IFERROR(INDEX('DRAFT 1'!$AC:$AC,MATCH($B179,'DRAFT 1'!$B:$B,0)),"")</f>
        <v/>
      </c>
      <c r="AI179">
        <f>IFERROR(INDEX('DRAFT 1'!$AD:$AD,MATCH($B179,'DRAFT 1'!$B:$B,0)),"")</f>
        <v/>
      </c>
      <c r="AJ179">
        <f>IFERROR(INDEX('DRAFT 1'!$AE:$AE,MATCH($B179,'DRAFT 1'!$B:$B,0)),"")</f>
        <v/>
      </c>
      <c r="AK179">
        <f>IFERROR(INDEX('DRAFT 1'!$AG:$AG,MATCH($B179,'DRAFT 1'!$B:$B,0)),"")</f>
        <v/>
      </c>
      <c r="AL179">
        <f>IFERROR(INDEX('DRAFT 1'!$AH:$AH,MATCH($B179,'DRAFT 1'!$B:$B,0)),"")</f>
        <v/>
      </c>
      <c r="AM179">
        <f>IFERROR(INDEX('DRAFT 1'!$AI:$AI,MATCH($B179,'DRAFT 1'!$B:$B,0)),"")</f>
        <v/>
      </c>
      <c r="AN179">
        <f>IFERROR(INDEX('DRAFT 1'!$AJ:$AJ,MATCH($B179,'DRAFT 1'!$B:$B,0)),"")</f>
        <v/>
      </c>
      <c r="AO179">
        <f>IFERROR(Y179/AN179,0)</f>
        <v/>
      </c>
      <c r="AP179">
        <f>IFERROR(INDEX('DRAFT 1'!$AK:$AK,MATCH($B179,'DRAFT 1'!$B:$B,0)),"")</f>
        <v/>
      </c>
      <c r="AR179">
        <f>IFERROR(LOOKUP(2,1/('DRAFT 2'!$D:$D=$B179),'DRAFT 2'!$I:$I),"")</f>
        <v/>
      </c>
      <c r="AS179">
        <f>IFERROR(LOOKUP(2,1/('DRAFT 2'!$D:$D=$B179),'DRAFT 2'!$T:$T),"")</f>
        <v/>
      </c>
      <c r="AT179">
        <f>IFERROR(LOOKUP(2,1/('DRAFT 2'!$D:$D=$B179),'DRAFT 2'!$A:$A),"")</f>
        <v/>
      </c>
      <c r="AU179">
        <f>IFERROR(LOOKUP(2,1/('DRAFT 2'!$D:$D=$B179),'DRAFT 2'!$R:$R),"")</f>
        <v/>
      </c>
      <c r="AV179">
        <f>IFERROR(LOOKUP(2,1/('DRAFT 2'!$D:$D=$B179),'DRAFT 2'!$S:$S),"")</f>
        <v/>
      </c>
      <c r="AX179">
        <f>IFERROR(LOOKUP(2,1/('DRAFT 2'!$D:$D=$B179),'DRAFT 2'!$M:$M),"")</f>
        <v/>
      </c>
      <c r="AY179">
        <f>IFERROR(LOOKUP(2,1/('DRAFT 2'!$D:$D=$B179),'DRAFT 2'!$K:$K),"")</f>
        <v/>
      </c>
      <c r="BG179">
        <f>IFERROR(LOOKUP(2,1/('DRAFT 2'!$D:$D=$B179),'DRAFT 2'!$U:$U),"")</f>
        <v/>
      </c>
      <c r="BH179">
        <f>IFERROR(LOOKUP(2,1/('DRAFT 2'!$D:$D=$B179),'DRAFT 2'!$V:$V),"")</f>
        <v/>
      </c>
      <c r="CE179">
        <f>IFERROR(AJ179,0)</f>
        <v/>
      </c>
      <c r="CF179">
        <f>IFERROR(LOOKUP(2,1/('DRAFT 2'!$D:$D=$B179)*('DRAFT 2'!$A:$A&gt;=DATE(2026,1,1))*('DRAFT 2'!$A:$A&lt;DATE(2026,IF(1=12,1+1,1+1),1)),'DRAFT 2'!$A:$A),"")</f>
        <v/>
      </c>
      <c r="CG179">
        <f>COUNTIFS('DRAFT 2'!$D:$D,$B179,'DRAFT 2'!$A:$A,"&gt;="&amp;DATE(2026,1,1),'DRAFT 2'!$A:$A,"&lt;="&amp;DATE(2026,1,7))</f>
        <v/>
      </c>
      <c r="CH179">
        <f>COUNTIFS('DRAFT 2'!$D:$D,$B179,'DRAFT 2'!$A:$A,"&gt;="&amp;DATE(2026,1,8),'DRAFT 2'!$A:$A,"&lt;="&amp;DATE(2026,1,14))</f>
        <v/>
      </c>
      <c r="CI179">
        <f>COUNTIFS('DRAFT 2'!$D:$D,$B179,'DRAFT 2'!$A:$A,"&gt;="&amp;DATE(2026,1,15),'DRAFT 2'!$A:$A,"&lt;="&amp;DATE(2026,1,21))</f>
        <v/>
      </c>
      <c r="CJ179">
        <f>COUNTIFS('DRAFT 2'!$D:$D,$B179,'DRAFT 2'!$A:$A,"&gt;="&amp;DATE(2026,1,22),'DRAFT 2'!$A:$A,"&lt;"&amp;DATE(2026,IF(1=12,1+1,1+1),1))</f>
        <v/>
      </c>
      <c r="CK179">
        <f>SUM(CG179:CJ179)</f>
        <v/>
      </c>
      <c r="CT179" t="n">
        <v>0</v>
      </c>
      <c r="CU179">
        <f>IFERROR(LOOKUP(2,1/('DRAFT 2'!$D:$D=$B179)*('DRAFT 2'!$A:$A&gt;=DATE(2026,2,1))*('DRAFT 2'!$A:$A&lt;DATE(2026,IF(2=12,2+1,2+1),1)),'DRAFT 2'!$A:$A),"")</f>
        <v/>
      </c>
      <c r="CV179">
        <f>COUNTIFS('DRAFT 2'!$D:$D,$B179,'DRAFT 2'!$A:$A,"&gt;="&amp;DATE(2026,2,1),'DRAFT 2'!$A:$A,"&lt;="&amp;DATE(2026,2,7))</f>
        <v/>
      </c>
      <c r="CW179">
        <f>COUNTIFS('DRAFT 2'!$D:$D,$B179,'DRAFT 2'!$A:$A,"&gt;="&amp;DATE(2026,2,8),'DRAFT 2'!$A:$A,"&lt;="&amp;DATE(2026,2,14))</f>
        <v/>
      </c>
      <c r="CX179">
        <f>COUNTIFS('DRAFT 2'!$D:$D,$B179,'DRAFT 2'!$A:$A,"&gt;="&amp;DATE(2026,2,15),'DRAFT 2'!$A:$A,"&lt;="&amp;DATE(2026,2,21))</f>
        <v/>
      </c>
      <c r="CY179">
        <f>COUNTIFS('DRAFT 2'!$D:$D,$B179,'DRAFT 2'!$A:$A,"&gt;="&amp;DATE(2026,2,22),'DRAFT 2'!$A:$A,"&lt;"&amp;DATE(2026,IF(2=12,2+1,2+1),1))</f>
        <v/>
      </c>
      <c r="CZ179">
        <f>SUM(CV179:CY179)</f>
        <v/>
      </c>
      <c r="DJ179">
        <f>IFERROR(LOOKUP(2,1/('DRAFT 2'!$D:$D=$B179)*('DRAFT 2'!$A:$A&gt;=DATE(2026,3,1))*('DRAFT 2'!$A:$A&lt;DATE(2026,IF(3=12,3+1,3+1),1)),'DRAFT 2'!$A:$A),"")</f>
        <v/>
      </c>
      <c r="DK179">
        <f>COUNTIFS('DRAFT 2'!$D:$D,$B179,'DRAFT 2'!$A:$A,"&gt;="&amp;DATE(2026,3,1),'DRAFT 2'!$A:$A,"&lt;="&amp;DATE(2026,3,7))</f>
        <v/>
      </c>
      <c r="DL179">
        <f>COUNTIFS('DRAFT 2'!$D:$D,$B179,'DRAFT 2'!$A:$A,"&gt;="&amp;DATE(2026,3,8),'DRAFT 2'!$A:$A,"&lt;="&amp;DATE(2026,3,14))</f>
        <v/>
      </c>
      <c r="DM179">
        <f>COUNTIFS('DRAFT 2'!$D:$D,$B179,'DRAFT 2'!$A:$A,"&gt;="&amp;DATE(2026,3,15),'DRAFT 2'!$A:$A,"&lt;="&amp;DATE(2026,3,21))</f>
        <v/>
      </c>
      <c r="DN179">
        <f>COUNTIFS('DRAFT 2'!$D:$D,$B179,'DRAFT 2'!$A:$A,"&gt;="&amp;DATE(2026,3,22),'DRAFT 2'!$A:$A,"&lt;"&amp;DATE(2026,IF(3=12,3+1,3+1),1))</f>
        <v/>
      </c>
      <c r="DO179">
        <f>SUM(DK179:DN179)</f>
        <v/>
      </c>
      <c r="DZ179">
        <f>IFERROR(LOOKUP(2,1/('DRAFT 2'!$D:$D=$B179)*('DRAFT 2'!$A:$A&gt;=DATE(2026,4,1))*('DRAFT 2'!$A:$A&lt;DATE(2026,IF(4=12,4+1,4+1),1)),'DRAFT 2'!$A:$A),"")</f>
        <v/>
      </c>
      <c r="EA179">
        <f>COUNTIFS('DRAFT 2'!$D:$D,$B179,'DRAFT 2'!$A:$A,"&gt;="&amp;DATE(2026,4,1),'DRAFT 2'!$A:$A,"&lt;="&amp;DATE(2026,4,7))</f>
        <v/>
      </c>
      <c r="EB179">
        <f>COUNTIFS('DRAFT 2'!$D:$D,$B179,'DRAFT 2'!$A:$A,"&gt;="&amp;DATE(2026,4,8),'DRAFT 2'!$A:$A,"&lt;="&amp;DATE(2026,4,14))</f>
        <v/>
      </c>
      <c r="EC179">
        <f>COUNTIFS('DRAFT 2'!$D:$D,$B179,'DRAFT 2'!$A:$A,"&gt;="&amp;DATE(2026,4,15),'DRAFT 2'!$A:$A,"&lt;="&amp;DATE(2026,4,21))</f>
        <v/>
      </c>
      <c r="ED179">
        <f>COUNTIFS('DRAFT 2'!$D:$D,$B179,'DRAFT 2'!$A:$A,"&gt;="&amp;DATE(2026,4,22),'DRAFT 2'!$A:$A,"&lt;"&amp;DATE(2026,IF(4=12,4+1,4+1),1))</f>
        <v/>
      </c>
      <c r="EE179">
        <f>SUM(EA179:ED179)</f>
        <v/>
      </c>
      <c r="EO179">
        <f>IFERROR(LOOKUP(2,1/('DRAFT 2'!$D:$D=$B179)*('DRAFT 2'!$A:$A&gt;=DATE(2026,5,1))*('DRAFT 2'!$A:$A&lt;DATE(2026,IF(5=12,5+1,5+1),1)),'DRAFT 2'!$A:$A),"")</f>
        <v/>
      </c>
      <c r="EP179">
        <f>COUNTIFS('DRAFT 2'!$D:$D,$B179,'DRAFT 2'!$A:$A,"&gt;="&amp;DATE(2026,5,1),'DRAFT 2'!$A:$A,"&lt;="&amp;DATE(2026,5,7))</f>
        <v/>
      </c>
      <c r="EQ179">
        <f>COUNTIFS('DRAFT 2'!$D:$D,$B179,'DRAFT 2'!$A:$A,"&gt;="&amp;DATE(2026,5,8),'DRAFT 2'!$A:$A,"&lt;="&amp;DATE(2026,5,14))</f>
        <v/>
      </c>
      <c r="ER179">
        <f>COUNTIFS('DRAFT 2'!$D:$D,$B179,'DRAFT 2'!$A:$A,"&gt;="&amp;DATE(2026,5,15),'DRAFT 2'!$A:$A,"&lt;="&amp;DATE(2026,5,21))</f>
        <v/>
      </c>
      <c r="ES179">
        <f>COUNTIFS('DRAFT 2'!$D:$D,$B179,'DRAFT 2'!$A:$A,"&gt;="&amp;DATE(2026,5,22),'DRAFT 2'!$A:$A,"&lt;"&amp;DATE(2026,IF(5=12,5+1,5+1),1))</f>
        <v/>
      </c>
      <c r="ET179">
        <f>SUM(EP179:ES179)</f>
        <v/>
      </c>
      <c r="FD179">
        <f>IFERROR(LOOKUP(2,1/('DRAFT 2'!$D:$D=$B179)*('DRAFT 2'!$A:$A&gt;=DATE(2026,6,1))*('DRAFT 2'!$A:$A&lt;DATE(2026,IF(6=12,6+1,6+1),1)),'DRAFT 2'!$A:$A),"")</f>
        <v/>
      </c>
      <c r="FE179">
        <f>COUNTIFS('DRAFT 2'!$D:$D,$B179,'DRAFT 2'!$A:$A,"&gt;="&amp;DATE(2026,6,1),'DRAFT 2'!$A:$A,"&lt;="&amp;DATE(2026,6,7))</f>
        <v/>
      </c>
      <c r="FF179">
        <f>COUNTIFS('DRAFT 2'!$D:$D,$B179,'DRAFT 2'!$A:$A,"&gt;="&amp;DATE(2026,6,8),'DRAFT 2'!$A:$A,"&lt;="&amp;DATE(2026,6,14))</f>
        <v/>
      </c>
      <c r="FG179">
        <f>COUNTIFS('DRAFT 2'!$D:$D,$B179,'DRAFT 2'!$A:$A,"&gt;="&amp;DATE(2026,6,15),'DRAFT 2'!$A:$A,"&lt;="&amp;DATE(2026,6,21))</f>
        <v/>
      </c>
      <c r="FH179">
        <f>COUNTIFS('DRAFT 2'!$D:$D,$B179,'DRAFT 2'!$A:$A,"&gt;="&amp;DATE(2026,6,22),'DRAFT 2'!$A:$A,"&lt;"&amp;DATE(2026,IF(6=12,6+1,6+1),1))</f>
        <v/>
      </c>
      <c r="FI179">
        <f>SUM(FE179:FH179)</f>
        <v/>
      </c>
      <c r="FT179">
        <f>IFERROR(LOOKUP(2,1/('DRAFT 2'!$D:$D=$B179)*('DRAFT 2'!$A:$A&gt;=DATE(2026,7,1))*('DRAFT 2'!$A:$A&lt;DATE(2026,IF(7=12,7+1,7+1),1)),'DRAFT 2'!$A:$A),"")</f>
        <v/>
      </c>
      <c r="FU179">
        <f>COUNTIFS('DRAFT 2'!$D:$D,$B179,'DRAFT 2'!$A:$A,"&gt;="&amp;DATE(2026,7,1),'DRAFT 2'!$A:$A,"&lt;="&amp;DATE(2026,7,7))</f>
        <v/>
      </c>
      <c r="FV179">
        <f>COUNTIFS('DRAFT 2'!$D:$D,$B179,'DRAFT 2'!$A:$A,"&gt;="&amp;DATE(2026,7,8),'DRAFT 2'!$A:$A,"&lt;="&amp;DATE(2026,7,14))</f>
        <v/>
      </c>
      <c r="FW179">
        <f>COUNTIFS('DRAFT 2'!$D:$D,$B179,'DRAFT 2'!$A:$A,"&gt;="&amp;DATE(2026,7,15),'DRAFT 2'!$A:$A,"&lt;="&amp;DATE(2026,7,21))</f>
        <v/>
      </c>
      <c r="FX179">
        <f>COUNTIFS('DRAFT 2'!$D:$D,$B179,'DRAFT 2'!$A:$A,"&gt;="&amp;DATE(2026,7,22),'DRAFT 2'!$A:$A,"&lt;"&amp;DATE(2026,IF(7=12,7+1,7+1),1))</f>
        <v/>
      </c>
      <c r="FY179">
        <f>SUM(FU179:FX179)</f>
        <v/>
      </c>
      <c r="GI179">
        <f>IFERROR(LOOKUP(2,1/('DRAFT 2'!$D:$D=$B179)*('DRAFT 2'!$A:$A&gt;=DATE(2026,8,1))*('DRAFT 2'!$A:$A&lt;DATE(2026,IF(8=12,8+1,8+1),1)),'DRAFT 2'!$A:$A),"")</f>
        <v/>
      </c>
      <c r="GJ179">
        <f>COUNTIFS('DRAFT 2'!$D:$D,$B179,'DRAFT 2'!$A:$A,"&gt;="&amp;DATE(2026,8,1),'DRAFT 2'!$A:$A,"&lt;="&amp;DATE(2026,8,7))</f>
        <v/>
      </c>
      <c r="GK179">
        <f>COUNTIFS('DRAFT 2'!$D:$D,$B179,'DRAFT 2'!$A:$A,"&gt;="&amp;DATE(2026,8,8),'DRAFT 2'!$A:$A,"&lt;="&amp;DATE(2026,8,14))</f>
        <v/>
      </c>
      <c r="GL179">
        <f>COUNTIFS('DRAFT 2'!$D:$D,$B179,'DRAFT 2'!$A:$A,"&gt;="&amp;DATE(2026,8,15),'DRAFT 2'!$A:$A,"&lt;="&amp;DATE(2026,8,21))</f>
        <v/>
      </c>
      <c r="GM179">
        <f>COUNTIFS('DRAFT 2'!$D:$D,$B179,'DRAFT 2'!$A:$A,"&gt;="&amp;DATE(2026,8,22),'DRAFT 2'!$A:$A,"&lt;"&amp;DATE(2026,IF(8=12,8+1,8+1),1))</f>
        <v/>
      </c>
      <c r="GN179">
        <f>SUM(GJ179:GM179)</f>
        <v/>
      </c>
      <c r="GX179">
        <f>IFERROR(LOOKUP(2,1/('DRAFT 2'!$D:$D=$B179)*('DRAFT 2'!$A:$A&gt;=DATE(2026,9,1))*('DRAFT 2'!$A:$A&lt;DATE(2026,IF(9=12,9+1,9+1),1)),'DRAFT 2'!$A:$A),"")</f>
        <v/>
      </c>
      <c r="GY179">
        <f>COUNTIFS('DRAFT 2'!$D:$D,$B179,'DRAFT 2'!$A:$A,"&gt;="&amp;DATE(2026,9,1),'DRAFT 2'!$A:$A,"&lt;="&amp;DATE(2026,9,7))</f>
        <v/>
      </c>
      <c r="GZ179">
        <f>COUNTIFS('DRAFT 2'!$D:$D,$B179,'DRAFT 2'!$A:$A,"&gt;="&amp;DATE(2026,9,8),'DRAFT 2'!$A:$A,"&lt;="&amp;DATE(2026,9,14))</f>
        <v/>
      </c>
      <c r="HA179">
        <f>COUNTIFS('DRAFT 2'!$D:$D,$B179,'DRAFT 2'!$A:$A,"&gt;="&amp;DATE(2026,9,15),'DRAFT 2'!$A:$A,"&lt;="&amp;DATE(2026,9,21))</f>
        <v/>
      </c>
      <c r="HB179">
        <f>COUNTIFS('DRAFT 2'!$D:$D,$B179,'DRAFT 2'!$A:$A,"&gt;="&amp;DATE(2026,9,22),'DRAFT 2'!$A:$A,"&lt;"&amp;DATE(2026,IF(9=12,9+1,9+1),1))</f>
        <v/>
      </c>
      <c r="HC179">
        <f>SUM(GY179:HB179)</f>
        <v/>
      </c>
      <c r="HN179">
        <f>IFERROR(LOOKUP(2,1/('DRAFT 2'!$D:$D=$B179)*('DRAFT 2'!$A:$A&gt;=DATE(2026,10,1))*('DRAFT 2'!$A:$A&lt;DATE(2026,IF(10=12,10+1,10+1),1)),'DRAFT 2'!$A:$A),"")</f>
        <v/>
      </c>
      <c r="HO179">
        <f>COUNTIFS('DRAFT 2'!$D:$D,$B179,'DRAFT 2'!$A:$A,"&gt;="&amp;DATE(2026,10,1),'DRAFT 2'!$A:$A,"&lt;="&amp;DATE(2026,10,7))</f>
        <v/>
      </c>
      <c r="HP179">
        <f>COUNTIFS('DRAFT 2'!$D:$D,$B179,'DRAFT 2'!$A:$A,"&gt;="&amp;DATE(2026,10,8),'DRAFT 2'!$A:$A,"&lt;="&amp;DATE(2026,10,14))</f>
        <v/>
      </c>
      <c r="HQ179">
        <f>COUNTIFS('DRAFT 2'!$D:$D,$B179,'DRAFT 2'!$A:$A,"&gt;="&amp;DATE(2026,10,15),'DRAFT 2'!$A:$A,"&lt;="&amp;DATE(2026,10,21))</f>
        <v/>
      </c>
      <c r="HR179">
        <f>COUNTIFS('DRAFT 2'!$D:$D,$B179,'DRAFT 2'!$A:$A,"&gt;="&amp;DATE(2026,10,22),'DRAFT 2'!$A:$A,"&lt;"&amp;DATE(2026,IF(10=12,10+1,10+1),1))</f>
        <v/>
      </c>
      <c r="HS179">
        <f>SUM(HO179:HR179)</f>
        <v/>
      </c>
      <c r="IC179">
        <f>IFERROR(LOOKUP(2,1/('DRAFT 2'!$D:$D=$B179)*('DRAFT 2'!$A:$A&gt;=DATE(2026,11,1))*('DRAFT 2'!$A:$A&lt;DATE(2026,IF(11=12,11+1,11+1),1)),'DRAFT 2'!$A:$A),"")</f>
        <v/>
      </c>
      <c r="ID179">
        <f>COUNTIFS('DRAFT 2'!$D:$D,$B179,'DRAFT 2'!$A:$A,"&gt;="&amp;DATE(2026,11,1),'DRAFT 2'!$A:$A,"&lt;="&amp;DATE(2026,11,7))</f>
        <v/>
      </c>
      <c r="IE179">
        <f>COUNTIFS('DRAFT 2'!$D:$D,$B179,'DRAFT 2'!$A:$A,"&gt;="&amp;DATE(2026,11,8),'DRAFT 2'!$A:$A,"&lt;="&amp;DATE(2026,11,14))</f>
        <v/>
      </c>
      <c r="IF179">
        <f>COUNTIFS('DRAFT 2'!$D:$D,$B179,'DRAFT 2'!$A:$A,"&gt;="&amp;DATE(2026,11,15),'DRAFT 2'!$A:$A,"&lt;="&amp;DATE(2026,11,21))</f>
        <v/>
      </c>
      <c r="IG179">
        <f>COUNTIFS('DRAFT 2'!$D:$D,$B179,'DRAFT 2'!$A:$A,"&gt;="&amp;DATE(2026,11,22),'DRAFT 2'!$A:$A,"&lt;"&amp;DATE(2026,IF(11=12,11+1,11+1),1))</f>
        <v/>
      </c>
      <c r="IH179">
        <f>SUM(ID179:IG179)</f>
        <v/>
      </c>
      <c r="IR179">
        <f>IFERROR(LOOKUP(2,1/('DRAFT 2'!$D:$D=$B179)*('DRAFT 2'!$A:$A&gt;=DATE(2026,12,1))*('DRAFT 2'!$A:$A&lt;DATE(2026,IF(12=12,12+1,12+1),1)),'DRAFT 2'!$A:$A),"")</f>
        <v/>
      </c>
      <c r="IS179">
        <f>COUNTIFS('DRAFT 2'!$D:$D,$B179,'DRAFT 2'!$A:$A,"&gt;="&amp;DATE(2026,12,1),'DRAFT 2'!$A:$A,"&lt;="&amp;DATE(2026,12,7))</f>
        <v/>
      </c>
      <c r="IT179">
        <f>COUNTIFS('DRAFT 2'!$D:$D,$B179,'DRAFT 2'!$A:$A,"&gt;="&amp;DATE(2026,12,8),'DRAFT 2'!$A:$A,"&lt;="&amp;DATE(2026,12,14))</f>
        <v/>
      </c>
      <c r="IU179">
        <f>COUNTIFS('DRAFT 2'!$D:$D,$B179,'DRAFT 2'!$A:$A,"&gt;="&amp;DATE(2026,12,15),'DRAFT 2'!$A:$A,"&lt;="&amp;DATE(2026,12,21))</f>
        <v/>
      </c>
      <c r="IV179">
        <f>COUNTIFS('DRAFT 2'!$D:$D,$B179,'DRAFT 2'!$A:$A,"&gt;="&amp;DATE(2026,12,22),'DRAFT 2'!$A:$A,"&lt;"&amp;DATE(2026,IF(12=12,12+1,12+1),1))</f>
        <v/>
      </c>
      <c r="IW179">
        <f>SUM(IS179:IV179)</f>
        <v/>
      </c>
    </row>
    <row r="180">
      <c r="A180">
        <f>IFERROR(INDEX('DRAFT 1'!$A:$A,MATCH($B180,'DRAFT 1'!$B:$B,0)),"")</f>
        <v/>
      </c>
      <c r="C180">
        <f>IFERROR(INDEX('DRAFT 1'!$C:$C,MATCH($B180,'DRAFT 1'!$B:$B,0)),"")</f>
        <v/>
      </c>
      <c r="D180">
        <f>IFERROR(INDEX('DRAFT 1'!$D:$D,MATCH($B180,'DRAFT 1'!$B:$B,0)),"")</f>
        <v/>
      </c>
      <c r="E180">
        <f>IFERROR(INDEX('DRAFT 1'!$E:$E,MATCH($B180,'DRAFT 1'!$B:$B,0)),"")</f>
        <v/>
      </c>
      <c r="F180">
        <f>IFERROR(INDEX('DRAFT 1'!$F:$F,MATCH($B180,'DRAFT 1'!$B:$B,0)),"")</f>
        <v/>
      </c>
      <c r="G180">
        <f>IFERROR(INDEX('DRAFT 1'!$G:$G,MATCH($B180,'DRAFT 1'!$B:$B,0)),"")</f>
        <v/>
      </c>
      <c r="H180">
        <f>IFERROR(INDEX('DRAFT 1'!$H:$H,MATCH($B180,'DRAFT 1'!$B:$B,0)),"")</f>
        <v/>
      </c>
      <c r="I180">
        <f>IFERROR(INDEX('DRAFT 1'!$I:$I,MATCH($B180,'DRAFT 1'!$B:$B,0)),"")</f>
        <v/>
      </c>
      <c r="K180">
        <f>IFERROR(INDEX('DRAFT 1'!$AL:$AL,MATCH($B180,'DRAFT 1'!$B:$B,0)),"")</f>
        <v/>
      </c>
      <c r="L180">
        <f>IFERROR(INDEX('DRAFT 1'!$J:$J,MATCH($B180,'DRAFT 1'!$B:$B,0)),"")</f>
        <v/>
      </c>
      <c r="M180">
        <f>IFERROR(INDEX('DRAFT 1'!$K:$K,MATCH($B180,'DRAFT 1'!$B:$B,0)),"")</f>
        <v/>
      </c>
      <c r="P180">
        <f>IFERROR(INDEX('DRAFT 1'!$L:$L,MATCH($B180,'DRAFT 1'!$B:$B,0)),"")</f>
        <v/>
      </c>
      <c r="Q180">
        <f>IFERROR(INDEX('DRAFT 1'!$M:$M,MATCH($B180,'DRAFT 1'!$B:$B,0)),"")</f>
        <v/>
      </c>
      <c r="R180">
        <f>IFERROR(INDEX('DRAFT 1'!$N:$N,MATCH($B180,'DRAFT 1'!$B:$B,0)),"")</f>
        <v/>
      </c>
      <c r="S180">
        <f>IFERROR(INDEX('DRAFT 1'!$O:$O,MATCH($B180,'DRAFT 1'!$B:$B,0)),"")</f>
        <v/>
      </c>
      <c r="T180">
        <f>IFERROR(INDEX('DRAFT 1'!$P:$P,MATCH($B180,'DRAFT 1'!$B:$B,0)),"")</f>
        <v/>
      </c>
      <c r="U180">
        <f>IFERROR(INDEX('DRAFT 1'!$Q:$Q,MATCH($B180,'DRAFT 1'!$B:$B,0)),"")</f>
        <v/>
      </c>
      <c r="V180">
        <f>IFERROR(INDEX('DRAFT 1'!$R:$R,MATCH($B180,'DRAFT 1'!$B:$B,0)),"")</f>
        <v/>
      </c>
      <c r="W180">
        <f>IFERROR(INDEX('DRAFT 1'!$S:$S,MATCH($B180,'DRAFT 1'!$B:$B,0)),"")</f>
        <v/>
      </c>
      <c r="X180">
        <f>IFERROR(INDEX('DRAFT 1'!$T:$T,MATCH($B180,'DRAFT 1'!$B:$B,0)),"")</f>
        <v/>
      </c>
      <c r="Z180">
        <f>IFERROR(INDEX('DRAFT 1'!$U:$U,MATCH($B180,'DRAFT 1'!$B:$B,0)),"")</f>
        <v/>
      </c>
      <c r="AA180">
        <f>IFERROR(INDEX('DRAFT 1'!$V:$V,MATCH($B180,'DRAFT 1'!$B:$B,0)),"")</f>
        <v/>
      </c>
      <c r="AB180">
        <f>IFERROR(INDEX('DRAFT 1'!$W:$W,MATCH($B180,'DRAFT 1'!$B:$B,0)),"")</f>
        <v/>
      </c>
      <c r="AC180">
        <f>IFERROR(INDEX('DRAFT 1'!$X:$X,MATCH($B180,'DRAFT 1'!$B:$B,0)),"")</f>
        <v/>
      </c>
      <c r="AD180">
        <f>IFERROR(INDEX('DRAFT 1'!$Y:$Y,MATCH($B180,'DRAFT 1'!$B:$B,0)),"")</f>
        <v/>
      </c>
      <c r="AE180">
        <f>IFERROR(INDEX('DRAFT 1'!$Z:$Z,MATCH($B180,'DRAFT 1'!$B:$B,0)),"")</f>
        <v/>
      </c>
      <c r="AF180">
        <f>IFERROR(INDEX('DRAFT 1'!$AA:$AA,MATCH($B180,'DRAFT 1'!$B:$B,0)),"")</f>
        <v/>
      </c>
      <c r="AG180">
        <f>IFERROR(INDEX('DRAFT 1'!$AB:$AB,MATCH($B180,'DRAFT 1'!$B:$B,0)),"")</f>
        <v/>
      </c>
      <c r="AH180">
        <f>IFERROR(INDEX('DRAFT 1'!$AC:$AC,MATCH($B180,'DRAFT 1'!$B:$B,0)),"")</f>
        <v/>
      </c>
      <c r="AI180">
        <f>IFERROR(INDEX('DRAFT 1'!$AD:$AD,MATCH($B180,'DRAFT 1'!$B:$B,0)),"")</f>
        <v/>
      </c>
      <c r="AJ180">
        <f>IFERROR(INDEX('DRAFT 1'!$AE:$AE,MATCH($B180,'DRAFT 1'!$B:$B,0)),"")</f>
        <v/>
      </c>
      <c r="AK180">
        <f>IFERROR(INDEX('DRAFT 1'!$AG:$AG,MATCH($B180,'DRAFT 1'!$B:$B,0)),"")</f>
        <v/>
      </c>
      <c r="AL180">
        <f>IFERROR(INDEX('DRAFT 1'!$AH:$AH,MATCH($B180,'DRAFT 1'!$B:$B,0)),"")</f>
        <v/>
      </c>
      <c r="AM180">
        <f>IFERROR(INDEX('DRAFT 1'!$AI:$AI,MATCH($B180,'DRAFT 1'!$B:$B,0)),"")</f>
        <v/>
      </c>
      <c r="AN180">
        <f>IFERROR(INDEX('DRAFT 1'!$AJ:$AJ,MATCH($B180,'DRAFT 1'!$B:$B,0)),"")</f>
        <v/>
      </c>
      <c r="AO180">
        <f>IFERROR(Y180/AN180,0)</f>
        <v/>
      </c>
      <c r="AP180">
        <f>IFERROR(INDEX('DRAFT 1'!$AK:$AK,MATCH($B180,'DRAFT 1'!$B:$B,0)),"")</f>
        <v/>
      </c>
      <c r="AR180">
        <f>IFERROR(LOOKUP(2,1/('DRAFT 2'!$D:$D=$B180),'DRAFT 2'!$I:$I),"")</f>
        <v/>
      </c>
      <c r="AS180">
        <f>IFERROR(LOOKUP(2,1/('DRAFT 2'!$D:$D=$B180),'DRAFT 2'!$T:$T),"")</f>
        <v/>
      </c>
      <c r="AT180">
        <f>IFERROR(LOOKUP(2,1/('DRAFT 2'!$D:$D=$B180),'DRAFT 2'!$A:$A),"")</f>
        <v/>
      </c>
      <c r="AU180">
        <f>IFERROR(LOOKUP(2,1/('DRAFT 2'!$D:$D=$B180),'DRAFT 2'!$R:$R),"")</f>
        <v/>
      </c>
      <c r="AV180">
        <f>IFERROR(LOOKUP(2,1/('DRAFT 2'!$D:$D=$B180),'DRAFT 2'!$S:$S),"")</f>
        <v/>
      </c>
      <c r="AX180">
        <f>IFERROR(LOOKUP(2,1/('DRAFT 2'!$D:$D=$B180),'DRAFT 2'!$M:$M),"")</f>
        <v/>
      </c>
      <c r="AY180">
        <f>IFERROR(LOOKUP(2,1/('DRAFT 2'!$D:$D=$B180),'DRAFT 2'!$K:$K),"")</f>
        <v/>
      </c>
      <c r="BG180">
        <f>IFERROR(LOOKUP(2,1/('DRAFT 2'!$D:$D=$B180),'DRAFT 2'!$U:$U),"")</f>
        <v/>
      </c>
      <c r="BH180">
        <f>IFERROR(LOOKUP(2,1/('DRAFT 2'!$D:$D=$B180),'DRAFT 2'!$V:$V),"")</f>
        <v/>
      </c>
      <c r="CE180">
        <f>IFERROR(AJ180,0)</f>
        <v/>
      </c>
      <c r="CF180">
        <f>IFERROR(LOOKUP(2,1/('DRAFT 2'!$D:$D=$B180)*('DRAFT 2'!$A:$A&gt;=DATE(2026,1,1))*('DRAFT 2'!$A:$A&lt;DATE(2026,IF(1=12,1+1,1+1),1)),'DRAFT 2'!$A:$A),"")</f>
        <v/>
      </c>
      <c r="CG180">
        <f>COUNTIFS('DRAFT 2'!$D:$D,$B180,'DRAFT 2'!$A:$A,"&gt;="&amp;DATE(2026,1,1),'DRAFT 2'!$A:$A,"&lt;="&amp;DATE(2026,1,7))</f>
        <v/>
      </c>
      <c r="CH180">
        <f>COUNTIFS('DRAFT 2'!$D:$D,$B180,'DRAFT 2'!$A:$A,"&gt;="&amp;DATE(2026,1,8),'DRAFT 2'!$A:$A,"&lt;="&amp;DATE(2026,1,14))</f>
        <v/>
      </c>
      <c r="CI180">
        <f>COUNTIFS('DRAFT 2'!$D:$D,$B180,'DRAFT 2'!$A:$A,"&gt;="&amp;DATE(2026,1,15),'DRAFT 2'!$A:$A,"&lt;="&amp;DATE(2026,1,21))</f>
        <v/>
      </c>
      <c r="CJ180">
        <f>COUNTIFS('DRAFT 2'!$D:$D,$B180,'DRAFT 2'!$A:$A,"&gt;="&amp;DATE(2026,1,22),'DRAFT 2'!$A:$A,"&lt;"&amp;DATE(2026,IF(1=12,1+1,1+1),1))</f>
        <v/>
      </c>
      <c r="CK180">
        <f>SUM(CG180:CJ180)</f>
        <v/>
      </c>
      <c r="CT180" t="n">
        <v>0</v>
      </c>
      <c r="CU180">
        <f>IFERROR(LOOKUP(2,1/('DRAFT 2'!$D:$D=$B180)*('DRAFT 2'!$A:$A&gt;=DATE(2026,2,1))*('DRAFT 2'!$A:$A&lt;DATE(2026,IF(2=12,2+1,2+1),1)),'DRAFT 2'!$A:$A),"")</f>
        <v/>
      </c>
      <c r="CV180">
        <f>COUNTIFS('DRAFT 2'!$D:$D,$B180,'DRAFT 2'!$A:$A,"&gt;="&amp;DATE(2026,2,1),'DRAFT 2'!$A:$A,"&lt;="&amp;DATE(2026,2,7))</f>
        <v/>
      </c>
      <c r="CW180">
        <f>COUNTIFS('DRAFT 2'!$D:$D,$B180,'DRAFT 2'!$A:$A,"&gt;="&amp;DATE(2026,2,8),'DRAFT 2'!$A:$A,"&lt;="&amp;DATE(2026,2,14))</f>
        <v/>
      </c>
      <c r="CX180">
        <f>COUNTIFS('DRAFT 2'!$D:$D,$B180,'DRAFT 2'!$A:$A,"&gt;="&amp;DATE(2026,2,15),'DRAFT 2'!$A:$A,"&lt;="&amp;DATE(2026,2,21))</f>
        <v/>
      </c>
      <c r="CY180">
        <f>COUNTIFS('DRAFT 2'!$D:$D,$B180,'DRAFT 2'!$A:$A,"&gt;="&amp;DATE(2026,2,22),'DRAFT 2'!$A:$A,"&lt;"&amp;DATE(2026,IF(2=12,2+1,2+1),1))</f>
        <v/>
      </c>
      <c r="CZ180">
        <f>SUM(CV180:CY180)</f>
        <v/>
      </c>
      <c r="DJ180">
        <f>IFERROR(LOOKUP(2,1/('DRAFT 2'!$D:$D=$B180)*('DRAFT 2'!$A:$A&gt;=DATE(2026,3,1))*('DRAFT 2'!$A:$A&lt;DATE(2026,IF(3=12,3+1,3+1),1)),'DRAFT 2'!$A:$A),"")</f>
        <v/>
      </c>
      <c r="DK180">
        <f>COUNTIFS('DRAFT 2'!$D:$D,$B180,'DRAFT 2'!$A:$A,"&gt;="&amp;DATE(2026,3,1),'DRAFT 2'!$A:$A,"&lt;="&amp;DATE(2026,3,7))</f>
        <v/>
      </c>
      <c r="DL180">
        <f>COUNTIFS('DRAFT 2'!$D:$D,$B180,'DRAFT 2'!$A:$A,"&gt;="&amp;DATE(2026,3,8),'DRAFT 2'!$A:$A,"&lt;="&amp;DATE(2026,3,14))</f>
        <v/>
      </c>
      <c r="DM180">
        <f>COUNTIFS('DRAFT 2'!$D:$D,$B180,'DRAFT 2'!$A:$A,"&gt;="&amp;DATE(2026,3,15),'DRAFT 2'!$A:$A,"&lt;="&amp;DATE(2026,3,21))</f>
        <v/>
      </c>
      <c r="DN180">
        <f>COUNTIFS('DRAFT 2'!$D:$D,$B180,'DRAFT 2'!$A:$A,"&gt;="&amp;DATE(2026,3,22),'DRAFT 2'!$A:$A,"&lt;"&amp;DATE(2026,IF(3=12,3+1,3+1),1))</f>
        <v/>
      </c>
      <c r="DO180">
        <f>SUM(DK180:DN180)</f>
        <v/>
      </c>
      <c r="DZ180">
        <f>IFERROR(LOOKUP(2,1/('DRAFT 2'!$D:$D=$B180)*('DRAFT 2'!$A:$A&gt;=DATE(2026,4,1))*('DRAFT 2'!$A:$A&lt;DATE(2026,IF(4=12,4+1,4+1),1)),'DRAFT 2'!$A:$A),"")</f>
        <v/>
      </c>
      <c r="EA180">
        <f>COUNTIFS('DRAFT 2'!$D:$D,$B180,'DRAFT 2'!$A:$A,"&gt;="&amp;DATE(2026,4,1),'DRAFT 2'!$A:$A,"&lt;="&amp;DATE(2026,4,7))</f>
        <v/>
      </c>
      <c r="EB180">
        <f>COUNTIFS('DRAFT 2'!$D:$D,$B180,'DRAFT 2'!$A:$A,"&gt;="&amp;DATE(2026,4,8),'DRAFT 2'!$A:$A,"&lt;="&amp;DATE(2026,4,14))</f>
        <v/>
      </c>
      <c r="EC180">
        <f>COUNTIFS('DRAFT 2'!$D:$D,$B180,'DRAFT 2'!$A:$A,"&gt;="&amp;DATE(2026,4,15),'DRAFT 2'!$A:$A,"&lt;="&amp;DATE(2026,4,21))</f>
        <v/>
      </c>
      <c r="ED180">
        <f>COUNTIFS('DRAFT 2'!$D:$D,$B180,'DRAFT 2'!$A:$A,"&gt;="&amp;DATE(2026,4,22),'DRAFT 2'!$A:$A,"&lt;"&amp;DATE(2026,IF(4=12,4+1,4+1),1))</f>
        <v/>
      </c>
      <c r="EE180">
        <f>SUM(EA180:ED180)</f>
        <v/>
      </c>
      <c r="EO180">
        <f>IFERROR(LOOKUP(2,1/('DRAFT 2'!$D:$D=$B180)*('DRAFT 2'!$A:$A&gt;=DATE(2026,5,1))*('DRAFT 2'!$A:$A&lt;DATE(2026,IF(5=12,5+1,5+1),1)),'DRAFT 2'!$A:$A),"")</f>
        <v/>
      </c>
      <c r="EP180">
        <f>COUNTIFS('DRAFT 2'!$D:$D,$B180,'DRAFT 2'!$A:$A,"&gt;="&amp;DATE(2026,5,1),'DRAFT 2'!$A:$A,"&lt;="&amp;DATE(2026,5,7))</f>
        <v/>
      </c>
      <c r="EQ180">
        <f>COUNTIFS('DRAFT 2'!$D:$D,$B180,'DRAFT 2'!$A:$A,"&gt;="&amp;DATE(2026,5,8),'DRAFT 2'!$A:$A,"&lt;="&amp;DATE(2026,5,14))</f>
        <v/>
      </c>
      <c r="ER180">
        <f>COUNTIFS('DRAFT 2'!$D:$D,$B180,'DRAFT 2'!$A:$A,"&gt;="&amp;DATE(2026,5,15),'DRAFT 2'!$A:$A,"&lt;="&amp;DATE(2026,5,21))</f>
        <v/>
      </c>
      <c r="ES180">
        <f>COUNTIFS('DRAFT 2'!$D:$D,$B180,'DRAFT 2'!$A:$A,"&gt;="&amp;DATE(2026,5,22),'DRAFT 2'!$A:$A,"&lt;"&amp;DATE(2026,IF(5=12,5+1,5+1),1))</f>
        <v/>
      </c>
      <c r="ET180">
        <f>SUM(EP180:ES180)</f>
        <v/>
      </c>
      <c r="FD180">
        <f>IFERROR(LOOKUP(2,1/('DRAFT 2'!$D:$D=$B180)*('DRAFT 2'!$A:$A&gt;=DATE(2026,6,1))*('DRAFT 2'!$A:$A&lt;DATE(2026,IF(6=12,6+1,6+1),1)),'DRAFT 2'!$A:$A),"")</f>
        <v/>
      </c>
      <c r="FE180">
        <f>COUNTIFS('DRAFT 2'!$D:$D,$B180,'DRAFT 2'!$A:$A,"&gt;="&amp;DATE(2026,6,1),'DRAFT 2'!$A:$A,"&lt;="&amp;DATE(2026,6,7))</f>
        <v/>
      </c>
      <c r="FF180">
        <f>COUNTIFS('DRAFT 2'!$D:$D,$B180,'DRAFT 2'!$A:$A,"&gt;="&amp;DATE(2026,6,8),'DRAFT 2'!$A:$A,"&lt;="&amp;DATE(2026,6,14))</f>
        <v/>
      </c>
      <c r="FG180">
        <f>COUNTIFS('DRAFT 2'!$D:$D,$B180,'DRAFT 2'!$A:$A,"&gt;="&amp;DATE(2026,6,15),'DRAFT 2'!$A:$A,"&lt;="&amp;DATE(2026,6,21))</f>
        <v/>
      </c>
      <c r="FH180">
        <f>COUNTIFS('DRAFT 2'!$D:$D,$B180,'DRAFT 2'!$A:$A,"&gt;="&amp;DATE(2026,6,22),'DRAFT 2'!$A:$A,"&lt;"&amp;DATE(2026,IF(6=12,6+1,6+1),1))</f>
        <v/>
      </c>
      <c r="FI180">
        <f>SUM(FE180:FH180)</f>
        <v/>
      </c>
      <c r="FT180">
        <f>IFERROR(LOOKUP(2,1/('DRAFT 2'!$D:$D=$B180)*('DRAFT 2'!$A:$A&gt;=DATE(2026,7,1))*('DRAFT 2'!$A:$A&lt;DATE(2026,IF(7=12,7+1,7+1),1)),'DRAFT 2'!$A:$A),"")</f>
        <v/>
      </c>
      <c r="FU180">
        <f>COUNTIFS('DRAFT 2'!$D:$D,$B180,'DRAFT 2'!$A:$A,"&gt;="&amp;DATE(2026,7,1),'DRAFT 2'!$A:$A,"&lt;="&amp;DATE(2026,7,7))</f>
        <v/>
      </c>
      <c r="FV180">
        <f>COUNTIFS('DRAFT 2'!$D:$D,$B180,'DRAFT 2'!$A:$A,"&gt;="&amp;DATE(2026,7,8),'DRAFT 2'!$A:$A,"&lt;="&amp;DATE(2026,7,14))</f>
        <v/>
      </c>
      <c r="FW180">
        <f>COUNTIFS('DRAFT 2'!$D:$D,$B180,'DRAFT 2'!$A:$A,"&gt;="&amp;DATE(2026,7,15),'DRAFT 2'!$A:$A,"&lt;="&amp;DATE(2026,7,21))</f>
        <v/>
      </c>
      <c r="FX180">
        <f>COUNTIFS('DRAFT 2'!$D:$D,$B180,'DRAFT 2'!$A:$A,"&gt;="&amp;DATE(2026,7,22),'DRAFT 2'!$A:$A,"&lt;"&amp;DATE(2026,IF(7=12,7+1,7+1),1))</f>
        <v/>
      </c>
      <c r="FY180">
        <f>SUM(FU180:FX180)</f>
        <v/>
      </c>
      <c r="GI180">
        <f>IFERROR(LOOKUP(2,1/('DRAFT 2'!$D:$D=$B180)*('DRAFT 2'!$A:$A&gt;=DATE(2026,8,1))*('DRAFT 2'!$A:$A&lt;DATE(2026,IF(8=12,8+1,8+1),1)),'DRAFT 2'!$A:$A),"")</f>
        <v/>
      </c>
      <c r="GJ180">
        <f>COUNTIFS('DRAFT 2'!$D:$D,$B180,'DRAFT 2'!$A:$A,"&gt;="&amp;DATE(2026,8,1),'DRAFT 2'!$A:$A,"&lt;="&amp;DATE(2026,8,7))</f>
        <v/>
      </c>
      <c r="GK180">
        <f>COUNTIFS('DRAFT 2'!$D:$D,$B180,'DRAFT 2'!$A:$A,"&gt;="&amp;DATE(2026,8,8),'DRAFT 2'!$A:$A,"&lt;="&amp;DATE(2026,8,14))</f>
        <v/>
      </c>
      <c r="GL180">
        <f>COUNTIFS('DRAFT 2'!$D:$D,$B180,'DRAFT 2'!$A:$A,"&gt;="&amp;DATE(2026,8,15),'DRAFT 2'!$A:$A,"&lt;="&amp;DATE(2026,8,21))</f>
        <v/>
      </c>
      <c r="GM180">
        <f>COUNTIFS('DRAFT 2'!$D:$D,$B180,'DRAFT 2'!$A:$A,"&gt;="&amp;DATE(2026,8,22),'DRAFT 2'!$A:$A,"&lt;"&amp;DATE(2026,IF(8=12,8+1,8+1),1))</f>
        <v/>
      </c>
      <c r="GN180">
        <f>SUM(GJ180:GM180)</f>
        <v/>
      </c>
      <c r="GX180">
        <f>IFERROR(LOOKUP(2,1/('DRAFT 2'!$D:$D=$B180)*('DRAFT 2'!$A:$A&gt;=DATE(2026,9,1))*('DRAFT 2'!$A:$A&lt;DATE(2026,IF(9=12,9+1,9+1),1)),'DRAFT 2'!$A:$A),"")</f>
        <v/>
      </c>
      <c r="GY180">
        <f>COUNTIFS('DRAFT 2'!$D:$D,$B180,'DRAFT 2'!$A:$A,"&gt;="&amp;DATE(2026,9,1),'DRAFT 2'!$A:$A,"&lt;="&amp;DATE(2026,9,7))</f>
        <v/>
      </c>
      <c r="GZ180">
        <f>COUNTIFS('DRAFT 2'!$D:$D,$B180,'DRAFT 2'!$A:$A,"&gt;="&amp;DATE(2026,9,8),'DRAFT 2'!$A:$A,"&lt;="&amp;DATE(2026,9,14))</f>
        <v/>
      </c>
      <c r="HA180">
        <f>COUNTIFS('DRAFT 2'!$D:$D,$B180,'DRAFT 2'!$A:$A,"&gt;="&amp;DATE(2026,9,15),'DRAFT 2'!$A:$A,"&lt;="&amp;DATE(2026,9,21))</f>
        <v/>
      </c>
      <c r="HB180">
        <f>COUNTIFS('DRAFT 2'!$D:$D,$B180,'DRAFT 2'!$A:$A,"&gt;="&amp;DATE(2026,9,22),'DRAFT 2'!$A:$A,"&lt;"&amp;DATE(2026,IF(9=12,9+1,9+1),1))</f>
        <v/>
      </c>
      <c r="HC180">
        <f>SUM(GY180:HB180)</f>
        <v/>
      </c>
      <c r="HN180">
        <f>IFERROR(LOOKUP(2,1/('DRAFT 2'!$D:$D=$B180)*('DRAFT 2'!$A:$A&gt;=DATE(2026,10,1))*('DRAFT 2'!$A:$A&lt;DATE(2026,IF(10=12,10+1,10+1),1)),'DRAFT 2'!$A:$A),"")</f>
        <v/>
      </c>
      <c r="HO180">
        <f>COUNTIFS('DRAFT 2'!$D:$D,$B180,'DRAFT 2'!$A:$A,"&gt;="&amp;DATE(2026,10,1),'DRAFT 2'!$A:$A,"&lt;="&amp;DATE(2026,10,7))</f>
        <v/>
      </c>
      <c r="HP180">
        <f>COUNTIFS('DRAFT 2'!$D:$D,$B180,'DRAFT 2'!$A:$A,"&gt;="&amp;DATE(2026,10,8),'DRAFT 2'!$A:$A,"&lt;="&amp;DATE(2026,10,14))</f>
        <v/>
      </c>
      <c r="HQ180">
        <f>COUNTIFS('DRAFT 2'!$D:$D,$B180,'DRAFT 2'!$A:$A,"&gt;="&amp;DATE(2026,10,15),'DRAFT 2'!$A:$A,"&lt;="&amp;DATE(2026,10,21))</f>
        <v/>
      </c>
      <c r="HR180">
        <f>COUNTIFS('DRAFT 2'!$D:$D,$B180,'DRAFT 2'!$A:$A,"&gt;="&amp;DATE(2026,10,22),'DRAFT 2'!$A:$A,"&lt;"&amp;DATE(2026,IF(10=12,10+1,10+1),1))</f>
        <v/>
      </c>
      <c r="HS180">
        <f>SUM(HO180:HR180)</f>
        <v/>
      </c>
      <c r="IC180">
        <f>IFERROR(LOOKUP(2,1/('DRAFT 2'!$D:$D=$B180)*('DRAFT 2'!$A:$A&gt;=DATE(2026,11,1))*('DRAFT 2'!$A:$A&lt;DATE(2026,IF(11=12,11+1,11+1),1)),'DRAFT 2'!$A:$A),"")</f>
        <v/>
      </c>
      <c r="ID180">
        <f>COUNTIFS('DRAFT 2'!$D:$D,$B180,'DRAFT 2'!$A:$A,"&gt;="&amp;DATE(2026,11,1),'DRAFT 2'!$A:$A,"&lt;="&amp;DATE(2026,11,7))</f>
        <v/>
      </c>
      <c r="IE180">
        <f>COUNTIFS('DRAFT 2'!$D:$D,$B180,'DRAFT 2'!$A:$A,"&gt;="&amp;DATE(2026,11,8),'DRAFT 2'!$A:$A,"&lt;="&amp;DATE(2026,11,14))</f>
        <v/>
      </c>
      <c r="IF180">
        <f>COUNTIFS('DRAFT 2'!$D:$D,$B180,'DRAFT 2'!$A:$A,"&gt;="&amp;DATE(2026,11,15),'DRAFT 2'!$A:$A,"&lt;="&amp;DATE(2026,11,21))</f>
        <v/>
      </c>
      <c r="IG180">
        <f>COUNTIFS('DRAFT 2'!$D:$D,$B180,'DRAFT 2'!$A:$A,"&gt;="&amp;DATE(2026,11,22),'DRAFT 2'!$A:$A,"&lt;"&amp;DATE(2026,IF(11=12,11+1,11+1),1))</f>
        <v/>
      </c>
      <c r="IH180">
        <f>SUM(ID180:IG180)</f>
        <v/>
      </c>
      <c r="IR180">
        <f>IFERROR(LOOKUP(2,1/('DRAFT 2'!$D:$D=$B180)*('DRAFT 2'!$A:$A&gt;=DATE(2026,12,1))*('DRAFT 2'!$A:$A&lt;DATE(2026,IF(12=12,12+1,12+1),1)),'DRAFT 2'!$A:$A),"")</f>
        <v/>
      </c>
      <c r="IS180">
        <f>COUNTIFS('DRAFT 2'!$D:$D,$B180,'DRAFT 2'!$A:$A,"&gt;="&amp;DATE(2026,12,1),'DRAFT 2'!$A:$A,"&lt;="&amp;DATE(2026,12,7))</f>
        <v/>
      </c>
      <c r="IT180">
        <f>COUNTIFS('DRAFT 2'!$D:$D,$B180,'DRAFT 2'!$A:$A,"&gt;="&amp;DATE(2026,12,8),'DRAFT 2'!$A:$A,"&lt;="&amp;DATE(2026,12,14))</f>
        <v/>
      </c>
      <c r="IU180">
        <f>COUNTIFS('DRAFT 2'!$D:$D,$B180,'DRAFT 2'!$A:$A,"&gt;="&amp;DATE(2026,12,15),'DRAFT 2'!$A:$A,"&lt;="&amp;DATE(2026,12,21))</f>
        <v/>
      </c>
      <c r="IV180">
        <f>COUNTIFS('DRAFT 2'!$D:$D,$B180,'DRAFT 2'!$A:$A,"&gt;="&amp;DATE(2026,12,22),'DRAFT 2'!$A:$A,"&lt;"&amp;DATE(2026,IF(12=12,12+1,12+1),1))</f>
        <v/>
      </c>
      <c r="IW180">
        <f>SUM(IS180:IV180)</f>
        <v/>
      </c>
    </row>
    <row r="181">
      <c r="A181">
        <f>IFERROR(INDEX('DRAFT 1'!$A:$A,MATCH($B181,'DRAFT 1'!$B:$B,0)),"")</f>
        <v/>
      </c>
      <c r="C181">
        <f>IFERROR(INDEX('DRAFT 1'!$C:$C,MATCH($B181,'DRAFT 1'!$B:$B,0)),"")</f>
        <v/>
      </c>
      <c r="D181">
        <f>IFERROR(INDEX('DRAFT 1'!$D:$D,MATCH($B181,'DRAFT 1'!$B:$B,0)),"")</f>
        <v/>
      </c>
      <c r="E181">
        <f>IFERROR(INDEX('DRAFT 1'!$E:$E,MATCH($B181,'DRAFT 1'!$B:$B,0)),"")</f>
        <v/>
      </c>
      <c r="F181">
        <f>IFERROR(INDEX('DRAFT 1'!$F:$F,MATCH($B181,'DRAFT 1'!$B:$B,0)),"")</f>
        <v/>
      </c>
      <c r="G181">
        <f>IFERROR(INDEX('DRAFT 1'!$G:$G,MATCH($B181,'DRAFT 1'!$B:$B,0)),"")</f>
        <v/>
      </c>
      <c r="H181">
        <f>IFERROR(INDEX('DRAFT 1'!$H:$H,MATCH($B181,'DRAFT 1'!$B:$B,0)),"")</f>
        <v/>
      </c>
      <c r="I181">
        <f>IFERROR(INDEX('DRAFT 1'!$I:$I,MATCH($B181,'DRAFT 1'!$B:$B,0)),"")</f>
        <v/>
      </c>
      <c r="K181">
        <f>IFERROR(INDEX('DRAFT 1'!$AL:$AL,MATCH($B181,'DRAFT 1'!$B:$B,0)),"")</f>
        <v/>
      </c>
      <c r="L181">
        <f>IFERROR(INDEX('DRAFT 1'!$J:$J,MATCH($B181,'DRAFT 1'!$B:$B,0)),"")</f>
        <v/>
      </c>
      <c r="M181">
        <f>IFERROR(INDEX('DRAFT 1'!$K:$K,MATCH($B181,'DRAFT 1'!$B:$B,0)),"")</f>
        <v/>
      </c>
      <c r="P181">
        <f>IFERROR(INDEX('DRAFT 1'!$L:$L,MATCH($B181,'DRAFT 1'!$B:$B,0)),"")</f>
        <v/>
      </c>
      <c r="Q181">
        <f>IFERROR(INDEX('DRAFT 1'!$M:$M,MATCH($B181,'DRAFT 1'!$B:$B,0)),"")</f>
        <v/>
      </c>
      <c r="R181">
        <f>IFERROR(INDEX('DRAFT 1'!$N:$N,MATCH($B181,'DRAFT 1'!$B:$B,0)),"")</f>
        <v/>
      </c>
      <c r="S181">
        <f>IFERROR(INDEX('DRAFT 1'!$O:$O,MATCH($B181,'DRAFT 1'!$B:$B,0)),"")</f>
        <v/>
      </c>
      <c r="T181">
        <f>IFERROR(INDEX('DRAFT 1'!$P:$P,MATCH($B181,'DRAFT 1'!$B:$B,0)),"")</f>
        <v/>
      </c>
      <c r="U181">
        <f>IFERROR(INDEX('DRAFT 1'!$Q:$Q,MATCH($B181,'DRAFT 1'!$B:$B,0)),"")</f>
        <v/>
      </c>
      <c r="V181">
        <f>IFERROR(INDEX('DRAFT 1'!$R:$R,MATCH($B181,'DRAFT 1'!$B:$B,0)),"")</f>
        <v/>
      </c>
      <c r="W181">
        <f>IFERROR(INDEX('DRAFT 1'!$S:$S,MATCH($B181,'DRAFT 1'!$B:$B,0)),"")</f>
        <v/>
      </c>
      <c r="X181">
        <f>IFERROR(INDEX('DRAFT 1'!$T:$T,MATCH($B181,'DRAFT 1'!$B:$B,0)),"")</f>
        <v/>
      </c>
      <c r="Z181">
        <f>IFERROR(INDEX('DRAFT 1'!$U:$U,MATCH($B181,'DRAFT 1'!$B:$B,0)),"")</f>
        <v/>
      </c>
      <c r="AA181">
        <f>IFERROR(INDEX('DRAFT 1'!$V:$V,MATCH($B181,'DRAFT 1'!$B:$B,0)),"")</f>
        <v/>
      </c>
      <c r="AB181">
        <f>IFERROR(INDEX('DRAFT 1'!$W:$W,MATCH($B181,'DRAFT 1'!$B:$B,0)),"")</f>
        <v/>
      </c>
      <c r="AC181">
        <f>IFERROR(INDEX('DRAFT 1'!$X:$X,MATCH($B181,'DRAFT 1'!$B:$B,0)),"")</f>
        <v/>
      </c>
      <c r="AD181">
        <f>IFERROR(INDEX('DRAFT 1'!$Y:$Y,MATCH($B181,'DRAFT 1'!$B:$B,0)),"")</f>
        <v/>
      </c>
      <c r="AE181">
        <f>IFERROR(INDEX('DRAFT 1'!$Z:$Z,MATCH($B181,'DRAFT 1'!$B:$B,0)),"")</f>
        <v/>
      </c>
      <c r="AF181">
        <f>IFERROR(INDEX('DRAFT 1'!$AA:$AA,MATCH($B181,'DRAFT 1'!$B:$B,0)),"")</f>
        <v/>
      </c>
      <c r="AG181">
        <f>IFERROR(INDEX('DRAFT 1'!$AB:$AB,MATCH($B181,'DRAFT 1'!$B:$B,0)),"")</f>
        <v/>
      </c>
      <c r="AH181">
        <f>IFERROR(INDEX('DRAFT 1'!$AC:$AC,MATCH($B181,'DRAFT 1'!$B:$B,0)),"")</f>
        <v/>
      </c>
      <c r="AI181">
        <f>IFERROR(INDEX('DRAFT 1'!$AD:$AD,MATCH($B181,'DRAFT 1'!$B:$B,0)),"")</f>
        <v/>
      </c>
      <c r="AJ181">
        <f>IFERROR(INDEX('DRAFT 1'!$AE:$AE,MATCH($B181,'DRAFT 1'!$B:$B,0)),"")</f>
        <v/>
      </c>
      <c r="AK181">
        <f>IFERROR(INDEX('DRAFT 1'!$AG:$AG,MATCH($B181,'DRAFT 1'!$B:$B,0)),"")</f>
        <v/>
      </c>
      <c r="AL181">
        <f>IFERROR(INDEX('DRAFT 1'!$AH:$AH,MATCH($B181,'DRAFT 1'!$B:$B,0)),"")</f>
        <v/>
      </c>
      <c r="AM181">
        <f>IFERROR(INDEX('DRAFT 1'!$AI:$AI,MATCH($B181,'DRAFT 1'!$B:$B,0)),"")</f>
        <v/>
      </c>
      <c r="AN181">
        <f>IFERROR(INDEX('DRAFT 1'!$AJ:$AJ,MATCH($B181,'DRAFT 1'!$B:$B,0)),"")</f>
        <v/>
      </c>
      <c r="AO181">
        <f>IFERROR(Y181/AN181,0)</f>
        <v/>
      </c>
      <c r="AP181">
        <f>IFERROR(INDEX('DRAFT 1'!$AK:$AK,MATCH($B181,'DRAFT 1'!$B:$B,0)),"")</f>
        <v/>
      </c>
      <c r="AR181">
        <f>IFERROR(LOOKUP(2,1/('DRAFT 2'!$D:$D=$B181),'DRAFT 2'!$I:$I),"")</f>
        <v/>
      </c>
      <c r="AS181">
        <f>IFERROR(LOOKUP(2,1/('DRAFT 2'!$D:$D=$B181),'DRAFT 2'!$T:$T),"")</f>
        <v/>
      </c>
      <c r="AT181">
        <f>IFERROR(LOOKUP(2,1/('DRAFT 2'!$D:$D=$B181),'DRAFT 2'!$A:$A),"")</f>
        <v/>
      </c>
      <c r="AU181">
        <f>IFERROR(LOOKUP(2,1/('DRAFT 2'!$D:$D=$B181),'DRAFT 2'!$R:$R),"")</f>
        <v/>
      </c>
      <c r="AV181">
        <f>IFERROR(LOOKUP(2,1/('DRAFT 2'!$D:$D=$B181),'DRAFT 2'!$S:$S),"")</f>
        <v/>
      </c>
      <c r="AX181">
        <f>IFERROR(LOOKUP(2,1/('DRAFT 2'!$D:$D=$B181),'DRAFT 2'!$M:$M),"")</f>
        <v/>
      </c>
      <c r="AY181">
        <f>IFERROR(LOOKUP(2,1/('DRAFT 2'!$D:$D=$B181),'DRAFT 2'!$K:$K),"")</f>
        <v/>
      </c>
      <c r="BG181">
        <f>IFERROR(LOOKUP(2,1/('DRAFT 2'!$D:$D=$B181),'DRAFT 2'!$U:$U),"")</f>
        <v/>
      </c>
      <c r="BH181">
        <f>IFERROR(LOOKUP(2,1/('DRAFT 2'!$D:$D=$B181),'DRAFT 2'!$V:$V),"")</f>
        <v/>
      </c>
      <c r="CE181">
        <f>IFERROR(AJ181,0)</f>
        <v/>
      </c>
      <c r="CF181">
        <f>IFERROR(LOOKUP(2,1/('DRAFT 2'!$D:$D=$B181)*('DRAFT 2'!$A:$A&gt;=DATE(2026,1,1))*('DRAFT 2'!$A:$A&lt;DATE(2026,IF(1=12,1+1,1+1),1)),'DRAFT 2'!$A:$A),"")</f>
        <v/>
      </c>
      <c r="CG181">
        <f>COUNTIFS('DRAFT 2'!$D:$D,$B181,'DRAFT 2'!$A:$A,"&gt;="&amp;DATE(2026,1,1),'DRAFT 2'!$A:$A,"&lt;="&amp;DATE(2026,1,7))</f>
        <v/>
      </c>
      <c r="CH181">
        <f>COUNTIFS('DRAFT 2'!$D:$D,$B181,'DRAFT 2'!$A:$A,"&gt;="&amp;DATE(2026,1,8),'DRAFT 2'!$A:$A,"&lt;="&amp;DATE(2026,1,14))</f>
        <v/>
      </c>
      <c r="CI181">
        <f>COUNTIFS('DRAFT 2'!$D:$D,$B181,'DRAFT 2'!$A:$A,"&gt;="&amp;DATE(2026,1,15),'DRAFT 2'!$A:$A,"&lt;="&amp;DATE(2026,1,21))</f>
        <v/>
      </c>
      <c r="CJ181">
        <f>COUNTIFS('DRAFT 2'!$D:$D,$B181,'DRAFT 2'!$A:$A,"&gt;="&amp;DATE(2026,1,22),'DRAFT 2'!$A:$A,"&lt;"&amp;DATE(2026,IF(1=12,1+1,1+1),1))</f>
        <v/>
      </c>
      <c r="CK181">
        <f>SUM(CG181:CJ181)</f>
        <v/>
      </c>
      <c r="CT181" t="n">
        <v>0</v>
      </c>
      <c r="CU181">
        <f>IFERROR(LOOKUP(2,1/('DRAFT 2'!$D:$D=$B181)*('DRAFT 2'!$A:$A&gt;=DATE(2026,2,1))*('DRAFT 2'!$A:$A&lt;DATE(2026,IF(2=12,2+1,2+1),1)),'DRAFT 2'!$A:$A),"")</f>
        <v/>
      </c>
      <c r="CV181">
        <f>COUNTIFS('DRAFT 2'!$D:$D,$B181,'DRAFT 2'!$A:$A,"&gt;="&amp;DATE(2026,2,1),'DRAFT 2'!$A:$A,"&lt;="&amp;DATE(2026,2,7))</f>
        <v/>
      </c>
      <c r="CW181">
        <f>COUNTIFS('DRAFT 2'!$D:$D,$B181,'DRAFT 2'!$A:$A,"&gt;="&amp;DATE(2026,2,8),'DRAFT 2'!$A:$A,"&lt;="&amp;DATE(2026,2,14))</f>
        <v/>
      </c>
      <c r="CX181">
        <f>COUNTIFS('DRAFT 2'!$D:$D,$B181,'DRAFT 2'!$A:$A,"&gt;="&amp;DATE(2026,2,15),'DRAFT 2'!$A:$A,"&lt;="&amp;DATE(2026,2,21))</f>
        <v/>
      </c>
      <c r="CY181">
        <f>COUNTIFS('DRAFT 2'!$D:$D,$B181,'DRAFT 2'!$A:$A,"&gt;="&amp;DATE(2026,2,22),'DRAFT 2'!$A:$A,"&lt;"&amp;DATE(2026,IF(2=12,2+1,2+1),1))</f>
        <v/>
      </c>
      <c r="CZ181">
        <f>SUM(CV181:CY181)</f>
        <v/>
      </c>
      <c r="DJ181">
        <f>IFERROR(LOOKUP(2,1/('DRAFT 2'!$D:$D=$B181)*('DRAFT 2'!$A:$A&gt;=DATE(2026,3,1))*('DRAFT 2'!$A:$A&lt;DATE(2026,IF(3=12,3+1,3+1),1)),'DRAFT 2'!$A:$A),"")</f>
        <v/>
      </c>
      <c r="DK181">
        <f>COUNTIFS('DRAFT 2'!$D:$D,$B181,'DRAFT 2'!$A:$A,"&gt;="&amp;DATE(2026,3,1),'DRAFT 2'!$A:$A,"&lt;="&amp;DATE(2026,3,7))</f>
        <v/>
      </c>
      <c r="DL181">
        <f>COUNTIFS('DRAFT 2'!$D:$D,$B181,'DRAFT 2'!$A:$A,"&gt;="&amp;DATE(2026,3,8),'DRAFT 2'!$A:$A,"&lt;="&amp;DATE(2026,3,14))</f>
        <v/>
      </c>
      <c r="DM181">
        <f>COUNTIFS('DRAFT 2'!$D:$D,$B181,'DRAFT 2'!$A:$A,"&gt;="&amp;DATE(2026,3,15),'DRAFT 2'!$A:$A,"&lt;="&amp;DATE(2026,3,21))</f>
        <v/>
      </c>
      <c r="DN181">
        <f>COUNTIFS('DRAFT 2'!$D:$D,$B181,'DRAFT 2'!$A:$A,"&gt;="&amp;DATE(2026,3,22),'DRAFT 2'!$A:$A,"&lt;"&amp;DATE(2026,IF(3=12,3+1,3+1),1))</f>
        <v/>
      </c>
      <c r="DO181">
        <f>SUM(DK181:DN181)</f>
        <v/>
      </c>
      <c r="DZ181">
        <f>IFERROR(LOOKUP(2,1/('DRAFT 2'!$D:$D=$B181)*('DRAFT 2'!$A:$A&gt;=DATE(2026,4,1))*('DRAFT 2'!$A:$A&lt;DATE(2026,IF(4=12,4+1,4+1),1)),'DRAFT 2'!$A:$A),"")</f>
        <v/>
      </c>
      <c r="EA181">
        <f>COUNTIFS('DRAFT 2'!$D:$D,$B181,'DRAFT 2'!$A:$A,"&gt;="&amp;DATE(2026,4,1),'DRAFT 2'!$A:$A,"&lt;="&amp;DATE(2026,4,7))</f>
        <v/>
      </c>
      <c r="EB181">
        <f>COUNTIFS('DRAFT 2'!$D:$D,$B181,'DRAFT 2'!$A:$A,"&gt;="&amp;DATE(2026,4,8),'DRAFT 2'!$A:$A,"&lt;="&amp;DATE(2026,4,14))</f>
        <v/>
      </c>
      <c r="EC181">
        <f>COUNTIFS('DRAFT 2'!$D:$D,$B181,'DRAFT 2'!$A:$A,"&gt;="&amp;DATE(2026,4,15),'DRAFT 2'!$A:$A,"&lt;="&amp;DATE(2026,4,21))</f>
        <v/>
      </c>
      <c r="ED181">
        <f>COUNTIFS('DRAFT 2'!$D:$D,$B181,'DRAFT 2'!$A:$A,"&gt;="&amp;DATE(2026,4,22),'DRAFT 2'!$A:$A,"&lt;"&amp;DATE(2026,IF(4=12,4+1,4+1),1))</f>
        <v/>
      </c>
      <c r="EE181">
        <f>SUM(EA181:ED181)</f>
        <v/>
      </c>
      <c r="EO181">
        <f>IFERROR(LOOKUP(2,1/('DRAFT 2'!$D:$D=$B181)*('DRAFT 2'!$A:$A&gt;=DATE(2026,5,1))*('DRAFT 2'!$A:$A&lt;DATE(2026,IF(5=12,5+1,5+1),1)),'DRAFT 2'!$A:$A),"")</f>
        <v/>
      </c>
      <c r="EP181">
        <f>COUNTIFS('DRAFT 2'!$D:$D,$B181,'DRAFT 2'!$A:$A,"&gt;="&amp;DATE(2026,5,1),'DRAFT 2'!$A:$A,"&lt;="&amp;DATE(2026,5,7))</f>
        <v/>
      </c>
      <c r="EQ181">
        <f>COUNTIFS('DRAFT 2'!$D:$D,$B181,'DRAFT 2'!$A:$A,"&gt;="&amp;DATE(2026,5,8),'DRAFT 2'!$A:$A,"&lt;="&amp;DATE(2026,5,14))</f>
        <v/>
      </c>
      <c r="ER181">
        <f>COUNTIFS('DRAFT 2'!$D:$D,$B181,'DRAFT 2'!$A:$A,"&gt;="&amp;DATE(2026,5,15),'DRAFT 2'!$A:$A,"&lt;="&amp;DATE(2026,5,21))</f>
        <v/>
      </c>
      <c r="ES181">
        <f>COUNTIFS('DRAFT 2'!$D:$D,$B181,'DRAFT 2'!$A:$A,"&gt;="&amp;DATE(2026,5,22),'DRAFT 2'!$A:$A,"&lt;"&amp;DATE(2026,IF(5=12,5+1,5+1),1))</f>
        <v/>
      </c>
      <c r="ET181">
        <f>SUM(EP181:ES181)</f>
        <v/>
      </c>
      <c r="FD181">
        <f>IFERROR(LOOKUP(2,1/('DRAFT 2'!$D:$D=$B181)*('DRAFT 2'!$A:$A&gt;=DATE(2026,6,1))*('DRAFT 2'!$A:$A&lt;DATE(2026,IF(6=12,6+1,6+1),1)),'DRAFT 2'!$A:$A),"")</f>
        <v/>
      </c>
      <c r="FE181">
        <f>COUNTIFS('DRAFT 2'!$D:$D,$B181,'DRAFT 2'!$A:$A,"&gt;="&amp;DATE(2026,6,1),'DRAFT 2'!$A:$A,"&lt;="&amp;DATE(2026,6,7))</f>
        <v/>
      </c>
      <c r="FF181">
        <f>COUNTIFS('DRAFT 2'!$D:$D,$B181,'DRAFT 2'!$A:$A,"&gt;="&amp;DATE(2026,6,8),'DRAFT 2'!$A:$A,"&lt;="&amp;DATE(2026,6,14))</f>
        <v/>
      </c>
      <c r="FG181">
        <f>COUNTIFS('DRAFT 2'!$D:$D,$B181,'DRAFT 2'!$A:$A,"&gt;="&amp;DATE(2026,6,15),'DRAFT 2'!$A:$A,"&lt;="&amp;DATE(2026,6,21))</f>
        <v/>
      </c>
      <c r="FH181">
        <f>COUNTIFS('DRAFT 2'!$D:$D,$B181,'DRAFT 2'!$A:$A,"&gt;="&amp;DATE(2026,6,22),'DRAFT 2'!$A:$A,"&lt;"&amp;DATE(2026,IF(6=12,6+1,6+1),1))</f>
        <v/>
      </c>
      <c r="FI181">
        <f>SUM(FE181:FH181)</f>
        <v/>
      </c>
      <c r="FT181">
        <f>IFERROR(LOOKUP(2,1/('DRAFT 2'!$D:$D=$B181)*('DRAFT 2'!$A:$A&gt;=DATE(2026,7,1))*('DRAFT 2'!$A:$A&lt;DATE(2026,IF(7=12,7+1,7+1),1)),'DRAFT 2'!$A:$A),"")</f>
        <v/>
      </c>
      <c r="FU181">
        <f>COUNTIFS('DRAFT 2'!$D:$D,$B181,'DRAFT 2'!$A:$A,"&gt;="&amp;DATE(2026,7,1),'DRAFT 2'!$A:$A,"&lt;="&amp;DATE(2026,7,7))</f>
        <v/>
      </c>
      <c r="FV181">
        <f>COUNTIFS('DRAFT 2'!$D:$D,$B181,'DRAFT 2'!$A:$A,"&gt;="&amp;DATE(2026,7,8),'DRAFT 2'!$A:$A,"&lt;="&amp;DATE(2026,7,14))</f>
        <v/>
      </c>
      <c r="FW181">
        <f>COUNTIFS('DRAFT 2'!$D:$D,$B181,'DRAFT 2'!$A:$A,"&gt;="&amp;DATE(2026,7,15),'DRAFT 2'!$A:$A,"&lt;="&amp;DATE(2026,7,21))</f>
        <v/>
      </c>
      <c r="FX181">
        <f>COUNTIFS('DRAFT 2'!$D:$D,$B181,'DRAFT 2'!$A:$A,"&gt;="&amp;DATE(2026,7,22),'DRAFT 2'!$A:$A,"&lt;"&amp;DATE(2026,IF(7=12,7+1,7+1),1))</f>
        <v/>
      </c>
      <c r="FY181">
        <f>SUM(FU181:FX181)</f>
        <v/>
      </c>
      <c r="GI181">
        <f>IFERROR(LOOKUP(2,1/('DRAFT 2'!$D:$D=$B181)*('DRAFT 2'!$A:$A&gt;=DATE(2026,8,1))*('DRAFT 2'!$A:$A&lt;DATE(2026,IF(8=12,8+1,8+1),1)),'DRAFT 2'!$A:$A),"")</f>
        <v/>
      </c>
      <c r="GJ181">
        <f>COUNTIFS('DRAFT 2'!$D:$D,$B181,'DRAFT 2'!$A:$A,"&gt;="&amp;DATE(2026,8,1),'DRAFT 2'!$A:$A,"&lt;="&amp;DATE(2026,8,7))</f>
        <v/>
      </c>
      <c r="GK181">
        <f>COUNTIFS('DRAFT 2'!$D:$D,$B181,'DRAFT 2'!$A:$A,"&gt;="&amp;DATE(2026,8,8),'DRAFT 2'!$A:$A,"&lt;="&amp;DATE(2026,8,14))</f>
        <v/>
      </c>
      <c r="GL181">
        <f>COUNTIFS('DRAFT 2'!$D:$D,$B181,'DRAFT 2'!$A:$A,"&gt;="&amp;DATE(2026,8,15),'DRAFT 2'!$A:$A,"&lt;="&amp;DATE(2026,8,21))</f>
        <v/>
      </c>
      <c r="GM181">
        <f>COUNTIFS('DRAFT 2'!$D:$D,$B181,'DRAFT 2'!$A:$A,"&gt;="&amp;DATE(2026,8,22),'DRAFT 2'!$A:$A,"&lt;"&amp;DATE(2026,IF(8=12,8+1,8+1),1))</f>
        <v/>
      </c>
      <c r="GN181">
        <f>SUM(GJ181:GM181)</f>
        <v/>
      </c>
      <c r="GX181">
        <f>IFERROR(LOOKUP(2,1/('DRAFT 2'!$D:$D=$B181)*('DRAFT 2'!$A:$A&gt;=DATE(2026,9,1))*('DRAFT 2'!$A:$A&lt;DATE(2026,IF(9=12,9+1,9+1),1)),'DRAFT 2'!$A:$A),"")</f>
        <v/>
      </c>
      <c r="GY181">
        <f>COUNTIFS('DRAFT 2'!$D:$D,$B181,'DRAFT 2'!$A:$A,"&gt;="&amp;DATE(2026,9,1),'DRAFT 2'!$A:$A,"&lt;="&amp;DATE(2026,9,7))</f>
        <v/>
      </c>
      <c r="GZ181">
        <f>COUNTIFS('DRAFT 2'!$D:$D,$B181,'DRAFT 2'!$A:$A,"&gt;="&amp;DATE(2026,9,8),'DRAFT 2'!$A:$A,"&lt;="&amp;DATE(2026,9,14))</f>
        <v/>
      </c>
      <c r="HA181">
        <f>COUNTIFS('DRAFT 2'!$D:$D,$B181,'DRAFT 2'!$A:$A,"&gt;="&amp;DATE(2026,9,15),'DRAFT 2'!$A:$A,"&lt;="&amp;DATE(2026,9,21))</f>
        <v/>
      </c>
      <c r="HB181">
        <f>COUNTIFS('DRAFT 2'!$D:$D,$B181,'DRAFT 2'!$A:$A,"&gt;="&amp;DATE(2026,9,22),'DRAFT 2'!$A:$A,"&lt;"&amp;DATE(2026,IF(9=12,9+1,9+1),1))</f>
        <v/>
      </c>
      <c r="HC181">
        <f>SUM(GY181:HB181)</f>
        <v/>
      </c>
      <c r="HN181">
        <f>IFERROR(LOOKUP(2,1/('DRAFT 2'!$D:$D=$B181)*('DRAFT 2'!$A:$A&gt;=DATE(2026,10,1))*('DRAFT 2'!$A:$A&lt;DATE(2026,IF(10=12,10+1,10+1),1)),'DRAFT 2'!$A:$A),"")</f>
        <v/>
      </c>
      <c r="HO181">
        <f>COUNTIFS('DRAFT 2'!$D:$D,$B181,'DRAFT 2'!$A:$A,"&gt;="&amp;DATE(2026,10,1),'DRAFT 2'!$A:$A,"&lt;="&amp;DATE(2026,10,7))</f>
        <v/>
      </c>
      <c r="HP181">
        <f>COUNTIFS('DRAFT 2'!$D:$D,$B181,'DRAFT 2'!$A:$A,"&gt;="&amp;DATE(2026,10,8),'DRAFT 2'!$A:$A,"&lt;="&amp;DATE(2026,10,14))</f>
        <v/>
      </c>
      <c r="HQ181">
        <f>COUNTIFS('DRAFT 2'!$D:$D,$B181,'DRAFT 2'!$A:$A,"&gt;="&amp;DATE(2026,10,15),'DRAFT 2'!$A:$A,"&lt;="&amp;DATE(2026,10,21))</f>
        <v/>
      </c>
      <c r="HR181">
        <f>COUNTIFS('DRAFT 2'!$D:$D,$B181,'DRAFT 2'!$A:$A,"&gt;="&amp;DATE(2026,10,22),'DRAFT 2'!$A:$A,"&lt;"&amp;DATE(2026,IF(10=12,10+1,10+1),1))</f>
        <v/>
      </c>
      <c r="HS181">
        <f>SUM(HO181:HR181)</f>
        <v/>
      </c>
      <c r="IC181">
        <f>IFERROR(LOOKUP(2,1/('DRAFT 2'!$D:$D=$B181)*('DRAFT 2'!$A:$A&gt;=DATE(2026,11,1))*('DRAFT 2'!$A:$A&lt;DATE(2026,IF(11=12,11+1,11+1),1)),'DRAFT 2'!$A:$A),"")</f>
        <v/>
      </c>
      <c r="ID181">
        <f>COUNTIFS('DRAFT 2'!$D:$D,$B181,'DRAFT 2'!$A:$A,"&gt;="&amp;DATE(2026,11,1),'DRAFT 2'!$A:$A,"&lt;="&amp;DATE(2026,11,7))</f>
        <v/>
      </c>
      <c r="IE181">
        <f>COUNTIFS('DRAFT 2'!$D:$D,$B181,'DRAFT 2'!$A:$A,"&gt;="&amp;DATE(2026,11,8),'DRAFT 2'!$A:$A,"&lt;="&amp;DATE(2026,11,14))</f>
        <v/>
      </c>
      <c r="IF181">
        <f>COUNTIFS('DRAFT 2'!$D:$D,$B181,'DRAFT 2'!$A:$A,"&gt;="&amp;DATE(2026,11,15),'DRAFT 2'!$A:$A,"&lt;="&amp;DATE(2026,11,21))</f>
        <v/>
      </c>
      <c r="IG181">
        <f>COUNTIFS('DRAFT 2'!$D:$D,$B181,'DRAFT 2'!$A:$A,"&gt;="&amp;DATE(2026,11,22),'DRAFT 2'!$A:$A,"&lt;"&amp;DATE(2026,IF(11=12,11+1,11+1),1))</f>
        <v/>
      </c>
      <c r="IH181">
        <f>SUM(ID181:IG181)</f>
        <v/>
      </c>
      <c r="IR181">
        <f>IFERROR(LOOKUP(2,1/('DRAFT 2'!$D:$D=$B181)*('DRAFT 2'!$A:$A&gt;=DATE(2026,12,1))*('DRAFT 2'!$A:$A&lt;DATE(2026,IF(12=12,12+1,12+1),1)),'DRAFT 2'!$A:$A),"")</f>
        <v/>
      </c>
      <c r="IS181">
        <f>COUNTIFS('DRAFT 2'!$D:$D,$B181,'DRAFT 2'!$A:$A,"&gt;="&amp;DATE(2026,12,1),'DRAFT 2'!$A:$A,"&lt;="&amp;DATE(2026,12,7))</f>
        <v/>
      </c>
      <c r="IT181">
        <f>COUNTIFS('DRAFT 2'!$D:$D,$B181,'DRAFT 2'!$A:$A,"&gt;="&amp;DATE(2026,12,8),'DRAFT 2'!$A:$A,"&lt;="&amp;DATE(2026,12,14))</f>
        <v/>
      </c>
      <c r="IU181">
        <f>COUNTIFS('DRAFT 2'!$D:$D,$B181,'DRAFT 2'!$A:$A,"&gt;="&amp;DATE(2026,12,15),'DRAFT 2'!$A:$A,"&lt;="&amp;DATE(2026,12,21))</f>
        <v/>
      </c>
      <c r="IV181">
        <f>COUNTIFS('DRAFT 2'!$D:$D,$B181,'DRAFT 2'!$A:$A,"&gt;="&amp;DATE(2026,12,22),'DRAFT 2'!$A:$A,"&lt;"&amp;DATE(2026,IF(12=12,12+1,12+1),1))</f>
        <v/>
      </c>
      <c r="IW181">
        <f>SUM(IS181:IV181)</f>
        <v/>
      </c>
    </row>
    <row r="182">
      <c r="A182">
        <f>IFERROR(INDEX('DRAFT 1'!$A:$A,MATCH($B182,'DRAFT 1'!$B:$B,0)),"")</f>
        <v/>
      </c>
      <c r="C182">
        <f>IFERROR(INDEX('DRAFT 1'!$C:$C,MATCH($B182,'DRAFT 1'!$B:$B,0)),"")</f>
        <v/>
      </c>
      <c r="D182">
        <f>IFERROR(INDEX('DRAFT 1'!$D:$D,MATCH($B182,'DRAFT 1'!$B:$B,0)),"")</f>
        <v/>
      </c>
      <c r="E182">
        <f>IFERROR(INDEX('DRAFT 1'!$E:$E,MATCH($B182,'DRAFT 1'!$B:$B,0)),"")</f>
        <v/>
      </c>
      <c r="F182">
        <f>IFERROR(INDEX('DRAFT 1'!$F:$F,MATCH($B182,'DRAFT 1'!$B:$B,0)),"")</f>
        <v/>
      </c>
      <c r="G182">
        <f>IFERROR(INDEX('DRAFT 1'!$G:$G,MATCH($B182,'DRAFT 1'!$B:$B,0)),"")</f>
        <v/>
      </c>
      <c r="H182">
        <f>IFERROR(INDEX('DRAFT 1'!$H:$H,MATCH($B182,'DRAFT 1'!$B:$B,0)),"")</f>
        <v/>
      </c>
      <c r="I182">
        <f>IFERROR(INDEX('DRAFT 1'!$I:$I,MATCH($B182,'DRAFT 1'!$B:$B,0)),"")</f>
        <v/>
      </c>
      <c r="K182">
        <f>IFERROR(INDEX('DRAFT 1'!$AL:$AL,MATCH($B182,'DRAFT 1'!$B:$B,0)),"")</f>
        <v/>
      </c>
      <c r="L182">
        <f>IFERROR(INDEX('DRAFT 1'!$J:$J,MATCH($B182,'DRAFT 1'!$B:$B,0)),"")</f>
        <v/>
      </c>
      <c r="M182">
        <f>IFERROR(INDEX('DRAFT 1'!$K:$K,MATCH($B182,'DRAFT 1'!$B:$B,0)),"")</f>
        <v/>
      </c>
      <c r="P182">
        <f>IFERROR(INDEX('DRAFT 1'!$L:$L,MATCH($B182,'DRAFT 1'!$B:$B,0)),"")</f>
        <v/>
      </c>
      <c r="Q182">
        <f>IFERROR(INDEX('DRAFT 1'!$M:$M,MATCH($B182,'DRAFT 1'!$B:$B,0)),"")</f>
        <v/>
      </c>
      <c r="R182">
        <f>IFERROR(INDEX('DRAFT 1'!$N:$N,MATCH($B182,'DRAFT 1'!$B:$B,0)),"")</f>
        <v/>
      </c>
      <c r="S182">
        <f>IFERROR(INDEX('DRAFT 1'!$O:$O,MATCH($B182,'DRAFT 1'!$B:$B,0)),"")</f>
        <v/>
      </c>
      <c r="T182">
        <f>IFERROR(INDEX('DRAFT 1'!$P:$P,MATCH($B182,'DRAFT 1'!$B:$B,0)),"")</f>
        <v/>
      </c>
      <c r="U182">
        <f>IFERROR(INDEX('DRAFT 1'!$Q:$Q,MATCH($B182,'DRAFT 1'!$B:$B,0)),"")</f>
        <v/>
      </c>
      <c r="V182">
        <f>IFERROR(INDEX('DRAFT 1'!$R:$R,MATCH($B182,'DRAFT 1'!$B:$B,0)),"")</f>
        <v/>
      </c>
      <c r="W182">
        <f>IFERROR(INDEX('DRAFT 1'!$S:$S,MATCH($B182,'DRAFT 1'!$B:$B,0)),"")</f>
        <v/>
      </c>
      <c r="X182">
        <f>IFERROR(INDEX('DRAFT 1'!$T:$T,MATCH($B182,'DRAFT 1'!$B:$B,0)),"")</f>
        <v/>
      </c>
      <c r="Z182">
        <f>IFERROR(INDEX('DRAFT 1'!$U:$U,MATCH($B182,'DRAFT 1'!$B:$B,0)),"")</f>
        <v/>
      </c>
      <c r="AA182">
        <f>IFERROR(INDEX('DRAFT 1'!$V:$V,MATCH($B182,'DRAFT 1'!$B:$B,0)),"")</f>
        <v/>
      </c>
      <c r="AB182">
        <f>IFERROR(INDEX('DRAFT 1'!$W:$W,MATCH($B182,'DRAFT 1'!$B:$B,0)),"")</f>
        <v/>
      </c>
      <c r="AC182">
        <f>IFERROR(INDEX('DRAFT 1'!$X:$X,MATCH($B182,'DRAFT 1'!$B:$B,0)),"")</f>
        <v/>
      </c>
      <c r="AD182">
        <f>IFERROR(INDEX('DRAFT 1'!$Y:$Y,MATCH($B182,'DRAFT 1'!$B:$B,0)),"")</f>
        <v/>
      </c>
      <c r="AE182">
        <f>IFERROR(INDEX('DRAFT 1'!$Z:$Z,MATCH($B182,'DRAFT 1'!$B:$B,0)),"")</f>
        <v/>
      </c>
      <c r="AF182">
        <f>IFERROR(INDEX('DRAFT 1'!$AA:$AA,MATCH($B182,'DRAFT 1'!$B:$B,0)),"")</f>
        <v/>
      </c>
      <c r="AG182">
        <f>IFERROR(INDEX('DRAFT 1'!$AB:$AB,MATCH($B182,'DRAFT 1'!$B:$B,0)),"")</f>
        <v/>
      </c>
      <c r="AH182">
        <f>IFERROR(INDEX('DRAFT 1'!$AC:$AC,MATCH($B182,'DRAFT 1'!$B:$B,0)),"")</f>
        <v/>
      </c>
      <c r="AI182">
        <f>IFERROR(INDEX('DRAFT 1'!$AD:$AD,MATCH($B182,'DRAFT 1'!$B:$B,0)),"")</f>
        <v/>
      </c>
      <c r="AJ182">
        <f>IFERROR(INDEX('DRAFT 1'!$AE:$AE,MATCH($B182,'DRAFT 1'!$B:$B,0)),"")</f>
        <v/>
      </c>
      <c r="AK182">
        <f>IFERROR(INDEX('DRAFT 1'!$AG:$AG,MATCH($B182,'DRAFT 1'!$B:$B,0)),"")</f>
        <v/>
      </c>
      <c r="AL182">
        <f>IFERROR(INDEX('DRAFT 1'!$AH:$AH,MATCH($B182,'DRAFT 1'!$B:$B,0)),"")</f>
        <v/>
      </c>
      <c r="AM182">
        <f>IFERROR(INDEX('DRAFT 1'!$AI:$AI,MATCH($B182,'DRAFT 1'!$B:$B,0)),"")</f>
        <v/>
      </c>
      <c r="AN182">
        <f>IFERROR(INDEX('DRAFT 1'!$AJ:$AJ,MATCH($B182,'DRAFT 1'!$B:$B,0)),"")</f>
        <v/>
      </c>
      <c r="AO182">
        <f>IFERROR(Y182/AN182,0)</f>
        <v/>
      </c>
      <c r="AP182">
        <f>IFERROR(INDEX('DRAFT 1'!$AK:$AK,MATCH($B182,'DRAFT 1'!$B:$B,0)),"")</f>
        <v/>
      </c>
      <c r="AR182">
        <f>IFERROR(LOOKUP(2,1/('DRAFT 2'!$D:$D=$B182),'DRAFT 2'!$I:$I),"")</f>
        <v/>
      </c>
      <c r="AS182">
        <f>IFERROR(LOOKUP(2,1/('DRAFT 2'!$D:$D=$B182),'DRAFT 2'!$T:$T),"")</f>
        <v/>
      </c>
      <c r="AT182">
        <f>IFERROR(LOOKUP(2,1/('DRAFT 2'!$D:$D=$B182),'DRAFT 2'!$A:$A),"")</f>
        <v/>
      </c>
      <c r="AU182">
        <f>IFERROR(LOOKUP(2,1/('DRAFT 2'!$D:$D=$B182),'DRAFT 2'!$R:$R),"")</f>
        <v/>
      </c>
      <c r="AV182">
        <f>IFERROR(LOOKUP(2,1/('DRAFT 2'!$D:$D=$B182),'DRAFT 2'!$S:$S),"")</f>
        <v/>
      </c>
      <c r="AX182">
        <f>IFERROR(LOOKUP(2,1/('DRAFT 2'!$D:$D=$B182),'DRAFT 2'!$M:$M),"")</f>
        <v/>
      </c>
      <c r="AY182">
        <f>IFERROR(LOOKUP(2,1/('DRAFT 2'!$D:$D=$B182),'DRAFT 2'!$K:$K),"")</f>
        <v/>
      </c>
      <c r="BG182">
        <f>IFERROR(LOOKUP(2,1/('DRAFT 2'!$D:$D=$B182),'DRAFT 2'!$U:$U),"")</f>
        <v/>
      </c>
      <c r="BH182">
        <f>IFERROR(LOOKUP(2,1/('DRAFT 2'!$D:$D=$B182),'DRAFT 2'!$V:$V),"")</f>
        <v/>
      </c>
      <c r="CE182">
        <f>IFERROR(AJ182,0)</f>
        <v/>
      </c>
      <c r="CF182">
        <f>IFERROR(LOOKUP(2,1/('DRAFT 2'!$D:$D=$B182)*('DRAFT 2'!$A:$A&gt;=DATE(2026,1,1))*('DRAFT 2'!$A:$A&lt;DATE(2026,IF(1=12,1+1,1+1),1)),'DRAFT 2'!$A:$A),"")</f>
        <v/>
      </c>
      <c r="CG182">
        <f>COUNTIFS('DRAFT 2'!$D:$D,$B182,'DRAFT 2'!$A:$A,"&gt;="&amp;DATE(2026,1,1),'DRAFT 2'!$A:$A,"&lt;="&amp;DATE(2026,1,7))</f>
        <v/>
      </c>
      <c r="CH182">
        <f>COUNTIFS('DRAFT 2'!$D:$D,$B182,'DRAFT 2'!$A:$A,"&gt;="&amp;DATE(2026,1,8),'DRAFT 2'!$A:$A,"&lt;="&amp;DATE(2026,1,14))</f>
        <v/>
      </c>
      <c r="CI182">
        <f>COUNTIFS('DRAFT 2'!$D:$D,$B182,'DRAFT 2'!$A:$A,"&gt;="&amp;DATE(2026,1,15),'DRAFT 2'!$A:$A,"&lt;="&amp;DATE(2026,1,21))</f>
        <v/>
      </c>
      <c r="CJ182">
        <f>COUNTIFS('DRAFT 2'!$D:$D,$B182,'DRAFT 2'!$A:$A,"&gt;="&amp;DATE(2026,1,22),'DRAFT 2'!$A:$A,"&lt;"&amp;DATE(2026,IF(1=12,1+1,1+1),1))</f>
        <v/>
      </c>
      <c r="CK182">
        <f>SUM(CG182:CJ182)</f>
        <v/>
      </c>
      <c r="CT182" t="n">
        <v>0</v>
      </c>
      <c r="CU182">
        <f>IFERROR(LOOKUP(2,1/('DRAFT 2'!$D:$D=$B182)*('DRAFT 2'!$A:$A&gt;=DATE(2026,2,1))*('DRAFT 2'!$A:$A&lt;DATE(2026,IF(2=12,2+1,2+1),1)),'DRAFT 2'!$A:$A),"")</f>
        <v/>
      </c>
      <c r="CV182">
        <f>COUNTIFS('DRAFT 2'!$D:$D,$B182,'DRAFT 2'!$A:$A,"&gt;="&amp;DATE(2026,2,1),'DRAFT 2'!$A:$A,"&lt;="&amp;DATE(2026,2,7))</f>
        <v/>
      </c>
      <c r="CW182">
        <f>COUNTIFS('DRAFT 2'!$D:$D,$B182,'DRAFT 2'!$A:$A,"&gt;="&amp;DATE(2026,2,8),'DRAFT 2'!$A:$A,"&lt;="&amp;DATE(2026,2,14))</f>
        <v/>
      </c>
      <c r="CX182">
        <f>COUNTIFS('DRAFT 2'!$D:$D,$B182,'DRAFT 2'!$A:$A,"&gt;="&amp;DATE(2026,2,15),'DRAFT 2'!$A:$A,"&lt;="&amp;DATE(2026,2,21))</f>
        <v/>
      </c>
      <c r="CY182">
        <f>COUNTIFS('DRAFT 2'!$D:$D,$B182,'DRAFT 2'!$A:$A,"&gt;="&amp;DATE(2026,2,22),'DRAFT 2'!$A:$A,"&lt;"&amp;DATE(2026,IF(2=12,2+1,2+1),1))</f>
        <v/>
      </c>
      <c r="CZ182">
        <f>SUM(CV182:CY182)</f>
        <v/>
      </c>
      <c r="DJ182">
        <f>IFERROR(LOOKUP(2,1/('DRAFT 2'!$D:$D=$B182)*('DRAFT 2'!$A:$A&gt;=DATE(2026,3,1))*('DRAFT 2'!$A:$A&lt;DATE(2026,IF(3=12,3+1,3+1),1)),'DRAFT 2'!$A:$A),"")</f>
        <v/>
      </c>
      <c r="DK182">
        <f>COUNTIFS('DRAFT 2'!$D:$D,$B182,'DRAFT 2'!$A:$A,"&gt;="&amp;DATE(2026,3,1),'DRAFT 2'!$A:$A,"&lt;="&amp;DATE(2026,3,7))</f>
        <v/>
      </c>
      <c r="DL182">
        <f>COUNTIFS('DRAFT 2'!$D:$D,$B182,'DRAFT 2'!$A:$A,"&gt;="&amp;DATE(2026,3,8),'DRAFT 2'!$A:$A,"&lt;="&amp;DATE(2026,3,14))</f>
        <v/>
      </c>
      <c r="DM182">
        <f>COUNTIFS('DRAFT 2'!$D:$D,$B182,'DRAFT 2'!$A:$A,"&gt;="&amp;DATE(2026,3,15),'DRAFT 2'!$A:$A,"&lt;="&amp;DATE(2026,3,21))</f>
        <v/>
      </c>
      <c r="DN182">
        <f>COUNTIFS('DRAFT 2'!$D:$D,$B182,'DRAFT 2'!$A:$A,"&gt;="&amp;DATE(2026,3,22),'DRAFT 2'!$A:$A,"&lt;"&amp;DATE(2026,IF(3=12,3+1,3+1),1))</f>
        <v/>
      </c>
      <c r="DO182">
        <f>SUM(DK182:DN182)</f>
        <v/>
      </c>
      <c r="DZ182">
        <f>IFERROR(LOOKUP(2,1/('DRAFT 2'!$D:$D=$B182)*('DRAFT 2'!$A:$A&gt;=DATE(2026,4,1))*('DRAFT 2'!$A:$A&lt;DATE(2026,IF(4=12,4+1,4+1),1)),'DRAFT 2'!$A:$A),"")</f>
        <v/>
      </c>
      <c r="EA182">
        <f>COUNTIFS('DRAFT 2'!$D:$D,$B182,'DRAFT 2'!$A:$A,"&gt;="&amp;DATE(2026,4,1),'DRAFT 2'!$A:$A,"&lt;="&amp;DATE(2026,4,7))</f>
        <v/>
      </c>
      <c r="EB182">
        <f>COUNTIFS('DRAFT 2'!$D:$D,$B182,'DRAFT 2'!$A:$A,"&gt;="&amp;DATE(2026,4,8),'DRAFT 2'!$A:$A,"&lt;="&amp;DATE(2026,4,14))</f>
        <v/>
      </c>
      <c r="EC182">
        <f>COUNTIFS('DRAFT 2'!$D:$D,$B182,'DRAFT 2'!$A:$A,"&gt;="&amp;DATE(2026,4,15),'DRAFT 2'!$A:$A,"&lt;="&amp;DATE(2026,4,21))</f>
        <v/>
      </c>
      <c r="ED182">
        <f>COUNTIFS('DRAFT 2'!$D:$D,$B182,'DRAFT 2'!$A:$A,"&gt;="&amp;DATE(2026,4,22),'DRAFT 2'!$A:$A,"&lt;"&amp;DATE(2026,IF(4=12,4+1,4+1),1))</f>
        <v/>
      </c>
      <c r="EE182">
        <f>SUM(EA182:ED182)</f>
        <v/>
      </c>
      <c r="EO182">
        <f>IFERROR(LOOKUP(2,1/('DRAFT 2'!$D:$D=$B182)*('DRAFT 2'!$A:$A&gt;=DATE(2026,5,1))*('DRAFT 2'!$A:$A&lt;DATE(2026,IF(5=12,5+1,5+1),1)),'DRAFT 2'!$A:$A),"")</f>
        <v/>
      </c>
      <c r="EP182">
        <f>COUNTIFS('DRAFT 2'!$D:$D,$B182,'DRAFT 2'!$A:$A,"&gt;="&amp;DATE(2026,5,1),'DRAFT 2'!$A:$A,"&lt;="&amp;DATE(2026,5,7))</f>
        <v/>
      </c>
      <c r="EQ182">
        <f>COUNTIFS('DRAFT 2'!$D:$D,$B182,'DRAFT 2'!$A:$A,"&gt;="&amp;DATE(2026,5,8),'DRAFT 2'!$A:$A,"&lt;="&amp;DATE(2026,5,14))</f>
        <v/>
      </c>
      <c r="ER182">
        <f>COUNTIFS('DRAFT 2'!$D:$D,$B182,'DRAFT 2'!$A:$A,"&gt;="&amp;DATE(2026,5,15),'DRAFT 2'!$A:$A,"&lt;="&amp;DATE(2026,5,21))</f>
        <v/>
      </c>
      <c r="ES182">
        <f>COUNTIFS('DRAFT 2'!$D:$D,$B182,'DRAFT 2'!$A:$A,"&gt;="&amp;DATE(2026,5,22),'DRAFT 2'!$A:$A,"&lt;"&amp;DATE(2026,IF(5=12,5+1,5+1),1))</f>
        <v/>
      </c>
      <c r="ET182">
        <f>SUM(EP182:ES182)</f>
        <v/>
      </c>
      <c r="FD182">
        <f>IFERROR(LOOKUP(2,1/('DRAFT 2'!$D:$D=$B182)*('DRAFT 2'!$A:$A&gt;=DATE(2026,6,1))*('DRAFT 2'!$A:$A&lt;DATE(2026,IF(6=12,6+1,6+1),1)),'DRAFT 2'!$A:$A),"")</f>
        <v/>
      </c>
      <c r="FE182">
        <f>COUNTIFS('DRAFT 2'!$D:$D,$B182,'DRAFT 2'!$A:$A,"&gt;="&amp;DATE(2026,6,1),'DRAFT 2'!$A:$A,"&lt;="&amp;DATE(2026,6,7))</f>
        <v/>
      </c>
      <c r="FF182">
        <f>COUNTIFS('DRAFT 2'!$D:$D,$B182,'DRAFT 2'!$A:$A,"&gt;="&amp;DATE(2026,6,8),'DRAFT 2'!$A:$A,"&lt;="&amp;DATE(2026,6,14))</f>
        <v/>
      </c>
      <c r="FG182">
        <f>COUNTIFS('DRAFT 2'!$D:$D,$B182,'DRAFT 2'!$A:$A,"&gt;="&amp;DATE(2026,6,15),'DRAFT 2'!$A:$A,"&lt;="&amp;DATE(2026,6,21))</f>
        <v/>
      </c>
      <c r="FH182">
        <f>COUNTIFS('DRAFT 2'!$D:$D,$B182,'DRAFT 2'!$A:$A,"&gt;="&amp;DATE(2026,6,22),'DRAFT 2'!$A:$A,"&lt;"&amp;DATE(2026,IF(6=12,6+1,6+1),1))</f>
        <v/>
      </c>
      <c r="FI182">
        <f>SUM(FE182:FH182)</f>
        <v/>
      </c>
      <c r="FT182">
        <f>IFERROR(LOOKUP(2,1/('DRAFT 2'!$D:$D=$B182)*('DRAFT 2'!$A:$A&gt;=DATE(2026,7,1))*('DRAFT 2'!$A:$A&lt;DATE(2026,IF(7=12,7+1,7+1),1)),'DRAFT 2'!$A:$A),"")</f>
        <v/>
      </c>
      <c r="FU182">
        <f>COUNTIFS('DRAFT 2'!$D:$D,$B182,'DRAFT 2'!$A:$A,"&gt;="&amp;DATE(2026,7,1),'DRAFT 2'!$A:$A,"&lt;="&amp;DATE(2026,7,7))</f>
        <v/>
      </c>
      <c r="FV182">
        <f>COUNTIFS('DRAFT 2'!$D:$D,$B182,'DRAFT 2'!$A:$A,"&gt;="&amp;DATE(2026,7,8),'DRAFT 2'!$A:$A,"&lt;="&amp;DATE(2026,7,14))</f>
        <v/>
      </c>
      <c r="FW182">
        <f>COUNTIFS('DRAFT 2'!$D:$D,$B182,'DRAFT 2'!$A:$A,"&gt;="&amp;DATE(2026,7,15),'DRAFT 2'!$A:$A,"&lt;="&amp;DATE(2026,7,21))</f>
        <v/>
      </c>
      <c r="FX182">
        <f>COUNTIFS('DRAFT 2'!$D:$D,$B182,'DRAFT 2'!$A:$A,"&gt;="&amp;DATE(2026,7,22),'DRAFT 2'!$A:$A,"&lt;"&amp;DATE(2026,IF(7=12,7+1,7+1),1))</f>
        <v/>
      </c>
      <c r="FY182">
        <f>SUM(FU182:FX182)</f>
        <v/>
      </c>
      <c r="GI182">
        <f>IFERROR(LOOKUP(2,1/('DRAFT 2'!$D:$D=$B182)*('DRAFT 2'!$A:$A&gt;=DATE(2026,8,1))*('DRAFT 2'!$A:$A&lt;DATE(2026,IF(8=12,8+1,8+1),1)),'DRAFT 2'!$A:$A),"")</f>
        <v/>
      </c>
      <c r="GJ182">
        <f>COUNTIFS('DRAFT 2'!$D:$D,$B182,'DRAFT 2'!$A:$A,"&gt;="&amp;DATE(2026,8,1),'DRAFT 2'!$A:$A,"&lt;="&amp;DATE(2026,8,7))</f>
        <v/>
      </c>
      <c r="GK182">
        <f>COUNTIFS('DRAFT 2'!$D:$D,$B182,'DRAFT 2'!$A:$A,"&gt;="&amp;DATE(2026,8,8),'DRAFT 2'!$A:$A,"&lt;="&amp;DATE(2026,8,14))</f>
        <v/>
      </c>
      <c r="GL182">
        <f>COUNTIFS('DRAFT 2'!$D:$D,$B182,'DRAFT 2'!$A:$A,"&gt;="&amp;DATE(2026,8,15),'DRAFT 2'!$A:$A,"&lt;="&amp;DATE(2026,8,21))</f>
        <v/>
      </c>
      <c r="GM182">
        <f>COUNTIFS('DRAFT 2'!$D:$D,$B182,'DRAFT 2'!$A:$A,"&gt;="&amp;DATE(2026,8,22),'DRAFT 2'!$A:$A,"&lt;"&amp;DATE(2026,IF(8=12,8+1,8+1),1))</f>
        <v/>
      </c>
      <c r="GN182">
        <f>SUM(GJ182:GM182)</f>
        <v/>
      </c>
      <c r="GX182">
        <f>IFERROR(LOOKUP(2,1/('DRAFT 2'!$D:$D=$B182)*('DRAFT 2'!$A:$A&gt;=DATE(2026,9,1))*('DRAFT 2'!$A:$A&lt;DATE(2026,IF(9=12,9+1,9+1),1)),'DRAFT 2'!$A:$A),"")</f>
        <v/>
      </c>
      <c r="GY182">
        <f>COUNTIFS('DRAFT 2'!$D:$D,$B182,'DRAFT 2'!$A:$A,"&gt;="&amp;DATE(2026,9,1),'DRAFT 2'!$A:$A,"&lt;="&amp;DATE(2026,9,7))</f>
        <v/>
      </c>
      <c r="GZ182">
        <f>COUNTIFS('DRAFT 2'!$D:$D,$B182,'DRAFT 2'!$A:$A,"&gt;="&amp;DATE(2026,9,8),'DRAFT 2'!$A:$A,"&lt;="&amp;DATE(2026,9,14))</f>
        <v/>
      </c>
      <c r="HA182">
        <f>COUNTIFS('DRAFT 2'!$D:$D,$B182,'DRAFT 2'!$A:$A,"&gt;="&amp;DATE(2026,9,15),'DRAFT 2'!$A:$A,"&lt;="&amp;DATE(2026,9,21))</f>
        <v/>
      </c>
      <c r="HB182">
        <f>COUNTIFS('DRAFT 2'!$D:$D,$B182,'DRAFT 2'!$A:$A,"&gt;="&amp;DATE(2026,9,22),'DRAFT 2'!$A:$A,"&lt;"&amp;DATE(2026,IF(9=12,9+1,9+1),1))</f>
        <v/>
      </c>
      <c r="HC182">
        <f>SUM(GY182:HB182)</f>
        <v/>
      </c>
      <c r="HN182">
        <f>IFERROR(LOOKUP(2,1/('DRAFT 2'!$D:$D=$B182)*('DRAFT 2'!$A:$A&gt;=DATE(2026,10,1))*('DRAFT 2'!$A:$A&lt;DATE(2026,IF(10=12,10+1,10+1),1)),'DRAFT 2'!$A:$A),"")</f>
        <v/>
      </c>
      <c r="HO182">
        <f>COUNTIFS('DRAFT 2'!$D:$D,$B182,'DRAFT 2'!$A:$A,"&gt;="&amp;DATE(2026,10,1),'DRAFT 2'!$A:$A,"&lt;="&amp;DATE(2026,10,7))</f>
        <v/>
      </c>
      <c r="HP182">
        <f>COUNTIFS('DRAFT 2'!$D:$D,$B182,'DRAFT 2'!$A:$A,"&gt;="&amp;DATE(2026,10,8),'DRAFT 2'!$A:$A,"&lt;="&amp;DATE(2026,10,14))</f>
        <v/>
      </c>
      <c r="HQ182">
        <f>COUNTIFS('DRAFT 2'!$D:$D,$B182,'DRAFT 2'!$A:$A,"&gt;="&amp;DATE(2026,10,15),'DRAFT 2'!$A:$A,"&lt;="&amp;DATE(2026,10,21))</f>
        <v/>
      </c>
      <c r="HR182">
        <f>COUNTIFS('DRAFT 2'!$D:$D,$B182,'DRAFT 2'!$A:$A,"&gt;="&amp;DATE(2026,10,22),'DRAFT 2'!$A:$A,"&lt;"&amp;DATE(2026,IF(10=12,10+1,10+1),1))</f>
        <v/>
      </c>
      <c r="HS182">
        <f>SUM(HO182:HR182)</f>
        <v/>
      </c>
      <c r="IC182">
        <f>IFERROR(LOOKUP(2,1/('DRAFT 2'!$D:$D=$B182)*('DRAFT 2'!$A:$A&gt;=DATE(2026,11,1))*('DRAFT 2'!$A:$A&lt;DATE(2026,IF(11=12,11+1,11+1),1)),'DRAFT 2'!$A:$A),"")</f>
        <v/>
      </c>
      <c r="ID182">
        <f>COUNTIFS('DRAFT 2'!$D:$D,$B182,'DRAFT 2'!$A:$A,"&gt;="&amp;DATE(2026,11,1),'DRAFT 2'!$A:$A,"&lt;="&amp;DATE(2026,11,7))</f>
        <v/>
      </c>
      <c r="IE182">
        <f>COUNTIFS('DRAFT 2'!$D:$D,$B182,'DRAFT 2'!$A:$A,"&gt;="&amp;DATE(2026,11,8),'DRAFT 2'!$A:$A,"&lt;="&amp;DATE(2026,11,14))</f>
        <v/>
      </c>
      <c r="IF182">
        <f>COUNTIFS('DRAFT 2'!$D:$D,$B182,'DRAFT 2'!$A:$A,"&gt;="&amp;DATE(2026,11,15),'DRAFT 2'!$A:$A,"&lt;="&amp;DATE(2026,11,21))</f>
        <v/>
      </c>
      <c r="IG182">
        <f>COUNTIFS('DRAFT 2'!$D:$D,$B182,'DRAFT 2'!$A:$A,"&gt;="&amp;DATE(2026,11,22),'DRAFT 2'!$A:$A,"&lt;"&amp;DATE(2026,IF(11=12,11+1,11+1),1))</f>
        <v/>
      </c>
      <c r="IH182">
        <f>SUM(ID182:IG182)</f>
        <v/>
      </c>
      <c r="IR182">
        <f>IFERROR(LOOKUP(2,1/('DRAFT 2'!$D:$D=$B182)*('DRAFT 2'!$A:$A&gt;=DATE(2026,12,1))*('DRAFT 2'!$A:$A&lt;DATE(2026,IF(12=12,12+1,12+1),1)),'DRAFT 2'!$A:$A),"")</f>
        <v/>
      </c>
      <c r="IS182">
        <f>COUNTIFS('DRAFT 2'!$D:$D,$B182,'DRAFT 2'!$A:$A,"&gt;="&amp;DATE(2026,12,1),'DRAFT 2'!$A:$A,"&lt;="&amp;DATE(2026,12,7))</f>
        <v/>
      </c>
      <c r="IT182">
        <f>COUNTIFS('DRAFT 2'!$D:$D,$B182,'DRAFT 2'!$A:$A,"&gt;="&amp;DATE(2026,12,8),'DRAFT 2'!$A:$A,"&lt;="&amp;DATE(2026,12,14))</f>
        <v/>
      </c>
      <c r="IU182">
        <f>COUNTIFS('DRAFT 2'!$D:$D,$B182,'DRAFT 2'!$A:$A,"&gt;="&amp;DATE(2026,12,15),'DRAFT 2'!$A:$A,"&lt;="&amp;DATE(2026,12,21))</f>
        <v/>
      </c>
      <c r="IV182">
        <f>COUNTIFS('DRAFT 2'!$D:$D,$B182,'DRAFT 2'!$A:$A,"&gt;="&amp;DATE(2026,12,22),'DRAFT 2'!$A:$A,"&lt;"&amp;DATE(2026,IF(12=12,12+1,12+1),1))</f>
        <v/>
      </c>
      <c r="IW182">
        <f>SUM(IS182:IV182)</f>
        <v/>
      </c>
    </row>
    <row r="183">
      <c r="A183">
        <f>IFERROR(INDEX('DRAFT 1'!$A:$A,MATCH($B183,'DRAFT 1'!$B:$B,0)),"")</f>
        <v/>
      </c>
      <c r="C183">
        <f>IFERROR(INDEX('DRAFT 1'!$C:$C,MATCH($B183,'DRAFT 1'!$B:$B,0)),"")</f>
        <v/>
      </c>
      <c r="D183">
        <f>IFERROR(INDEX('DRAFT 1'!$D:$D,MATCH($B183,'DRAFT 1'!$B:$B,0)),"")</f>
        <v/>
      </c>
      <c r="E183">
        <f>IFERROR(INDEX('DRAFT 1'!$E:$E,MATCH($B183,'DRAFT 1'!$B:$B,0)),"")</f>
        <v/>
      </c>
      <c r="F183">
        <f>IFERROR(INDEX('DRAFT 1'!$F:$F,MATCH($B183,'DRAFT 1'!$B:$B,0)),"")</f>
        <v/>
      </c>
      <c r="G183">
        <f>IFERROR(INDEX('DRAFT 1'!$G:$G,MATCH($B183,'DRAFT 1'!$B:$B,0)),"")</f>
        <v/>
      </c>
      <c r="H183">
        <f>IFERROR(INDEX('DRAFT 1'!$H:$H,MATCH($B183,'DRAFT 1'!$B:$B,0)),"")</f>
        <v/>
      </c>
      <c r="I183">
        <f>IFERROR(INDEX('DRAFT 1'!$I:$I,MATCH($B183,'DRAFT 1'!$B:$B,0)),"")</f>
        <v/>
      </c>
      <c r="K183">
        <f>IFERROR(INDEX('DRAFT 1'!$AL:$AL,MATCH($B183,'DRAFT 1'!$B:$B,0)),"")</f>
        <v/>
      </c>
      <c r="L183">
        <f>IFERROR(INDEX('DRAFT 1'!$J:$J,MATCH($B183,'DRAFT 1'!$B:$B,0)),"")</f>
        <v/>
      </c>
      <c r="M183">
        <f>IFERROR(INDEX('DRAFT 1'!$K:$K,MATCH($B183,'DRAFT 1'!$B:$B,0)),"")</f>
        <v/>
      </c>
      <c r="P183">
        <f>IFERROR(INDEX('DRAFT 1'!$L:$L,MATCH($B183,'DRAFT 1'!$B:$B,0)),"")</f>
        <v/>
      </c>
      <c r="Q183">
        <f>IFERROR(INDEX('DRAFT 1'!$M:$M,MATCH($B183,'DRAFT 1'!$B:$B,0)),"")</f>
        <v/>
      </c>
      <c r="R183">
        <f>IFERROR(INDEX('DRAFT 1'!$N:$N,MATCH($B183,'DRAFT 1'!$B:$B,0)),"")</f>
        <v/>
      </c>
      <c r="S183">
        <f>IFERROR(INDEX('DRAFT 1'!$O:$O,MATCH($B183,'DRAFT 1'!$B:$B,0)),"")</f>
        <v/>
      </c>
      <c r="T183">
        <f>IFERROR(INDEX('DRAFT 1'!$P:$P,MATCH($B183,'DRAFT 1'!$B:$B,0)),"")</f>
        <v/>
      </c>
      <c r="U183">
        <f>IFERROR(INDEX('DRAFT 1'!$Q:$Q,MATCH($B183,'DRAFT 1'!$B:$B,0)),"")</f>
        <v/>
      </c>
      <c r="V183">
        <f>IFERROR(INDEX('DRAFT 1'!$R:$R,MATCH($B183,'DRAFT 1'!$B:$B,0)),"")</f>
        <v/>
      </c>
      <c r="W183">
        <f>IFERROR(INDEX('DRAFT 1'!$S:$S,MATCH($B183,'DRAFT 1'!$B:$B,0)),"")</f>
        <v/>
      </c>
      <c r="X183">
        <f>IFERROR(INDEX('DRAFT 1'!$T:$T,MATCH($B183,'DRAFT 1'!$B:$B,0)),"")</f>
        <v/>
      </c>
      <c r="Z183">
        <f>IFERROR(INDEX('DRAFT 1'!$U:$U,MATCH($B183,'DRAFT 1'!$B:$B,0)),"")</f>
        <v/>
      </c>
      <c r="AA183">
        <f>IFERROR(INDEX('DRAFT 1'!$V:$V,MATCH($B183,'DRAFT 1'!$B:$B,0)),"")</f>
        <v/>
      </c>
      <c r="AB183">
        <f>IFERROR(INDEX('DRAFT 1'!$W:$W,MATCH($B183,'DRAFT 1'!$B:$B,0)),"")</f>
        <v/>
      </c>
      <c r="AC183">
        <f>IFERROR(INDEX('DRAFT 1'!$X:$X,MATCH($B183,'DRAFT 1'!$B:$B,0)),"")</f>
        <v/>
      </c>
      <c r="AD183">
        <f>IFERROR(INDEX('DRAFT 1'!$Y:$Y,MATCH($B183,'DRAFT 1'!$B:$B,0)),"")</f>
        <v/>
      </c>
      <c r="AE183">
        <f>IFERROR(INDEX('DRAFT 1'!$Z:$Z,MATCH($B183,'DRAFT 1'!$B:$B,0)),"")</f>
        <v/>
      </c>
      <c r="AF183">
        <f>IFERROR(INDEX('DRAFT 1'!$AA:$AA,MATCH($B183,'DRAFT 1'!$B:$B,0)),"")</f>
        <v/>
      </c>
      <c r="AG183">
        <f>IFERROR(INDEX('DRAFT 1'!$AB:$AB,MATCH($B183,'DRAFT 1'!$B:$B,0)),"")</f>
        <v/>
      </c>
      <c r="AH183">
        <f>IFERROR(INDEX('DRAFT 1'!$AC:$AC,MATCH($B183,'DRAFT 1'!$B:$B,0)),"")</f>
        <v/>
      </c>
      <c r="AI183">
        <f>IFERROR(INDEX('DRAFT 1'!$AD:$AD,MATCH($B183,'DRAFT 1'!$B:$B,0)),"")</f>
        <v/>
      </c>
      <c r="AJ183">
        <f>IFERROR(INDEX('DRAFT 1'!$AE:$AE,MATCH($B183,'DRAFT 1'!$B:$B,0)),"")</f>
        <v/>
      </c>
      <c r="AK183">
        <f>IFERROR(INDEX('DRAFT 1'!$AG:$AG,MATCH($B183,'DRAFT 1'!$B:$B,0)),"")</f>
        <v/>
      </c>
      <c r="AL183">
        <f>IFERROR(INDEX('DRAFT 1'!$AH:$AH,MATCH($B183,'DRAFT 1'!$B:$B,0)),"")</f>
        <v/>
      </c>
      <c r="AM183">
        <f>IFERROR(INDEX('DRAFT 1'!$AI:$AI,MATCH($B183,'DRAFT 1'!$B:$B,0)),"")</f>
        <v/>
      </c>
      <c r="AN183">
        <f>IFERROR(INDEX('DRAFT 1'!$AJ:$AJ,MATCH($B183,'DRAFT 1'!$B:$B,0)),"")</f>
        <v/>
      </c>
      <c r="AO183">
        <f>IFERROR(Y183/AN183,0)</f>
        <v/>
      </c>
      <c r="AP183">
        <f>IFERROR(INDEX('DRAFT 1'!$AK:$AK,MATCH($B183,'DRAFT 1'!$B:$B,0)),"")</f>
        <v/>
      </c>
      <c r="AR183">
        <f>IFERROR(LOOKUP(2,1/('DRAFT 2'!$D:$D=$B183),'DRAFT 2'!$I:$I),"")</f>
        <v/>
      </c>
      <c r="AS183">
        <f>IFERROR(LOOKUP(2,1/('DRAFT 2'!$D:$D=$B183),'DRAFT 2'!$T:$T),"")</f>
        <v/>
      </c>
      <c r="AT183">
        <f>IFERROR(LOOKUP(2,1/('DRAFT 2'!$D:$D=$B183),'DRAFT 2'!$A:$A),"")</f>
        <v/>
      </c>
      <c r="AU183">
        <f>IFERROR(LOOKUP(2,1/('DRAFT 2'!$D:$D=$B183),'DRAFT 2'!$R:$R),"")</f>
        <v/>
      </c>
      <c r="AV183">
        <f>IFERROR(LOOKUP(2,1/('DRAFT 2'!$D:$D=$B183),'DRAFT 2'!$S:$S),"")</f>
        <v/>
      </c>
      <c r="AX183">
        <f>IFERROR(LOOKUP(2,1/('DRAFT 2'!$D:$D=$B183),'DRAFT 2'!$M:$M),"")</f>
        <v/>
      </c>
      <c r="AY183">
        <f>IFERROR(LOOKUP(2,1/('DRAFT 2'!$D:$D=$B183),'DRAFT 2'!$K:$K),"")</f>
        <v/>
      </c>
      <c r="BG183">
        <f>IFERROR(LOOKUP(2,1/('DRAFT 2'!$D:$D=$B183),'DRAFT 2'!$U:$U),"")</f>
        <v/>
      </c>
      <c r="BH183">
        <f>IFERROR(LOOKUP(2,1/('DRAFT 2'!$D:$D=$B183),'DRAFT 2'!$V:$V),"")</f>
        <v/>
      </c>
      <c r="CE183">
        <f>IFERROR(AJ183,0)</f>
        <v/>
      </c>
      <c r="CF183">
        <f>IFERROR(LOOKUP(2,1/('DRAFT 2'!$D:$D=$B183)*('DRAFT 2'!$A:$A&gt;=DATE(2026,1,1))*('DRAFT 2'!$A:$A&lt;DATE(2026,IF(1=12,1+1,1+1),1)),'DRAFT 2'!$A:$A),"")</f>
        <v/>
      </c>
      <c r="CG183">
        <f>COUNTIFS('DRAFT 2'!$D:$D,$B183,'DRAFT 2'!$A:$A,"&gt;="&amp;DATE(2026,1,1),'DRAFT 2'!$A:$A,"&lt;="&amp;DATE(2026,1,7))</f>
        <v/>
      </c>
      <c r="CH183">
        <f>COUNTIFS('DRAFT 2'!$D:$D,$B183,'DRAFT 2'!$A:$A,"&gt;="&amp;DATE(2026,1,8),'DRAFT 2'!$A:$A,"&lt;="&amp;DATE(2026,1,14))</f>
        <v/>
      </c>
      <c r="CI183">
        <f>COUNTIFS('DRAFT 2'!$D:$D,$B183,'DRAFT 2'!$A:$A,"&gt;="&amp;DATE(2026,1,15),'DRAFT 2'!$A:$A,"&lt;="&amp;DATE(2026,1,21))</f>
        <v/>
      </c>
      <c r="CJ183">
        <f>COUNTIFS('DRAFT 2'!$D:$D,$B183,'DRAFT 2'!$A:$A,"&gt;="&amp;DATE(2026,1,22),'DRAFT 2'!$A:$A,"&lt;"&amp;DATE(2026,IF(1=12,1+1,1+1),1))</f>
        <v/>
      </c>
      <c r="CK183">
        <f>SUM(CG183:CJ183)</f>
        <v/>
      </c>
      <c r="CT183" t="n">
        <v>0</v>
      </c>
      <c r="CU183">
        <f>IFERROR(LOOKUP(2,1/('DRAFT 2'!$D:$D=$B183)*('DRAFT 2'!$A:$A&gt;=DATE(2026,2,1))*('DRAFT 2'!$A:$A&lt;DATE(2026,IF(2=12,2+1,2+1),1)),'DRAFT 2'!$A:$A),"")</f>
        <v/>
      </c>
      <c r="CV183">
        <f>COUNTIFS('DRAFT 2'!$D:$D,$B183,'DRAFT 2'!$A:$A,"&gt;="&amp;DATE(2026,2,1),'DRAFT 2'!$A:$A,"&lt;="&amp;DATE(2026,2,7))</f>
        <v/>
      </c>
      <c r="CW183">
        <f>COUNTIFS('DRAFT 2'!$D:$D,$B183,'DRAFT 2'!$A:$A,"&gt;="&amp;DATE(2026,2,8),'DRAFT 2'!$A:$A,"&lt;="&amp;DATE(2026,2,14))</f>
        <v/>
      </c>
      <c r="CX183">
        <f>COUNTIFS('DRAFT 2'!$D:$D,$B183,'DRAFT 2'!$A:$A,"&gt;="&amp;DATE(2026,2,15),'DRAFT 2'!$A:$A,"&lt;="&amp;DATE(2026,2,21))</f>
        <v/>
      </c>
      <c r="CY183">
        <f>COUNTIFS('DRAFT 2'!$D:$D,$B183,'DRAFT 2'!$A:$A,"&gt;="&amp;DATE(2026,2,22),'DRAFT 2'!$A:$A,"&lt;"&amp;DATE(2026,IF(2=12,2+1,2+1),1))</f>
        <v/>
      </c>
      <c r="CZ183">
        <f>SUM(CV183:CY183)</f>
        <v/>
      </c>
      <c r="DJ183">
        <f>IFERROR(LOOKUP(2,1/('DRAFT 2'!$D:$D=$B183)*('DRAFT 2'!$A:$A&gt;=DATE(2026,3,1))*('DRAFT 2'!$A:$A&lt;DATE(2026,IF(3=12,3+1,3+1),1)),'DRAFT 2'!$A:$A),"")</f>
        <v/>
      </c>
      <c r="DK183">
        <f>COUNTIFS('DRAFT 2'!$D:$D,$B183,'DRAFT 2'!$A:$A,"&gt;="&amp;DATE(2026,3,1),'DRAFT 2'!$A:$A,"&lt;="&amp;DATE(2026,3,7))</f>
        <v/>
      </c>
      <c r="DL183">
        <f>COUNTIFS('DRAFT 2'!$D:$D,$B183,'DRAFT 2'!$A:$A,"&gt;="&amp;DATE(2026,3,8),'DRAFT 2'!$A:$A,"&lt;="&amp;DATE(2026,3,14))</f>
        <v/>
      </c>
      <c r="DM183">
        <f>COUNTIFS('DRAFT 2'!$D:$D,$B183,'DRAFT 2'!$A:$A,"&gt;="&amp;DATE(2026,3,15),'DRAFT 2'!$A:$A,"&lt;="&amp;DATE(2026,3,21))</f>
        <v/>
      </c>
      <c r="DN183">
        <f>COUNTIFS('DRAFT 2'!$D:$D,$B183,'DRAFT 2'!$A:$A,"&gt;="&amp;DATE(2026,3,22),'DRAFT 2'!$A:$A,"&lt;"&amp;DATE(2026,IF(3=12,3+1,3+1),1))</f>
        <v/>
      </c>
      <c r="DO183">
        <f>SUM(DK183:DN183)</f>
        <v/>
      </c>
      <c r="DZ183">
        <f>IFERROR(LOOKUP(2,1/('DRAFT 2'!$D:$D=$B183)*('DRAFT 2'!$A:$A&gt;=DATE(2026,4,1))*('DRAFT 2'!$A:$A&lt;DATE(2026,IF(4=12,4+1,4+1),1)),'DRAFT 2'!$A:$A),"")</f>
        <v/>
      </c>
      <c r="EA183">
        <f>COUNTIFS('DRAFT 2'!$D:$D,$B183,'DRAFT 2'!$A:$A,"&gt;="&amp;DATE(2026,4,1),'DRAFT 2'!$A:$A,"&lt;="&amp;DATE(2026,4,7))</f>
        <v/>
      </c>
      <c r="EB183">
        <f>COUNTIFS('DRAFT 2'!$D:$D,$B183,'DRAFT 2'!$A:$A,"&gt;="&amp;DATE(2026,4,8),'DRAFT 2'!$A:$A,"&lt;="&amp;DATE(2026,4,14))</f>
        <v/>
      </c>
      <c r="EC183">
        <f>COUNTIFS('DRAFT 2'!$D:$D,$B183,'DRAFT 2'!$A:$A,"&gt;="&amp;DATE(2026,4,15),'DRAFT 2'!$A:$A,"&lt;="&amp;DATE(2026,4,21))</f>
        <v/>
      </c>
      <c r="ED183">
        <f>COUNTIFS('DRAFT 2'!$D:$D,$B183,'DRAFT 2'!$A:$A,"&gt;="&amp;DATE(2026,4,22),'DRAFT 2'!$A:$A,"&lt;"&amp;DATE(2026,IF(4=12,4+1,4+1),1))</f>
        <v/>
      </c>
      <c r="EE183">
        <f>SUM(EA183:ED183)</f>
        <v/>
      </c>
      <c r="EO183">
        <f>IFERROR(LOOKUP(2,1/('DRAFT 2'!$D:$D=$B183)*('DRAFT 2'!$A:$A&gt;=DATE(2026,5,1))*('DRAFT 2'!$A:$A&lt;DATE(2026,IF(5=12,5+1,5+1),1)),'DRAFT 2'!$A:$A),"")</f>
        <v/>
      </c>
      <c r="EP183">
        <f>COUNTIFS('DRAFT 2'!$D:$D,$B183,'DRAFT 2'!$A:$A,"&gt;="&amp;DATE(2026,5,1),'DRAFT 2'!$A:$A,"&lt;="&amp;DATE(2026,5,7))</f>
        <v/>
      </c>
      <c r="EQ183">
        <f>COUNTIFS('DRAFT 2'!$D:$D,$B183,'DRAFT 2'!$A:$A,"&gt;="&amp;DATE(2026,5,8),'DRAFT 2'!$A:$A,"&lt;="&amp;DATE(2026,5,14))</f>
        <v/>
      </c>
      <c r="ER183">
        <f>COUNTIFS('DRAFT 2'!$D:$D,$B183,'DRAFT 2'!$A:$A,"&gt;="&amp;DATE(2026,5,15),'DRAFT 2'!$A:$A,"&lt;="&amp;DATE(2026,5,21))</f>
        <v/>
      </c>
      <c r="ES183">
        <f>COUNTIFS('DRAFT 2'!$D:$D,$B183,'DRAFT 2'!$A:$A,"&gt;="&amp;DATE(2026,5,22),'DRAFT 2'!$A:$A,"&lt;"&amp;DATE(2026,IF(5=12,5+1,5+1),1))</f>
        <v/>
      </c>
      <c r="ET183">
        <f>SUM(EP183:ES183)</f>
        <v/>
      </c>
      <c r="FD183">
        <f>IFERROR(LOOKUP(2,1/('DRAFT 2'!$D:$D=$B183)*('DRAFT 2'!$A:$A&gt;=DATE(2026,6,1))*('DRAFT 2'!$A:$A&lt;DATE(2026,IF(6=12,6+1,6+1),1)),'DRAFT 2'!$A:$A),"")</f>
        <v/>
      </c>
      <c r="FE183">
        <f>COUNTIFS('DRAFT 2'!$D:$D,$B183,'DRAFT 2'!$A:$A,"&gt;="&amp;DATE(2026,6,1),'DRAFT 2'!$A:$A,"&lt;="&amp;DATE(2026,6,7))</f>
        <v/>
      </c>
      <c r="FF183">
        <f>COUNTIFS('DRAFT 2'!$D:$D,$B183,'DRAFT 2'!$A:$A,"&gt;="&amp;DATE(2026,6,8),'DRAFT 2'!$A:$A,"&lt;="&amp;DATE(2026,6,14))</f>
        <v/>
      </c>
      <c r="FG183">
        <f>COUNTIFS('DRAFT 2'!$D:$D,$B183,'DRAFT 2'!$A:$A,"&gt;="&amp;DATE(2026,6,15),'DRAFT 2'!$A:$A,"&lt;="&amp;DATE(2026,6,21))</f>
        <v/>
      </c>
      <c r="FH183">
        <f>COUNTIFS('DRAFT 2'!$D:$D,$B183,'DRAFT 2'!$A:$A,"&gt;="&amp;DATE(2026,6,22),'DRAFT 2'!$A:$A,"&lt;"&amp;DATE(2026,IF(6=12,6+1,6+1),1))</f>
        <v/>
      </c>
      <c r="FI183">
        <f>SUM(FE183:FH183)</f>
        <v/>
      </c>
      <c r="FT183">
        <f>IFERROR(LOOKUP(2,1/('DRAFT 2'!$D:$D=$B183)*('DRAFT 2'!$A:$A&gt;=DATE(2026,7,1))*('DRAFT 2'!$A:$A&lt;DATE(2026,IF(7=12,7+1,7+1),1)),'DRAFT 2'!$A:$A),"")</f>
        <v/>
      </c>
      <c r="FU183">
        <f>COUNTIFS('DRAFT 2'!$D:$D,$B183,'DRAFT 2'!$A:$A,"&gt;="&amp;DATE(2026,7,1),'DRAFT 2'!$A:$A,"&lt;="&amp;DATE(2026,7,7))</f>
        <v/>
      </c>
      <c r="FV183">
        <f>COUNTIFS('DRAFT 2'!$D:$D,$B183,'DRAFT 2'!$A:$A,"&gt;="&amp;DATE(2026,7,8),'DRAFT 2'!$A:$A,"&lt;="&amp;DATE(2026,7,14))</f>
        <v/>
      </c>
      <c r="FW183">
        <f>COUNTIFS('DRAFT 2'!$D:$D,$B183,'DRAFT 2'!$A:$A,"&gt;="&amp;DATE(2026,7,15),'DRAFT 2'!$A:$A,"&lt;="&amp;DATE(2026,7,21))</f>
        <v/>
      </c>
      <c r="FX183">
        <f>COUNTIFS('DRAFT 2'!$D:$D,$B183,'DRAFT 2'!$A:$A,"&gt;="&amp;DATE(2026,7,22),'DRAFT 2'!$A:$A,"&lt;"&amp;DATE(2026,IF(7=12,7+1,7+1),1))</f>
        <v/>
      </c>
      <c r="FY183">
        <f>SUM(FU183:FX183)</f>
        <v/>
      </c>
      <c r="GI183">
        <f>IFERROR(LOOKUP(2,1/('DRAFT 2'!$D:$D=$B183)*('DRAFT 2'!$A:$A&gt;=DATE(2026,8,1))*('DRAFT 2'!$A:$A&lt;DATE(2026,IF(8=12,8+1,8+1),1)),'DRAFT 2'!$A:$A),"")</f>
        <v/>
      </c>
      <c r="GJ183">
        <f>COUNTIFS('DRAFT 2'!$D:$D,$B183,'DRAFT 2'!$A:$A,"&gt;="&amp;DATE(2026,8,1),'DRAFT 2'!$A:$A,"&lt;="&amp;DATE(2026,8,7))</f>
        <v/>
      </c>
      <c r="GK183">
        <f>COUNTIFS('DRAFT 2'!$D:$D,$B183,'DRAFT 2'!$A:$A,"&gt;="&amp;DATE(2026,8,8),'DRAFT 2'!$A:$A,"&lt;="&amp;DATE(2026,8,14))</f>
        <v/>
      </c>
      <c r="GL183">
        <f>COUNTIFS('DRAFT 2'!$D:$D,$B183,'DRAFT 2'!$A:$A,"&gt;="&amp;DATE(2026,8,15),'DRAFT 2'!$A:$A,"&lt;="&amp;DATE(2026,8,21))</f>
        <v/>
      </c>
      <c r="GM183">
        <f>COUNTIFS('DRAFT 2'!$D:$D,$B183,'DRAFT 2'!$A:$A,"&gt;="&amp;DATE(2026,8,22),'DRAFT 2'!$A:$A,"&lt;"&amp;DATE(2026,IF(8=12,8+1,8+1),1))</f>
        <v/>
      </c>
      <c r="GN183">
        <f>SUM(GJ183:GM183)</f>
        <v/>
      </c>
      <c r="GX183">
        <f>IFERROR(LOOKUP(2,1/('DRAFT 2'!$D:$D=$B183)*('DRAFT 2'!$A:$A&gt;=DATE(2026,9,1))*('DRAFT 2'!$A:$A&lt;DATE(2026,IF(9=12,9+1,9+1),1)),'DRAFT 2'!$A:$A),"")</f>
        <v/>
      </c>
      <c r="GY183">
        <f>COUNTIFS('DRAFT 2'!$D:$D,$B183,'DRAFT 2'!$A:$A,"&gt;="&amp;DATE(2026,9,1),'DRAFT 2'!$A:$A,"&lt;="&amp;DATE(2026,9,7))</f>
        <v/>
      </c>
      <c r="GZ183">
        <f>COUNTIFS('DRAFT 2'!$D:$D,$B183,'DRAFT 2'!$A:$A,"&gt;="&amp;DATE(2026,9,8),'DRAFT 2'!$A:$A,"&lt;="&amp;DATE(2026,9,14))</f>
        <v/>
      </c>
      <c r="HA183">
        <f>COUNTIFS('DRAFT 2'!$D:$D,$B183,'DRAFT 2'!$A:$A,"&gt;="&amp;DATE(2026,9,15),'DRAFT 2'!$A:$A,"&lt;="&amp;DATE(2026,9,21))</f>
        <v/>
      </c>
      <c r="HB183">
        <f>COUNTIFS('DRAFT 2'!$D:$D,$B183,'DRAFT 2'!$A:$A,"&gt;="&amp;DATE(2026,9,22),'DRAFT 2'!$A:$A,"&lt;"&amp;DATE(2026,IF(9=12,9+1,9+1),1))</f>
        <v/>
      </c>
      <c r="HC183">
        <f>SUM(GY183:HB183)</f>
        <v/>
      </c>
      <c r="HN183">
        <f>IFERROR(LOOKUP(2,1/('DRAFT 2'!$D:$D=$B183)*('DRAFT 2'!$A:$A&gt;=DATE(2026,10,1))*('DRAFT 2'!$A:$A&lt;DATE(2026,IF(10=12,10+1,10+1),1)),'DRAFT 2'!$A:$A),"")</f>
        <v/>
      </c>
      <c r="HO183">
        <f>COUNTIFS('DRAFT 2'!$D:$D,$B183,'DRAFT 2'!$A:$A,"&gt;="&amp;DATE(2026,10,1),'DRAFT 2'!$A:$A,"&lt;="&amp;DATE(2026,10,7))</f>
        <v/>
      </c>
      <c r="HP183">
        <f>COUNTIFS('DRAFT 2'!$D:$D,$B183,'DRAFT 2'!$A:$A,"&gt;="&amp;DATE(2026,10,8),'DRAFT 2'!$A:$A,"&lt;="&amp;DATE(2026,10,14))</f>
        <v/>
      </c>
      <c r="HQ183">
        <f>COUNTIFS('DRAFT 2'!$D:$D,$B183,'DRAFT 2'!$A:$A,"&gt;="&amp;DATE(2026,10,15),'DRAFT 2'!$A:$A,"&lt;="&amp;DATE(2026,10,21))</f>
        <v/>
      </c>
      <c r="HR183">
        <f>COUNTIFS('DRAFT 2'!$D:$D,$B183,'DRAFT 2'!$A:$A,"&gt;="&amp;DATE(2026,10,22),'DRAFT 2'!$A:$A,"&lt;"&amp;DATE(2026,IF(10=12,10+1,10+1),1))</f>
        <v/>
      </c>
      <c r="HS183">
        <f>SUM(HO183:HR183)</f>
        <v/>
      </c>
      <c r="IC183">
        <f>IFERROR(LOOKUP(2,1/('DRAFT 2'!$D:$D=$B183)*('DRAFT 2'!$A:$A&gt;=DATE(2026,11,1))*('DRAFT 2'!$A:$A&lt;DATE(2026,IF(11=12,11+1,11+1),1)),'DRAFT 2'!$A:$A),"")</f>
        <v/>
      </c>
      <c r="ID183">
        <f>COUNTIFS('DRAFT 2'!$D:$D,$B183,'DRAFT 2'!$A:$A,"&gt;="&amp;DATE(2026,11,1),'DRAFT 2'!$A:$A,"&lt;="&amp;DATE(2026,11,7))</f>
        <v/>
      </c>
      <c r="IE183">
        <f>COUNTIFS('DRAFT 2'!$D:$D,$B183,'DRAFT 2'!$A:$A,"&gt;="&amp;DATE(2026,11,8),'DRAFT 2'!$A:$A,"&lt;="&amp;DATE(2026,11,14))</f>
        <v/>
      </c>
      <c r="IF183">
        <f>COUNTIFS('DRAFT 2'!$D:$D,$B183,'DRAFT 2'!$A:$A,"&gt;="&amp;DATE(2026,11,15),'DRAFT 2'!$A:$A,"&lt;="&amp;DATE(2026,11,21))</f>
        <v/>
      </c>
      <c r="IG183">
        <f>COUNTIFS('DRAFT 2'!$D:$D,$B183,'DRAFT 2'!$A:$A,"&gt;="&amp;DATE(2026,11,22),'DRAFT 2'!$A:$A,"&lt;"&amp;DATE(2026,IF(11=12,11+1,11+1),1))</f>
        <v/>
      </c>
      <c r="IH183">
        <f>SUM(ID183:IG183)</f>
        <v/>
      </c>
      <c r="IR183">
        <f>IFERROR(LOOKUP(2,1/('DRAFT 2'!$D:$D=$B183)*('DRAFT 2'!$A:$A&gt;=DATE(2026,12,1))*('DRAFT 2'!$A:$A&lt;DATE(2026,IF(12=12,12+1,12+1),1)),'DRAFT 2'!$A:$A),"")</f>
        <v/>
      </c>
      <c r="IS183">
        <f>COUNTIFS('DRAFT 2'!$D:$D,$B183,'DRAFT 2'!$A:$A,"&gt;="&amp;DATE(2026,12,1),'DRAFT 2'!$A:$A,"&lt;="&amp;DATE(2026,12,7))</f>
        <v/>
      </c>
      <c r="IT183">
        <f>COUNTIFS('DRAFT 2'!$D:$D,$B183,'DRAFT 2'!$A:$A,"&gt;="&amp;DATE(2026,12,8),'DRAFT 2'!$A:$A,"&lt;="&amp;DATE(2026,12,14))</f>
        <v/>
      </c>
      <c r="IU183">
        <f>COUNTIFS('DRAFT 2'!$D:$D,$B183,'DRAFT 2'!$A:$A,"&gt;="&amp;DATE(2026,12,15),'DRAFT 2'!$A:$A,"&lt;="&amp;DATE(2026,12,21))</f>
        <v/>
      </c>
      <c r="IV183">
        <f>COUNTIFS('DRAFT 2'!$D:$D,$B183,'DRAFT 2'!$A:$A,"&gt;="&amp;DATE(2026,12,22),'DRAFT 2'!$A:$A,"&lt;"&amp;DATE(2026,IF(12=12,12+1,12+1),1))</f>
        <v/>
      </c>
      <c r="IW183">
        <f>SUM(IS183:IV183)</f>
        <v/>
      </c>
    </row>
    <row r="184">
      <c r="A184">
        <f>IFERROR(INDEX('DRAFT 1'!$A:$A,MATCH($B184,'DRAFT 1'!$B:$B,0)),"")</f>
        <v/>
      </c>
      <c r="C184">
        <f>IFERROR(INDEX('DRAFT 1'!$C:$C,MATCH($B184,'DRAFT 1'!$B:$B,0)),"")</f>
        <v/>
      </c>
      <c r="D184">
        <f>IFERROR(INDEX('DRAFT 1'!$D:$D,MATCH($B184,'DRAFT 1'!$B:$B,0)),"")</f>
        <v/>
      </c>
      <c r="E184">
        <f>IFERROR(INDEX('DRAFT 1'!$E:$E,MATCH($B184,'DRAFT 1'!$B:$B,0)),"")</f>
        <v/>
      </c>
      <c r="F184">
        <f>IFERROR(INDEX('DRAFT 1'!$F:$F,MATCH($B184,'DRAFT 1'!$B:$B,0)),"")</f>
        <v/>
      </c>
      <c r="G184">
        <f>IFERROR(INDEX('DRAFT 1'!$G:$G,MATCH($B184,'DRAFT 1'!$B:$B,0)),"")</f>
        <v/>
      </c>
      <c r="H184">
        <f>IFERROR(INDEX('DRAFT 1'!$H:$H,MATCH($B184,'DRAFT 1'!$B:$B,0)),"")</f>
        <v/>
      </c>
      <c r="I184">
        <f>IFERROR(INDEX('DRAFT 1'!$I:$I,MATCH($B184,'DRAFT 1'!$B:$B,0)),"")</f>
        <v/>
      </c>
      <c r="K184">
        <f>IFERROR(INDEX('DRAFT 1'!$AL:$AL,MATCH($B184,'DRAFT 1'!$B:$B,0)),"")</f>
        <v/>
      </c>
      <c r="L184">
        <f>IFERROR(INDEX('DRAFT 1'!$J:$J,MATCH($B184,'DRAFT 1'!$B:$B,0)),"")</f>
        <v/>
      </c>
      <c r="M184">
        <f>IFERROR(INDEX('DRAFT 1'!$K:$K,MATCH($B184,'DRAFT 1'!$B:$B,0)),"")</f>
        <v/>
      </c>
      <c r="P184">
        <f>IFERROR(INDEX('DRAFT 1'!$L:$L,MATCH($B184,'DRAFT 1'!$B:$B,0)),"")</f>
        <v/>
      </c>
      <c r="Q184">
        <f>IFERROR(INDEX('DRAFT 1'!$M:$M,MATCH($B184,'DRAFT 1'!$B:$B,0)),"")</f>
        <v/>
      </c>
      <c r="R184">
        <f>IFERROR(INDEX('DRAFT 1'!$N:$N,MATCH($B184,'DRAFT 1'!$B:$B,0)),"")</f>
        <v/>
      </c>
      <c r="S184">
        <f>IFERROR(INDEX('DRAFT 1'!$O:$O,MATCH($B184,'DRAFT 1'!$B:$B,0)),"")</f>
        <v/>
      </c>
      <c r="T184">
        <f>IFERROR(INDEX('DRAFT 1'!$P:$P,MATCH($B184,'DRAFT 1'!$B:$B,0)),"")</f>
        <v/>
      </c>
      <c r="U184">
        <f>IFERROR(INDEX('DRAFT 1'!$Q:$Q,MATCH($B184,'DRAFT 1'!$B:$B,0)),"")</f>
        <v/>
      </c>
      <c r="V184">
        <f>IFERROR(INDEX('DRAFT 1'!$R:$R,MATCH($B184,'DRAFT 1'!$B:$B,0)),"")</f>
        <v/>
      </c>
      <c r="W184">
        <f>IFERROR(INDEX('DRAFT 1'!$S:$S,MATCH($B184,'DRAFT 1'!$B:$B,0)),"")</f>
        <v/>
      </c>
      <c r="X184">
        <f>IFERROR(INDEX('DRAFT 1'!$T:$T,MATCH($B184,'DRAFT 1'!$B:$B,0)),"")</f>
        <v/>
      </c>
      <c r="Z184">
        <f>IFERROR(INDEX('DRAFT 1'!$U:$U,MATCH($B184,'DRAFT 1'!$B:$B,0)),"")</f>
        <v/>
      </c>
      <c r="AA184">
        <f>IFERROR(INDEX('DRAFT 1'!$V:$V,MATCH($B184,'DRAFT 1'!$B:$B,0)),"")</f>
        <v/>
      </c>
      <c r="AB184">
        <f>IFERROR(INDEX('DRAFT 1'!$W:$W,MATCH($B184,'DRAFT 1'!$B:$B,0)),"")</f>
        <v/>
      </c>
      <c r="AC184">
        <f>IFERROR(INDEX('DRAFT 1'!$X:$X,MATCH($B184,'DRAFT 1'!$B:$B,0)),"")</f>
        <v/>
      </c>
      <c r="AD184">
        <f>IFERROR(INDEX('DRAFT 1'!$Y:$Y,MATCH($B184,'DRAFT 1'!$B:$B,0)),"")</f>
        <v/>
      </c>
      <c r="AE184">
        <f>IFERROR(INDEX('DRAFT 1'!$Z:$Z,MATCH($B184,'DRAFT 1'!$B:$B,0)),"")</f>
        <v/>
      </c>
      <c r="AF184">
        <f>IFERROR(INDEX('DRAFT 1'!$AA:$AA,MATCH($B184,'DRAFT 1'!$B:$B,0)),"")</f>
        <v/>
      </c>
      <c r="AG184">
        <f>IFERROR(INDEX('DRAFT 1'!$AB:$AB,MATCH($B184,'DRAFT 1'!$B:$B,0)),"")</f>
        <v/>
      </c>
      <c r="AH184">
        <f>IFERROR(INDEX('DRAFT 1'!$AC:$AC,MATCH($B184,'DRAFT 1'!$B:$B,0)),"")</f>
        <v/>
      </c>
      <c r="AI184">
        <f>IFERROR(INDEX('DRAFT 1'!$AD:$AD,MATCH($B184,'DRAFT 1'!$B:$B,0)),"")</f>
        <v/>
      </c>
      <c r="AJ184">
        <f>IFERROR(INDEX('DRAFT 1'!$AE:$AE,MATCH($B184,'DRAFT 1'!$B:$B,0)),"")</f>
        <v/>
      </c>
      <c r="AK184">
        <f>IFERROR(INDEX('DRAFT 1'!$AG:$AG,MATCH($B184,'DRAFT 1'!$B:$B,0)),"")</f>
        <v/>
      </c>
      <c r="AL184">
        <f>IFERROR(INDEX('DRAFT 1'!$AH:$AH,MATCH($B184,'DRAFT 1'!$B:$B,0)),"")</f>
        <v/>
      </c>
      <c r="AM184">
        <f>IFERROR(INDEX('DRAFT 1'!$AI:$AI,MATCH($B184,'DRAFT 1'!$B:$B,0)),"")</f>
        <v/>
      </c>
      <c r="AN184">
        <f>IFERROR(INDEX('DRAFT 1'!$AJ:$AJ,MATCH($B184,'DRAFT 1'!$B:$B,0)),"")</f>
        <v/>
      </c>
      <c r="AO184">
        <f>IFERROR(Y184/AN184,0)</f>
        <v/>
      </c>
      <c r="AP184">
        <f>IFERROR(INDEX('DRAFT 1'!$AK:$AK,MATCH($B184,'DRAFT 1'!$B:$B,0)),"")</f>
        <v/>
      </c>
      <c r="AR184">
        <f>IFERROR(LOOKUP(2,1/('DRAFT 2'!$D:$D=$B184),'DRAFT 2'!$I:$I),"")</f>
        <v/>
      </c>
      <c r="AS184">
        <f>IFERROR(LOOKUP(2,1/('DRAFT 2'!$D:$D=$B184),'DRAFT 2'!$T:$T),"")</f>
        <v/>
      </c>
      <c r="AT184">
        <f>IFERROR(LOOKUP(2,1/('DRAFT 2'!$D:$D=$B184),'DRAFT 2'!$A:$A),"")</f>
        <v/>
      </c>
      <c r="AU184">
        <f>IFERROR(LOOKUP(2,1/('DRAFT 2'!$D:$D=$B184),'DRAFT 2'!$R:$R),"")</f>
        <v/>
      </c>
      <c r="AV184">
        <f>IFERROR(LOOKUP(2,1/('DRAFT 2'!$D:$D=$B184),'DRAFT 2'!$S:$S),"")</f>
        <v/>
      </c>
      <c r="AX184">
        <f>IFERROR(LOOKUP(2,1/('DRAFT 2'!$D:$D=$B184),'DRAFT 2'!$M:$M),"")</f>
        <v/>
      </c>
      <c r="AY184">
        <f>IFERROR(LOOKUP(2,1/('DRAFT 2'!$D:$D=$B184),'DRAFT 2'!$K:$K),"")</f>
        <v/>
      </c>
      <c r="BG184">
        <f>IFERROR(LOOKUP(2,1/('DRAFT 2'!$D:$D=$B184),'DRAFT 2'!$U:$U),"")</f>
        <v/>
      </c>
      <c r="BH184">
        <f>IFERROR(LOOKUP(2,1/('DRAFT 2'!$D:$D=$B184),'DRAFT 2'!$V:$V),"")</f>
        <v/>
      </c>
      <c r="CE184">
        <f>IFERROR(AJ184,0)</f>
        <v/>
      </c>
      <c r="CF184">
        <f>IFERROR(LOOKUP(2,1/('DRAFT 2'!$D:$D=$B184)*('DRAFT 2'!$A:$A&gt;=DATE(2026,1,1))*('DRAFT 2'!$A:$A&lt;DATE(2026,IF(1=12,1+1,1+1),1)),'DRAFT 2'!$A:$A),"")</f>
        <v/>
      </c>
      <c r="CG184">
        <f>COUNTIFS('DRAFT 2'!$D:$D,$B184,'DRAFT 2'!$A:$A,"&gt;="&amp;DATE(2026,1,1),'DRAFT 2'!$A:$A,"&lt;="&amp;DATE(2026,1,7))</f>
        <v/>
      </c>
      <c r="CH184">
        <f>COUNTIFS('DRAFT 2'!$D:$D,$B184,'DRAFT 2'!$A:$A,"&gt;="&amp;DATE(2026,1,8),'DRAFT 2'!$A:$A,"&lt;="&amp;DATE(2026,1,14))</f>
        <v/>
      </c>
      <c r="CI184">
        <f>COUNTIFS('DRAFT 2'!$D:$D,$B184,'DRAFT 2'!$A:$A,"&gt;="&amp;DATE(2026,1,15),'DRAFT 2'!$A:$A,"&lt;="&amp;DATE(2026,1,21))</f>
        <v/>
      </c>
      <c r="CJ184">
        <f>COUNTIFS('DRAFT 2'!$D:$D,$B184,'DRAFT 2'!$A:$A,"&gt;="&amp;DATE(2026,1,22),'DRAFT 2'!$A:$A,"&lt;"&amp;DATE(2026,IF(1=12,1+1,1+1),1))</f>
        <v/>
      </c>
      <c r="CK184">
        <f>SUM(CG184:CJ184)</f>
        <v/>
      </c>
      <c r="CT184" t="n">
        <v>0</v>
      </c>
      <c r="CU184">
        <f>IFERROR(LOOKUP(2,1/('DRAFT 2'!$D:$D=$B184)*('DRAFT 2'!$A:$A&gt;=DATE(2026,2,1))*('DRAFT 2'!$A:$A&lt;DATE(2026,IF(2=12,2+1,2+1),1)),'DRAFT 2'!$A:$A),"")</f>
        <v/>
      </c>
      <c r="CV184">
        <f>COUNTIFS('DRAFT 2'!$D:$D,$B184,'DRAFT 2'!$A:$A,"&gt;="&amp;DATE(2026,2,1),'DRAFT 2'!$A:$A,"&lt;="&amp;DATE(2026,2,7))</f>
        <v/>
      </c>
      <c r="CW184">
        <f>COUNTIFS('DRAFT 2'!$D:$D,$B184,'DRAFT 2'!$A:$A,"&gt;="&amp;DATE(2026,2,8),'DRAFT 2'!$A:$A,"&lt;="&amp;DATE(2026,2,14))</f>
        <v/>
      </c>
      <c r="CX184">
        <f>COUNTIFS('DRAFT 2'!$D:$D,$B184,'DRAFT 2'!$A:$A,"&gt;="&amp;DATE(2026,2,15),'DRAFT 2'!$A:$A,"&lt;="&amp;DATE(2026,2,21))</f>
        <v/>
      </c>
      <c r="CY184">
        <f>COUNTIFS('DRAFT 2'!$D:$D,$B184,'DRAFT 2'!$A:$A,"&gt;="&amp;DATE(2026,2,22),'DRAFT 2'!$A:$A,"&lt;"&amp;DATE(2026,IF(2=12,2+1,2+1),1))</f>
        <v/>
      </c>
      <c r="CZ184">
        <f>SUM(CV184:CY184)</f>
        <v/>
      </c>
      <c r="DJ184">
        <f>IFERROR(LOOKUP(2,1/('DRAFT 2'!$D:$D=$B184)*('DRAFT 2'!$A:$A&gt;=DATE(2026,3,1))*('DRAFT 2'!$A:$A&lt;DATE(2026,IF(3=12,3+1,3+1),1)),'DRAFT 2'!$A:$A),"")</f>
        <v/>
      </c>
      <c r="DK184">
        <f>COUNTIFS('DRAFT 2'!$D:$D,$B184,'DRAFT 2'!$A:$A,"&gt;="&amp;DATE(2026,3,1),'DRAFT 2'!$A:$A,"&lt;="&amp;DATE(2026,3,7))</f>
        <v/>
      </c>
      <c r="DL184">
        <f>COUNTIFS('DRAFT 2'!$D:$D,$B184,'DRAFT 2'!$A:$A,"&gt;="&amp;DATE(2026,3,8),'DRAFT 2'!$A:$A,"&lt;="&amp;DATE(2026,3,14))</f>
        <v/>
      </c>
      <c r="DM184">
        <f>COUNTIFS('DRAFT 2'!$D:$D,$B184,'DRAFT 2'!$A:$A,"&gt;="&amp;DATE(2026,3,15),'DRAFT 2'!$A:$A,"&lt;="&amp;DATE(2026,3,21))</f>
        <v/>
      </c>
      <c r="DN184">
        <f>COUNTIFS('DRAFT 2'!$D:$D,$B184,'DRAFT 2'!$A:$A,"&gt;="&amp;DATE(2026,3,22),'DRAFT 2'!$A:$A,"&lt;"&amp;DATE(2026,IF(3=12,3+1,3+1),1))</f>
        <v/>
      </c>
      <c r="DO184">
        <f>SUM(DK184:DN184)</f>
        <v/>
      </c>
      <c r="DZ184">
        <f>IFERROR(LOOKUP(2,1/('DRAFT 2'!$D:$D=$B184)*('DRAFT 2'!$A:$A&gt;=DATE(2026,4,1))*('DRAFT 2'!$A:$A&lt;DATE(2026,IF(4=12,4+1,4+1),1)),'DRAFT 2'!$A:$A),"")</f>
        <v/>
      </c>
      <c r="EA184">
        <f>COUNTIFS('DRAFT 2'!$D:$D,$B184,'DRAFT 2'!$A:$A,"&gt;="&amp;DATE(2026,4,1),'DRAFT 2'!$A:$A,"&lt;="&amp;DATE(2026,4,7))</f>
        <v/>
      </c>
      <c r="EB184">
        <f>COUNTIFS('DRAFT 2'!$D:$D,$B184,'DRAFT 2'!$A:$A,"&gt;="&amp;DATE(2026,4,8),'DRAFT 2'!$A:$A,"&lt;="&amp;DATE(2026,4,14))</f>
        <v/>
      </c>
      <c r="EC184">
        <f>COUNTIFS('DRAFT 2'!$D:$D,$B184,'DRAFT 2'!$A:$A,"&gt;="&amp;DATE(2026,4,15),'DRAFT 2'!$A:$A,"&lt;="&amp;DATE(2026,4,21))</f>
        <v/>
      </c>
      <c r="ED184">
        <f>COUNTIFS('DRAFT 2'!$D:$D,$B184,'DRAFT 2'!$A:$A,"&gt;="&amp;DATE(2026,4,22),'DRAFT 2'!$A:$A,"&lt;"&amp;DATE(2026,IF(4=12,4+1,4+1),1))</f>
        <v/>
      </c>
      <c r="EE184">
        <f>SUM(EA184:ED184)</f>
        <v/>
      </c>
      <c r="EO184">
        <f>IFERROR(LOOKUP(2,1/('DRAFT 2'!$D:$D=$B184)*('DRAFT 2'!$A:$A&gt;=DATE(2026,5,1))*('DRAFT 2'!$A:$A&lt;DATE(2026,IF(5=12,5+1,5+1),1)),'DRAFT 2'!$A:$A),"")</f>
        <v/>
      </c>
      <c r="EP184">
        <f>COUNTIFS('DRAFT 2'!$D:$D,$B184,'DRAFT 2'!$A:$A,"&gt;="&amp;DATE(2026,5,1),'DRAFT 2'!$A:$A,"&lt;="&amp;DATE(2026,5,7))</f>
        <v/>
      </c>
      <c r="EQ184">
        <f>COUNTIFS('DRAFT 2'!$D:$D,$B184,'DRAFT 2'!$A:$A,"&gt;="&amp;DATE(2026,5,8),'DRAFT 2'!$A:$A,"&lt;="&amp;DATE(2026,5,14))</f>
        <v/>
      </c>
      <c r="ER184">
        <f>COUNTIFS('DRAFT 2'!$D:$D,$B184,'DRAFT 2'!$A:$A,"&gt;="&amp;DATE(2026,5,15),'DRAFT 2'!$A:$A,"&lt;="&amp;DATE(2026,5,21))</f>
        <v/>
      </c>
      <c r="ES184">
        <f>COUNTIFS('DRAFT 2'!$D:$D,$B184,'DRAFT 2'!$A:$A,"&gt;="&amp;DATE(2026,5,22),'DRAFT 2'!$A:$A,"&lt;"&amp;DATE(2026,IF(5=12,5+1,5+1),1))</f>
        <v/>
      </c>
      <c r="ET184">
        <f>SUM(EP184:ES184)</f>
        <v/>
      </c>
      <c r="FD184">
        <f>IFERROR(LOOKUP(2,1/('DRAFT 2'!$D:$D=$B184)*('DRAFT 2'!$A:$A&gt;=DATE(2026,6,1))*('DRAFT 2'!$A:$A&lt;DATE(2026,IF(6=12,6+1,6+1),1)),'DRAFT 2'!$A:$A),"")</f>
        <v/>
      </c>
      <c r="FE184">
        <f>COUNTIFS('DRAFT 2'!$D:$D,$B184,'DRAFT 2'!$A:$A,"&gt;="&amp;DATE(2026,6,1),'DRAFT 2'!$A:$A,"&lt;="&amp;DATE(2026,6,7))</f>
        <v/>
      </c>
      <c r="FF184">
        <f>COUNTIFS('DRAFT 2'!$D:$D,$B184,'DRAFT 2'!$A:$A,"&gt;="&amp;DATE(2026,6,8),'DRAFT 2'!$A:$A,"&lt;="&amp;DATE(2026,6,14))</f>
        <v/>
      </c>
      <c r="FG184">
        <f>COUNTIFS('DRAFT 2'!$D:$D,$B184,'DRAFT 2'!$A:$A,"&gt;="&amp;DATE(2026,6,15),'DRAFT 2'!$A:$A,"&lt;="&amp;DATE(2026,6,21))</f>
        <v/>
      </c>
      <c r="FH184">
        <f>COUNTIFS('DRAFT 2'!$D:$D,$B184,'DRAFT 2'!$A:$A,"&gt;="&amp;DATE(2026,6,22),'DRAFT 2'!$A:$A,"&lt;"&amp;DATE(2026,IF(6=12,6+1,6+1),1))</f>
        <v/>
      </c>
      <c r="FI184">
        <f>SUM(FE184:FH184)</f>
        <v/>
      </c>
      <c r="FT184">
        <f>IFERROR(LOOKUP(2,1/('DRAFT 2'!$D:$D=$B184)*('DRAFT 2'!$A:$A&gt;=DATE(2026,7,1))*('DRAFT 2'!$A:$A&lt;DATE(2026,IF(7=12,7+1,7+1),1)),'DRAFT 2'!$A:$A),"")</f>
        <v/>
      </c>
      <c r="FU184">
        <f>COUNTIFS('DRAFT 2'!$D:$D,$B184,'DRAFT 2'!$A:$A,"&gt;="&amp;DATE(2026,7,1),'DRAFT 2'!$A:$A,"&lt;="&amp;DATE(2026,7,7))</f>
        <v/>
      </c>
      <c r="FV184">
        <f>COUNTIFS('DRAFT 2'!$D:$D,$B184,'DRAFT 2'!$A:$A,"&gt;="&amp;DATE(2026,7,8),'DRAFT 2'!$A:$A,"&lt;="&amp;DATE(2026,7,14))</f>
        <v/>
      </c>
      <c r="FW184">
        <f>COUNTIFS('DRAFT 2'!$D:$D,$B184,'DRAFT 2'!$A:$A,"&gt;="&amp;DATE(2026,7,15),'DRAFT 2'!$A:$A,"&lt;="&amp;DATE(2026,7,21))</f>
        <v/>
      </c>
      <c r="FX184">
        <f>COUNTIFS('DRAFT 2'!$D:$D,$B184,'DRAFT 2'!$A:$A,"&gt;="&amp;DATE(2026,7,22),'DRAFT 2'!$A:$A,"&lt;"&amp;DATE(2026,IF(7=12,7+1,7+1),1))</f>
        <v/>
      </c>
      <c r="FY184">
        <f>SUM(FU184:FX184)</f>
        <v/>
      </c>
      <c r="GI184">
        <f>IFERROR(LOOKUP(2,1/('DRAFT 2'!$D:$D=$B184)*('DRAFT 2'!$A:$A&gt;=DATE(2026,8,1))*('DRAFT 2'!$A:$A&lt;DATE(2026,IF(8=12,8+1,8+1),1)),'DRAFT 2'!$A:$A),"")</f>
        <v/>
      </c>
      <c r="GJ184">
        <f>COUNTIFS('DRAFT 2'!$D:$D,$B184,'DRAFT 2'!$A:$A,"&gt;="&amp;DATE(2026,8,1),'DRAFT 2'!$A:$A,"&lt;="&amp;DATE(2026,8,7))</f>
        <v/>
      </c>
      <c r="GK184">
        <f>COUNTIFS('DRAFT 2'!$D:$D,$B184,'DRAFT 2'!$A:$A,"&gt;="&amp;DATE(2026,8,8),'DRAFT 2'!$A:$A,"&lt;="&amp;DATE(2026,8,14))</f>
        <v/>
      </c>
      <c r="GL184">
        <f>COUNTIFS('DRAFT 2'!$D:$D,$B184,'DRAFT 2'!$A:$A,"&gt;="&amp;DATE(2026,8,15),'DRAFT 2'!$A:$A,"&lt;="&amp;DATE(2026,8,21))</f>
        <v/>
      </c>
      <c r="GM184">
        <f>COUNTIFS('DRAFT 2'!$D:$D,$B184,'DRAFT 2'!$A:$A,"&gt;="&amp;DATE(2026,8,22),'DRAFT 2'!$A:$A,"&lt;"&amp;DATE(2026,IF(8=12,8+1,8+1),1))</f>
        <v/>
      </c>
      <c r="GN184">
        <f>SUM(GJ184:GM184)</f>
        <v/>
      </c>
      <c r="GX184">
        <f>IFERROR(LOOKUP(2,1/('DRAFT 2'!$D:$D=$B184)*('DRAFT 2'!$A:$A&gt;=DATE(2026,9,1))*('DRAFT 2'!$A:$A&lt;DATE(2026,IF(9=12,9+1,9+1),1)),'DRAFT 2'!$A:$A),"")</f>
        <v/>
      </c>
      <c r="GY184">
        <f>COUNTIFS('DRAFT 2'!$D:$D,$B184,'DRAFT 2'!$A:$A,"&gt;="&amp;DATE(2026,9,1),'DRAFT 2'!$A:$A,"&lt;="&amp;DATE(2026,9,7))</f>
        <v/>
      </c>
      <c r="GZ184">
        <f>COUNTIFS('DRAFT 2'!$D:$D,$B184,'DRAFT 2'!$A:$A,"&gt;="&amp;DATE(2026,9,8),'DRAFT 2'!$A:$A,"&lt;="&amp;DATE(2026,9,14))</f>
        <v/>
      </c>
      <c r="HA184">
        <f>COUNTIFS('DRAFT 2'!$D:$D,$B184,'DRAFT 2'!$A:$A,"&gt;="&amp;DATE(2026,9,15),'DRAFT 2'!$A:$A,"&lt;="&amp;DATE(2026,9,21))</f>
        <v/>
      </c>
      <c r="HB184">
        <f>COUNTIFS('DRAFT 2'!$D:$D,$B184,'DRAFT 2'!$A:$A,"&gt;="&amp;DATE(2026,9,22),'DRAFT 2'!$A:$A,"&lt;"&amp;DATE(2026,IF(9=12,9+1,9+1),1))</f>
        <v/>
      </c>
      <c r="HC184">
        <f>SUM(GY184:HB184)</f>
        <v/>
      </c>
      <c r="HN184">
        <f>IFERROR(LOOKUP(2,1/('DRAFT 2'!$D:$D=$B184)*('DRAFT 2'!$A:$A&gt;=DATE(2026,10,1))*('DRAFT 2'!$A:$A&lt;DATE(2026,IF(10=12,10+1,10+1),1)),'DRAFT 2'!$A:$A),"")</f>
        <v/>
      </c>
      <c r="HO184">
        <f>COUNTIFS('DRAFT 2'!$D:$D,$B184,'DRAFT 2'!$A:$A,"&gt;="&amp;DATE(2026,10,1),'DRAFT 2'!$A:$A,"&lt;="&amp;DATE(2026,10,7))</f>
        <v/>
      </c>
      <c r="HP184">
        <f>COUNTIFS('DRAFT 2'!$D:$D,$B184,'DRAFT 2'!$A:$A,"&gt;="&amp;DATE(2026,10,8),'DRAFT 2'!$A:$A,"&lt;="&amp;DATE(2026,10,14))</f>
        <v/>
      </c>
      <c r="HQ184">
        <f>COUNTIFS('DRAFT 2'!$D:$D,$B184,'DRAFT 2'!$A:$A,"&gt;="&amp;DATE(2026,10,15),'DRAFT 2'!$A:$A,"&lt;="&amp;DATE(2026,10,21))</f>
        <v/>
      </c>
      <c r="HR184">
        <f>COUNTIFS('DRAFT 2'!$D:$D,$B184,'DRAFT 2'!$A:$A,"&gt;="&amp;DATE(2026,10,22),'DRAFT 2'!$A:$A,"&lt;"&amp;DATE(2026,IF(10=12,10+1,10+1),1))</f>
        <v/>
      </c>
      <c r="HS184">
        <f>SUM(HO184:HR184)</f>
        <v/>
      </c>
      <c r="IC184">
        <f>IFERROR(LOOKUP(2,1/('DRAFT 2'!$D:$D=$B184)*('DRAFT 2'!$A:$A&gt;=DATE(2026,11,1))*('DRAFT 2'!$A:$A&lt;DATE(2026,IF(11=12,11+1,11+1),1)),'DRAFT 2'!$A:$A),"")</f>
        <v/>
      </c>
      <c r="ID184">
        <f>COUNTIFS('DRAFT 2'!$D:$D,$B184,'DRAFT 2'!$A:$A,"&gt;="&amp;DATE(2026,11,1),'DRAFT 2'!$A:$A,"&lt;="&amp;DATE(2026,11,7))</f>
        <v/>
      </c>
      <c r="IE184">
        <f>COUNTIFS('DRAFT 2'!$D:$D,$B184,'DRAFT 2'!$A:$A,"&gt;="&amp;DATE(2026,11,8),'DRAFT 2'!$A:$A,"&lt;="&amp;DATE(2026,11,14))</f>
        <v/>
      </c>
      <c r="IF184">
        <f>COUNTIFS('DRAFT 2'!$D:$D,$B184,'DRAFT 2'!$A:$A,"&gt;="&amp;DATE(2026,11,15),'DRAFT 2'!$A:$A,"&lt;="&amp;DATE(2026,11,21))</f>
        <v/>
      </c>
      <c r="IG184">
        <f>COUNTIFS('DRAFT 2'!$D:$D,$B184,'DRAFT 2'!$A:$A,"&gt;="&amp;DATE(2026,11,22),'DRAFT 2'!$A:$A,"&lt;"&amp;DATE(2026,IF(11=12,11+1,11+1),1))</f>
        <v/>
      </c>
      <c r="IH184">
        <f>SUM(ID184:IG184)</f>
        <v/>
      </c>
      <c r="IR184">
        <f>IFERROR(LOOKUP(2,1/('DRAFT 2'!$D:$D=$B184)*('DRAFT 2'!$A:$A&gt;=DATE(2026,12,1))*('DRAFT 2'!$A:$A&lt;DATE(2026,IF(12=12,12+1,12+1),1)),'DRAFT 2'!$A:$A),"")</f>
        <v/>
      </c>
      <c r="IS184">
        <f>COUNTIFS('DRAFT 2'!$D:$D,$B184,'DRAFT 2'!$A:$A,"&gt;="&amp;DATE(2026,12,1),'DRAFT 2'!$A:$A,"&lt;="&amp;DATE(2026,12,7))</f>
        <v/>
      </c>
      <c r="IT184">
        <f>COUNTIFS('DRAFT 2'!$D:$D,$B184,'DRAFT 2'!$A:$A,"&gt;="&amp;DATE(2026,12,8),'DRAFT 2'!$A:$A,"&lt;="&amp;DATE(2026,12,14))</f>
        <v/>
      </c>
      <c r="IU184">
        <f>COUNTIFS('DRAFT 2'!$D:$D,$B184,'DRAFT 2'!$A:$A,"&gt;="&amp;DATE(2026,12,15),'DRAFT 2'!$A:$A,"&lt;="&amp;DATE(2026,12,21))</f>
        <v/>
      </c>
      <c r="IV184">
        <f>COUNTIFS('DRAFT 2'!$D:$D,$B184,'DRAFT 2'!$A:$A,"&gt;="&amp;DATE(2026,12,22),'DRAFT 2'!$A:$A,"&lt;"&amp;DATE(2026,IF(12=12,12+1,12+1),1))</f>
        <v/>
      </c>
      <c r="IW184">
        <f>SUM(IS184:IV184)</f>
        <v/>
      </c>
    </row>
    <row r="185">
      <c r="A185">
        <f>IFERROR(INDEX('DRAFT 1'!$A:$A,MATCH($B185,'DRAFT 1'!$B:$B,0)),"")</f>
        <v/>
      </c>
      <c r="C185">
        <f>IFERROR(INDEX('DRAFT 1'!$C:$C,MATCH($B185,'DRAFT 1'!$B:$B,0)),"")</f>
        <v/>
      </c>
      <c r="D185">
        <f>IFERROR(INDEX('DRAFT 1'!$D:$D,MATCH($B185,'DRAFT 1'!$B:$B,0)),"")</f>
        <v/>
      </c>
      <c r="E185">
        <f>IFERROR(INDEX('DRAFT 1'!$E:$E,MATCH($B185,'DRAFT 1'!$B:$B,0)),"")</f>
        <v/>
      </c>
      <c r="F185">
        <f>IFERROR(INDEX('DRAFT 1'!$F:$F,MATCH($B185,'DRAFT 1'!$B:$B,0)),"")</f>
        <v/>
      </c>
      <c r="G185">
        <f>IFERROR(INDEX('DRAFT 1'!$G:$G,MATCH($B185,'DRAFT 1'!$B:$B,0)),"")</f>
        <v/>
      </c>
      <c r="H185">
        <f>IFERROR(INDEX('DRAFT 1'!$H:$H,MATCH($B185,'DRAFT 1'!$B:$B,0)),"")</f>
        <v/>
      </c>
      <c r="I185">
        <f>IFERROR(INDEX('DRAFT 1'!$I:$I,MATCH($B185,'DRAFT 1'!$B:$B,0)),"")</f>
        <v/>
      </c>
      <c r="K185">
        <f>IFERROR(INDEX('DRAFT 1'!$AL:$AL,MATCH($B185,'DRAFT 1'!$B:$B,0)),"")</f>
        <v/>
      </c>
      <c r="L185">
        <f>IFERROR(INDEX('DRAFT 1'!$J:$J,MATCH($B185,'DRAFT 1'!$B:$B,0)),"")</f>
        <v/>
      </c>
      <c r="M185">
        <f>IFERROR(INDEX('DRAFT 1'!$K:$K,MATCH($B185,'DRAFT 1'!$B:$B,0)),"")</f>
        <v/>
      </c>
      <c r="P185">
        <f>IFERROR(INDEX('DRAFT 1'!$L:$L,MATCH($B185,'DRAFT 1'!$B:$B,0)),"")</f>
        <v/>
      </c>
      <c r="Q185">
        <f>IFERROR(INDEX('DRAFT 1'!$M:$M,MATCH($B185,'DRAFT 1'!$B:$B,0)),"")</f>
        <v/>
      </c>
      <c r="R185">
        <f>IFERROR(INDEX('DRAFT 1'!$N:$N,MATCH($B185,'DRAFT 1'!$B:$B,0)),"")</f>
        <v/>
      </c>
      <c r="S185">
        <f>IFERROR(INDEX('DRAFT 1'!$O:$O,MATCH($B185,'DRAFT 1'!$B:$B,0)),"")</f>
        <v/>
      </c>
      <c r="T185">
        <f>IFERROR(INDEX('DRAFT 1'!$P:$P,MATCH($B185,'DRAFT 1'!$B:$B,0)),"")</f>
        <v/>
      </c>
      <c r="U185">
        <f>IFERROR(INDEX('DRAFT 1'!$Q:$Q,MATCH($B185,'DRAFT 1'!$B:$B,0)),"")</f>
        <v/>
      </c>
      <c r="V185">
        <f>IFERROR(INDEX('DRAFT 1'!$R:$R,MATCH($B185,'DRAFT 1'!$B:$B,0)),"")</f>
        <v/>
      </c>
      <c r="W185">
        <f>IFERROR(INDEX('DRAFT 1'!$S:$S,MATCH($B185,'DRAFT 1'!$B:$B,0)),"")</f>
        <v/>
      </c>
      <c r="X185">
        <f>IFERROR(INDEX('DRAFT 1'!$T:$T,MATCH($B185,'DRAFT 1'!$B:$B,0)),"")</f>
        <v/>
      </c>
      <c r="Z185">
        <f>IFERROR(INDEX('DRAFT 1'!$U:$U,MATCH($B185,'DRAFT 1'!$B:$B,0)),"")</f>
        <v/>
      </c>
      <c r="AA185">
        <f>IFERROR(INDEX('DRAFT 1'!$V:$V,MATCH($B185,'DRAFT 1'!$B:$B,0)),"")</f>
        <v/>
      </c>
      <c r="AB185">
        <f>IFERROR(INDEX('DRAFT 1'!$W:$W,MATCH($B185,'DRAFT 1'!$B:$B,0)),"")</f>
        <v/>
      </c>
      <c r="AC185">
        <f>IFERROR(INDEX('DRAFT 1'!$X:$X,MATCH($B185,'DRAFT 1'!$B:$B,0)),"")</f>
        <v/>
      </c>
      <c r="AD185">
        <f>IFERROR(INDEX('DRAFT 1'!$Y:$Y,MATCH($B185,'DRAFT 1'!$B:$B,0)),"")</f>
        <v/>
      </c>
      <c r="AE185">
        <f>IFERROR(INDEX('DRAFT 1'!$Z:$Z,MATCH($B185,'DRAFT 1'!$B:$B,0)),"")</f>
        <v/>
      </c>
      <c r="AF185">
        <f>IFERROR(INDEX('DRAFT 1'!$AA:$AA,MATCH($B185,'DRAFT 1'!$B:$B,0)),"")</f>
        <v/>
      </c>
      <c r="AG185">
        <f>IFERROR(INDEX('DRAFT 1'!$AB:$AB,MATCH($B185,'DRAFT 1'!$B:$B,0)),"")</f>
        <v/>
      </c>
      <c r="AH185">
        <f>IFERROR(INDEX('DRAFT 1'!$AC:$AC,MATCH($B185,'DRAFT 1'!$B:$B,0)),"")</f>
        <v/>
      </c>
      <c r="AI185">
        <f>IFERROR(INDEX('DRAFT 1'!$AD:$AD,MATCH($B185,'DRAFT 1'!$B:$B,0)),"")</f>
        <v/>
      </c>
      <c r="AJ185">
        <f>IFERROR(INDEX('DRAFT 1'!$AE:$AE,MATCH($B185,'DRAFT 1'!$B:$B,0)),"")</f>
        <v/>
      </c>
      <c r="AK185">
        <f>IFERROR(INDEX('DRAFT 1'!$AG:$AG,MATCH($B185,'DRAFT 1'!$B:$B,0)),"")</f>
        <v/>
      </c>
      <c r="AL185">
        <f>IFERROR(INDEX('DRAFT 1'!$AH:$AH,MATCH($B185,'DRAFT 1'!$B:$B,0)),"")</f>
        <v/>
      </c>
      <c r="AM185">
        <f>IFERROR(INDEX('DRAFT 1'!$AI:$AI,MATCH($B185,'DRAFT 1'!$B:$B,0)),"")</f>
        <v/>
      </c>
      <c r="AN185">
        <f>IFERROR(INDEX('DRAFT 1'!$AJ:$AJ,MATCH($B185,'DRAFT 1'!$B:$B,0)),"")</f>
        <v/>
      </c>
      <c r="AO185">
        <f>IFERROR(Y185/AN185,0)</f>
        <v/>
      </c>
      <c r="AP185">
        <f>IFERROR(INDEX('DRAFT 1'!$AK:$AK,MATCH($B185,'DRAFT 1'!$B:$B,0)),"")</f>
        <v/>
      </c>
      <c r="AR185">
        <f>IFERROR(LOOKUP(2,1/('DRAFT 2'!$D:$D=$B185),'DRAFT 2'!$I:$I),"")</f>
        <v/>
      </c>
      <c r="AS185">
        <f>IFERROR(LOOKUP(2,1/('DRAFT 2'!$D:$D=$B185),'DRAFT 2'!$T:$T),"")</f>
        <v/>
      </c>
      <c r="AT185">
        <f>IFERROR(LOOKUP(2,1/('DRAFT 2'!$D:$D=$B185),'DRAFT 2'!$A:$A),"")</f>
        <v/>
      </c>
      <c r="AU185">
        <f>IFERROR(LOOKUP(2,1/('DRAFT 2'!$D:$D=$B185),'DRAFT 2'!$R:$R),"")</f>
        <v/>
      </c>
      <c r="AV185">
        <f>IFERROR(LOOKUP(2,1/('DRAFT 2'!$D:$D=$B185),'DRAFT 2'!$S:$S),"")</f>
        <v/>
      </c>
      <c r="AX185">
        <f>IFERROR(LOOKUP(2,1/('DRAFT 2'!$D:$D=$B185),'DRAFT 2'!$M:$M),"")</f>
        <v/>
      </c>
      <c r="AY185">
        <f>IFERROR(LOOKUP(2,1/('DRAFT 2'!$D:$D=$B185),'DRAFT 2'!$K:$K),"")</f>
        <v/>
      </c>
      <c r="BG185">
        <f>IFERROR(LOOKUP(2,1/('DRAFT 2'!$D:$D=$B185),'DRAFT 2'!$U:$U),"")</f>
        <v/>
      </c>
      <c r="BH185">
        <f>IFERROR(LOOKUP(2,1/('DRAFT 2'!$D:$D=$B185),'DRAFT 2'!$V:$V),"")</f>
        <v/>
      </c>
      <c r="CE185">
        <f>IFERROR(AJ185,0)</f>
        <v/>
      </c>
      <c r="CF185">
        <f>IFERROR(LOOKUP(2,1/('DRAFT 2'!$D:$D=$B185)*('DRAFT 2'!$A:$A&gt;=DATE(2026,1,1))*('DRAFT 2'!$A:$A&lt;DATE(2026,IF(1=12,1+1,1+1),1)),'DRAFT 2'!$A:$A),"")</f>
        <v/>
      </c>
      <c r="CG185">
        <f>COUNTIFS('DRAFT 2'!$D:$D,$B185,'DRAFT 2'!$A:$A,"&gt;="&amp;DATE(2026,1,1),'DRAFT 2'!$A:$A,"&lt;="&amp;DATE(2026,1,7))</f>
        <v/>
      </c>
      <c r="CH185">
        <f>COUNTIFS('DRAFT 2'!$D:$D,$B185,'DRAFT 2'!$A:$A,"&gt;="&amp;DATE(2026,1,8),'DRAFT 2'!$A:$A,"&lt;="&amp;DATE(2026,1,14))</f>
        <v/>
      </c>
      <c r="CI185">
        <f>COUNTIFS('DRAFT 2'!$D:$D,$B185,'DRAFT 2'!$A:$A,"&gt;="&amp;DATE(2026,1,15),'DRAFT 2'!$A:$A,"&lt;="&amp;DATE(2026,1,21))</f>
        <v/>
      </c>
      <c r="CJ185">
        <f>COUNTIFS('DRAFT 2'!$D:$D,$B185,'DRAFT 2'!$A:$A,"&gt;="&amp;DATE(2026,1,22),'DRAFT 2'!$A:$A,"&lt;"&amp;DATE(2026,IF(1=12,1+1,1+1),1))</f>
        <v/>
      </c>
      <c r="CK185">
        <f>SUM(CG185:CJ185)</f>
        <v/>
      </c>
      <c r="CT185" t="n">
        <v>0</v>
      </c>
      <c r="CU185">
        <f>IFERROR(LOOKUP(2,1/('DRAFT 2'!$D:$D=$B185)*('DRAFT 2'!$A:$A&gt;=DATE(2026,2,1))*('DRAFT 2'!$A:$A&lt;DATE(2026,IF(2=12,2+1,2+1),1)),'DRAFT 2'!$A:$A),"")</f>
        <v/>
      </c>
      <c r="CV185">
        <f>COUNTIFS('DRAFT 2'!$D:$D,$B185,'DRAFT 2'!$A:$A,"&gt;="&amp;DATE(2026,2,1),'DRAFT 2'!$A:$A,"&lt;="&amp;DATE(2026,2,7))</f>
        <v/>
      </c>
      <c r="CW185">
        <f>COUNTIFS('DRAFT 2'!$D:$D,$B185,'DRAFT 2'!$A:$A,"&gt;="&amp;DATE(2026,2,8),'DRAFT 2'!$A:$A,"&lt;="&amp;DATE(2026,2,14))</f>
        <v/>
      </c>
      <c r="CX185">
        <f>COUNTIFS('DRAFT 2'!$D:$D,$B185,'DRAFT 2'!$A:$A,"&gt;="&amp;DATE(2026,2,15),'DRAFT 2'!$A:$A,"&lt;="&amp;DATE(2026,2,21))</f>
        <v/>
      </c>
      <c r="CY185">
        <f>COUNTIFS('DRAFT 2'!$D:$D,$B185,'DRAFT 2'!$A:$A,"&gt;="&amp;DATE(2026,2,22),'DRAFT 2'!$A:$A,"&lt;"&amp;DATE(2026,IF(2=12,2+1,2+1),1))</f>
        <v/>
      </c>
      <c r="CZ185">
        <f>SUM(CV185:CY185)</f>
        <v/>
      </c>
      <c r="DJ185">
        <f>IFERROR(LOOKUP(2,1/('DRAFT 2'!$D:$D=$B185)*('DRAFT 2'!$A:$A&gt;=DATE(2026,3,1))*('DRAFT 2'!$A:$A&lt;DATE(2026,IF(3=12,3+1,3+1),1)),'DRAFT 2'!$A:$A),"")</f>
        <v/>
      </c>
      <c r="DK185">
        <f>COUNTIFS('DRAFT 2'!$D:$D,$B185,'DRAFT 2'!$A:$A,"&gt;="&amp;DATE(2026,3,1),'DRAFT 2'!$A:$A,"&lt;="&amp;DATE(2026,3,7))</f>
        <v/>
      </c>
      <c r="DL185">
        <f>COUNTIFS('DRAFT 2'!$D:$D,$B185,'DRAFT 2'!$A:$A,"&gt;="&amp;DATE(2026,3,8),'DRAFT 2'!$A:$A,"&lt;="&amp;DATE(2026,3,14))</f>
        <v/>
      </c>
      <c r="DM185">
        <f>COUNTIFS('DRAFT 2'!$D:$D,$B185,'DRAFT 2'!$A:$A,"&gt;="&amp;DATE(2026,3,15),'DRAFT 2'!$A:$A,"&lt;="&amp;DATE(2026,3,21))</f>
        <v/>
      </c>
      <c r="DN185">
        <f>COUNTIFS('DRAFT 2'!$D:$D,$B185,'DRAFT 2'!$A:$A,"&gt;="&amp;DATE(2026,3,22),'DRAFT 2'!$A:$A,"&lt;"&amp;DATE(2026,IF(3=12,3+1,3+1),1))</f>
        <v/>
      </c>
      <c r="DO185">
        <f>SUM(DK185:DN185)</f>
        <v/>
      </c>
      <c r="DZ185">
        <f>IFERROR(LOOKUP(2,1/('DRAFT 2'!$D:$D=$B185)*('DRAFT 2'!$A:$A&gt;=DATE(2026,4,1))*('DRAFT 2'!$A:$A&lt;DATE(2026,IF(4=12,4+1,4+1),1)),'DRAFT 2'!$A:$A),"")</f>
        <v/>
      </c>
      <c r="EA185">
        <f>COUNTIFS('DRAFT 2'!$D:$D,$B185,'DRAFT 2'!$A:$A,"&gt;="&amp;DATE(2026,4,1),'DRAFT 2'!$A:$A,"&lt;="&amp;DATE(2026,4,7))</f>
        <v/>
      </c>
      <c r="EB185">
        <f>COUNTIFS('DRAFT 2'!$D:$D,$B185,'DRAFT 2'!$A:$A,"&gt;="&amp;DATE(2026,4,8),'DRAFT 2'!$A:$A,"&lt;="&amp;DATE(2026,4,14))</f>
        <v/>
      </c>
      <c r="EC185">
        <f>COUNTIFS('DRAFT 2'!$D:$D,$B185,'DRAFT 2'!$A:$A,"&gt;="&amp;DATE(2026,4,15),'DRAFT 2'!$A:$A,"&lt;="&amp;DATE(2026,4,21))</f>
        <v/>
      </c>
      <c r="ED185">
        <f>COUNTIFS('DRAFT 2'!$D:$D,$B185,'DRAFT 2'!$A:$A,"&gt;="&amp;DATE(2026,4,22),'DRAFT 2'!$A:$A,"&lt;"&amp;DATE(2026,IF(4=12,4+1,4+1),1))</f>
        <v/>
      </c>
      <c r="EE185">
        <f>SUM(EA185:ED185)</f>
        <v/>
      </c>
      <c r="EO185">
        <f>IFERROR(LOOKUP(2,1/('DRAFT 2'!$D:$D=$B185)*('DRAFT 2'!$A:$A&gt;=DATE(2026,5,1))*('DRAFT 2'!$A:$A&lt;DATE(2026,IF(5=12,5+1,5+1),1)),'DRAFT 2'!$A:$A),"")</f>
        <v/>
      </c>
      <c r="EP185">
        <f>COUNTIFS('DRAFT 2'!$D:$D,$B185,'DRAFT 2'!$A:$A,"&gt;="&amp;DATE(2026,5,1),'DRAFT 2'!$A:$A,"&lt;="&amp;DATE(2026,5,7))</f>
        <v/>
      </c>
      <c r="EQ185">
        <f>COUNTIFS('DRAFT 2'!$D:$D,$B185,'DRAFT 2'!$A:$A,"&gt;="&amp;DATE(2026,5,8),'DRAFT 2'!$A:$A,"&lt;="&amp;DATE(2026,5,14))</f>
        <v/>
      </c>
      <c r="ER185">
        <f>COUNTIFS('DRAFT 2'!$D:$D,$B185,'DRAFT 2'!$A:$A,"&gt;="&amp;DATE(2026,5,15),'DRAFT 2'!$A:$A,"&lt;="&amp;DATE(2026,5,21))</f>
        <v/>
      </c>
      <c r="ES185">
        <f>COUNTIFS('DRAFT 2'!$D:$D,$B185,'DRAFT 2'!$A:$A,"&gt;="&amp;DATE(2026,5,22),'DRAFT 2'!$A:$A,"&lt;"&amp;DATE(2026,IF(5=12,5+1,5+1),1))</f>
        <v/>
      </c>
      <c r="ET185">
        <f>SUM(EP185:ES185)</f>
        <v/>
      </c>
      <c r="FD185">
        <f>IFERROR(LOOKUP(2,1/('DRAFT 2'!$D:$D=$B185)*('DRAFT 2'!$A:$A&gt;=DATE(2026,6,1))*('DRAFT 2'!$A:$A&lt;DATE(2026,IF(6=12,6+1,6+1),1)),'DRAFT 2'!$A:$A),"")</f>
        <v/>
      </c>
      <c r="FE185">
        <f>COUNTIFS('DRAFT 2'!$D:$D,$B185,'DRAFT 2'!$A:$A,"&gt;="&amp;DATE(2026,6,1),'DRAFT 2'!$A:$A,"&lt;="&amp;DATE(2026,6,7))</f>
        <v/>
      </c>
      <c r="FF185">
        <f>COUNTIFS('DRAFT 2'!$D:$D,$B185,'DRAFT 2'!$A:$A,"&gt;="&amp;DATE(2026,6,8),'DRAFT 2'!$A:$A,"&lt;="&amp;DATE(2026,6,14))</f>
        <v/>
      </c>
      <c r="FG185">
        <f>COUNTIFS('DRAFT 2'!$D:$D,$B185,'DRAFT 2'!$A:$A,"&gt;="&amp;DATE(2026,6,15),'DRAFT 2'!$A:$A,"&lt;="&amp;DATE(2026,6,21))</f>
        <v/>
      </c>
      <c r="FH185">
        <f>COUNTIFS('DRAFT 2'!$D:$D,$B185,'DRAFT 2'!$A:$A,"&gt;="&amp;DATE(2026,6,22),'DRAFT 2'!$A:$A,"&lt;"&amp;DATE(2026,IF(6=12,6+1,6+1),1))</f>
        <v/>
      </c>
      <c r="FI185">
        <f>SUM(FE185:FH185)</f>
        <v/>
      </c>
      <c r="FT185">
        <f>IFERROR(LOOKUP(2,1/('DRAFT 2'!$D:$D=$B185)*('DRAFT 2'!$A:$A&gt;=DATE(2026,7,1))*('DRAFT 2'!$A:$A&lt;DATE(2026,IF(7=12,7+1,7+1),1)),'DRAFT 2'!$A:$A),"")</f>
        <v/>
      </c>
      <c r="FU185">
        <f>COUNTIFS('DRAFT 2'!$D:$D,$B185,'DRAFT 2'!$A:$A,"&gt;="&amp;DATE(2026,7,1),'DRAFT 2'!$A:$A,"&lt;="&amp;DATE(2026,7,7))</f>
        <v/>
      </c>
      <c r="FV185">
        <f>COUNTIFS('DRAFT 2'!$D:$D,$B185,'DRAFT 2'!$A:$A,"&gt;="&amp;DATE(2026,7,8),'DRAFT 2'!$A:$A,"&lt;="&amp;DATE(2026,7,14))</f>
        <v/>
      </c>
      <c r="FW185">
        <f>COUNTIFS('DRAFT 2'!$D:$D,$B185,'DRAFT 2'!$A:$A,"&gt;="&amp;DATE(2026,7,15),'DRAFT 2'!$A:$A,"&lt;="&amp;DATE(2026,7,21))</f>
        <v/>
      </c>
      <c r="FX185">
        <f>COUNTIFS('DRAFT 2'!$D:$D,$B185,'DRAFT 2'!$A:$A,"&gt;="&amp;DATE(2026,7,22),'DRAFT 2'!$A:$A,"&lt;"&amp;DATE(2026,IF(7=12,7+1,7+1),1))</f>
        <v/>
      </c>
      <c r="FY185">
        <f>SUM(FU185:FX185)</f>
        <v/>
      </c>
      <c r="GI185">
        <f>IFERROR(LOOKUP(2,1/('DRAFT 2'!$D:$D=$B185)*('DRAFT 2'!$A:$A&gt;=DATE(2026,8,1))*('DRAFT 2'!$A:$A&lt;DATE(2026,IF(8=12,8+1,8+1),1)),'DRAFT 2'!$A:$A),"")</f>
        <v/>
      </c>
      <c r="GJ185">
        <f>COUNTIFS('DRAFT 2'!$D:$D,$B185,'DRAFT 2'!$A:$A,"&gt;="&amp;DATE(2026,8,1),'DRAFT 2'!$A:$A,"&lt;="&amp;DATE(2026,8,7))</f>
        <v/>
      </c>
      <c r="GK185">
        <f>COUNTIFS('DRAFT 2'!$D:$D,$B185,'DRAFT 2'!$A:$A,"&gt;="&amp;DATE(2026,8,8),'DRAFT 2'!$A:$A,"&lt;="&amp;DATE(2026,8,14))</f>
        <v/>
      </c>
      <c r="GL185">
        <f>COUNTIFS('DRAFT 2'!$D:$D,$B185,'DRAFT 2'!$A:$A,"&gt;="&amp;DATE(2026,8,15),'DRAFT 2'!$A:$A,"&lt;="&amp;DATE(2026,8,21))</f>
        <v/>
      </c>
      <c r="GM185">
        <f>COUNTIFS('DRAFT 2'!$D:$D,$B185,'DRAFT 2'!$A:$A,"&gt;="&amp;DATE(2026,8,22),'DRAFT 2'!$A:$A,"&lt;"&amp;DATE(2026,IF(8=12,8+1,8+1),1))</f>
        <v/>
      </c>
      <c r="GN185">
        <f>SUM(GJ185:GM185)</f>
        <v/>
      </c>
      <c r="GX185">
        <f>IFERROR(LOOKUP(2,1/('DRAFT 2'!$D:$D=$B185)*('DRAFT 2'!$A:$A&gt;=DATE(2026,9,1))*('DRAFT 2'!$A:$A&lt;DATE(2026,IF(9=12,9+1,9+1),1)),'DRAFT 2'!$A:$A),"")</f>
        <v/>
      </c>
      <c r="GY185">
        <f>COUNTIFS('DRAFT 2'!$D:$D,$B185,'DRAFT 2'!$A:$A,"&gt;="&amp;DATE(2026,9,1),'DRAFT 2'!$A:$A,"&lt;="&amp;DATE(2026,9,7))</f>
        <v/>
      </c>
      <c r="GZ185">
        <f>COUNTIFS('DRAFT 2'!$D:$D,$B185,'DRAFT 2'!$A:$A,"&gt;="&amp;DATE(2026,9,8),'DRAFT 2'!$A:$A,"&lt;="&amp;DATE(2026,9,14))</f>
        <v/>
      </c>
      <c r="HA185">
        <f>COUNTIFS('DRAFT 2'!$D:$D,$B185,'DRAFT 2'!$A:$A,"&gt;="&amp;DATE(2026,9,15),'DRAFT 2'!$A:$A,"&lt;="&amp;DATE(2026,9,21))</f>
        <v/>
      </c>
      <c r="HB185">
        <f>COUNTIFS('DRAFT 2'!$D:$D,$B185,'DRAFT 2'!$A:$A,"&gt;="&amp;DATE(2026,9,22),'DRAFT 2'!$A:$A,"&lt;"&amp;DATE(2026,IF(9=12,9+1,9+1),1))</f>
        <v/>
      </c>
      <c r="HC185">
        <f>SUM(GY185:HB185)</f>
        <v/>
      </c>
      <c r="HN185">
        <f>IFERROR(LOOKUP(2,1/('DRAFT 2'!$D:$D=$B185)*('DRAFT 2'!$A:$A&gt;=DATE(2026,10,1))*('DRAFT 2'!$A:$A&lt;DATE(2026,IF(10=12,10+1,10+1),1)),'DRAFT 2'!$A:$A),"")</f>
        <v/>
      </c>
      <c r="HO185">
        <f>COUNTIFS('DRAFT 2'!$D:$D,$B185,'DRAFT 2'!$A:$A,"&gt;="&amp;DATE(2026,10,1),'DRAFT 2'!$A:$A,"&lt;="&amp;DATE(2026,10,7))</f>
        <v/>
      </c>
      <c r="HP185">
        <f>COUNTIFS('DRAFT 2'!$D:$D,$B185,'DRAFT 2'!$A:$A,"&gt;="&amp;DATE(2026,10,8),'DRAFT 2'!$A:$A,"&lt;="&amp;DATE(2026,10,14))</f>
        <v/>
      </c>
      <c r="HQ185">
        <f>COUNTIFS('DRAFT 2'!$D:$D,$B185,'DRAFT 2'!$A:$A,"&gt;="&amp;DATE(2026,10,15),'DRAFT 2'!$A:$A,"&lt;="&amp;DATE(2026,10,21))</f>
        <v/>
      </c>
      <c r="HR185">
        <f>COUNTIFS('DRAFT 2'!$D:$D,$B185,'DRAFT 2'!$A:$A,"&gt;="&amp;DATE(2026,10,22),'DRAFT 2'!$A:$A,"&lt;"&amp;DATE(2026,IF(10=12,10+1,10+1),1))</f>
        <v/>
      </c>
      <c r="HS185">
        <f>SUM(HO185:HR185)</f>
        <v/>
      </c>
      <c r="IC185">
        <f>IFERROR(LOOKUP(2,1/('DRAFT 2'!$D:$D=$B185)*('DRAFT 2'!$A:$A&gt;=DATE(2026,11,1))*('DRAFT 2'!$A:$A&lt;DATE(2026,IF(11=12,11+1,11+1),1)),'DRAFT 2'!$A:$A),"")</f>
        <v/>
      </c>
      <c r="ID185">
        <f>COUNTIFS('DRAFT 2'!$D:$D,$B185,'DRAFT 2'!$A:$A,"&gt;="&amp;DATE(2026,11,1),'DRAFT 2'!$A:$A,"&lt;="&amp;DATE(2026,11,7))</f>
        <v/>
      </c>
      <c r="IE185">
        <f>COUNTIFS('DRAFT 2'!$D:$D,$B185,'DRAFT 2'!$A:$A,"&gt;="&amp;DATE(2026,11,8),'DRAFT 2'!$A:$A,"&lt;="&amp;DATE(2026,11,14))</f>
        <v/>
      </c>
      <c r="IF185">
        <f>COUNTIFS('DRAFT 2'!$D:$D,$B185,'DRAFT 2'!$A:$A,"&gt;="&amp;DATE(2026,11,15),'DRAFT 2'!$A:$A,"&lt;="&amp;DATE(2026,11,21))</f>
        <v/>
      </c>
      <c r="IG185">
        <f>COUNTIFS('DRAFT 2'!$D:$D,$B185,'DRAFT 2'!$A:$A,"&gt;="&amp;DATE(2026,11,22),'DRAFT 2'!$A:$A,"&lt;"&amp;DATE(2026,IF(11=12,11+1,11+1),1))</f>
        <v/>
      </c>
      <c r="IH185">
        <f>SUM(ID185:IG185)</f>
        <v/>
      </c>
      <c r="IR185">
        <f>IFERROR(LOOKUP(2,1/('DRAFT 2'!$D:$D=$B185)*('DRAFT 2'!$A:$A&gt;=DATE(2026,12,1))*('DRAFT 2'!$A:$A&lt;DATE(2026,IF(12=12,12+1,12+1),1)),'DRAFT 2'!$A:$A),"")</f>
        <v/>
      </c>
      <c r="IS185">
        <f>COUNTIFS('DRAFT 2'!$D:$D,$B185,'DRAFT 2'!$A:$A,"&gt;="&amp;DATE(2026,12,1),'DRAFT 2'!$A:$A,"&lt;="&amp;DATE(2026,12,7))</f>
        <v/>
      </c>
      <c r="IT185">
        <f>COUNTIFS('DRAFT 2'!$D:$D,$B185,'DRAFT 2'!$A:$A,"&gt;="&amp;DATE(2026,12,8),'DRAFT 2'!$A:$A,"&lt;="&amp;DATE(2026,12,14))</f>
        <v/>
      </c>
      <c r="IU185">
        <f>COUNTIFS('DRAFT 2'!$D:$D,$B185,'DRAFT 2'!$A:$A,"&gt;="&amp;DATE(2026,12,15),'DRAFT 2'!$A:$A,"&lt;="&amp;DATE(2026,12,21))</f>
        <v/>
      </c>
      <c r="IV185">
        <f>COUNTIFS('DRAFT 2'!$D:$D,$B185,'DRAFT 2'!$A:$A,"&gt;="&amp;DATE(2026,12,22),'DRAFT 2'!$A:$A,"&lt;"&amp;DATE(2026,IF(12=12,12+1,12+1),1))</f>
        <v/>
      </c>
      <c r="IW185">
        <f>SUM(IS185:IV185)</f>
        <v/>
      </c>
    </row>
    <row r="186">
      <c r="A186">
        <f>IFERROR(INDEX('DRAFT 1'!$A:$A,MATCH($B186,'DRAFT 1'!$B:$B,0)),"")</f>
        <v/>
      </c>
      <c r="C186">
        <f>IFERROR(INDEX('DRAFT 1'!$C:$C,MATCH($B186,'DRAFT 1'!$B:$B,0)),"")</f>
        <v/>
      </c>
      <c r="D186">
        <f>IFERROR(INDEX('DRAFT 1'!$D:$D,MATCH($B186,'DRAFT 1'!$B:$B,0)),"")</f>
        <v/>
      </c>
      <c r="E186">
        <f>IFERROR(INDEX('DRAFT 1'!$E:$E,MATCH($B186,'DRAFT 1'!$B:$B,0)),"")</f>
        <v/>
      </c>
      <c r="F186">
        <f>IFERROR(INDEX('DRAFT 1'!$F:$F,MATCH($B186,'DRAFT 1'!$B:$B,0)),"")</f>
        <v/>
      </c>
      <c r="G186">
        <f>IFERROR(INDEX('DRAFT 1'!$G:$G,MATCH($B186,'DRAFT 1'!$B:$B,0)),"")</f>
        <v/>
      </c>
      <c r="H186">
        <f>IFERROR(INDEX('DRAFT 1'!$H:$H,MATCH($B186,'DRAFT 1'!$B:$B,0)),"")</f>
        <v/>
      </c>
      <c r="I186">
        <f>IFERROR(INDEX('DRAFT 1'!$I:$I,MATCH($B186,'DRAFT 1'!$B:$B,0)),"")</f>
        <v/>
      </c>
      <c r="K186">
        <f>IFERROR(INDEX('DRAFT 1'!$AL:$AL,MATCH($B186,'DRAFT 1'!$B:$B,0)),"")</f>
        <v/>
      </c>
      <c r="L186">
        <f>IFERROR(INDEX('DRAFT 1'!$J:$J,MATCH($B186,'DRAFT 1'!$B:$B,0)),"")</f>
        <v/>
      </c>
      <c r="M186">
        <f>IFERROR(INDEX('DRAFT 1'!$K:$K,MATCH($B186,'DRAFT 1'!$B:$B,0)),"")</f>
        <v/>
      </c>
      <c r="P186">
        <f>IFERROR(INDEX('DRAFT 1'!$L:$L,MATCH($B186,'DRAFT 1'!$B:$B,0)),"")</f>
        <v/>
      </c>
      <c r="Q186">
        <f>IFERROR(INDEX('DRAFT 1'!$M:$M,MATCH($B186,'DRAFT 1'!$B:$B,0)),"")</f>
        <v/>
      </c>
      <c r="R186">
        <f>IFERROR(INDEX('DRAFT 1'!$N:$N,MATCH($B186,'DRAFT 1'!$B:$B,0)),"")</f>
        <v/>
      </c>
      <c r="S186">
        <f>IFERROR(INDEX('DRAFT 1'!$O:$O,MATCH($B186,'DRAFT 1'!$B:$B,0)),"")</f>
        <v/>
      </c>
      <c r="T186">
        <f>IFERROR(INDEX('DRAFT 1'!$P:$P,MATCH($B186,'DRAFT 1'!$B:$B,0)),"")</f>
        <v/>
      </c>
      <c r="U186">
        <f>IFERROR(INDEX('DRAFT 1'!$Q:$Q,MATCH($B186,'DRAFT 1'!$B:$B,0)),"")</f>
        <v/>
      </c>
      <c r="V186">
        <f>IFERROR(INDEX('DRAFT 1'!$R:$R,MATCH($B186,'DRAFT 1'!$B:$B,0)),"")</f>
        <v/>
      </c>
      <c r="W186">
        <f>IFERROR(INDEX('DRAFT 1'!$S:$S,MATCH($B186,'DRAFT 1'!$B:$B,0)),"")</f>
        <v/>
      </c>
      <c r="X186">
        <f>IFERROR(INDEX('DRAFT 1'!$T:$T,MATCH($B186,'DRAFT 1'!$B:$B,0)),"")</f>
        <v/>
      </c>
      <c r="Z186">
        <f>IFERROR(INDEX('DRAFT 1'!$U:$U,MATCH($B186,'DRAFT 1'!$B:$B,0)),"")</f>
        <v/>
      </c>
      <c r="AA186">
        <f>IFERROR(INDEX('DRAFT 1'!$V:$V,MATCH($B186,'DRAFT 1'!$B:$B,0)),"")</f>
        <v/>
      </c>
      <c r="AB186">
        <f>IFERROR(INDEX('DRAFT 1'!$W:$W,MATCH($B186,'DRAFT 1'!$B:$B,0)),"")</f>
        <v/>
      </c>
      <c r="AC186">
        <f>IFERROR(INDEX('DRAFT 1'!$X:$X,MATCH($B186,'DRAFT 1'!$B:$B,0)),"")</f>
        <v/>
      </c>
      <c r="AD186">
        <f>IFERROR(INDEX('DRAFT 1'!$Y:$Y,MATCH($B186,'DRAFT 1'!$B:$B,0)),"")</f>
        <v/>
      </c>
      <c r="AE186">
        <f>IFERROR(INDEX('DRAFT 1'!$Z:$Z,MATCH($B186,'DRAFT 1'!$B:$B,0)),"")</f>
        <v/>
      </c>
      <c r="AF186">
        <f>IFERROR(INDEX('DRAFT 1'!$AA:$AA,MATCH($B186,'DRAFT 1'!$B:$B,0)),"")</f>
        <v/>
      </c>
      <c r="AG186">
        <f>IFERROR(INDEX('DRAFT 1'!$AB:$AB,MATCH($B186,'DRAFT 1'!$B:$B,0)),"")</f>
        <v/>
      </c>
      <c r="AH186">
        <f>IFERROR(INDEX('DRAFT 1'!$AC:$AC,MATCH($B186,'DRAFT 1'!$B:$B,0)),"")</f>
        <v/>
      </c>
      <c r="AI186">
        <f>IFERROR(INDEX('DRAFT 1'!$AD:$AD,MATCH($B186,'DRAFT 1'!$B:$B,0)),"")</f>
        <v/>
      </c>
      <c r="AJ186">
        <f>IFERROR(INDEX('DRAFT 1'!$AE:$AE,MATCH($B186,'DRAFT 1'!$B:$B,0)),"")</f>
        <v/>
      </c>
      <c r="AK186">
        <f>IFERROR(INDEX('DRAFT 1'!$AG:$AG,MATCH($B186,'DRAFT 1'!$B:$B,0)),"")</f>
        <v/>
      </c>
      <c r="AL186">
        <f>IFERROR(INDEX('DRAFT 1'!$AH:$AH,MATCH($B186,'DRAFT 1'!$B:$B,0)),"")</f>
        <v/>
      </c>
      <c r="AM186">
        <f>IFERROR(INDEX('DRAFT 1'!$AI:$AI,MATCH($B186,'DRAFT 1'!$B:$B,0)),"")</f>
        <v/>
      </c>
      <c r="AN186">
        <f>IFERROR(INDEX('DRAFT 1'!$AJ:$AJ,MATCH($B186,'DRAFT 1'!$B:$B,0)),"")</f>
        <v/>
      </c>
      <c r="AO186">
        <f>IFERROR(Y186/AN186,0)</f>
        <v/>
      </c>
      <c r="AP186">
        <f>IFERROR(INDEX('DRAFT 1'!$AK:$AK,MATCH($B186,'DRAFT 1'!$B:$B,0)),"")</f>
        <v/>
      </c>
      <c r="AR186">
        <f>IFERROR(LOOKUP(2,1/('DRAFT 2'!$D:$D=$B186),'DRAFT 2'!$I:$I),"")</f>
        <v/>
      </c>
      <c r="AS186">
        <f>IFERROR(LOOKUP(2,1/('DRAFT 2'!$D:$D=$B186),'DRAFT 2'!$T:$T),"")</f>
        <v/>
      </c>
      <c r="AT186">
        <f>IFERROR(LOOKUP(2,1/('DRAFT 2'!$D:$D=$B186),'DRAFT 2'!$A:$A),"")</f>
        <v/>
      </c>
      <c r="AU186">
        <f>IFERROR(LOOKUP(2,1/('DRAFT 2'!$D:$D=$B186),'DRAFT 2'!$R:$R),"")</f>
        <v/>
      </c>
      <c r="AV186">
        <f>IFERROR(LOOKUP(2,1/('DRAFT 2'!$D:$D=$B186),'DRAFT 2'!$S:$S),"")</f>
        <v/>
      </c>
      <c r="AX186">
        <f>IFERROR(LOOKUP(2,1/('DRAFT 2'!$D:$D=$B186),'DRAFT 2'!$M:$M),"")</f>
        <v/>
      </c>
      <c r="AY186">
        <f>IFERROR(LOOKUP(2,1/('DRAFT 2'!$D:$D=$B186),'DRAFT 2'!$K:$K),"")</f>
        <v/>
      </c>
      <c r="BG186">
        <f>IFERROR(LOOKUP(2,1/('DRAFT 2'!$D:$D=$B186),'DRAFT 2'!$U:$U),"")</f>
        <v/>
      </c>
      <c r="BH186">
        <f>IFERROR(LOOKUP(2,1/('DRAFT 2'!$D:$D=$B186),'DRAFT 2'!$V:$V),"")</f>
        <v/>
      </c>
      <c r="CE186">
        <f>IFERROR(AJ186,0)</f>
        <v/>
      </c>
      <c r="CF186">
        <f>IFERROR(LOOKUP(2,1/('DRAFT 2'!$D:$D=$B186)*('DRAFT 2'!$A:$A&gt;=DATE(2026,1,1))*('DRAFT 2'!$A:$A&lt;DATE(2026,IF(1=12,1+1,1+1),1)),'DRAFT 2'!$A:$A),"")</f>
        <v/>
      </c>
      <c r="CG186">
        <f>COUNTIFS('DRAFT 2'!$D:$D,$B186,'DRAFT 2'!$A:$A,"&gt;="&amp;DATE(2026,1,1),'DRAFT 2'!$A:$A,"&lt;="&amp;DATE(2026,1,7))</f>
        <v/>
      </c>
      <c r="CH186">
        <f>COUNTIFS('DRAFT 2'!$D:$D,$B186,'DRAFT 2'!$A:$A,"&gt;="&amp;DATE(2026,1,8),'DRAFT 2'!$A:$A,"&lt;="&amp;DATE(2026,1,14))</f>
        <v/>
      </c>
      <c r="CI186">
        <f>COUNTIFS('DRAFT 2'!$D:$D,$B186,'DRAFT 2'!$A:$A,"&gt;="&amp;DATE(2026,1,15),'DRAFT 2'!$A:$A,"&lt;="&amp;DATE(2026,1,21))</f>
        <v/>
      </c>
      <c r="CJ186">
        <f>COUNTIFS('DRAFT 2'!$D:$D,$B186,'DRAFT 2'!$A:$A,"&gt;="&amp;DATE(2026,1,22),'DRAFT 2'!$A:$A,"&lt;"&amp;DATE(2026,IF(1=12,1+1,1+1),1))</f>
        <v/>
      </c>
      <c r="CK186">
        <f>SUM(CG186:CJ186)</f>
        <v/>
      </c>
      <c r="CT186" t="n">
        <v>0</v>
      </c>
      <c r="CU186">
        <f>IFERROR(LOOKUP(2,1/('DRAFT 2'!$D:$D=$B186)*('DRAFT 2'!$A:$A&gt;=DATE(2026,2,1))*('DRAFT 2'!$A:$A&lt;DATE(2026,IF(2=12,2+1,2+1),1)),'DRAFT 2'!$A:$A),"")</f>
        <v/>
      </c>
      <c r="CV186">
        <f>COUNTIFS('DRAFT 2'!$D:$D,$B186,'DRAFT 2'!$A:$A,"&gt;="&amp;DATE(2026,2,1),'DRAFT 2'!$A:$A,"&lt;="&amp;DATE(2026,2,7))</f>
        <v/>
      </c>
      <c r="CW186">
        <f>COUNTIFS('DRAFT 2'!$D:$D,$B186,'DRAFT 2'!$A:$A,"&gt;="&amp;DATE(2026,2,8),'DRAFT 2'!$A:$A,"&lt;="&amp;DATE(2026,2,14))</f>
        <v/>
      </c>
      <c r="CX186">
        <f>COUNTIFS('DRAFT 2'!$D:$D,$B186,'DRAFT 2'!$A:$A,"&gt;="&amp;DATE(2026,2,15),'DRAFT 2'!$A:$A,"&lt;="&amp;DATE(2026,2,21))</f>
        <v/>
      </c>
      <c r="CY186">
        <f>COUNTIFS('DRAFT 2'!$D:$D,$B186,'DRAFT 2'!$A:$A,"&gt;="&amp;DATE(2026,2,22),'DRAFT 2'!$A:$A,"&lt;"&amp;DATE(2026,IF(2=12,2+1,2+1),1))</f>
        <v/>
      </c>
      <c r="CZ186">
        <f>SUM(CV186:CY186)</f>
        <v/>
      </c>
      <c r="DJ186">
        <f>IFERROR(LOOKUP(2,1/('DRAFT 2'!$D:$D=$B186)*('DRAFT 2'!$A:$A&gt;=DATE(2026,3,1))*('DRAFT 2'!$A:$A&lt;DATE(2026,IF(3=12,3+1,3+1),1)),'DRAFT 2'!$A:$A),"")</f>
        <v/>
      </c>
      <c r="DK186">
        <f>COUNTIFS('DRAFT 2'!$D:$D,$B186,'DRAFT 2'!$A:$A,"&gt;="&amp;DATE(2026,3,1),'DRAFT 2'!$A:$A,"&lt;="&amp;DATE(2026,3,7))</f>
        <v/>
      </c>
      <c r="DL186">
        <f>COUNTIFS('DRAFT 2'!$D:$D,$B186,'DRAFT 2'!$A:$A,"&gt;="&amp;DATE(2026,3,8),'DRAFT 2'!$A:$A,"&lt;="&amp;DATE(2026,3,14))</f>
        <v/>
      </c>
      <c r="DM186">
        <f>COUNTIFS('DRAFT 2'!$D:$D,$B186,'DRAFT 2'!$A:$A,"&gt;="&amp;DATE(2026,3,15),'DRAFT 2'!$A:$A,"&lt;="&amp;DATE(2026,3,21))</f>
        <v/>
      </c>
      <c r="DN186">
        <f>COUNTIFS('DRAFT 2'!$D:$D,$B186,'DRAFT 2'!$A:$A,"&gt;="&amp;DATE(2026,3,22),'DRAFT 2'!$A:$A,"&lt;"&amp;DATE(2026,IF(3=12,3+1,3+1),1))</f>
        <v/>
      </c>
      <c r="DO186">
        <f>SUM(DK186:DN186)</f>
        <v/>
      </c>
      <c r="DZ186">
        <f>IFERROR(LOOKUP(2,1/('DRAFT 2'!$D:$D=$B186)*('DRAFT 2'!$A:$A&gt;=DATE(2026,4,1))*('DRAFT 2'!$A:$A&lt;DATE(2026,IF(4=12,4+1,4+1),1)),'DRAFT 2'!$A:$A),"")</f>
        <v/>
      </c>
      <c r="EA186">
        <f>COUNTIFS('DRAFT 2'!$D:$D,$B186,'DRAFT 2'!$A:$A,"&gt;="&amp;DATE(2026,4,1),'DRAFT 2'!$A:$A,"&lt;="&amp;DATE(2026,4,7))</f>
        <v/>
      </c>
      <c r="EB186">
        <f>COUNTIFS('DRAFT 2'!$D:$D,$B186,'DRAFT 2'!$A:$A,"&gt;="&amp;DATE(2026,4,8),'DRAFT 2'!$A:$A,"&lt;="&amp;DATE(2026,4,14))</f>
        <v/>
      </c>
      <c r="EC186">
        <f>COUNTIFS('DRAFT 2'!$D:$D,$B186,'DRAFT 2'!$A:$A,"&gt;="&amp;DATE(2026,4,15),'DRAFT 2'!$A:$A,"&lt;="&amp;DATE(2026,4,21))</f>
        <v/>
      </c>
      <c r="ED186">
        <f>COUNTIFS('DRAFT 2'!$D:$D,$B186,'DRAFT 2'!$A:$A,"&gt;="&amp;DATE(2026,4,22),'DRAFT 2'!$A:$A,"&lt;"&amp;DATE(2026,IF(4=12,4+1,4+1),1))</f>
        <v/>
      </c>
      <c r="EE186">
        <f>SUM(EA186:ED186)</f>
        <v/>
      </c>
      <c r="EO186">
        <f>IFERROR(LOOKUP(2,1/('DRAFT 2'!$D:$D=$B186)*('DRAFT 2'!$A:$A&gt;=DATE(2026,5,1))*('DRAFT 2'!$A:$A&lt;DATE(2026,IF(5=12,5+1,5+1),1)),'DRAFT 2'!$A:$A),"")</f>
        <v/>
      </c>
      <c r="EP186">
        <f>COUNTIFS('DRAFT 2'!$D:$D,$B186,'DRAFT 2'!$A:$A,"&gt;="&amp;DATE(2026,5,1),'DRAFT 2'!$A:$A,"&lt;="&amp;DATE(2026,5,7))</f>
        <v/>
      </c>
      <c r="EQ186">
        <f>COUNTIFS('DRAFT 2'!$D:$D,$B186,'DRAFT 2'!$A:$A,"&gt;="&amp;DATE(2026,5,8),'DRAFT 2'!$A:$A,"&lt;="&amp;DATE(2026,5,14))</f>
        <v/>
      </c>
      <c r="ER186">
        <f>COUNTIFS('DRAFT 2'!$D:$D,$B186,'DRAFT 2'!$A:$A,"&gt;="&amp;DATE(2026,5,15),'DRAFT 2'!$A:$A,"&lt;="&amp;DATE(2026,5,21))</f>
        <v/>
      </c>
      <c r="ES186">
        <f>COUNTIFS('DRAFT 2'!$D:$D,$B186,'DRAFT 2'!$A:$A,"&gt;="&amp;DATE(2026,5,22),'DRAFT 2'!$A:$A,"&lt;"&amp;DATE(2026,IF(5=12,5+1,5+1),1))</f>
        <v/>
      </c>
      <c r="ET186">
        <f>SUM(EP186:ES186)</f>
        <v/>
      </c>
      <c r="FD186">
        <f>IFERROR(LOOKUP(2,1/('DRAFT 2'!$D:$D=$B186)*('DRAFT 2'!$A:$A&gt;=DATE(2026,6,1))*('DRAFT 2'!$A:$A&lt;DATE(2026,IF(6=12,6+1,6+1),1)),'DRAFT 2'!$A:$A),"")</f>
        <v/>
      </c>
      <c r="FE186">
        <f>COUNTIFS('DRAFT 2'!$D:$D,$B186,'DRAFT 2'!$A:$A,"&gt;="&amp;DATE(2026,6,1),'DRAFT 2'!$A:$A,"&lt;="&amp;DATE(2026,6,7))</f>
        <v/>
      </c>
      <c r="FF186">
        <f>COUNTIFS('DRAFT 2'!$D:$D,$B186,'DRAFT 2'!$A:$A,"&gt;="&amp;DATE(2026,6,8),'DRAFT 2'!$A:$A,"&lt;="&amp;DATE(2026,6,14))</f>
        <v/>
      </c>
      <c r="FG186">
        <f>COUNTIFS('DRAFT 2'!$D:$D,$B186,'DRAFT 2'!$A:$A,"&gt;="&amp;DATE(2026,6,15),'DRAFT 2'!$A:$A,"&lt;="&amp;DATE(2026,6,21))</f>
        <v/>
      </c>
      <c r="FH186">
        <f>COUNTIFS('DRAFT 2'!$D:$D,$B186,'DRAFT 2'!$A:$A,"&gt;="&amp;DATE(2026,6,22),'DRAFT 2'!$A:$A,"&lt;"&amp;DATE(2026,IF(6=12,6+1,6+1),1))</f>
        <v/>
      </c>
      <c r="FI186">
        <f>SUM(FE186:FH186)</f>
        <v/>
      </c>
      <c r="FT186">
        <f>IFERROR(LOOKUP(2,1/('DRAFT 2'!$D:$D=$B186)*('DRAFT 2'!$A:$A&gt;=DATE(2026,7,1))*('DRAFT 2'!$A:$A&lt;DATE(2026,IF(7=12,7+1,7+1),1)),'DRAFT 2'!$A:$A),"")</f>
        <v/>
      </c>
      <c r="FU186">
        <f>COUNTIFS('DRAFT 2'!$D:$D,$B186,'DRAFT 2'!$A:$A,"&gt;="&amp;DATE(2026,7,1),'DRAFT 2'!$A:$A,"&lt;="&amp;DATE(2026,7,7))</f>
        <v/>
      </c>
      <c r="FV186">
        <f>COUNTIFS('DRAFT 2'!$D:$D,$B186,'DRAFT 2'!$A:$A,"&gt;="&amp;DATE(2026,7,8),'DRAFT 2'!$A:$A,"&lt;="&amp;DATE(2026,7,14))</f>
        <v/>
      </c>
      <c r="FW186">
        <f>COUNTIFS('DRAFT 2'!$D:$D,$B186,'DRAFT 2'!$A:$A,"&gt;="&amp;DATE(2026,7,15),'DRAFT 2'!$A:$A,"&lt;="&amp;DATE(2026,7,21))</f>
        <v/>
      </c>
      <c r="FX186">
        <f>COUNTIFS('DRAFT 2'!$D:$D,$B186,'DRAFT 2'!$A:$A,"&gt;="&amp;DATE(2026,7,22),'DRAFT 2'!$A:$A,"&lt;"&amp;DATE(2026,IF(7=12,7+1,7+1),1))</f>
        <v/>
      </c>
      <c r="FY186">
        <f>SUM(FU186:FX186)</f>
        <v/>
      </c>
      <c r="GI186">
        <f>IFERROR(LOOKUP(2,1/('DRAFT 2'!$D:$D=$B186)*('DRAFT 2'!$A:$A&gt;=DATE(2026,8,1))*('DRAFT 2'!$A:$A&lt;DATE(2026,IF(8=12,8+1,8+1),1)),'DRAFT 2'!$A:$A),"")</f>
        <v/>
      </c>
      <c r="GJ186">
        <f>COUNTIFS('DRAFT 2'!$D:$D,$B186,'DRAFT 2'!$A:$A,"&gt;="&amp;DATE(2026,8,1),'DRAFT 2'!$A:$A,"&lt;="&amp;DATE(2026,8,7))</f>
        <v/>
      </c>
      <c r="GK186">
        <f>COUNTIFS('DRAFT 2'!$D:$D,$B186,'DRAFT 2'!$A:$A,"&gt;="&amp;DATE(2026,8,8),'DRAFT 2'!$A:$A,"&lt;="&amp;DATE(2026,8,14))</f>
        <v/>
      </c>
      <c r="GL186">
        <f>COUNTIFS('DRAFT 2'!$D:$D,$B186,'DRAFT 2'!$A:$A,"&gt;="&amp;DATE(2026,8,15),'DRAFT 2'!$A:$A,"&lt;="&amp;DATE(2026,8,21))</f>
        <v/>
      </c>
      <c r="GM186">
        <f>COUNTIFS('DRAFT 2'!$D:$D,$B186,'DRAFT 2'!$A:$A,"&gt;="&amp;DATE(2026,8,22),'DRAFT 2'!$A:$A,"&lt;"&amp;DATE(2026,IF(8=12,8+1,8+1),1))</f>
        <v/>
      </c>
      <c r="GN186">
        <f>SUM(GJ186:GM186)</f>
        <v/>
      </c>
      <c r="GX186">
        <f>IFERROR(LOOKUP(2,1/('DRAFT 2'!$D:$D=$B186)*('DRAFT 2'!$A:$A&gt;=DATE(2026,9,1))*('DRAFT 2'!$A:$A&lt;DATE(2026,IF(9=12,9+1,9+1),1)),'DRAFT 2'!$A:$A),"")</f>
        <v/>
      </c>
      <c r="GY186">
        <f>COUNTIFS('DRAFT 2'!$D:$D,$B186,'DRAFT 2'!$A:$A,"&gt;="&amp;DATE(2026,9,1),'DRAFT 2'!$A:$A,"&lt;="&amp;DATE(2026,9,7))</f>
        <v/>
      </c>
      <c r="GZ186">
        <f>COUNTIFS('DRAFT 2'!$D:$D,$B186,'DRAFT 2'!$A:$A,"&gt;="&amp;DATE(2026,9,8),'DRAFT 2'!$A:$A,"&lt;="&amp;DATE(2026,9,14))</f>
        <v/>
      </c>
      <c r="HA186">
        <f>COUNTIFS('DRAFT 2'!$D:$D,$B186,'DRAFT 2'!$A:$A,"&gt;="&amp;DATE(2026,9,15),'DRAFT 2'!$A:$A,"&lt;="&amp;DATE(2026,9,21))</f>
        <v/>
      </c>
      <c r="HB186">
        <f>COUNTIFS('DRAFT 2'!$D:$D,$B186,'DRAFT 2'!$A:$A,"&gt;="&amp;DATE(2026,9,22),'DRAFT 2'!$A:$A,"&lt;"&amp;DATE(2026,IF(9=12,9+1,9+1),1))</f>
        <v/>
      </c>
      <c r="HC186">
        <f>SUM(GY186:HB186)</f>
        <v/>
      </c>
      <c r="HN186">
        <f>IFERROR(LOOKUP(2,1/('DRAFT 2'!$D:$D=$B186)*('DRAFT 2'!$A:$A&gt;=DATE(2026,10,1))*('DRAFT 2'!$A:$A&lt;DATE(2026,IF(10=12,10+1,10+1),1)),'DRAFT 2'!$A:$A),"")</f>
        <v/>
      </c>
      <c r="HO186">
        <f>COUNTIFS('DRAFT 2'!$D:$D,$B186,'DRAFT 2'!$A:$A,"&gt;="&amp;DATE(2026,10,1),'DRAFT 2'!$A:$A,"&lt;="&amp;DATE(2026,10,7))</f>
        <v/>
      </c>
      <c r="HP186">
        <f>COUNTIFS('DRAFT 2'!$D:$D,$B186,'DRAFT 2'!$A:$A,"&gt;="&amp;DATE(2026,10,8),'DRAFT 2'!$A:$A,"&lt;="&amp;DATE(2026,10,14))</f>
        <v/>
      </c>
      <c r="HQ186">
        <f>COUNTIFS('DRAFT 2'!$D:$D,$B186,'DRAFT 2'!$A:$A,"&gt;="&amp;DATE(2026,10,15),'DRAFT 2'!$A:$A,"&lt;="&amp;DATE(2026,10,21))</f>
        <v/>
      </c>
      <c r="HR186">
        <f>COUNTIFS('DRAFT 2'!$D:$D,$B186,'DRAFT 2'!$A:$A,"&gt;="&amp;DATE(2026,10,22),'DRAFT 2'!$A:$A,"&lt;"&amp;DATE(2026,IF(10=12,10+1,10+1),1))</f>
        <v/>
      </c>
      <c r="HS186">
        <f>SUM(HO186:HR186)</f>
        <v/>
      </c>
      <c r="IC186">
        <f>IFERROR(LOOKUP(2,1/('DRAFT 2'!$D:$D=$B186)*('DRAFT 2'!$A:$A&gt;=DATE(2026,11,1))*('DRAFT 2'!$A:$A&lt;DATE(2026,IF(11=12,11+1,11+1),1)),'DRAFT 2'!$A:$A),"")</f>
        <v/>
      </c>
      <c r="ID186">
        <f>COUNTIFS('DRAFT 2'!$D:$D,$B186,'DRAFT 2'!$A:$A,"&gt;="&amp;DATE(2026,11,1),'DRAFT 2'!$A:$A,"&lt;="&amp;DATE(2026,11,7))</f>
        <v/>
      </c>
      <c r="IE186">
        <f>COUNTIFS('DRAFT 2'!$D:$D,$B186,'DRAFT 2'!$A:$A,"&gt;="&amp;DATE(2026,11,8),'DRAFT 2'!$A:$A,"&lt;="&amp;DATE(2026,11,14))</f>
        <v/>
      </c>
      <c r="IF186">
        <f>COUNTIFS('DRAFT 2'!$D:$D,$B186,'DRAFT 2'!$A:$A,"&gt;="&amp;DATE(2026,11,15),'DRAFT 2'!$A:$A,"&lt;="&amp;DATE(2026,11,21))</f>
        <v/>
      </c>
      <c r="IG186">
        <f>COUNTIFS('DRAFT 2'!$D:$D,$B186,'DRAFT 2'!$A:$A,"&gt;="&amp;DATE(2026,11,22),'DRAFT 2'!$A:$A,"&lt;"&amp;DATE(2026,IF(11=12,11+1,11+1),1))</f>
        <v/>
      </c>
      <c r="IH186">
        <f>SUM(ID186:IG186)</f>
        <v/>
      </c>
      <c r="IR186">
        <f>IFERROR(LOOKUP(2,1/('DRAFT 2'!$D:$D=$B186)*('DRAFT 2'!$A:$A&gt;=DATE(2026,12,1))*('DRAFT 2'!$A:$A&lt;DATE(2026,IF(12=12,12+1,12+1),1)),'DRAFT 2'!$A:$A),"")</f>
        <v/>
      </c>
      <c r="IS186">
        <f>COUNTIFS('DRAFT 2'!$D:$D,$B186,'DRAFT 2'!$A:$A,"&gt;="&amp;DATE(2026,12,1),'DRAFT 2'!$A:$A,"&lt;="&amp;DATE(2026,12,7))</f>
        <v/>
      </c>
      <c r="IT186">
        <f>COUNTIFS('DRAFT 2'!$D:$D,$B186,'DRAFT 2'!$A:$A,"&gt;="&amp;DATE(2026,12,8),'DRAFT 2'!$A:$A,"&lt;="&amp;DATE(2026,12,14))</f>
        <v/>
      </c>
      <c r="IU186">
        <f>COUNTIFS('DRAFT 2'!$D:$D,$B186,'DRAFT 2'!$A:$A,"&gt;="&amp;DATE(2026,12,15),'DRAFT 2'!$A:$A,"&lt;="&amp;DATE(2026,12,21))</f>
        <v/>
      </c>
      <c r="IV186">
        <f>COUNTIFS('DRAFT 2'!$D:$D,$B186,'DRAFT 2'!$A:$A,"&gt;="&amp;DATE(2026,12,22),'DRAFT 2'!$A:$A,"&lt;"&amp;DATE(2026,IF(12=12,12+1,12+1),1))</f>
        <v/>
      </c>
      <c r="IW186">
        <f>SUM(IS186:IV186)</f>
        <v/>
      </c>
    </row>
    <row r="187">
      <c r="A187">
        <f>IFERROR(INDEX('DRAFT 1'!$A:$A,MATCH($B187,'DRAFT 1'!$B:$B,0)),"")</f>
        <v/>
      </c>
      <c r="C187">
        <f>IFERROR(INDEX('DRAFT 1'!$C:$C,MATCH($B187,'DRAFT 1'!$B:$B,0)),"")</f>
        <v/>
      </c>
      <c r="D187">
        <f>IFERROR(INDEX('DRAFT 1'!$D:$D,MATCH($B187,'DRAFT 1'!$B:$B,0)),"")</f>
        <v/>
      </c>
      <c r="E187">
        <f>IFERROR(INDEX('DRAFT 1'!$E:$E,MATCH($B187,'DRAFT 1'!$B:$B,0)),"")</f>
        <v/>
      </c>
      <c r="F187">
        <f>IFERROR(INDEX('DRAFT 1'!$F:$F,MATCH($B187,'DRAFT 1'!$B:$B,0)),"")</f>
        <v/>
      </c>
      <c r="G187">
        <f>IFERROR(INDEX('DRAFT 1'!$G:$G,MATCH($B187,'DRAFT 1'!$B:$B,0)),"")</f>
        <v/>
      </c>
      <c r="H187">
        <f>IFERROR(INDEX('DRAFT 1'!$H:$H,MATCH($B187,'DRAFT 1'!$B:$B,0)),"")</f>
        <v/>
      </c>
      <c r="I187">
        <f>IFERROR(INDEX('DRAFT 1'!$I:$I,MATCH($B187,'DRAFT 1'!$B:$B,0)),"")</f>
        <v/>
      </c>
      <c r="K187">
        <f>IFERROR(INDEX('DRAFT 1'!$AL:$AL,MATCH($B187,'DRAFT 1'!$B:$B,0)),"")</f>
        <v/>
      </c>
      <c r="L187">
        <f>IFERROR(INDEX('DRAFT 1'!$J:$J,MATCH($B187,'DRAFT 1'!$B:$B,0)),"")</f>
        <v/>
      </c>
      <c r="M187">
        <f>IFERROR(INDEX('DRAFT 1'!$K:$K,MATCH($B187,'DRAFT 1'!$B:$B,0)),"")</f>
        <v/>
      </c>
      <c r="P187">
        <f>IFERROR(INDEX('DRAFT 1'!$L:$L,MATCH($B187,'DRAFT 1'!$B:$B,0)),"")</f>
        <v/>
      </c>
      <c r="Q187">
        <f>IFERROR(INDEX('DRAFT 1'!$M:$M,MATCH($B187,'DRAFT 1'!$B:$B,0)),"")</f>
        <v/>
      </c>
      <c r="R187">
        <f>IFERROR(INDEX('DRAFT 1'!$N:$N,MATCH($B187,'DRAFT 1'!$B:$B,0)),"")</f>
        <v/>
      </c>
      <c r="S187">
        <f>IFERROR(INDEX('DRAFT 1'!$O:$O,MATCH($B187,'DRAFT 1'!$B:$B,0)),"")</f>
        <v/>
      </c>
      <c r="T187">
        <f>IFERROR(INDEX('DRAFT 1'!$P:$P,MATCH($B187,'DRAFT 1'!$B:$B,0)),"")</f>
        <v/>
      </c>
      <c r="U187">
        <f>IFERROR(INDEX('DRAFT 1'!$Q:$Q,MATCH($B187,'DRAFT 1'!$B:$B,0)),"")</f>
        <v/>
      </c>
      <c r="V187">
        <f>IFERROR(INDEX('DRAFT 1'!$R:$R,MATCH($B187,'DRAFT 1'!$B:$B,0)),"")</f>
        <v/>
      </c>
      <c r="W187">
        <f>IFERROR(INDEX('DRAFT 1'!$S:$S,MATCH($B187,'DRAFT 1'!$B:$B,0)),"")</f>
        <v/>
      </c>
      <c r="X187">
        <f>IFERROR(INDEX('DRAFT 1'!$T:$T,MATCH($B187,'DRAFT 1'!$B:$B,0)),"")</f>
        <v/>
      </c>
      <c r="Z187">
        <f>IFERROR(INDEX('DRAFT 1'!$U:$U,MATCH($B187,'DRAFT 1'!$B:$B,0)),"")</f>
        <v/>
      </c>
      <c r="AA187">
        <f>IFERROR(INDEX('DRAFT 1'!$V:$V,MATCH($B187,'DRAFT 1'!$B:$B,0)),"")</f>
        <v/>
      </c>
      <c r="AB187">
        <f>IFERROR(INDEX('DRAFT 1'!$W:$W,MATCH($B187,'DRAFT 1'!$B:$B,0)),"")</f>
        <v/>
      </c>
      <c r="AC187">
        <f>IFERROR(INDEX('DRAFT 1'!$X:$X,MATCH($B187,'DRAFT 1'!$B:$B,0)),"")</f>
        <v/>
      </c>
      <c r="AD187">
        <f>IFERROR(INDEX('DRAFT 1'!$Y:$Y,MATCH($B187,'DRAFT 1'!$B:$B,0)),"")</f>
        <v/>
      </c>
      <c r="AE187">
        <f>IFERROR(INDEX('DRAFT 1'!$Z:$Z,MATCH($B187,'DRAFT 1'!$B:$B,0)),"")</f>
        <v/>
      </c>
      <c r="AF187">
        <f>IFERROR(INDEX('DRAFT 1'!$AA:$AA,MATCH($B187,'DRAFT 1'!$B:$B,0)),"")</f>
        <v/>
      </c>
      <c r="AG187">
        <f>IFERROR(INDEX('DRAFT 1'!$AB:$AB,MATCH($B187,'DRAFT 1'!$B:$B,0)),"")</f>
        <v/>
      </c>
      <c r="AH187">
        <f>IFERROR(INDEX('DRAFT 1'!$AC:$AC,MATCH($B187,'DRAFT 1'!$B:$B,0)),"")</f>
        <v/>
      </c>
      <c r="AI187">
        <f>IFERROR(INDEX('DRAFT 1'!$AD:$AD,MATCH($B187,'DRAFT 1'!$B:$B,0)),"")</f>
        <v/>
      </c>
      <c r="AJ187">
        <f>IFERROR(INDEX('DRAFT 1'!$AE:$AE,MATCH($B187,'DRAFT 1'!$B:$B,0)),"")</f>
        <v/>
      </c>
      <c r="AK187">
        <f>IFERROR(INDEX('DRAFT 1'!$AG:$AG,MATCH($B187,'DRAFT 1'!$B:$B,0)),"")</f>
        <v/>
      </c>
      <c r="AL187">
        <f>IFERROR(INDEX('DRAFT 1'!$AH:$AH,MATCH($B187,'DRAFT 1'!$B:$B,0)),"")</f>
        <v/>
      </c>
      <c r="AM187">
        <f>IFERROR(INDEX('DRAFT 1'!$AI:$AI,MATCH($B187,'DRAFT 1'!$B:$B,0)),"")</f>
        <v/>
      </c>
      <c r="AN187">
        <f>IFERROR(INDEX('DRAFT 1'!$AJ:$AJ,MATCH($B187,'DRAFT 1'!$B:$B,0)),"")</f>
        <v/>
      </c>
      <c r="AO187">
        <f>IFERROR(Y187/AN187,0)</f>
        <v/>
      </c>
      <c r="AP187">
        <f>IFERROR(INDEX('DRAFT 1'!$AK:$AK,MATCH($B187,'DRAFT 1'!$B:$B,0)),"")</f>
        <v/>
      </c>
      <c r="AR187">
        <f>IFERROR(LOOKUP(2,1/('DRAFT 2'!$D:$D=$B187),'DRAFT 2'!$I:$I),"")</f>
        <v/>
      </c>
      <c r="AS187">
        <f>IFERROR(LOOKUP(2,1/('DRAFT 2'!$D:$D=$B187),'DRAFT 2'!$T:$T),"")</f>
        <v/>
      </c>
      <c r="AT187">
        <f>IFERROR(LOOKUP(2,1/('DRAFT 2'!$D:$D=$B187),'DRAFT 2'!$A:$A),"")</f>
        <v/>
      </c>
      <c r="AU187">
        <f>IFERROR(LOOKUP(2,1/('DRAFT 2'!$D:$D=$B187),'DRAFT 2'!$R:$R),"")</f>
        <v/>
      </c>
      <c r="AV187">
        <f>IFERROR(LOOKUP(2,1/('DRAFT 2'!$D:$D=$B187),'DRAFT 2'!$S:$S),"")</f>
        <v/>
      </c>
      <c r="AX187">
        <f>IFERROR(LOOKUP(2,1/('DRAFT 2'!$D:$D=$B187),'DRAFT 2'!$M:$M),"")</f>
        <v/>
      </c>
      <c r="AY187">
        <f>IFERROR(LOOKUP(2,1/('DRAFT 2'!$D:$D=$B187),'DRAFT 2'!$K:$K),"")</f>
        <v/>
      </c>
      <c r="BG187">
        <f>IFERROR(LOOKUP(2,1/('DRAFT 2'!$D:$D=$B187),'DRAFT 2'!$U:$U),"")</f>
        <v/>
      </c>
      <c r="BH187">
        <f>IFERROR(LOOKUP(2,1/('DRAFT 2'!$D:$D=$B187),'DRAFT 2'!$V:$V),"")</f>
        <v/>
      </c>
      <c r="CE187">
        <f>IFERROR(AJ187,0)</f>
        <v/>
      </c>
      <c r="CF187">
        <f>IFERROR(LOOKUP(2,1/('DRAFT 2'!$D:$D=$B187)*('DRAFT 2'!$A:$A&gt;=DATE(2026,1,1))*('DRAFT 2'!$A:$A&lt;DATE(2026,IF(1=12,1+1,1+1),1)),'DRAFT 2'!$A:$A),"")</f>
        <v/>
      </c>
      <c r="CG187">
        <f>COUNTIFS('DRAFT 2'!$D:$D,$B187,'DRAFT 2'!$A:$A,"&gt;="&amp;DATE(2026,1,1),'DRAFT 2'!$A:$A,"&lt;="&amp;DATE(2026,1,7))</f>
        <v/>
      </c>
      <c r="CH187">
        <f>COUNTIFS('DRAFT 2'!$D:$D,$B187,'DRAFT 2'!$A:$A,"&gt;="&amp;DATE(2026,1,8),'DRAFT 2'!$A:$A,"&lt;="&amp;DATE(2026,1,14))</f>
        <v/>
      </c>
      <c r="CI187">
        <f>COUNTIFS('DRAFT 2'!$D:$D,$B187,'DRAFT 2'!$A:$A,"&gt;="&amp;DATE(2026,1,15),'DRAFT 2'!$A:$A,"&lt;="&amp;DATE(2026,1,21))</f>
        <v/>
      </c>
      <c r="CJ187">
        <f>COUNTIFS('DRAFT 2'!$D:$D,$B187,'DRAFT 2'!$A:$A,"&gt;="&amp;DATE(2026,1,22),'DRAFT 2'!$A:$A,"&lt;"&amp;DATE(2026,IF(1=12,1+1,1+1),1))</f>
        <v/>
      </c>
      <c r="CK187">
        <f>SUM(CG187:CJ187)</f>
        <v/>
      </c>
      <c r="CT187" t="n">
        <v>0</v>
      </c>
      <c r="CU187">
        <f>IFERROR(LOOKUP(2,1/('DRAFT 2'!$D:$D=$B187)*('DRAFT 2'!$A:$A&gt;=DATE(2026,2,1))*('DRAFT 2'!$A:$A&lt;DATE(2026,IF(2=12,2+1,2+1),1)),'DRAFT 2'!$A:$A),"")</f>
        <v/>
      </c>
      <c r="CV187">
        <f>COUNTIFS('DRAFT 2'!$D:$D,$B187,'DRAFT 2'!$A:$A,"&gt;="&amp;DATE(2026,2,1),'DRAFT 2'!$A:$A,"&lt;="&amp;DATE(2026,2,7))</f>
        <v/>
      </c>
      <c r="CW187">
        <f>COUNTIFS('DRAFT 2'!$D:$D,$B187,'DRAFT 2'!$A:$A,"&gt;="&amp;DATE(2026,2,8),'DRAFT 2'!$A:$A,"&lt;="&amp;DATE(2026,2,14))</f>
        <v/>
      </c>
      <c r="CX187">
        <f>COUNTIFS('DRAFT 2'!$D:$D,$B187,'DRAFT 2'!$A:$A,"&gt;="&amp;DATE(2026,2,15),'DRAFT 2'!$A:$A,"&lt;="&amp;DATE(2026,2,21))</f>
        <v/>
      </c>
      <c r="CY187">
        <f>COUNTIFS('DRAFT 2'!$D:$D,$B187,'DRAFT 2'!$A:$A,"&gt;="&amp;DATE(2026,2,22),'DRAFT 2'!$A:$A,"&lt;"&amp;DATE(2026,IF(2=12,2+1,2+1),1))</f>
        <v/>
      </c>
      <c r="CZ187">
        <f>SUM(CV187:CY187)</f>
        <v/>
      </c>
      <c r="DJ187">
        <f>IFERROR(LOOKUP(2,1/('DRAFT 2'!$D:$D=$B187)*('DRAFT 2'!$A:$A&gt;=DATE(2026,3,1))*('DRAFT 2'!$A:$A&lt;DATE(2026,IF(3=12,3+1,3+1),1)),'DRAFT 2'!$A:$A),"")</f>
        <v/>
      </c>
      <c r="DK187">
        <f>COUNTIFS('DRAFT 2'!$D:$D,$B187,'DRAFT 2'!$A:$A,"&gt;="&amp;DATE(2026,3,1),'DRAFT 2'!$A:$A,"&lt;="&amp;DATE(2026,3,7))</f>
        <v/>
      </c>
      <c r="DL187">
        <f>COUNTIFS('DRAFT 2'!$D:$D,$B187,'DRAFT 2'!$A:$A,"&gt;="&amp;DATE(2026,3,8),'DRAFT 2'!$A:$A,"&lt;="&amp;DATE(2026,3,14))</f>
        <v/>
      </c>
      <c r="DM187">
        <f>COUNTIFS('DRAFT 2'!$D:$D,$B187,'DRAFT 2'!$A:$A,"&gt;="&amp;DATE(2026,3,15),'DRAFT 2'!$A:$A,"&lt;="&amp;DATE(2026,3,21))</f>
        <v/>
      </c>
      <c r="DN187">
        <f>COUNTIFS('DRAFT 2'!$D:$D,$B187,'DRAFT 2'!$A:$A,"&gt;="&amp;DATE(2026,3,22),'DRAFT 2'!$A:$A,"&lt;"&amp;DATE(2026,IF(3=12,3+1,3+1),1))</f>
        <v/>
      </c>
      <c r="DO187">
        <f>SUM(DK187:DN187)</f>
        <v/>
      </c>
      <c r="DZ187">
        <f>IFERROR(LOOKUP(2,1/('DRAFT 2'!$D:$D=$B187)*('DRAFT 2'!$A:$A&gt;=DATE(2026,4,1))*('DRAFT 2'!$A:$A&lt;DATE(2026,IF(4=12,4+1,4+1),1)),'DRAFT 2'!$A:$A),"")</f>
        <v/>
      </c>
      <c r="EA187">
        <f>COUNTIFS('DRAFT 2'!$D:$D,$B187,'DRAFT 2'!$A:$A,"&gt;="&amp;DATE(2026,4,1),'DRAFT 2'!$A:$A,"&lt;="&amp;DATE(2026,4,7))</f>
        <v/>
      </c>
      <c r="EB187">
        <f>COUNTIFS('DRAFT 2'!$D:$D,$B187,'DRAFT 2'!$A:$A,"&gt;="&amp;DATE(2026,4,8),'DRAFT 2'!$A:$A,"&lt;="&amp;DATE(2026,4,14))</f>
        <v/>
      </c>
      <c r="EC187">
        <f>COUNTIFS('DRAFT 2'!$D:$D,$B187,'DRAFT 2'!$A:$A,"&gt;="&amp;DATE(2026,4,15),'DRAFT 2'!$A:$A,"&lt;="&amp;DATE(2026,4,21))</f>
        <v/>
      </c>
      <c r="ED187">
        <f>COUNTIFS('DRAFT 2'!$D:$D,$B187,'DRAFT 2'!$A:$A,"&gt;="&amp;DATE(2026,4,22),'DRAFT 2'!$A:$A,"&lt;"&amp;DATE(2026,IF(4=12,4+1,4+1),1))</f>
        <v/>
      </c>
      <c r="EE187">
        <f>SUM(EA187:ED187)</f>
        <v/>
      </c>
      <c r="EO187">
        <f>IFERROR(LOOKUP(2,1/('DRAFT 2'!$D:$D=$B187)*('DRAFT 2'!$A:$A&gt;=DATE(2026,5,1))*('DRAFT 2'!$A:$A&lt;DATE(2026,IF(5=12,5+1,5+1),1)),'DRAFT 2'!$A:$A),"")</f>
        <v/>
      </c>
      <c r="EP187">
        <f>COUNTIFS('DRAFT 2'!$D:$D,$B187,'DRAFT 2'!$A:$A,"&gt;="&amp;DATE(2026,5,1),'DRAFT 2'!$A:$A,"&lt;="&amp;DATE(2026,5,7))</f>
        <v/>
      </c>
      <c r="EQ187">
        <f>COUNTIFS('DRAFT 2'!$D:$D,$B187,'DRAFT 2'!$A:$A,"&gt;="&amp;DATE(2026,5,8),'DRAFT 2'!$A:$A,"&lt;="&amp;DATE(2026,5,14))</f>
        <v/>
      </c>
      <c r="ER187">
        <f>COUNTIFS('DRAFT 2'!$D:$D,$B187,'DRAFT 2'!$A:$A,"&gt;="&amp;DATE(2026,5,15),'DRAFT 2'!$A:$A,"&lt;="&amp;DATE(2026,5,21))</f>
        <v/>
      </c>
      <c r="ES187">
        <f>COUNTIFS('DRAFT 2'!$D:$D,$B187,'DRAFT 2'!$A:$A,"&gt;="&amp;DATE(2026,5,22),'DRAFT 2'!$A:$A,"&lt;"&amp;DATE(2026,IF(5=12,5+1,5+1),1))</f>
        <v/>
      </c>
      <c r="ET187">
        <f>SUM(EP187:ES187)</f>
        <v/>
      </c>
      <c r="FD187">
        <f>IFERROR(LOOKUP(2,1/('DRAFT 2'!$D:$D=$B187)*('DRAFT 2'!$A:$A&gt;=DATE(2026,6,1))*('DRAFT 2'!$A:$A&lt;DATE(2026,IF(6=12,6+1,6+1),1)),'DRAFT 2'!$A:$A),"")</f>
        <v/>
      </c>
      <c r="FE187">
        <f>COUNTIFS('DRAFT 2'!$D:$D,$B187,'DRAFT 2'!$A:$A,"&gt;="&amp;DATE(2026,6,1),'DRAFT 2'!$A:$A,"&lt;="&amp;DATE(2026,6,7))</f>
        <v/>
      </c>
      <c r="FF187">
        <f>COUNTIFS('DRAFT 2'!$D:$D,$B187,'DRAFT 2'!$A:$A,"&gt;="&amp;DATE(2026,6,8),'DRAFT 2'!$A:$A,"&lt;="&amp;DATE(2026,6,14))</f>
        <v/>
      </c>
      <c r="FG187">
        <f>COUNTIFS('DRAFT 2'!$D:$D,$B187,'DRAFT 2'!$A:$A,"&gt;="&amp;DATE(2026,6,15),'DRAFT 2'!$A:$A,"&lt;="&amp;DATE(2026,6,21))</f>
        <v/>
      </c>
      <c r="FH187">
        <f>COUNTIFS('DRAFT 2'!$D:$D,$B187,'DRAFT 2'!$A:$A,"&gt;="&amp;DATE(2026,6,22),'DRAFT 2'!$A:$A,"&lt;"&amp;DATE(2026,IF(6=12,6+1,6+1),1))</f>
        <v/>
      </c>
      <c r="FI187">
        <f>SUM(FE187:FH187)</f>
        <v/>
      </c>
      <c r="FT187">
        <f>IFERROR(LOOKUP(2,1/('DRAFT 2'!$D:$D=$B187)*('DRAFT 2'!$A:$A&gt;=DATE(2026,7,1))*('DRAFT 2'!$A:$A&lt;DATE(2026,IF(7=12,7+1,7+1),1)),'DRAFT 2'!$A:$A),"")</f>
        <v/>
      </c>
      <c r="FU187">
        <f>COUNTIFS('DRAFT 2'!$D:$D,$B187,'DRAFT 2'!$A:$A,"&gt;="&amp;DATE(2026,7,1),'DRAFT 2'!$A:$A,"&lt;="&amp;DATE(2026,7,7))</f>
        <v/>
      </c>
      <c r="FV187">
        <f>COUNTIFS('DRAFT 2'!$D:$D,$B187,'DRAFT 2'!$A:$A,"&gt;="&amp;DATE(2026,7,8),'DRAFT 2'!$A:$A,"&lt;="&amp;DATE(2026,7,14))</f>
        <v/>
      </c>
      <c r="FW187">
        <f>COUNTIFS('DRAFT 2'!$D:$D,$B187,'DRAFT 2'!$A:$A,"&gt;="&amp;DATE(2026,7,15),'DRAFT 2'!$A:$A,"&lt;="&amp;DATE(2026,7,21))</f>
        <v/>
      </c>
      <c r="FX187">
        <f>COUNTIFS('DRAFT 2'!$D:$D,$B187,'DRAFT 2'!$A:$A,"&gt;="&amp;DATE(2026,7,22),'DRAFT 2'!$A:$A,"&lt;"&amp;DATE(2026,IF(7=12,7+1,7+1),1))</f>
        <v/>
      </c>
      <c r="FY187">
        <f>SUM(FU187:FX187)</f>
        <v/>
      </c>
      <c r="GI187">
        <f>IFERROR(LOOKUP(2,1/('DRAFT 2'!$D:$D=$B187)*('DRAFT 2'!$A:$A&gt;=DATE(2026,8,1))*('DRAFT 2'!$A:$A&lt;DATE(2026,IF(8=12,8+1,8+1),1)),'DRAFT 2'!$A:$A),"")</f>
        <v/>
      </c>
      <c r="GJ187">
        <f>COUNTIFS('DRAFT 2'!$D:$D,$B187,'DRAFT 2'!$A:$A,"&gt;="&amp;DATE(2026,8,1),'DRAFT 2'!$A:$A,"&lt;="&amp;DATE(2026,8,7))</f>
        <v/>
      </c>
      <c r="GK187">
        <f>COUNTIFS('DRAFT 2'!$D:$D,$B187,'DRAFT 2'!$A:$A,"&gt;="&amp;DATE(2026,8,8),'DRAFT 2'!$A:$A,"&lt;="&amp;DATE(2026,8,14))</f>
        <v/>
      </c>
      <c r="GL187">
        <f>COUNTIFS('DRAFT 2'!$D:$D,$B187,'DRAFT 2'!$A:$A,"&gt;="&amp;DATE(2026,8,15),'DRAFT 2'!$A:$A,"&lt;="&amp;DATE(2026,8,21))</f>
        <v/>
      </c>
      <c r="GM187">
        <f>COUNTIFS('DRAFT 2'!$D:$D,$B187,'DRAFT 2'!$A:$A,"&gt;="&amp;DATE(2026,8,22),'DRAFT 2'!$A:$A,"&lt;"&amp;DATE(2026,IF(8=12,8+1,8+1),1))</f>
        <v/>
      </c>
      <c r="GN187">
        <f>SUM(GJ187:GM187)</f>
        <v/>
      </c>
      <c r="GX187">
        <f>IFERROR(LOOKUP(2,1/('DRAFT 2'!$D:$D=$B187)*('DRAFT 2'!$A:$A&gt;=DATE(2026,9,1))*('DRAFT 2'!$A:$A&lt;DATE(2026,IF(9=12,9+1,9+1),1)),'DRAFT 2'!$A:$A),"")</f>
        <v/>
      </c>
      <c r="GY187">
        <f>COUNTIFS('DRAFT 2'!$D:$D,$B187,'DRAFT 2'!$A:$A,"&gt;="&amp;DATE(2026,9,1),'DRAFT 2'!$A:$A,"&lt;="&amp;DATE(2026,9,7))</f>
        <v/>
      </c>
      <c r="GZ187">
        <f>COUNTIFS('DRAFT 2'!$D:$D,$B187,'DRAFT 2'!$A:$A,"&gt;="&amp;DATE(2026,9,8),'DRAFT 2'!$A:$A,"&lt;="&amp;DATE(2026,9,14))</f>
        <v/>
      </c>
      <c r="HA187">
        <f>COUNTIFS('DRAFT 2'!$D:$D,$B187,'DRAFT 2'!$A:$A,"&gt;="&amp;DATE(2026,9,15),'DRAFT 2'!$A:$A,"&lt;="&amp;DATE(2026,9,21))</f>
        <v/>
      </c>
      <c r="HB187">
        <f>COUNTIFS('DRAFT 2'!$D:$D,$B187,'DRAFT 2'!$A:$A,"&gt;="&amp;DATE(2026,9,22),'DRAFT 2'!$A:$A,"&lt;"&amp;DATE(2026,IF(9=12,9+1,9+1),1))</f>
        <v/>
      </c>
      <c r="HC187">
        <f>SUM(GY187:HB187)</f>
        <v/>
      </c>
      <c r="HN187">
        <f>IFERROR(LOOKUP(2,1/('DRAFT 2'!$D:$D=$B187)*('DRAFT 2'!$A:$A&gt;=DATE(2026,10,1))*('DRAFT 2'!$A:$A&lt;DATE(2026,IF(10=12,10+1,10+1),1)),'DRAFT 2'!$A:$A),"")</f>
        <v/>
      </c>
      <c r="HO187">
        <f>COUNTIFS('DRAFT 2'!$D:$D,$B187,'DRAFT 2'!$A:$A,"&gt;="&amp;DATE(2026,10,1),'DRAFT 2'!$A:$A,"&lt;="&amp;DATE(2026,10,7))</f>
        <v/>
      </c>
      <c r="HP187">
        <f>COUNTIFS('DRAFT 2'!$D:$D,$B187,'DRAFT 2'!$A:$A,"&gt;="&amp;DATE(2026,10,8),'DRAFT 2'!$A:$A,"&lt;="&amp;DATE(2026,10,14))</f>
        <v/>
      </c>
      <c r="HQ187">
        <f>COUNTIFS('DRAFT 2'!$D:$D,$B187,'DRAFT 2'!$A:$A,"&gt;="&amp;DATE(2026,10,15),'DRAFT 2'!$A:$A,"&lt;="&amp;DATE(2026,10,21))</f>
        <v/>
      </c>
      <c r="HR187">
        <f>COUNTIFS('DRAFT 2'!$D:$D,$B187,'DRAFT 2'!$A:$A,"&gt;="&amp;DATE(2026,10,22),'DRAFT 2'!$A:$A,"&lt;"&amp;DATE(2026,IF(10=12,10+1,10+1),1))</f>
        <v/>
      </c>
      <c r="HS187">
        <f>SUM(HO187:HR187)</f>
        <v/>
      </c>
      <c r="IC187">
        <f>IFERROR(LOOKUP(2,1/('DRAFT 2'!$D:$D=$B187)*('DRAFT 2'!$A:$A&gt;=DATE(2026,11,1))*('DRAFT 2'!$A:$A&lt;DATE(2026,IF(11=12,11+1,11+1),1)),'DRAFT 2'!$A:$A),"")</f>
        <v/>
      </c>
      <c r="ID187">
        <f>COUNTIFS('DRAFT 2'!$D:$D,$B187,'DRAFT 2'!$A:$A,"&gt;="&amp;DATE(2026,11,1),'DRAFT 2'!$A:$A,"&lt;="&amp;DATE(2026,11,7))</f>
        <v/>
      </c>
      <c r="IE187">
        <f>COUNTIFS('DRAFT 2'!$D:$D,$B187,'DRAFT 2'!$A:$A,"&gt;="&amp;DATE(2026,11,8),'DRAFT 2'!$A:$A,"&lt;="&amp;DATE(2026,11,14))</f>
        <v/>
      </c>
      <c r="IF187">
        <f>COUNTIFS('DRAFT 2'!$D:$D,$B187,'DRAFT 2'!$A:$A,"&gt;="&amp;DATE(2026,11,15),'DRAFT 2'!$A:$A,"&lt;="&amp;DATE(2026,11,21))</f>
        <v/>
      </c>
      <c r="IG187">
        <f>COUNTIFS('DRAFT 2'!$D:$D,$B187,'DRAFT 2'!$A:$A,"&gt;="&amp;DATE(2026,11,22),'DRAFT 2'!$A:$A,"&lt;"&amp;DATE(2026,IF(11=12,11+1,11+1),1))</f>
        <v/>
      </c>
      <c r="IH187">
        <f>SUM(ID187:IG187)</f>
        <v/>
      </c>
      <c r="IR187">
        <f>IFERROR(LOOKUP(2,1/('DRAFT 2'!$D:$D=$B187)*('DRAFT 2'!$A:$A&gt;=DATE(2026,12,1))*('DRAFT 2'!$A:$A&lt;DATE(2026,IF(12=12,12+1,12+1),1)),'DRAFT 2'!$A:$A),"")</f>
        <v/>
      </c>
      <c r="IS187">
        <f>COUNTIFS('DRAFT 2'!$D:$D,$B187,'DRAFT 2'!$A:$A,"&gt;="&amp;DATE(2026,12,1),'DRAFT 2'!$A:$A,"&lt;="&amp;DATE(2026,12,7))</f>
        <v/>
      </c>
      <c r="IT187">
        <f>COUNTIFS('DRAFT 2'!$D:$D,$B187,'DRAFT 2'!$A:$A,"&gt;="&amp;DATE(2026,12,8),'DRAFT 2'!$A:$A,"&lt;="&amp;DATE(2026,12,14))</f>
        <v/>
      </c>
      <c r="IU187">
        <f>COUNTIFS('DRAFT 2'!$D:$D,$B187,'DRAFT 2'!$A:$A,"&gt;="&amp;DATE(2026,12,15),'DRAFT 2'!$A:$A,"&lt;="&amp;DATE(2026,12,21))</f>
        <v/>
      </c>
      <c r="IV187">
        <f>COUNTIFS('DRAFT 2'!$D:$D,$B187,'DRAFT 2'!$A:$A,"&gt;="&amp;DATE(2026,12,22),'DRAFT 2'!$A:$A,"&lt;"&amp;DATE(2026,IF(12=12,12+1,12+1),1))</f>
        <v/>
      </c>
      <c r="IW187">
        <f>SUM(IS187:IV187)</f>
        <v/>
      </c>
    </row>
    <row r="188">
      <c r="A188">
        <f>IFERROR(INDEX('DRAFT 1'!$A:$A,MATCH($B188,'DRAFT 1'!$B:$B,0)),"")</f>
        <v/>
      </c>
      <c r="C188">
        <f>IFERROR(INDEX('DRAFT 1'!$C:$C,MATCH($B188,'DRAFT 1'!$B:$B,0)),"")</f>
        <v/>
      </c>
      <c r="D188">
        <f>IFERROR(INDEX('DRAFT 1'!$D:$D,MATCH($B188,'DRAFT 1'!$B:$B,0)),"")</f>
        <v/>
      </c>
      <c r="E188">
        <f>IFERROR(INDEX('DRAFT 1'!$E:$E,MATCH($B188,'DRAFT 1'!$B:$B,0)),"")</f>
        <v/>
      </c>
      <c r="F188">
        <f>IFERROR(INDEX('DRAFT 1'!$F:$F,MATCH($B188,'DRAFT 1'!$B:$B,0)),"")</f>
        <v/>
      </c>
      <c r="G188">
        <f>IFERROR(INDEX('DRAFT 1'!$G:$G,MATCH($B188,'DRAFT 1'!$B:$B,0)),"")</f>
        <v/>
      </c>
      <c r="H188">
        <f>IFERROR(INDEX('DRAFT 1'!$H:$H,MATCH($B188,'DRAFT 1'!$B:$B,0)),"")</f>
        <v/>
      </c>
      <c r="I188">
        <f>IFERROR(INDEX('DRAFT 1'!$I:$I,MATCH($B188,'DRAFT 1'!$B:$B,0)),"")</f>
        <v/>
      </c>
      <c r="K188">
        <f>IFERROR(INDEX('DRAFT 1'!$AL:$AL,MATCH($B188,'DRAFT 1'!$B:$B,0)),"")</f>
        <v/>
      </c>
      <c r="L188">
        <f>IFERROR(INDEX('DRAFT 1'!$J:$J,MATCH($B188,'DRAFT 1'!$B:$B,0)),"")</f>
        <v/>
      </c>
      <c r="M188">
        <f>IFERROR(INDEX('DRAFT 1'!$K:$K,MATCH($B188,'DRAFT 1'!$B:$B,0)),"")</f>
        <v/>
      </c>
      <c r="P188">
        <f>IFERROR(INDEX('DRAFT 1'!$L:$L,MATCH($B188,'DRAFT 1'!$B:$B,0)),"")</f>
        <v/>
      </c>
      <c r="Q188">
        <f>IFERROR(INDEX('DRAFT 1'!$M:$M,MATCH($B188,'DRAFT 1'!$B:$B,0)),"")</f>
        <v/>
      </c>
      <c r="R188">
        <f>IFERROR(INDEX('DRAFT 1'!$N:$N,MATCH($B188,'DRAFT 1'!$B:$B,0)),"")</f>
        <v/>
      </c>
      <c r="S188">
        <f>IFERROR(INDEX('DRAFT 1'!$O:$O,MATCH($B188,'DRAFT 1'!$B:$B,0)),"")</f>
        <v/>
      </c>
      <c r="T188">
        <f>IFERROR(INDEX('DRAFT 1'!$P:$P,MATCH($B188,'DRAFT 1'!$B:$B,0)),"")</f>
        <v/>
      </c>
      <c r="U188">
        <f>IFERROR(INDEX('DRAFT 1'!$Q:$Q,MATCH($B188,'DRAFT 1'!$B:$B,0)),"")</f>
        <v/>
      </c>
      <c r="V188">
        <f>IFERROR(INDEX('DRAFT 1'!$R:$R,MATCH($B188,'DRAFT 1'!$B:$B,0)),"")</f>
        <v/>
      </c>
      <c r="W188">
        <f>IFERROR(INDEX('DRAFT 1'!$S:$S,MATCH($B188,'DRAFT 1'!$B:$B,0)),"")</f>
        <v/>
      </c>
      <c r="X188">
        <f>IFERROR(INDEX('DRAFT 1'!$T:$T,MATCH($B188,'DRAFT 1'!$B:$B,0)),"")</f>
        <v/>
      </c>
      <c r="Z188">
        <f>IFERROR(INDEX('DRAFT 1'!$U:$U,MATCH($B188,'DRAFT 1'!$B:$B,0)),"")</f>
        <v/>
      </c>
      <c r="AA188">
        <f>IFERROR(INDEX('DRAFT 1'!$V:$V,MATCH($B188,'DRAFT 1'!$B:$B,0)),"")</f>
        <v/>
      </c>
      <c r="AB188">
        <f>IFERROR(INDEX('DRAFT 1'!$W:$W,MATCH($B188,'DRAFT 1'!$B:$B,0)),"")</f>
        <v/>
      </c>
      <c r="AC188">
        <f>IFERROR(INDEX('DRAFT 1'!$X:$X,MATCH($B188,'DRAFT 1'!$B:$B,0)),"")</f>
        <v/>
      </c>
      <c r="AD188">
        <f>IFERROR(INDEX('DRAFT 1'!$Y:$Y,MATCH($B188,'DRAFT 1'!$B:$B,0)),"")</f>
        <v/>
      </c>
      <c r="AE188">
        <f>IFERROR(INDEX('DRAFT 1'!$Z:$Z,MATCH($B188,'DRAFT 1'!$B:$B,0)),"")</f>
        <v/>
      </c>
      <c r="AF188">
        <f>IFERROR(INDEX('DRAFT 1'!$AA:$AA,MATCH($B188,'DRAFT 1'!$B:$B,0)),"")</f>
        <v/>
      </c>
      <c r="AG188">
        <f>IFERROR(INDEX('DRAFT 1'!$AB:$AB,MATCH($B188,'DRAFT 1'!$B:$B,0)),"")</f>
        <v/>
      </c>
      <c r="AH188">
        <f>IFERROR(INDEX('DRAFT 1'!$AC:$AC,MATCH($B188,'DRAFT 1'!$B:$B,0)),"")</f>
        <v/>
      </c>
      <c r="AI188">
        <f>IFERROR(INDEX('DRAFT 1'!$AD:$AD,MATCH($B188,'DRAFT 1'!$B:$B,0)),"")</f>
        <v/>
      </c>
      <c r="AJ188">
        <f>IFERROR(INDEX('DRAFT 1'!$AE:$AE,MATCH($B188,'DRAFT 1'!$B:$B,0)),"")</f>
        <v/>
      </c>
      <c r="AK188">
        <f>IFERROR(INDEX('DRAFT 1'!$AG:$AG,MATCH($B188,'DRAFT 1'!$B:$B,0)),"")</f>
        <v/>
      </c>
      <c r="AL188">
        <f>IFERROR(INDEX('DRAFT 1'!$AH:$AH,MATCH($B188,'DRAFT 1'!$B:$B,0)),"")</f>
        <v/>
      </c>
      <c r="AM188">
        <f>IFERROR(INDEX('DRAFT 1'!$AI:$AI,MATCH($B188,'DRAFT 1'!$B:$B,0)),"")</f>
        <v/>
      </c>
      <c r="AN188">
        <f>IFERROR(INDEX('DRAFT 1'!$AJ:$AJ,MATCH($B188,'DRAFT 1'!$B:$B,0)),"")</f>
        <v/>
      </c>
      <c r="AO188">
        <f>IFERROR(Y188/AN188,0)</f>
        <v/>
      </c>
      <c r="AP188">
        <f>IFERROR(INDEX('DRAFT 1'!$AK:$AK,MATCH($B188,'DRAFT 1'!$B:$B,0)),"")</f>
        <v/>
      </c>
      <c r="AR188">
        <f>IFERROR(LOOKUP(2,1/('DRAFT 2'!$D:$D=$B188),'DRAFT 2'!$I:$I),"")</f>
        <v/>
      </c>
      <c r="AS188">
        <f>IFERROR(LOOKUP(2,1/('DRAFT 2'!$D:$D=$B188),'DRAFT 2'!$T:$T),"")</f>
        <v/>
      </c>
      <c r="AT188">
        <f>IFERROR(LOOKUP(2,1/('DRAFT 2'!$D:$D=$B188),'DRAFT 2'!$A:$A),"")</f>
        <v/>
      </c>
      <c r="AU188">
        <f>IFERROR(LOOKUP(2,1/('DRAFT 2'!$D:$D=$B188),'DRAFT 2'!$R:$R),"")</f>
        <v/>
      </c>
      <c r="AV188">
        <f>IFERROR(LOOKUP(2,1/('DRAFT 2'!$D:$D=$B188),'DRAFT 2'!$S:$S),"")</f>
        <v/>
      </c>
      <c r="AX188">
        <f>IFERROR(LOOKUP(2,1/('DRAFT 2'!$D:$D=$B188),'DRAFT 2'!$M:$M),"")</f>
        <v/>
      </c>
      <c r="AY188">
        <f>IFERROR(LOOKUP(2,1/('DRAFT 2'!$D:$D=$B188),'DRAFT 2'!$K:$K),"")</f>
        <v/>
      </c>
      <c r="BG188">
        <f>IFERROR(LOOKUP(2,1/('DRAFT 2'!$D:$D=$B188),'DRAFT 2'!$U:$U),"")</f>
        <v/>
      </c>
      <c r="BH188">
        <f>IFERROR(LOOKUP(2,1/('DRAFT 2'!$D:$D=$B188),'DRAFT 2'!$V:$V),"")</f>
        <v/>
      </c>
      <c r="CE188">
        <f>IFERROR(AJ188,0)</f>
        <v/>
      </c>
      <c r="CF188">
        <f>IFERROR(LOOKUP(2,1/('DRAFT 2'!$D:$D=$B188)*('DRAFT 2'!$A:$A&gt;=DATE(2026,1,1))*('DRAFT 2'!$A:$A&lt;DATE(2026,IF(1=12,1+1,1+1),1)),'DRAFT 2'!$A:$A),"")</f>
        <v/>
      </c>
      <c r="CG188">
        <f>COUNTIFS('DRAFT 2'!$D:$D,$B188,'DRAFT 2'!$A:$A,"&gt;="&amp;DATE(2026,1,1),'DRAFT 2'!$A:$A,"&lt;="&amp;DATE(2026,1,7))</f>
        <v/>
      </c>
      <c r="CH188">
        <f>COUNTIFS('DRAFT 2'!$D:$D,$B188,'DRAFT 2'!$A:$A,"&gt;="&amp;DATE(2026,1,8),'DRAFT 2'!$A:$A,"&lt;="&amp;DATE(2026,1,14))</f>
        <v/>
      </c>
      <c r="CI188">
        <f>COUNTIFS('DRAFT 2'!$D:$D,$B188,'DRAFT 2'!$A:$A,"&gt;="&amp;DATE(2026,1,15),'DRAFT 2'!$A:$A,"&lt;="&amp;DATE(2026,1,21))</f>
        <v/>
      </c>
      <c r="CJ188">
        <f>COUNTIFS('DRAFT 2'!$D:$D,$B188,'DRAFT 2'!$A:$A,"&gt;="&amp;DATE(2026,1,22),'DRAFT 2'!$A:$A,"&lt;"&amp;DATE(2026,IF(1=12,1+1,1+1),1))</f>
        <v/>
      </c>
      <c r="CK188">
        <f>SUM(CG188:CJ188)</f>
        <v/>
      </c>
      <c r="CT188" t="n">
        <v>0</v>
      </c>
      <c r="CU188">
        <f>IFERROR(LOOKUP(2,1/('DRAFT 2'!$D:$D=$B188)*('DRAFT 2'!$A:$A&gt;=DATE(2026,2,1))*('DRAFT 2'!$A:$A&lt;DATE(2026,IF(2=12,2+1,2+1),1)),'DRAFT 2'!$A:$A),"")</f>
        <v/>
      </c>
      <c r="CV188">
        <f>COUNTIFS('DRAFT 2'!$D:$D,$B188,'DRAFT 2'!$A:$A,"&gt;="&amp;DATE(2026,2,1),'DRAFT 2'!$A:$A,"&lt;="&amp;DATE(2026,2,7))</f>
        <v/>
      </c>
      <c r="CW188">
        <f>COUNTIFS('DRAFT 2'!$D:$D,$B188,'DRAFT 2'!$A:$A,"&gt;="&amp;DATE(2026,2,8),'DRAFT 2'!$A:$A,"&lt;="&amp;DATE(2026,2,14))</f>
        <v/>
      </c>
      <c r="CX188">
        <f>COUNTIFS('DRAFT 2'!$D:$D,$B188,'DRAFT 2'!$A:$A,"&gt;="&amp;DATE(2026,2,15),'DRAFT 2'!$A:$A,"&lt;="&amp;DATE(2026,2,21))</f>
        <v/>
      </c>
      <c r="CY188">
        <f>COUNTIFS('DRAFT 2'!$D:$D,$B188,'DRAFT 2'!$A:$A,"&gt;="&amp;DATE(2026,2,22),'DRAFT 2'!$A:$A,"&lt;"&amp;DATE(2026,IF(2=12,2+1,2+1),1))</f>
        <v/>
      </c>
      <c r="CZ188">
        <f>SUM(CV188:CY188)</f>
        <v/>
      </c>
      <c r="DJ188">
        <f>IFERROR(LOOKUP(2,1/('DRAFT 2'!$D:$D=$B188)*('DRAFT 2'!$A:$A&gt;=DATE(2026,3,1))*('DRAFT 2'!$A:$A&lt;DATE(2026,IF(3=12,3+1,3+1),1)),'DRAFT 2'!$A:$A),"")</f>
        <v/>
      </c>
      <c r="DK188">
        <f>COUNTIFS('DRAFT 2'!$D:$D,$B188,'DRAFT 2'!$A:$A,"&gt;="&amp;DATE(2026,3,1),'DRAFT 2'!$A:$A,"&lt;="&amp;DATE(2026,3,7))</f>
        <v/>
      </c>
      <c r="DL188">
        <f>COUNTIFS('DRAFT 2'!$D:$D,$B188,'DRAFT 2'!$A:$A,"&gt;="&amp;DATE(2026,3,8),'DRAFT 2'!$A:$A,"&lt;="&amp;DATE(2026,3,14))</f>
        <v/>
      </c>
      <c r="DM188">
        <f>COUNTIFS('DRAFT 2'!$D:$D,$B188,'DRAFT 2'!$A:$A,"&gt;="&amp;DATE(2026,3,15),'DRAFT 2'!$A:$A,"&lt;="&amp;DATE(2026,3,21))</f>
        <v/>
      </c>
      <c r="DN188">
        <f>COUNTIFS('DRAFT 2'!$D:$D,$B188,'DRAFT 2'!$A:$A,"&gt;="&amp;DATE(2026,3,22),'DRAFT 2'!$A:$A,"&lt;"&amp;DATE(2026,IF(3=12,3+1,3+1),1))</f>
        <v/>
      </c>
      <c r="DO188">
        <f>SUM(DK188:DN188)</f>
        <v/>
      </c>
      <c r="DZ188">
        <f>IFERROR(LOOKUP(2,1/('DRAFT 2'!$D:$D=$B188)*('DRAFT 2'!$A:$A&gt;=DATE(2026,4,1))*('DRAFT 2'!$A:$A&lt;DATE(2026,IF(4=12,4+1,4+1),1)),'DRAFT 2'!$A:$A),"")</f>
        <v/>
      </c>
      <c r="EA188">
        <f>COUNTIFS('DRAFT 2'!$D:$D,$B188,'DRAFT 2'!$A:$A,"&gt;="&amp;DATE(2026,4,1),'DRAFT 2'!$A:$A,"&lt;="&amp;DATE(2026,4,7))</f>
        <v/>
      </c>
      <c r="EB188">
        <f>COUNTIFS('DRAFT 2'!$D:$D,$B188,'DRAFT 2'!$A:$A,"&gt;="&amp;DATE(2026,4,8),'DRAFT 2'!$A:$A,"&lt;="&amp;DATE(2026,4,14))</f>
        <v/>
      </c>
      <c r="EC188">
        <f>COUNTIFS('DRAFT 2'!$D:$D,$B188,'DRAFT 2'!$A:$A,"&gt;="&amp;DATE(2026,4,15),'DRAFT 2'!$A:$A,"&lt;="&amp;DATE(2026,4,21))</f>
        <v/>
      </c>
      <c r="ED188">
        <f>COUNTIFS('DRAFT 2'!$D:$D,$B188,'DRAFT 2'!$A:$A,"&gt;="&amp;DATE(2026,4,22),'DRAFT 2'!$A:$A,"&lt;"&amp;DATE(2026,IF(4=12,4+1,4+1),1))</f>
        <v/>
      </c>
      <c r="EE188">
        <f>SUM(EA188:ED188)</f>
        <v/>
      </c>
      <c r="EO188">
        <f>IFERROR(LOOKUP(2,1/('DRAFT 2'!$D:$D=$B188)*('DRAFT 2'!$A:$A&gt;=DATE(2026,5,1))*('DRAFT 2'!$A:$A&lt;DATE(2026,IF(5=12,5+1,5+1),1)),'DRAFT 2'!$A:$A),"")</f>
        <v/>
      </c>
      <c r="EP188">
        <f>COUNTIFS('DRAFT 2'!$D:$D,$B188,'DRAFT 2'!$A:$A,"&gt;="&amp;DATE(2026,5,1),'DRAFT 2'!$A:$A,"&lt;="&amp;DATE(2026,5,7))</f>
        <v/>
      </c>
      <c r="EQ188">
        <f>COUNTIFS('DRAFT 2'!$D:$D,$B188,'DRAFT 2'!$A:$A,"&gt;="&amp;DATE(2026,5,8),'DRAFT 2'!$A:$A,"&lt;="&amp;DATE(2026,5,14))</f>
        <v/>
      </c>
      <c r="ER188">
        <f>COUNTIFS('DRAFT 2'!$D:$D,$B188,'DRAFT 2'!$A:$A,"&gt;="&amp;DATE(2026,5,15),'DRAFT 2'!$A:$A,"&lt;="&amp;DATE(2026,5,21))</f>
        <v/>
      </c>
      <c r="ES188">
        <f>COUNTIFS('DRAFT 2'!$D:$D,$B188,'DRAFT 2'!$A:$A,"&gt;="&amp;DATE(2026,5,22),'DRAFT 2'!$A:$A,"&lt;"&amp;DATE(2026,IF(5=12,5+1,5+1),1))</f>
        <v/>
      </c>
      <c r="ET188">
        <f>SUM(EP188:ES188)</f>
        <v/>
      </c>
      <c r="FD188">
        <f>IFERROR(LOOKUP(2,1/('DRAFT 2'!$D:$D=$B188)*('DRAFT 2'!$A:$A&gt;=DATE(2026,6,1))*('DRAFT 2'!$A:$A&lt;DATE(2026,IF(6=12,6+1,6+1),1)),'DRAFT 2'!$A:$A),"")</f>
        <v/>
      </c>
      <c r="FE188">
        <f>COUNTIFS('DRAFT 2'!$D:$D,$B188,'DRAFT 2'!$A:$A,"&gt;="&amp;DATE(2026,6,1),'DRAFT 2'!$A:$A,"&lt;="&amp;DATE(2026,6,7))</f>
        <v/>
      </c>
      <c r="FF188">
        <f>COUNTIFS('DRAFT 2'!$D:$D,$B188,'DRAFT 2'!$A:$A,"&gt;="&amp;DATE(2026,6,8),'DRAFT 2'!$A:$A,"&lt;="&amp;DATE(2026,6,14))</f>
        <v/>
      </c>
      <c r="FG188">
        <f>COUNTIFS('DRAFT 2'!$D:$D,$B188,'DRAFT 2'!$A:$A,"&gt;="&amp;DATE(2026,6,15),'DRAFT 2'!$A:$A,"&lt;="&amp;DATE(2026,6,21))</f>
        <v/>
      </c>
      <c r="FH188">
        <f>COUNTIFS('DRAFT 2'!$D:$D,$B188,'DRAFT 2'!$A:$A,"&gt;="&amp;DATE(2026,6,22),'DRAFT 2'!$A:$A,"&lt;"&amp;DATE(2026,IF(6=12,6+1,6+1),1))</f>
        <v/>
      </c>
      <c r="FI188">
        <f>SUM(FE188:FH188)</f>
        <v/>
      </c>
      <c r="FT188">
        <f>IFERROR(LOOKUP(2,1/('DRAFT 2'!$D:$D=$B188)*('DRAFT 2'!$A:$A&gt;=DATE(2026,7,1))*('DRAFT 2'!$A:$A&lt;DATE(2026,IF(7=12,7+1,7+1),1)),'DRAFT 2'!$A:$A),"")</f>
        <v/>
      </c>
      <c r="FU188">
        <f>COUNTIFS('DRAFT 2'!$D:$D,$B188,'DRAFT 2'!$A:$A,"&gt;="&amp;DATE(2026,7,1),'DRAFT 2'!$A:$A,"&lt;="&amp;DATE(2026,7,7))</f>
        <v/>
      </c>
      <c r="FV188">
        <f>COUNTIFS('DRAFT 2'!$D:$D,$B188,'DRAFT 2'!$A:$A,"&gt;="&amp;DATE(2026,7,8),'DRAFT 2'!$A:$A,"&lt;="&amp;DATE(2026,7,14))</f>
        <v/>
      </c>
      <c r="FW188">
        <f>COUNTIFS('DRAFT 2'!$D:$D,$B188,'DRAFT 2'!$A:$A,"&gt;="&amp;DATE(2026,7,15),'DRAFT 2'!$A:$A,"&lt;="&amp;DATE(2026,7,21))</f>
        <v/>
      </c>
      <c r="FX188">
        <f>COUNTIFS('DRAFT 2'!$D:$D,$B188,'DRAFT 2'!$A:$A,"&gt;="&amp;DATE(2026,7,22),'DRAFT 2'!$A:$A,"&lt;"&amp;DATE(2026,IF(7=12,7+1,7+1),1))</f>
        <v/>
      </c>
      <c r="FY188">
        <f>SUM(FU188:FX188)</f>
        <v/>
      </c>
      <c r="GI188">
        <f>IFERROR(LOOKUP(2,1/('DRAFT 2'!$D:$D=$B188)*('DRAFT 2'!$A:$A&gt;=DATE(2026,8,1))*('DRAFT 2'!$A:$A&lt;DATE(2026,IF(8=12,8+1,8+1),1)),'DRAFT 2'!$A:$A),"")</f>
        <v/>
      </c>
      <c r="GJ188">
        <f>COUNTIFS('DRAFT 2'!$D:$D,$B188,'DRAFT 2'!$A:$A,"&gt;="&amp;DATE(2026,8,1),'DRAFT 2'!$A:$A,"&lt;="&amp;DATE(2026,8,7))</f>
        <v/>
      </c>
      <c r="GK188">
        <f>COUNTIFS('DRAFT 2'!$D:$D,$B188,'DRAFT 2'!$A:$A,"&gt;="&amp;DATE(2026,8,8),'DRAFT 2'!$A:$A,"&lt;="&amp;DATE(2026,8,14))</f>
        <v/>
      </c>
      <c r="GL188">
        <f>COUNTIFS('DRAFT 2'!$D:$D,$B188,'DRAFT 2'!$A:$A,"&gt;="&amp;DATE(2026,8,15),'DRAFT 2'!$A:$A,"&lt;="&amp;DATE(2026,8,21))</f>
        <v/>
      </c>
      <c r="GM188">
        <f>COUNTIFS('DRAFT 2'!$D:$D,$B188,'DRAFT 2'!$A:$A,"&gt;="&amp;DATE(2026,8,22),'DRAFT 2'!$A:$A,"&lt;"&amp;DATE(2026,IF(8=12,8+1,8+1),1))</f>
        <v/>
      </c>
      <c r="GN188">
        <f>SUM(GJ188:GM188)</f>
        <v/>
      </c>
      <c r="GX188">
        <f>IFERROR(LOOKUP(2,1/('DRAFT 2'!$D:$D=$B188)*('DRAFT 2'!$A:$A&gt;=DATE(2026,9,1))*('DRAFT 2'!$A:$A&lt;DATE(2026,IF(9=12,9+1,9+1),1)),'DRAFT 2'!$A:$A),"")</f>
        <v/>
      </c>
      <c r="GY188">
        <f>COUNTIFS('DRAFT 2'!$D:$D,$B188,'DRAFT 2'!$A:$A,"&gt;="&amp;DATE(2026,9,1),'DRAFT 2'!$A:$A,"&lt;="&amp;DATE(2026,9,7))</f>
        <v/>
      </c>
      <c r="GZ188">
        <f>COUNTIFS('DRAFT 2'!$D:$D,$B188,'DRAFT 2'!$A:$A,"&gt;="&amp;DATE(2026,9,8),'DRAFT 2'!$A:$A,"&lt;="&amp;DATE(2026,9,14))</f>
        <v/>
      </c>
      <c r="HA188">
        <f>COUNTIFS('DRAFT 2'!$D:$D,$B188,'DRAFT 2'!$A:$A,"&gt;="&amp;DATE(2026,9,15),'DRAFT 2'!$A:$A,"&lt;="&amp;DATE(2026,9,21))</f>
        <v/>
      </c>
      <c r="HB188">
        <f>COUNTIFS('DRAFT 2'!$D:$D,$B188,'DRAFT 2'!$A:$A,"&gt;="&amp;DATE(2026,9,22),'DRAFT 2'!$A:$A,"&lt;"&amp;DATE(2026,IF(9=12,9+1,9+1),1))</f>
        <v/>
      </c>
      <c r="HC188">
        <f>SUM(GY188:HB188)</f>
        <v/>
      </c>
      <c r="HN188">
        <f>IFERROR(LOOKUP(2,1/('DRAFT 2'!$D:$D=$B188)*('DRAFT 2'!$A:$A&gt;=DATE(2026,10,1))*('DRAFT 2'!$A:$A&lt;DATE(2026,IF(10=12,10+1,10+1),1)),'DRAFT 2'!$A:$A),"")</f>
        <v/>
      </c>
      <c r="HO188">
        <f>COUNTIFS('DRAFT 2'!$D:$D,$B188,'DRAFT 2'!$A:$A,"&gt;="&amp;DATE(2026,10,1),'DRAFT 2'!$A:$A,"&lt;="&amp;DATE(2026,10,7))</f>
        <v/>
      </c>
      <c r="HP188">
        <f>COUNTIFS('DRAFT 2'!$D:$D,$B188,'DRAFT 2'!$A:$A,"&gt;="&amp;DATE(2026,10,8),'DRAFT 2'!$A:$A,"&lt;="&amp;DATE(2026,10,14))</f>
        <v/>
      </c>
      <c r="HQ188">
        <f>COUNTIFS('DRAFT 2'!$D:$D,$B188,'DRAFT 2'!$A:$A,"&gt;="&amp;DATE(2026,10,15),'DRAFT 2'!$A:$A,"&lt;="&amp;DATE(2026,10,21))</f>
        <v/>
      </c>
      <c r="HR188">
        <f>COUNTIFS('DRAFT 2'!$D:$D,$B188,'DRAFT 2'!$A:$A,"&gt;="&amp;DATE(2026,10,22),'DRAFT 2'!$A:$A,"&lt;"&amp;DATE(2026,IF(10=12,10+1,10+1),1))</f>
        <v/>
      </c>
      <c r="HS188">
        <f>SUM(HO188:HR188)</f>
        <v/>
      </c>
      <c r="IC188">
        <f>IFERROR(LOOKUP(2,1/('DRAFT 2'!$D:$D=$B188)*('DRAFT 2'!$A:$A&gt;=DATE(2026,11,1))*('DRAFT 2'!$A:$A&lt;DATE(2026,IF(11=12,11+1,11+1),1)),'DRAFT 2'!$A:$A),"")</f>
        <v/>
      </c>
      <c r="ID188">
        <f>COUNTIFS('DRAFT 2'!$D:$D,$B188,'DRAFT 2'!$A:$A,"&gt;="&amp;DATE(2026,11,1),'DRAFT 2'!$A:$A,"&lt;="&amp;DATE(2026,11,7))</f>
        <v/>
      </c>
      <c r="IE188">
        <f>COUNTIFS('DRAFT 2'!$D:$D,$B188,'DRAFT 2'!$A:$A,"&gt;="&amp;DATE(2026,11,8),'DRAFT 2'!$A:$A,"&lt;="&amp;DATE(2026,11,14))</f>
        <v/>
      </c>
      <c r="IF188">
        <f>COUNTIFS('DRAFT 2'!$D:$D,$B188,'DRAFT 2'!$A:$A,"&gt;="&amp;DATE(2026,11,15),'DRAFT 2'!$A:$A,"&lt;="&amp;DATE(2026,11,21))</f>
        <v/>
      </c>
      <c r="IG188">
        <f>COUNTIFS('DRAFT 2'!$D:$D,$B188,'DRAFT 2'!$A:$A,"&gt;="&amp;DATE(2026,11,22),'DRAFT 2'!$A:$A,"&lt;"&amp;DATE(2026,IF(11=12,11+1,11+1),1))</f>
        <v/>
      </c>
      <c r="IH188">
        <f>SUM(ID188:IG188)</f>
        <v/>
      </c>
      <c r="IR188">
        <f>IFERROR(LOOKUP(2,1/('DRAFT 2'!$D:$D=$B188)*('DRAFT 2'!$A:$A&gt;=DATE(2026,12,1))*('DRAFT 2'!$A:$A&lt;DATE(2026,IF(12=12,12+1,12+1),1)),'DRAFT 2'!$A:$A),"")</f>
        <v/>
      </c>
      <c r="IS188">
        <f>COUNTIFS('DRAFT 2'!$D:$D,$B188,'DRAFT 2'!$A:$A,"&gt;="&amp;DATE(2026,12,1),'DRAFT 2'!$A:$A,"&lt;="&amp;DATE(2026,12,7))</f>
        <v/>
      </c>
      <c r="IT188">
        <f>COUNTIFS('DRAFT 2'!$D:$D,$B188,'DRAFT 2'!$A:$A,"&gt;="&amp;DATE(2026,12,8),'DRAFT 2'!$A:$A,"&lt;="&amp;DATE(2026,12,14))</f>
        <v/>
      </c>
      <c r="IU188">
        <f>COUNTIFS('DRAFT 2'!$D:$D,$B188,'DRAFT 2'!$A:$A,"&gt;="&amp;DATE(2026,12,15),'DRAFT 2'!$A:$A,"&lt;="&amp;DATE(2026,12,21))</f>
        <v/>
      </c>
      <c r="IV188">
        <f>COUNTIFS('DRAFT 2'!$D:$D,$B188,'DRAFT 2'!$A:$A,"&gt;="&amp;DATE(2026,12,22),'DRAFT 2'!$A:$A,"&lt;"&amp;DATE(2026,IF(12=12,12+1,12+1),1))</f>
        <v/>
      </c>
      <c r="IW188">
        <f>SUM(IS188:IV188)</f>
        <v/>
      </c>
    </row>
    <row r="189">
      <c r="A189">
        <f>IFERROR(INDEX('DRAFT 1'!$A:$A,MATCH($B189,'DRAFT 1'!$B:$B,0)),"")</f>
        <v/>
      </c>
      <c r="C189">
        <f>IFERROR(INDEX('DRAFT 1'!$C:$C,MATCH($B189,'DRAFT 1'!$B:$B,0)),"")</f>
        <v/>
      </c>
      <c r="D189">
        <f>IFERROR(INDEX('DRAFT 1'!$D:$D,MATCH($B189,'DRAFT 1'!$B:$B,0)),"")</f>
        <v/>
      </c>
      <c r="E189">
        <f>IFERROR(INDEX('DRAFT 1'!$E:$E,MATCH($B189,'DRAFT 1'!$B:$B,0)),"")</f>
        <v/>
      </c>
      <c r="F189">
        <f>IFERROR(INDEX('DRAFT 1'!$F:$F,MATCH($B189,'DRAFT 1'!$B:$B,0)),"")</f>
        <v/>
      </c>
      <c r="G189">
        <f>IFERROR(INDEX('DRAFT 1'!$G:$G,MATCH($B189,'DRAFT 1'!$B:$B,0)),"")</f>
        <v/>
      </c>
      <c r="H189">
        <f>IFERROR(INDEX('DRAFT 1'!$H:$H,MATCH($B189,'DRAFT 1'!$B:$B,0)),"")</f>
        <v/>
      </c>
      <c r="I189">
        <f>IFERROR(INDEX('DRAFT 1'!$I:$I,MATCH($B189,'DRAFT 1'!$B:$B,0)),"")</f>
        <v/>
      </c>
      <c r="K189">
        <f>IFERROR(INDEX('DRAFT 1'!$AL:$AL,MATCH($B189,'DRAFT 1'!$B:$B,0)),"")</f>
        <v/>
      </c>
      <c r="L189">
        <f>IFERROR(INDEX('DRAFT 1'!$J:$J,MATCH($B189,'DRAFT 1'!$B:$B,0)),"")</f>
        <v/>
      </c>
      <c r="M189">
        <f>IFERROR(INDEX('DRAFT 1'!$K:$K,MATCH($B189,'DRAFT 1'!$B:$B,0)),"")</f>
        <v/>
      </c>
      <c r="P189">
        <f>IFERROR(INDEX('DRAFT 1'!$L:$L,MATCH($B189,'DRAFT 1'!$B:$B,0)),"")</f>
        <v/>
      </c>
      <c r="Q189">
        <f>IFERROR(INDEX('DRAFT 1'!$M:$M,MATCH($B189,'DRAFT 1'!$B:$B,0)),"")</f>
        <v/>
      </c>
      <c r="R189">
        <f>IFERROR(INDEX('DRAFT 1'!$N:$N,MATCH($B189,'DRAFT 1'!$B:$B,0)),"")</f>
        <v/>
      </c>
      <c r="S189">
        <f>IFERROR(INDEX('DRAFT 1'!$O:$O,MATCH($B189,'DRAFT 1'!$B:$B,0)),"")</f>
        <v/>
      </c>
      <c r="T189">
        <f>IFERROR(INDEX('DRAFT 1'!$P:$P,MATCH($B189,'DRAFT 1'!$B:$B,0)),"")</f>
        <v/>
      </c>
      <c r="U189">
        <f>IFERROR(INDEX('DRAFT 1'!$Q:$Q,MATCH($B189,'DRAFT 1'!$B:$B,0)),"")</f>
        <v/>
      </c>
      <c r="V189">
        <f>IFERROR(INDEX('DRAFT 1'!$R:$R,MATCH($B189,'DRAFT 1'!$B:$B,0)),"")</f>
        <v/>
      </c>
      <c r="W189">
        <f>IFERROR(INDEX('DRAFT 1'!$S:$S,MATCH($B189,'DRAFT 1'!$B:$B,0)),"")</f>
        <v/>
      </c>
      <c r="X189">
        <f>IFERROR(INDEX('DRAFT 1'!$T:$T,MATCH($B189,'DRAFT 1'!$B:$B,0)),"")</f>
        <v/>
      </c>
      <c r="Z189">
        <f>IFERROR(INDEX('DRAFT 1'!$U:$U,MATCH($B189,'DRAFT 1'!$B:$B,0)),"")</f>
        <v/>
      </c>
      <c r="AA189">
        <f>IFERROR(INDEX('DRAFT 1'!$V:$V,MATCH($B189,'DRAFT 1'!$B:$B,0)),"")</f>
        <v/>
      </c>
      <c r="AB189">
        <f>IFERROR(INDEX('DRAFT 1'!$W:$W,MATCH($B189,'DRAFT 1'!$B:$B,0)),"")</f>
        <v/>
      </c>
      <c r="AC189">
        <f>IFERROR(INDEX('DRAFT 1'!$X:$X,MATCH($B189,'DRAFT 1'!$B:$B,0)),"")</f>
        <v/>
      </c>
      <c r="AD189">
        <f>IFERROR(INDEX('DRAFT 1'!$Y:$Y,MATCH($B189,'DRAFT 1'!$B:$B,0)),"")</f>
        <v/>
      </c>
      <c r="AE189">
        <f>IFERROR(INDEX('DRAFT 1'!$Z:$Z,MATCH($B189,'DRAFT 1'!$B:$B,0)),"")</f>
        <v/>
      </c>
      <c r="AF189">
        <f>IFERROR(INDEX('DRAFT 1'!$AA:$AA,MATCH($B189,'DRAFT 1'!$B:$B,0)),"")</f>
        <v/>
      </c>
      <c r="AG189">
        <f>IFERROR(INDEX('DRAFT 1'!$AB:$AB,MATCH($B189,'DRAFT 1'!$B:$B,0)),"")</f>
        <v/>
      </c>
      <c r="AH189">
        <f>IFERROR(INDEX('DRAFT 1'!$AC:$AC,MATCH($B189,'DRAFT 1'!$B:$B,0)),"")</f>
        <v/>
      </c>
      <c r="AI189">
        <f>IFERROR(INDEX('DRAFT 1'!$AD:$AD,MATCH($B189,'DRAFT 1'!$B:$B,0)),"")</f>
        <v/>
      </c>
      <c r="AJ189">
        <f>IFERROR(INDEX('DRAFT 1'!$AE:$AE,MATCH($B189,'DRAFT 1'!$B:$B,0)),"")</f>
        <v/>
      </c>
      <c r="AK189">
        <f>IFERROR(INDEX('DRAFT 1'!$AG:$AG,MATCH($B189,'DRAFT 1'!$B:$B,0)),"")</f>
        <v/>
      </c>
      <c r="AL189">
        <f>IFERROR(INDEX('DRAFT 1'!$AH:$AH,MATCH($B189,'DRAFT 1'!$B:$B,0)),"")</f>
        <v/>
      </c>
      <c r="AM189">
        <f>IFERROR(INDEX('DRAFT 1'!$AI:$AI,MATCH($B189,'DRAFT 1'!$B:$B,0)),"")</f>
        <v/>
      </c>
      <c r="AN189">
        <f>IFERROR(INDEX('DRAFT 1'!$AJ:$AJ,MATCH($B189,'DRAFT 1'!$B:$B,0)),"")</f>
        <v/>
      </c>
      <c r="AO189">
        <f>IFERROR(Y189/AN189,0)</f>
        <v/>
      </c>
      <c r="AP189">
        <f>IFERROR(INDEX('DRAFT 1'!$AK:$AK,MATCH($B189,'DRAFT 1'!$B:$B,0)),"")</f>
        <v/>
      </c>
      <c r="AR189">
        <f>IFERROR(LOOKUP(2,1/('DRAFT 2'!$D:$D=$B189),'DRAFT 2'!$I:$I),"")</f>
        <v/>
      </c>
      <c r="AS189">
        <f>IFERROR(LOOKUP(2,1/('DRAFT 2'!$D:$D=$B189),'DRAFT 2'!$T:$T),"")</f>
        <v/>
      </c>
      <c r="AT189">
        <f>IFERROR(LOOKUP(2,1/('DRAFT 2'!$D:$D=$B189),'DRAFT 2'!$A:$A),"")</f>
        <v/>
      </c>
      <c r="AU189">
        <f>IFERROR(LOOKUP(2,1/('DRAFT 2'!$D:$D=$B189),'DRAFT 2'!$R:$R),"")</f>
        <v/>
      </c>
      <c r="AV189">
        <f>IFERROR(LOOKUP(2,1/('DRAFT 2'!$D:$D=$B189),'DRAFT 2'!$S:$S),"")</f>
        <v/>
      </c>
      <c r="AX189">
        <f>IFERROR(LOOKUP(2,1/('DRAFT 2'!$D:$D=$B189),'DRAFT 2'!$M:$M),"")</f>
        <v/>
      </c>
      <c r="AY189">
        <f>IFERROR(LOOKUP(2,1/('DRAFT 2'!$D:$D=$B189),'DRAFT 2'!$K:$K),"")</f>
        <v/>
      </c>
      <c r="BG189">
        <f>IFERROR(LOOKUP(2,1/('DRAFT 2'!$D:$D=$B189),'DRAFT 2'!$U:$U),"")</f>
        <v/>
      </c>
      <c r="BH189">
        <f>IFERROR(LOOKUP(2,1/('DRAFT 2'!$D:$D=$B189),'DRAFT 2'!$V:$V),"")</f>
        <v/>
      </c>
      <c r="CE189">
        <f>IFERROR(AJ189,0)</f>
        <v/>
      </c>
      <c r="CF189">
        <f>IFERROR(LOOKUP(2,1/('DRAFT 2'!$D:$D=$B189)*('DRAFT 2'!$A:$A&gt;=DATE(2026,1,1))*('DRAFT 2'!$A:$A&lt;DATE(2026,IF(1=12,1+1,1+1),1)),'DRAFT 2'!$A:$A),"")</f>
        <v/>
      </c>
      <c r="CG189">
        <f>COUNTIFS('DRAFT 2'!$D:$D,$B189,'DRAFT 2'!$A:$A,"&gt;="&amp;DATE(2026,1,1),'DRAFT 2'!$A:$A,"&lt;="&amp;DATE(2026,1,7))</f>
        <v/>
      </c>
      <c r="CH189">
        <f>COUNTIFS('DRAFT 2'!$D:$D,$B189,'DRAFT 2'!$A:$A,"&gt;="&amp;DATE(2026,1,8),'DRAFT 2'!$A:$A,"&lt;="&amp;DATE(2026,1,14))</f>
        <v/>
      </c>
      <c r="CI189">
        <f>COUNTIFS('DRAFT 2'!$D:$D,$B189,'DRAFT 2'!$A:$A,"&gt;="&amp;DATE(2026,1,15),'DRAFT 2'!$A:$A,"&lt;="&amp;DATE(2026,1,21))</f>
        <v/>
      </c>
      <c r="CJ189">
        <f>COUNTIFS('DRAFT 2'!$D:$D,$B189,'DRAFT 2'!$A:$A,"&gt;="&amp;DATE(2026,1,22),'DRAFT 2'!$A:$A,"&lt;"&amp;DATE(2026,IF(1=12,1+1,1+1),1))</f>
        <v/>
      </c>
      <c r="CK189">
        <f>SUM(CG189:CJ189)</f>
        <v/>
      </c>
      <c r="CT189" t="n">
        <v>0</v>
      </c>
      <c r="CU189">
        <f>IFERROR(LOOKUP(2,1/('DRAFT 2'!$D:$D=$B189)*('DRAFT 2'!$A:$A&gt;=DATE(2026,2,1))*('DRAFT 2'!$A:$A&lt;DATE(2026,IF(2=12,2+1,2+1),1)),'DRAFT 2'!$A:$A),"")</f>
        <v/>
      </c>
      <c r="CV189">
        <f>COUNTIFS('DRAFT 2'!$D:$D,$B189,'DRAFT 2'!$A:$A,"&gt;="&amp;DATE(2026,2,1),'DRAFT 2'!$A:$A,"&lt;="&amp;DATE(2026,2,7))</f>
        <v/>
      </c>
      <c r="CW189">
        <f>COUNTIFS('DRAFT 2'!$D:$D,$B189,'DRAFT 2'!$A:$A,"&gt;="&amp;DATE(2026,2,8),'DRAFT 2'!$A:$A,"&lt;="&amp;DATE(2026,2,14))</f>
        <v/>
      </c>
      <c r="CX189">
        <f>COUNTIFS('DRAFT 2'!$D:$D,$B189,'DRAFT 2'!$A:$A,"&gt;="&amp;DATE(2026,2,15),'DRAFT 2'!$A:$A,"&lt;="&amp;DATE(2026,2,21))</f>
        <v/>
      </c>
      <c r="CY189">
        <f>COUNTIFS('DRAFT 2'!$D:$D,$B189,'DRAFT 2'!$A:$A,"&gt;="&amp;DATE(2026,2,22),'DRAFT 2'!$A:$A,"&lt;"&amp;DATE(2026,IF(2=12,2+1,2+1),1))</f>
        <v/>
      </c>
      <c r="CZ189">
        <f>SUM(CV189:CY189)</f>
        <v/>
      </c>
      <c r="DJ189">
        <f>IFERROR(LOOKUP(2,1/('DRAFT 2'!$D:$D=$B189)*('DRAFT 2'!$A:$A&gt;=DATE(2026,3,1))*('DRAFT 2'!$A:$A&lt;DATE(2026,IF(3=12,3+1,3+1),1)),'DRAFT 2'!$A:$A),"")</f>
        <v/>
      </c>
      <c r="DK189">
        <f>COUNTIFS('DRAFT 2'!$D:$D,$B189,'DRAFT 2'!$A:$A,"&gt;="&amp;DATE(2026,3,1),'DRAFT 2'!$A:$A,"&lt;="&amp;DATE(2026,3,7))</f>
        <v/>
      </c>
      <c r="DL189">
        <f>COUNTIFS('DRAFT 2'!$D:$D,$B189,'DRAFT 2'!$A:$A,"&gt;="&amp;DATE(2026,3,8),'DRAFT 2'!$A:$A,"&lt;="&amp;DATE(2026,3,14))</f>
        <v/>
      </c>
      <c r="DM189">
        <f>COUNTIFS('DRAFT 2'!$D:$D,$B189,'DRAFT 2'!$A:$A,"&gt;="&amp;DATE(2026,3,15),'DRAFT 2'!$A:$A,"&lt;="&amp;DATE(2026,3,21))</f>
        <v/>
      </c>
      <c r="DN189">
        <f>COUNTIFS('DRAFT 2'!$D:$D,$B189,'DRAFT 2'!$A:$A,"&gt;="&amp;DATE(2026,3,22),'DRAFT 2'!$A:$A,"&lt;"&amp;DATE(2026,IF(3=12,3+1,3+1),1))</f>
        <v/>
      </c>
      <c r="DO189">
        <f>SUM(DK189:DN189)</f>
        <v/>
      </c>
      <c r="DZ189">
        <f>IFERROR(LOOKUP(2,1/('DRAFT 2'!$D:$D=$B189)*('DRAFT 2'!$A:$A&gt;=DATE(2026,4,1))*('DRAFT 2'!$A:$A&lt;DATE(2026,IF(4=12,4+1,4+1),1)),'DRAFT 2'!$A:$A),"")</f>
        <v/>
      </c>
      <c r="EA189">
        <f>COUNTIFS('DRAFT 2'!$D:$D,$B189,'DRAFT 2'!$A:$A,"&gt;="&amp;DATE(2026,4,1),'DRAFT 2'!$A:$A,"&lt;="&amp;DATE(2026,4,7))</f>
        <v/>
      </c>
      <c r="EB189">
        <f>COUNTIFS('DRAFT 2'!$D:$D,$B189,'DRAFT 2'!$A:$A,"&gt;="&amp;DATE(2026,4,8),'DRAFT 2'!$A:$A,"&lt;="&amp;DATE(2026,4,14))</f>
        <v/>
      </c>
      <c r="EC189">
        <f>COUNTIFS('DRAFT 2'!$D:$D,$B189,'DRAFT 2'!$A:$A,"&gt;="&amp;DATE(2026,4,15),'DRAFT 2'!$A:$A,"&lt;="&amp;DATE(2026,4,21))</f>
        <v/>
      </c>
      <c r="ED189">
        <f>COUNTIFS('DRAFT 2'!$D:$D,$B189,'DRAFT 2'!$A:$A,"&gt;="&amp;DATE(2026,4,22),'DRAFT 2'!$A:$A,"&lt;"&amp;DATE(2026,IF(4=12,4+1,4+1),1))</f>
        <v/>
      </c>
      <c r="EE189">
        <f>SUM(EA189:ED189)</f>
        <v/>
      </c>
      <c r="EO189">
        <f>IFERROR(LOOKUP(2,1/('DRAFT 2'!$D:$D=$B189)*('DRAFT 2'!$A:$A&gt;=DATE(2026,5,1))*('DRAFT 2'!$A:$A&lt;DATE(2026,IF(5=12,5+1,5+1),1)),'DRAFT 2'!$A:$A),"")</f>
        <v/>
      </c>
      <c r="EP189">
        <f>COUNTIFS('DRAFT 2'!$D:$D,$B189,'DRAFT 2'!$A:$A,"&gt;="&amp;DATE(2026,5,1),'DRAFT 2'!$A:$A,"&lt;="&amp;DATE(2026,5,7))</f>
        <v/>
      </c>
      <c r="EQ189">
        <f>COUNTIFS('DRAFT 2'!$D:$D,$B189,'DRAFT 2'!$A:$A,"&gt;="&amp;DATE(2026,5,8),'DRAFT 2'!$A:$A,"&lt;="&amp;DATE(2026,5,14))</f>
        <v/>
      </c>
      <c r="ER189">
        <f>COUNTIFS('DRAFT 2'!$D:$D,$B189,'DRAFT 2'!$A:$A,"&gt;="&amp;DATE(2026,5,15),'DRAFT 2'!$A:$A,"&lt;="&amp;DATE(2026,5,21))</f>
        <v/>
      </c>
      <c r="ES189">
        <f>COUNTIFS('DRAFT 2'!$D:$D,$B189,'DRAFT 2'!$A:$A,"&gt;="&amp;DATE(2026,5,22),'DRAFT 2'!$A:$A,"&lt;"&amp;DATE(2026,IF(5=12,5+1,5+1),1))</f>
        <v/>
      </c>
      <c r="ET189">
        <f>SUM(EP189:ES189)</f>
        <v/>
      </c>
      <c r="FD189">
        <f>IFERROR(LOOKUP(2,1/('DRAFT 2'!$D:$D=$B189)*('DRAFT 2'!$A:$A&gt;=DATE(2026,6,1))*('DRAFT 2'!$A:$A&lt;DATE(2026,IF(6=12,6+1,6+1),1)),'DRAFT 2'!$A:$A),"")</f>
        <v/>
      </c>
      <c r="FE189">
        <f>COUNTIFS('DRAFT 2'!$D:$D,$B189,'DRAFT 2'!$A:$A,"&gt;="&amp;DATE(2026,6,1),'DRAFT 2'!$A:$A,"&lt;="&amp;DATE(2026,6,7))</f>
        <v/>
      </c>
      <c r="FF189">
        <f>COUNTIFS('DRAFT 2'!$D:$D,$B189,'DRAFT 2'!$A:$A,"&gt;="&amp;DATE(2026,6,8),'DRAFT 2'!$A:$A,"&lt;="&amp;DATE(2026,6,14))</f>
        <v/>
      </c>
      <c r="FG189">
        <f>COUNTIFS('DRAFT 2'!$D:$D,$B189,'DRAFT 2'!$A:$A,"&gt;="&amp;DATE(2026,6,15),'DRAFT 2'!$A:$A,"&lt;="&amp;DATE(2026,6,21))</f>
        <v/>
      </c>
      <c r="FH189">
        <f>COUNTIFS('DRAFT 2'!$D:$D,$B189,'DRAFT 2'!$A:$A,"&gt;="&amp;DATE(2026,6,22),'DRAFT 2'!$A:$A,"&lt;"&amp;DATE(2026,IF(6=12,6+1,6+1),1))</f>
        <v/>
      </c>
      <c r="FI189">
        <f>SUM(FE189:FH189)</f>
        <v/>
      </c>
      <c r="FT189">
        <f>IFERROR(LOOKUP(2,1/('DRAFT 2'!$D:$D=$B189)*('DRAFT 2'!$A:$A&gt;=DATE(2026,7,1))*('DRAFT 2'!$A:$A&lt;DATE(2026,IF(7=12,7+1,7+1),1)),'DRAFT 2'!$A:$A),"")</f>
        <v/>
      </c>
      <c r="FU189">
        <f>COUNTIFS('DRAFT 2'!$D:$D,$B189,'DRAFT 2'!$A:$A,"&gt;="&amp;DATE(2026,7,1),'DRAFT 2'!$A:$A,"&lt;="&amp;DATE(2026,7,7))</f>
        <v/>
      </c>
      <c r="FV189">
        <f>COUNTIFS('DRAFT 2'!$D:$D,$B189,'DRAFT 2'!$A:$A,"&gt;="&amp;DATE(2026,7,8),'DRAFT 2'!$A:$A,"&lt;="&amp;DATE(2026,7,14))</f>
        <v/>
      </c>
      <c r="FW189">
        <f>COUNTIFS('DRAFT 2'!$D:$D,$B189,'DRAFT 2'!$A:$A,"&gt;="&amp;DATE(2026,7,15),'DRAFT 2'!$A:$A,"&lt;="&amp;DATE(2026,7,21))</f>
        <v/>
      </c>
      <c r="FX189">
        <f>COUNTIFS('DRAFT 2'!$D:$D,$B189,'DRAFT 2'!$A:$A,"&gt;="&amp;DATE(2026,7,22),'DRAFT 2'!$A:$A,"&lt;"&amp;DATE(2026,IF(7=12,7+1,7+1),1))</f>
        <v/>
      </c>
      <c r="FY189">
        <f>SUM(FU189:FX189)</f>
        <v/>
      </c>
      <c r="GI189">
        <f>IFERROR(LOOKUP(2,1/('DRAFT 2'!$D:$D=$B189)*('DRAFT 2'!$A:$A&gt;=DATE(2026,8,1))*('DRAFT 2'!$A:$A&lt;DATE(2026,IF(8=12,8+1,8+1),1)),'DRAFT 2'!$A:$A),"")</f>
        <v/>
      </c>
      <c r="GJ189">
        <f>COUNTIFS('DRAFT 2'!$D:$D,$B189,'DRAFT 2'!$A:$A,"&gt;="&amp;DATE(2026,8,1),'DRAFT 2'!$A:$A,"&lt;="&amp;DATE(2026,8,7))</f>
        <v/>
      </c>
      <c r="GK189">
        <f>COUNTIFS('DRAFT 2'!$D:$D,$B189,'DRAFT 2'!$A:$A,"&gt;="&amp;DATE(2026,8,8),'DRAFT 2'!$A:$A,"&lt;="&amp;DATE(2026,8,14))</f>
        <v/>
      </c>
      <c r="GL189">
        <f>COUNTIFS('DRAFT 2'!$D:$D,$B189,'DRAFT 2'!$A:$A,"&gt;="&amp;DATE(2026,8,15),'DRAFT 2'!$A:$A,"&lt;="&amp;DATE(2026,8,21))</f>
        <v/>
      </c>
      <c r="GM189">
        <f>COUNTIFS('DRAFT 2'!$D:$D,$B189,'DRAFT 2'!$A:$A,"&gt;="&amp;DATE(2026,8,22),'DRAFT 2'!$A:$A,"&lt;"&amp;DATE(2026,IF(8=12,8+1,8+1),1))</f>
        <v/>
      </c>
      <c r="GN189">
        <f>SUM(GJ189:GM189)</f>
        <v/>
      </c>
      <c r="GX189">
        <f>IFERROR(LOOKUP(2,1/('DRAFT 2'!$D:$D=$B189)*('DRAFT 2'!$A:$A&gt;=DATE(2026,9,1))*('DRAFT 2'!$A:$A&lt;DATE(2026,IF(9=12,9+1,9+1),1)),'DRAFT 2'!$A:$A),"")</f>
        <v/>
      </c>
      <c r="GY189">
        <f>COUNTIFS('DRAFT 2'!$D:$D,$B189,'DRAFT 2'!$A:$A,"&gt;="&amp;DATE(2026,9,1),'DRAFT 2'!$A:$A,"&lt;="&amp;DATE(2026,9,7))</f>
        <v/>
      </c>
      <c r="GZ189">
        <f>COUNTIFS('DRAFT 2'!$D:$D,$B189,'DRAFT 2'!$A:$A,"&gt;="&amp;DATE(2026,9,8),'DRAFT 2'!$A:$A,"&lt;="&amp;DATE(2026,9,14))</f>
        <v/>
      </c>
      <c r="HA189">
        <f>COUNTIFS('DRAFT 2'!$D:$D,$B189,'DRAFT 2'!$A:$A,"&gt;="&amp;DATE(2026,9,15),'DRAFT 2'!$A:$A,"&lt;="&amp;DATE(2026,9,21))</f>
        <v/>
      </c>
      <c r="HB189">
        <f>COUNTIFS('DRAFT 2'!$D:$D,$B189,'DRAFT 2'!$A:$A,"&gt;="&amp;DATE(2026,9,22),'DRAFT 2'!$A:$A,"&lt;"&amp;DATE(2026,IF(9=12,9+1,9+1),1))</f>
        <v/>
      </c>
      <c r="HC189">
        <f>SUM(GY189:HB189)</f>
        <v/>
      </c>
      <c r="HN189">
        <f>IFERROR(LOOKUP(2,1/('DRAFT 2'!$D:$D=$B189)*('DRAFT 2'!$A:$A&gt;=DATE(2026,10,1))*('DRAFT 2'!$A:$A&lt;DATE(2026,IF(10=12,10+1,10+1),1)),'DRAFT 2'!$A:$A),"")</f>
        <v/>
      </c>
      <c r="HO189">
        <f>COUNTIFS('DRAFT 2'!$D:$D,$B189,'DRAFT 2'!$A:$A,"&gt;="&amp;DATE(2026,10,1),'DRAFT 2'!$A:$A,"&lt;="&amp;DATE(2026,10,7))</f>
        <v/>
      </c>
      <c r="HP189">
        <f>COUNTIFS('DRAFT 2'!$D:$D,$B189,'DRAFT 2'!$A:$A,"&gt;="&amp;DATE(2026,10,8),'DRAFT 2'!$A:$A,"&lt;="&amp;DATE(2026,10,14))</f>
        <v/>
      </c>
      <c r="HQ189">
        <f>COUNTIFS('DRAFT 2'!$D:$D,$B189,'DRAFT 2'!$A:$A,"&gt;="&amp;DATE(2026,10,15),'DRAFT 2'!$A:$A,"&lt;="&amp;DATE(2026,10,21))</f>
        <v/>
      </c>
      <c r="HR189">
        <f>COUNTIFS('DRAFT 2'!$D:$D,$B189,'DRAFT 2'!$A:$A,"&gt;="&amp;DATE(2026,10,22),'DRAFT 2'!$A:$A,"&lt;"&amp;DATE(2026,IF(10=12,10+1,10+1),1))</f>
        <v/>
      </c>
      <c r="HS189">
        <f>SUM(HO189:HR189)</f>
        <v/>
      </c>
      <c r="IC189">
        <f>IFERROR(LOOKUP(2,1/('DRAFT 2'!$D:$D=$B189)*('DRAFT 2'!$A:$A&gt;=DATE(2026,11,1))*('DRAFT 2'!$A:$A&lt;DATE(2026,IF(11=12,11+1,11+1),1)),'DRAFT 2'!$A:$A),"")</f>
        <v/>
      </c>
      <c r="ID189">
        <f>COUNTIFS('DRAFT 2'!$D:$D,$B189,'DRAFT 2'!$A:$A,"&gt;="&amp;DATE(2026,11,1),'DRAFT 2'!$A:$A,"&lt;="&amp;DATE(2026,11,7))</f>
        <v/>
      </c>
      <c r="IE189">
        <f>COUNTIFS('DRAFT 2'!$D:$D,$B189,'DRAFT 2'!$A:$A,"&gt;="&amp;DATE(2026,11,8),'DRAFT 2'!$A:$A,"&lt;="&amp;DATE(2026,11,14))</f>
        <v/>
      </c>
      <c r="IF189">
        <f>COUNTIFS('DRAFT 2'!$D:$D,$B189,'DRAFT 2'!$A:$A,"&gt;="&amp;DATE(2026,11,15),'DRAFT 2'!$A:$A,"&lt;="&amp;DATE(2026,11,21))</f>
        <v/>
      </c>
      <c r="IG189">
        <f>COUNTIFS('DRAFT 2'!$D:$D,$B189,'DRAFT 2'!$A:$A,"&gt;="&amp;DATE(2026,11,22),'DRAFT 2'!$A:$A,"&lt;"&amp;DATE(2026,IF(11=12,11+1,11+1),1))</f>
        <v/>
      </c>
      <c r="IH189">
        <f>SUM(ID189:IG189)</f>
        <v/>
      </c>
      <c r="IR189">
        <f>IFERROR(LOOKUP(2,1/('DRAFT 2'!$D:$D=$B189)*('DRAFT 2'!$A:$A&gt;=DATE(2026,12,1))*('DRAFT 2'!$A:$A&lt;DATE(2026,IF(12=12,12+1,12+1),1)),'DRAFT 2'!$A:$A),"")</f>
        <v/>
      </c>
      <c r="IS189">
        <f>COUNTIFS('DRAFT 2'!$D:$D,$B189,'DRAFT 2'!$A:$A,"&gt;="&amp;DATE(2026,12,1),'DRAFT 2'!$A:$A,"&lt;="&amp;DATE(2026,12,7))</f>
        <v/>
      </c>
      <c r="IT189">
        <f>COUNTIFS('DRAFT 2'!$D:$D,$B189,'DRAFT 2'!$A:$A,"&gt;="&amp;DATE(2026,12,8),'DRAFT 2'!$A:$A,"&lt;="&amp;DATE(2026,12,14))</f>
        <v/>
      </c>
      <c r="IU189">
        <f>COUNTIFS('DRAFT 2'!$D:$D,$B189,'DRAFT 2'!$A:$A,"&gt;="&amp;DATE(2026,12,15),'DRAFT 2'!$A:$A,"&lt;="&amp;DATE(2026,12,21))</f>
        <v/>
      </c>
      <c r="IV189">
        <f>COUNTIFS('DRAFT 2'!$D:$D,$B189,'DRAFT 2'!$A:$A,"&gt;="&amp;DATE(2026,12,22),'DRAFT 2'!$A:$A,"&lt;"&amp;DATE(2026,IF(12=12,12+1,12+1),1))</f>
        <v/>
      </c>
      <c r="IW189">
        <f>SUM(IS189:IV189)</f>
        <v/>
      </c>
    </row>
    <row r="190">
      <c r="A190">
        <f>IFERROR(INDEX('DRAFT 1'!$A:$A,MATCH($B190,'DRAFT 1'!$B:$B,0)),"")</f>
        <v/>
      </c>
      <c r="C190">
        <f>IFERROR(INDEX('DRAFT 1'!$C:$C,MATCH($B190,'DRAFT 1'!$B:$B,0)),"")</f>
        <v/>
      </c>
      <c r="D190">
        <f>IFERROR(INDEX('DRAFT 1'!$D:$D,MATCH($B190,'DRAFT 1'!$B:$B,0)),"")</f>
        <v/>
      </c>
      <c r="E190">
        <f>IFERROR(INDEX('DRAFT 1'!$E:$E,MATCH($B190,'DRAFT 1'!$B:$B,0)),"")</f>
        <v/>
      </c>
      <c r="F190">
        <f>IFERROR(INDEX('DRAFT 1'!$F:$F,MATCH($B190,'DRAFT 1'!$B:$B,0)),"")</f>
        <v/>
      </c>
      <c r="G190">
        <f>IFERROR(INDEX('DRAFT 1'!$G:$G,MATCH($B190,'DRAFT 1'!$B:$B,0)),"")</f>
        <v/>
      </c>
      <c r="H190">
        <f>IFERROR(INDEX('DRAFT 1'!$H:$H,MATCH($B190,'DRAFT 1'!$B:$B,0)),"")</f>
        <v/>
      </c>
      <c r="I190">
        <f>IFERROR(INDEX('DRAFT 1'!$I:$I,MATCH($B190,'DRAFT 1'!$B:$B,0)),"")</f>
        <v/>
      </c>
      <c r="K190">
        <f>IFERROR(INDEX('DRAFT 1'!$AL:$AL,MATCH($B190,'DRAFT 1'!$B:$B,0)),"")</f>
        <v/>
      </c>
      <c r="L190">
        <f>IFERROR(INDEX('DRAFT 1'!$J:$J,MATCH($B190,'DRAFT 1'!$B:$B,0)),"")</f>
        <v/>
      </c>
      <c r="M190">
        <f>IFERROR(INDEX('DRAFT 1'!$K:$K,MATCH($B190,'DRAFT 1'!$B:$B,0)),"")</f>
        <v/>
      </c>
      <c r="P190">
        <f>IFERROR(INDEX('DRAFT 1'!$L:$L,MATCH($B190,'DRAFT 1'!$B:$B,0)),"")</f>
        <v/>
      </c>
      <c r="Q190">
        <f>IFERROR(INDEX('DRAFT 1'!$M:$M,MATCH($B190,'DRAFT 1'!$B:$B,0)),"")</f>
        <v/>
      </c>
      <c r="R190">
        <f>IFERROR(INDEX('DRAFT 1'!$N:$N,MATCH($B190,'DRAFT 1'!$B:$B,0)),"")</f>
        <v/>
      </c>
      <c r="S190">
        <f>IFERROR(INDEX('DRAFT 1'!$O:$O,MATCH($B190,'DRAFT 1'!$B:$B,0)),"")</f>
        <v/>
      </c>
      <c r="T190">
        <f>IFERROR(INDEX('DRAFT 1'!$P:$P,MATCH($B190,'DRAFT 1'!$B:$B,0)),"")</f>
        <v/>
      </c>
      <c r="U190">
        <f>IFERROR(INDEX('DRAFT 1'!$Q:$Q,MATCH($B190,'DRAFT 1'!$B:$B,0)),"")</f>
        <v/>
      </c>
      <c r="V190">
        <f>IFERROR(INDEX('DRAFT 1'!$R:$R,MATCH($B190,'DRAFT 1'!$B:$B,0)),"")</f>
        <v/>
      </c>
      <c r="W190">
        <f>IFERROR(INDEX('DRAFT 1'!$S:$S,MATCH($B190,'DRAFT 1'!$B:$B,0)),"")</f>
        <v/>
      </c>
      <c r="X190">
        <f>IFERROR(INDEX('DRAFT 1'!$T:$T,MATCH($B190,'DRAFT 1'!$B:$B,0)),"")</f>
        <v/>
      </c>
      <c r="Z190">
        <f>IFERROR(INDEX('DRAFT 1'!$U:$U,MATCH($B190,'DRAFT 1'!$B:$B,0)),"")</f>
        <v/>
      </c>
      <c r="AA190">
        <f>IFERROR(INDEX('DRAFT 1'!$V:$V,MATCH($B190,'DRAFT 1'!$B:$B,0)),"")</f>
        <v/>
      </c>
      <c r="AB190">
        <f>IFERROR(INDEX('DRAFT 1'!$W:$W,MATCH($B190,'DRAFT 1'!$B:$B,0)),"")</f>
        <v/>
      </c>
      <c r="AC190">
        <f>IFERROR(INDEX('DRAFT 1'!$X:$X,MATCH($B190,'DRAFT 1'!$B:$B,0)),"")</f>
        <v/>
      </c>
      <c r="AD190">
        <f>IFERROR(INDEX('DRAFT 1'!$Y:$Y,MATCH($B190,'DRAFT 1'!$B:$B,0)),"")</f>
        <v/>
      </c>
      <c r="AE190">
        <f>IFERROR(INDEX('DRAFT 1'!$Z:$Z,MATCH($B190,'DRAFT 1'!$B:$B,0)),"")</f>
        <v/>
      </c>
      <c r="AF190">
        <f>IFERROR(INDEX('DRAFT 1'!$AA:$AA,MATCH($B190,'DRAFT 1'!$B:$B,0)),"")</f>
        <v/>
      </c>
      <c r="AG190">
        <f>IFERROR(INDEX('DRAFT 1'!$AB:$AB,MATCH($B190,'DRAFT 1'!$B:$B,0)),"")</f>
        <v/>
      </c>
      <c r="AH190">
        <f>IFERROR(INDEX('DRAFT 1'!$AC:$AC,MATCH($B190,'DRAFT 1'!$B:$B,0)),"")</f>
        <v/>
      </c>
      <c r="AI190">
        <f>IFERROR(INDEX('DRAFT 1'!$AD:$AD,MATCH($B190,'DRAFT 1'!$B:$B,0)),"")</f>
        <v/>
      </c>
      <c r="AJ190">
        <f>IFERROR(INDEX('DRAFT 1'!$AE:$AE,MATCH($B190,'DRAFT 1'!$B:$B,0)),"")</f>
        <v/>
      </c>
      <c r="AK190">
        <f>IFERROR(INDEX('DRAFT 1'!$AG:$AG,MATCH($B190,'DRAFT 1'!$B:$B,0)),"")</f>
        <v/>
      </c>
      <c r="AL190">
        <f>IFERROR(INDEX('DRAFT 1'!$AH:$AH,MATCH($B190,'DRAFT 1'!$B:$B,0)),"")</f>
        <v/>
      </c>
      <c r="AM190">
        <f>IFERROR(INDEX('DRAFT 1'!$AI:$AI,MATCH($B190,'DRAFT 1'!$B:$B,0)),"")</f>
        <v/>
      </c>
      <c r="AN190">
        <f>IFERROR(INDEX('DRAFT 1'!$AJ:$AJ,MATCH($B190,'DRAFT 1'!$B:$B,0)),"")</f>
        <v/>
      </c>
      <c r="AO190">
        <f>IFERROR(Y190/AN190,0)</f>
        <v/>
      </c>
      <c r="AP190">
        <f>IFERROR(INDEX('DRAFT 1'!$AK:$AK,MATCH($B190,'DRAFT 1'!$B:$B,0)),"")</f>
        <v/>
      </c>
      <c r="AR190">
        <f>IFERROR(LOOKUP(2,1/('DRAFT 2'!$D:$D=$B190),'DRAFT 2'!$I:$I),"")</f>
        <v/>
      </c>
      <c r="AS190">
        <f>IFERROR(LOOKUP(2,1/('DRAFT 2'!$D:$D=$B190),'DRAFT 2'!$T:$T),"")</f>
        <v/>
      </c>
      <c r="AT190">
        <f>IFERROR(LOOKUP(2,1/('DRAFT 2'!$D:$D=$B190),'DRAFT 2'!$A:$A),"")</f>
        <v/>
      </c>
      <c r="AU190">
        <f>IFERROR(LOOKUP(2,1/('DRAFT 2'!$D:$D=$B190),'DRAFT 2'!$R:$R),"")</f>
        <v/>
      </c>
      <c r="AV190">
        <f>IFERROR(LOOKUP(2,1/('DRAFT 2'!$D:$D=$B190),'DRAFT 2'!$S:$S),"")</f>
        <v/>
      </c>
      <c r="AX190">
        <f>IFERROR(LOOKUP(2,1/('DRAFT 2'!$D:$D=$B190),'DRAFT 2'!$M:$M),"")</f>
        <v/>
      </c>
      <c r="AY190">
        <f>IFERROR(LOOKUP(2,1/('DRAFT 2'!$D:$D=$B190),'DRAFT 2'!$K:$K),"")</f>
        <v/>
      </c>
      <c r="BG190">
        <f>IFERROR(LOOKUP(2,1/('DRAFT 2'!$D:$D=$B190),'DRAFT 2'!$U:$U),"")</f>
        <v/>
      </c>
      <c r="BH190">
        <f>IFERROR(LOOKUP(2,1/('DRAFT 2'!$D:$D=$B190),'DRAFT 2'!$V:$V),"")</f>
        <v/>
      </c>
      <c r="CE190">
        <f>IFERROR(AJ190,0)</f>
        <v/>
      </c>
      <c r="CF190">
        <f>IFERROR(LOOKUP(2,1/('DRAFT 2'!$D:$D=$B190)*('DRAFT 2'!$A:$A&gt;=DATE(2026,1,1))*('DRAFT 2'!$A:$A&lt;DATE(2026,IF(1=12,1+1,1+1),1)),'DRAFT 2'!$A:$A),"")</f>
        <v/>
      </c>
      <c r="CG190">
        <f>COUNTIFS('DRAFT 2'!$D:$D,$B190,'DRAFT 2'!$A:$A,"&gt;="&amp;DATE(2026,1,1),'DRAFT 2'!$A:$A,"&lt;="&amp;DATE(2026,1,7))</f>
        <v/>
      </c>
      <c r="CH190">
        <f>COUNTIFS('DRAFT 2'!$D:$D,$B190,'DRAFT 2'!$A:$A,"&gt;="&amp;DATE(2026,1,8),'DRAFT 2'!$A:$A,"&lt;="&amp;DATE(2026,1,14))</f>
        <v/>
      </c>
      <c r="CI190">
        <f>COUNTIFS('DRAFT 2'!$D:$D,$B190,'DRAFT 2'!$A:$A,"&gt;="&amp;DATE(2026,1,15),'DRAFT 2'!$A:$A,"&lt;="&amp;DATE(2026,1,21))</f>
        <v/>
      </c>
      <c r="CJ190">
        <f>COUNTIFS('DRAFT 2'!$D:$D,$B190,'DRAFT 2'!$A:$A,"&gt;="&amp;DATE(2026,1,22),'DRAFT 2'!$A:$A,"&lt;"&amp;DATE(2026,IF(1=12,1+1,1+1),1))</f>
        <v/>
      </c>
      <c r="CK190">
        <f>SUM(CG190:CJ190)</f>
        <v/>
      </c>
      <c r="CT190" t="n">
        <v>0</v>
      </c>
      <c r="CU190">
        <f>IFERROR(LOOKUP(2,1/('DRAFT 2'!$D:$D=$B190)*('DRAFT 2'!$A:$A&gt;=DATE(2026,2,1))*('DRAFT 2'!$A:$A&lt;DATE(2026,IF(2=12,2+1,2+1),1)),'DRAFT 2'!$A:$A),"")</f>
        <v/>
      </c>
      <c r="CV190">
        <f>COUNTIFS('DRAFT 2'!$D:$D,$B190,'DRAFT 2'!$A:$A,"&gt;="&amp;DATE(2026,2,1),'DRAFT 2'!$A:$A,"&lt;="&amp;DATE(2026,2,7))</f>
        <v/>
      </c>
      <c r="CW190">
        <f>COUNTIFS('DRAFT 2'!$D:$D,$B190,'DRAFT 2'!$A:$A,"&gt;="&amp;DATE(2026,2,8),'DRAFT 2'!$A:$A,"&lt;="&amp;DATE(2026,2,14))</f>
        <v/>
      </c>
      <c r="CX190">
        <f>COUNTIFS('DRAFT 2'!$D:$D,$B190,'DRAFT 2'!$A:$A,"&gt;="&amp;DATE(2026,2,15),'DRAFT 2'!$A:$A,"&lt;="&amp;DATE(2026,2,21))</f>
        <v/>
      </c>
      <c r="CY190">
        <f>COUNTIFS('DRAFT 2'!$D:$D,$B190,'DRAFT 2'!$A:$A,"&gt;="&amp;DATE(2026,2,22),'DRAFT 2'!$A:$A,"&lt;"&amp;DATE(2026,IF(2=12,2+1,2+1),1))</f>
        <v/>
      </c>
      <c r="CZ190">
        <f>SUM(CV190:CY190)</f>
        <v/>
      </c>
      <c r="DJ190">
        <f>IFERROR(LOOKUP(2,1/('DRAFT 2'!$D:$D=$B190)*('DRAFT 2'!$A:$A&gt;=DATE(2026,3,1))*('DRAFT 2'!$A:$A&lt;DATE(2026,IF(3=12,3+1,3+1),1)),'DRAFT 2'!$A:$A),"")</f>
        <v/>
      </c>
      <c r="DK190">
        <f>COUNTIFS('DRAFT 2'!$D:$D,$B190,'DRAFT 2'!$A:$A,"&gt;="&amp;DATE(2026,3,1),'DRAFT 2'!$A:$A,"&lt;="&amp;DATE(2026,3,7))</f>
        <v/>
      </c>
      <c r="DL190">
        <f>COUNTIFS('DRAFT 2'!$D:$D,$B190,'DRAFT 2'!$A:$A,"&gt;="&amp;DATE(2026,3,8),'DRAFT 2'!$A:$A,"&lt;="&amp;DATE(2026,3,14))</f>
        <v/>
      </c>
      <c r="DM190">
        <f>COUNTIFS('DRAFT 2'!$D:$D,$B190,'DRAFT 2'!$A:$A,"&gt;="&amp;DATE(2026,3,15),'DRAFT 2'!$A:$A,"&lt;="&amp;DATE(2026,3,21))</f>
        <v/>
      </c>
      <c r="DN190">
        <f>COUNTIFS('DRAFT 2'!$D:$D,$B190,'DRAFT 2'!$A:$A,"&gt;="&amp;DATE(2026,3,22),'DRAFT 2'!$A:$A,"&lt;"&amp;DATE(2026,IF(3=12,3+1,3+1),1))</f>
        <v/>
      </c>
      <c r="DO190">
        <f>SUM(DK190:DN190)</f>
        <v/>
      </c>
      <c r="DZ190">
        <f>IFERROR(LOOKUP(2,1/('DRAFT 2'!$D:$D=$B190)*('DRAFT 2'!$A:$A&gt;=DATE(2026,4,1))*('DRAFT 2'!$A:$A&lt;DATE(2026,IF(4=12,4+1,4+1),1)),'DRAFT 2'!$A:$A),"")</f>
        <v/>
      </c>
      <c r="EA190">
        <f>COUNTIFS('DRAFT 2'!$D:$D,$B190,'DRAFT 2'!$A:$A,"&gt;="&amp;DATE(2026,4,1),'DRAFT 2'!$A:$A,"&lt;="&amp;DATE(2026,4,7))</f>
        <v/>
      </c>
      <c r="EB190">
        <f>COUNTIFS('DRAFT 2'!$D:$D,$B190,'DRAFT 2'!$A:$A,"&gt;="&amp;DATE(2026,4,8),'DRAFT 2'!$A:$A,"&lt;="&amp;DATE(2026,4,14))</f>
        <v/>
      </c>
      <c r="EC190">
        <f>COUNTIFS('DRAFT 2'!$D:$D,$B190,'DRAFT 2'!$A:$A,"&gt;="&amp;DATE(2026,4,15),'DRAFT 2'!$A:$A,"&lt;="&amp;DATE(2026,4,21))</f>
        <v/>
      </c>
      <c r="ED190">
        <f>COUNTIFS('DRAFT 2'!$D:$D,$B190,'DRAFT 2'!$A:$A,"&gt;="&amp;DATE(2026,4,22),'DRAFT 2'!$A:$A,"&lt;"&amp;DATE(2026,IF(4=12,4+1,4+1),1))</f>
        <v/>
      </c>
      <c r="EE190">
        <f>SUM(EA190:ED190)</f>
        <v/>
      </c>
      <c r="EO190">
        <f>IFERROR(LOOKUP(2,1/('DRAFT 2'!$D:$D=$B190)*('DRAFT 2'!$A:$A&gt;=DATE(2026,5,1))*('DRAFT 2'!$A:$A&lt;DATE(2026,IF(5=12,5+1,5+1),1)),'DRAFT 2'!$A:$A),"")</f>
        <v/>
      </c>
      <c r="EP190">
        <f>COUNTIFS('DRAFT 2'!$D:$D,$B190,'DRAFT 2'!$A:$A,"&gt;="&amp;DATE(2026,5,1),'DRAFT 2'!$A:$A,"&lt;="&amp;DATE(2026,5,7))</f>
        <v/>
      </c>
      <c r="EQ190">
        <f>COUNTIFS('DRAFT 2'!$D:$D,$B190,'DRAFT 2'!$A:$A,"&gt;="&amp;DATE(2026,5,8),'DRAFT 2'!$A:$A,"&lt;="&amp;DATE(2026,5,14))</f>
        <v/>
      </c>
      <c r="ER190">
        <f>COUNTIFS('DRAFT 2'!$D:$D,$B190,'DRAFT 2'!$A:$A,"&gt;="&amp;DATE(2026,5,15),'DRAFT 2'!$A:$A,"&lt;="&amp;DATE(2026,5,21))</f>
        <v/>
      </c>
      <c r="ES190">
        <f>COUNTIFS('DRAFT 2'!$D:$D,$B190,'DRAFT 2'!$A:$A,"&gt;="&amp;DATE(2026,5,22),'DRAFT 2'!$A:$A,"&lt;"&amp;DATE(2026,IF(5=12,5+1,5+1),1))</f>
        <v/>
      </c>
      <c r="ET190">
        <f>SUM(EP190:ES190)</f>
        <v/>
      </c>
      <c r="FD190">
        <f>IFERROR(LOOKUP(2,1/('DRAFT 2'!$D:$D=$B190)*('DRAFT 2'!$A:$A&gt;=DATE(2026,6,1))*('DRAFT 2'!$A:$A&lt;DATE(2026,IF(6=12,6+1,6+1),1)),'DRAFT 2'!$A:$A),"")</f>
        <v/>
      </c>
      <c r="FE190">
        <f>COUNTIFS('DRAFT 2'!$D:$D,$B190,'DRAFT 2'!$A:$A,"&gt;="&amp;DATE(2026,6,1),'DRAFT 2'!$A:$A,"&lt;="&amp;DATE(2026,6,7))</f>
        <v/>
      </c>
      <c r="FF190">
        <f>COUNTIFS('DRAFT 2'!$D:$D,$B190,'DRAFT 2'!$A:$A,"&gt;="&amp;DATE(2026,6,8),'DRAFT 2'!$A:$A,"&lt;="&amp;DATE(2026,6,14))</f>
        <v/>
      </c>
      <c r="FG190">
        <f>COUNTIFS('DRAFT 2'!$D:$D,$B190,'DRAFT 2'!$A:$A,"&gt;="&amp;DATE(2026,6,15),'DRAFT 2'!$A:$A,"&lt;="&amp;DATE(2026,6,21))</f>
        <v/>
      </c>
      <c r="FH190">
        <f>COUNTIFS('DRAFT 2'!$D:$D,$B190,'DRAFT 2'!$A:$A,"&gt;="&amp;DATE(2026,6,22),'DRAFT 2'!$A:$A,"&lt;"&amp;DATE(2026,IF(6=12,6+1,6+1),1))</f>
        <v/>
      </c>
      <c r="FI190">
        <f>SUM(FE190:FH190)</f>
        <v/>
      </c>
      <c r="FT190">
        <f>IFERROR(LOOKUP(2,1/('DRAFT 2'!$D:$D=$B190)*('DRAFT 2'!$A:$A&gt;=DATE(2026,7,1))*('DRAFT 2'!$A:$A&lt;DATE(2026,IF(7=12,7+1,7+1),1)),'DRAFT 2'!$A:$A),"")</f>
        <v/>
      </c>
      <c r="FU190">
        <f>COUNTIFS('DRAFT 2'!$D:$D,$B190,'DRAFT 2'!$A:$A,"&gt;="&amp;DATE(2026,7,1),'DRAFT 2'!$A:$A,"&lt;="&amp;DATE(2026,7,7))</f>
        <v/>
      </c>
      <c r="FV190">
        <f>COUNTIFS('DRAFT 2'!$D:$D,$B190,'DRAFT 2'!$A:$A,"&gt;="&amp;DATE(2026,7,8),'DRAFT 2'!$A:$A,"&lt;="&amp;DATE(2026,7,14))</f>
        <v/>
      </c>
      <c r="FW190">
        <f>COUNTIFS('DRAFT 2'!$D:$D,$B190,'DRAFT 2'!$A:$A,"&gt;="&amp;DATE(2026,7,15),'DRAFT 2'!$A:$A,"&lt;="&amp;DATE(2026,7,21))</f>
        <v/>
      </c>
      <c r="FX190">
        <f>COUNTIFS('DRAFT 2'!$D:$D,$B190,'DRAFT 2'!$A:$A,"&gt;="&amp;DATE(2026,7,22),'DRAFT 2'!$A:$A,"&lt;"&amp;DATE(2026,IF(7=12,7+1,7+1),1))</f>
        <v/>
      </c>
      <c r="FY190">
        <f>SUM(FU190:FX190)</f>
        <v/>
      </c>
      <c r="GI190">
        <f>IFERROR(LOOKUP(2,1/('DRAFT 2'!$D:$D=$B190)*('DRAFT 2'!$A:$A&gt;=DATE(2026,8,1))*('DRAFT 2'!$A:$A&lt;DATE(2026,IF(8=12,8+1,8+1),1)),'DRAFT 2'!$A:$A),"")</f>
        <v/>
      </c>
      <c r="GJ190">
        <f>COUNTIFS('DRAFT 2'!$D:$D,$B190,'DRAFT 2'!$A:$A,"&gt;="&amp;DATE(2026,8,1),'DRAFT 2'!$A:$A,"&lt;="&amp;DATE(2026,8,7))</f>
        <v/>
      </c>
      <c r="GK190">
        <f>COUNTIFS('DRAFT 2'!$D:$D,$B190,'DRAFT 2'!$A:$A,"&gt;="&amp;DATE(2026,8,8),'DRAFT 2'!$A:$A,"&lt;="&amp;DATE(2026,8,14))</f>
        <v/>
      </c>
      <c r="GL190">
        <f>COUNTIFS('DRAFT 2'!$D:$D,$B190,'DRAFT 2'!$A:$A,"&gt;="&amp;DATE(2026,8,15),'DRAFT 2'!$A:$A,"&lt;="&amp;DATE(2026,8,21))</f>
        <v/>
      </c>
      <c r="GM190">
        <f>COUNTIFS('DRAFT 2'!$D:$D,$B190,'DRAFT 2'!$A:$A,"&gt;="&amp;DATE(2026,8,22),'DRAFT 2'!$A:$A,"&lt;"&amp;DATE(2026,IF(8=12,8+1,8+1),1))</f>
        <v/>
      </c>
      <c r="GN190">
        <f>SUM(GJ190:GM190)</f>
        <v/>
      </c>
      <c r="GX190">
        <f>IFERROR(LOOKUP(2,1/('DRAFT 2'!$D:$D=$B190)*('DRAFT 2'!$A:$A&gt;=DATE(2026,9,1))*('DRAFT 2'!$A:$A&lt;DATE(2026,IF(9=12,9+1,9+1),1)),'DRAFT 2'!$A:$A),"")</f>
        <v/>
      </c>
      <c r="GY190">
        <f>COUNTIFS('DRAFT 2'!$D:$D,$B190,'DRAFT 2'!$A:$A,"&gt;="&amp;DATE(2026,9,1),'DRAFT 2'!$A:$A,"&lt;="&amp;DATE(2026,9,7))</f>
        <v/>
      </c>
      <c r="GZ190">
        <f>COUNTIFS('DRAFT 2'!$D:$D,$B190,'DRAFT 2'!$A:$A,"&gt;="&amp;DATE(2026,9,8),'DRAFT 2'!$A:$A,"&lt;="&amp;DATE(2026,9,14))</f>
        <v/>
      </c>
      <c r="HA190">
        <f>COUNTIFS('DRAFT 2'!$D:$D,$B190,'DRAFT 2'!$A:$A,"&gt;="&amp;DATE(2026,9,15),'DRAFT 2'!$A:$A,"&lt;="&amp;DATE(2026,9,21))</f>
        <v/>
      </c>
      <c r="HB190">
        <f>COUNTIFS('DRAFT 2'!$D:$D,$B190,'DRAFT 2'!$A:$A,"&gt;="&amp;DATE(2026,9,22),'DRAFT 2'!$A:$A,"&lt;"&amp;DATE(2026,IF(9=12,9+1,9+1),1))</f>
        <v/>
      </c>
      <c r="HC190">
        <f>SUM(GY190:HB190)</f>
        <v/>
      </c>
      <c r="HN190">
        <f>IFERROR(LOOKUP(2,1/('DRAFT 2'!$D:$D=$B190)*('DRAFT 2'!$A:$A&gt;=DATE(2026,10,1))*('DRAFT 2'!$A:$A&lt;DATE(2026,IF(10=12,10+1,10+1),1)),'DRAFT 2'!$A:$A),"")</f>
        <v/>
      </c>
      <c r="HO190">
        <f>COUNTIFS('DRAFT 2'!$D:$D,$B190,'DRAFT 2'!$A:$A,"&gt;="&amp;DATE(2026,10,1),'DRAFT 2'!$A:$A,"&lt;="&amp;DATE(2026,10,7))</f>
        <v/>
      </c>
      <c r="HP190">
        <f>COUNTIFS('DRAFT 2'!$D:$D,$B190,'DRAFT 2'!$A:$A,"&gt;="&amp;DATE(2026,10,8),'DRAFT 2'!$A:$A,"&lt;="&amp;DATE(2026,10,14))</f>
        <v/>
      </c>
      <c r="HQ190">
        <f>COUNTIFS('DRAFT 2'!$D:$D,$B190,'DRAFT 2'!$A:$A,"&gt;="&amp;DATE(2026,10,15),'DRAFT 2'!$A:$A,"&lt;="&amp;DATE(2026,10,21))</f>
        <v/>
      </c>
      <c r="HR190">
        <f>COUNTIFS('DRAFT 2'!$D:$D,$B190,'DRAFT 2'!$A:$A,"&gt;="&amp;DATE(2026,10,22),'DRAFT 2'!$A:$A,"&lt;"&amp;DATE(2026,IF(10=12,10+1,10+1),1))</f>
        <v/>
      </c>
      <c r="HS190">
        <f>SUM(HO190:HR190)</f>
        <v/>
      </c>
      <c r="IC190">
        <f>IFERROR(LOOKUP(2,1/('DRAFT 2'!$D:$D=$B190)*('DRAFT 2'!$A:$A&gt;=DATE(2026,11,1))*('DRAFT 2'!$A:$A&lt;DATE(2026,IF(11=12,11+1,11+1),1)),'DRAFT 2'!$A:$A),"")</f>
        <v/>
      </c>
      <c r="ID190">
        <f>COUNTIFS('DRAFT 2'!$D:$D,$B190,'DRAFT 2'!$A:$A,"&gt;="&amp;DATE(2026,11,1),'DRAFT 2'!$A:$A,"&lt;="&amp;DATE(2026,11,7))</f>
        <v/>
      </c>
      <c r="IE190">
        <f>COUNTIFS('DRAFT 2'!$D:$D,$B190,'DRAFT 2'!$A:$A,"&gt;="&amp;DATE(2026,11,8),'DRAFT 2'!$A:$A,"&lt;="&amp;DATE(2026,11,14))</f>
        <v/>
      </c>
      <c r="IF190">
        <f>COUNTIFS('DRAFT 2'!$D:$D,$B190,'DRAFT 2'!$A:$A,"&gt;="&amp;DATE(2026,11,15),'DRAFT 2'!$A:$A,"&lt;="&amp;DATE(2026,11,21))</f>
        <v/>
      </c>
      <c r="IG190">
        <f>COUNTIFS('DRAFT 2'!$D:$D,$B190,'DRAFT 2'!$A:$A,"&gt;="&amp;DATE(2026,11,22),'DRAFT 2'!$A:$A,"&lt;"&amp;DATE(2026,IF(11=12,11+1,11+1),1))</f>
        <v/>
      </c>
      <c r="IH190">
        <f>SUM(ID190:IG190)</f>
        <v/>
      </c>
      <c r="IR190">
        <f>IFERROR(LOOKUP(2,1/('DRAFT 2'!$D:$D=$B190)*('DRAFT 2'!$A:$A&gt;=DATE(2026,12,1))*('DRAFT 2'!$A:$A&lt;DATE(2026,IF(12=12,12+1,12+1),1)),'DRAFT 2'!$A:$A),"")</f>
        <v/>
      </c>
      <c r="IS190">
        <f>COUNTIFS('DRAFT 2'!$D:$D,$B190,'DRAFT 2'!$A:$A,"&gt;="&amp;DATE(2026,12,1),'DRAFT 2'!$A:$A,"&lt;="&amp;DATE(2026,12,7))</f>
        <v/>
      </c>
      <c r="IT190">
        <f>COUNTIFS('DRAFT 2'!$D:$D,$B190,'DRAFT 2'!$A:$A,"&gt;="&amp;DATE(2026,12,8),'DRAFT 2'!$A:$A,"&lt;="&amp;DATE(2026,12,14))</f>
        <v/>
      </c>
      <c r="IU190">
        <f>COUNTIFS('DRAFT 2'!$D:$D,$B190,'DRAFT 2'!$A:$A,"&gt;="&amp;DATE(2026,12,15),'DRAFT 2'!$A:$A,"&lt;="&amp;DATE(2026,12,21))</f>
        <v/>
      </c>
      <c r="IV190">
        <f>COUNTIFS('DRAFT 2'!$D:$D,$B190,'DRAFT 2'!$A:$A,"&gt;="&amp;DATE(2026,12,22),'DRAFT 2'!$A:$A,"&lt;"&amp;DATE(2026,IF(12=12,12+1,12+1),1))</f>
        <v/>
      </c>
      <c r="IW190">
        <f>SUM(IS190:IV190)</f>
        <v/>
      </c>
    </row>
    <row r="191">
      <c r="A191">
        <f>IFERROR(INDEX('DRAFT 1'!$A:$A,MATCH($B191,'DRAFT 1'!$B:$B,0)),"")</f>
        <v/>
      </c>
      <c r="C191">
        <f>IFERROR(INDEX('DRAFT 1'!$C:$C,MATCH($B191,'DRAFT 1'!$B:$B,0)),"")</f>
        <v/>
      </c>
      <c r="D191">
        <f>IFERROR(INDEX('DRAFT 1'!$D:$D,MATCH($B191,'DRAFT 1'!$B:$B,0)),"")</f>
        <v/>
      </c>
      <c r="E191">
        <f>IFERROR(INDEX('DRAFT 1'!$E:$E,MATCH($B191,'DRAFT 1'!$B:$B,0)),"")</f>
        <v/>
      </c>
      <c r="F191">
        <f>IFERROR(INDEX('DRAFT 1'!$F:$F,MATCH($B191,'DRAFT 1'!$B:$B,0)),"")</f>
        <v/>
      </c>
      <c r="G191">
        <f>IFERROR(INDEX('DRAFT 1'!$G:$G,MATCH($B191,'DRAFT 1'!$B:$B,0)),"")</f>
        <v/>
      </c>
      <c r="H191">
        <f>IFERROR(INDEX('DRAFT 1'!$H:$H,MATCH($B191,'DRAFT 1'!$B:$B,0)),"")</f>
        <v/>
      </c>
      <c r="I191">
        <f>IFERROR(INDEX('DRAFT 1'!$I:$I,MATCH($B191,'DRAFT 1'!$B:$B,0)),"")</f>
        <v/>
      </c>
      <c r="K191">
        <f>IFERROR(INDEX('DRAFT 1'!$AL:$AL,MATCH($B191,'DRAFT 1'!$B:$B,0)),"")</f>
        <v/>
      </c>
      <c r="L191">
        <f>IFERROR(INDEX('DRAFT 1'!$J:$J,MATCH($B191,'DRAFT 1'!$B:$B,0)),"")</f>
        <v/>
      </c>
      <c r="M191">
        <f>IFERROR(INDEX('DRAFT 1'!$K:$K,MATCH($B191,'DRAFT 1'!$B:$B,0)),"")</f>
        <v/>
      </c>
      <c r="P191">
        <f>IFERROR(INDEX('DRAFT 1'!$L:$L,MATCH($B191,'DRAFT 1'!$B:$B,0)),"")</f>
        <v/>
      </c>
      <c r="Q191">
        <f>IFERROR(INDEX('DRAFT 1'!$M:$M,MATCH($B191,'DRAFT 1'!$B:$B,0)),"")</f>
        <v/>
      </c>
      <c r="R191">
        <f>IFERROR(INDEX('DRAFT 1'!$N:$N,MATCH($B191,'DRAFT 1'!$B:$B,0)),"")</f>
        <v/>
      </c>
      <c r="S191">
        <f>IFERROR(INDEX('DRAFT 1'!$O:$O,MATCH($B191,'DRAFT 1'!$B:$B,0)),"")</f>
        <v/>
      </c>
      <c r="T191">
        <f>IFERROR(INDEX('DRAFT 1'!$P:$P,MATCH($B191,'DRAFT 1'!$B:$B,0)),"")</f>
        <v/>
      </c>
      <c r="U191">
        <f>IFERROR(INDEX('DRAFT 1'!$Q:$Q,MATCH($B191,'DRAFT 1'!$B:$B,0)),"")</f>
        <v/>
      </c>
      <c r="V191">
        <f>IFERROR(INDEX('DRAFT 1'!$R:$R,MATCH($B191,'DRAFT 1'!$B:$B,0)),"")</f>
        <v/>
      </c>
      <c r="W191">
        <f>IFERROR(INDEX('DRAFT 1'!$S:$S,MATCH($B191,'DRAFT 1'!$B:$B,0)),"")</f>
        <v/>
      </c>
      <c r="X191">
        <f>IFERROR(INDEX('DRAFT 1'!$T:$T,MATCH($B191,'DRAFT 1'!$B:$B,0)),"")</f>
        <v/>
      </c>
      <c r="Z191">
        <f>IFERROR(INDEX('DRAFT 1'!$U:$U,MATCH($B191,'DRAFT 1'!$B:$B,0)),"")</f>
        <v/>
      </c>
      <c r="AA191">
        <f>IFERROR(INDEX('DRAFT 1'!$V:$V,MATCH($B191,'DRAFT 1'!$B:$B,0)),"")</f>
        <v/>
      </c>
      <c r="AB191">
        <f>IFERROR(INDEX('DRAFT 1'!$W:$W,MATCH($B191,'DRAFT 1'!$B:$B,0)),"")</f>
        <v/>
      </c>
      <c r="AC191">
        <f>IFERROR(INDEX('DRAFT 1'!$X:$X,MATCH($B191,'DRAFT 1'!$B:$B,0)),"")</f>
        <v/>
      </c>
      <c r="AD191">
        <f>IFERROR(INDEX('DRAFT 1'!$Y:$Y,MATCH($B191,'DRAFT 1'!$B:$B,0)),"")</f>
        <v/>
      </c>
      <c r="AE191">
        <f>IFERROR(INDEX('DRAFT 1'!$Z:$Z,MATCH($B191,'DRAFT 1'!$B:$B,0)),"")</f>
        <v/>
      </c>
      <c r="AF191">
        <f>IFERROR(INDEX('DRAFT 1'!$AA:$AA,MATCH($B191,'DRAFT 1'!$B:$B,0)),"")</f>
        <v/>
      </c>
      <c r="AG191">
        <f>IFERROR(INDEX('DRAFT 1'!$AB:$AB,MATCH($B191,'DRAFT 1'!$B:$B,0)),"")</f>
        <v/>
      </c>
      <c r="AH191">
        <f>IFERROR(INDEX('DRAFT 1'!$AC:$AC,MATCH($B191,'DRAFT 1'!$B:$B,0)),"")</f>
        <v/>
      </c>
      <c r="AI191">
        <f>IFERROR(INDEX('DRAFT 1'!$AD:$AD,MATCH($B191,'DRAFT 1'!$B:$B,0)),"")</f>
        <v/>
      </c>
      <c r="AJ191">
        <f>IFERROR(INDEX('DRAFT 1'!$AE:$AE,MATCH($B191,'DRAFT 1'!$B:$B,0)),"")</f>
        <v/>
      </c>
      <c r="AK191">
        <f>IFERROR(INDEX('DRAFT 1'!$AG:$AG,MATCH($B191,'DRAFT 1'!$B:$B,0)),"")</f>
        <v/>
      </c>
      <c r="AL191">
        <f>IFERROR(INDEX('DRAFT 1'!$AH:$AH,MATCH($B191,'DRAFT 1'!$B:$B,0)),"")</f>
        <v/>
      </c>
      <c r="AM191">
        <f>IFERROR(INDEX('DRAFT 1'!$AI:$AI,MATCH($B191,'DRAFT 1'!$B:$B,0)),"")</f>
        <v/>
      </c>
      <c r="AN191">
        <f>IFERROR(INDEX('DRAFT 1'!$AJ:$AJ,MATCH($B191,'DRAFT 1'!$B:$B,0)),"")</f>
        <v/>
      </c>
      <c r="AO191">
        <f>IFERROR(Y191/AN191,0)</f>
        <v/>
      </c>
      <c r="AP191">
        <f>IFERROR(INDEX('DRAFT 1'!$AK:$AK,MATCH($B191,'DRAFT 1'!$B:$B,0)),"")</f>
        <v/>
      </c>
      <c r="AR191">
        <f>IFERROR(LOOKUP(2,1/('DRAFT 2'!$D:$D=$B191),'DRAFT 2'!$I:$I),"")</f>
        <v/>
      </c>
      <c r="AS191">
        <f>IFERROR(LOOKUP(2,1/('DRAFT 2'!$D:$D=$B191),'DRAFT 2'!$T:$T),"")</f>
        <v/>
      </c>
      <c r="AT191">
        <f>IFERROR(LOOKUP(2,1/('DRAFT 2'!$D:$D=$B191),'DRAFT 2'!$A:$A),"")</f>
        <v/>
      </c>
      <c r="AU191">
        <f>IFERROR(LOOKUP(2,1/('DRAFT 2'!$D:$D=$B191),'DRAFT 2'!$R:$R),"")</f>
        <v/>
      </c>
      <c r="AV191">
        <f>IFERROR(LOOKUP(2,1/('DRAFT 2'!$D:$D=$B191),'DRAFT 2'!$S:$S),"")</f>
        <v/>
      </c>
      <c r="AX191">
        <f>IFERROR(LOOKUP(2,1/('DRAFT 2'!$D:$D=$B191),'DRAFT 2'!$M:$M),"")</f>
        <v/>
      </c>
      <c r="AY191">
        <f>IFERROR(LOOKUP(2,1/('DRAFT 2'!$D:$D=$B191),'DRAFT 2'!$K:$K),"")</f>
        <v/>
      </c>
      <c r="BG191">
        <f>IFERROR(LOOKUP(2,1/('DRAFT 2'!$D:$D=$B191),'DRAFT 2'!$U:$U),"")</f>
        <v/>
      </c>
      <c r="BH191">
        <f>IFERROR(LOOKUP(2,1/('DRAFT 2'!$D:$D=$B191),'DRAFT 2'!$V:$V),"")</f>
        <v/>
      </c>
      <c r="CE191">
        <f>IFERROR(AJ191,0)</f>
        <v/>
      </c>
      <c r="CF191">
        <f>IFERROR(LOOKUP(2,1/('DRAFT 2'!$D:$D=$B191)*('DRAFT 2'!$A:$A&gt;=DATE(2026,1,1))*('DRAFT 2'!$A:$A&lt;DATE(2026,IF(1=12,1+1,1+1),1)),'DRAFT 2'!$A:$A),"")</f>
        <v/>
      </c>
      <c r="CG191">
        <f>COUNTIFS('DRAFT 2'!$D:$D,$B191,'DRAFT 2'!$A:$A,"&gt;="&amp;DATE(2026,1,1),'DRAFT 2'!$A:$A,"&lt;="&amp;DATE(2026,1,7))</f>
        <v/>
      </c>
      <c r="CH191">
        <f>COUNTIFS('DRAFT 2'!$D:$D,$B191,'DRAFT 2'!$A:$A,"&gt;="&amp;DATE(2026,1,8),'DRAFT 2'!$A:$A,"&lt;="&amp;DATE(2026,1,14))</f>
        <v/>
      </c>
      <c r="CI191">
        <f>COUNTIFS('DRAFT 2'!$D:$D,$B191,'DRAFT 2'!$A:$A,"&gt;="&amp;DATE(2026,1,15),'DRAFT 2'!$A:$A,"&lt;="&amp;DATE(2026,1,21))</f>
        <v/>
      </c>
      <c r="CJ191">
        <f>COUNTIFS('DRAFT 2'!$D:$D,$B191,'DRAFT 2'!$A:$A,"&gt;="&amp;DATE(2026,1,22),'DRAFT 2'!$A:$A,"&lt;"&amp;DATE(2026,IF(1=12,1+1,1+1),1))</f>
        <v/>
      </c>
      <c r="CK191">
        <f>SUM(CG191:CJ191)</f>
        <v/>
      </c>
      <c r="CT191" t="n">
        <v>0</v>
      </c>
      <c r="CU191">
        <f>IFERROR(LOOKUP(2,1/('DRAFT 2'!$D:$D=$B191)*('DRAFT 2'!$A:$A&gt;=DATE(2026,2,1))*('DRAFT 2'!$A:$A&lt;DATE(2026,IF(2=12,2+1,2+1),1)),'DRAFT 2'!$A:$A),"")</f>
        <v/>
      </c>
      <c r="CV191">
        <f>COUNTIFS('DRAFT 2'!$D:$D,$B191,'DRAFT 2'!$A:$A,"&gt;="&amp;DATE(2026,2,1),'DRAFT 2'!$A:$A,"&lt;="&amp;DATE(2026,2,7))</f>
        <v/>
      </c>
      <c r="CW191">
        <f>COUNTIFS('DRAFT 2'!$D:$D,$B191,'DRAFT 2'!$A:$A,"&gt;="&amp;DATE(2026,2,8),'DRAFT 2'!$A:$A,"&lt;="&amp;DATE(2026,2,14))</f>
        <v/>
      </c>
      <c r="CX191">
        <f>COUNTIFS('DRAFT 2'!$D:$D,$B191,'DRAFT 2'!$A:$A,"&gt;="&amp;DATE(2026,2,15),'DRAFT 2'!$A:$A,"&lt;="&amp;DATE(2026,2,21))</f>
        <v/>
      </c>
      <c r="CY191">
        <f>COUNTIFS('DRAFT 2'!$D:$D,$B191,'DRAFT 2'!$A:$A,"&gt;="&amp;DATE(2026,2,22),'DRAFT 2'!$A:$A,"&lt;"&amp;DATE(2026,IF(2=12,2+1,2+1),1))</f>
        <v/>
      </c>
      <c r="CZ191">
        <f>SUM(CV191:CY191)</f>
        <v/>
      </c>
      <c r="DJ191">
        <f>IFERROR(LOOKUP(2,1/('DRAFT 2'!$D:$D=$B191)*('DRAFT 2'!$A:$A&gt;=DATE(2026,3,1))*('DRAFT 2'!$A:$A&lt;DATE(2026,IF(3=12,3+1,3+1),1)),'DRAFT 2'!$A:$A),"")</f>
        <v/>
      </c>
      <c r="DK191">
        <f>COUNTIFS('DRAFT 2'!$D:$D,$B191,'DRAFT 2'!$A:$A,"&gt;="&amp;DATE(2026,3,1),'DRAFT 2'!$A:$A,"&lt;="&amp;DATE(2026,3,7))</f>
        <v/>
      </c>
      <c r="DL191">
        <f>COUNTIFS('DRAFT 2'!$D:$D,$B191,'DRAFT 2'!$A:$A,"&gt;="&amp;DATE(2026,3,8),'DRAFT 2'!$A:$A,"&lt;="&amp;DATE(2026,3,14))</f>
        <v/>
      </c>
      <c r="DM191">
        <f>COUNTIFS('DRAFT 2'!$D:$D,$B191,'DRAFT 2'!$A:$A,"&gt;="&amp;DATE(2026,3,15),'DRAFT 2'!$A:$A,"&lt;="&amp;DATE(2026,3,21))</f>
        <v/>
      </c>
      <c r="DN191">
        <f>COUNTIFS('DRAFT 2'!$D:$D,$B191,'DRAFT 2'!$A:$A,"&gt;="&amp;DATE(2026,3,22),'DRAFT 2'!$A:$A,"&lt;"&amp;DATE(2026,IF(3=12,3+1,3+1),1))</f>
        <v/>
      </c>
      <c r="DO191">
        <f>SUM(DK191:DN191)</f>
        <v/>
      </c>
      <c r="DZ191">
        <f>IFERROR(LOOKUP(2,1/('DRAFT 2'!$D:$D=$B191)*('DRAFT 2'!$A:$A&gt;=DATE(2026,4,1))*('DRAFT 2'!$A:$A&lt;DATE(2026,IF(4=12,4+1,4+1),1)),'DRAFT 2'!$A:$A),"")</f>
        <v/>
      </c>
      <c r="EA191">
        <f>COUNTIFS('DRAFT 2'!$D:$D,$B191,'DRAFT 2'!$A:$A,"&gt;="&amp;DATE(2026,4,1),'DRAFT 2'!$A:$A,"&lt;="&amp;DATE(2026,4,7))</f>
        <v/>
      </c>
      <c r="EB191">
        <f>COUNTIFS('DRAFT 2'!$D:$D,$B191,'DRAFT 2'!$A:$A,"&gt;="&amp;DATE(2026,4,8),'DRAFT 2'!$A:$A,"&lt;="&amp;DATE(2026,4,14))</f>
        <v/>
      </c>
      <c r="EC191">
        <f>COUNTIFS('DRAFT 2'!$D:$D,$B191,'DRAFT 2'!$A:$A,"&gt;="&amp;DATE(2026,4,15),'DRAFT 2'!$A:$A,"&lt;="&amp;DATE(2026,4,21))</f>
        <v/>
      </c>
      <c r="ED191">
        <f>COUNTIFS('DRAFT 2'!$D:$D,$B191,'DRAFT 2'!$A:$A,"&gt;="&amp;DATE(2026,4,22),'DRAFT 2'!$A:$A,"&lt;"&amp;DATE(2026,IF(4=12,4+1,4+1),1))</f>
        <v/>
      </c>
      <c r="EE191">
        <f>SUM(EA191:ED191)</f>
        <v/>
      </c>
      <c r="EO191">
        <f>IFERROR(LOOKUP(2,1/('DRAFT 2'!$D:$D=$B191)*('DRAFT 2'!$A:$A&gt;=DATE(2026,5,1))*('DRAFT 2'!$A:$A&lt;DATE(2026,IF(5=12,5+1,5+1),1)),'DRAFT 2'!$A:$A),"")</f>
        <v/>
      </c>
      <c r="EP191">
        <f>COUNTIFS('DRAFT 2'!$D:$D,$B191,'DRAFT 2'!$A:$A,"&gt;="&amp;DATE(2026,5,1),'DRAFT 2'!$A:$A,"&lt;="&amp;DATE(2026,5,7))</f>
        <v/>
      </c>
      <c r="EQ191">
        <f>COUNTIFS('DRAFT 2'!$D:$D,$B191,'DRAFT 2'!$A:$A,"&gt;="&amp;DATE(2026,5,8),'DRAFT 2'!$A:$A,"&lt;="&amp;DATE(2026,5,14))</f>
        <v/>
      </c>
      <c r="ER191">
        <f>COUNTIFS('DRAFT 2'!$D:$D,$B191,'DRAFT 2'!$A:$A,"&gt;="&amp;DATE(2026,5,15),'DRAFT 2'!$A:$A,"&lt;="&amp;DATE(2026,5,21))</f>
        <v/>
      </c>
      <c r="ES191">
        <f>COUNTIFS('DRAFT 2'!$D:$D,$B191,'DRAFT 2'!$A:$A,"&gt;="&amp;DATE(2026,5,22),'DRAFT 2'!$A:$A,"&lt;"&amp;DATE(2026,IF(5=12,5+1,5+1),1))</f>
        <v/>
      </c>
      <c r="ET191">
        <f>SUM(EP191:ES191)</f>
        <v/>
      </c>
      <c r="FD191">
        <f>IFERROR(LOOKUP(2,1/('DRAFT 2'!$D:$D=$B191)*('DRAFT 2'!$A:$A&gt;=DATE(2026,6,1))*('DRAFT 2'!$A:$A&lt;DATE(2026,IF(6=12,6+1,6+1),1)),'DRAFT 2'!$A:$A),"")</f>
        <v/>
      </c>
      <c r="FE191">
        <f>COUNTIFS('DRAFT 2'!$D:$D,$B191,'DRAFT 2'!$A:$A,"&gt;="&amp;DATE(2026,6,1),'DRAFT 2'!$A:$A,"&lt;="&amp;DATE(2026,6,7))</f>
        <v/>
      </c>
      <c r="FF191">
        <f>COUNTIFS('DRAFT 2'!$D:$D,$B191,'DRAFT 2'!$A:$A,"&gt;="&amp;DATE(2026,6,8),'DRAFT 2'!$A:$A,"&lt;="&amp;DATE(2026,6,14))</f>
        <v/>
      </c>
      <c r="FG191">
        <f>COUNTIFS('DRAFT 2'!$D:$D,$B191,'DRAFT 2'!$A:$A,"&gt;="&amp;DATE(2026,6,15),'DRAFT 2'!$A:$A,"&lt;="&amp;DATE(2026,6,21))</f>
        <v/>
      </c>
      <c r="FH191">
        <f>COUNTIFS('DRAFT 2'!$D:$D,$B191,'DRAFT 2'!$A:$A,"&gt;="&amp;DATE(2026,6,22),'DRAFT 2'!$A:$A,"&lt;"&amp;DATE(2026,IF(6=12,6+1,6+1),1))</f>
        <v/>
      </c>
      <c r="FI191">
        <f>SUM(FE191:FH191)</f>
        <v/>
      </c>
      <c r="FT191">
        <f>IFERROR(LOOKUP(2,1/('DRAFT 2'!$D:$D=$B191)*('DRAFT 2'!$A:$A&gt;=DATE(2026,7,1))*('DRAFT 2'!$A:$A&lt;DATE(2026,IF(7=12,7+1,7+1),1)),'DRAFT 2'!$A:$A),"")</f>
        <v/>
      </c>
      <c r="FU191">
        <f>COUNTIFS('DRAFT 2'!$D:$D,$B191,'DRAFT 2'!$A:$A,"&gt;="&amp;DATE(2026,7,1),'DRAFT 2'!$A:$A,"&lt;="&amp;DATE(2026,7,7))</f>
        <v/>
      </c>
      <c r="FV191">
        <f>COUNTIFS('DRAFT 2'!$D:$D,$B191,'DRAFT 2'!$A:$A,"&gt;="&amp;DATE(2026,7,8),'DRAFT 2'!$A:$A,"&lt;="&amp;DATE(2026,7,14))</f>
        <v/>
      </c>
      <c r="FW191">
        <f>COUNTIFS('DRAFT 2'!$D:$D,$B191,'DRAFT 2'!$A:$A,"&gt;="&amp;DATE(2026,7,15),'DRAFT 2'!$A:$A,"&lt;="&amp;DATE(2026,7,21))</f>
        <v/>
      </c>
      <c r="FX191">
        <f>COUNTIFS('DRAFT 2'!$D:$D,$B191,'DRAFT 2'!$A:$A,"&gt;="&amp;DATE(2026,7,22),'DRAFT 2'!$A:$A,"&lt;"&amp;DATE(2026,IF(7=12,7+1,7+1),1))</f>
        <v/>
      </c>
      <c r="FY191">
        <f>SUM(FU191:FX191)</f>
        <v/>
      </c>
      <c r="GI191">
        <f>IFERROR(LOOKUP(2,1/('DRAFT 2'!$D:$D=$B191)*('DRAFT 2'!$A:$A&gt;=DATE(2026,8,1))*('DRAFT 2'!$A:$A&lt;DATE(2026,IF(8=12,8+1,8+1),1)),'DRAFT 2'!$A:$A),"")</f>
        <v/>
      </c>
      <c r="GJ191">
        <f>COUNTIFS('DRAFT 2'!$D:$D,$B191,'DRAFT 2'!$A:$A,"&gt;="&amp;DATE(2026,8,1),'DRAFT 2'!$A:$A,"&lt;="&amp;DATE(2026,8,7))</f>
        <v/>
      </c>
      <c r="GK191">
        <f>COUNTIFS('DRAFT 2'!$D:$D,$B191,'DRAFT 2'!$A:$A,"&gt;="&amp;DATE(2026,8,8),'DRAFT 2'!$A:$A,"&lt;="&amp;DATE(2026,8,14))</f>
        <v/>
      </c>
      <c r="GL191">
        <f>COUNTIFS('DRAFT 2'!$D:$D,$B191,'DRAFT 2'!$A:$A,"&gt;="&amp;DATE(2026,8,15),'DRAFT 2'!$A:$A,"&lt;="&amp;DATE(2026,8,21))</f>
        <v/>
      </c>
      <c r="GM191">
        <f>COUNTIFS('DRAFT 2'!$D:$D,$B191,'DRAFT 2'!$A:$A,"&gt;="&amp;DATE(2026,8,22),'DRAFT 2'!$A:$A,"&lt;"&amp;DATE(2026,IF(8=12,8+1,8+1),1))</f>
        <v/>
      </c>
      <c r="GN191">
        <f>SUM(GJ191:GM191)</f>
        <v/>
      </c>
      <c r="GX191">
        <f>IFERROR(LOOKUP(2,1/('DRAFT 2'!$D:$D=$B191)*('DRAFT 2'!$A:$A&gt;=DATE(2026,9,1))*('DRAFT 2'!$A:$A&lt;DATE(2026,IF(9=12,9+1,9+1),1)),'DRAFT 2'!$A:$A),"")</f>
        <v/>
      </c>
      <c r="GY191">
        <f>COUNTIFS('DRAFT 2'!$D:$D,$B191,'DRAFT 2'!$A:$A,"&gt;="&amp;DATE(2026,9,1),'DRAFT 2'!$A:$A,"&lt;="&amp;DATE(2026,9,7))</f>
        <v/>
      </c>
      <c r="GZ191">
        <f>COUNTIFS('DRAFT 2'!$D:$D,$B191,'DRAFT 2'!$A:$A,"&gt;="&amp;DATE(2026,9,8),'DRAFT 2'!$A:$A,"&lt;="&amp;DATE(2026,9,14))</f>
        <v/>
      </c>
      <c r="HA191">
        <f>COUNTIFS('DRAFT 2'!$D:$D,$B191,'DRAFT 2'!$A:$A,"&gt;="&amp;DATE(2026,9,15),'DRAFT 2'!$A:$A,"&lt;="&amp;DATE(2026,9,21))</f>
        <v/>
      </c>
      <c r="HB191">
        <f>COUNTIFS('DRAFT 2'!$D:$D,$B191,'DRAFT 2'!$A:$A,"&gt;="&amp;DATE(2026,9,22),'DRAFT 2'!$A:$A,"&lt;"&amp;DATE(2026,IF(9=12,9+1,9+1),1))</f>
        <v/>
      </c>
      <c r="HC191">
        <f>SUM(GY191:HB191)</f>
        <v/>
      </c>
      <c r="HN191">
        <f>IFERROR(LOOKUP(2,1/('DRAFT 2'!$D:$D=$B191)*('DRAFT 2'!$A:$A&gt;=DATE(2026,10,1))*('DRAFT 2'!$A:$A&lt;DATE(2026,IF(10=12,10+1,10+1),1)),'DRAFT 2'!$A:$A),"")</f>
        <v/>
      </c>
      <c r="HO191">
        <f>COUNTIFS('DRAFT 2'!$D:$D,$B191,'DRAFT 2'!$A:$A,"&gt;="&amp;DATE(2026,10,1),'DRAFT 2'!$A:$A,"&lt;="&amp;DATE(2026,10,7))</f>
        <v/>
      </c>
      <c r="HP191">
        <f>COUNTIFS('DRAFT 2'!$D:$D,$B191,'DRAFT 2'!$A:$A,"&gt;="&amp;DATE(2026,10,8),'DRAFT 2'!$A:$A,"&lt;="&amp;DATE(2026,10,14))</f>
        <v/>
      </c>
      <c r="HQ191">
        <f>COUNTIFS('DRAFT 2'!$D:$D,$B191,'DRAFT 2'!$A:$A,"&gt;="&amp;DATE(2026,10,15),'DRAFT 2'!$A:$A,"&lt;="&amp;DATE(2026,10,21))</f>
        <v/>
      </c>
      <c r="HR191">
        <f>COUNTIFS('DRAFT 2'!$D:$D,$B191,'DRAFT 2'!$A:$A,"&gt;="&amp;DATE(2026,10,22),'DRAFT 2'!$A:$A,"&lt;"&amp;DATE(2026,IF(10=12,10+1,10+1),1))</f>
        <v/>
      </c>
      <c r="HS191">
        <f>SUM(HO191:HR191)</f>
        <v/>
      </c>
      <c r="IC191">
        <f>IFERROR(LOOKUP(2,1/('DRAFT 2'!$D:$D=$B191)*('DRAFT 2'!$A:$A&gt;=DATE(2026,11,1))*('DRAFT 2'!$A:$A&lt;DATE(2026,IF(11=12,11+1,11+1),1)),'DRAFT 2'!$A:$A),"")</f>
        <v/>
      </c>
      <c r="ID191">
        <f>COUNTIFS('DRAFT 2'!$D:$D,$B191,'DRAFT 2'!$A:$A,"&gt;="&amp;DATE(2026,11,1),'DRAFT 2'!$A:$A,"&lt;="&amp;DATE(2026,11,7))</f>
        <v/>
      </c>
      <c r="IE191">
        <f>COUNTIFS('DRAFT 2'!$D:$D,$B191,'DRAFT 2'!$A:$A,"&gt;="&amp;DATE(2026,11,8),'DRAFT 2'!$A:$A,"&lt;="&amp;DATE(2026,11,14))</f>
        <v/>
      </c>
      <c r="IF191">
        <f>COUNTIFS('DRAFT 2'!$D:$D,$B191,'DRAFT 2'!$A:$A,"&gt;="&amp;DATE(2026,11,15),'DRAFT 2'!$A:$A,"&lt;="&amp;DATE(2026,11,21))</f>
        <v/>
      </c>
      <c r="IG191">
        <f>COUNTIFS('DRAFT 2'!$D:$D,$B191,'DRAFT 2'!$A:$A,"&gt;="&amp;DATE(2026,11,22),'DRAFT 2'!$A:$A,"&lt;"&amp;DATE(2026,IF(11=12,11+1,11+1),1))</f>
        <v/>
      </c>
      <c r="IH191">
        <f>SUM(ID191:IG191)</f>
        <v/>
      </c>
      <c r="IR191">
        <f>IFERROR(LOOKUP(2,1/('DRAFT 2'!$D:$D=$B191)*('DRAFT 2'!$A:$A&gt;=DATE(2026,12,1))*('DRAFT 2'!$A:$A&lt;DATE(2026,IF(12=12,12+1,12+1),1)),'DRAFT 2'!$A:$A),"")</f>
        <v/>
      </c>
      <c r="IS191">
        <f>COUNTIFS('DRAFT 2'!$D:$D,$B191,'DRAFT 2'!$A:$A,"&gt;="&amp;DATE(2026,12,1),'DRAFT 2'!$A:$A,"&lt;="&amp;DATE(2026,12,7))</f>
        <v/>
      </c>
      <c r="IT191">
        <f>COUNTIFS('DRAFT 2'!$D:$D,$B191,'DRAFT 2'!$A:$A,"&gt;="&amp;DATE(2026,12,8),'DRAFT 2'!$A:$A,"&lt;="&amp;DATE(2026,12,14))</f>
        <v/>
      </c>
      <c r="IU191">
        <f>COUNTIFS('DRAFT 2'!$D:$D,$B191,'DRAFT 2'!$A:$A,"&gt;="&amp;DATE(2026,12,15),'DRAFT 2'!$A:$A,"&lt;="&amp;DATE(2026,12,21))</f>
        <v/>
      </c>
      <c r="IV191">
        <f>COUNTIFS('DRAFT 2'!$D:$D,$B191,'DRAFT 2'!$A:$A,"&gt;="&amp;DATE(2026,12,22),'DRAFT 2'!$A:$A,"&lt;"&amp;DATE(2026,IF(12=12,12+1,12+1),1))</f>
        <v/>
      </c>
      <c r="IW191">
        <f>SUM(IS191:IV191)</f>
        <v/>
      </c>
    </row>
    <row r="192">
      <c r="A192">
        <f>IFERROR(INDEX('DRAFT 1'!$A:$A,MATCH($B192,'DRAFT 1'!$B:$B,0)),"")</f>
        <v/>
      </c>
      <c r="C192">
        <f>IFERROR(INDEX('DRAFT 1'!$C:$C,MATCH($B192,'DRAFT 1'!$B:$B,0)),"")</f>
        <v/>
      </c>
      <c r="D192">
        <f>IFERROR(INDEX('DRAFT 1'!$D:$D,MATCH($B192,'DRAFT 1'!$B:$B,0)),"")</f>
        <v/>
      </c>
      <c r="E192">
        <f>IFERROR(INDEX('DRAFT 1'!$E:$E,MATCH($B192,'DRAFT 1'!$B:$B,0)),"")</f>
        <v/>
      </c>
      <c r="F192">
        <f>IFERROR(INDEX('DRAFT 1'!$F:$F,MATCH($B192,'DRAFT 1'!$B:$B,0)),"")</f>
        <v/>
      </c>
      <c r="G192">
        <f>IFERROR(INDEX('DRAFT 1'!$G:$G,MATCH($B192,'DRAFT 1'!$B:$B,0)),"")</f>
        <v/>
      </c>
      <c r="H192">
        <f>IFERROR(INDEX('DRAFT 1'!$H:$H,MATCH($B192,'DRAFT 1'!$B:$B,0)),"")</f>
        <v/>
      </c>
      <c r="I192">
        <f>IFERROR(INDEX('DRAFT 1'!$I:$I,MATCH($B192,'DRAFT 1'!$B:$B,0)),"")</f>
        <v/>
      </c>
      <c r="K192">
        <f>IFERROR(INDEX('DRAFT 1'!$AL:$AL,MATCH($B192,'DRAFT 1'!$B:$B,0)),"")</f>
        <v/>
      </c>
      <c r="L192">
        <f>IFERROR(INDEX('DRAFT 1'!$J:$J,MATCH($B192,'DRAFT 1'!$B:$B,0)),"")</f>
        <v/>
      </c>
      <c r="M192">
        <f>IFERROR(INDEX('DRAFT 1'!$K:$K,MATCH($B192,'DRAFT 1'!$B:$B,0)),"")</f>
        <v/>
      </c>
      <c r="P192">
        <f>IFERROR(INDEX('DRAFT 1'!$L:$L,MATCH($B192,'DRAFT 1'!$B:$B,0)),"")</f>
        <v/>
      </c>
      <c r="Q192">
        <f>IFERROR(INDEX('DRAFT 1'!$M:$M,MATCH($B192,'DRAFT 1'!$B:$B,0)),"")</f>
        <v/>
      </c>
      <c r="R192">
        <f>IFERROR(INDEX('DRAFT 1'!$N:$N,MATCH($B192,'DRAFT 1'!$B:$B,0)),"")</f>
        <v/>
      </c>
      <c r="S192">
        <f>IFERROR(INDEX('DRAFT 1'!$O:$O,MATCH($B192,'DRAFT 1'!$B:$B,0)),"")</f>
        <v/>
      </c>
      <c r="T192">
        <f>IFERROR(INDEX('DRAFT 1'!$P:$P,MATCH($B192,'DRAFT 1'!$B:$B,0)),"")</f>
        <v/>
      </c>
      <c r="U192">
        <f>IFERROR(INDEX('DRAFT 1'!$Q:$Q,MATCH($B192,'DRAFT 1'!$B:$B,0)),"")</f>
        <v/>
      </c>
      <c r="V192">
        <f>IFERROR(INDEX('DRAFT 1'!$R:$R,MATCH($B192,'DRAFT 1'!$B:$B,0)),"")</f>
        <v/>
      </c>
      <c r="W192">
        <f>IFERROR(INDEX('DRAFT 1'!$S:$S,MATCH($B192,'DRAFT 1'!$B:$B,0)),"")</f>
        <v/>
      </c>
      <c r="X192">
        <f>IFERROR(INDEX('DRAFT 1'!$T:$T,MATCH($B192,'DRAFT 1'!$B:$B,0)),"")</f>
        <v/>
      </c>
      <c r="Z192">
        <f>IFERROR(INDEX('DRAFT 1'!$U:$U,MATCH($B192,'DRAFT 1'!$B:$B,0)),"")</f>
        <v/>
      </c>
      <c r="AA192">
        <f>IFERROR(INDEX('DRAFT 1'!$V:$V,MATCH($B192,'DRAFT 1'!$B:$B,0)),"")</f>
        <v/>
      </c>
      <c r="AB192">
        <f>IFERROR(INDEX('DRAFT 1'!$W:$W,MATCH($B192,'DRAFT 1'!$B:$B,0)),"")</f>
        <v/>
      </c>
      <c r="AC192">
        <f>IFERROR(INDEX('DRAFT 1'!$X:$X,MATCH($B192,'DRAFT 1'!$B:$B,0)),"")</f>
        <v/>
      </c>
      <c r="AD192">
        <f>IFERROR(INDEX('DRAFT 1'!$Y:$Y,MATCH($B192,'DRAFT 1'!$B:$B,0)),"")</f>
        <v/>
      </c>
      <c r="AE192">
        <f>IFERROR(INDEX('DRAFT 1'!$Z:$Z,MATCH($B192,'DRAFT 1'!$B:$B,0)),"")</f>
        <v/>
      </c>
      <c r="AF192">
        <f>IFERROR(INDEX('DRAFT 1'!$AA:$AA,MATCH($B192,'DRAFT 1'!$B:$B,0)),"")</f>
        <v/>
      </c>
      <c r="AG192">
        <f>IFERROR(INDEX('DRAFT 1'!$AB:$AB,MATCH($B192,'DRAFT 1'!$B:$B,0)),"")</f>
        <v/>
      </c>
      <c r="AH192">
        <f>IFERROR(INDEX('DRAFT 1'!$AC:$AC,MATCH($B192,'DRAFT 1'!$B:$B,0)),"")</f>
        <v/>
      </c>
      <c r="AI192">
        <f>IFERROR(INDEX('DRAFT 1'!$AD:$AD,MATCH($B192,'DRAFT 1'!$B:$B,0)),"")</f>
        <v/>
      </c>
      <c r="AJ192">
        <f>IFERROR(INDEX('DRAFT 1'!$AE:$AE,MATCH($B192,'DRAFT 1'!$B:$B,0)),"")</f>
        <v/>
      </c>
      <c r="AK192">
        <f>IFERROR(INDEX('DRAFT 1'!$AG:$AG,MATCH($B192,'DRAFT 1'!$B:$B,0)),"")</f>
        <v/>
      </c>
      <c r="AL192">
        <f>IFERROR(INDEX('DRAFT 1'!$AH:$AH,MATCH($B192,'DRAFT 1'!$B:$B,0)),"")</f>
        <v/>
      </c>
      <c r="AM192">
        <f>IFERROR(INDEX('DRAFT 1'!$AI:$AI,MATCH($B192,'DRAFT 1'!$B:$B,0)),"")</f>
        <v/>
      </c>
      <c r="AN192">
        <f>IFERROR(INDEX('DRAFT 1'!$AJ:$AJ,MATCH($B192,'DRAFT 1'!$B:$B,0)),"")</f>
        <v/>
      </c>
      <c r="AO192">
        <f>IFERROR(Y192/AN192,0)</f>
        <v/>
      </c>
      <c r="AP192">
        <f>IFERROR(INDEX('DRAFT 1'!$AK:$AK,MATCH($B192,'DRAFT 1'!$B:$B,0)),"")</f>
        <v/>
      </c>
      <c r="AR192">
        <f>IFERROR(LOOKUP(2,1/('DRAFT 2'!$D:$D=$B192),'DRAFT 2'!$I:$I),"")</f>
        <v/>
      </c>
      <c r="AS192">
        <f>IFERROR(LOOKUP(2,1/('DRAFT 2'!$D:$D=$B192),'DRAFT 2'!$T:$T),"")</f>
        <v/>
      </c>
      <c r="AT192">
        <f>IFERROR(LOOKUP(2,1/('DRAFT 2'!$D:$D=$B192),'DRAFT 2'!$A:$A),"")</f>
        <v/>
      </c>
      <c r="AU192">
        <f>IFERROR(LOOKUP(2,1/('DRAFT 2'!$D:$D=$B192),'DRAFT 2'!$R:$R),"")</f>
        <v/>
      </c>
      <c r="AV192">
        <f>IFERROR(LOOKUP(2,1/('DRAFT 2'!$D:$D=$B192),'DRAFT 2'!$S:$S),"")</f>
        <v/>
      </c>
      <c r="AX192">
        <f>IFERROR(LOOKUP(2,1/('DRAFT 2'!$D:$D=$B192),'DRAFT 2'!$M:$M),"")</f>
        <v/>
      </c>
      <c r="AY192">
        <f>IFERROR(LOOKUP(2,1/('DRAFT 2'!$D:$D=$B192),'DRAFT 2'!$K:$K),"")</f>
        <v/>
      </c>
      <c r="BG192">
        <f>IFERROR(LOOKUP(2,1/('DRAFT 2'!$D:$D=$B192),'DRAFT 2'!$U:$U),"")</f>
        <v/>
      </c>
      <c r="BH192">
        <f>IFERROR(LOOKUP(2,1/('DRAFT 2'!$D:$D=$B192),'DRAFT 2'!$V:$V),"")</f>
        <v/>
      </c>
      <c r="CE192">
        <f>IFERROR(AJ192,0)</f>
        <v/>
      </c>
      <c r="CF192">
        <f>IFERROR(LOOKUP(2,1/('DRAFT 2'!$D:$D=$B192)*('DRAFT 2'!$A:$A&gt;=DATE(2026,1,1))*('DRAFT 2'!$A:$A&lt;DATE(2026,IF(1=12,1+1,1+1),1)),'DRAFT 2'!$A:$A),"")</f>
        <v/>
      </c>
      <c r="CG192">
        <f>COUNTIFS('DRAFT 2'!$D:$D,$B192,'DRAFT 2'!$A:$A,"&gt;="&amp;DATE(2026,1,1),'DRAFT 2'!$A:$A,"&lt;="&amp;DATE(2026,1,7))</f>
        <v/>
      </c>
      <c r="CH192">
        <f>COUNTIFS('DRAFT 2'!$D:$D,$B192,'DRAFT 2'!$A:$A,"&gt;="&amp;DATE(2026,1,8),'DRAFT 2'!$A:$A,"&lt;="&amp;DATE(2026,1,14))</f>
        <v/>
      </c>
      <c r="CI192">
        <f>COUNTIFS('DRAFT 2'!$D:$D,$B192,'DRAFT 2'!$A:$A,"&gt;="&amp;DATE(2026,1,15),'DRAFT 2'!$A:$A,"&lt;="&amp;DATE(2026,1,21))</f>
        <v/>
      </c>
      <c r="CJ192">
        <f>COUNTIFS('DRAFT 2'!$D:$D,$B192,'DRAFT 2'!$A:$A,"&gt;="&amp;DATE(2026,1,22),'DRAFT 2'!$A:$A,"&lt;"&amp;DATE(2026,IF(1=12,1+1,1+1),1))</f>
        <v/>
      </c>
      <c r="CK192">
        <f>SUM(CG192:CJ192)</f>
        <v/>
      </c>
      <c r="CT192" t="n">
        <v>0</v>
      </c>
      <c r="CU192">
        <f>IFERROR(LOOKUP(2,1/('DRAFT 2'!$D:$D=$B192)*('DRAFT 2'!$A:$A&gt;=DATE(2026,2,1))*('DRAFT 2'!$A:$A&lt;DATE(2026,IF(2=12,2+1,2+1),1)),'DRAFT 2'!$A:$A),"")</f>
        <v/>
      </c>
      <c r="CV192">
        <f>COUNTIFS('DRAFT 2'!$D:$D,$B192,'DRAFT 2'!$A:$A,"&gt;="&amp;DATE(2026,2,1),'DRAFT 2'!$A:$A,"&lt;="&amp;DATE(2026,2,7))</f>
        <v/>
      </c>
      <c r="CW192">
        <f>COUNTIFS('DRAFT 2'!$D:$D,$B192,'DRAFT 2'!$A:$A,"&gt;="&amp;DATE(2026,2,8),'DRAFT 2'!$A:$A,"&lt;="&amp;DATE(2026,2,14))</f>
        <v/>
      </c>
      <c r="CX192">
        <f>COUNTIFS('DRAFT 2'!$D:$D,$B192,'DRAFT 2'!$A:$A,"&gt;="&amp;DATE(2026,2,15),'DRAFT 2'!$A:$A,"&lt;="&amp;DATE(2026,2,21))</f>
        <v/>
      </c>
      <c r="CY192">
        <f>COUNTIFS('DRAFT 2'!$D:$D,$B192,'DRAFT 2'!$A:$A,"&gt;="&amp;DATE(2026,2,22),'DRAFT 2'!$A:$A,"&lt;"&amp;DATE(2026,IF(2=12,2+1,2+1),1))</f>
        <v/>
      </c>
      <c r="CZ192">
        <f>SUM(CV192:CY192)</f>
        <v/>
      </c>
      <c r="DJ192">
        <f>IFERROR(LOOKUP(2,1/('DRAFT 2'!$D:$D=$B192)*('DRAFT 2'!$A:$A&gt;=DATE(2026,3,1))*('DRAFT 2'!$A:$A&lt;DATE(2026,IF(3=12,3+1,3+1),1)),'DRAFT 2'!$A:$A),"")</f>
        <v/>
      </c>
      <c r="DK192">
        <f>COUNTIFS('DRAFT 2'!$D:$D,$B192,'DRAFT 2'!$A:$A,"&gt;="&amp;DATE(2026,3,1),'DRAFT 2'!$A:$A,"&lt;="&amp;DATE(2026,3,7))</f>
        <v/>
      </c>
      <c r="DL192">
        <f>COUNTIFS('DRAFT 2'!$D:$D,$B192,'DRAFT 2'!$A:$A,"&gt;="&amp;DATE(2026,3,8),'DRAFT 2'!$A:$A,"&lt;="&amp;DATE(2026,3,14))</f>
        <v/>
      </c>
      <c r="DM192">
        <f>COUNTIFS('DRAFT 2'!$D:$D,$B192,'DRAFT 2'!$A:$A,"&gt;="&amp;DATE(2026,3,15),'DRAFT 2'!$A:$A,"&lt;="&amp;DATE(2026,3,21))</f>
        <v/>
      </c>
      <c r="DN192">
        <f>COUNTIFS('DRAFT 2'!$D:$D,$B192,'DRAFT 2'!$A:$A,"&gt;="&amp;DATE(2026,3,22),'DRAFT 2'!$A:$A,"&lt;"&amp;DATE(2026,IF(3=12,3+1,3+1),1))</f>
        <v/>
      </c>
      <c r="DO192">
        <f>SUM(DK192:DN192)</f>
        <v/>
      </c>
      <c r="DZ192">
        <f>IFERROR(LOOKUP(2,1/('DRAFT 2'!$D:$D=$B192)*('DRAFT 2'!$A:$A&gt;=DATE(2026,4,1))*('DRAFT 2'!$A:$A&lt;DATE(2026,IF(4=12,4+1,4+1),1)),'DRAFT 2'!$A:$A),"")</f>
        <v/>
      </c>
      <c r="EA192">
        <f>COUNTIFS('DRAFT 2'!$D:$D,$B192,'DRAFT 2'!$A:$A,"&gt;="&amp;DATE(2026,4,1),'DRAFT 2'!$A:$A,"&lt;="&amp;DATE(2026,4,7))</f>
        <v/>
      </c>
      <c r="EB192">
        <f>COUNTIFS('DRAFT 2'!$D:$D,$B192,'DRAFT 2'!$A:$A,"&gt;="&amp;DATE(2026,4,8),'DRAFT 2'!$A:$A,"&lt;="&amp;DATE(2026,4,14))</f>
        <v/>
      </c>
      <c r="EC192">
        <f>COUNTIFS('DRAFT 2'!$D:$D,$B192,'DRAFT 2'!$A:$A,"&gt;="&amp;DATE(2026,4,15),'DRAFT 2'!$A:$A,"&lt;="&amp;DATE(2026,4,21))</f>
        <v/>
      </c>
      <c r="ED192">
        <f>COUNTIFS('DRAFT 2'!$D:$D,$B192,'DRAFT 2'!$A:$A,"&gt;="&amp;DATE(2026,4,22),'DRAFT 2'!$A:$A,"&lt;"&amp;DATE(2026,IF(4=12,4+1,4+1),1))</f>
        <v/>
      </c>
      <c r="EE192">
        <f>SUM(EA192:ED192)</f>
        <v/>
      </c>
      <c r="EO192">
        <f>IFERROR(LOOKUP(2,1/('DRAFT 2'!$D:$D=$B192)*('DRAFT 2'!$A:$A&gt;=DATE(2026,5,1))*('DRAFT 2'!$A:$A&lt;DATE(2026,IF(5=12,5+1,5+1),1)),'DRAFT 2'!$A:$A),"")</f>
        <v/>
      </c>
      <c r="EP192">
        <f>COUNTIFS('DRAFT 2'!$D:$D,$B192,'DRAFT 2'!$A:$A,"&gt;="&amp;DATE(2026,5,1),'DRAFT 2'!$A:$A,"&lt;="&amp;DATE(2026,5,7))</f>
        <v/>
      </c>
      <c r="EQ192">
        <f>COUNTIFS('DRAFT 2'!$D:$D,$B192,'DRAFT 2'!$A:$A,"&gt;="&amp;DATE(2026,5,8),'DRAFT 2'!$A:$A,"&lt;="&amp;DATE(2026,5,14))</f>
        <v/>
      </c>
      <c r="ER192">
        <f>COUNTIFS('DRAFT 2'!$D:$D,$B192,'DRAFT 2'!$A:$A,"&gt;="&amp;DATE(2026,5,15),'DRAFT 2'!$A:$A,"&lt;="&amp;DATE(2026,5,21))</f>
        <v/>
      </c>
      <c r="ES192">
        <f>COUNTIFS('DRAFT 2'!$D:$D,$B192,'DRAFT 2'!$A:$A,"&gt;="&amp;DATE(2026,5,22),'DRAFT 2'!$A:$A,"&lt;"&amp;DATE(2026,IF(5=12,5+1,5+1),1))</f>
        <v/>
      </c>
      <c r="ET192">
        <f>SUM(EP192:ES192)</f>
        <v/>
      </c>
      <c r="FD192">
        <f>IFERROR(LOOKUP(2,1/('DRAFT 2'!$D:$D=$B192)*('DRAFT 2'!$A:$A&gt;=DATE(2026,6,1))*('DRAFT 2'!$A:$A&lt;DATE(2026,IF(6=12,6+1,6+1),1)),'DRAFT 2'!$A:$A),"")</f>
        <v/>
      </c>
      <c r="FE192">
        <f>COUNTIFS('DRAFT 2'!$D:$D,$B192,'DRAFT 2'!$A:$A,"&gt;="&amp;DATE(2026,6,1),'DRAFT 2'!$A:$A,"&lt;="&amp;DATE(2026,6,7))</f>
        <v/>
      </c>
      <c r="FF192">
        <f>COUNTIFS('DRAFT 2'!$D:$D,$B192,'DRAFT 2'!$A:$A,"&gt;="&amp;DATE(2026,6,8),'DRAFT 2'!$A:$A,"&lt;="&amp;DATE(2026,6,14))</f>
        <v/>
      </c>
      <c r="FG192">
        <f>COUNTIFS('DRAFT 2'!$D:$D,$B192,'DRAFT 2'!$A:$A,"&gt;="&amp;DATE(2026,6,15),'DRAFT 2'!$A:$A,"&lt;="&amp;DATE(2026,6,21))</f>
        <v/>
      </c>
      <c r="FH192">
        <f>COUNTIFS('DRAFT 2'!$D:$D,$B192,'DRAFT 2'!$A:$A,"&gt;="&amp;DATE(2026,6,22),'DRAFT 2'!$A:$A,"&lt;"&amp;DATE(2026,IF(6=12,6+1,6+1),1))</f>
        <v/>
      </c>
      <c r="FI192">
        <f>SUM(FE192:FH192)</f>
        <v/>
      </c>
      <c r="FT192">
        <f>IFERROR(LOOKUP(2,1/('DRAFT 2'!$D:$D=$B192)*('DRAFT 2'!$A:$A&gt;=DATE(2026,7,1))*('DRAFT 2'!$A:$A&lt;DATE(2026,IF(7=12,7+1,7+1),1)),'DRAFT 2'!$A:$A),"")</f>
        <v/>
      </c>
      <c r="FU192">
        <f>COUNTIFS('DRAFT 2'!$D:$D,$B192,'DRAFT 2'!$A:$A,"&gt;="&amp;DATE(2026,7,1),'DRAFT 2'!$A:$A,"&lt;="&amp;DATE(2026,7,7))</f>
        <v/>
      </c>
      <c r="FV192">
        <f>COUNTIFS('DRAFT 2'!$D:$D,$B192,'DRAFT 2'!$A:$A,"&gt;="&amp;DATE(2026,7,8),'DRAFT 2'!$A:$A,"&lt;="&amp;DATE(2026,7,14))</f>
        <v/>
      </c>
      <c r="FW192">
        <f>COUNTIFS('DRAFT 2'!$D:$D,$B192,'DRAFT 2'!$A:$A,"&gt;="&amp;DATE(2026,7,15),'DRAFT 2'!$A:$A,"&lt;="&amp;DATE(2026,7,21))</f>
        <v/>
      </c>
      <c r="FX192">
        <f>COUNTIFS('DRAFT 2'!$D:$D,$B192,'DRAFT 2'!$A:$A,"&gt;="&amp;DATE(2026,7,22),'DRAFT 2'!$A:$A,"&lt;"&amp;DATE(2026,IF(7=12,7+1,7+1),1))</f>
        <v/>
      </c>
      <c r="FY192">
        <f>SUM(FU192:FX192)</f>
        <v/>
      </c>
      <c r="GI192">
        <f>IFERROR(LOOKUP(2,1/('DRAFT 2'!$D:$D=$B192)*('DRAFT 2'!$A:$A&gt;=DATE(2026,8,1))*('DRAFT 2'!$A:$A&lt;DATE(2026,IF(8=12,8+1,8+1),1)),'DRAFT 2'!$A:$A),"")</f>
        <v/>
      </c>
      <c r="GJ192">
        <f>COUNTIFS('DRAFT 2'!$D:$D,$B192,'DRAFT 2'!$A:$A,"&gt;="&amp;DATE(2026,8,1),'DRAFT 2'!$A:$A,"&lt;="&amp;DATE(2026,8,7))</f>
        <v/>
      </c>
      <c r="GK192">
        <f>COUNTIFS('DRAFT 2'!$D:$D,$B192,'DRAFT 2'!$A:$A,"&gt;="&amp;DATE(2026,8,8),'DRAFT 2'!$A:$A,"&lt;="&amp;DATE(2026,8,14))</f>
        <v/>
      </c>
      <c r="GL192">
        <f>COUNTIFS('DRAFT 2'!$D:$D,$B192,'DRAFT 2'!$A:$A,"&gt;="&amp;DATE(2026,8,15),'DRAFT 2'!$A:$A,"&lt;="&amp;DATE(2026,8,21))</f>
        <v/>
      </c>
      <c r="GM192">
        <f>COUNTIFS('DRAFT 2'!$D:$D,$B192,'DRAFT 2'!$A:$A,"&gt;="&amp;DATE(2026,8,22),'DRAFT 2'!$A:$A,"&lt;"&amp;DATE(2026,IF(8=12,8+1,8+1),1))</f>
        <v/>
      </c>
      <c r="GN192">
        <f>SUM(GJ192:GM192)</f>
        <v/>
      </c>
      <c r="GX192">
        <f>IFERROR(LOOKUP(2,1/('DRAFT 2'!$D:$D=$B192)*('DRAFT 2'!$A:$A&gt;=DATE(2026,9,1))*('DRAFT 2'!$A:$A&lt;DATE(2026,IF(9=12,9+1,9+1),1)),'DRAFT 2'!$A:$A),"")</f>
        <v/>
      </c>
      <c r="GY192">
        <f>COUNTIFS('DRAFT 2'!$D:$D,$B192,'DRAFT 2'!$A:$A,"&gt;="&amp;DATE(2026,9,1),'DRAFT 2'!$A:$A,"&lt;="&amp;DATE(2026,9,7))</f>
        <v/>
      </c>
      <c r="GZ192">
        <f>COUNTIFS('DRAFT 2'!$D:$D,$B192,'DRAFT 2'!$A:$A,"&gt;="&amp;DATE(2026,9,8),'DRAFT 2'!$A:$A,"&lt;="&amp;DATE(2026,9,14))</f>
        <v/>
      </c>
      <c r="HA192">
        <f>COUNTIFS('DRAFT 2'!$D:$D,$B192,'DRAFT 2'!$A:$A,"&gt;="&amp;DATE(2026,9,15),'DRAFT 2'!$A:$A,"&lt;="&amp;DATE(2026,9,21))</f>
        <v/>
      </c>
      <c r="HB192">
        <f>COUNTIFS('DRAFT 2'!$D:$D,$B192,'DRAFT 2'!$A:$A,"&gt;="&amp;DATE(2026,9,22),'DRAFT 2'!$A:$A,"&lt;"&amp;DATE(2026,IF(9=12,9+1,9+1),1))</f>
        <v/>
      </c>
      <c r="HC192">
        <f>SUM(GY192:HB192)</f>
        <v/>
      </c>
      <c r="HN192">
        <f>IFERROR(LOOKUP(2,1/('DRAFT 2'!$D:$D=$B192)*('DRAFT 2'!$A:$A&gt;=DATE(2026,10,1))*('DRAFT 2'!$A:$A&lt;DATE(2026,IF(10=12,10+1,10+1),1)),'DRAFT 2'!$A:$A),"")</f>
        <v/>
      </c>
      <c r="HO192">
        <f>COUNTIFS('DRAFT 2'!$D:$D,$B192,'DRAFT 2'!$A:$A,"&gt;="&amp;DATE(2026,10,1),'DRAFT 2'!$A:$A,"&lt;="&amp;DATE(2026,10,7))</f>
        <v/>
      </c>
      <c r="HP192">
        <f>COUNTIFS('DRAFT 2'!$D:$D,$B192,'DRAFT 2'!$A:$A,"&gt;="&amp;DATE(2026,10,8),'DRAFT 2'!$A:$A,"&lt;="&amp;DATE(2026,10,14))</f>
        <v/>
      </c>
      <c r="HQ192">
        <f>COUNTIFS('DRAFT 2'!$D:$D,$B192,'DRAFT 2'!$A:$A,"&gt;="&amp;DATE(2026,10,15),'DRAFT 2'!$A:$A,"&lt;="&amp;DATE(2026,10,21))</f>
        <v/>
      </c>
      <c r="HR192">
        <f>COUNTIFS('DRAFT 2'!$D:$D,$B192,'DRAFT 2'!$A:$A,"&gt;="&amp;DATE(2026,10,22),'DRAFT 2'!$A:$A,"&lt;"&amp;DATE(2026,IF(10=12,10+1,10+1),1))</f>
        <v/>
      </c>
      <c r="HS192">
        <f>SUM(HO192:HR192)</f>
        <v/>
      </c>
      <c r="IC192">
        <f>IFERROR(LOOKUP(2,1/('DRAFT 2'!$D:$D=$B192)*('DRAFT 2'!$A:$A&gt;=DATE(2026,11,1))*('DRAFT 2'!$A:$A&lt;DATE(2026,IF(11=12,11+1,11+1),1)),'DRAFT 2'!$A:$A),"")</f>
        <v/>
      </c>
      <c r="ID192">
        <f>COUNTIFS('DRAFT 2'!$D:$D,$B192,'DRAFT 2'!$A:$A,"&gt;="&amp;DATE(2026,11,1),'DRAFT 2'!$A:$A,"&lt;="&amp;DATE(2026,11,7))</f>
        <v/>
      </c>
      <c r="IE192">
        <f>COUNTIFS('DRAFT 2'!$D:$D,$B192,'DRAFT 2'!$A:$A,"&gt;="&amp;DATE(2026,11,8),'DRAFT 2'!$A:$A,"&lt;="&amp;DATE(2026,11,14))</f>
        <v/>
      </c>
      <c r="IF192">
        <f>COUNTIFS('DRAFT 2'!$D:$D,$B192,'DRAFT 2'!$A:$A,"&gt;="&amp;DATE(2026,11,15),'DRAFT 2'!$A:$A,"&lt;="&amp;DATE(2026,11,21))</f>
        <v/>
      </c>
      <c r="IG192">
        <f>COUNTIFS('DRAFT 2'!$D:$D,$B192,'DRAFT 2'!$A:$A,"&gt;="&amp;DATE(2026,11,22),'DRAFT 2'!$A:$A,"&lt;"&amp;DATE(2026,IF(11=12,11+1,11+1),1))</f>
        <v/>
      </c>
      <c r="IH192">
        <f>SUM(ID192:IG192)</f>
        <v/>
      </c>
      <c r="IR192">
        <f>IFERROR(LOOKUP(2,1/('DRAFT 2'!$D:$D=$B192)*('DRAFT 2'!$A:$A&gt;=DATE(2026,12,1))*('DRAFT 2'!$A:$A&lt;DATE(2026,IF(12=12,12+1,12+1),1)),'DRAFT 2'!$A:$A),"")</f>
        <v/>
      </c>
      <c r="IS192">
        <f>COUNTIFS('DRAFT 2'!$D:$D,$B192,'DRAFT 2'!$A:$A,"&gt;="&amp;DATE(2026,12,1),'DRAFT 2'!$A:$A,"&lt;="&amp;DATE(2026,12,7))</f>
        <v/>
      </c>
      <c r="IT192">
        <f>COUNTIFS('DRAFT 2'!$D:$D,$B192,'DRAFT 2'!$A:$A,"&gt;="&amp;DATE(2026,12,8),'DRAFT 2'!$A:$A,"&lt;="&amp;DATE(2026,12,14))</f>
        <v/>
      </c>
      <c r="IU192">
        <f>COUNTIFS('DRAFT 2'!$D:$D,$B192,'DRAFT 2'!$A:$A,"&gt;="&amp;DATE(2026,12,15),'DRAFT 2'!$A:$A,"&lt;="&amp;DATE(2026,12,21))</f>
        <v/>
      </c>
      <c r="IV192">
        <f>COUNTIFS('DRAFT 2'!$D:$D,$B192,'DRAFT 2'!$A:$A,"&gt;="&amp;DATE(2026,12,22),'DRAFT 2'!$A:$A,"&lt;"&amp;DATE(2026,IF(12=12,12+1,12+1),1))</f>
        <v/>
      </c>
      <c r="IW192">
        <f>SUM(IS192:IV192)</f>
        <v/>
      </c>
    </row>
    <row r="193">
      <c r="A193">
        <f>IFERROR(INDEX('DRAFT 1'!$A:$A,MATCH($B193,'DRAFT 1'!$B:$B,0)),"")</f>
        <v/>
      </c>
      <c r="C193">
        <f>IFERROR(INDEX('DRAFT 1'!$C:$C,MATCH($B193,'DRAFT 1'!$B:$B,0)),"")</f>
        <v/>
      </c>
      <c r="D193">
        <f>IFERROR(INDEX('DRAFT 1'!$D:$D,MATCH($B193,'DRAFT 1'!$B:$B,0)),"")</f>
        <v/>
      </c>
      <c r="E193">
        <f>IFERROR(INDEX('DRAFT 1'!$E:$E,MATCH($B193,'DRAFT 1'!$B:$B,0)),"")</f>
        <v/>
      </c>
      <c r="F193">
        <f>IFERROR(INDEX('DRAFT 1'!$F:$F,MATCH($B193,'DRAFT 1'!$B:$B,0)),"")</f>
        <v/>
      </c>
      <c r="G193">
        <f>IFERROR(INDEX('DRAFT 1'!$G:$G,MATCH($B193,'DRAFT 1'!$B:$B,0)),"")</f>
        <v/>
      </c>
      <c r="H193">
        <f>IFERROR(INDEX('DRAFT 1'!$H:$H,MATCH($B193,'DRAFT 1'!$B:$B,0)),"")</f>
        <v/>
      </c>
      <c r="I193">
        <f>IFERROR(INDEX('DRAFT 1'!$I:$I,MATCH($B193,'DRAFT 1'!$B:$B,0)),"")</f>
        <v/>
      </c>
      <c r="K193">
        <f>IFERROR(INDEX('DRAFT 1'!$AL:$AL,MATCH($B193,'DRAFT 1'!$B:$B,0)),"")</f>
        <v/>
      </c>
      <c r="L193">
        <f>IFERROR(INDEX('DRAFT 1'!$J:$J,MATCH($B193,'DRAFT 1'!$B:$B,0)),"")</f>
        <v/>
      </c>
      <c r="M193">
        <f>IFERROR(INDEX('DRAFT 1'!$K:$K,MATCH($B193,'DRAFT 1'!$B:$B,0)),"")</f>
        <v/>
      </c>
      <c r="P193">
        <f>IFERROR(INDEX('DRAFT 1'!$L:$L,MATCH($B193,'DRAFT 1'!$B:$B,0)),"")</f>
        <v/>
      </c>
      <c r="Q193">
        <f>IFERROR(INDEX('DRAFT 1'!$M:$M,MATCH($B193,'DRAFT 1'!$B:$B,0)),"")</f>
        <v/>
      </c>
      <c r="R193">
        <f>IFERROR(INDEX('DRAFT 1'!$N:$N,MATCH($B193,'DRAFT 1'!$B:$B,0)),"")</f>
        <v/>
      </c>
      <c r="S193">
        <f>IFERROR(INDEX('DRAFT 1'!$O:$O,MATCH($B193,'DRAFT 1'!$B:$B,0)),"")</f>
        <v/>
      </c>
      <c r="T193">
        <f>IFERROR(INDEX('DRAFT 1'!$P:$P,MATCH($B193,'DRAFT 1'!$B:$B,0)),"")</f>
        <v/>
      </c>
      <c r="U193">
        <f>IFERROR(INDEX('DRAFT 1'!$Q:$Q,MATCH($B193,'DRAFT 1'!$B:$B,0)),"")</f>
        <v/>
      </c>
      <c r="V193">
        <f>IFERROR(INDEX('DRAFT 1'!$R:$R,MATCH($B193,'DRAFT 1'!$B:$B,0)),"")</f>
        <v/>
      </c>
      <c r="W193">
        <f>IFERROR(INDEX('DRAFT 1'!$S:$S,MATCH($B193,'DRAFT 1'!$B:$B,0)),"")</f>
        <v/>
      </c>
      <c r="X193">
        <f>IFERROR(INDEX('DRAFT 1'!$T:$T,MATCH($B193,'DRAFT 1'!$B:$B,0)),"")</f>
        <v/>
      </c>
      <c r="Z193">
        <f>IFERROR(INDEX('DRAFT 1'!$U:$U,MATCH($B193,'DRAFT 1'!$B:$B,0)),"")</f>
        <v/>
      </c>
      <c r="AA193">
        <f>IFERROR(INDEX('DRAFT 1'!$V:$V,MATCH($B193,'DRAFT 1'!$B:$B,0)),"")</f>
        <v/>
      </c>
      <c r="AB193">
        <f>IFERROR(INDEX('DRAFT 1'!$W:$W,MATCH($B193,'DRAFT 1'!$B:$B,0)),"")</f>
        <v/>
      </c>
      <c r="AC193">
        <f>IFERROR(INDEX('DRAFT 1'!$X:$X,MATCH($B193,'DRAFT 1'!$B:$B,0)),"")</f>
        <v/>
      </c>
      <c r="AD193">
        <f>IFERROR(INDEX('DRAFT 1'!$Y:$Y,MATCH($B193,'DRAFT 1'!$B:$B,0)),"")</f>
        <v/>
      </c>
      <c r="AE193">
        <f>IFERROR(INDEX('DRAFT 1'!$Z:$Z,MATCH($B193,'DRAFT 1'!$B:$B,0)),"")</f>
        <v/>
      </c>
      <c r="AF193">
        <f>IFERROR(INDEX('DRAFT 1'!$AA:$AA,MATCH($B193,'DRAFT 1'!$B:$B,0)),"")</f>
        <v/>
      </c>
      <c r="AG193">
        <f>IFERROR(INDEX('DRAFT 1'!$AB:$AB,MATCH($B193,'DRAFT 1'!$B:$B,0)),"")</f>
        <v/>
      </c>
      <c r="AH193">
        <f>IFERROR(INDEX('DRAFT 1'!$AC:$AC,MATCH($B193,'DRAFT 1'!$B:$B,0)),"")</f>
        <v/>
      </c>
      <c r="AI193">
        <f>IFERROR(INDEX('DRAFT 1'!$AD:$AD,MATCH($B193,'DRAFT 1'!$B:$B,0)),"")</f>
        <v/>
      </c>
      <c r="AJ193">
        <f>IFERROR(INDEX('DRAFT 1'!$AE:$AE,MATCH($B193,'DRAFT 1'!$B:$B,0)),"")</f>
        <v/>
      </c>
      <c r="AK193">
        <f>IFERROR(INDEX('DRAFT 1'!$AG:$AG,MATCH($B193,'DRAFT 1'!$B:$B,0)),"")</f>
        <v/>
      </c>
      <c r="AL193">
        <f>IFERROR(INDEX('DRAFT 1'!$AH:$AH,MATCH($B193,'DRAFT 1'!$B:$B,0)),"")</f>
        <v/>
      </c>
      <c r="AM193">
        <f>IFERROR(INDEX('DRAFT 1'!$AI:$AI,MATCH($B193,'DRAFT 1'!$B:$B,0)),"")</f>
        <v/>
      </c>
      <c r="AN193">
        <f>IFERROR(INDEX('DRAFT 1'!$AJ:$AJ,MATCH($B193,'DRAFT 1'!$B:$B,0)),"")</f>
        <v/>
      </c>
      <c r="AO193">
        <f>IFERROR(Y193/AN193,0)</f>
        <v/>
      </c>
      <c r="AP193">
        <f>IFERROR(INDEX('DRAFT 1'!$AK:$AK,MATCH($B193,'DRAFT 1'!$B:$B,0)),"")</f>
        <v/>
      </c>
      <c r="AR193">
        <f>IFERROR(LOOKUP(2,1/('DRAFT 2'!$D:$D=$B193),'DRAFT 2'!$I:$I),"")</f>
        <v/>
      </c>
      <c r="AS193">
        <f>IFERROR(LOOKUP(2,1/('DRAFT 2'!$D:$D=$B193),'DRAFT 2'!$T:$T),"")</f>
        <v/>
      </c>
      <c r="AT193">
        <f>IFERROR(LOOKUP(2,1/('DRAFT 2'!$D:$D=$B193),'DRAFT 2'!$A:$A),"")</f>
        <v/>
      </c>
      <c r="AU193">
        <f>IFERROR(LOOKUP(2,1/('DRAFT 2'!$D:$D=$B193),'DRAFT 2'!$R:$R),"")</f>
        <v/>
      </c>
      <c r="AV193">
        <f>IFERROR(LOOKUP(2,1/('DRAFT 2'!$D:$D=$B193),'DRAFT 2'!$S:$S),"")</f>
        <v/>
      </c>
      <c r="AX193">
        <f>IFERROR(LOOKUP(2,1/('DRAFT 2'!$D:$D=$B193),'DRAFT 2'!$M:$M),"")</f>
        <v/>
      </c>
      <c r="AY193">
        <f>IFERROR(LOOKUP(2,1/('DRAFT 2'!$D:$D=$B193),'DRAFT 2'!$K:$K),"")</f>
        <v/>
      </c>
      <c r="BG193">
        <f>IFERROR(LOOKUP(2,1/('DRAFT 2'!$D:$D=$B193),'DRAFT 2'!$U:$U),"")</f>
        <v/>
      </c>
      <c r="BH193">
        <f>IFERROR(LOOKUP(2,1/('DRAFT 2'!$D:$D=$B193),'DRAFT 2'!$V:$V),"")</f>
        <v/>
      </c>
      <c r="CE193">
        <f>IFERROR(AJ193,0)</f>
        <v/>
      </c>
      <c r="CF193">
        <f>IFERROR(LOOKUP(2,1/('DRAFT 2'!$D:$D=$B193)*('DRAFT 2'!$A:$A&gt;=DATE(2026,1,1))*('DRAFT 2'!$A:$A&lt;DATE(2026,IF(1=12,1+1,1+1),1)),'DRAFT 2'!$A:$A),"")</f>
        <v/>
      </c>
      <c r="CG193">
        <f>COUNTIFS('DRAFT 2'!$D:$D,$B193,'DRAFT 2'!$A:$A,"&gt;="&amp;DATE(2026,1,1),'DRAFT 2'!$A:$A,"&lt;="&amp;DATE(2026,1,7))</f>
        <v/>
      </c>
      <c r="CH193">
        <f>COUNTIFS('DRAFT 2'!$D:$D,$B193,'DRAFT 2'!$A:$A,"&gt;="&amp;DATE(2026,1,8),'DRAFT 2'!$A:$A,"&lt;="&amp;DATE(2026,1,14))</f>
        <v/>
      </c>
      <c r="CI193">
        <f>COUNTIFS('DRAFT 2'!$D:$D,$B193,'DRAFT 2'!$A:$A,"&gt;="&amp;DATE(2026,1,15),'DRAFT 2'!$A:$A,"&lt;="&amp;DATE(2026,1,21))</f>
        <v/>
      </c>
      <c r="CJ193">
        <f>COUNTIFS('DRAFT 2'!$D:$D,$B193,'DRAFT 2'!$A:$A,"&gt;="&amp;DATE(2026,1,22),'DRAFT 2'!$A:$A,"&lt;"&amp;DATE(2026,IF(1=12,1+1,1+1),1))</f>
        <v/>
      </c>
      <c r="CK193">
        <f>SUM(CG193:CJ193)</f>
        <v/>
      </c>
      <c r="CT193" t="n">
        <v>0</v>
      </c>
      <c r="CU193">
        <f>IFERROR(LOOKUP(2,1/('DRAFT 2'!$D:$D=$B193)*('DRAFT 2'!$A:$A&gt;=DATE(2026,2,1))*('DRAFT 2'!$A:$A&lt;DATE(2026,IF(2=12,2+1,2+1),1)),'DRAFT 2'!$A:$A),"")</f>
        <v/>
      </c>
      <c r="CV193">
        <f>COUNTIFS('DRAFT 2'!$D:$D,$B193,'DRAFT 2'!$A:$A,"&gt;="&amp;DATE(2026,2,1),'DRAFT 2'!$A:$A,"&lt;="&amp;DATE(2026,2,7))</f>
        <v/>
      </c>
      <c r="CW193">
        <f>COUNTIFS('DRAFT 2'!$D:$D,$B193,'DRAFT 2'!$A:$A,"&gt;="&amp;DATE(2026,2,8),'DRAFT 2'!$A:$A,"&lt;="&amp;DATE(2026,2,14))</f>
        <v/>
      </c>
      <c r="CX193">
        <f>COUNTIFS('DRAFT 2'!$D:$D,$B193,'DRAFT 2'!$A:$A,"&gt;="&amp;DATE(2026,2,15),'DRAFT 2'!$A:$A,"&lt;="&amp;DATE(2026,2,21))</f>
        <v/>
      </c>
      <c r="CY193">
        <f>COUNTIFS('DRAFT 2'!$D:$D,$B193,'DRAFT 2'!$A:$A,"&gt;="&amp;DATE(2026,2,22),'DRAFT 2'!$A:$A,"&lt;"&amp;DATE(2026,IF(2=12,2+1,2+1),1))</f>
        <v/>
      </c>
      <c r="CZ193">
        <f>SUM(CV193:CY193)</f>
        <v/>
      </c>
      <c r="DJ193">
        <f>IFERROR(LOOKUP(2,1/('DRAFT 2'!$D:$D=$B193)*('DRAFT 2'!$A:$A&gt;=DATE(2026,3,1))*('DRAFT 2'!$A:$A&lt;DATE(2026,IF(3=12,3+1,3+1),1)),'DRAFT 2'!$A:$A),"")</f>
        <v/>
      </c>
      <c r="DK193">
        <f>COUNTIFS('DRAFT 2'!$D:$D,$B193,'DRAFT 2'!$A:$A,"&gt;="&amp;DATE(2026,3,1),'DRAFT 2'!$A:$A,"&lt;="&amp;DATE(2026,3,7))</f>
        <v/>
      </c>
      <c r="DL193">
        <f>COUNTIFS('DRAFT 2'!$D:$D,$B193,'DRAFT 2'!$A:$A,"&gt;="&amp;DATE(2026,3,8),'DRAFT 2'!$A:$A,"&lt;="&amp;DATE(2026,3,14))</f>
        <v/>
      </c>
      <c r="DM193">
        <f>COUNTIFS('DRAFT 2'!$D:$D,$B193,'DRAFT 2'!$A:$A,"&gt;="&amp;DATE(2026,3,15),'DRAFT 2'!$A:$A,"&lt;="&amp;DATE(2026,3,21))</f>
        <v/>
      </c>
      <c r="DN193">
        <f>COUNTIFS('DRAFT 2'!$D:$D,$B193,'DRAFT 2'!$A:$A,"&gt;="&amp;DATE(2026,3,22),'DRAFT 2'!$A:$A,"&lt;"&amp;DATE(2026,IF(3=12,3+1,3+1),1))</f>
        <v/>
      </c>
      <c r="DO193">
        <f>SUM(DK193:DN193)</f>
        <v/>
      </c>
      <c r="DZ193">
        <f>IFERROR(LOOKUP(2,1/('DRAFT 2'!$D:$D=$B193)*('DRAFT 2'!$A:$A&gt;=DATE(2026,4,1))*('DRAFT 2'!$A:$A&lt;DATE(2026,IF(4=12,4+1,4+1),1)),'DRAFT 2'!$A:$A),"")</f>
        <v/>
      </c>
      <c r="EA193">
        <f>COUNTIFS('DRAFT 2'!$D:$D,$B193,'DRAFT 2'!$A:$A,"&gt;="&amp;DATE(2026,4,1),'DRAFT 2'!$A:$A,"&lt;="&amp;DATE(2026,4,7))</f>
        <v/>
      </c>
      <c r="EB193">
        <f>COUNTIFS('DRAFT 2'!$D:$D,$B193,'DRAFT 2'!$A:$A,"&gt;="&amp;DATE(2026,4,8),'DRAFT 2'!$A:$A,"&lt;="&amp;DATE(2026,4,14))</f>
        <v/>
      </c>
      <c r="EC193">
        <f>COUNTIFS('DRAFT 2'!$D:$D,$B193,'DRAFT 2'!$A:$A,"&gt;="&amp;DATE(2026,4,15),'DRAFT 2'!$A:$A,"&lt;="&amp;DATE(2026,4,21))</f>
        <v/>
      </c>
      <c r="ED193">
        <f>COUNTIFS('DRAFT 2'!$D:$D,$B193,'DRAFT 2'!$A:$A,"&gt;="&amp;DATE(2026,4,22),'DRAFT 2'!$A:$A,"&lt;"&amp;DATE(2026,IF(4=12,4+1,4+1),1))</f>
        <v/>
      </c>
      <c r="EE193">
        <f>SUM(EA193:ED193)</f>
        <v/>
      </c>
      <c r="EO193">
        <f>IFERROR(LOOKUP(2,1/('DRAFT 2'!$D:$D=$B193)*('DRAFT 2'!$A:$A&gt;=DATE(2026,5,1))*('DRAFT 2'!$A:$A&lt;DATE(2026,IF(5=12,5+1,5+1),1)),'DRAFT 2'!$A:$A),"")</f>
        <v/>
      </c>
      <c r="EP193">
        <f>COUNTIFS('DRAFT 2'!$D:$D,$B193,'DRAFT 2'!$A:$A,"&gt;="&amp;DATE(2026,5,1),'DRAFT 2'!$A:$A,"&lt;="&amp;DATE(2026,5,7))</f>
        <v/>
      </c>
      <c r="EQ193">
        <f>COUNTIFS('DRAFT 2'!$D:$D,$B193,'DRAFT 2'!$A:$A,"&gt;="&amp;DATE(2026,5,8),'DRAFT 2'!$A:$A,"&lt;="&amp;DATE(2026,5,14))</f>
        <v/>
      </c>
      <c r="ER193">
        <f>COUNTIFS('DRAFT 2'!$D:$D,$B193,'DRAFT 2'!$A:$A,"&gt;="&amp;DATE(2026,5,15),'DRAFT 2'!$A:$A,"&lt;="&amp;DATE(2026,5,21))</f>
        <v/>
      </c>
      <c r="ES193">
        <f>COUNTIFS('DRAFT 2'!$D:$D,$B193,'DRAFT 2'!$A:$A,"&gt;="&amp;DATE(2026,5,22),'DRAFT 2'!$A:$A,"&lt;"&amp;DATE(2026,IF(5=12,5+1,5+1),1))</f>
        <v/>
      </c>
      <c r="ET193">
        <f>SUM(EP193:ES193)</f>
        <v/>
      </c>
      <c r="FD193">
        <f>IFERROR(LOOKUP(2,1/('DRAFT 2'!$D:$D=$B193)*('DRAFT 2'!$A:$A&gt;=DATE(2026,6,1))*('DRAFT 2'!$A:$A&lt;DATE(2026,IF(6=12,6+1,6+1),1)),'DRAFT 2'!$A:$A),"")</f>
        <v/>
      </c>
      <c r="FE193">
        <f>COUNTIFS('DRAFT 2'!$D:$D,$B193,'DRAFT 2'!$A:$A,"&gt;="&amp;DATE(2026,6,1),'DRAFT 2'!$A:$A,"&lt;="&amp;DATE(2026,6,7))</f>
        <v/>
      </c>
      <c r="FF193">
        <f>COUNTIFS('DRAFT 2'!$D:$D,$B193,'DRAFT 2'!$A:$A,"&gt;="&amp;DATE(2026,6,8),'DRAFT 2'!$A:$A,"&lt;="&amp;DATE(2026,6,14))</f>
        <v/>
      </c>
      <c r="FG193">
        <f>COUNTIFS('DRAFT 2'!$D:$D,$B193,'DRAFT 2'!$A:$A,"&gt;="&amp;DATE(2026,6,15),'DRAFT 2'!$A:$A,"&lt;="&amp;DATE(2026,6,21))</f>
        <v/>
      </c>
      <c r="FH193">
        <f>COUNTIFS('DRAFT 2'!$D:$D,$B193,'DRAFT 2'!$A:$A,"&gt;="&amp;DATE(2026,6,22),'DRAFT 2'!$A:$A,"&lt;"&amp;DATE(2026,IF(6=12,6+1,6+1),1))</f>
        <v/>
      </c>
      <c r="FI193">
        <f>SUM(FE193:FH193)</f>
        <v/>
      </c>
      <c r="FT193">
        <f>IFERROR(LOOKUP(2,1/('DRAFT 2'!$D:$D=$B193)*('DRAFT 2'!$A:$A&gt;=DATE(2026,7,1))*('DRAFT 2'!$A:$A&lt;DATE(2026,IF(7=12,7+1,7+1),1)),'DRAFT 2'!$A:$A),"")</f>
        <v/>
      </c>
      <c r="FU193">
        <f>COUNTIFS('DRAFT 2'!$D:$D,$B193,'DRAFT 2'!$A:$A,"&gt;="&amp;DATE(2026,7,1),'DRAFT 2'!$A:$A,"&lt;="&amp;DATE(2026,7,7))</f>
        <v/>
      </c>
      <c r="FV193">
        <f>COUNTIFS('DRAFT 2'!$D:$D,$B193,'DRAFT 2'!$A:$A,"&gt;="&amp;DATE(2026,7,8),'DRAFT 2'!$A:$A,"&lt;="&amp;DATE(2026,7,14))</f>
        <v/>
      </c>
      <c r="FW193">
        <f>COUNTIFS('DRAFT 2'!$D:$D,$B193,'DRAFT 2'!$A:$A,"&gt;="&amp;DATE(2026,7,15),'DRAFT 2'!$A:$A,"&lt;="&amp;DATE(2026,7,21))</f>
        <v/>
      </c>
      <c r="FX193">
        <f>COUNTIFS('DRAFT 2'!$D:$D,$B193,'DRAFT 2'!$A:$A,"&gt;="&amp;DATE(2026,7,22),'DRAFT 2'!$A:$A,"&lt;"&amp;DATE(2026,IF(7=12,7+1,7+1),1))</f>
        <v/>
      </c>
      <c r="FY193">
        <f>SUM(FU193:FX193)</f>
        <v/>
      </c>
      <c r="GI193">
        <f>IFERROR(LOOKUP(2,1/('DRAFT 2'!$D:$D=$B193)*('DRAFT 2'!$A:$A&gt;=DATE(2026,8,1))*('DRAFT 2'!$A:$A&lt;DATE(2026,IF(8=12,8+1,8+1),1)),'DRAFT 2'!$A:$A),"")</f>
        <v/>
      </c>
      <c r="GJ193">
        <f>COUNTIFS('DRAFT 2'!$D:$D,$B193,'DRAFT 2'!$A:$A,"&gt;="&amp;DATE(2026,8,1),'DRAFT 2'!$A:$A,"&lt;="&amp;DATE(2026,8,7))</f>
        <v/>
      </c>
      <c r="GK193">
        <f>COUNTIFS('DRAFT 2'!$D:$D,$B193,'DRAFT 2'!$A:$A,"&gt;="&amp;DATE(2026,8,8),'DRAFT 2'!$A:$A,"&lt;="&amp;DATE(2026,8,14))</f>
        <v/>
      </c>
      <c r="GL193">
        <f>COUNTIFS('DRAFT 2'!$D:$D,$B193,'DRAFT 2'!$A:$A,"&gt;="&amp;DATE(2026,8,15),'DRAFT 2'!$A:$A,"&lt;="&amp;DATE(2026,8,21))</f>
        <v/>
      </c>
      <c r="GM193">
        <f>COUNTIFS('DRAFT 2'!$D:$D,$B193,'DRAFT 2'!$A:$A,"&gt;="&amp;DATE(2026,8,22),'DRAFT 2'!$A:$A,"&lt;"&amp;DATE(2026,IF(8=12,8+1,8+1),1))</f>
        <v/>
      </c>
      <c r="GN193">
        <f>SUM(GJ193:GM193)</f>
        <v/>
      </c>
      <c r="GX193">
        <f>IFERROR(LOOKUP(2,1/('DRAFT 2'!$D:$D=$B193)*('DRAFT 2'!$A:$A&gt;=DATE(2026,9,1))*('DRAFT 2'!$A:$A&lt;DATE(2026,IF(9=12,9+1,9+1),1)),'DRAFT 2'!$A:$A),"")</f>
        <v/>
      </c>
      <c r="GY193">
        <f>COUNTIFS('DRAFT 2'!$D:$D,$B193,'DRAFT 2'!$A:$A,"&gt;="&amp;DATE(2026,9,1),'DRAFT 2'!$A:$A,"&lt;="&amp;DATE(2026,9,7))</f>
        <v/>
      </c>
      <c r="GZ193">
        <f>COUNTIFS('DRAFT 2'!$D:$D,$B193,'DRAFT 2'!$A:$A,"&gt;="&amp;DATE(2026,9,8),'DRAFT 2'!$A:$A,"&lt;="&amp;DATE(2026,9,14))</f>
        <v/>
      </c>
      <c r="HA193">
        <f>COUNTIFS('DRAFT 2'!$D:$D,$B193,'DRAFT 2'!$A:$A,"&gt;="&amp;DATE(2026,9,15),'DRAFT 2'!$A:$A,"&lt;="&amp;DATE(2026,9,21))</f>
        <v/>
      </c>
      <c r="HB193">
        <f>COUNTIFS('DRAFT 2'!$D:$D,$B193,'DRAFT 2'!$A:$A,"&gt;="&amp;DATE(2026,9,22),'DRAFT 2'!$A:$A,"&lt;"&amp;DATE(2026,IF(9=12,9+1,9+1),1))</f>
        <v/>
      </c>
      <c r="HC193">
        <f>SUM(GY193:HB193)</f>
        <v/>
      </c>
      <c r="HN193">
        <f>IFERROR(LOOKUP(2,1/('DRAFT 2'!$D:$D=$B193)*('DRAFT 2'!$A:$A&gt;=DATE(2026,10,1))*('DRAFT 2'!$A:$A&lt;DATE(2026,IF(10=12,10+1,10+1),1)),'DRAFT 2'!$A:$A),"")</f>
        <v/>
      </c>
      <c r="HO193">
        <f>COUNTIFS('DRAFT 2'!$D:$D,$B193,'DRAFT 2'!$A:$A,"&gt;="&amp;DATE(2026,10,1),'DRAFT 2'!$A:$A,"&lt;="&amp;DATE(2026,10,7))</f>
        <v/>
      </c>
      <c r="HP193">
        <f>COUNTIFS('DRAFT 2'!$D:$D,$B193,'DRAFT 2'!$A:$A,"&gt;="&amp;DATE(2026,10,8),'DRAFT 2'!$A:$A,"&lt;="&amp;DATE(2026,10,14))</f>
        <v/>
      </c>
      <c r="HQ193">
        <f>COUNTIFS('DRAFT 2'!$D:$D,$B193,'DRAFT 2'!$A:$A,"&gt;="&amp;DATE(2026,10,15),'DRAFT 2'!$A:$A,"&lt;="&amp;DATE(2026,10,21))</f>
        <v/>
      </c>
      <c r="HR193">
        <f>COUNTIFS('DRAFT 2'!$D:$D,$B193,'DRAFT 2'!$A:$A,"&gt;="&amp;DATE(2026,10,22),'DRAFT 2'!$A:$A,"&lt;"&amp;DATE(2026,IF(10=12,10+1,10+1),1))</f>
        <v/>
      </c>
      <c r="HS193">
        <f>SUM(HO193:HR193)</f>
        <v/>
      </c>
      <c r="IC193">
        <f>IFERROR(LOOKUP(2,1/('DRAFT 2'!$D:$D=$B193)*('DRAFT 2'!$A:$A&gt;=DATE(2026,11,1))*('DRAFT 2'!$A:$A&lt;DATE(2026,IF(11=12,11+1,11+1),1)),'DRAFT 2'!$A:$A),"")</f>
        <v/>
      </c>
      <c r="ID193">
        <f>COUNTIFS('DRAFT 2'!$D:$D,$B193,'DRAFT 2'!$A:$A,"&gt;="&amp;DATE(2026,11,1),'DRAFT 2'!$A:$A,"&lt;="&amp;DATE(2026,11,7))</f>
        <v/>
      </c>
      <c r="IE193">
        <f>COUNTIFS('DRAFT 2'!$D:$D,$B193,'DRAFT 2'!$A:$A,"&gt;="&amp;DATE(2026,11,8),'DRAFT 2'!$A:$A,"&lt;="&amp;DATE(2026,11,14))</f>
        <v/>
      </c>
      <c r="IF193">
        <f>COUNTIFS('DRAFT 2'!$D:$D,$B193,'DRAFT 2'!$A:$A,"&gt;="&amp;DATE(2026,11,15),'DRAFT 2'!$A:$A,"&lt;="&amp;DATE(2026,11,21))</f>
        <v/>
      </c>
      <c r="IG193">
        <f>COUNTIFS('DRAFT 2'!$D:$D,$B193,'DRAFT 2'!$A:$A,"&gt;="&amp;DATE(2026,11,22),'DRAFT 2'!$A:$A,"&lt;"&amp;DATE(2026,IF(11=12,11+1,11+1),1))</f>
        <v/>
      </c>
      <c r="IH193">
        <f>SUM(ID193:IG193)</f>
        <v/>
      </c>
      <c r="IR193">
        <f>IFERROR(LOOKUP(2,1/('DRAFT 2'!$D:$D=$B193)*('DRAFT 2'!$A:$A&gt;=DATE(2026,12,1))*('DRAFT 2'!$A:$A&lt;DATE(2026,IF(12=12,12+1,12+1),1)),'DRAFT 2'!$A:$A),"")</f>
        <v/>
      </c>
      <c r="IS193">
        <f>COUNTIFS('DRAFT 2'!$D:$D,$B193,'DRAFT 2'!$A:$A,"&gt;="&amp;DATE(2026,12,1),'DRAFT 2'!$A:$A,"&lt;="&amp;DATE(2026,12,7))</f>
        <v/>
      </c>
      <c r="IT193">
        <f>COUNTIFS('DRAFT 2'!$D:$D,$B193,'DRAFT 2'!$A:$A,"&gt;="&amp;DATE(2026,12,8),'DRAFT 2'!$A:$A,"&lt;="&amp;DATE(2026,12,14))</f>
        <v/>
      </c>
      <c r="IU193">
        <f>COUNTIFS('DRAFT 2'!$D:$D,$B193,'DRAFT 2'!$A:$A,"&gt;="&amp;DATE(2026,12,15),'DRAFT 2'!$A:$A,"&lt;="&amp;DATE(2026,12,21))</f>
        <v/>
      </c>
      <c r="IV193">
        <f>COUNTIFS('DRAFT 2'!$D:$D,$B193,'DRAFT 2'!$A:$A,"&gt;="&amp;DATE(2026,12,22),'DRAFT 2'!$A:$A,"&lt;"&amp;DATE(2026,IF(12=12,12+1,12+1),1))</f>
        <v/>
      </c>
      <c r="IW193">
        <f>SUM(IS193:IV193)</f>
        <v/>
      </c>
    </row>
    <row r="194">
      <c r="A194">
        <f>IFERROR(INDEX('DRAFT 1'!$A:$A,MATCH($B194,'DRAFT 1'!$B:$B,0)),"")</f>
        <v/>
      </c>
      <c r="C194">
        <f>IFERROR(INDEX('DRAFT 1'!$C:$C,MATCH($B194,'DRAFT 1'!$B:$B,0)),"")</f>
        <v/>
      </c>
      <c r="D194">
        <f>IFERROR(INDEX('DRAFT 1'!$D:$D,MATCH($B194,'DRAFT 1'!$B:$B,0)),"")</f>
        <v/>
      </c>
      <c r="E194">
        <f>IFERROR(INDEX('DRAFT 1'!$E:$E,MATCH($B194,'DRAFT 1'!$B:$B,0)),"")</f>
        <v/>
      </c>
      <c r="F194">
        <f>IFERROR(INDEX('DRAFT 1'!$F:$F,MATCH($B194,'DRAFT 1'!$B:$B,0)),"")</f>
        <v/>
      </c>
      <c r="G194">
        <f>IFERROR(INDEX('DRAFT 1'!$G:$G,MATCH($B194,'DRAFT 1'!$B:$B,0)),"")</f>
        <v/>
      </c>
      <c r="H194">
        <f>IFERROR(INDEX('DRAFT 1'!$H:$H,MATCH($B194,'DRAFT 1'!$B:$B,0)),"")</f>
        <v/>
      </c>
      <c r="I194">
        <f>IFERROR(INDEX('DRAFT 1'!$I:$I,MATCH($B194,'DRAFT 1'!$B:$B,0)),"")</f>
        <v/>
      </c>
      <c r="K194">
        <f>IFERROR(INDEX('DRAFT 1'!$AL:$AL,MATCH($B194,'DRAFT 1'!$B:$B,0)),"")</f>
        <v/>
      </c>
      <c r="L194">
        <f>IFERROR(INDEX('DRAFT 1'!$J:$J,MATCH($B194,'DRAFT 1'!$B:$B,0)),"")</f>
        <v/>
      </c>
      <c r="M194">
        <f>IFERROR(INDEX('DRAFT 1'!$K:$K,MATCH($B194,'DRAFT 1'!$B:$B,0)),"")</f>
        <v/>
      </c>
      <c r="P194">
        <f>IFERROR(INDEX('DRAFT 1'!$L:$L,MATCH($B194,'DRAFT 1'!$B:$B,0)),"")</f>
        <v/>
      </c>
      <c r="Q194">
        <f>IFERROR(INDEX('DRAFT 1'!$M:$M,MATCH($B194,'DRAFT 1'!$B:$B,0)),"")</f>
        <v/>
      </c>
      <c r="R194">
        <f>IFERROR(INDEX('DRAFT 1'!$N:$N,MATCH($B194,'DRAFT 1'!$B:$B,0)),"")</f>
        <v/>
      </c>
      <c r="S194">
        <f>IFERROR(INDEX('DRAFT 1'!$O:$O,MATCH($B194,'DRAFT 1'!$B:$B,0)),"")</f>
        <v/>
      </c>
      <c r="T194">
        <f>IFERROR(INDEX('DRAFT 1'!$P:$P,MATCH($B194,'DRAFT 1'!$B:$B,0)),"")</f>
        <v/>
      </c>
      <c r="U194">
        <f>IFERROR(INDEX('DRAFT 1'!$Q:$Q,MATCH($B194,'DRAFT 1'!$B:$B,0)),"")</f>
        <v/>
      </c>
      <c r="V194">
        <f>IFERROR(INDEX('DRAFT 1'!$R:$R,MATCH($B194,'DRAFT 1'!$B:$B,0)),"")</f>
        <v/>
      </c>
      <c r="W194">
        <f>IFERROR(INDEX('DRAFT 1'!$S:$S,MATCH($B194,'DRAFT 1'!$B:$B,0)),"")</f>
        <v/>
      </c>
      <c r="X194">
        <f>IFERROR(INDEX('DRAFT 1'!$T:$T,MATCH($B194,'DRAFT 1'!$B:$B,0)),"")</f>
        <v/>
      </c>
      <c r="Z194">
        <f>IFERROR(INDEX('DRAFT 1'!$U:$U,MATCH($B194,'DRAFT 1'!$B:$B,0)),"")</f>
        <v/>
      </c>
      <c r="AA194">
        <f>IFERROR(INDEX('DRAFT 1'!$V:$V,MATCH($B194,'DRAFT 1'!$B:$B,0)),"")</f>
        <v/>
      </c>
      <c r="AB194">
        <f>IFERROR(INDEX('DRAFT 1'!$W:$W,MATCH($B194,'DRAFT 1'!$B:$B,0)),"")</f>
        <v/>
      </c>
      <c r="AC194">
        <f>IFERROR(INDEX('DRAFT 1'!$X:$X,MATCH($B194,'DRAFT 1'!$B:$B,0)),"")</f>
        <v/>
      </c>
      <c r="AD194">
        <f>IFERROR(INDEX('DRAFT 1'!$Y:$Y,MATCH($B194,'DRAFT 1'!$B:$B,0)),"")</f>
        <v/>
      </c>
      <c r="AE194">
        <f>IFERROR(INDEX('DRAFT 1'!$Z:$Z,MATCH($B194,'DRAFT 1'!$B:$B,0)),"")</f>
        <v/>
      </c>
      <c r="AF194">
        <f>IFERROR(INDEX('DRAFT 1'!$AA:$AA,MATCH($B194,'DRAFT 1'!$B:$B,0)),"")</f>
        <v/>
      </c>
      <c r="AG194">
        <f>IFERROR(INDEX('DRAFT 1'!$AB:$AB,MATCH($B194,'DRAFT 1'!$B:$B,0)),"")</f>
        <v/>
      </c>
      <c r="AH194">
        <f>IFERROR(INDEX('DRAFT 1'!$AC:$AC,MATCH($B194,'DRAFT 1'!$B:$B,0)),"")</f>
        <v/>
      </c>
      <c r="AI194">
        <f>IFERROR(INDEX('DRAFT 1'!$AD:$AD,MATCH($B194,'DRAFT 1'!$B:$B,0)),"")</f>
        <v/>
      </c>
      <c r="AJ194">
        <f>IFERROR(INDEX('DRAFT 1'!$AE:$AE,MATCH($B194,'DRAFT 1'!$B:$B,0)),"")</f>
        <v/>
      </c>
      <c r="AK194">
        <f>IFERROR(INDEX('DRAFT 1'!$AG:$AG,MATCH($B194,'DRAFT 1'!$B:$B,0)),"")</f>
        <v/>
      </c>
      <c r="AL194">
        <f>IFERROR(INDEX('DRAFT 1'!$AH:$AH,MATCH($B194,'DRAFT 1'!$B:$B,0)),"")</f>
        <v/>
      </c>
      <c r="AM194">
        <f>IFERROR(INDEX('DRAFT 1'!$AI:$AI,MATCH($B194,'DRAFT 1'!$B:$B,0)),"")</f>
        <v/>
      </c>
      <c r="AN194">
        <f>IFERROR(INDEX('DRAFT 1'!$AJ:$AJ,MATCH($B194,'DRAFT 1'!$B:$B,0)),"")</f>
        <v/>
      </c>
      <c r="AO194">
        <f>IFERROR(Y194/AN194,0)</f>
        <v/>
      </c>
      <c r="AP194">
        <f>IFERROR(INDEX('DRAFT 1'!$AK:$AK,MATCH($B194,'DRAFT 1'!$B:$B,0)),"")</f>
        <v/>
      </c>
      <c r="AR194">
        <f>IFERROR(LOOKUP(2,1/('DRAFT 2'!$D:$D=$B194),'DRAFT 2'!$I:$I),"")</f>
        <v/>
      </c>
      <c r="AS194">
        <f>IFERROR(LOOKUP(2,1/('DRAFT 2'!$D:$D=$B194),'DRAFT 2'!$T:$T),"")</f>
        <v/>
      </c>
      <c r="AT194">
        <f>IFERROR(LOOKUP(2,1/('DRAFT 2'!$D:$D=$B194),'DRAFT 2'!$A:$A),"")</f>
        <v/>
      </c>
      <c r="AU194">
        <f>IFERROR(LOOKUP(2,1/('DRAFT 2'!$D:$D=$B194),'DRAFT 2'!$R:$R),"")</f>
        <v/>
      </c>
      <c r="AV194">
        <f>IFERROR(LOOKUP(2,1/('DRAFT 2'!$D:$D=$B194),'DRAFT 2'!$S:$S),"")</f>
        <v/>
      </c>
      <c r="AX194">
        <f>IFERROR(LOOKUP(2,1/('DRAFT 2'!$D:$D=$B194),'DRAFT 2'!$M:$M),"")</f>
        <v/>
      </c>
      <c r="AY194">
        <f>IFERROR(LOOKUP(2,1/('DRAFT 2'!$D:$D=$B194),'DRAFT 2'!$K:$K),"")</f>
        <v/>
      </c>
      <c r="BG194">
        <f>IFERROR(LOOKUP(2,1/('DRAFT 2'!$D:$D=$B194),'DRAFT 2'!$U:$U),"")</f>
        <v/>
      </c>
      <c r="BH194">
        <f>IFERROR(LOOKUP(2,1/('DRAFT 2'!$D:$D=$B194),'DRAFT 2'!$V:$V),"")</f>
        <v/>
      </c>
      <c r="CE194">
        <f>IFERROR(AJ194,0)</f>
        <v/>
      </c>
      <c r="CF194">
        <f>IFERROR(LOOKUP(2,1/('DRAFT 2'!$D:$D=$B194)*('DRAFT 2'!$A:$A&gt;=DATE(2026,1,1))*('DRAFT 2'!$A:$A&lt;DATE(2026,IF(1=12,1+1,1+1),1)),'DRAFT 2'!$A:$A),"")</f>
        <v/>
      </c>
      <c r="CG194">
        <f>COUNTIFS('DRAFT 2'!$D:$D,$B194,'DRAFT 2'!$A:$A,"&gt;="&amp;DATE(2026,1,1),'DRAFT 2'!$A:$A,"&lt;="&amp;DATE(2026,1,7))</f>
        <v/>
      </c>
      <c r="CH194">
        <f>COUNTIFS('DRAFT 2'!$D:$D,$B194,'DRAFT 2'!$A:$A,"&gt;="&amp;DATE(2026,1,8),'DRAFT 2'!$A:$A,"&lt;="&amp;DATE(2026,1,14))</f>
        <v/>
      </c>
      <c r="CI194">
        <f>COUNTIFS('DRAFT 2'!$D:$D,$B194,'DRAFT 2'!$A:$A,"&gt;="&amp;DATE(2026,1,15),'DRAFT 2'!$A:$A,"&lt;="&amp;DATE(2026,1,21))</f>
        <v/>
      </c>
      <c r="CJ194">
        <f>COUNTIFS('DRAFT 2'!$D:$D,$B194,'DRAFT 2'!$A:$A,"&gt;="&amp;DATE(2026,1,22),'DRAFT 2'!$A:$A,"&lt;"&amp;DATE(2026,IF(1=12,1+1,1+1),1))</f>
        <v/>
      </c>
      <c r="CK194">
        <f>SUM(CG194:CJ194)</f>
        <v/>
      </c>
      <c r="CT194" t="n">
        <v>0</v>
      </c>
      <c r="CU194">
        <f>IFERROR(LOOKUP(2,1/('DRAFT 2'!$D:$D=$B194)*('DRAFT 2'!$A:$A&gt;=DATE(2026,2,1))*('DRAFT 2'!$A:$A&lt;DATE(2026,IF(2=12,2+1,2+1),1)),'DRAFT 2'!$A:$A),"")</f>
        <v/>
      </c>
      <c r="CV194">
        <f>COUNTIFS('DRAFT 2'!$D:$D,$B194,'DRAFT 2'!$A:$A,"&gt;="&amp;DATE(2026,2,1),'DRAFT 2'!$A:$A,"&lt;="&amp;DATE(2026,2,7))</f>
        <v/>
      </c>
      <c r="CW194">
        <f>COUNTIFS('DRAFT 2'!$D:$D,$B194,'DRAFT 2'!$A:$A,"&gt;="&amp;DATE(2026,2,8),'DRAFT 2'!$A:$A,"&lt;="&amp;DATE(2026,2,14))</f>
        <v/>
      </c>
      <c r="CX194">
        <f>COUNTIFS('DRAFT 2'!$D:$D,$B194,'DRAFT 2'!$A:$A,"&gt;="&amp;DATE(2026,2,15),'DRAFT 2'!$A:$A,"&lt;="&amp;DATE(2026,2,21))</f>
        <v/>
      </c>
      <c r="CY194">
        <f>COUNTIFS('DRAFT 2'!$D:$D,$B194,'DRAFT 2'!$A:$A,"&gt;="&amp;DATE(2026,2,22),'DRAFT 2'!$A:$A,"&lt;"&amp;DATE(2026,IF(2=12,2+1,2+1),1))</f>
        <v/>
      </c>
      <c r="CZ194">
        <f>SUM(CV194:CY194)</f>
        <v/>
      </c>
      <c r="DJ194">
        <f>IFERROR(LOOKUP(2,1/('DRAFT 2'!$D:$D=$B194)*('DRAFT 2'!$A:$A&gt;=DATE(2026,3,1))*('DRAFT 2'!$A:$A&lt;DATE(2026,IF(3=12,3+1,3+1),1)),'DRAFT 2'!$A:$A),"")</f>
        <v/>
      </c>
      <c r="DK194">
        <f>COUNTIFS('DRAFT 2'!$D:$D,$B194,'DRAFT 2'!$A:$A,"&gt;="&amp;DATE(2026,3,1),'DRAFT 2'!$A:$A,"&lt;="&amp;DATE(2026,3,7))</f>
        <v/>
      </c>
      <c r="DL194">
        <f>COUNTIFS('DRAFT 2'!$D:$D,$B194,'DRAFT 2'!$A:$A,"&gt;="&amp;DATE(2026,3,8),'DRAFT 2'!$A:$A,"&lt;="&amp;DATE(2026,3,14))</f>
        <v/>
      </c>
      <c r="DM194">
        <f>COUNTIFS('DRAFT 2'!$D:$D,$B194,'DRAFT 2'!$A:$A,"&gt;="&amp;DATE(2026,3,15),'DRAFT 2'!$A:$A,"&lt;="&amp;DATE(2026,3,21))</f>
        <v/>
      </c>
      <c r="DN194">
        <f>COUNTIFS('DRAFT 2'!$D:$D,$B194,'DRAFT 2'!$A:$A,"&gt;="&amp;DATE(2026,3,22),'DRAFT 2'!$A:$A,"&lt;"&amp;DATE(2026,IF(3=12,3+1,3+1),1))</f>
        <v/>
      </c>
      <c r="DO194">
        <f>SUM(DK194:DN194)</f>
        <v/>
      </c>
      <c r="DZ194">
        <f>IFERROR(LOOKUP(2,1/('DRAFT 2'!$D:$D=$B194)*('DRAFT 2'!$A:$A&gt;=DATE(2026,4,1))*('DRAFT 2'!$A:$A&lt;DATE(2026,IF(4=12,4+1,4+1),1)),'DRAFT 2'!$A:$A),"")</f>
        <v/>
      </c>
      <c r="EA194">
        <f>COUNTIFS('DRAFT 2'!$D:$D,$B194,'DRAFT 2'!$A:$A,"&gt;="&amp;DATE(2026,4,1),'DRAFT 2'!$A:$A,"&lt;="&amp;DATE(2026,4,7))</f>
        <v/>
      </c>
      <c r="EB194">
        <f>COUNTIFS('DRAFT 2'!$D:$D,$B194,'DRAFT 2'!$A:$A,"&gt;="&amp;DATE(2026,4,8),'DRAFT 2'!$A:$A,"&lt;="&amp;DATE(2026,4,14))</f>
        <v/>
      </c>
      <c r="EC194">
        <f>COUNTIFS('DRAFT 2'!$D:$D,$B194,'DRAFT 2'!$A:$A,"&gt;="&amp;DATE(2026,4,15),'DRAFT 2'!$A:$A,"&lt;="&amp;DATE(2026,4,21))</f>
        <v/>
      </c>
      <c r="ED194">
        <f>COUNTIFS('DRAFT 2'!$D:$D,$B194,'DRAFT 2'!$A:$A,"&gt;="&amp;DATE(2026,4,22),'DRAFT 2'!$A:$A,"&lt;"&amp;DATE(2026,IF(4=12,4+1,4+1),1))</f>
        <v/>
      </c>
      <c r="EE194">
        <f>SUM(EA194:ED194)</f>
        <v/>
      </c>
      <c r="EO194">
        <f>IFERROR(LOOKUP(2,1/('DRAFT 2'!$D:$D=$B194)*('DRAFT 2'!$A:$A&gt;=DATE(2026,5,1))*('DRAFT 2'!$A:$A&lt;DATE(2026,IF(5=12,5+1,5+1),1)),'DRAFT 2'!$A:$A),"")</f>
        <v/>
      </c>
      <c r="EP194">
        <f>COUNTIFS('DRAFT 2'!$D:$D,$B194,'DRAFT 2'!$A:$A,"&gt;="&amp;DATE(2026,5,1),'DRAFT 2'!$A:$A,"&lt;="&amp;DATE(2026,5,7))</f>
        <v/>
      </c>
      <c r="EQ194">
        <f>COUNTIFS('DRAFT 2'!$D:$D,$B194,'DRAFT 2'!$A:$A,"&gt;="&amp;DATE(2026,5,8),'DRAFT 2'!$A:$A,"&lt;="&amp;DATE(2026,5,14))</f>
        <v/>
      </c>
      <c r="ER194">
        <f>COUNTIFS('DRAFT 2'!$D:$D,$B194,'DRAFT 2'!$A:$A,"&gt;="&amp;DATE(2026,5,15),'DRAFT 2'!$A:$A,"&lt;="&amp;DATE(2026,5,21))</f>
        <v/>
      </c>
      <c r="ES194">
        <f>COUNTIFS('DRAFT 2'!$D:$D,$B194,'DRAFT 2'!$A:$A,"&gt;="&amp;DATE(2026,5,22),'DRAFT 2'!$A:$A,"&lt;"&amp;DATE(2026,IF(5=12,5+1,5+1),1))</f>
        <v/>
      </c>
      <c r="ET194">
        <f>SUM(EP194:ES194)</f>
        <v/>
      </c>
      <c r="FD194">
        <f>IFERROR(LOOKUP(2,1/('DRAFT 2'!$D:$D=$B194)*('DRAFT 2'!$A:$A&gt;=DATE(2026,6,1))*('DRAFT 2'!$A:$A&lt;DATE(2026,IF(6=12,6+1,6+1),1)),'DRAFT 2'!$A:$A),"")</f>
        <v/>
      </c>
      <c r="FE194">
        <f>COUNTIFS('DRAFT 2'!$D:$D,$B194,'DRAFT 2'!$A:$A,"&gt;="&amp;DATE(2026,6,1),'DRAFT 2'!$A:$A,"&lt;="&amp;DATE(2026,6,7))</f>
        <v/>
      </c>
      <c r="FF194">
        <f>COUNTIFS('DRAFT 2'!$D:$D,$B194,'DRAFT 2'!$A:$A,"&gt;="&amp;DATE(2026,6,8),'DRAFT 2'!$A:$A,"&lt;="&amp;DATE(2026,6,14))</f>
        <v/>
      </c>
      <c r="FG194">
        <f>COUNTIFS('DRAFT 2'!$D:$D,$B194,'DRAFT 2'!$A:$A,"&gt;="&amp;DATE(2026,6,15),'DRAFT 2'!$A:$A,"&lt;="&amp;DATE(2026,6,21))</f>
        <v/>
      </c>
      <c r="FH194">
        <f>COUNTIFS('DRAFT 2'!$D:$D,$B194,'DRAFT 2'!$A:$A,"&gt;="&amp;DATE(2026,6,22),'DRAFT 2'!$A:$A,"&lt;"&amp;DATE(2026,IF(6=12,6+1,6+1),1))</f>
        <v/>
      </c>
      <c r="FI194">
        <f>SUM(FE194:FH194)</f>
        <v/>
      </c>
      <c r="FT194">
        <f>IFERROR(LOOKUP(2,1/('DRAFT 2'!$D:$D=$B194)*('DRAFT 2'!$A:$A&gt;=DATE(2026,7,1))*('DRAFT 2'!$A:$A&lt;DATE(2026,IF(7=12,7+1,7+1),1)),'DRAFT 2'!$A:$A),"")</f>
        <v/>
      </c>
      <c r="FU194">
        <f>COUNTIFS('DRAFT 2'!$D:$D,$B194,'DRAFT 2'!$A:$A,"&gt;="&amp;DATE(2026,7,1),'DRAFT 2'!$A:$A,"&lt;="&amp;DATE(2026,7,7))</f>
        <v/>
      </c>
      <c r="FV194">
        <f>COUNTIFS('DRAFT 2'!$D:$D,$B194,'DRAFT 2'!$A:$A,"&gt;="&amp;DATE(2026,7,8),'DRAFT 2'!$A:$A,"&lt;="&amp;DATE(2026,7,14))</f>
        <v/>
      </c>
      <c r="FW194">
        <f>COUNTIFS('DRAFT 2'!$D:$D,$B194,'DRAFT 2'!$A:$A,"&gt;="&amp;DATE(2026,7,15),'DRAFT 2'!$A:$A,"&lt;="&amp;DATE(2026,7,21))</f>
        <v/>
      </c>
      <c r="FX194">
        <f>COUNTIFS('DRAFT 2'!$D:$D,$B194,'DRAFT 2'!$A:$A,"&gt;="&amp;DATE(2026,7,22),'DRAFT 2'!$A:$A,"&lt;"&amp;DATE(2026,IF(7=12,7+1,7+1),1))</f>
        <v/>
      </c>
      <c r="FY194">
        <f>SUM(FU194:FX194)</f>
        <v/>
      </c>
      <c r="GI194">
        <f>IFERROR(LOOKUP(2,1/('DRAFT 2'!$D:$D=$B194)*('DRAFT 2'!$A:$A&gt;=DATE(2026,8,1))*('DRAFT 2'!$A:$A&lt;DATE(2026,IF(8=12,8+1,8+1),1)),'DRAFT 2'!$A:$A),"")</f>
        <v/>
      </c>
      <c r="GJ194">
        <f>COUNTIFS('DRAFT 2'!$D:$D,$B194,'DRAFT 2'!$A:$A,"&gt;="&amp;DATE(2026,8,1),'DRAFT 2'!$A:$A,"&lt;="&amp;DATE(2026,8,7))</f>
        <v/>
      </c>
      <c r="GK194">
        <f>COUNTIFS('DRAFT 2'!$D:$D,$B194,'DRAFT 2'!$A:$A,"&gt;="&amp;DATE(2026,8,8),'DRAFT 2'!$A:$A,"&lt;="&amp;DATE(2026,8,14))</f>
        <v/>
      </c>
      <c r="GL194">
        <f>COUNTIFS('DRAFT 2'!$D:$D,$B194,'DRAFT 2'!$A:$A,"&gt;="&amp;DATE(2026,8,15),'DRAFT 2'!$A:$A,"&lt;="&amp;DATE(2026,8,21))</f>
        <v/>
      </c>
      <c r="GM194">
        <f>COUNTIFS('DRAFT 2'!$D:$D,$B194,'DRAFT 2'!$A:$A,"&gt;="&amp;DATE(2026,8,22),'DRAFT 2'!$A:$A,"&lt;"&amp;DATE(2026,IF(8=12,8+1,8+1),1))</f>
        <v/>
      </c>
      <c r="GN194">
        <f>SUM(GJ194:GM194)</f>
        <v/>
      </c>
      <c r="GX194">
        <f>IFERROR(LOOKUP(2,1/('DRAFT 2'!$D:$D=$B194)*('DRAFT 2'!$A:$A&gt;=DATE(2026,9,1))*('DRAFT 2'!$A:$A&lt;DATE(2026,IF(9=12,9+1,9+1),1)),'DRAFT 2'!$A:$A),"")</f>
        <v/>
      </c>
      <c r="GY194">
        <f>COUNTIFS('DRAFT 2'!$D:$D,$B194,'DRAFT 2'!$A:$A,"&gt;="&amp;DATE(2026,9,1),'DRAFT 2'!$A:$A,"&lt;="&amp;DATE(2026,9,7))</f>
        <v/>
      </c>
      <c r="GZ194">
        <f>COUNTIFS('DRAFT 2'!$D:$D,$B194,'DRAFT 2'!$A:$A,"&gt;="&amp;DATE(2026,9,8),'DRAFT 2'!$A:$A,"&lt;="&amp;DATE(2026,9,14))</f>
        <v/>
      </c>
      <c r="HA194">
        <f>COUNTIFS('DRAFT 2'!$D:$D,$B194,'DRAFT 2'!$A:$A,"&gt;="&amp;DATE(2026,9,15),'DRAFT 2'!$A:$A,"&lt;="&amp;DATE(2026,9,21))</f>
        <v/>
      </c>
      <c r="HB194">
        <f>COUNTIFS('DRAFT 2'!$D:$D,$B194,'DRAFT 2'!$A:$A,"&gt;="&amp;DATE(2026,9,22),'DRAFT 2'!$A:$A,"&lt;"&amp;DATE(2026,IF(9=12,9+1,9+1),1))</f>
        <v/>
      </c>
      <c r="HC194">
        <f>SUM(GY194:HB194)</f>
        <v/>
      </c>
      <c r="HN194">
        <f>IFERROR(LOOKUP(2,1/('DRAFT 2'!$D:$D=$B194)*('DRAFT 2'!$A:$A&gt;=DATE(2026,10,1))*('DRAFT 2'!$A:$A&lt;DATE(2026,IF(10=12,10+1,10+1),1)),'DRAFT 2'!$A:$A),"")</f>
        <v/>
      </c>
      <c r="HO194">
        <f>COUNTIFS('DRAFT 2'!$D:$D,$B194,'DRAFT 2'!$A:$A,"&gt;="&amp;DATE(2026,10,1),'DRAFT 2'!$A:$A,"&lt;="&amp;DATE(2026,10,7))</f>
        <v/>
      </c>
      <c r="HP194">
        <f>COUNTIFS('DRAFT 2'!$D:$D,$B194,'DRAFT 2'!$A:$A,"&gt;="&amp;DATE(2026,10,8),'DRAFT 2'!$A:$A,"&lt;="&amp;DATE(2026,10,14))</f>
        <v/>
      </c>
      <c r="HQ194">
        <f>COUNTIFS('DRAFT 2'!$D:$D,$B194,'DRAFT 2'!$A:$A,"&gt;="&amp;DATE(2026,10,15),'DRAFT 2'!$A:$A,"&lt;="&amp;DATE(2026,10,21))</f>
        <v/>
      </c>
      <c r="HR194">
        <f>COUNTIFS('DRAFT 2'!$D:$D,$B194,'DRAFT 2'!$A:$A,"&gt;="&amp;DATE(2026,10,22),'DRAFT 2'!$A:$A,"&lt;"&amp;DATE(2026,IF(10=12,10+1,10+1),1))</f>
        <v/>
      </c>
      <c r="HS194">
        <f>SUM(HO194:HR194)</f>
        <v/>
      </c>
      <c r="IC194">
        <f>IFERROR(LOOKUP(2,1/('DRAFT 2'!$D:$D=$B194)*('DRAFT 2'!$A:$A&gt;=DATE(2026,11,1))*('DRAFT 2'!$A:$A&lt;DATE(2026,IF(11=12,11+1,11+1),1)),'DRAFT 2'!$A:$A),"")</f>
        <v/>
      </c>
      <c r="ID194">
        <f>COUNTIFS('DRAFT 2'!$D:$D,$B194,'DRAFT 2'!$A:$A,"&gt;="&amp;DATE(2026,11,1),'DRAFT 2'!$A:$A,"&lt;="&amp;DATE(2026,11,7))</f>
        <v/>
      </c>
      <c r="IE194">
        <f>COUNTIFS('DRAFT 2'!$D:$D,$B194,'DRAFT 2'!$A:$A,"&gt;="&amp;DATE(2026,11,8),'DRAFT 2'!$A:$A,"&lt;="&amp;DATE(2026,11,14))</f>
        <v/>
      </c>
      <c r="IF194">
        <f>COUNTIFS('DRAFT 2'!$D:$D,$B194,'DRAFT 2'!$A:$A,"&gt;="&amp;DATE(2026,11,15),'DRAFT 2'!$A:$A,"&lt;="&amp;DATE(2026,11,21))</f>
        <v/>
      </c>
      <c r="IG194">
        <f>COUNTIFS('DRAFT 2'!$D:$D,$B194,'DRAFT 2'!$A:$A,"&gt;="&amp;DATE(2026,11,22),'DRAFT 2'!$A:$A,"&lt;"&amp;DATE(2026,IF(11=12,11+1,11+1),1))</f>
        <v/>
      </c>
      <c r="IH194">
        <f>SUM(ID194:IG194)</f>
        <v/>
      </c>
      <c r="IR194">
        <f>IFERROR(LOOKUP(2,1/('DRAFT 2'!$D:$D=$B194)*('DRAFT 2'!$A:$A&gt;=DATE(2026,12,1))*('DRAFT 2'!$A:$A&lt;DATE(2026,IF(12=12,12+1,12+1),1)),'DRAFT 2'!$A:$A),"")</f>
        <v/>
      </c>
      <c r="IS194">
        <f>COUNTIFS('DRAFT 2'!$D:$D,$B194,'DRAFT 2'!$A:$A,"&gt;="&amp;DATE(2026,12,1),'DRAFT 2'!$A:$A,"&lt;="&amp;DATE(2026,12,7))</f>
        <v/>
      </c>
      <c r="IT194">
        <f>COUNTIFS('DRAFT 2'!$D:$D,$B194,'DRAFT 2'!$A:$A,"&gt;="&amp;DATE(2026,12,8),'DRAFT 2'!$A:$A,"&lt;="&amp;DATE(2026,12,14))</f>
        <v/>
      </c>
      <c r="IU194">
        <f>COUNTIFS('DRAFT 2'!$D:$D,$B194,'DRAFT 2'!$A:$A,"&gt;="&amp;DATE(2026,12,15),'DRAFT 2'!$A:$A,"&lt;="&amp;DATE(2026,12,21))</f>
        <v/>
      </c>
      <c r="IV194">
        <f>COUNTIFS('DRAFT 2'!$D:$D,$B194,'DRAFT 2'!$A:$A,"&gt;="&amp;DATE(2026,12,22),'DRAFT 2'!$A:$A,"&lt;"&amp;DATE(2026,IF(12=12,12+1,12+1),1))</f>
        <v/>
      </c>
      <c r="IW194">
        <f>SUM(IS194:IV194)</f>
        <v/>
      </c>
    </row>
    <row r="195">
      <c r="A195">
        <f>IFERROR(INDEX('DRAFT 1'!$A:$A,MATCH($B195,'DRAFT 1'!$B:$B,0)),"")</f>
        <v/>
      </c>
      <c r="C195">
        <f>IFERROR(INDEX('DRAFT 1'!$C:$C,MATCH($B195,'DRAFT 1'!$B:$B,0)),"")</f>
        <v/>
      </c>
      <c r="D195">
        <f>IFERROR(INDEX('DRAFT 1'!$D:$D,MATCH($B195,'DRAFT 1'!$B:$B,0)),"")</f>
        <v/>
      </c>
      <c r="E195">
        <f>IFERROR(INDEX('DRAFT 1'!$E:$E,MATCH($B195,'DRAFT 1'!$B:$B,0)),"")</f>
        <v/>
      </c>
      <c r="F195">
        <f>IFERROR(INDEX('DRAFT 1'!$F:$F,MATCH($B195,'DRAFT 1'!$B:$B,0)),"")</f>
        <v/>
      </c>
      <c r="G195">
        <f>IFERROR(INDEX('DRAFT 1'!$G:$G,MATCH($B195,'DRAFT 1'!$B:$B,0)),"")</f>
        <v/>
      </c>
      <c r="H195">
        <f>IFERROR(INDEX('DRAFT 1'!$H:$H,MATCH($B195,'DRAFT 1'!$B:$B,0)),"")</f>
        <v/>
      </c>
      <c r="I195">
        <f>IFERROR(INDEX('DRAFT 1'!$I:$I,MATCH($B195,'DRAFT 1'!$B:$B,0)),"")</f>
        <v/>
      </c>
      <c r="K195">
        <f>IFERROR(INDEX('DRAFT 1'!$AL:$AL,MATCH($B195,'DRAFT 1'!$B:$B,0)),"")</f>
        <v/>
      </c>
      <c r="L195">
        <f>IFERROR(INDEX('DRAFT 1'!$J:$J,MATCH($B195,'DRAFT 1'!$B:$B,0)),"")</f>
        <v/>
      </c>
      <c r="M195">
        <f>IFERROR(INDEX('DRAFT 1'!$K:$K,MATCH($B195,'DRAFT 1'!$B:$B,0)),"")</f>
        <v/>
      </c>
      <c r="P195">
        <f>IFERROR(INDEX('DRAFT 1'!$L:$L,MATCH($B195,'DRAFT 1'!$B:$B,0)),"")</f>
        <v/>
      </c>
      <c r="Q195">
        <f>IFERROR(INDEX('DRAFT 1'!$M:$M,MATCH($B195,'DRAFT 1'!$B:$B,0)),"")</f>
        <v/>
      </c>
      <c r="R195">
        <f>IFERROR(INDEX('DRAFT 1'!$N:$N,MATCH($B195,'DRAFT 1'!$B:$B,0)),"")</f>
        <v/>
      </c>
      <c r="S195">
        <f>IFERROR(INDEX('DRAFT 1'!$O:$O,MATCH($B195,'DRAFT 1'!$B:$B,0)),"")</f>
        <v/>
      </c>
      <c r="T195">
        <f>IFERROR(INDEX('DRAFT 1'!$P:$P,MATCH($B195,'DRAFT 1'!$B:$B,0)),"")</f>
        <v/>
      </c>
      <c r="U195">
        <f>IFERROR(INDEX('DRAFT 1'!$Q:$Q,MATCH($B195,'DRAFT 1'!$B:$B,0)),"")</f>
        <v/>
      </c>
      <c r="V195">
        <f>IFERROR(INDEX('DRAFT 1'!$R:$R,MATCH($B195,'DRAFT 1'!$B:$B,0)),"")</f>
        <v/>
      </c>
      <c r="W195">
        <f>IFERROR(INDEX('DRAFT 1'!$S:$S,MATCH($B195,'DRAFT 1'!$B:$B,0)),"")</f>
        <v/>
      </c>
      <c r="X195">
        <f>IFERROR(INDEX('DRAFT 1'!$T:$T,MATCH($B195,'DRAFT 1'!$B:$B,0)),"")</f>
        <v/>
      </c>
      <c r="Z195">
        <f>IFERROR(INDEX('DRAFT 1'!$U:$U,MATCH($B195,'DRAFT 1'!$B:$B,0)),"")</f>
        <v/>
      </c>
      <c r="AA195">
        <f>IFERROR(INDEX('DRAFT 1'!$V:$V,MATCH($B195,'DRAFT 1'!$B:$B,0)),"")</f>
        <v/>
      </c>
      <c r="AB195">
        <f>IFERROR(INDEX('DRAFT 1'!$W:$W,MATCH($B195,'DRAFT 1'!$B:$B,0)),"")</f>
        <v/>
      </c>
      <c r="AC195">
        <f>IFERROR(INDEX('DRAFT 1'!$X:$X,MATCH($B195,'DRAFT 1'!$B:$B,0)),"")</f>
        <v/>
      </c>
      <c r="AD195">
        <f>IFERROR(INDEX('DRAFT 1'!$Y:$Y,MATCH($B195,'DRAFT 1'!$B:$B,0)),"")</f>
        <v/>
      </c>
      <c r="AE195">
        <f>IFERROR(INDEX('DRAFT 1'!$Z:$Z,MATCH($B195,'DRAFT 1'!$B:$B,0)),"")</f>
        <v/>
      </c>
      <c r="AF195">
        <f>IFERROR(INDEX('DRAFT 1'!$AA:$AA,MATCH($B195,'DRAFT 1'!$B:$B,0)),"")</f>
        <v/>
      </c>
      <c r="AG195">
        <f>IFERROR(INDEX('DRAFT 1'!$AB:$AB,MATCH($B195,'DRAFT 1'!$B:$B,0)),"")</f>
        <v/>
      </c>
      <c r="AH195">
        <f>IFERROR(INDEX('DRAFT 1'!$AC:$AC,MATCH($B195,'DRAFT 1'!$B:$B,0)),"")</f>
        <v/>
      </c>
      <c r="AI195">
        <f>IFERROR(INDEX('DRAFT 1'!$AD:$AD,MATCH($B195,'DRAFT 1'!$B:$B,0)),"")</f>
        <v/>
      </c>
      <c r="AJ195">
        <f>IFERROR(INDEX('DRAFT 1'!$AE:$AE,MATCH($B195,'DRAFT 1'!$B:$B,0)),"")</f>
        <v/>
      </c>
      <c r="AK195">
        <f>IFERROR(INDEX('DRAFT 1'!$AG:$AG,MATCH($B195,'DRAFT 1'!$B:$B,0)),"")</f>
        <v/>
      </c>
      <c r="AL195">
        <f>IFERROR(INDEX('DRAFT 1'!$AH:$AH,MATCH($B195,'DRAFT 1'!$B:$B,0)),"")</f>
        <v/>
      </c>
      <c r="AM195">
        <f>IFERROR(INDEX('DRAFT 1'!$AI:$AI,MATCH($B195,'DRAFT 1'!$B:$B,0)),"")</f>
        <v/>
      </c>
      <c r="AN195">
        <f>IFERROR(INDEX('DRAFT 1'!$AJ:$AJ,MATCH($B195,'DRAFT 1'!$B:$B,0)),"")</f>
        <v/>
      </c>
      <c r="AO195">
        <f>IFERROR(Y195/AN195,0)</f>
        <v/>
      </c>
      <c r="AP195">
        <f>IFERROR(INDEX('DRAFT 1'!$AK:$AK,MATCH($B195,'DRAFT 1'!$B:$B,0)),"")</f>
        <v/>
      </c>
      <c r="AR195">
        <f>IFERROR(LOOKUP(2,1/('DRAFT 2'!$D:$D=$B195),'DRAFT 2'!$I:$I),"")</f>
        <v/>
      </c>
      <c r="AS195">
        <f>IFERROR(LOOKUP(2,1/('DRAFT 2'!$D:$D=$B195),'DRAFT 2'!$T:$T),"")</f>
        <v/>
      </c>
      <c r="AT195">
        <f>IFERROR(LOOKUP(2,1/('DRAFT 2'!$D:$D=$B195),'DRAFT 2'!$A:$A),"")</f>
        <v/>
      </c>
      <c r="AU195">
        <f>IFERROR(LOOKUP(2,1/('DRAFT 2'!$D:$D=$B195),'DRAFT 2'!$R:$R),"")</f>
        <v/>
      </c>
      <c r="AV195">
        <f>IFERROR(LOOKUP(2,1/('DRAFT 2'!$D:$D=$B195),'DRAFT 2'!$S:$S),"")</f>
        <v/>
      </c>
      <c r="AX195">
        <f>IFERROR(LOOKUP(2,1/('DRAFT 2'!$D:$D=$B195),'DRAFT 2'!$M:$M),"")</f>
        <v/>
      </c>
      <c r="AY195">
        <f>IFERROR(LOOKUP(2,1/('DRAFT 2'!$D:$D=$B195),'DRAFT 2'!$K:$K),"")</f>
        <v/>
      </c>
      <c r="BG195">
        <f>IFERROR(LOOKUP(2,1/('DRAFT 2'!$D:$D=$B195),'DRAFT 2'!$U:$U),"")</f>
        <v/>
      </c>
      <c r="BH195">
        <f>IFERROR(LOOKUP(2,1/('DRAFT 2'!$D:$D=$B195),'DRAFT 2'!$V:$V),"")</f>
        <v/>
      </c>
      <c r="CE195">
        <f>IFERROR(AJ195,0)</f>
        <v/>
      </c>
      <c r="CF195">
        <f>IFERROR(LOOKUP(2,1/('DRAFT 2'!$D:$D=$B195)*('DRAFT 2'!$A:$A&gt;=DATE(2026,1,1))*('DRAFT 2'!$A:$A&lt;DATE(2026,IF(1=12,1+1,1+1),1)),'DRAFT 2'!$A:$A),"")</f>
        <v/>
      </c>
      <c r="CG195">
        <f>COUNTIFS('DRAFT 2'!$D:$D,$B195,'DRAFT 2'!$A:$A,"&gt;="&amp;DATE(2026,1,1),'DRAFT 2'!$A:$A,"&lt;="&amp;DATE(2026,1,7))</f>
        <v/>
      </c>
      <c r="CH195">
        <f>COUNTIFS('DRAFT 2'!$D:$D,$B195,'DRAFT 2'!$A:$A,"&gt;="&amp;DATE(2026,1,8),'DRAFT 2'!$A:$A,"&lt;="&amp;DATE(2026,1,14))</f>
        <v/>
      </c>
      <c r="CI195">
        <f>COUNTIFS('DRAFT 2'!$D:$D,$B195,'DRAFT 2'!$A:$A,"&gt;="&amp;DATE(2026,1,15),'DRAFT 2'!$A:$A,"&lt;="&amp;DATE(2026,1,21))</f>
        <v/>
      </c>
      <c r="CJ195">
        <f>COUNTIFS('DRAFT 2'!$D:$D,$B195,'DRAFT 2'!$A:$A,"&gt;="&amp;DATE(2026,1,22),'DRAFT 2'!$A:$A,"&lt;"&amp;DATE(2026,IF(1=12,1+1,1+1),1))</f>
        <v/>
      </c>
      <c r="CK195">
        <f>SUM(CG195:CJ195)</f>
        <v/>
      </c>
      <c r="CT195" t="n">
        <v>0</v>
      </c>
      <c r="CU195">
        <f>IFERROR(LOOKUP(2,1/('DRAFT 2'!$D:$D=$B195)*('DRAFT 2'!$A:$A&gt;=DATE(2026,2,1))*('DRAFT 2'!$A:$A&lt;DATE(2026,IF(2=12,2+1,2+1),1)),'DRAFT 2'!$A:$A),"")</f>
        <v/>
      </c>
      <c r="CV195">
        <f>COUNTIFS('DRAFT 2'!$D:$D,$B195,'DRAFT 2'!$A:$A,"&gt;="&amp;DATE(2026,2,1),'DRAFT 2'!$A:$A,"&lt;="&amp;DATE(2026,2,7))</f>
        <v/>
      </c>
      <c r="CW195">
        <f>COUNTIFS('DRAFT 2'!$D:$D,$B195,'DRAFT 2'!$A:$A,"&gt;="&amp;DATE(2026,2,8),'DRAFT 2'!$A:$A,"&lt;="&amp;DATE(2026,2,14))</f>
        <v/>
      </c>
      <c r="CX195">
        <f>COUNTIFS('DRAFT 2'!$D:$D,$B195,'DRAFT 2'!$A:$A,"&gt;="&amp;DATE(2026,2,15),'DRAFT 2'!$A:$A,"&lt;="&amp;DATE(2026,2,21))</f>
        <v/>
      </c>
      <c r="CY195">
        <f>COUNTIFS('DRAFT 2'!$D:$D,$B195,'DRAFT 2'!$A:$A,"&gt;="&amp;DATE(2026,2,22),'DRAFT 2'!$A:$A,"&lt;"&amp;DATE(2026,IF(2=12,2+1,2+1),1))</f>
        <v/>
      </c>
      <c r="CZ195">
        <f>SUM(CV195:CY195)</f>
        <v/>
      </c>
      <c r="DJ195">
        <f>IFERROR(LOOKUP(2,1/('DRAFT 2'!$D:$D=$B195)*('DRAFT 2'!$A:$A&gt;=DATE(2026,3,1))*('DRAFT 2'!$A:$A&lt;DATE(2026,IF(3=12,3+1,3+1),1)),'DRAFT 2'!$A:$A),"")</f>
        <v/>
      </c>
      <c r="DK195">
        <f>COUNTIFS('DRAFT 2'!$D:$D,$B195,'DRAFT 2'!$A:$A,"&gt;="&amp;DATE(2026,3,1),'DRAFT 2'!$A:$A,"&lt;="&amp;DATE(2026,3,7))</f>
        <v/>
      </c>
      <c r="DL195">
        <f>COUNTIFS('DRAFT 2'!$D:$D,$B195,'DRAFT 2'!$A:$A,"&gt;="&amp;DATE(2026,3,8),'DRAFT 2'!$A:$A,"&lt;="&amp;DATE(2026,3,14))</f>
        <v/>
      </c>
      <c r="DM195">
        <f>COUNTIFS('DRAFT 2'!$D:$D,$B195,'DRAFT 2'!$A:$A,"&gt;="&amp;DATE(2026,3,15),'DRAFT 2'!$A:$A,"&lt;="&amp;DATE(2026,3,21))</f>
        <v/>
      </c>
      <c r="DN195">
        <f>COUNTIFS('DRAFT 2'!$D:$D,$B195,'DRAFT 2'!$A:$A,"&gt;="&amp;DATE(2026,3,22),'DRAFT 2'!$A:$A,"&lt;"&amp;DATE(2026,IF(3=12,3+1,3+1),1))</f>
        <v/>
      </c>
      <c r="DO195">
        <f>SUM(DK195:DN195)</f>
        <v/>
      </c>
      <c r="DZ195">
        <f>IFERROR(LOOKUP(2,1/('DRAFT 2'!$D:$D=$B195)*('DRAFT 2'!$A:$A&gt;=DATE(2026,4,1))*('DRAFT 2'!$A:$A&lt;DATE(2026,IF(4=12,4+1,4+1),1)),'DRAFT 2'!$A:$A),"")</f>
        <v/>
      </c>
      <c r="EA195">
        <f>COUNTIFS('DRAFT 2'!$D:$D,$B195,'DRAFT 2'!$A:$A,"&gt;="&amp;DATE(2026,4,1),'DRAFT 2'!$A:$A,"&lt;="&amp;DATE(2026,4,7))</f>
        <v/>
      </c>
      <c r="EB195">
        <f>COUNTIFS('DRAFT 2'!$D:$D,$B195,'DRAFT 2'!$A:$A,"&gt;="&amp;DATE(2026,4,8),'DRAFT 2'!$A:$A,"&lt;="&amp;DATE(2026,4,14))</f>
        <v/>
      </c>
      <c r="EC195">
        <f>COUNTIFS('DRAFT 2'!$D:$D,$B195,'DRAFT 2'!$A:$A,"&gt;="&amp;DATE(2026,4,15),'DRAFT 2'!$A:$A,"&lt;="&amp;DATE(2026,4,21))</f>
        <v/>
      </c>
      <c r="ED195">
        <f>COUNTIFS('DRAFT 2'!$D:$D,$B195,'DRAFT 2'!$A:$A,"&gt;="&amp;DATE(2026,4,22),'DRAFT 2'!$A:$A,"&lt;"&amp;DATE(2026,IF(4=12,4+1,4+1),1))</f>
        <v/>
      </c>
      <c r="EE195">
        <f>SUM(EA195:ED195)</f>
        <v/>
      </c>
      <c r="EO195">
        <f>IFERROR(LOOKUP(2,1/('DRAFT 2'!$D:$D=$B195)*('DRAFT 2'!$A:$A&gt;=DATE(2026,5,1))*('DRAFT 2'!$A:$A&lt;DATE(2026,IF(5=12,5+1,5+1),1)),'DRAFT 2'!$A:$A),"")</f>
        <v/>
      </c>
      <c r="EP195">
        <f>COUNTIFS('DRAFT 2'!$D:$D,$B195,'DRAFT 2'!$A:$A,"&gt;="&amp;DATE(2026,5,1),'DRAFT 2'!$A:$A,"&lt;="&amp;DATE(2026,5,7))</f>
        <v/>
      </c>
      <c r="EQ195">
        <f>COUNTIFS('DRAFT 2'!$D:$D,$B195,'DRAFT 2'!$A:$A,"&gt;="&amp;DATE(2026,5,8),'DRAFT 2'!$A:$A,"&lt;="&amp;DATE(2026,5,14))</f>
        <v/>
      </c>
      <c r="ER195">
        <f>COUNTIFS('DRAFT 2'!$D:$D,$B195,'DRAFT 2'!$A:$A,"&gt;="&amp;DATE(2026,5,15),'DRAFT 2'!$A:$A,"&lt;="&amp;DATE(2026,5,21))</f>
        <v/>
      </c>
      <c r="ES195">
        <f>COUNTIFS('DRAFT 2'!$D:$D,$B195,'DRAFT 2'!$A:$A,"&gt;="&amp;DATE(2026,5,22),'DRAFT 2'!$A:$A,"&lt;"&amp;DATE(2026,IF(5=12,5+1,5+1),1))</f>
        <v/>
      </c>
      <c r="ET195">
        <f>SUM(EP195:ES195)</f>
        <v/>
      </c>
      <c r="FD195">
        <f>IFERROR(LOOKUP(2,1/('DRAFT 2'!$D:$D=$B195)*('DRAFT 2'!$A:$A&gt;=DATE(2026,6,1))*('DRAFT 2'!$A:$A&lt;DATE(2026,IF(6=12,6+1,6+1),1)),'DRAFT 2'!$A:$A),"")</f>
        <v/>
      </c>
      <c r="FE195">
        <f>COUNTIFS('DRAFT 2'!$D:$D,$B195,'DRAFT 2'!$A:$A,"&gt;="&amp;DATE(2026,6,1),'DRAFT 2'!$A:$A,"&lt;="&amp;DATE(2026,6,7))</f>
        <v/>
      </c>
      <c r="FF195">
        <f>COUNTIFS('DRAFT 2'!$D:$D,$B195,'DRAFT 2'!$A:$A,"&gt;="&amp;DATE(2026,6,8),'DRAFT 2'!$A:$A,"&lt;="&amp;DATE(2026,6,14))</f>
        <v/>
      </c>
      <c r="FG195">
        <f>COUNTIFS('DRAFT 2'!$D:$D,$B195,'DRAFT 2'!$A:$A,"&gt;="&amp;DATE(2026,6,15),'DRAFT 2'!$A:$A,"&lt;="&amp;DATE(2026,6,21))</f>
        <v/>
      </c>
      <c r="FH195">
        <f>COUNTIFS('DRAFT 2'!$D:$D,$B195,'DRAFT 2'!$A:$A,"&gt;="&amp;DATE(2026,6,22),'DRAFT 2'!$A:$A,"&lt;"&amp;DATE(2026,IF(6=12,6+1,6+1),1))</f>
        <v/>
      </c>
      <c r="FI195">
        <f>SUM(FE195:FH195)</f>
        <v/>
      </c>
      <c r="FT195">
        <f>IFERROR(LOOKUP(2,1/('DRAFT 2'!$D:$D=$B195)*('DRAFT 2'!$A:$A&gt;=DATE(2026,7,1))*('DRAFT 2'!$A:$A&lt;DATE(2026,IF(7=12,7+1,7+1),1)),'DRAFT 2'!$A:$A),"")</f>
        <v/>
      </c>
      <c r="FU195">
        <f>COUNTIFS('DRAFT 2'!$D:$D,$B195,'DRAFT 2'!$A:$A,"&gt;="&amp;DATE(2026,7,1),'DRAFT 2'!$A:$A,"&lt;="&amp;DATE(2026,7,7))</f>
        <v/>
      </c>
      <c r="FV195">
        <f>COUNTIFS('DRAFT 2'!$D:$D,$B195,'DRAFT 2'!$A:$A,"&gt;="&amp;DATE(2026,7,8),'DRAFT 2'!$A:$A,"&lt;="&amp;DATE(2026,7,14))</f>
        <v/>
      </c>
      <c r="FW195">
        <f>COUNTIFS('DRAFT 2'!$D:$D,$B195,'DRAFT 2'!$A:$A,"&gt;="&amp;DATE(2026,7,15),'DRAFT 2'!$A:$A,"&lt;="&amp;DATE(2026,7,21))</f>
        <v/>
      </c>
      <c r="FX195">
        <f>COUNTIFS('DRAFT 2'!$D:$D,$B195,'DRAFT 2'!$A:$A,"&gt;="&amp;DATE(2026,7,22),'DRAFT 2'!$A:$A,"&lt;"&amp;DATE(2026,IF(7=12,7+1,7+1),1))</f>
        <v/>
      </c>
      <c r="FY195">
        <f>SUM(FU195:FX195)</f>
        <v/>
      </c>
      <c r="GI195">
        <f>IFERROR(LOOKUP(2,1/('DRAFT 2'!$D:$D=$B195)*('DRAFT 2'!$A:$A&gt;=DATE(2026,8,1))*('DRAFT 2'!$A:$A&lt;DATE(2026,IF(8=12,8+1,8+1),1)),'DRAFT 2'!$A:$A),"")</f>
        <v/>
      </c>
      <c r="GJ195">
        <f>COUNTIFS('DRAFT 2'!$D:$D,$B195,'DRAFT 2'!$A:$A,"&gt;="&amp;DATE(2026,8,1),'DRAFT 2'!$A:$A,"&lt;="&amp;DATE(2026,8,7))</f>
        <v/>
      </c>
      <c r="GK195">
        <f>COUNTIFS('DRAFT 2'!$D:$D,$B195,'DRAFT 2'!$A:$A,"&gt;="&amp;DATE(2026,8,8),'DRAFT 2'!$A:$A,"&lt;="&amp;DATE(2026,8,14))</f>
        <v/>
      </c>
      <c r="GL195">
        <f>COUNTIFS('DRAFT 2'!$D:$D,$B195,'DRAFT 2'!$A:$A,"&gt;="&amp;DATE(2026,8,15),'DRAFT 2'!$A:$A,"&lt;="&amp;DATE(2026,8,21))</f>
        <v/>
      </c>
      <c r="GM195">
        <f>COUNTIFS('DRAFT 2'!$D:$D,$B195,'DRAFT 2'!$A:$A,"&gt;="&amp;DATE(2026,8,22),'DRAFT 2'!$A:$A,"&lt;"&amp;DATE(2026,IF(8=12,8+1,8+1),1))</f>
        <v/>
      </c>
      <c r="GN195">
        <f>SUM(GJ195:GM195)</f>
        <v/>
      </c>
      <c r="GX195">
        <f>IFERROR(LOOKUP(2,1/('DRAFT 2'!$D:$D=$B195)*('DRAFT 2'!$A:$A&gt;=DATE(2026,9,1))*('DRAFT 2'!$A:$A&lt;DATE(2026,IF(9=12,9+1,9+1),1)),'DRAFT 2'!$A:$A),"")</f>
        <v/>
      </c>
      <c r="GY195">
        <f>COUNTIFS('DRAFT 2'!$D:$D,$B195,'DRAFT 2'!$A:$A,"&gt;="&amp;DATE(2026,9,1),'DRAFT 2'!$A:$A,"&lt;="&amp;DATE(2026,9,7))</f>
        <v/>
      </c>
      <c r="GZ195">
        <f>COUNTIFS('DRAFT 2'!$D:$D,$B195,'DRAFT 2'!$A:$A,"&gt;="&amp;DATE(2026,9,8),'DRAFT 2'!$A:$A,"&lt;="&amp;DATE(2026,9,14))</f>
        <v/>
      </c>
      <c r="HA195">
        <f>COUNTIFS('DRAFT 2'!$D:$D,$B195,'DRAFT 2'!$A:$A,"&gt;="&amp;DATE(2026,9,15),'DRAFT 2'!$A:$A,"&lt;="&amp;DATE(2026,9,21))</f>
        <v/>
      </c>
      <c r="HB195">
        <f>COUNTIFS('DRAFT 2'!$D:$D,$B195,'DRAFT 2'!$A:$A,"&gt;="&amp;DATE(2026,9,22),'DRAFT 2'!$A:$A,"&lt;"&amp;DATE(2026,IF(9=12,9+1,9+1),1))</f>
        <v/>
      </c>
      <c r="HC195">
        <f>SUM(GY195:HB195)</f>
        <v/>
      </c>
      <c r="HN195">
        <f>IFERROR(LOOKUP(2,1/('DRAFT 2'!$D:$D=$B195)*('DRAFT 2'!$A:$A&gt;=DATE(2026,10,1))*('DRAFT 2'!$A:$A&lt;DATE(2026,IF(10=12,10+1,10+1),1)),'DRAFT 2'!$A:$A),"")</f>
        <v/>
      </c>
      <c r="HO195">
        <f>COUNTIFS('DRAFT 2'!$D:$D,$B195,'DRAFT 2'!$A:$A,"&gt;="&amp;DATE(2026,10,1),'DRAFT 2'!$A:$A,"&lt;="&amp;DATE(2026,10,7))</f>
        <v/>
      </c>
      <c r="HP195">
        <f>COUNTIFS('DRAFT 2'!$D:$D,$B195,'DRAFT 2'!$A:$A,"&gt;="&amp;DATE(2026,10,8),'DRAFT 2'!$A:$A,"&lt;="&amp;DATE(2026,10,14))</f>
        <v/>
      </c>
      <c r="HQ195">
        <f>COUNTIFS('DRAFT 2'!$D:$D,$B195,'DRAFT 2'!$A:$A,"&gt;="&amp;DATE(2026,10,15),'DRAFT 2'!$A:$A,"&lt;="&amp;DATE(2026,10,21))</f>
        <v/>
      </c>
      <c r="HR195">
        <f>COUNTIFS('DRAFT 2'!$D:$D,$B195,'DRAFT 2'!$A:$A,"&gt;="&amp;DATE(2026,10,22),'DRAFT 2'!$A:$A,"&lt;"&amp;DATE(2026,IF(10=12,10+1,10+1),1))</f>
        <v/>
      </c>
      <c r="HS195">
        <f>SUM(HO195:HR195)</f>
        <v/>
      </c>
      <c r="IC195">
        <f>IFERROR(LOOKUP(2,1/('DRAFT 2'!$D:$D=$B195)*('DRAFT 2'!$A:$A&gt;=DATE(2026,11,1))*('DRAFT 2'!$A:$A&lt;DATE(2026,IF(11=12,11+1,11+1),1)),'DRAFT 2'!$A:$A),"")</f>
        <v/>
      </c>
      <c r="ID195">
        <f>COUNTIFS('DRAFT 2'!$D:$D,$B195,'DRAFT 2'!$A:$A,"&gt;="&amp;DATE(2026,11,1),'DRAFT 2'!$A:$A,"&lt;="&amp;DATE(2026,11,7))</f>
        <v/>
      </c>
      <c r="IE195">
        <f>COUNTIFS('DRAFT 2'!$D:$D,$B195,'DRAFT 2'!$A:$A,"&gt;="&amp;DATE(2026,11,8),'DRAFT 2'!$A:$A,"&lt;="&amp;DATE(2026,11,14))</f>
        <v/>
      </c>
      <c r="IF195">
        <f>COUNTIFS('DRAFT 2'!$D:$D,$B195,'DRAFT 2'!$A:$A,"&gt;="&amp;DATE(2026,11,15),'DRAFT 2'!$A:$A,"&lt;="&amp;DATE(2026,11,21))</f>
        <v/>
      </c>
      <c r="IG195">
        <f>COUNTIFS('DRAFT 2'!$D:$D,$B195,'DRAFT 2'!$A:$A,"&gt;="&amp;DATE(2026,11,22),'DRAFT 2'!$A:$A,"&lt;"&amp;DATE(2026,IF(11=12,11+1,11+1),1))</f>
        <v/>
      </c>
      <c r="IH195">
        <f>SUM(ID195:IG195)</f>
        <v/>
      </c>
      <c r="IR195">
        <f>IFERROR(LOOKUP(2,1/('DRAFT 2'!$D:$D=$B195)*('DRAFT 2'!$A:$A&gt;=DATE(2026,12,1))*('DRAFT 2'!$A:$A&lt;DATE(2026,IF(12=12,12+1,12+1),1)),'DRAFT 2'!$A:$A),"")</f>
        <v/>
      </c>
      <c r="IS195">
        <f>COUNTIFS('DRAFT 2'!$D:$D,$B195,'DRAFT 2'!$A:$A,"&gt;="&amp;DATE(2026,12,1),'DRAFT 2'!$A:$A,"&lt;="&amp;DATE(2026,12,7))</f>
        <v/>
      </c>
      <c r="IT195">
        <f>COUNTIFS('DRAFT 2'!$D:$D,$B195,'DRAFT 2'!$A:$A,"&gt;="&amp;DATE(2026,12,8),'DRAFT 2'!$A:$A,"&lt;="&amp;DATE(2026,12,14))</f>
        <v/>
      </c>
      <c r="IU195">
        <f>COUNTIFS('DRAFT 2'!$D:$D,$B195,'DRAFT 2'!$A:$A,"&gt;="&amp;DATE(2026,12,15),'DRAFT 2'!$A:$A,"&lt;="&amp;DATE(2026,12,21))</f>
        <v/>
      </c>
      <c r="IV195">
        <f>COUNTIFS('DRAFT 2'!$D:$D,$B195,'DRAFT 2'!$A:$A,"&gt;="&amp;DATE(2026,12,22),'DRAFT 2'!$A:$A,"&lt;"&amp;DATE(2026,IF(12=12,12+1,12+1),1))</f>
        <v/>
      </c>
      <c r="IW195">
        <f>SUM(IS195:IV195)</f>
        <v/>
      </c>
    </row>
    <row r="196">
      <c r="A196">
        <f>IFERROR(INDEX('DRAFT 1'!$A:$A,MATCH($B196,'DRAFT 1'!$B:$B,0)),"")</f>
        <v/>
      </c>
      <c r="C196">
        <f>IFERROR(INDEX('DRAFT 1'!$C:$C,MATCH($B196,'DRAFT 1'!$B:$B,0)),"")</f>
        <v/>
      </c>
      <c r="D196">
        <f>IFERROR(INDEX('DRAFT 1'!$D:$D,MATCH($B196,'DRAFT 1'!$B:$B,0)),"")</f>
        <v/>
      </c>
      <c r="E196">
        <f>IFERROR(INDEX('DRAFT 1'!$E:$E,MATCH($B196,'DRAFT 1'!$B:$B,0)),"")</f>
        <v/>
      </c>
      <c r="F196">
        <f>IFERROR(INDEX('DRAFT 1'!$F:$F,MATCH($B196,'DRAFT 1'!$B:$B,0)),"")</f>
        <v/>
      </c>
      <c r="G196">
        <f>IFERROR(INDEX('DRAFT 1'!$G:$G,MATCH($B196,'DRAFT 1'!$B:$B,0)),"")</f>
        <v/>
      </c>
      <c r="H196">
        <f>IFERROR(INDEX('DRAFT 1'!$H:$H,MATCH($B196,'DRAFT 1'!$B:$B,0)),"")</f>
        <v/>
      </c>
      <c r="I196">
        <f>IFERROR(INDEX('DRAFT 1'!$I:$I,MATCH($B196,'DRAFT 1'!$B:$B,0)),"")</f>
        <v/>
      </c>
      <c r="K196">
        <f>IFERROR(INDEX('DRAFT 1'!$AL:$AL,MATCH($B196,'DRAFT 1'!$B:$B,0)),"")</f>
        <v/>
      </c>
      <c r="L196">
        <f>IFERROR(INDEX('DRAFT 1'!$J:$J,MATCH($B196,'DRAFT 1'!$B:$B,0)),"")</f>
        <v/>
      </c>
      <c r="M196">
        <f>IFERROR(INDEX('DRAFT 1'!$K:$K,MATCH($B196,'DRAFT 1'!$B:$B,0)),"")</f>
        <v/>
      </c>
      <c r="P196">
        <f>IFERROR(INDEX('DRAFT 1'!$L:$L,MATCH($B196,'DRAFT 1'!$B:$B,0)),"")</f>
        <v/>
      </c>
      <c r="Q196">
        <f>IFERROR(INDEX('DRAFT 1'!$M:$M,MATCH($B196,'DRAFT 1'!$B:$B,0)),"")</f>
        <v/>
      </c>
      <c r="R196">
        <f>IFERROR(INDEX('DRAFT 1'!$N:$N,MATCH($B196,'DRAFT 1'!$B:$B,0)),"")</f>
        <v/>
      </c>
      <c r="S196">
        <f>IFERROR(INDEX('DRAFT 1'!$O:$O,MATCH($B196,'DRAFT 1'!$B:$B,0)),"")</f>
        <v/>
      </c>
      <c r="T196">
        <f>IFERROR(INDEX('DRAFT 1'!$P:$P,MATCH($B196,'DRAFT 1'!$B:$B,0)),"")</f>
        <v/>
      </c>
      <c r="U196">
        <f>IFERROR(INDEX('DRAFT 1'!$Q:$Q,MATCH($B196,'DRAFT 1'!$B:$B,0)),"")</f>
        <v/>
      </c>
      <c r="V196">
        <f>IFERROR(INDEX('DRAFT 1'!$R:$R,MATCH($B196,'DRAFT 1'!$B:$B,0)),"")</f>
        <v/>
      </c>
      <c r="W196">
        <f>IFERROR(INDEX('DRAFT 1'!$S:$S,MATCH($B196,'DRAFT 1'!$B:$B,0)),"")</f>
        <v/>
      </c>
      <c r="X196">
        <f>IFERROR(INDEX('DRAFT 1'!$T:$T,MATCH($B196,'DRAFT 1'!$B:$B,0)),"")</f>
        <v/>
      </c>
      <c r="Z196">
        <f>IFERROR(INDEX('DRAFT 1'!$U:$U,MATCH($B196,'DRAFT 1'!$B:$B,0)),"")</f>
        <v/>
      </c>
      <c r="AA196">
        <f>IFERROR(INDEX('DRAFT 1'!$V:$V,MATCH($B196,'DRAFT 1'!$B:$B,0)),"")</f>
        <v/>
      </c>
      <c r="AB196">
        <f>IFERROR(INDEX('DRAFT 1'!$W:$W,MATCH($B196,'DRAFT 1'!$B:$B,0)),"")</f>
        <v/>
      </c>
      <c r="AC196">
        <f>IFERROR(INDEX('DRAFT 1'!$X:$X,MATCH($B196,'DRAFT 1'!$B:$B,0)),"")</f>
        <v/>
      </c>
      <c r="AD196">
        <f>IFERROR(INDEX('DRAFT 1'!$Y:$Y,MATCH($B196,'DRAFT 1'!$B:$B,0)),"")</f>
        <v/>
      </c>
      <c r="AE196">
        <f>IFERROR(INDEX('DRAFT 1'!$Z:$Z,MATCH($B196,'DRAFT 1'!$B:$B,0)),"")</f>
        <v/>
      </c>
      <c r="AF196">
        <f>IFERROR(INDEX('DRAFT 1'!$AA:$AA,MATCH($B196,'DRAFT 1'!$B:$B,0)),"")</f>
        <v/>
      </c>
      <c r="AG196">
        <f>IFERROR(INDEX('DRAFT 1'!$AB:$AB,MATCH($B196,'DRAFT 1'!$B:$B,0)),"")</f>
        <v/>
      </c>
      <c r="AH196">
        <f>IFERROR(INDEX('DRAFT 1'!$AC:$AC,MATCH($B196,'DRAFT 1'!$B:$B,0)),"")</f>
        <v/>
      </c>
      <c r="AI196">
        <f>IFERROR(INDEX('DRAFT 1'!$AD:$AD,MATCH($B196,'DRAFT 1'!$B:$B,0)),"")</f>
        <v/>
      </c>
      <c r="AJ196">
        <f>IFERROR(INDEX('DRAFT 1'!$AE:$AE,MATCH($B196,'DRAFT 1'!$B:$B,0)),"")</f>
        <v/>
      </c>
      <c r="AK196">
        <f>IFERROR(INDEX('DRAFT 1'!$AG:$AG,MATCH($B196,'DRAFT 1'!$B:$B,0)),"")</f>
        <v/>
      </c>
      <c r="AL196">
        <f>IFERROR(INDEX('DRAFT 1'!$AH:$AH,MATCH($B196,'DRAFT 1'!$B:$B,0)),"")</f>
        <v/>
      </c>
      <c r="AM196">
        <f>IFERROR(INDEX('DRAFT 1'!$AI:$AI,MATCH($B196,'DRAFT 1'!$B:$B,0)),"")</f>
        <v/>
      </c>
      <c r="AN196">
        <f>IFERROR(INDEX('DRAFT 1'!$AJ:$AJ,MATCH($B196,'DRAFT 1'!$B:$B,0)),"")</f>
        <v/>
      </c>
      <c r="AO196">
        <f>IFERROR(Y196/AN196,0)</f>
        <v/>
      </c>
      <c r="AP196">
        <f>IFERROR(INDEX('DRAFT 1'!$AK:$AK,MATCH($B196,'DRAFT 1'!$B:$B,0)),"")</f>
        <v/>
      </c>
      <c r="AR196">
        <f>IFERROR(LOOKUP(2,1/('DRAFT 2'!$D:$D=$B196),'DRAFT 2'!$I:$I),"")</f>
        <v/>
      </c>
      <c r="AS196">
        <f>IFERROR(LOOKUP(2,1/('DRAFT 2'!$D:$D=$B196),'DRAFT 2'!$T:$T),"")</f>
        <v/>
      </c>
      <c r="AT196">
        <f>IFERROR(LOOKUP(2,1/('DRAFT 2'!$D:$D=$B196),'DRAFT 2'!$A:$A),"")</f>
        <v/>
      </c>
      <c r="AU196">
        <f>IFERROR(LOOKUP(2,1/('DRAFT 2'!$D:$D=$B196),'DRAFT 2'!$R:$R),"")</f>
        <v/>
      </c>
      <c r="AV196">
        <f>IFERROR(LOOKUP(2,1/('DRAFT 2'!$D:$D=$B196),'DRAFT 2'!$S:$S),"")</f>
        <v/>
      </c>
      <c r="AX196">
        <f>IFERROR(LOOKUP(2,1/('DRAFT 2'!$D:$D=$B196),'DRAFT 2'!$M:$M),"")</f>
        <v/>
      </c>
      <c r="AY196">
        <f>IFERROR(LOOKUP(2,1/('DRAFT 2'!$D:$D=$B196),'DRAFT 2'!$K:$K),"")</f>
        <v/>
      </c>
      <c r="BG196">
        <f>IFERROR(LOOKUP(2,1/('DRAFT 2'!$D:$D=$B196),'DRAFT 2'!$U:$U),"")</f>
        <v/>
      </c>
      <c r="BH196">
        <f>IFERROR(LOOKUP(2,1/('DRAFT 2'!$D:$D=$B196),'DRAFT 2'!$V:$V),"")</f>
        <v/>
      </c>
      <c r="CE196">
        <f>IFERROR(AJ196,0)</f>
        <v/>
      </c>
      <c r="CF196">
        <f>IFERROR(LOOKUP(2,1/('DRAFT 2'!$D:$D=$B196)*('DRAFT 2'!$A:$A&gt;=DATE(2026,1,1))*('DRAFT 2'!$A:$A&lt;DATE(2026,IF(1=12,1+1,1+1),1)),'DRAFT 2'!$A:$A),"")</f>
        <v/>
      </c>
      <c r="CG196">
        <f>COUNTIFS('DRAFT 2'!$D:$D,$B196,'DRAFT 2'!$A:$A,"&gt;="&amp;DATE(2026,1,1),'DRAFT 2'!$A:$A,"&lt;="&amp;DATE(2026,1,7))</f>
        <v/>
      </c>
      <c r="CH196">
        <f>COUNTIFS('DRAFT 2'!$D:$D,$B196,'DRAFT 2'!$A:$A,"&gt;="&amp;DATE(2026,1,8),'DRAFT 2'!$A:$A,"&lt;="&amp;DATE(2026,1,14))</f>
        <v/>
      </c>
      <c r="CI196">
        <f>COUNTIFS('DRAFT 2'!$D:$D,$B196,'DRAFT 2'!$A:$A,"&gt;="&amp;DATE(2026,1,15),'DRAFT 2'!$A:$A,"&lt;="&amp;DATE(2026,1,21))</f>
        <v/>
      </c>
      <c r="CJ196">
        <f>COUNTIFS('DRAFT 2'!$D:$D,$B196,'DRAFT 2'!$A:$A,"&gt;="&amp;DATE(2026,1,22),'DRAFT 2'!$A:$A,"&lt;"&amp;DATE(2026,IF(1=12,1+1,1+1),1))</f>
        <v/>
      </c>
      <c r="CK196">
        <f>SUM(CG196:CJ196)</f>
        <v/>
      </c>
      <c r="CT196" t="n">
        <v>0</v>
      </c>
      <c r="CU196">
        <f>IFERROR(LOOKUP(2,1/('DRAFT 2'!$D:$D=$B196)*('DRAFT 2'!$A:$A&gt;=DATE(2026,2,1))*('DRAFT 2'!$A:$A&lt;DATE(2026,IF(2=12,2+1,2+1),1)),'DRAFT 2'!$A:$A),"")</f>
        <v/>
      </c>
      <c r="CV196">
        <f>COUNTIFS('DRAFT 2'!$D:$D,$B196,'DRAFT 2'!$A:$A,"&gt;="&amp;DATE(2026,2,1),'DRAFT 2'!$A:$A,"&lt;="&amp;DATE(2026,2,7))</f>
        <v/>
      </c>
      <c r="CW196">
        <f>COUNTIFS('DRAFT 2'!$D:$D,$B196,'DRAFT 2'!$A:$A,"&gt;="&amp;DATE(2026,2,8),'DRAFT 2'!$A:$A,"&lt;="&amp;DATE(2026,2,14))</f>
        <v/>
      </c>
      <c r="CX196">
        <f>COUNTIFS('DRAFT 2'!$D:$D,$B196,'DRAFT 2'!$A:$A,"&gt;="&amp;DATE(2026,2,15),'DRAFT 2'!$A:$A,"&lt;="&amp;DATE(2026,2,21))</f>
        <v/>
      </c>
      <c r="CY196">
        <f>COUNTIFS('DRAFT 2'!$D:$D,$B196,'DRAFT 2'!$A:$A,"&gt;="&amp;DATE(2026,2,22),'DRAFT 2'!$A:$A,"&lt;"&amp;DATE(2026,IF(2=12,2+1,2+1),1))</f>
        <v/>
      </c>
      <c r="CZ196">
        <f>SUM(CV196:CY196)</f>
        <v/>
      </c>
      <c r="DJ196">
        <f>IFERROR(LOOKUP(2,1/('DRAFT 2'!$D:$D=$B196)*('DRAFT 2'!$A:$A&gt;=DATE(2026,3,1))*('DRAFT 2'!$A:$A&lt;DATE(2026,IF(3=12,3+1,3+1),1)),'DRAFT 2'!$A:$A),"")</f>
        <v/>
      </c>
      <c r="DK196">
        <f>COUNTIFS('DRAFT 2'!$D:$D,$B196,'DRAFT 2'!$A:$A,"&gt;="&amp;DATE(2026,3,1),'DRAFT 2'!$A:$A,"&lt;="&amp;DATE(2026,3,7))</f>
        <v/>
      </c>
      <c r="DL196">
        <f>COUNTIFS('DRAFT 2'!$D:$D,$B196,'DRAFT 2'!$A:$A,"&gt;="&amp;DATE(2026,3,8),'DRAFT 2'!$A:$A,"&lt;="&amp;DATE(2026,3,14))</f>
        <v/>
      </c>
      <c r="DM196">
        <f>COUNTIFS('DRAFT 2'!$D:$D,$B196,'DRAFT 2'!$A:$A,"&gt;="&amp;DATE(2026,3,15),'DRAFT 2'!$A:$A,"&lt;="&amp;DATE(2026,3,21))</f>
        <v/>
      </c>
      <c r="DN196">
        <f>COUNTIFS('DRAFT 2'!$D:$D,$B196,'DRAFT 2'!$A:$A,"&gt;="&amp;DATE(2026,3,22),'DRAFT 2'!$A:$A,"&lt;"&amp;DATE(2026,IF(3=12,3+1,3+1),1))</f>
        <v/>
      </c>
      <c r="DO196">
        <f>SUM(DK196:DN196)</f>
        <v/>
      </c>
      <c r="DZ196">
        <f>IFERROR(LOOKUP(2,1/('DRAFT 2'!$D:$D=$B196)*('DRAFT 2'!$A:$A&gt;=DATE(2026,4,1))*('DRAFT 2'!$A:$A&lt;DATE(2026,IF(4=12,4+1,4+1),1)),'DRAFT 2'!$A:$A),"")</f>
        <v/>
      </c>
      <c r="EA196">
        <f>COUNTIFS('DRAFT 2'!$D:$D,$B196,'DRAFT 2'!$A:$A,"&gt;="&amp;DATE(2026,4,1),'DRAFT 2'!$A:$A,"&lt;="&amp;DATE(2026,4,7))</f>
        <v/>
      </c>
      <c r="EB196">
        <f>COUNTIFS('DRAFT 2'!$D:$D,$B196,'DRAFT 2'!$A:$A,"&gt;="&amp;DATE(2026,4,8),'DRAFT 2'!$A:$A,"&lt;="&amp;DATE(2026,4,14))</f>
        <v/>
      </c>
      <c r="EC196">
        <f>COUNTIFS('DRAFT 2'!$D:$D,$B196,'DRAFT 2'!$A:$A,"&gt;="&amp;DATE(2026,4,15),'DRAFT 2'!$A:$A,"&lt;="&amp;DATE(2026,4,21))</f>
        <v/>
      </c>
      <c r="ED196">
        <f>COUNTIFS('DRAFT 2'!$D:$D,$B196,'DRAFT 2'!$A:$A,"&gt;="&amp;DATE(2026,4,22),'DRAFT 2'!$A:$A,"&lt;"&amp;DATE(2026,IF(4=12,4+1,4+1),1))</f>
        <v/>
      </c>
      <c r="EE196">
        <f>SUM(EA196:ED196)</f>
        <v/>
      </c>
      <c r="EO196">
        <f>IFERROR(LOOKUP(2,1/('DRAFT 2'!$D:$D=$B196)*('DRAFT 2'!$A:$A&gt;=DATE(2026,5,1))*('DRAFT 2'!$A:$A&lt;DATE(2026,IF(5=12,5+1,5+1),1)),'DRAFT 2'!$A:$A),"")</f>
        <v/>
      </c>
      <c r="EP196">
        <f>COUNTIFS('DRAFT 2'!$D:$D,$B196,'DRAFT 2'!$A:$A,"&gt;="&amp;DATE(2026,5,1),'DRAFT 2'!$A:$A,"&lt;="&amp;DATE(2026,5,7))</f>
        <v/>
      </c>
      <c r="EQ196">
        <f>COUNTIFS('DRAFT 2'!$D:$D,$B196,'DRAFT 2'!$A:$A,"&gt;="&amp;DATE(2026,5,8),'DRAFT 2'!$A:$A,"&lt;="&amp;DATE(2026,5,14))</f>
        <v/>
      </c>
      <c r="ER196">
        <f>COUNTIFS('DRAFT 2'!$D:$D,$B196,'DRAFT 2'!$A:$A,"&gt;="&amp;DATE(2026,5,15),'DRAFT 2'!$A:$A,"&lt;="&amp;DATE(2026,5,21))</f>
        <v/>
      </c>
      <c r="ES196">
        <f>COUNTIFS('DRAFT 2'!$D:$D,$B196,'DRAFT 2'!$A:$A,"&gt;="&amp;DATE(2026,5,22),'DRAFT 2'!$A:$A,"&lt;"&amp;DATE(2026,IF(5=12,5+1,5+1),1))</f>
        <v/>
      </c>
      <c r="ET196">
        <f>SUM(EP196:ES196)</f>
        <v/>
      </c>
      <c r="FD196">
        <f>IFERROR(LOOKUP(2,1/('DRAFT 2'!$D:$D=$B196)*('DRAFT 2'!$A:$A&gt;=DATE(2026,6,1))*('DRAFT 2'!$A:$A&lt;DATE(2026,IF(6=12,6+1,6+1),1)),'DRAFT 2'!$A:$A),"")</f>
        <v/>
      </c>
      <c r="FE196">
        <f>COUNTIFS('DRAFT 2'!$D:$D,$B196,'DRAFT 2'!$A:$A,"&gt;="&amp;DATE(2026,6,1),'DRAFT 2'!$A:$A,"&lt;="&amp;DATE(2026,6,7))</f>
        <v/>
      </c>
      <c r="FF196">
        <f>COUNTIFS('DRAFT 2'!$D:$D,$B196,'DRAFT 2'!$A:$A,"&gt;="&amp;DATE(2026,6,8),'DRAFT 2'!$A:$A,"&lt;="&amp;DATE(2026,6,14))</f>
        <v/>
      </c>
      <c r="FG196">
        <f>COUNTIFS('DRAFT 2'!$D:$D,$B196,'DRAFT 2'!$A:$A,"&gt;="&amp;DATE(2026,6,15),'DRAFT 2'!$A:$A,"&lt;="&amp;DATE(2026,6,21))</f>
        <v/>
      </c>
      <c r="FH196">
        <f>COUNTIFS('DRAFT 2'!$D:$D,$B196,'DRAFT 2'!$A:$A,"&gt;="&amp;DATE(2026,6,22),'DRAFT 2'!$A:$A,"&lt;"&amp;DATE(2026,IF(6=12,6+1,6+1),1))</f>
        <v/>
      </c>
      <c r="FI196">
        <f>SUM(FE196:FH196)</f>
        <v/>
      </c>
      <c r="FT196">
        <f>IFERROR(LOOKUP(2,1/('DRAFT 2'!$D:$D=$B196)*('DRAFT 2'!$A:$A&gt;=DATE(2026,7,1))*('DRAFT 2'!$A:$A&lt;DATE(2026,IF(7=12,7+1,7+1),1)),'DRAFT 2'!$A:$A),"")</f>
        <v/>
      </c>
      <c r="FU196">
        <f>COUNTIFS('DRAFT 2'!$D:$D,$B196,'DRAFT 2'!$A:$A,"&gt;="&amp;DATE(2026,7,1),'DRAFT 2'!$A:$A,"&lt;="&amp;DATE(2026,7,7))</f>
        <v/>
      </c>
      <c r="FV196">
        <f>COUNTIFS('DRAFT 2'!$D:$D,$B196,'DRAFT 2'!$A:$A,"&gt;="&amp;DATE(2026,7,8),'DRAFT 2'!$A:$A,"&lt;="&amp;DATE(2026,7,14))</f>
        <v/>
      </c>
      <c r="FW196">
        <f>COUNTIFS('DRAFT 2'!$D:$D,$B196,'DRAFT 2'!$A:$A,"&gt;="&amp;DATE(2026,7,15),'DRAFT 2'!$A:$A,"&lt;="&amp;DATE(2026,7,21))</f>
        <v/>
      </c>
      <c r="FX196">
        <f>COUNTIFS('DRAFT 2'!$D:$D,$B196,'DRAFT 2'!$A:$A,"&gt;="&amp;DATE(2026,7,22),'DRAFT 2'!$A:$A,"&lt;"&amp;DATE(2026,IF(7=12,7+1,7+1),1))</f>
        <v/>
      </c>
      <c r="FY196">
        <f>SUM(FU196:FX196)</f>
        <v/>
      </c>
      <c r="GI196">
        <f>IFERROR(LOOKUP(2,1/('DRAFT 2'!$D:$D=$B196)*('DRAFT 2'!$A:$A&gt;=DATE(2026,8,1))*('DRAFT 2'!$A:$A&lt;DATE(2026,IF(8=12,8+1,8+1),1)),'DRAFT 2'!$A:$A),"")</f>
        <v/>
      </c>
      <c r="GJ196">
        <f>COUNTIFS('DRAFT 2'!$D:$D,$B196,'DRAFT 2'!$A:$A,"&gt;="&amp;DATE(2026,8,1),'DRAFT 2'!$A:$A,"&lt;="&amp;DATE(2026,8,7))</f>
        <v/>
      </c>
      <c r="GK196">
        <f>COUNTIFS('DRAFT 2'!$D:$D,$B196,'DRAFT 2'!$A:$A,"&gt;="&amp;DATE(2026,8,8),'DRAFT 2'!$A:$A,"&lt;="&amp;DATE(2026,8,14))</f>
        <v/>
      </c>
      <c r="GL196">
        <f>COUNTIFS('DRAFT 2'!$D:$D,$B196,'DRAFT 2'!$A:$A,"&gt;="&amp;DATE(2026,8,15),'DRAFT 2'!$A:$A,"&lt;="&amp;DATE(2026,8,21))</f>
        <v/>
      </c>
      <c r="GM196">
        <f>COUNTIFS('DRAFT 2'!$D:$D,$B196,'DRAFT 2'!$A:$A,"&gt;="&amp;DATE(2026,8,22),'DRAFT 2'!$A:$A,"&lt;"&amp;DATE(2026,IF(8=12,8+1,8+1),1))</f>
        <v/>
      </c>
      <c r="GN196">
        <f>SUM(GJ196:GM196)</f>
        <v/>
      </c>
      <c r="GX196">
        <f>IFERROR(LOOKUP(2,1/('DRAFT 2'!$D:$D=$B196)*('DRAFT 2'!$A:$A&gt;=DATE(2026,9,1))*('DRAFT 2'!$A:$A&lt;DATE(2026,IF(9=12,9+1,9+1),1)),'DRAFT 2'!$A:$A),"")</f>
        <v/>
      </c>
      <c r="GY196">
        <f>COUNTIFS('DRAFT 2'!$D:$D,$B196,'DRAFT 2'!$A:$A,"&gt;="&amp;DATE(2026,9,1),'DRAFT 2'!$A:$A,"&lt;="&amp;DATE(2026,9,7))</f>
        <v/>
      </c>
      <c r="GZ196">
        <f>COUNTIFS('DRAFT 2'!$D:$D,$B196,'DRAFT 2'!$A:$A,"&gt;="&amp;DATE(2026,9,8),'DRAFT 2'!$A:$A,"&lt;="&amp;DATE(2026,9,14))</f>
        <v/>
      </c>
      <c r="HA196">
        <f>COUNTIFS('DRAFT 2'!$D:$D,$B196,'DRAFT 2'!$A:$A,"&gt;="&amp;DATE(2026,9,15),'DRAFT 2'!$A:$A,"&lt;="&amp;DATE(2026,9,21))</f>
        <v/>
      </c>
      <c r="HB196">
        <f>COUNTIFS('DRAFT 2'!$D:$D,$B196,'DRAFT 2'!$A:$A,"&gt;="&amp;DATE(2026,9,22),'DRAFT 2'!$A:$A,"&lt;"&amp;DATE(2026,IF(9=12,9+1,9+1),1))</f>
        <v/>
      </c>
      <c r="HC196">
        <f>SUM(GY196:HB196)</f>
        <v/>
      </c>
      <c r="HN196">
        <f>IFERROR(LOOKUP(2,1/('DRAFT 2'!$D:$D=$B196)*('DRAFT 2'!$A:$A&gt;=DATE(2026,10,1))*('DRAFT 2'!$A:$A&lt;DATE(2026,IF(10=12,10+1,10+1),1)),'DRAFT 2'!$A:$A),"")</f>
        <v/>
      </c>
      <c r="HO196">
        <f>COUNTIFS('DRAFT 2'!$D:$D,$B196,'DRAFT 2'!$A:$A,"&gt;="&amp;DATE(2026,10,1),'DRAFT 2'!$A:$A,"&lt;="&amp;DATE(2026,10,7))</f>
        <v/>
      </c>
      <c r="HP196">
        <f>COUNTIFS('DRAFT 2'!$D:$D,$B196,'DRAFT 2'!$A:$A,"&gt;="&amp;DATE(2026,10,8),'DRAFT 2'!$A:$A,"&lt;="&amp;DATE(2026,10,14))</f>
        <v/>
      </c>
      <c r="HQ196">
        <f>COUNTIFS('DRAFT 2'!$D:$D,$B196,'DRAFT 2'!$A:$A,"&gt;="&amp;DATE(2026,10,15),'DRAFT 2'!$A:$A,"&lt;="&amp;DATE(2026,10,21))</f>
        <v/>
      </c>
      <c r="HR196">
        <f>COUNTIFS('DRAFT 2'!$D:$D,$B196,'DRAFT 2'!$A:$A,"&gt;="&amp;DATE(2026,10,22),'DRAFT 2'!$A:$A,"&lt;"&amp;DATE(2026,IF(10=12,10+1,10+1),1))</f>
        <v/>
      </c>
      <c r="HS196">
        <f>SUM(HO196:HR196)</f>
        <v/>
      </c>
      <c r="IC196">
        <f>IFERROR(LOOKUP(2,1/('DRAFT 2'!$D:$D=$B196)*('DRAFT 2'!$A:$A&gt;=DATE(2026,11,1))*('DRAFT 2'!$A:$A&lt;DATE(2026,IF(11=12,11+1,11+1),1)),'DRAFT 2'!$A:$A),"")</f>
        <v/>
      </c>
      <c r="ID196">
        <f>COUNTIFS('DRAFT 2'!$D:$D,$B196,'DRAFT 2'!$A:$A,"&gt;="&amp;DATE(2026,11,1),'DRAFT 2'!$A:$A,"&lt;="&amp;DATE(2026,11,7))</f>
        <v/>
      </c>
      <c r="IE196">
        <f>COUNTIFS('DRAFT 2'!$D:$D,$B196,'DRAFT 2'!$A:$A,"&gt;="&amp;DATE(2026,11,8),'DRAFT 2'!$A:$A,"&lt;="&amp;DATE(2026,11,14))</f>
        <v/>
      </c>
      <c r="IF196">
        <f>COUNTIFS('DRAFT 2'!$D:$D,$B196,'DRAFT 2'!$A:$A,"&gt;="&amp;DATE(2026,11,15),'DRAFT 2'!$A:$A,"&lt;="&amp;DATE(2026,11,21))</f>
        <v/>
      </c>
      <c r="IG196">
        <f>COUNTIFS('DRAFT 2'!$D:$D,$B196,'DRAFT 2'!$A:$A,"&gt;="&amp;DATE(2026,11,22),'DRAFT 2'!$A:$A,"&lt;"&amp;DATE(2026,IF(11=12,11+1,11+1),1))</f>
        <v/>
      </c>
      <c r="IH196">
        <f>SUM(ID196:IG196)</f>
        <v/>
      </c>
      <c r="IR196">
        <f>IFERROR(LOOKUP(2,1/('DRAFT 2'!$D:$D=$B196)*('DRAFT 2'!$A:$A&gt;=DATE(2026,12,1))*('DRAFT 2'!$A:$A&lt;DATE(2026,IF(12=12,12+1,12+1),1)),'DRAFT 2'!$A:$A),"")</f>
        <v/>
      </c>
      <c r="IS196">
        <f>COUNTIFS('DRAFT 2'!$D:$D,$B196,'DRAFT 2'!$A:$A,"&gt;="&amp;DATE(2026,12,1),'DRAFT 2'!$A:$A,"&lt;="&amp;DATE(2026,12,7))</f>
        <v/>
      </c>
      <c r="IT196">
        <f>COUNTIFS('DRAFT 2'!$D:$D,$B196,'DRAFT 2'!$A:$A,"&gt;="&amp;DATE(2026,12,8),'DRAFT 2'!$A:$A,"&lt;="&amp;DATE(2026,12,14))</f>
        <v/>
      </c>
      <c r="IU196">
        <f>COUNTIFS('DRAFT 2'!$D:$D,$B196,'DRAFT 2'!$A:$A,"&gt;="&amp;DATE(2026,12,15),'DRAFT 2'!$A:$A,"&lt;="&amp;DATE(2026,12,21))</f>
        <v/>
      </c>
      <c r="IV196">
        <f>COUNTIFS('DRAFT 2'!$D:$D,$B196,'DRAFT 2'!$A:$A,"&gt;="&amp;DATE(2026,12,22),'DRAFT 2'!$A:$A,"&lt;"&amp;DATE(2026,IF(12=12,12+1,12+1),1))</f>
        <v/>
      </c>
      <c r="IW196">
        <f>SUM(IS196:IV196)</f>
        <v/>
      </c>
    </row>
    <row r="197">
      <c r="A197">
        <f>IFERROR(INDEX('DRAFT 1'!$A:$A,MATCH($B197,'DRAFT 1'!$B:$B,0)),"")</f>
        <v/>
      </c>
      <c r="C197">
        <f>IFERROR(INDEX('DRAFT 1'!$C:$C,MATCH($B197,'DRAFT 1'!$B:$B,0)),"")</f>
        <v/>
      </c>
      <c r="D197">
        <f>IFERROR(INDEX('DRAFT 1'!$D:$D,MATCH($B197,'DRAFT 1'!$B:$B,0)),"")</f>
        <v/>
      </c>
      <c r="E197">
        <f>IFERROR(INDEX('DRAFT 1'!$E:$E,MATCH($B197,'DRAFT 1'!$B:$B,0)),"")</f>
        <v/>
      </c>
      <c r="F197">
        <f>IFERROR(INDEX('DRAFT 1'!$F:$F,MATCH($B197,'DRAFT 1'!$B:$B,0)),"")</f>
        <v/>
      </c>
      <c r="G197">
        <f>IFERROR(INDEX('DRAFT 1'!$G:$G,MATCH($B197,'DRAFT 1'!$B:$B,0)),"")</f>
        <v/>
      </c>
      <c r="H197">
        <f>IFERROR(INDEX('DRAFT 1'!$H:$H,MATCH($B197,'DRAFT 1'!$B:$B,0)),"")</f>
        <v/>
      </c>
      <c r="I197">
        <f>IFERROR(INDEX('DRAFT 1'!$I:$I,MATCH($B197,'DRAFT 1'!$B:$B,0)),"")</f>
        <v/>
      </c>
      <c r="K197">
        <f>IFERROR(INDEX('DRAFT 1'!$AL:$AL,MATCH($B197,'DRAFT 1'!$B:$B,0)),"")</f>
        <v/>
      </c>
      <c r="L197">
        <f>IFERROR(INDEX('DRAFT 1'!$J:$J,MATCH($B197,'DRAFT 1'!$B:$B,0)),"")</f>
        <v/>
      </c>
      <c r="M197">
        <f>IFERROR(INDEX('DRAFT 1'!$K:$K,MATCH($B197,'DRAFT 1'!$B:$B,0)),"")</f>
        <v/>
      </c>
      <c r="P197">
        <f>IFERROR(INDEX('DRAFT 1'!$L:$L,MATCH($B197,'DRAFT 1'!$B:$B,0)),"")</f>
        <v/>
      </c>
      <c r="Q197">
        <f>IFERROR(INDEX('DRAFT 1'!$M:$M,MATCH($B197,'DRAFT 1'!$B:$B,0)),"")</f>
        <v/>
      </c>
      <c r="R197">
        <f>IFERROR(INDEX('DRAFT 1'!$N:$N,MATCH($B197,'DRAFT 1'!$B:$B,0)),"")</f>
        <v/>
      </c>
      <c r="S197">
        <f>IFERROR(INDEX('DRAFT 1'!$O:$O,MATCH($B197,'DRAFT 1'!$B:$B,0)),"")</f>
        <v/>
      </c>
      <c r="T197">
        <f>IFERROR(INDEX('DRAFT 1'!$P:$P,MATCH($B197,'DRAFT 1'!$B:$B,0)),"")</f>
        <v/>
      </c>
      <c r="U197">
        <f>IFERROR(INDEX('DRAFT 1'!$Q:$Q,MATCH($B197,'DRAFT 1'!$B:$B,0)),"")</f>
        <v/>
      </c>
      <c r="V197">
        <f>IFERROR(INDEX('DRAFT 1'!$R:$R,MATCH($B197,'DRAFT 1'!$B:$B,0)),"")</f>
        <v/>
      </c>
      <c r="W197">
        <f>IFERROR(INDEX('DRAFT 1'!$S:$S,MATCH($B197,'DRAFT 1'!$B:$B,0)),"")</f>
        <v/>
      </c>
      <c r="X197">
        <f>IFERROR(INDEX('DRAFT 1'!$T:$T,MATCH($B197,'DRAFT 1'!$B:$B,0)),"")</f>
        <v/>
      </c>
      <c r="Z197">
        <f>IFERROR(INDEX('DRAFT 1'!$U:$U,MATCH($B197,'DRAFT 1'!$B:$B,0)),"")</f>
        <v/>
      </c>
      <c r="AA197">
        <f>IFERROR(INDEX('DRAFT 1'!$V:$V,MATCH($B197,'DRAFT 1'!$B:$B,0)),"")</f>
        <v/>
      </c>
      <c r="AB197">
        <f>IFERROR(INDEX('DRAFT 1'!$W:$W,MATCH($B197,'DRAFT 1'!$B:$B,0)),"")</f>
        <v/>
      </c>
      <c r="AC197">
        <f>IFERROR(INDEX('DRAFT 1'!$X:$X,MATCH($B197,'DRAFT 1'!$B:$B,0)),"")</f>
        <v/>
      </c>
      <c r="AD197">
        <f>IFERROR(INDEX('DRAFT 1'!$Y:$Y,MATCH($B197,'DRAFT 1'!$B:$B,0)),"")</f>
        <v/>
      </c>
      <c r="AE197">
        <f>IFERROR(INDEX('DRAFT 1'!$Z:$Z,MATCH($B197,'DRAFT 1'!$B:$B,0)),"")</f>
        <v/>
      </c>
      <c r="AF197">
        <f>IFERROR(INDEX('DRAFT 1'!$AA:$AA,MATCH($B197,'DRAFT 1'!$B:$B,0)),"")</f>
        <v/>
      </c>
      <c r="AG197">
        <f>IFERROR(INDEX('DRAFT 1'!$AB:$AB,MATCH($B197,'DRAFT 1'!$B:$B,0)),"")</f>
        <v/>
      </c>
      <c r="AH197">
        <f>IFERROR(INDEX('DRAFT 1'!$AC:$AC,MATCH($B197,'DRAFT 1'!$B:$B,0)),"")</f>
        <v/>
      </c>
      <c r="AI197">
        <f>IFERROR(INDEX('DRAFT 1'!$AD:$AD,MATCH($B197,'DRAFT 1'!$B:$B,0)),"")</f>
        <v/>
      </c>
      <c r="AJ197">
        <f>IFERROR(INDEX('DRAFT 1'!$AE:$AE,MATCH($B197,'DRAFT 1'!$B:$B,0)),"")</f>
        <v/>
      </c>
      <c r="AK197">
        <f>IFERROR(INDEX('DRAFT 1'!$AG:$AG,MATCH($B197,'DRAFT 1'!$B:$B,0)),"")</f>
        <v/>
      </c>
      <c r="AL197">
        <f>IFERROR(INDEX('DRAFT 1'!$AH:$AH,MATCH($B197,'DRAFT 1'!$B:$B,0)),"")</f>
        <v/>
      </c>
      <c r="AM197">
        <f>IFERROR(INDEX('DRAFT 1'!$AI:$AI,MATCH($B197,'DRAFT 1'!$B:$B,0)),"")</f>
        <v/>
      </c>
      <c r="AN197">
        <f>IFERROR(INDEX('DRAFT 1'!$AJ:$AJ,MATCH($B197,'DRAFT 1'!$B:$B,0)),"")</f>
        <v/>
      </c>
      <c r="AO197">
        <f>IFERROR(Y197/AN197,0)</f>
        <v/>
      </c>
      <c r="AP197">
        <f>IFERROR(INDEX('DRAFT 1'!$AK:$AK,MATCH($B197,'DRAFT 1'!$B:$B,0)),"")</f>
        <v/>
      </c>
      <c r="AR197">
        <f>IFERROR(LOOKUP(2,1/('DRAFT 2'!$D:$D=$B197),'DRAFT 2'!$I:$I),"")</f>
        <v/>
      </c>
      <c r="AS197">
        <f>IFERROR(LOOKUP(2,1/('DRAFT 2'!$D:$D=$B197),'DRAFT 2'!$T:$T),"")</f>
        <v/>
      </c>
      <c r="AT197">
        <f>IFERROR(LOOKUP(2,1/('DRAFT 2'!$D:$D=$B197),'DRAFT 2'!$A:$A),"")</f>
        <v/>
      </c>
      <c r="AU197">
        <f>IFERROR(LOOKUP(2,1/('DRAFT 2'!$D:$D=$B197),'DRAFT 2'!$R:$R),"")</f>
        <v/>
      </c>
      <c r="AV197">
        <f>IFERROR(LOOKUP(2,1/('DRAFT 2'!$D:$D=$B197),'DRAFT 2'!$S:$S),"")</f>
        <v/>
      </c>
      <c r="AX197">
        <f>IFERROR(LOOKUP(2,1/('DRAFT 2'!$D:$D=$B197),'DRAFT 2'!$M:$M),"")</f>
        <v/>
      </c>
      <c r="AY197">
        <f>IFERROR(LOOKUP(2,1/('DRAFT 2'!$D:$D=$B197),'DRAFT 2'!$K:$K),"")</f>
        <v/>
      </c>
      <c r="BG197">
        <f>IFERROR(LOOKUP(2,1/('DRAFT 2'!$D:$D=$B197),'DRAFT 2'!$U:$U),"")</f>
        <v/>
      </c>
      <c r="BH197">
        <f>IFERROR(LOOKUP(2,1/('DRAFT 2'!$D:$D=$B197),'DRAFT 2'!$V:$V),"")</f>
        <v/>
      </c>
      <c r="CE197">
        <f>IFERROR(AJ197,0)</f>
        <v/>
      </c>
      <c r="CF197">
        <f>IFERROR(LOOKUP(2,1/('DRAFT 2'!$D:$D=$B197)*('DRAFT 2'!$A:$A&gt;=DATE(2026,1,1))*('DRAFT 2'!$A:$A&lt;DATE(2026,IF(1=12,1+1,1+1),1)),'DRAFT 2'!$A:$A),"")</f>
        <v/>
      </c>
      <c r="CG197">
        <f>COUNTIFS('DRAFT 2'!$D:$D,$B197,'DRAFT 2'!$A:$A,"&gt;="&amp;DATE(2026,1,1),'DRAFT 2'!$A:$A,"&lt;="&amp;DATE(2026,1,7))</f>
        <v/>
      </c>
      <c r="CH197">
        <f>COUNTIFS('DRAFT 2'!$D:$D,$B197,'DRAFT 2'!$A:$A,"&gt;="&amp;DATE(2026,1,8),'DRAFT 2'!$A:$A,"&lt;="&amp;DATE(2026,1,14))</f>
        <v/>
      </c>
      <c r="CI197">
        <f>COUNTIFS('DRAFT 2'!$D:$D,$B197,'DRAFT 2'!$A:$A,"&gt;="&amp;DATE(2026,1,15),'DRAFT 2'!$A:$A,"&lt;="&amp;DATE(2026,1,21))</f>
        <v/>
      </c>
      <c r="CJ197">
        <f>COUNTIFS('DRAFT 2'!$D:$D,$B197,'DRAFT 2'!$A:$A,"&gt;="&amp;DATE(2026,1,22),'DRAFT 2'!$A:$A,"&lt;"&amp;DATE(2026,IF(1=12,1+1,1+1),1))</f>
        <v/>
      </c>
      <c r="CK197">
        <f>SUM(CG197:CJ197)</f>
        <v/>
      </c>
      <c r="CT197" t="n">
        <v>0</v>
      </c>
      <c r="CU197">
        <f>IFERROR(LOOKUP(2,1/('DRAFT 2'!$D:$D=$B197)*('DRAFT 2'!$A:$A&gt;=DATE(2026,2,1))*('DRAFT 2'!$A:$A&lt;DATE(2026,IF(2=12,2+1,2+1),1)),'DRAFT 2'!$A:$A),"")</f>
        <v/>
      </c>
      <c r="CV197">
        <f>COUNTIFS('DRAFT 2'!$D:$D,$B197,'DRAFT 2'!$A:$A,"&gt;="&amp;DATE(2026,2,1),'DRAFT 2'!$A:$A,"&lt;="&amp;DATE(2026,2,7))</f>
        <v/>
      </c>
      <c r="CW197">
        <f>COUNTIFS('DRAFT 2'!$D:$D,$B197,'DRAFT 2'!$A:$A,"&gt;="&amp;DATE(2026,2,8),'DRAFT 2'!$A:$A,"&lt;="&amp;DATE(2026,2,14))</f>
        <v/>
      </c>
      <c r="CX197">
        <f>COUNTIFS('DRAFT 2'!$D:$D,$B197,'DRAFT 2'!$A:$A,"&gt;="&amp;DATE(2026,2,15),'DRAFT 2'!$A:$A,"&lt;="&amp;DATE(2026,2,21))</f>
        <v/>
      </c>
      <c r="CY197">
        <f>COUNTIFS('DRAFT 2'!$D:$D,$B197,'DRAFT 2'!$A:$A,"&gt;="&amp;DATE(2026,2,22),'DRAFT 2'!$A:$A,"&lt;"&amp;DATE(2026,IF(2=12,2+1,2+1),1))</f>
        <v/>
      </c>
      <c r="CZ197">
        <f>SUM(CV197:CY197)</f>
        <v/>
      </c>
      <c r="DJ197">
        <f>IFERROR(LOOKUP(2,1/('DRAFT 2'!$D:$D=$B197)*('DRAFT 2'!$A:$A&gt;=DATE(2026,3,1))*('DRAFT 2'!$A:$A&lt;DATE(2026,IF(3=12,3+1,3+1),1)),'DRAFT 2'!$A:$A),"")</f>
        <v/>
      </c>
      <c r="DK197">
        <f>COUNTIFS('DRAFT 2'!$D:$D,$B197,'DRAFT 2'!$A:$A,"&gt;="&amp;DATE(2026,3,1),'DRAFT 2'!$A:$A,"&lt;="&amp;DATE(2026,3,7))</f>
        <v/>
      </c>
      <c r="DL197">
        <f>COUNTIFS('DRAFT 2'!$D:$D,$B197,'DRAFT 2'!$A:$A,"&gt;="&amp;DATE(2026,3,8),'DRAFT 2'!$A:$A,"&lt;="&amp;DATE(2026,3,14))</f>
        <v/>
      </c>
      <c r="DM197">
        <f>COUNTIFS('DRAFT 2'!$D:$D,$B197,'DRAFT 2'!$A:$A,"&gt;="&amp;DATE(2026,3,15),'DRAFT 2'!$A:$A,"&lt;="&amp;DATE(2026,3,21))</f>
        <v/>
      </c>
      <c r="DN197">
        <f>COUNTIFS('DRAFT 2'!$D:$D,$B197,'DRAFT 2'!$A:$A,"&gt;="&amp;DATE(2026,3,22),'DRAFT 2'!$A:$A,"&lt;"&amp;DATE(2026,IF(3=12,3+1,3+1),1))</f>
        <v/>
      </c>
      <c r="DO197">
        <f>SUM(DK197:DN197)</f>
        <v/>
      </c>
      <c r="DZ197">
        <f>IFERROR(LOOKUP(2,1/('DRAFT 2'!$D:$D=$B197)*('DRAFT 2'!$A:$A&gt;=DATE(2026,4,1))*('DRAFT 2'!$A:$A&lt;DATE(2026,IF(4=12,4+1,4+1),1)),'DRAFT 2'!$A:$A),"")</f>
        <v/>
      </c>
      <c r="EA197">
        <f>COUNTIFS('DRAFT 2'!$D:$D,$B197,'DRAFT 2'!$A:$A,"&gt;="&amp;DATE(2026,4,1),'DRAFT 2'!$A:$A,"&lt;="&amp;DATE(2026,4,7))</f>
        <v/>
      </c>
      <c r="EB197">
        <f>COUNTIFS('DRAFT 2'!$D:$D,$B197,'DRAFT 2'!$A:$A,"&gt;="&amp;DATE(2026,4,8),'DRAFT 2'!$A:$A,"&lt;="&amp;DATE(2026,4,14))</f>
        <v/>
      </c>
      <c r="EC197">
        <f>COUNTIFS('DRAFT 2'!$D:$D,$B197,'DRAFT 2'!$A:$A,"&gt;="&amp;DATE(2026,4,15),'DRAFT 2'!$A:$A,"&lt;="&amp;DATE(2026,4,21))</f>
        <v/>
      </c>
      <c r="ED197">
        <f>COUNTIFS('DRAFT 2'!$D:$D,$B197,'DRAFT 2'!$A:$A,"&gt;="&amp;DATE(2026,4,22),'DRAFT 2'!$A:$A,"&lt;"&amp;DATE(2026,IF(4=12,4+1,4+1),1))</f>
        <v/>
      </c>
      <c r="EE197">
        <f>SUM(EA197:ED197)</f>
        <v/>
      </c>
      <c r="EO197">
        <f>IFERROR(LOOKUP(2,1/('DRAFT 2'!$D:$D=$B197)*('DRAFT 2'!$A:$A&gt;=DATE(2026,5,1))*('DRAFT 2'!$A:$A&lt;DATE(2026,IF(5=12,5+1,5+1),1)),'DRAFT 2'!$A:$A),"")</f>
        <v/>
      </c>
      <c r="EP197">
        <f>COUNTIFS('DRAFT 2'!$D:$D,$B197,'DRAFT 2'!$A:$A,"&gt;="&amp;DATE(2026,5,1),'DRAFT 2'!$A:$A,"&lt;="&amp;DATE(2026,5,7))</f>
        <v/>
      </c>
      <c r="EQ197">
        <f>COUNTIFS('DRAFT 2'!$D:$D,$B197,'DRAFT 2'!$A:$A,"&gt;="&amp;DATE(2026,5,8),'DRAFT 2'!$A:$A,"&lt;="&amp;DATE(2026,5,14))</f>
        <v/>
      </c>
      <c r="ER197">
        <f>COUNTIFS('DRAFT 2'!$D:$D,$B197,'DRAFT 2'!$A:$A,"&gt;="&amp;DATE(2026,5,15),'DRAFT 2'!$A:$A,"&lt;="&amp;DATE(2026,5,21))</f>
        <v/>
      </c>
      <c r="ES197">
        <f>COUNTIFS('DRAFT 2'!$D:$D,$B197,'DRAFT 2'!$A:$A,"&gt;="&amp;DATE(2026,5,22),'DRAFT 2'!$A:$A,"&lt;"&amp;DATE(2026,IF(5=12,5+1,5+1),1))</f>
        <v/>
      </c>
      <c r="ET197">
        <f>SUM(EP197:ES197)</f>
        <v/>
      </c>
      <c r="FD197">
        <f>IFERROR(LOOKUP(2,1/('DRAFT 2'!$D:$D=$B197)*('DRAFT 2'!$A:$A&gt;=DATE(2026,6,1))*('DRAFT 2'!$A:$A&lt;DATE(2026,IF(6=12,6+1,6+1),1)),'DRAFT 2'!$A:$A),"")</f>
        <v/>
      </c>
      <c r="FE197">
        <f>COUNTIFS('DRAFT 2'!$D:$D,$B197,'DRAFT 2'!$A:$A,"&gt;="&amp;DATE(2026,6,1),'DRAFT 2'!$A:$A,"&lt;="&amp;DATE(2026,6,7))</f>
        <v/>
      </c>
      <c r="FF197">
        <f>COUNTIFS('DRAFT 2'!$D:$D,$B197,'DRAFT 2'!$A:$A,"&gt;="&amp;DATE(2026,6,8),'DRAFT 2'!$A:$A,"&lt;="&amp;DATE(2026,6,14))</f>
        <v/>
      </c>
      <c r="FG197">
        <f>COUNTIFS('DRAFT 2'!$D:$D,$B197,'DRAFT 2'!$A:$A,"&gt;="&amp;DATE(2026,6,15),'DRAFT 2'!$A:$A,"&lt;="&amp;DATE(2026,6,21))</f>
        <v/>
      </c>
      <c r="FH197">
        <f>COUNTIFS('DRAFT 2'!$D:$D,$B197,'DRAFT 2'!$A:$A,"&gt;="&amp;DATE(2026,6,22),'DRAFT 2'!$A:$A,"&lt;"&amp;DATE(2026,IF(6=12,6+1,6+1),1))</f>
        <v/>
      </c>
      <c r="FI197">
        <f>SUM(FE197:FH197)</f>
        <v/>
      </c>
      <c r="FT197">
        <f>IFERROR(LOOKUP(2,1/('DRAFT 2'!$D:$D=$B197)*('DRAFT 2'!$A:$A&gt;=DATE(2026,7,1))*('DRAFT 2'!$A:$A&lt;DATE(2026,IF(7=12,7+1,7+1),1)),'DRAFT 2'!$A:$A),"")</f>
        <v/>
      </c>
      <c r="FU197">
        <f>COUNTIFS('DRAFT 2'!$D:$D,$B197,'DRAFT 2'!$A:$A,"&gt;="&amp;DATE(2026,7,1),'DRAFT 2'!$A:$A,"&lt;="&amp;DATE(2026,7,7))</f>
        <v/>
      </c>
      <c r="FV197">
        <f>COUNTIFS('DRAFT 2'!$D:$D,$B197,'DRAFT 2'!$A:$A,"&gt;="&amp;DATE(2026,7,8),'DRAFT 2'!$A:$A,"&lt;="&amp;DATE(2026,7,14))</f>
        <v/>
      </c>
      <c r="FW197">
        <f>COUNTIFS('DRAFT 2'!$D:$D,$B197,'DRAFT 2'!$A:$A,"&gt;="&amp;DATE(2026,7,15),'DRAFT 2'!$A:$A,"&lt;="&amp;DATE(2026,7,21))</f>
        <v/>
      </c>
      <c r="FX197">
        <f>COUNTIFS('DRAFT 2'!$D:$D,$B197,'DRAFT 2'!$A:$A,"&gt;="&amp;DATE(2026,7,22),'DRAFT 2'!$A:$A,"&lt;"&amp;DATE(2026,IF(7=12,7+1,7+1),1))</f>
        <v/>
      </c>
      <c r="FY197">
        <f>SUM(FU197:FX197)</f>
        <v/>
      </c>
      <c r="GI197">
        <f>IFERROR(LOOKUP(2,1/('DRAFT 2'!$D:$D=$B197)*('DRAFT 2'!$A:$A&gt;=DATE(2026,8,1))*('DRAFT 2'!$A:$A&lt;DATE(2026,IF(8=12,8+1,8+1),1)),'DRAFT 2'!$A:$A),"")</f>
        <v/>
      </c>
      <c r="GJ197">
        <f>COUNTIFS('DRAFT 2'!$D:$D,$B197,'DRAFT 2'!$A:$A,"&gt;="&amp;DATE(2026,8,1),'DRAFT 2'!$A:$A,"&lt;="&amp;DATE(2026,8,7))</f>
        <v/>
      </c>
      <c r="GK197">
        <f>COUNTIFS('DRAFT 2'!$D:$D,$B197,'DRAFT 2'!$A:$A,"&gt;="&amp;DATE(2026,8,8),'DRAFT 2'!$A:$A,"&lt;="&amp;DATE(2026,8,14))</f>
        <v/>
      </c>
      <c r="GL197">
        <f>COUNTIFS('DRAFT 2'!$D:$D,$B197,'DRAFT 2'!$A:$A,"&gt;="&amp;DATE(2026,8,15),'DRAFT 2'!$A:$A,"&lt;="&amp;DATE(2026,8,21))</f>
        <v/>
      </c>
      <c r="GM197">
        <f>COUNTIFS('DRAFT 2'!$D:$D,$B197,'DRAFT 2'!$A:$A,"&gt;="&amp;DATE(2026,8,22),'DRAFT 2'!$A:$A,"&lt;"&amp;DATE(2026,IF(8=12,8+1,8+1),1))</f>
        <v/>
      </c>
      <c r="GN197">
        <f>SUM(GJ197:GM197)</f>
        <v/>
      </c>
      <c r="GX197">
        <f>IFERROR(LOOKUP(2,1/('DRAFT 2'!$D:$D=$B197)*('DRAFT 2'!$A:$A&gt;=DATE(2026,9,1))*('DRAFT 2'!$A:$A&lt;DATE(2026,IF(9=12,9+1,9+1),1)),'DRAFT 2'!$A:$A),"")</f>
        <v/>
      </c>
      <c r="GY197">
        <f>COUNTIFS('DRAFT 2'!$D:$D,$B197,'DRAFT 2'!$A:$A,"&gt;="&amp;DATE(2026,9,1),'DRAFT 2'!$A:$A,"&lt;="&amp;DATE(2026,9,7))</f>
        <v/>
      </c>
      <c r="GZ197">
        <f>COUNTIFS('DRAFT 2'!$D:$D,$B197,'DRAFT 2'!$A:$A,"&gt;="&amp;DATE(2026,9,8),'DRAFT 2'!$A:$A,"&lt;="&amp;DATE(2026,9,14))</f>
        <v/>
      </c>
      <c r="HA197">
        <f>COUNTIFS('DRAFT 2'!$D:$D,$B197,'DRAFT 2'!$A:$A,"&gt;="&amp;DATE(2026,9,15),'DRAFT 2'!$A:$A,"&lt;="&amp;DATE(2026,9,21))</f>
        <v/>
      </c>
      <c r="HB197">
        <f>COUNTIFS('DRAFT 2'!$D:$D,$B197,'DRAFT 2'!$A:$A,"&gt;="&amp;DATE(2026,9,22),'DRAFT 2'!$A:$A,"&lt;"&amp;DATE(2026,IF(9=12,9+1,9+1),1))</f>
        <v/>
      </c>
      <c r="HC197">
        <f>SUM(GY197:HB197)</f>
        <v/>
      </c>
      <c r="HN197">
        <f>IFERROR(LOOKUP(2,1/('DRAFT 2'!$D:$D=$B197)*('DRAFT 2'!$A:$A&gt;=DATE(2026,10,1))*('DRAFT 2'!$A:$A&lt;DATE(2026,IF(10=12,10+1,10+1),1)),'DRAFT 2'!$A:$A),"")</f>
        <v/>
      </c>
      <c r="HO197">
        <f>COUNTIFS('DRAFT 2'!$D:$D,$B197,'DRAFT 2'!$A:$A,"&gt;="&amp;DATE(2026,10,1),'DRAFT 2'!$A:$A,"&lt;="&amp;DATE(2026,10,7))</f>
        <v/>
      </c>
      <c r="HP197">
        <f>COUNTIFS('DRAFT 2'!$D:$D,$B197,'DRAFT 2'!$A:$A,"&gt;="&amp;DATE(2026,10,8),'DRAFT 2'!$A:$A,"&lt;="&amp;DATE(2026,10,14))</f>
        <v/>
      </c>
      <c r="HQ197">
        <f>COUNTIFS('DRAFT 2'!$D:$D,$B197,'DRAFT 2'!$A:$A,"&gt;="&amp;DATE(2026,10,15),'DRAFT 2'!$A:$A,"&lt;="&amp;DATE(2026,10,21))</f>
        <v/>
      </c>
      <c r="HR197">
        <f>COUNTIFS('DRAFT 2'!$D:$D,$B197,'DRAFT 2'!$A:$A,"&gt;="&amp;DATE(2026,10,22),'DRAFT 2'!$A:$A,"&lt;"&amp;DATE(2026,IF(10=12,10+1,10+1),1))</f>
        <v/>
      </c>
      <c r="HS197">
        <f>SUM(HO197:HR197)</f>
        <v/>
      </c>
      <c r="IC197">
        <f>IFERROR(LOOKUP(2,1/('DRAFT 2'!$D:$D=$B197)*('DRAFT 2'!$A:$A&gt;=DATE(2026,11,1))*('DRAFT 2'!$A:$A&lt;DATE(2026,IF(11=12,11+1,11+1),1)),'DRAFT 2'!$A:$A),"")</f>
        <v/>
      </c>
      <c r="ID197">
        <f>COUNTIFS('DRAFT 2'!$D:$D,$B197,'DRAFT 2'!$A:$A,"&gt;="&amp;DATE(2026,11,1),'DRAFT 2'!$A:$A,"&lt;="&amp;DATE(2026,11,7))</f>
        <v/>
      </c>
      <c r="IE197">
        <f>COUNTIFS('DRAFT 2'!$D:$D,$B197,'DRAFT 2'!$A:$A,"&gt;="&amp;DATE(2026,11,8),'DRAFT 2'!$A:$A,"&lt;="&amp;DATE(2026,11,14))</f>
        <v/>
      </c>
      <c r="IF197">
        <f>COUNTIFS('DRAFT 2'!$D:$D,$B197,'DRAFT 2'!$A:$A,"&gt;="&amp;DATE(2026,11,15),'DRAFT 2'!$A:$A,"&lt;="&amp;DATE(2026,11,21))</f>
        <v/>
      </c>
      <c r="IG197">
        <f>COUNTIFS('DRAFT 2'!$D:$D,$B197,'DRAFT 2'!$A:$A,"&gt;="&amp;DATE(2026,11,22),'DRAFT 2'!$A:$A,"&lt;"&amp;DATE(2026,IF(11=12,11+1,11+1),1))</f>
        <v/>
      </c>
      <c r="IH197">
        <f>SUM(ID197:IG197)</f>
        <v/>
      </c>
      <c r="IR197">
        <f>IFERROR(LOOKUP(2,1/('DRAFT 2'!$D:$D=$B197)*('DRAFT 2'!$A:$A&gt;=DATE(2026,12,1))*('DRAFT 2'!$A:$A&lt;DATE(2026,IF(12=12,12+1,12+1),1)),'DRAFT 2'!$A:$A),"")</f>
        <v/>
      </c>
      <c r="IS197">
        <f>COUNTIFS('DRAFT 2'!$D:$D,$B197,'DRAFT 2'!$A:$A,"&gt;="&amp;DATE(2026,12,1),'DRAFT 2'!$A:$A,"&lt;="&amp;DATE(2026,12,7))</f>
        <v/>
      </c>
      <c r="IT197">
        <f>COUNTIFS('DRAFT 2'!$D:$D,$B197,'DRAFT 2'!$A:$A,"&gt;="&amp;DATE(2026,12,8),'DRAFT 2'!$A:$A,"&lt;="&amp;DATE(2026,12,14))</f>
        <v/>
      </c>
      <c r="IU197">
        <f>COUNTIFS('DRAFT 2'!$D:$D,$B197,'DRAFT 2'!$A:$A,"&gt;="&amp;DATE(2026,12,15),'DRAFT 2'!$A:$A,"&lt;="&amp;DATE(2026,12,21))</f>
        <v/>
      </c>
      <c r="IV197">
        <f>COUNTIFS('DRAFT 2'!$D:$D,$B197,'DRAFT 2'!$A:$A,"&gt;="&amp;DATE(2026,12,22),'DRAFT 2'!$A:$A,"&lt;"&amp;DATE(2026,IF(12=12,12+1,12+1),1))</f>
        <v/>
      </c>
      <c r="IW197">
        <f>SUM(IS197:IV197)</f>
        <v/>
      </c>
    </row>
    <row r="198">
      <c r="A198">
        <f>IFERROR(INDEX('DRAFT 1'!$A:$A,MATCH($B198,'DRAFT 1'!$B:$B,0)),"")</f>
        <v/>
      </c>
      <c r="C198">
        <f>IFERROR(INDEX('DRAFT 1'!$C:$C,MATCH($B198,'DRAFT 1'!$B:$B,0)),"")</f>
        <v/>
      </c>
      <c r="D198">
        <f>IFERROR(INDEX('DRAFT 1'!$D:$D,MATCH($B198,'DRAFT 1'!$B:$B,0)),"")</f>
        <v/>
      </c>
      <c r="E198">
        <f>IFERROR(INDEX('DRAFT 1'!$E:$E,MATCH($B198,'DRAFT 1'!$B:$B,0)),"")</f>
        <v/>
      </c>
      <c r="F198">
        <f>IFERROR(INDEX('DRAFT 1'!$F:$F,MATCH($B198,'DRAFT 1'!$B:$B,0)),"")</f>
        <v/>
      </c>
      <c r="G198">
        <f>IFERROR(INDEX('DRAFT 1'!$G:$G,MATCH($B198,'DRAFT 1'!$B:$B,0)),"")</f>
        <v/>
      </c>
      <c r="H198">
        <f>IFERROR(INDEX('DRAFT 1'!$H:$H,MATCH($B198,'DRAFT 1'!$B:$B,0)),"")</f>
        <v/>
      </c>
      <c r="I198">
        <f>IFERROR(INDEX('DRAFT 1'!$I:$I,MATCH($B198,'DRAFT 1'!$B:$B,0)),"")</f>
        <v/>
      </c>
      <c r="K198">
        <f>IFERROR(INDEX('DRAFT 1'!$AL:$AL,MATCH($B198,'DRAFT 1'!$B:$B,0)),"")</f>
        <v/>
      </c>
      <c r="L198">
        <f>IFERROR(INDEX('DRAFT 1'!$J:$J,MATCH($B198,'DRAFT 1'!$B:$B,0)),"")</f>
        <v/>
      </c>
      <c r="M198">
        <f>IFERROR(INDEX('DRAFT 1'!$K:$K,MATCH($B198,'DRAFT 1'!$B:$B,0)),"")</f>
        <v/>
      </c>
      <c r="P198">
        <f>IFERROR(INDEX('DRAFT 1'!$L:$L,MATCH($B198,'DRAFT 1'!$B:$B,0)),"")</f>
        <v/>
      </c>
      <c r="Q198">
        <f>IFERROR(INDEX('DRAFT 1'!$M:$M,MATCH($B198,'DRAFT 1'!$B:$B,0)),"")</f>
        <v/>
      </c>
      <c r="R198">
        <f>IFERROR(INDEX('DRAFT 1'!$N:$N,MATCH($B198,'DRAFT 1'!$B:$B,0)),"")</f>
        <v/>
      </c>
      <c r="S198">
        <f>IFERROR(INDEX('DRAFT 1'!$O:$O,MATCH($B198,'DRAFT 1'!$B:$B,0)),"")</f>
        <v/>
      </c>
      <c r="T198">
        <f>IFERROR(INDEX('DRAFT 1'!$P:$P,MATCH($B198,'DRAFT 1'!$B:$B,0)),"")</f>
        <v/>
      </c>
      <c r="U198">
        <f>IFERROR(INDEX('DRAFT 1'!$Q:$Q,MATCH($B198,'DRAFT 1'!$B:$B,0)),"")</f>
        <v/>
      </c>
      <c r="V198">
        <f>IFERROR(INDEX('DRAFT 1'!$R:$R,MATCH($B198,'DRAFT 1'!$B:$B,0)),"")</f>
        <v/>
      </c>
      <c r="W198">
        <f>IFERROR(INDEX('DRAFT 1'!$S:$S,MATCH($B198,'DRAFT 1'!$B:$B,0)),"")</f>
        <v/>
      </c>
      <c r="X198">
        <f>IFERROR(INDEX('DRAFT 1'!$T:$T,MATCH($B198,'DRAFT 1'!$B:$B,0)),"")</f>
        <v/>
      </c>
      <c r="Z198">
        <f>IFERROR(INDEX('DRAFT 1'!$U:$U,MATCH($B198,'DRAFT 1'!$B:$B,0)),"")</f>
        <v/>
      </c>
      <c r="AA198">
        <f>IFERROR(INDEX('DRAFT 1'!$V:$V,MATCH($B198,'DRAFT 1'!$B:$B,0)),"")</f>
        <v/>
      </c>
      <c r="AB198">
        <f>IFERROR(INDEX('DRAFT 1'!$W:$W,MATCH($B198,'DRAFT 1'!$B:$B,0)),"")</f>
        <v/>
      </c>
      <c r="AC198">
        <f>IFERROR(INDEX('DRAFT 1'!$X:$X,MATCH($B198,'DRAFT 1'!$B:$B,0)),"")</f>
        <v/>
      </c>
      <c r="AD198">
        <f>IFERROR(INDEX('DRAFT 1'!$Y:$Y,MATCH($B198,'DRAFT 1'!$B:$B,0)),"")</f>
        <v/>
      </c>
      <c r="AE198">
        <f>IFERROR(INDEX('DRAFT 1'!$Z:$Z,MATCH($B198,'DRAFT 1'!$B:$B,0)),"")</f>
        <v/>
      </c>
      <c r="AF198">
        <f>IFERROR(INDEX('DRAFT 1'!$AA:$AA,MATCH($B198,'DRAFT 1'!$B:$B,0)),"")</f>
        <v/>
      </c>
      <c r="AG198">
        <f>IFERROR(INDEX('DRAFT 1'!$AB:$AB,MATCH($B198,'DRAFT 1'!$B:$B,0)),"")</f>
        <v/>
      </c>
      <c r="AH198">
        <f>IFERROR(INDEX('DRAFT 1'!$AC:$AC,MATCH($B198,'DRAFT 1'!$B:$B,0)),"")</f>
        <v/>
      </c>
      <c r="AI198">
        <f>IFERROR(INDEX('DRAFT 1'!$AD:$AD,MATCH($B198,'DRAFT 1'!$B:$B,0)),"")</f>
        <v/>
      </c>
      <c r="AJ198">
        <f>IFERROR(INDEX('DRAFT 1'!$AE:$AE,MATCH($B198,'DRAFT 1'!$B:$B,0)),"")</f>
        <v/>
      </c>
      <c r="AK198">
        <f>IFERROR(INDEX('DRAFT 1'!$AG:$AG,MATCH($B198,'DRAFT 1'!$B:$B,0)),"")</f>
        <v/>
      </c>
      <c r="AL198">
        <f>IFERROR(INDEX('DRAFT 1'!$AH:$AH,MATCH($B198,'DRAFT 1'!$B:$B,0)),"")</f>
        <v/>
      </c>
      <c r="AM198">
        <f>IFERROR(INDEX('DRAFT 1'!$AI:$AI,MATCH($B198,'DRAFT 1'!$B:$B,0)),"")</f>
        <v/>
      </c>
      <c r="AN198">
        <f>IFERROR(INDEX('DRAFT 1'!$AJ:$AJ,MATCH($B198,'DRAFT 1'!$B:$B,0)),"")</f>
        <v/>
      </c>
      <c r="AO198">
        <f>IFERROR(Y198/AN198,0)</f>
        <v/>
      </c>
      <c r="AP198">
        <f>IFERROR(INDEX('DRAFT 1'!$AK:$AK,MATCH($B198,'DRAFT 1'!$B:$B,0)),"")</f>
        <v/>
      </c>
      <c r="AR198">
        <f>IFERROR(LOOKUP(2,1/('DRAFT 2'!$D:$D=$B198),'DRAFT 2'!$I:$I),"")</f>
        <v/>
      </c>
      <c r="AS198">
        <f>IFERROR(LOOKUP(2,1/('DRAFT 2'!$D:$D=$B198),'DRAFT 2'!$T:$T),"")</f>
        <v/>
      </c>
      <c r="AT198">
        <f>IFERROR(LOOKUP(2,1/('DRAFT 2'!$D:$D=$B198),'DRAFT 2'!$A:$A),"")</f>
        <v/>
      </c>
      <c r="AU198">
        <f>IFERROR(LOOKUP(2,1/('DRAFT 2'!$D:$D=$B198),'DRAFT 2'!$R:$R),"")</f>
        <v/>
      </c>
      <c r="AV198">
        <f>IFERROR(LOOKUP(2,1/('DRAFT 2'!$D:$D=$B198),'DRAFT 2'!$S:$S),"")</f>
        <v/>
      </c>
      <c r="AX198">
        <f>IFERROR(LOOKUP(2,1/('DRAFT 2'!$D:$D=$B198),'DRAFT 2'!$M:$M),"")</f>
        <v/>
      </c>
      <c r="AY198">
        <f>IFERROR(LOOKUP(2,1/('DRAFT 2'!$D:$D=$B198),'DRAFT 2'!$K:$K),"")</f>
        <v/>
      </c>
      <c r="BG198">
        <f>IFERROR(LOOKUP(2,1/('DRAFT 2'!$D:$D=$B198),'DRAFT 2'!$U:$U),"")</f>
        <v/>
      </c>
      <c r="BH198">
        <f>IFERROR(LOOKUP(2,1/('DRAFT 2'!$D:$D=$B198),'DRAFT 2'!$V:$V),"")</f>
        <v/>
      </c>
      <c r="CE198">
        <f>IFERROR(AJ198,0)</f>
        <v/>
      </c>
      <c r="CF198">
        <f>IFERROR(LOOKUP(2,1/('DRAFT 2'!$D:$D=$B198)*('DRAFT 2'!$A:$A&gt;=DATE(2026,1,1))*('DRAFT 2'!$A:$A&lt;DATE(2026,IF(1=12,1+1,1+1),1)),'DRAFT 2'!$A:$A),"")</f>
        <v/>
      </c>
      <c r="CG198">
        <f>COUNTIFS('DRAFT 2'!$D:$D,$B198,'DRAFT 2'!$A:$A,"&gt;="&amp;DATE(2026,1,1),'DRAFT 2'!$A:$A,"&lt;="&amp;DATE(2026,1,7))</f>
        <v/>
      </c>
      <c r="CH198">
        <f>COUNTIFS('DRAFT 2'!$D:$D,$B198,'DRAFT 2'!$A:$A,"&gt;="&amp;DATE(2026,1,8),'DRAFT 2'!$A:$A,"&lt;="&amp;DATE(2026,1,14))</f>
        <v/>
      </c>
      <c r="CI198">
        <f>COUNTIFS('DRAFT 2'!$D:$D,$B198,'DRAFT 2'!$A:$A,"&gt;="&amp;DATE(2026,1,15),'DRAFT 2'!$A:$A,"&lt;="&amp;DATE(2026,1,21))</f>
        <v/>
      </c>
      <c r="CJ198">
        <f>COUNTIFS('DRAFT 2'!$D:$D,$B198,'DRAFT 2'!$A:$A,"&gt;="&amp;DATE(2026,1,22),'DRAFT 2'!$A:$A,"&lt;"&amp;DATE(2026,IF(1=12,1+1,1+1),1))</f>
        <v/>
      </c>
      <c r="CK198">
        <f>SUM(CG198:CJ198)</f>
        <v/>
      </c>
      <c r="CT198" t="n">
        <v>0</v>
      </c>
      <c r="CU198">
        <f>IFERROR(LOOKUP(2,1/('DRAFT 2'!$D:$D=$B198)*('DRAFT 2'!$A:$A&gt;=DATE(2026,2,1))*('DRAFT 2'!$A:$A&lt;DATE(2026,IF(2=12,2+1,2+1),1)),'DRAFT 2'!$A:$A),"")</f>
        <v/>
      </c>
      <c r="CV198">
        <f>COUNTIFS('DRAFT 2'!$D:$D,$B198,'DRAFT 2'!$A:$A,"&gt;="&amp;DATE(2026,2,1),'DRAFT 2'!$A:$A,"&lt;="&amp;DATE(2026,2,7))</f>
        <v/>
      </c>
      <c r="CW198">
        <f>COUNTIFS('DRAFT 2'!$D:$D,$B198,'DRAFT 2'!$A:$A,"&gt;="&amp;DATE(2026,2,8),'DRAFT 2'!$A:$A,"&lt;="&amp;DATE(2026,2,14))</f>
        <v/>
      </c>
      <c r="CX198">
        <f>COUNTIFS('DRAFT 2'!$D:$D,$B198,'DRAFT 2'!$A:$A,"&gt;="&amp;DATE(2026,2,15),'DRAFT 2'!$A:$A,"&lt;="&amp;DATE(2026,2,21))</f>
        <v/>
      </c>
      <c r="CY198">
        <f>COUNTIFS('DRAFT 2'!$D:$D,$B198,'DRAFT 2'!$A:$A,"&gt;="&amp;DATE(2026,2,22),'DRAFT 2'!$A:$A,"&lt;"&amp;DATE(2026,IF(2=12,2+1,2+1),1))</f>
        <v/>
      </c>
      <c r="CZ198">
        <f>SUM(CV198:CY198)</f>
        <v/>
      </c>
      <c r="DJ198">
        <f>IFERROR(LOOKUP(2,1/('DRAFT 2'!$D:$D=$B198)*('DRAFT 2'!$A:$A&gt;=DATE(2026,3,1))*('DRAFT 2'!$A:$A&lt;DATE(2026,IF(3=12,3+1,3+1),1)),'DRAFT 2'!$A:$A),"")</f>
        <v/>
      </c>
      <c r="DK198">
        <f>COUNTIFS('DRAFT 2'!$D:$D,$B198,'DRAFT 2'!$A:$A,"&gt;="&amp;DATE(2026,3,1),'DRAFT 2'!$A:$A,"&lt;="&amp;DATE(2026,3,7))</f>
        <v/>
      </c>
      <c r="DL198">
        <f>COUNTIFS('DRAFT 2'!$D:$D,$B198,'DRAFT 2'!$A:$A,"&gt;="&amp;DATE(2026,3,8),'DRAFT 2'!$A:$A,"&lt;="&amp;DATE(2026,3,14))</f>
        <v/>
      </c>
      <c r="DM198">
        <f>COUNTIFS('DRAFT 2'!$D:$D,$B198,'DRAFT 2'!$A:$A,"&gt;="&amp;DATE(2026,3,15),'DRAFT 2'!$A:$A,"&lt;="&amp;DATE(2026,3,21))</f>
        <v/>
      </c>
      <c r="DN198">
        <f>COUNTIFS('DRAFT 2'!$D:$D,$B198,'DRAFT 2'!$A:$A,"&gt;="&amp;DATE(2026,3,22),'DRAFT 2'!$A:$A,"&lt;"&amp;DATE(2026,IF(3=12,3+1,3+1),1))</f>
        <v/>
      </c>
      <c r="DO198">
        <f>SUM(DK198:DN198)</f>
        <v/>
      </c>
      <c r="DZ198">
        <f>IFERROR(LOOKUP(2,1/('DRAFT 2'!$D:$D=$B198)*('DRAFT 2'!$A:$A&gt;=DATE(2026,4,1))*('DRAFT 2'!$A:$A&lt;DATE(2026,IF(4=12,4+1,4+1),1)),'DRAFT 2'!$A:$A),"")</f>
        <v/>
      </c>
      <c r="EA198">
        <f>COUNTIFS('DRAFT 2'!$D:$D,$B198,'DRAFT 2'!$A:$A,"&gt;="&amp;DATE(2026,4,1),'DRAFT 2'!$A:$A,"&lt;="&amp;DATE(2026,4,7))</f>
        <v/>
      </c>
      <c r="EB198">
        <f>COUNTIFS('DRAFT 2'!$D:$D,$B198,'DRAFT 2'!$A:$A,"&gt;="&amp;DATE(2026,4,8),'DRAFT 2'!$A:$A,"&lt;="&amp;DATE(2026,4,14))</f>
        <v/>
      </c>
      <c r="EC198">
        <f>COUNTIFS('DRAFT 2'!$D:$D,$B198,'DRAFT 2'!$A:$A,"&gt;="&amp;DATE(2026,4,15),'DRAFT 2'!$A:$A,"&lt;="&amp;DATE(2026,4,21))</f>
        <v/>
      </c>
      <c r="ED198">
        <f>COUNTIFS('DRAFT 2'!$D:$D,$B198,'DRAFT 2'!$A:$A,"&gt;="&amp;DATE(2026,4,22),'DRAFT 2'!$A:$A,"&lt;"&amp;DATE(2026,IF(4=12,4+1,4+1),1))</f>
        <v/>
      </c>
      <c r="EE198">
        <f>SUM(EA198:ED198)</f>
        <v/>
      </c>
      <c r="EO198">
        <f>IFERROR(LOOKUP(2,1/('DRAFT 2'!$D:$D=$B198)*('DRAFT 2'!$A:$A&gt;=DATE(2026,5,1))*('DRAFT 2'!$A:$A&lt;DATE(2026,IF(5=12,5+1,5+1),1)),'DRAFT 2'!$A:$A),"")</f>
        <v/>
      </c>
      <c r="EP198">
        <f>COUNTIFS('DRAFT 2'!$D:$D,$B198,'DRAFT 2'!$A:$A,"&gt;="&amp;DATE(2026,5,1),'DRAFT 2'!$A:$A,"&lt;="&amp;DATE(2026,5,7))</f>
        <v/>
      </c>
      <c r="EQ198">
        <f>COUNTIFS('DRAFT 2'!$D:$D,$B198,'DRAFT 2'!$A:$A,"&gt;="&amp;DATE(2026,5,8),'DRAFT 2'!$A:$A,"&lt;="&amp;DATE(2026,5,14))</f>
        <v/>
      </c>
      <c r="ER198">
        <f>COUNTIFS('DRAFT 2'!$D:$D,$B198,'DRAFT 2'!$A:$A,"&gt;="&amp;DATE(2026,5,15),'DRAFT 2'!$A:$A,"&lt;="&amp;DATE(2026,5,21))</f>
        <v/>
      </c>
      <c r="ES198">
        <f>COUNTIFS('DRAFT 2'!$D:$D,$B198,'DRAFT 2'!$A:$A,"&gt;="&amp;DATE(2026,5,22),'DRAFT 2'!$A:$A,"&lt;"&amp;DATE(2026,IF(5=12,5+1,5+1),1))</f>
        <v/>
      </c>
      <c r="ET198">
        <f>SUM(EP198:ES198)</f>
        <v/>
      </c>
      <c r="FD198">
        <f>IFERROR(LOOKUP(2,1/('DRAFT 2'!$D:$D=$B198)*('DRAFT 2'!$A:$A&gt;=DATE(2026,6,1))*('DRAFT 2'!$A:$A&lt;DATE(2026,IF(6=12,6+1,6+1),1)),'DRAFT 2'!$A:$A),"")</f>
        <v/>
      </c>
      <c r="FE198">
        <f>COUNTIFS('DRAFT 2'!$D:$D,$B198,'DRAFT 2'!$A:$A,"&gt;="&amp;DATE(2026,6,1),'DRAFT 2'!$A:$A,"&lt;="&amp;DATE(2026,6,7))</f>
        <v/>
      </c>
      <c r="FF198">
        <f>COUNTIFS('DRAFT 2'!$D:$D,$B198,'DRAFT 2'!$A:$A,"&gt;="&amp;DATE(2026,6,8),'DRAFT 2'!$A:$A,"&lt;="&amp;DATE(2026,6,14))</f>
        <v/>
      </c>
      <c r="FG198">
        <f>COUNTIFS('DRAFT 2'!$D:$D,$B198,'DRAFT 2'!$A:$A,"&gt;="&amp;DATE(2026,6,15),'DRAFT 2'!$A:$A,"&lt;="&amp;DATE(2026,6,21))</f>
        <v/>
      </c>
      <c r="FH198">
        <f>COUNTIFS('DRAFT 2'!$D:$D,$B198,'DRAFT 2'!$A:$A,"&gt;="&amp;DATE(2026,6,22),'DRAFT 2'!$A:$A,"&lt;"&amp;DATE(2026,IF(6=12,6+1,6+1),1))</f>
        <v/>
      </c>
      <c r="FI198">
        <f>SUM(FE198:FH198)</f>
        <v/>
      </c>
      <c r="FT198">
        <f>IFERROR(LOOKUP(2,1/('DRAFT 2'!$D:$D=$B198)*('DRAFT 2'!$A:$A&gt;=DATE(2026,7,1))*('DRAFT 2'!$A:$A&lt;DATE(2026,IF(7=12,7+1,7+1),1)),'DRAFT 2'!$A:$A),"")</f>
        <v/>
      </c>
      <c r="FU198">
        <f>COUNTIFS('DRAFT 2'!$D:$D,$B198,'DRAFT 2'!$A:$A,"&gt;="&amp;DATE(2026,7,1),'DRAFT 2'!$A:$A,"&lt;="&amp;DATE(2026,7,7))</f>
        <v/>
      </c>
      <c r="FV198">
        <f>COUNTIFS('DRAFT 2'!$D:$D,$B198,'DRAFT 2'!$A:$A,"&gt;="&amp;DATE(2026,7,8),'DRAFT 2'!$A:$A,"&lt;="&amp;DATE(2026,7,14))</f>
        <v/>
      </c>
      <c r="FW198">
        <f>COUNTIFS('DRAFT 2'!$D:$D,$B198,'DRAFT 2'!$A:$A,"&gt;="&amp;DATE(2026,7,15),'DRAFT 2'!$A:$A,"&lt;="&amp;DATE(2026,7,21))</f>
        <v/>
      </c>
      <c r="FX198">
        <f>COUNTIFS('DRAFT 2'!$D:$D,$B198,'DRAFT 2'!$A:$A,"&gt;="&amp;DATE(2026,7,22),'DRAFT 2'!$A:$A,"&lt;"&amp;DATE(2026,IF(7=12,7+1,7+1),1))</f>
        <v/>
      </c>
      <c r="FY198">
        <f>SUM(FU198:FX198)</f>
        <v/>
      </c>
      <c r="GI198">
        <f>IFERROR(LOOKUP(2,1/('DRAFT 2'!$D:$D=$B198)*('DRAFT 2'!$A:$A&gt;=DATE(2026,8,1))*('DRAFT 2'!$A:$A&lt;DATE(2026,IF(8=12,8+1,8+1),1)),'DRAFT 2'!$A:$A),"")</f>
        <v/>
      </c>
      <c r="GJ198">
        <f>COUNTIFS('DRAFT 2'!$D:$D,$B198,'DRAFT 2'!$A:$A,"&gt;="&amp;DATE(2026,8,1),'DRAFT 2'!$A:$A,"&lt;="&amp;DATE(2026,8,7))</f>
        <v/>
      </c>
      <c r="GK198">
        <f>COUNTIFS('DRAFT 2'!$D:$D,$B198,'DRAFT 2'!$A:$A,"&gt;="&amp;DATE(2026,8,8),'DRAFT 2'!$A:$A,"&lt;="&amp;DATE(2026,8,14))</f>
        <v/>
      </c>
      <c r="GL198">
        <f>COUNTIFS('DRAFT 2'!$D:$D,$B198,'DRAFT 2'!$A:$A,"&gt;="&amp;DATE(2026,8,15),'DRAFT 2'!$A:$A,"&lt;="&amp;DATE(2026,8,21))</f>
        <v/>
      </c>
      <c r="GM198">
        <f>COUNTIFS('DRAFT 2'!$D:$D,$B198,'DRAFT 2'!$A:$A,"&gt;="&amp;DATE(2026,8,22),'DRAFT 2'!$A:$A,"&lt;"&amp;DATE(2026,IF(8=12,8+1,8+1),1))</f>
        <v/>
      </c>
      <c r="GN198">
        <f>SUM(GJ198:GM198)</f>
        <v/>
      </c>
      <c r="GX198">
        <f>IFERROR(LOOKUP(2,1/('DRAFT 2'!$D:$D=$B198)*('DRAFT 2'!$A:$A&gt;=DATE(2026,9,1))*('DRAFT 2'!$A:$A&lt;DATE(2026,IF(9=12,9+1,9+1),1)),'DRAFT 2'!$A:$A),"")</f>
        <v/>
      </c>
      <c r="GY198">
        <f>COUNTIFS('DRAFT 2'!$D:$D,$B198,'DRAFT 2'!$A:$A,"&gt;="&amp;DATE(2026,9,1),'DRAFT 2'!$A:$A,"&lt;="&amp;DATE(2026,9,7))</f>
        <v/>
      </c>
      <c r="GZ198">
        <f>COUNTIFS('DRAFT 2'!$D:$D,$B198,'DRAFT 2'!$A:$A,"&gt;="&amp;DATE(2026,9,8),'DRAFT 2'!$A:$A,"&lt;="&amp;DATE(2026,9,14))</f>
        <v/>
      </c>
      <c r="HA198">
        <f>COUNTIFS('DRAFT 2'!$D:$D,$B198,'DRAFT 2'!$A:$A,"&gt;="&amp;DATE(2026,9,15),'DRAFT 2'!$A:$A,"&lt;="&amp;DATE(2026,9,21))</f>
        <v/>
      </c>
      <c r="HB198">
        <f>COUNTIFS('DRAFT 2'!$D:$D,$B198,'DRAFT 2'!$A:$A,"&gt;="&amp;DATE(2026,9,22),'DRAFT 2'!$A:$A,"&lt;"&amp;DATE(2026,IF(9=12,9+1,9+1),1))</f>
        <v/>
      </c>
      <c r="HC198">
        <f>SUM(GY198:HB198)</f>
        <v/>
      </c>
      <c r="HN198">
        <f>IFERROR(LOOKUP(2,1/('DRAFT 2'!$D:$D=$B198)*('DRAFT 2'!$A:$A&gt;=DATE(2026,10,1))*('DRAFT 2'!$A:$A&lt;DATE(2026,IF(10=12,10+1,10+1),1)),'DRAFT 2'!$A:$A),"")</f>
        <v/>
      </c>
      <c r="HO198">
        <f>COUNTIFS('DRAFT 2'!$D:$D,$B198,'DRAFT 2'!$A:$A,"&gt;="&amp;DATE(2026,10,1),'DRAFT 2'!$A:$A,"&lt;="&amp;DATE(2026,10,7))</f>
        <v/>
      </c>
      <c r="HP198">
        <f>COUNTIFS('DRAFT 2'!$D:$D,$B198,'DRAFT 2'!$A:$A,"&gt;="&amp;DATE(2026,10,8),'DRAFT 2'!$A:$A,"&lt;="&amp;DATE(2026,10,14))</f>
        <v/>
      </c>
      <c r="HQ198">
        <f>COUNTIFS('DRAFT 2'!$D:$D,$B198,'DRAFT 2'!$A:$A,"&gt;="&amp;DATE(2026,10,15),'DRAFT 2'!$A:$A,"&lt;="&amp;DATE(2026,10,21))</f>
        <v/>
      </c>
      <c r="HR198">
        <f>COUNTIFS('DRAFT 2'!$D:$D,$B198,'DRAFT 2'!$A:$A,"&gt;="&amp;DATE(2026,10,22),'DRAFT 2'!$A:$A,"&lt;"&amp;DATE(2026,IF(10=12,10+1,10+1),1))</f>
        <v/>
      </c>
      <c r="HS198">
        <f>SUM(HO198:HR198)</f>
        <v/>
      </c>
      <c r="IC198">
        <f>IFERROR(LOOKUP(2,1/('DRAFT 2'!$D:$D=$B198)*('DRAFT 2'!$A:$A&gt;=DATE(2026,11,1))*('DRAFT 2'!$A:$A&lt;DATE(2026,IF(11=12,11+1,11+1),1)),'DRAFT 2'!$A:$A),"")</f>
        <v/>
      </c>
      <c r="ID198">
        <f>COUNTIFS('DRAFT 2'!$D:$D,$B198,'DRAFT 2'!$A:$A,"&gt;="&amp;DATE(2026,11,1),'DRAFT 2'!$A:$A,"&lt;="&amp;DATE(2026,11,7))</f>
        <v/>
      </c>
      <c r="IE198">
        <f>COUNTIFS('DRAFT 2'!$D:$D,$B198,'DRAFT 2'!$A:$A,"&gt;="&amp;DATE(2026,11,8),'DRAFT 2'!$A:$A,"&lt;="&amp;DATE(2026,11,14))</f>
        <v/>
      </c>
      <c r="IF198">
        <f>COUNTIFS('DRAFT 2'!$D:$D,$B198,'DRAFT 2'!$A:$A,"&gt;="&amp;DATE(2026,11,15),'DRAFT 2'!$A:$A,"&lt;="&amp;DATE(2026,11,21))</f>
        <v/>
      </c>
      <c r="IG198">
        <f>COUNTIFS('DRAFT 2'!$D:$D,$B198,'DRAFT 2'!$A:$A,"&gt;="&amp;DATE(2026,11,22),'DRAFT 2'!$A:$A,"&lt;"&amp;DATE(2026,IF(11=12,11+1,11+1),1))</f>
        <v/>
      </c>
      <c r="IH198">
        <f>SUM(ID198:IG198)</f>
        <v/>
      </c>
      <c r="IR198">
        <f>IFERROR(LOOKUP(2,1/('DRAFT 2'!$D:$D=$B198)*('DRAFT 2'!$A:$A&gt;=DATE(2026,12,1))*('DRAFT 2'!$A:$A&lt;DATE(2026,IF(12=12,12+1,12+1),1)),'DRAFT 2'!$A:$A),"")</f>
        <v/>
      </c>
      <c r="IS198">
        <f>COUNTIFS('DRAFT 2'!$D:$D,$B198,'DRAFT 2'!$A:$A,"&gt;="&amp;DATE(2026,12,1),'DRAFT 2'!$A:$A,"&lt;="&amp;DATE(2026,12,7))</f>
        <v/>
      </c>
      <c r="IT198">
        <f>COUNTIFS('DRAFT 2'!$D:$D,$B198,'DRAFT 2'!$A:$A,"&gt;="&amp;DATE(2026,12,8),'DRAFT 2'!$A:$A,"&lt;="&amp;DATE(2026,12,14))</f>
        <v/>
      </c>
      <c r="IU198">
        <f>COUNTIFS('DRAFT 2'!$D:$D,$B198,'DRAFT 2'!$A:$A,"&gt;="&amp;DATE(2026,12,15),'DRAFT 2'!$A:$A,"&lt;="&amp;DATE(2026,12,21))</f>
        <v/>
      </c>
      <c r="IV198">
        <f>COUNTIFS('DRAFT 2'!$D:$D,$B198,'DRAFT 2'!$A:$A,"&gt;="&amp;DATE(2026,12,22),'DRAFT 2'!$A:$A,"&lt;"&amp;DATE(2026,IF(12=12,12+1,12+1),1))</f>
        <v/>
      </c>
      <c r="IW198">
        <f>SUM(IS198:IV198)</f>
        <v/>
      </c>
    </row>
    <row r="199">
      <c r="A199">
        <f>IFERROR(INDEX('DRAFT 1'!$A:$A,MATCH($B199,'DRAFT 1'!$B:$B,0)),"")</f>
        <v/>
      </c>
      <c r="C199">
        <f>IFERROR(INDEX('DRAFT 1'!$C:$C,MATCH($B199,'DRAFT 1'!$B:$B,0)),"")</f>
        <v/>
      </c>
      <c r="D199">
        <f>IFERROR(INDEX('DRAFT 1'!$D:$D,MATCH($B199,'DRAFT 1'!$B:$B,0)),"")</f>
        <v/>
      </c>
      <c r="E199">
        <f>IFERROR(INDEX('DRAFT 1'!$E:$E,MATCH($B199,'DRAFT 1'!$B:$B,0)),"")</f>
        <v/>
      </c>
      <c r="F199">
        <f>IFERROR(INDEX('DRAFT 1'!$F:$F,MATCH($B199,'DRAFT 1'!$B:$B,0)),"")</f>
        <v/>
      </c>
      <c r="G199">
        <f>IFERROR(INDEX('DRAFT 1'!$G:$G,MATCH($B199,'DRAFT 1'!$B:$B,0)),"")</f>
        <v/>
      </c>
      <c r="H199">
        <f>IFERROR(INDEX('DRAFT 1'!$H:$H,MATCH($B199,'DRAFT 1'!$B:$B,0)),"")</f>
        <v/>
      </c>
      <c r="I199">
        <f>IFERROR(INDEX('DRAFT 1'!$I:$I,MATCH($B199,'DRAFT 1'!$B:$B,0)),"")</f>
        <v/>
      </c>
      <c r="K199">
        <f>IFERROR(INDEX('DRAFT 1'!$AL:$AL,MATCH($B199,'DRAFT 1'!$B:$B,0)),"")</f>
        <v/>
      </c>
      <c r="L199">
        <f>IFERROR(INDEX('DRAFT 1'!$J:$J,MATCH($B199,'DRAFT 1'!$B:$B,0)),"")</f>
        <v/>
      </c>
      <c r="M199">
        <f>IFERROR(INDEX('DRAFT 1'!$K:$K,MATCH($B199,'DRAFT 1'!$B:$B,0)),"")</f>
        <v/>
      </c>
      <c r="P199">
        <f>IFERROR(INDEX('DRAFT 1'!$L:$L,MATCH($B199,'DRAFT 1'!$B:$B,0)),"")</f>
        <v/>
      </c>
      <c r="Q199">
        <f>IFERROR(INDEX('DRAFT 1'!$M:$M,MATCH($B199,'DRAFT 1'!$B:$B,0)),"")</f>
        <v/>
      </c>
      <c r="R199">
        <f>IFERROR(INDEX('DRAFT 1'!$N:$N,MATCH($B199,'DRAFT 1'!$B:$B,0)),"")</f>
        <v/>
      </c>
      <c r="S199">
        <f>IFERROR(INDEX('DRAFT 1'!$O:$O,MATCH($B199,'DRAFT 1'!$B:$B,0)),"")</f>
        <v/>
      </c>
      <c r="T199">
        <f>IFERROR(INDEX('DRAFT 1'!$P:$P,MATCH($B199,'DRAFT 1'!$B:$B,0)),"")</f>
        <v/>
      </c>
      <c r="U199">
        <f>IFERROR(INDEX('DRAFT 1'!$Q:$Q,MATCH($B199,'DRAFT 1'!$B:$B,0)),"")</f>
        <v/>
      </c>
      <c r="V199">
        <f>IFERROR(INDEX('DRAFT 1'!$R:$R,MATCH($B199,'DRAFT 1'!$B:$B,0)),"")</f>
        <v/>
      </c>
      <c r="W199">
        <f>IFERROR(INDEX('DRAFT 1'!$S:$S,MATCH($B199,'DRAFT 1'!$B:$B,0)),"")</f>
        <v/>
      </c>
      <c r="X199">
        <f>IFERROR(INDEX('DRAFT 1'!$T:$T,MATCH($B199,'DRAFT 1'!$B:$B,0)),"")</f>
        <v/>
      </c>
      <c r="Z199">
        <f>IFERROR(INDEX('DRAFT 1'!$U:$U,MATCH($B199,'DRAFT 1'!$B:$B,0)),"")</f>
        <v/>
      </c>
      <c r="AA199">
        <f>IFERROR(INDEX('DRAFT 1'!$V:$V,MATCH($B199,'DRAFT 1'!$B:$B,0)),"")</f>
        <v/>
      </c>
      <c r="AB199">
        <f>IFERROR(INDEX('DRAFT 1'!$W:$W,MATCH($B199,'DRAFT 1'!$B:$B,0)),"")</f>
        <v/>
      </c>
      <c r="AC199">
        <f>IFERROR(INDEX('DRAFT 1'!$X:$X,MATCH($B199,'DRAFT 1'!$B:$B,0)),"")</f>
        <v/>
      </c>
      <c r="AD199">
        <f>IFERROR(INDEX('DRAFT 1'!$Y:$Y,MATCH($B199,'DRAFT 1'!$B:$B,0)),"")</f>
        <v/>
      </c>
      <c r="AE199">
        <f>IFERROR(INDEX('DRAFT 1'!$Z:$Z,MATCH($B199,'DRAFT 1'!$B:$B,0)),"")</f>
        <v/>
      </c>
      <c r="AF199">
        <f>IFERROR(INDEX('DRAFT 1'!$AA:$AA,MATCH($B199,'DRAFT 1'!$B:$B,0)),"")</f>
        <v/>
      </c>
      <c r="AG199">
        <f>IFERROR(INDEX('DRAFT 1'!$AB:$AB,MATCH($B199,'DRAFT 1'!$B:$B,0)),"")</f>
        <v/>
      </c>
      <c r="AH199">
        <f>IFERROR(INDEX('DRAFT 1'!$AC:$AC,MATCH($B199,'DRAFT 1'!$B:$B,0)),"")</f>
        <v/>
      </c>
      <c r="AI199">
        <f>IFERROR(INDEX('DRAFT 1'!$AD:$AD,MATCH($B199,'DRAFT 1'!$B:$B,0)),"")</f>
        <v/>
      </c>
      <c r="AJ199">
        <f>IFERROR(INDEX('DRAFT 1'!$AE:$AE,MATCH($B199,'DRAFT 1'!$B:$B,0)),"")</f>
        <v/>
      </c>
      <c r="AK199">
        <f>IFERROR(INDEX('DRAFT 1'!$AG:$AG,MATCH($B199,'DRAFT 1'!$B:$B,0)),"")</f>
        <v/>
      </c>
      <c r="AL199">
        <f>IFERROR(INDEX('DRAFT 1'!$AH:$AH,MATCH($B199,'DRAFT 1'!$B:$B,0)),"")</f>
        <v/>
      </c>
      <c r="AM199">
        <f>IFERROR(INDEX('DRAFT 1'!$AI:$AI,MATCH($B199,'DRAFT 1'!$B:$B,0)),"")</f>
        <v/>
      </c>
      <c r="AN199">
        <f>IFERROR(INDEX('DRAFT 1'!$AJ:$AJ,MATCH($B199,'DRAFT 1'!$B:$B,0)),"")</f>
        <v/>
      </c>
      <c r="AO199">
        <f>IFERROR(Y199/AN199,0)</f>
        <v/>
      </c>
      <c r="AP199">
        <f>IFERROR(INDEX('DRAFT 1'!$AK:$AK,MATCH($B199,'DRAFT 1'!$B:$B,0)),"")</f>
        <v/>
      </c>
      <c r="AR199">
        <f>IFERROR(LOOKUP(2,1/('DRAFT 2'!$D:$D=$B199),'DRAFT 2'!$I:$I),"")</f>
        <v/>
      </c>
      <c r="AS199">
        <f>IFERROR(LOOKUP(2,1/('DRAFT 2'!$D:$D=$B199),'DRAFT 2'!$T:$T),"")</f>
        <v/>
      </c>
      <c r="AT199">
        <f>IFERROR(LOOKUP(2,1/('DRAFT 2'!$D:$D=$B199),'DRAFT 2'!$A:$A),"")</f>
        <v/>
      </c>
      <c r="AU199">
        <f>IFERROR(LOOKUP(2,1/('DRAFT 2'!$D:$D=$B199),'DRAFT 2'!$R:$R),"")</f>
        <v/>
      </c>
      <c r="AV199">
        <f>IFERROR(LOOKUP(2,1/('DRAFT 2'!$D:$D=$B199),'DRAFT 2'!$S:$S),"")</f>
        <v/>
      </c>
      <c r="AX199">
        <f>IFERROR(LOOKUP(2,1/('DRAFT 2'!$D:$D=$B199),'DRAFT 2'!$M:$M),"")</f>
        <v/>
      </c>
      <c r="AY199">
        <f>IFERROR(LOOKUP(2,1/('DRAFT 2'!$D:$D=$B199),'DRAFT 2'!$K:$K),"")</f>
        <v/>
      </c>
      <c r="BG199">
        <f>IFERROR(LOOKUP(2,1/('DRAFT 2'!$D:$D=$B199),'DRAFT 2'!$U:$U),"")</f>
        <v/>
      </c>
      <c r="BH199">
        <f>IFERROR(LOOKUP(2,1/('DRAFT 2'!$D:$D=$B199),'DRAFT 2'!$V:$V),"")</f>
        <v/>
      </c>
      <c r="CE199">
        <f>IFERROR(AJ199,0)</f>
        <v/>
      </c>
      <c r="CF199">
        <f>IFERROR(LOOKUP(2,1/('DRAFT 2'!$D:$D=$B199)*('DRAFT 2'!$A:$A&gt;=DATE(2026,1,1))*('DRAFT 2'!$A:$A&lt;DATE(2026,IF(1=12,1+1,1+1),1)),'DRAFT 2'!$A:$A),"")</f>
        <v/>
      </c>
      <c r="CG199">
        <f>COUNTIFS('DRAFT 2'!$D:$D,$B199,'DRAFT 2'!$A:$A,"&gt;="&amp;DATE(2026,1,1),'DRAFT 2'!$A:$A,"&lt;="&amp;DATE(2026,1,7))</f>
        <v/>
      </c>
      <c r="CH199">
        <f>COUNTIFS('DRAFT 2'!$D:$D,$B199,'DRAFT 2'!$A:$A,"&gt;="&amp;DATE(2026,1,8),'DRAFT 2'!$A:$A,"&lt;="&amp;DATE(2026,1,14))</f>
        <v/>
      </c>
      <c r="CI199">
        <f>COUNTIFS('DRAFT 2'!$D:$D,$B199,'DRAFT 2'!$A:$A,"&gt;="&amp;DATE(2026,1,15),'DRAFT 2'!$A:$A,"&lt;="&amp;DATE(2026,1,21))</f>
        <v/>
      </c>
      <c r="CJ199">
        <f>COUNTIFS('DRAFT 2'!$D:$D,$B199,'DRAFT 2'!$A:$A,"&gt;="&amp;DATE(2026,1,22),'DRAFT 2'!$A:$A,"&lt;"&amp;DATE(2026,IF(1=12,1+1,1+1),1))</f>
        <v/>
      </c>
      <c r="CK199">
        <f>SUM(CG199:CJ199)</f>
        <v/>
      </c>
      <c r="CT199" t="n">
        <v>0</v>
      </c>
      <c r="CU199">
        <f>IFERROR(LOOKUP(2,1/('DRAFT 2'!$D:$D=$B199)*('DRAFT 2'!$A:$A&gt;=DATE(2026,2,1))*('DRAFT 2'!$A:$A&lt;DATE(2026,IF(2=12,2+1,2+1),1)),'DRAFT 2'!$A:$A),"")</f>
        <v/>
      </c>
      <c r="CV199">
        <f>COUNTIFS('DRAFT 2'!$D:$D,$B199,'DRAFT 2'!$A:$A,"&gt;="&amp;DATE(2026,2,1),'DRAFT 2'!$A:$A,"&lt;="&amp;DATE(2026,2,7))</f>
        <v/>
      </c>
      <c r="CW199">
        <f>COUNTIFS('DRAFT 2'!$D:$D,$B199,'DRAFT 2'!$A:$A,"&gt;="&amp;DATE(2026,2,8),'DRAFT 2'!$A:$A,"&lt;="&amp;DATE(2026,2,14))</f>
        <v/>
      </c>
      <c r="CX199">
        <f>COUNTIFS('DRAFT 2'!$D:$D,$B199,'DRAFT 2'!$A:$A,"&gt;="&amp;DATE(2026,2,15),'DRAFT 2'!$A:$A,"&lt;="&amp;DATE(2026,2,21))</f>
        <v/>
      </c>
      <c r="CY199">
        <f>COUNTIFS('DRAFT 2'!$D:$D,$B199,'DRAFT 2'!$A:$A,"&gt;="&amp;DATE(2026,2,22),'DRAFT 2'!$A:$A,"&lt;"&amp;DATE(2026,IF(2=12,2+1,2+1),1))</f>
        <v/>
      </c>
      <c r="CZ199">
        <f>SUM(CV199:CY199)</f>
        <v/>
      </c>
      <c r="DJ199">
        <f>IFERROR(LOOKUP(2,1/('DRAFT 2'!$D:$D=$B199)*('DRAFT 2'!$A:$A&gt;=DATE(2026,3,1))*('DRAFT 2'!$A:$A&lt;DATE(2026,IF(3=12,3+1,3+1),1)),'DRAFT 2'!$A:$A),"")</f>
        <v/>
      </c>
      <c r="DK199">
        <f>COUNTIFS('DRAFT 2'!$D:$D,$B199,'DRAFT 2'!$A:$A,"&gt;="&amp;DATE(2026,3,1),'DRAFT 2'!$A:$A,"&lt;="&amp;DATE(2026,3,7))</f>
        <v/>
      </c>
      <c r="DL199">
        <f>COUNTIFS('DRAFT 2'!$D:$D,$B199,'DRAFT 2'!$A:$A,"&gt;="&amp;DATE(2026,3,8),'DRAFT 2'!$A:$A,"&lt;="&amp;DATE(2026,3,14))</f>
        <v/>
      </c>
      <c r="DM199">
        <f>COUNTIFS('DRAFT 2'!$D:$D,$B199,'DRAFT 2'!$A:$A,"&gt;="&amp;DATE(2026,3,15),'DRAFT 2'!$A:$A,"&lt;="&amp;DATE(2026,3,21))</f>
        <v/>
      </c>
      <c r="DN199">
        <f>COUNTIFS('DRAFT 2'!$D:$D,$B199,'DRAFT 2'!$A:$A,"&gt;="&amp;DATE(2026,3,22),'DRAFT 2'!$A:$A,"&lt;"&amp;DATE(2026,IF(3=12,3+1,3+1),1))</f>
        <v/>
      </c>
      <c r="DO199">
        <f>SUM(DK199:DN199)</f>
        <v/>
      </c>
      <c r="DZ199">
        <f>IFERROR(LOOKUP(2,1/('DRAFT 2'!$D:$D=$B199)*('DRAFT 2'!$A:$A&gt;=DATE(2026,4,1))*('DRAFT 2'!$A:$A&lt;DATE(2026,IF(4=12,4+1,4+1),1)),'DRAFT 2'!$A:$A),"")</f>
        <v/>
      </c>
      <c r="EA199">
        <f>COUNTIFS('DRAFT 2'!$D:$D,$B199,'DRAFT 2'!$A:$A,"&gt;="&amp;DATE(2026,4,1),'DRAFT 2'!$A:$A,"&lt;="&amp;DATE(2026,4,7))</f>
        <v/>
      </c>
      <c r="EB199">
        <f>COUNTIFS('DRAFT 2'!$D:$D,$B199,'DRAFT 2'!$A:$A,"&gt;="&amp;DATE(2026,4,8),'DRAFT 2'!$A:$A,"&lt;="&amp;DATE(2026,4,14))</f>
        <v/>
      </c>
      <c r="EC199">
        <f>COUNTIFS('DRAFT 2'!$D:$D,$B199,'DRAFT 2'!$A:$A,"&gt;="&amp;DATE(2026,4,15),'DRAFT 2'!$A:$A,"&lt;="&amp;DATE(2026,4,21))</f>
        <v/>
      </c>
      <c r="ED199">
        <f>COUNTIFS('DRAFT 2'!$D:$D,$B199,'DRAFT 2'!$A:$A,"&gt;="&amp;DATE(2026,4,22),'DRAFT 2'!$A:$A,"&lt;"&amp;DATE(2026,IF(4=12,4+1,4+1),1))</f>
        <v/>
      </c>
      <c r="EE199">
        <f>SUM(EA199:ED199)</f>
        <v/>
      </c>
      <c r="EO199">
        <f>IFERROR(LOOKUP(2,1/('DRAFT 2'!$D:$D=$B199)*('DRAFT 2'!$A:$A&gt;=DATE(2026,5,1))*('DRAFT 2'!$A:$A&lt;DATE(2026,IF(5=12,5+1,5+1),1)),'DRAFT 2'!$A:$A),"")</f>
        <v/>
      </c>
      <c r="EP199">
        <f>COUNTIFS('DRAFT 2'!$D:$D,$B199,'DRAFT 2'!$A:$A,"&gt;="&amp;DATE(2026,5,1),'DRAFT 2'!$A:$A,"&lt;="&amp;DATE(2026,5,7))</f>
        <v/>
      </c>
      <c r="EQ199">
        <f>COUNTIFS('DRAFT 2'!$D:$D,$B199,'DRAFT 2'!$A:$A,"&gt;="&amp;DATE(2026,5,8),'DRAFT 2'!$A:$A,"&lt;="&amp;DATE(2026,5,14))</f>
        <v/>
      </c>
      <c r="ER199">
        <f>COUNTIFS('DRAFT 2'!$D:$D,$B199,'DRAFT 2'!$A:$A,"&gt;="&amp;DATE(2026,5,15),'DRAFT 2'!$A:$A,"&lt;="&amp;DATE(2026,5,21))</f>
        <v/>
      </c>
      <c r="ES199">
        <f>COUNTIFS('DRAFT 2'!$D:$D,$B199,'DRAFT 2'!$A:$A,"&gt;="&amp;DATE(2026,5,22),'DRAFT 2'!$A:$A,"&lt;"&amp;DATE(2026,IF(5=12,5+1,5+1),1))</f>
        <v/>
      </c>
      <c r="ET199">
        <f>SUM(EP199:ES199)</f>
        <v/>
      </c>
      <c r="FD199">
        <f>IFERROR(LOOKUP(2,1/('DRAFT 2'!$D:$D=$B199)*('DRAFT 2'!$A:$A&gt;=DATE(2026,6,1))*('DRAFT 2'!$A:$A&lt;DATE(2026,IF(6=12,6+1,6+1),1)),'DRAFT 2'!$A:$A),"")</f>
        <v/>
      </c>
      <c r="FE199">
        <f>COUNTIFS('DRAFT 2'!$D:$D,$B199,'DRAFT 2'!$A:$A,"&gt;="&amp;DATE(2026,6,1),'DRAFT 2'!$A:$A,"&lt;="&amp;DATE(2026,6,7))</f>
        <v/>
      </c>
      <c r="FF199">
        <f>COUNTIFS('DRAFT 2'!$D:$D,$B199,'DRAFT 2'!$A:$A,"&gt;="&amp;DATE(2026,6,8),'DRAFT 2'!$A:$A,"&lt;="&amp;DATE(2026,6,14))</f>
        <v/>
      </c>
      <c r="FG199">
        <f>COUNTIFS('DRAFT 2'!$D:$D,$B199,'DRAFT 2'!$A:$A,"&gt;="&amp;DATE(2026,6,15),'DRAFT 2'!$A:$A,"&lt;="&amp;DATE(2026,6,21))</f>
        <v/>
      </c>
      <c r="FH199">
        <f>COUNTIFS('DRAFT 2'!$D:$D,$B199,'DRAFT 2'!$A:$A,"&gt;="&amp;DATE(2026,6,22),'DRAFT 2'!$A:$A,"&lt;"&amp;DATE(2026,IF(6=12,6+1,6+1),1))</f>
        <v/>
      </c>
      <c r="FI199">
        <f>SUM(FE199:FH199)</f>
        <v/>
      </c>
      <c r="FT199">
        <f>IFERROR(LOOKUP(2,1/('DRAFT 2'!$D:$D=$B199)*('DRAFT 2'!$A:$A&gt;=DATE(2026,7,1))*('DRAFT 2'!$A:$A&lt;DATE(2026,IF(7=12,7+1,7+1),1)),'DRAFT 2'!$A:$A),"")</f>
        <v/>
      </c>
      <c r="FU199">
        <f>COUNTIFS('DRAFT 2'!$D:$D,$B199,'DRAFT 2'!$A:$A,"&gt;="&amp;DATE(2026,7,1),'DRAFT 2'!$A:$A,"&lt;="&amp;DATE(2026,7,7))</f>
        <v/>
      </c>
      <c r="FV199">
        <f>COUNTIFS('DRAFT 2'!$D:$D,$B199,'DRAFT 2'!$A:$A,"&gt;="&amp;DATE(2026,7,8),'DRAFT 2'!$A:$A,"&lt;="&amp;DATE(2026,7,14))</f>
        <v/>
      </c>
      <c r="FW199">
        <f>COUNTIFS('DRAFT 2'!$D:$D,$B199,'DRAFT 2'!$A:$A,"&gt;="&amp;DATE(2026,7,15),'DRAFT 2'!$A:$A,"&lt;="&amp;DATE(2026,7,21))</f>
        <v/>
      </c>
      <c r="FX199">
        <f>COUNTIFS('DRAFT 2'!$D:$D,$B199,'DRAFT 2'!$A:$A,"&gt;="&amp;DATE(2026,7,22),'DRAFT 2'!$A:$A,"&lt;"&amp;DATE(2026,IF(7=12,7+1,7+1),1))</f>
        <v/>
      </c>
      <c r="FY199">
        <f>SUM(FU199:FX199)</f>
        <v/>
      </c>
      <c r="GI199">
        <f>IFERROR(LOOKUP(2,1/('DRAFT 2'!$D:$D=$B199)*('DRAFT 2'!$A:$A&gt;=DATE(2026,8,1))*('DRAFT 2'!$A:$A&lt;DATE(2026,IF(8=12,8+1,8+1),1)),'DRAFT 2'!$A:$A),"")</f>
        <v/>
      </c>
      <c r="GJ199">
        <f>COUNTIFS('DRAFT 2'!$D:$D,$B199,'DRAFT 2'!$A:$A,"&gt;="&amp;DATE(2026,8,1),'DRAFT 2'!$A:$A,"&lt;="&amp;DATE(2026,8,7))</f>
        <v/>
      </c>
      <c r="GK199">
        <f>COUNTIFS('DRAFT 2'!$D:$D,$B199,'DRAFT 2'!$A:$A,"&gt;="&amp;DATE(2026,8,8),'DRAFT 2'!$A:$A,"&lt;="&amp;DATE(2026,8,14))</f>
        <v/>
      </c>
      <c r="GL199">
        <f>COUNTIFS('DRAFT 2'!$D:$D,$B199,'DRAFT 2'!$A:$A,"&gt;="&amp;DATE(2026,8,15),'DRAFT 2'!$A:$A,"&lt;="&amp;DATE(2026,8,21))</f>
        <v/>
      </c>
      <c r="GM199">
        <f>COUNTIFS('DRAFT 2'!$D:$D,$B199,'DRAFT 2'!$A:$A,"&gt;="&amp;DATE(2026,8,22),'DRAFT 2'!$A:$A,"&lt;"&amp;DATE(2026,IF(8=12,8+1,8+1),1))</f>
        <v/>
      </c>
      <c r="GN199">
        <f>SUM(GJ199:GM199)</f>
        <v/>
      </c>
      <c r="GX199">
        <f>IFERROR(LOOKUP(2,1/('DRAFT 2'!$D:$D=$B199)*('DRAFT 2'!$A:$A&gt;=DATE(2026,9,1))*('DRAFT 2'!$A:$A&lt;DATE(2026,IF(9=12,9+1,9+1),1)),'DRAFT 2'!$A:$A),"")</f>
        <v/>
      </c>
      <c r="GY199">
        <f>COUNTIFS('DRAFT 2'!$D:$D,$B199,'DRAFT 2'!$A:$A,"&gt;="&amp;DATE(2026,9,1),'DRAFT 2'!$A:$A,"&lt;="&amp;DATE(2026,9,7))</f>
        <v/>
      </c>
      <c r="GZ199">
        <f>COUNTIFS('DRAFT 2'!$D:$D,$B199,'DRAFT 2'!$A:$A,"&gt;="&amp;DATE(2026,9,8),'DRAFT 2'!$A:$A,"&lt;="&amp;DATE(2026,9,14))</f>
        <v/>
      </c>
      <c r="HA199">
        <f>COUNTIFS('DRAFT 2'!$D:$D,$B199,'DRAFT 2'!$A:$A,"&gt;="&amp;DATE(2026,9,15),'DRAFT 2'!$A:$A,"&lt;="&amp;DATE(2026,9,21))</f>
        <v/>
      </c>
      <c r="HB199">
        <f>COUNTIFS('DRAFT 2'!$D:$D,$B199,'DRAFT 2'!$A:$A,"&gt;="&amp;DATE(2026,9,22),'DRAFT 2'!$A:$A,"&lt;"&amp;DATE(2026,IF(9=12,9+1,9+1),1))</f>
        <v/>
      </c>
      <c r="HC199">
        <f>SUM(GY199:HB199)</f>
        <v/>
      </c>
      <c r="HN199">
        <f>IFERROR(LOOKUP(2,1/('DRAFT 2'!$D:$D=$B199)*('DRAFT 2'!$A:$A&gt;=DATE(2026,10,1))*('DRAFT 2'!$A:$A&lt;DATE(2026,IF(10=12,10+1,10+1),1)),'DRAFT 2'!$A:$A),"")</f>
        <v/>
      </c>
      <c r="HO199">
        <f>COUNTIFS('DRAFT 2'!$D:$D,$B199,'DRAFT 2'!$A:$A,"&gt;="&amp;DATE(2026,10,1),'DRAFT 2'!$A:$A,"&lt;="&amp;DATE(2026,10,7))</f>
        <v/>
      </c>
      <c r="HP199">
        <f>COUNTIFS('DRAFT 2'!$D:$D,$B199,'DRAFT 2'!$A:$A,"&gt;="&amp;DATE(2026,10,8),'DRAFT 2'!$A:$A,"&lt;="&amp;DATE(2026,10,14))</f>
        <v/>
      </c>
      <c r="HQ199">
        <f>COUNTIFS('DRAFT 2'!$D:$D,$B199,'DRAFT 2'!$A:$A,"&gt;="&amp;DATE(2026,10,15),'DRAFT 2'!$A:$A,"&lt;="&amp;DATE(2026,10,21))</f>
        <v/>
      </c>
      <c r="HR199">
        <f>COUNTIFS('DRAFT 2'!$D:$D,$B199,'DRAFT 2'!$A:$A,"&gt;="&amp;DATE(2026,10,22),'DRAFT 2'!$A:$A,"&lt;"&amp;DATE(2026,IF(10=12,10+1,10+1),1))</f>
        <v/>
      </c>
      <c r="HS199">
        <f>SUM(HO199:HR199)</f>
        <v/>
      </c>
      <c r="IC199">
        <f>IFERROR(LOOKUP(2,1/('DRAFT 2'!$D:$D=$B199)*('DRAFT 2'!$A:$A&gt;=DATE(2026,11,1))*('DRAFT 2'!$A:$A&lt;DATE(2026,IF(11=12,11+1,11+1),1)),'DRAFT 2'!$A:$A),"")</f>
        <v/>
      </c>
      <c r="ID199">
        <f>COUNTIFS('DRAFT 2'!$D:$D,$B199,'DRAFT 2'!$A:$A,"&gt;="&amp;DATE(2026,11,1),'DRAFT 2'!$A:$A,"&lt;="&amp;DATE(2026,11,7))</f>
        <v/>
      </c>
      <c r="IE199">
        <f>COUNTIFS('DRAFT 2'!$D:$D,$B199,'DRAFT 2'!$A:$A,"&gt;="&amp;DATE(2026,11,8),'DRAFT 2'!$A:$A,"&lt;="&amp;DATE(2026,11,14))</f>
        <v/>
      </c>
      <c r="IF199">
        <f>COUNTIFS('DRAFT 2'!$D:$D,$B199,'DRAFT 2'!$A:$A,"&gt;="&amp;DATE(2026,11,15),'DRAFT 2'!$A:$A,"&lt;="&amp;DATE(2026,11,21))</f>
        <v/>
      </c>
      <c r="IG199">
        <f>COUNTIFS('DRAFT 2'!$D:$D,$B199,'DRAFT 2'!$A:$A,"&gt;="&amp;DATE(2026,11,22),'DRAFT 2'!$A:$A,"&lt;"&amp;DATE(2026,IF(11=12,11+1,11+1),1))</f>
        <v/>
      </c>
      <c r="IH199">
        <f>SUM(ID199:IG199)</f>
        <v/>
      </c>
      <c r="IR199">
        <f>IFERROR(LOOKUP(2,1/('DRAFT 2'!$D:$D=$B199)*('DRAFT 2'!$A:$A&gt;=DATE(2026,12,1))*('DRAFT 2'!$A:$A&lt;DATE(2026,IF(12=12,12+1,12+1),1)),'DRAFT 2'!$A:$A),"")</f>
        <v/>
      </c>
      <c r="IS199">
        <f>COUNTIFS('DRAFT 2'!$D:$D,$B199,'DRAFT 2'!$A:$A,"&gt;="&amp;DATE(2026,12,1),'DRAFT 2'!$A:$A,"&lt;="&amp;DATE(2026,12,7))</f>
        <v/>
      </c>
      <c r="IT199">
        <f>COUNTIFS('DRAFT 2'!$D:$D,$B199,'DRAFT 2'!$A:$A,"&gt;="&amp;DATE(2026,12,8),'DRAFT 2'!$A:$A,"&lt;="&amp;DATE(2026,12,14))</f>
        <v/>
      </c>
      <c r="IU199">
        <f>COUNTIFS('DRAFT 2'!$D:$D,$B199,'DRAFT 2'!$A:$A,"&gt;="&amp;DATE(2026,12,15),'DRAFT 2'!$A:$A,"&lt;="&amp;DATE(2026,12,21))</f>
        <v/>
      </c>
      <c r="IV199">
        <f>COUNTIFS('DRAFT 2'!$D:$D,$B199,'DRAFT 2'!$A:$A,"&gt;="&amp;DATE(2026,12,22),'DRAFT 2'!$A:$A,"&lt;"&amp;DATE(2026,IF(12=12,12+1,12+1),1))</f>
        <v/>
      </c>
      <c r="IW199">
        <f>SUM(IS199:IV199)</f>
        <v/>
      </c>
    </row>
    <row r="200">
      <c r="A200">
        <f>IFERROR(INDEX('DRAFT 1'!$A:$A,MATCH($B200,'DRAFT 1'!$B:$B,0)),"")</f>
        <v/>
      </c>
      <c r="C200">
        <f>IFERROR(INDEX('DRAFT 1'!$C:$C,MATCH($B200,'DRAFT 1'!$B:$B,0)),"")</f>
        <v/>
      </c>
      <c r="D200">
        <f>IFERROR(INDEX('DRAFT 1'!$D:$D,MATCH($B200,'DRAFT 1'!$B:$B,0)),"")</f>
        <v/>
      </c>
      <c r="E200">
        <f>IFERROR(INDEX('DRAFT 1'!$E:$E,MATCH($B200,'DRAFT 1'!$B:$B,0)),"")</f>
        <v/>
      </c>
      <c r="F200">
        <f>IFERROR(INDEX('DRAFT 1'!$F:$F,MATCH($B200,'DRAFT 1'!$B:$B,0)),"")</f>
        <v/>
      </c>
      <c r="G200">
        <f>IFERROR(INDEX('DRAFT 1'!$G:$G,MATCH($B200,'DRAFT 1'!$B:$B,0)),"")</f>
        <v/>
      </c>
      <c r="H200">
        <f>IFERROR(INDEX('DRAFT 1'!$H:$H,MATCH($B200,'DRAFT 1'!$B:$B,0)),"")</f>
        <v/>
      </c>
      <c r="I200">
        <f>IFERROR(INDEX('DRAFT 1'!$I:$I,MATCH($B200,'DRAFT 1'!$B:$B,0)),"")</f>
        <v/>
      </c>
      <c r="K200">
        <f>IFERROR(INDEX('DRAFT 1'!$AL:$AL,MATCH($B200,'DRAFT 1'!$B:$B,0)),"")</f>
        <v/>
      </c>
      <c r="L200">
        <f>IFERROR(INDEX('DRAFT 1'!$J:$J,MATCH($B200,'DRAFT 1'!$B:$B,0)),"")</f>
        <v/>
      </c>
      <c r="M200">
        <f>IFERROR(INDEX('DRAFT 1'!$K:$K,MATCH($B200,'DRAFT 1'!$B:$B,0)),"")</f>
        <v/>
      </c>
      <c r="P200">
        <f>IFERROR(INDEX('DRAFT 1'!$L:$L,MATCH($B200,'DRAFT 1'!$B:$B,0)),"")</f>
        <v/>
      </c>
      <c r="Q200">
        <f>IFERROR(INDEX('DRAFT 1'!$M:$M,MATCH($B200,'DRAFT 1'!$B:$B,0)),"")</f>
        <v/>
      </c>
      <c r="R200">
        <f>IFERROR(INDEX('DRAFT 1'!$N:$N,MATCH($B200,'DRAFT 1'!$B:$B,0)),"")</f>
        <v/>
      </c>
      <c r="S200">
        <f>IFERROR(INDEX('DRAFT 1'!$O:$O,MATCH($B200,'DRAFT 1'!$B:$B,0)),"")</f>
        <v/>
      </c>
      <c r="T200">
        <f>IFERROR(INDEX('DRAFT 1'!$P:$P,MATCH($B200,'DRAFT 1'!$B:$B,0)),"")</f>
        <v/>
      </c>
      <c r="U200">
        <f>IFERROR(INDEX('DRAFT 1'!$Q:$Q,MATCH($B200,'DRAFT 1'!$B:$B,0)),"")</f>
        <v/>
      </c>
      <c r="V200">
        <f>IFERROR(INDEX('DRAFT 1'!$R:$R,MATCH($B200,'DRAFT 1'!$B:$B,0)),"")</f>
        <v/>
      </c>
      <c r="W200">
        <f>IFERROR(INDEX('DRAFT 1'!$S:$S,MATCH($B200,'DRAFT 1'!$B:$B,0)),"")</f>
        <v/>
      </c>
      <c r="X200">
        <f>IFERROR(INDEX('DRAFT 1'!$T:$T,MATCH($B200,'DRAFT 1'!$B:$B,0)),"")</f>
        <v/>
      </c>
      <c r="Z200">
        <f>IFERROR(INDEX('DRAFT 1'!$U:$U,MATCH($B200,'DRAFT 1'!$B:$B,0)),"")</f>
        <v/>
      </c>
      <c r="AA200">
        <f>IFERROR(INDEX('DRAFT 1'!$V:$V,MATCH($B200,'DRAFT 1'!$B:$B,0)),"")</f>
        <v/>
      </c>
      <c r="AB200">
        <f>IFERROR(INDEX('DRAFT 1'!$W:$W,MATCH($B200,'DRAFT 1'!$B:$B,0)),"")</f>
        <v/>
      </c>
      <c r="AC200">
        <f>IFERROR(INDEX('DRAFT 1'!$X:$X,MATCH($B200,'DRAFT 1'!$B:$B,0)),"")</f>
        <v/>
      </c>
      <c r="AD200">
        <f>IFERROR(INDEX('DRAFT 1'!$Y:$Y,MATCH($B200,'DRAFT 1'!$B:$B,0)),"")</f>
        <v/>
      </c>
      <c r="AE200">
        <f>IFERROR(INDEX('DRAFT 1'!$Z:$Z,MATCH($B200,'DRAFT 1'!$B:$B,0)),"")</f>
        <v/>
      </c>
      <c r="AF200">
        <f>IFERROR(INDEX('DRAFT 1'!$AA:$AA,MATCH($B200,'DRAFT 1'!$B:$B,0)),"")</f>
        <v/>
      </c>
      <c r="AG200">
        <f>IFERROR(INDEX('DRAFT 1'!$AB:$AB,MATCH($B200,'DRAFT 1'!$B:$B,0)),"")</f>
        <v/>
      </c>
      <c r="AH200">
        <f>IFERROR(INDEX('DRAFT 1'!$AC:$AC,MATCH($B200,'DRAFT 1'!$B:$B,0)),"")</f>
        <v/>
      </c>
      <c r="AI200">
        <f>IFERROR(INDEX('DRAFT 1'!$AD:$AD,MATCH($B200,'DRAFT 1'!$B:$B,0)),"")</f>
        <v/>
      </c>
      <c r="AJ200">
        <f>IFERROR(INDEX('DRAFT 1'!$AE:$AE,MATCH($B200,'DRAFT 1'!$B:$B,0)),"")</f>
        <v/>
      </c>
      <c r="AK200">
        <f>IFERROR(INDEX('DRAFT 1'!$AG:$AG,MATCH($B200,'DRAFT 1'!$B:$B,0)),"")</f>
        <v/>
      </c>
      <c r="AL200">
        <f>IFERROR(INDEX('DRAFT 1'!$AH:$AH,MATCH($B200,'DRAFT 1'!$B:$B,0)),"")</f>
        <v/>
      </c>
      <c r="AM200">
        <f>IFERROR(INDEX('DRAFT 1'!$AI:$AI,MATCH($B200,'DRAFT 1'!$B:$B,0)),"")</f>
        <v/>
      </c>
      <c r="AN200">
        <f>IFERROR(INDEX('DRAFT 1'!$AJ:$AJ,MATCH($B200,'DRAFT 1'!$B:$B,0)),"")</f>
        <v/>
      </c>
      <c r="AO200">
        <f>IFERROR(Y200/AN200,0)</f>
        <v/>
      </c>
      <c r="AP200">
        <f>IFERROR(INDEX('DRAFT 1'!$AK:$AK,MATCH($B200,'DRAFT 1'!$B:$B,0)),"")</f>
        <v/>
      </c>
      <c r="AR200">
        <f>IFERROR(LOOKUP(2,1/('DRAFT 2'!$D:$D=$B200),'DRAFT 2'!$I:$I),"")</f>
        <v/>
      </c>
      <c r="AS200">
        <f>IFERROR(LOOKUP(2,1/('DRAFT 2'!$D:$D=$B200),'DRAFT 2'!$T:$T),"")</f>
        <v/>
      </c>
      <c r="AT200">
        <f>IFERROR(LOOKUP(2,1/('DRAFT 2'!$D:$D=$B200),'DRAFT 2'!$A:$A),"")</f>
        <v/>
      </c>
      <c r="AU200">
        <f>IFERROR(LOOKUP(2,1/('DRAFT 2'!$D:$D=$B200),'DRAFT 2'!$R:$R),"")</f>
        <v/>
      </c>
      <c r="AV200">
        <f>IFERROR(LOOKUP(2,1/('DRAFT 2'!$D:$D=$B200),'DRAFT 2'!$S:$S),"")</f>
        <v/>
      </c>
      <c r="AX200">
        <f>IFERROR(LOOKUP(2,1/('DRAFT 2'!$D:$D=$B200),'DRAFT 2'!$M:$M),"")</f>
        <v/>
      </c>
      <c r="AY200">
        <f>IFERROR(LOOKUP(2,1/('DRAFT 2'!$D:$D=$B200),'DRAFT 2'!$K:$K),"")</f>
        <v/>
      </c>
      <c r="BG200">
        <f>IFERROR(LOOKUP(2,1/('DRAFT 2'!$D:$D=$B200),'DRAFT 2'!$U:$U),"")</f>
        <v/>
      </c>
      <c r="BH200">
        <f>IFERROR(LOOKUP(2,1/('DRAFT 2'!$D:$D=$B200),'DRAFT 2'!$V:$V),"")</f>
        <v/>
      </c>
      <c r="CE200">
        <f>IFERROR(AJ200,0)</f>
        <v/>
      </c>
      <c r="CF200">
        <f>IFERROR(LOOKUP(2,1/('DRAFT 2'!$D:$D=$B200)*('DRAFT 2'!$A:$A&gt;=DATE(2026,1,1))*('DRAFT 2'!$A:$A&lt;DATE(2026,IF(1=12,1+1,1+1),1)),'DRAFT 2'!$A:$A),"")</f>
        <v/>
      </c>
      <c r="CG200">
        <f>COUNTIFS('DRAFT 2'!$D:$D,$B200,'DRAFT 2'!$A:$A,"&gt;="&amp;DATE(2026,1,1),'DRAFT 2'!$A:$A,"&lt;="&amp;DATE(2026,1,7))</f>
        <v/>
      </c>
      <c r="CH200">
        <f>COUNTIFS('DRAFT 2'!$D:$D,$B200,'DRAFT 2'!$A:$A,"&gt;="&amp;DATE(2026,1,8),'DRAFT 2'!$A:$A,"&lt;="&amp;DATE(2026,1,14))</f>
        <v/>
      </c>
      <c r="CI200">
        <f>COUNTIFS('DRAFT 2'!$D:$D,$B200,'DRAFT 2'!$A:$A,"&gt;="&amp;DATE(2026,1,15),'DRAFT 2'!$A:$A,"&lt;="&amp;DATE(2026,1,21))</f>
        <v/>
      </c>
      <c r="CJ200">
        <f>COUNTIFS('DRAFT 2'!$D:$D,$B200,'DRAFT 2'!$A:$A,"&gt;="&amp;DATE(2026,1,22),'DRAFT 2'!$A:$A,"&lt;"&amp;DATE(2026,IF(1=12,1+1,1+1),1))</f>
        <v/>
      </c>
      <c r="CK200">
        <f>SUM(CG200:CJ200)</f>
        <v/>
      </c>
      <c r="CT200" t="n">
        <v>0</v>
      </c>
      <c r="CU200">
        <f>IFERROR(LOOKUP(2,1/('DRAFT 2'!$D:$D=$B200)*('DRAFT 2'!$A:$A&gt;=DATE(2026,2,1))*('DRAFT 2'!$A:$A&lt;DATE(2026,IF(2=12,2+1,2+1),1)),'DRAFT 2'!$A:$A),"")</f>
        <v/>
      </c>
      <c r="CV200">
        <f>COUNTIFS('DRAFT 2'!$D:$D,$B200,'DRAFT 2'!$A:$A,"&gt;="&amp;DATE(2026,2,1),'DRAFT 2'!$A:$A,"&lt;="&amp;DATE(2026,2,7))</f>
        <v/>
      </c>
      <c r="CW200">
        <f>COUNTIFS('DRAFT 2'!$D:$D,$B200,'DRAFT 2'!$A:$A,"&gt;="&amp;DATE(2026,2,8),'DRAFT 2'!$A:$A,"&lt;="&amp;DATE(2026,2,14))</f>
        <v/>
      </c>
      <c r="CX200">
        <f>COUNTIFS('DRAFT 2'!$D:$D,$B200,'DRAFT 2'!$A:$A,"&gt;="&amp;DATE(2026,2,15),'DRAFT 2'!$A:$A,"&lt;="&amp;DATE(2026,2,21))</f>
        <v/>
      </c>
      <c r="CY200">
        <f>COUNTIFS('DRAFT 2'!$D:$D,$B200,'DRAFT 2'!$A:$A,"&gt;="&amp;DATE(2026,2,22),'DRAFT 2'!$A:$A,"&lt;"&amp;DATE(2026,IF(2=12,2+1,2+1),1))</f>
        <v/>
      </c>
      <c r="CZ200">
        <f>SUM(CV200:CY200)</f>
        <v/>
      </c>
      <c r="DJ200">
        <f>IFERROR(LOOKUP(2,1/('DRAFT 2'!$D:$D=$B200)*('DRAFT 2'!$A:$A&gt;=DATE(2026,3,1))*('DRAFT 2'!$A:$A&lt;DATE(2026,IF(3=12,3+1,3+1),1)),'DRAFT 2'!$A:$A),"")</f>
        <v/>
      </c>
      <c r="DK200">
        <f>COUNTIFS('DRAFT 2'!$D:$D,$B200,'DRAFT 2'!$A:$A,"&gt;="&amp;DATE(2026,3,1),'DRAFT 2'!$A:$A,"&lt;="&amp;DATE(2026,3,7))</f>
        <v/>
      </c>
      <c r="DL200">
        <f>COUNTIFS('DRAFT 2'!$D:$D,$B200,'DRAFT 2'!$A:$A,"&gt;="&amp;DATE(2026,3,8),'DRAFT 2'!$A:$A,"&lt;="&amp;DATE(2026,3,14))</f>
        <v/>
      </c>
      <c r="DM200">
        <f>COUNTIFS('DRAFT 2'!$D:$D,$B200,'DRAFT 2'!$A:$A,"&gt;="&amp;DATE(2026,3,15),'DRAFT 2'!$A:$A,"&lt;="&amp;DATE(2026,3,21))</f>
        <v/>
      </c>
      <c r="DN200">
        <f>COUNTIFS('DRAFT 2'!$D:$D,$B200,'DRAFT 2'!$A:$A,"&gt;="&amp;DATE(2026,3,22),'DRAFT 2'!$A:$A,"&lt;"&amp;DATE(2026,IF(3=12,3+1,3+1),1))</f>
        <v/>
      </c>
      <c r="DO200">
        <f>SUM(DK200:DN200)</f>
        <v/>
      </c>
      <c r="DZ200">
        <f>IFERROR(LOOKUP(2,1/('DRAFT 2'!$D:$D=$B200)*('DRAFT 2'!$A:$A&gt;=DATE(2026,4,1))*('DRAFT 2'!$A:$A&lt;DATE(2026,IF(4=12,4+1,4+1),1)),'DRAFT 2'!$A:$A),"")</f>
        <v/>
      </c>
      <c r="EA200">
        <f>COUNTIFS('DRAFT 2'!$D:$D,$B200,'DRAFT 2'!$A:$A,"&gt;="&amp;DATE(2026,4,1),'DRAFT 2'!$A:$A,"&lt;="&amp;DATE(2026,4,7))</f>
        <v/>
      </c>
      <c r="EB200">
        <f>COUNTIFS('DRAFT 2'!$D:$D,$B200,'DRAFT 2'!$A:$A,"&gt;="&amp;DATE(2026,4,8),'DRAFT 2'!$A:$A,"&lt;="&amp;DATE(2026,4,14))</f>
        <v/>
      </c>
      <c r="EC200">
        <f>COUNTIFS('DRAFT 2'!$D:$D,$B200,'DRAFT 2'!$A:$A,"&gt;="&amp;DATE(2026,4,15),'DRAFT 2'!$A:$A,"&lt;="&amp;DATE(2026,4,21))</f>
        <v/>
      </c>
      <c r="ED200">
        <f>COUNTIFS('DRAFT 2'!$D:$D,$B200,'DRAFT 2'!$A:$A,"&gt;="&amp;DATE(2026,4,22),'DRAFT 2'!$A:$A,"&lt;"&amp;DATE(2026,IF(4=12,4+1,4+1),1))</f>
        <v/>
      </c>
      <c r="EE200">
        <f>SUM(EA200:ED200)</f>
        <v/>
      </c>
      <c r="EO200">
        <f>IFERROR(LOOKUP(2,1/('DRAFT 2'!$D:$D=$B200)*('DRAFT 2'!$A:$A&gt;=DATE(2026,5,1))*('DRAFT 2'!$A:$A&lt;DATE(2026,IF(5=12,5+1,5+1),1)),'DRAFT 2'!$A:$A),"")</f>
        <v/>
      </c>
      <c r="EP200">
        <f>COUNTIFS('DRAFT 2'!$D:$D,$B200,'DRAFT 2'!$A:$A,"&gt;="&amp;DATE(2026,5,1),'DRAFT 2'!$A:$A,"&lt;="&amp;DATE(2026,5,7))</f>
        <v/>
      </c>
      <c r="EQ200">
        <f>COUNTIFS('DRAFT 2'!$D:$D,$B200,'DRAFT 2'!$A:$A,"&gt;="&amp;DATE(2026,5,8),'DRAFT 2'!$A:$A,"&lt;="&amp;DATE(2026,5,14))</f>
        <v/>
      </c>
      <c r="ER200">
        <f>COUNTIFS('DRAFT 2'!$D:$D,$B200,'DRAFT 2'!$A:$A,"&gt;="&amp;DATE(2026,5,15),'DRAFT 2'!$A:$A,"&lt;="&amp;DATE(2026,5,21))</f>
        <v/>
      </c>
      <c r="ES200">
        <f>COUNTIFS('DRAFT 2'!$D:$D,$B200,'DRAFT 2'!$A:$A,"&gt;="&amp;DATE(2026,5,22),'DRAFT 2'!$A:$A,"&lt;"&amp;DATE(2026,IF(5=12,5+1,5+1),1))</f>
        <v/>
      </c>
      <c r="ET200">
        <f>SUM(EP200:ES200)</f>
        <v/>
      </c>
      <c r="FD200">
        <f>IFERROR(LOOKUP(2,1/('DRAFT 2'!$D:$D=$B200)*('DRAFT 2'!$A:$A&gt;=DATE(2026,6,1))*('DRAFT 2'!$A:$A&lt;DATE(2026,IF(6=12,6+1,6+1),1)),'DRAFT 2'!$A:$A),"")</f>
        <v/>
      </c>
      <c r="FE200">
        <f>COUNTIFS('DRAFT 2'!$D:$D,$B200,'DRAFT 2'!$A:$A,"&gt;="&amp;DATE(2026,6,1),'DRAFT 2'!$A:$A,"&lt;="&amp;DATE(2026,6,7))</f>
        <v/>
      </c>
      <c r="FF200">
        <f>COUNTIFS('DRAFT 2'!$D:$D,$B200,'DRAFT 2'!$A:$A,"&gt;="&amp;DATE(2026,6,8),'DRAFT 2'!$A:$A,"&lt;="&amp;DATE(2026,6,14))</f>
        <v/>
      </c>
      <c r="FG200">
        <f>COUNTIFS('DRAFT 2'!$D:$D,$B200,'DRAFT 2'!$A:$A,"&gt;="&amp;DATE(2026,6,15),'DRAFT 2'!$A:$A,"&lt;="&amp;DATE(2026,6,21))</f>
        <v/>
      </c>
      <c r="FH200">
        <f>COUNTIFS('DRAFT 2'!$D:$D,$B200,'DRAFT 2'!$A:$A,"&gt;="&amp;DATE(2026,6,22),'DRAFT 2'!$A:$A,"&lt;"&amp;DATE(2026,IF(6=12,6+1,6+1),1))</f>
        <v/>
      </c>
      <c r="FI200">
        <f>SUM(FE200:FH200)</f>
        <v/>
      </c>
      <c r="FT200">
        <f>IFERROR(LOOKUP(2,1/('DRAFT 2'!$D:$D=$B200)*('DRAFT 2'!$A:$A&gt;=DATE(2026,7,1))*('DRAFT 2'!$A:$A&lt;DATE(2026,IF(7=12,7+1,7+1),1)),'DRAFT 2'!$A:$A),"")</f>
        <v/>
      </c>
      <c r="FU200">
        <f>COUNTIFS('DRAFT 2'!$D:$D,$B200,'DRAFT 2'!$A:$A,"&gt;="&amp;DATE(2026,7,1),'DRAFT 2'!$A:$A,"&lt;="&amp;DATE(2026,7,7))</f>
        <v/>
      </c>
      <c r="FV200">
        <f>COUNTIFS('DRAFT 2'!$D:$D,$B200,'DRAFT 2'!$A:$A,"&gt;="&amp;DATE(2026,7,8),'DRAFT 2'!$A:$A,"&lt;="&amp;DATE(2026,7,14))</f>
        <v/>
      </c>
      <c r="FW200">
        <f>COUNTIFS('DRAFT 2'!$D:$D,$B200,'DRAFT 2'!$A:$A,"&gt;="&amp;DATE(2026,7,15),'DRAFT 2'!$A:$A,"&lt;="&amp;DATE(2026,7,21))</f>
        <v/>
      </c>
      <c r="FX200">
        <f>COUNTIFS('DRAFT 2'!$D:$D,$B200,'DRAFT 2'!$A:$A,"&gt;="&amp;DATE(2026,7,22),'DRAFT 2'!$A:$A,"&lt;"&amp;DATE(2026,IF(7=12,7+1,7+1),1))</f>
        <v/>
      </c>
      <c r="FY200">
        <f>SUM(FU200:FX200)</f>
        <v/>
      </c>
      <c r="GI200">
        <f>IFERROR(LOOKUP(2,1/('DRAFT 2'!$D:$D=$B200)*('DRAFT 2'!$A:$A&gt;=DATE(2026,8,1))*('DRAFT 2'!$A:$A&lt;DATE(2026,IF(8=12,8+1,8+1),1)),'DRAFT 2'!$A:$A),"")</f>
        <v/>
      </c>
      <c r="GJ200">
        <f>COUNTIFS('DRAFT 2'!$D:$D,$B200,'DRAFT 2'!$A:$A,"&gt;="&amp;DATE(2026,8,1),'DRAFT 2'!$A:$A,"&lt;="&amp;DATE(2026,8,7))</f>
        <v/>
      </c>
      <c r="GK200">
        <f>COUNTIFS('DRAFT 2'!$D:$D,$B200,'DRAFT 2'!$A:$A,"&gt;="&amp;DATE(2026,8,8),'DRAFT 2'!$A:$A,"&lt;="&amp;DATE(2026,8,14))</f>
        <v/>
      </c>
      <c r="GL200">
        <f>COUNTIFS('DRAFT 2'!$D:$D,$B200,'DRAFT 2'!$A:$A,"&gt;="&amp;DATE(2026,8,15),'DRAFT 2'!$A:$A,"&lt;="&amp;DATE(2026,8,21))</f>
        <v/>
      </c>
      <c r="GM200">
        <f>COUNTIFS('DRAFT 2'!$D:$D,$B200,'DRAFT 2'!$A:$A,"&gt;="&amp;DATE(2026,8,22),'DRAFT 2'!$A:$A,"&lt;"&amp;DATE(2026,IF(8=12,8+1,8+1),1))</f>
        <v/>
      </c>
      <c r="GN200">
        <f>SUM(GJ200:GM200)</f>
        <v/>
      </c>
      <c r="GX200">
        <f>IFERROR(LOOKUP(2,1/('DRAFT 2'!$D:$D=$B200)*('DRAFT 2'!$A:$A&gt;=DATE(2026,9,1))*('DRAFT 2'!$A:$A&lt;DATE(2026,IF(9=12,9+1,9+1),1)),'DRAFT 2'!$A:$A),"")</f>
        <v/>
      </c>
      <c r="GY200">
        <f>COUNTIFS('DRAFT 2'!$D:$D,$B200,'DRAFT 2'!$A:$A,"&gt;="&amp;DATE(2026,9,1),'DRAFT 2'!$A:$A,"&lt;="&amp;DATE(2026,9,7))</f>
        <v/>
      </c>
      <c r="GZ200">
        <f>COUNTIFS('DRAFT 2'!$D:$D,$B200,'DRAFT 2'!$A:$A,"&gt;="&amp;DATE(2026,9,8),'DRAFT 2'!$A:$A,"&lt;="&amp;DATE(2026,9,14))</f>
        <v/>
      </c>
      <c r="HA200">
        <f>COUNTIFS('DRAFT 2'!$D:$D,$B200,'DRAFT 2'!$A:$A,"&gt;="&amp;DATE(2026,9,15),'DRAFT 2'!$A:$A,"&lt;="&amp;DATE(2026,9,21))</f>
        <v/>
      </c>
      <c r="HB200">
        <f>COUNTIFS('DRAFT 2'!$D:$D,$B200,'DRAFT 2'!$A:$A,"&gt;="&amp;DATE(2026,9,22),'DRAFT 2'!$A:$A,"&lt;"&amp;DATE(2026,IF(9=12,9+1,9+1),1))</f>
        <v/>
      </c>
      <c r="HC200">
        <f>SUM(GY200:HB200)</f>
        <v/>
      </c>
      <c r="HN200">
        <f>IFERROR(LOOKUP(2,1/('DRAFT 2'!$D:$D=$B200)*('DRAFT 2'!$A:$A&gt;=DATE(2026,10,1))*('DRAFT 2'!$A:$A&lt;DATE(2026,IF(10=12,10+1,10+1),1)),'DRAFT 2'!$A:$A),"")</f>
        <v/>
      </c>
      <c r="HO200">
        <f>COUNTIFS('DRAFT 2'!$D:$D,$B200,'DRAFT 2'!$A:$A,"&gt;="&amp;DATE(2026,10,1),'DRAFT 2'!$A:$A,"&lt;="&amp;DATE(2026,10,7))</f>
        <v/>
      </c>
      <c r="HP200">
        <f>COUNTIFS('DRAFT 2'!$D:$D,$B200,'DRAFT 2'!$A:$A,"&gt;="&amp;DATE(2026,10,8),'DRAFT 2'!$A:$A,"&lt;="&amp;DATE(2026,10,14))</f>
        <v/>
      </c>
      <c r="HQ200">
        <f>COUNTIFS('DRAFT 2'!$D:$D,$B200,'DRAFT 2'!$A:$A,"&gt;="&amp;DATE(2026,10,15),'DRAFT 2'!$A:$A,"&lt;="&amp;DATE(2026,10,21))</f>
        <v/>
      </c>
      <c r="HR200">
        <f>COUNTIFS('DRAFT 2'!$D:$D,$B200,'DRAFT 2'!$A:$A,"&gt;="&amp;DATE(2026,10,22),'DRAFT 2'!$A:$A,"&lt;"&amp;DATE(2026,IF(10=12,10+1,10+1),1))</f>
        <v/>
      </c>
      <c r="HS200">
        <f>SUM(HO200:HR200)</f>
        <v/>
      </c>
      <c r="IC200">
        <f>IFERROR(LOOKUP(2,1/('DRAFT 2'!$D:$D=$B200)*('DRAFT 2'!$A:$A&gt;=DATE(2026,11,1))*('DRAFT 2'!$A:$A&lt;DATE(2026,IF(11=12,11+1,11+1),1)),'DRAFT 2'!$A:$A),"")</f>
        <v/>
      </c>
      <c r="ID200">
        <f>COUNTIFS('DRAFT 2'!$D:$D,$B200,'DRAFT 2'!$A:$A,"&gt;="&amp;DATE(2026,11,1),'DRAFT 2'!$A:$A,"&lt;="&amp;DATE(2026,11,7))</f>
        <v/>
      </c>
      <c r="IE200">
        <f>COUNTIFS('DRAFT 2'!$D:$D,$B200,'DRAFT 2'!$A:$A,"&gt;="&amp;DATE(2026,11,8),'DRAFT 2'!$A:$A,"&lt;="&amp;DATE(2026,11,14))</f>
        <v/>
      </c>
      <c r="IF200">
        <f>COUNTIFS('DRAFT 2'!$D:$D,$B200,'DRAFT 2'!$A:$A,"&gt;="&amp;DATE(2026,11,15),'DRAFT 2'!$A:$A,"&lt;="&amp;DATE(2026,11,21))</f>
        <v/>
      </c>
      <c r="IG200">
        <f>COUNTIFS('DRAFT 2'!$D:$D,$B200,'DRAFT 2'!$A:$A,"&gt;="&amp;DATE(2026,11,22),'DRAFT 2'!$A:$A,"&lt;"&amp;DATE(2026,IF(11=12,11+1,11+1),1))</f>
        <v/>
      </c>
      <c r="IH200">
        <f>SUM(ID200:IG200)</f>
        <v/>
      </c>
      <c r="IR200">
        <f>IFERROR(LOOKUP(2,1/('DRAFT 2'!$D:$D=$B200)*('DRAFT 2'!$A:$A&gt;=DATE(2026,12,1))*('DRAFT 2'!$A:$A&lt;DATE(2026,IF(12=12,12+1,12+1),1)),'DRAFT 2'!$A:$A),"")</f>
        <v/>
      </c>
      <c r="IS200">
        <f>COUNTIFS('DRAFT 2'!$D:$D,$B200,'DRAFT 2'!$A:$A,"&gt;="&amp;DATE(2026,12,1),'DRAFT 2'!$A:$A,"&lt;="&amp;DATE(2026,12,7))</f>
        <v/>
      </c>
      <c r="IT200">
        <f>COUNTIFS('DRAFT 2'!$D:$D,$B200,'DRAFT 2'!$A:$A,"&gt;="&amp;DATE(2026,12,8),'DRAFT 2'!$A:$A,"&lt;="&amp;DATE(2026,12,14))</f>
        <v/>
      </c>
      <c r="IU200">
        <f>COUNTIFS('DRAFT 2'!$D:$D,$B200,'DRAFT 2'!$A:$A,"&gt;="&amp;DATE(2026,12,15),'DRAFT 2'!$A:$A,"&lt;="&amp;DATE(2026,12,21))</f>
        <v/>
      </c>
      <c r="IV200">
        <f>COUNTIFS('DRAFT 2'!$D:$D,$B200,'DRAFT 2'!$A:$A,"&gt;="&amp;DATE(2026,12,22),'DRAFT 2'!$A:$A,"&lt;"&amp;DATE(2026,IF(12=12,12+1,12+1),1))</f>
        <v/>
      </c>
      <c r="IW200">
        <f>SUM(IS200:IV200)</f>
        <v/>
      </c>
    </row>
  </sheetData>
  <mergeCells count="39">
    <mergeCell ref="FK1:FP1"/>
    <mergeCell ref="GC2:GE2"/>
    <mergeCell ref="IL2:IN2"/>
    <mergeCell ref="BW2:BY2"/>
    <mergeCell ref="HE1:HJ1"/>
    <mergeCell ref="DD2:DF2"/>
    <mergeCell ref="DA1:DF1"/>
    <mergeCell ref="EI2:EK2"/>
    <mergeCell ref="HW2:HY2"/>
    <mergeCell ref="FN2:FP2"/>
    <mergeCell ref="HT1:HY1"/>
    <mergeCell ref="BJ1:BT1"/>
    <mergeCell ref="FZ2:GB2"/>
    <mergeCell ref="HH2:HJ2"/>
    <mergeCell ref="HE2:HG2"/>
    <mergeCell ref="DA2:DC2"/>
    <mergeCell ref="HT2:HV2"/>
    <mergeCell ref="EX2:EZ2"/>
    <mergeCell ref="EU1:EZ1"/>
    <mergeCell ref="GO1:GT1"/>
    <mergeCell ref="GR2:GT2"/>
    <mergeCell ref="CO2:CQ2"/>
    <mergeCell ref="AR1:BI1"/>
    <mergeCell ref="CL1:CQ1"/>
    <mergeCell ref="BW1:CB1"/>
    <mergeCell ref="DQ1:DV1"/>
    <mergeCell ref="EU2:EW2"/>
    <mergeCell ref="A1:AQ1"/>
    <mergeCell ref="GO2:GQ2"/>
    <mergeCell ref="BZ2:CB2"/>
    <mergeCell ref="CL2:CN2"/>
    <mergeCell ref="DT2:DV2"/>
    <mergeCell ref="II1:IN1"/>
    <mergeCell ref="EF2:EH2"/>
    <mergeCell ref="II2:IK2"/>
    <mergeCell ref="DQ2:DS2"/>
    <mergeCell ref="FK2:FM2"/>
    <mergeCell ref="EF1:EK1"/>
    <mergeCell ref="FZ1:GE1"/>
  </mergeCells>
  <conditionalFormatting sqref="N4:N5000">
    <cfRule type="cellIs" priority="2" operator="equal" dxfId="9">
      <formula>"ATIVO"</formula>
    </cfRule>
    <cfRule type="cellIs" priority="3" operator="equal" dxfId="1">
      <formula>"EM RISCO"</formula>
    </cfRule>
    <cfRule type="cellIs" priority="4" operator="equal" dxfId="1">
      <formula>"INAT.REC"</formula>
    </cfRule>
    <cfRule type="cellIs" priority="5" operator="equal" dxfId="2">
      <formula>"INAT.ANT"</formula>
    </cfRule>
    <cfRule type="cellIs" priority="6" operator="equal" dxfId="3">
      <formula>"PROSPECT"</formula>
    </cfRule>
    <cfRule type="cellIs" priority="7" operator="equal" dxfId="0">
      <formula>"NOVO"</formula>
    </cfRule>
    <cfRule type="cellIs" priority="8" operator="equal" dxfId="3">
      <formula>"LEAD"</formula>
    </cfRule>
  </conditionalFormatting>
  <conditionalFormatting sqref="BA4:BA5000">
    <cfRule type="cellIs" priority="9" operator="equal" dxfId="2">
      <formula>"🔥 QUENTE"</formula>
    </cfRule>
    <cfRule type="cellIs" priority="10" operator="equal" dxfId="1">
      <formula>"⚡ MORNO"</formula>
    </cfRule>
    <cfRule type="cellIs" priority="11" operator="equal" dxfId="0">
      <formula>"❄️ FRIO"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C3AED"/>
    <outlinePr summaryBelow="1" summaryRight="1"/>
    <pageSetUpPr/>
  </sheetPr>
  <dimension ref="A1:AS500"/>
  <sheetViews>
    <sheetView workbookViewId="0">
      <pane ySplit="3" topLeftCell="A4" activePane="bottomLeft" state="frozen"/>
      <selection pane="bottomLeft" activeCell="A1" sqref="A1:AO1"/>
    </sheetView>
  </sheetViews>
  <sheetFormatPr baseColWidth="8" defaultRowHeight="14.4"/>
  <cols>
    <col width="25" customWidth="1" style="108" min="1" max="1"/>
    <col width="18" customWidth="1" style="108" min="2" max="2"/>
    <col width="25" customWidth="1" style="108" min="3" max="3"/>
    <col width="5" customWidth="1" style="108" min="4" max="4"/>
    <col width="18" customWidth="1" style="108" min="5" max="5"/>
    <col width="25" customWidth="1" style="108" min="6" max="6"/>
    <col width="16" customWidth="1" style="108" min="7" max="7"/>
    <col width="14" customWidth="1" style="108" min="8" max="8"/>
    <col width="18" customWidth="1" style="108" min="9" max="10"/>
    <col width="20" customWidth="1" style="108" min="11" max="11"/>
    <col width="14" customWidth="1" style="108" min="12" max="12"/>
    <col width="16" customWidth="1" style="108" min="13" max="14"/>
    <col width="14" customWidth="1" style="108" min="15" max="15"/>
    <col width="12" customWidth="1" style="108" min="16" max="16"/>
    <col width="14" customWidth="1" style="108" min="17" max="20"/>
    <col width="12" customWidth="1" style="108" min="21" max="34"/>
    <col width="10" customWidth="1" style="108" min="35" max="35"/>
    <col width="14" customWidth="1" style="108" min="36" max="37"/>
    <col width="30" customWidth="1" style="108" min="38" max="38"/>
    <col width="22" customWidth="1" style="108" min="39" max="40"/>
    <col width="35" customWidth="1" style="108" min="41" max="41"/>
  </cols>
  <sheetData>
    <row r="1" ht="28.05" customHeight="1" s="108">
      <c r="A1" s="343" t="inlineStr">
        <is>
          <t>📦 DRAFT 1 — DADOS MERCOS (atualizar diariamente via extração)</t>
        </is>
      </c>
    </row>
    <row r="2" ht="22.05" customHeight="1" s="108">
      <c r="A2" s="344" t="inlineStr">
        <is>
          <t>🟣 IDENTIDADE</t>
        </is>
      </c>
      <c r="L2" s="344" t="inlineStr">
        <is>
          <t>🟣 COMPRAS</t>
        </is>
      </c>
      <c r="O2" s="344" t="inlineStr">
        <is>
          <t>🟣 ECOMERCE</t>
        </is>
      </c>
      <c r="U2" s="344" t="inlineStr">
        <is>
          <t>🟣 VENDAS MÊS A MÊS</t>
        </is>
      </c>
      <c r="AG2" s="344" t="inlineStr">
        <is>
          <t>🟣 RECORRÊNCIA</t>
        </is>
      </c>
      <c r="AL2" s="344" t="inlineStr">
        <is>
          <t>🟣 ATENDIMENTO</t>
        </is>
      </c>
      <c r="AR2" s="65" t="inlineStr">
        <is>
          <t>📋 FONTE DOS DADOS</t>
        </is>
      </c>
    </row>
    <row r="3" ht="28.05" customHeight="1" s="108">
      <c r="A3" s="66" t="inlineStr">
        <is>
          <t>NOME FANTASIA</t>
        </is>
      </c>
      <c r="B3" s="66" t="inlineStr">
        <is>
          <t>CNPJ</t>
        </is>
      </c>
      <c r="C3" s="66" t="inlineStr">
        <is>
          <t>RAZÃO SOCIAL</t>
        </is>
      </c>
      <c r="D3" s="66" t="inlineStr">
        <is>
          <t>UF</t>
        </is>
      </c>
      <c r="E3" s="66" t="inlineStr">
        <is>
          <t>CIDADE</t>
        </is>
      </c>
      <c r="F3" s="66" t="inlineStr">
        <is>
          <t>EMAIL</t>
        </is>
      </c>
      <c r="G3" s="66" t="inlineStr">
        <is>
          <t>TELEFONE</t>
        </is>
      </c>
      <c r="H3" s="66" t="inlineStr">
        <is>
          <t>DATA CADASTRO</t>
        </is>
      </c>
      <c r="I3" s="66" t="inlineStr">
        <is>
          <t>REDE / REGIONAL</t>
        </is>
      </c>
      <c r="J3" s="66" t="inlineStr">
        <is>
          <t>CONSULTOR</t>
        </is>
      </c>
      <c r="K3" s="66" t="inlineStr">
        <is>
          <t>VENDEDOR ÚLTIMO PEDIDO</t>
        </is>
      </c>
      <c r="L3" s="66" t="inlineStr">
        <is>
          <t>DIAS SEM COMPRA</t>
        </is>
      </c>
      <c r="M3" s="66" t="inlineStr">
        <is>
          <t>DATA ÚLTIMO PEDIDO</t>
        </is>
      </c>
      <c r="N3" s="66" t="inlineStr">
        <is>
          <t>VALOR ÚLTIMO PEDIDO</t>
        </is>
      </c>
      <c r="O3" s="66" t="inlineStr">
        <is>
          <t>ACESSOS SEMANA</t>
        </is>
      </c>
      <c r="P3" s="66" t="inlineStr">
        <is>
          <t>ACESSO B2B</t>
        </is>
      </c>
      <c r="Q3" s="66" t="inlineStr">
        <is>
          <t>ACESSOS PORTAL</t>
        </is>
      </c>
      <c r="R3" s="66" t="inlineStr">
        <is>
          <t>ITENS CARRINHO</t>
        </is>
      </c>
      <c r="S3" s="66" t="inlineStr">
        <is>
          <t>VALOR B2B</t>
        </is>
      </c>
      <c r="T3" s="66" t="inlineStr">
        <is>
          <t>OPORTUNIDADE</t>
        </is>
      </c>
      <c r="U3" s="66" t="inlineStr">
        <is>
          <t>MAR/25</t>
        </is>
      </c>
      <c r="V3" s="66" t="inlineStr">
        <is>
          <t>ABR/25</t>
        </is>
      </c>
      <c r="W3" s="66" t="inlineStr">
        <is>
          <t>MAI/25</t>
        </is>
      </c>
      <c r="X3" s="66" t="inlineStr">
        <is>
          <t>JUN/25</t>
        </is>
      </c>
      <c r="Y3" s="66" t="inlineStr">
        <is>
          <t>JUL/25</t>
        </is>
      </c>
      <c r="Z3" s="66" t="inlineStr">
        <is>
          <t>AGO/25</t>
        </is>
      </c>
      <c r="AA3" s="66" t="inlineStr">
        <is>
          <t>SET/25</t>
        </is>
      </c>
      <c r="AB3" s="66" t="inlineStr">
        <is>
          <t>OUT/25</t>
        </is>
      </c>
      <c r="AC3" s="66" t="inlineStr">
        <is>
          <t>NOV/25</t>
        </is>
      </c>
      <c r="AD3" s="66" t="inlineStr">
        <is>
          <t>DEZ/25</t>
        </is>
      </c>
      <c r="AE3" s="66" t="inlineStr">
        <is>
          <t>JAN/26</t>
        </is>
      </c>
      <c r="AF3" s="66" t="inlineStr">
        <is>
          <t>FEV/26</t>
        </is>
      </c>
      <c r="AG3" s="66" t="inlineStr">
        <is>
          <t>CICLO MÉDIO</t>
        </is>
      </c>
      <c r="AH3" s="66" t="inlineStr">
        <is>
          <t>Nº COMPRAS</t>
        </is>
      </c>
      <c r="AI3" s="66" t="inlineStr">
        <is>
          <t>CURVA ABC</t>
        </is>
      </c>
      <c r="AJ3" s="66" t="inlineStr">
        <is>
          <t>MESES POSITIVADO</t>
        </is>
      </c>
      <c r="AK3" s="66" t="inlineStr">
        <is>
          <t>TICKET MÉDIO</t>
        </is>
      </c>
      <c r="AL3" s="66" t="inlineStr">
        <is>
          <t>ÚLT. REGISTRO MERCOS</t>
        </is>
      </c>
      <c r="AM3" s="66" t="inlineStr">
        <is>
          <t>DATA ÚLT. ATENDIMENTO MERCOS</t>
        </is>
      </c>
      <c r="AN3" s="66" t="inlineStr">
        <is>
          <t>TIPO ATENDIMENTO MERCOS</t>
        </is>
      </c>
      <c r="AO3" s="66" t="inlineStr">
        <is>
          <t>OBS ATENDIMENTO MERCOS</t>
        </is>
      </c>
      <c r="AR3" s="67" t="inlineStr">
        <is>
          <t>IDENTIDADE (A-K)</t>
        </is>
      </c>
      <c r="AS3" s="68" t="inlineStr">
        <is>
          <t>Carteira Detalhada de Clientes</t>
        </is>
      </c>
    </row>
    <row r="4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R4" s="67" t="inlineStr">
        <is>
          <t>COMPRAS (L-N)</t>
        </is>
      </c>
      <c r="AS4" s="68" t="inlineStr">
        <is>
          <t>Carteira Detalhada de Clientes</t>
        </is>
      </c>
    </row>
    <row r="5">
      <c r="A5" s="59" t="n"/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  <c r="AD5" s="59" t="n"/>
      <c r="AE5" s="59" t="n"/>
      <c r="AF5" s="59" t="n"/>
      <c r="AG5" s="59" t="n"/>
      <c r="AH5" s="59" t="n"/>
      <c r="AI5" s="59" t="n"/>
      <c r="AJ5" s="59" t="n"/>
      <c r="AK5" s="59" t="n"/>
      <c r="AL5" s="59" t="n"/>
      <c r="AM5" s="59" t="n"/>
      <c r="AN5" s="59" t="n"/>
      <c r="AO5" s="59" t="n"/>
      <c r="AR5" s="67" t="inlineStr">
        <is>
          <t>ECOMERCE (O-T)</t>
        </is>
      </c>
      <c r="AS5" s="68" t="inlineStr">
        <is>
          <t>Acesso ao Ecomerce [mês]</t>
        </is>
      </c>
    </row>
    <row r="6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R6" s="67" t="inlineStr">
        <is>
          <t>VENDAS (U-AF)</t>
        </is>
      </c>
      <c r="AS6" s="68" t="inlineStr">
        <is>
          <t>Relatório de Vendas [mês]</t>
        </is>
      </c>
    </row>
    <row r="7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59" t="n"/>
      <c r="AH7" s="59" t="n"/>
      <c r="AI7" s="59" t="n"/>
      <c r="AJ7" s="59" t="n"/>
      <c r="AK7" s="59" t="n"/>
      <c r="AL7" s="59" t="n"/>
      <c r="AM7" s="59" t="n"/>
      <c r="AN7" s="59" t="n"/>
      <c r="AO7" s="59" t="n"/>
      <c r="AR7" s="67" t="inlineStr">
        <is>
          <t>RECORRÊNCIA (AG-AK)</t>
        </is>
      </c>
      <c r="AS7" s="68" t="inlineStr">
        <is>
          <t>Positivação de Clientes + Curva ABC</t>
        </is>
      </c>
    </row>
    <row r="8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  <c r="AK8" s="69" t="n"/>
      <c r="AL8" s="69" t="n"/>
      <c r="AM8" s="69" t="n"/>
      <c r="AN8" s="69" t="n"/>
      <c r="AO8" s="69" t="n"/>
      <c r="AR8" s="67" t="inlineStr">
        <is>
          <t>ATENDIMENTO (AL-AO)</t>
        </is>
      </c>
      <c r="AS8" s="68" t="inlineStr">
        <is>
          <t>Relatório de Atendimentos Mercos</t>
        </is>
      </c>
    </row>
    <row r="9">
      <c r="A9" s="59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n"/>
      <c r="AI9" s="59" t="n"/>
      <c r="AJ9" s="59" t="n"/>
      <c r="AK9" s="59" t="n"/>
      <c r="AL9" s="59" t="n"/>
      <c r="AM9" s="59" t="n"/>
      <c r="AN9" s="59" t="n"/>
      <c r="AO9" s="59" t="n"/>
    </row>
    <row r="10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  <c r="AK10" s="69" t="n"/>
      <c r="AL10" s="69" t="n"/>
      <c r="AM10" s="69" t="n"/>
      <c r="AN10" s="69" t="n"/>
      <c r="AO10" s="69" t="n"/>
    </row>
    <row r="11">
      <c r="A11" s="59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</row>
    <row r="12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  <c r="AK12" s="69" t="n"/>
      <c r="AL12" s="69" t="n"/>
      <c r="AM12" s="69" t="n"/>
      <c r="AN12" s="69" t="n"/>
      <c r="AO12" s="69" t="n"/>
    </row>
    <row r="13">
      <c r="A13" s="59" t="n"/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  <c r="AA13" s="59" t="n"/>
      <c r="AB13" s="59" t="n"/>
      <c r="AC13" s="59" t="n"/>
      <c r="AD13" s="59" t="n"/>
      <c r="AE13" s="59" t="n"/>
      <c r="AF13" s="59" t="n"/>
      <c r="AG13" s="59" t="n"/>
      <c r="AH13" s="59" t="n"/>
      <c r="AI13" s="59" t="n"/>
      <c r="AJ13" s="59" t="n"/>
      <c r="AK13" s="59" t="n"/>
      <c r="AL13" s="59" t="n"/>
      <c r="AM13" s="59" t="n"/>
      <c r="AN13" s="59" t="n"/>
      <c r="AO13" s="59" t="n"/>
    </row>
    <row r="14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  <c r="AK14" s="69" t="n"/>
      <c r="AL14" s="69" t="n"/>
      <c r="AM14" s="69" t="n"/>
      <c r="AN14" s="69" t="n"/>
      <c r="AO14" s="69" t="n"/>
    </row>
    <row r="15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  <c r="AD15" s="59" t="n"/>
      <c r="AE15" s="59" t="n"/>
      <c r="AF15" s="59" t="n"/>
      <c r="AG15" s="59" t="n"/>
      <c r="AH15" s="59" t="n"/>
      <c r="AI15" s="59" t="n"/>
      <c r="AJ15" s="59" t="n"/>
      <c r="AK15" s="59" t="n"/>
      <c r="AL15" s="59" t="n"/>
      <c r="AM15" s="59" t="n"/>
      <c r="AN15" s="59" t="n"/>
      <c r="AO15" s="59" t="n"/>
    </row>
    <row r="16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  <c r="AK16" s="69" t="n"/>
      <c r="AL16" s="69" t="n"/>
      <c r="AM16" s="69" t="n"/>
      <c r="AN16" s="69" t="n"/>
      <c r="AO16" s="69" t="n"/>
    </row>
    <row r="17">
      <c r="A17" s="59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A17" s="59" t="n"/>
      <c r="AB17" s="59" t="n"/>
      <c r="AC17" s="59" t="n"/>
      <c r="AD17" s="59" t="n"/>
      <c r="AE17" s="59" t="n"/>
      <c r="AF17" s="59" t="n"/>
      <c r="AG17" s="59" t="n"/>
      <c r="AH17" s="59" t="n"/>
      <c r="AI17" s="59" t="n"/>
      <c r="AJ17" s="59" t="n"/>
      <c r="AK17" s="59" t="n"/>
      <c r="AL17" s="59" t="n"/>
      <c r="AM17" s="59" t="n"/>
      <c r="AN17" s="59" t="n"/>
      <c r="AO17" s="59" t="n"/>
    </row>
    <row r="1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  <c r="AN18" s="69" t="n"/>
      <c r="AO18" s="69" t="n"/>
    </row>
    <row r="19">
      <c r="A19" s="59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  <c r="AD19" s="59" t="n"/>
      <c r="AE19" s="59" t="n"/>
      <c r="AF19" s="59" t="n"/>
      <c r="AG19" s="59" t="n"/>
      <c r="AH19" s="59" t="n"/>
      <c r="AI19" s="59" t="n"/>
      <c r="AJ19" s="59" t="n"/>
      <c r="AK19" s="59" t="n"/>
      <c r="AL19" s="59" t="n"/>
      <c r="AM19" s="59" t="n"/>
      <c r="AN19" s="59" t="n"/>
      <c r="AO19" s="5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  <c r="AK20" s="69" t="n"/>
      <c r="AL20" s="69" t="n"/>
      <c r="AM20" s="69" t="n"/>
      <c r="AN20" s="69" t="n"/>
      <c r="AO20" s="69" t="n"/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  <c r="AL21" s="59" t="n"/>
      <c r="AM21" s="59" t="n"/>
      <c r="AN21" s="59" t="n"/>
      <c r="AO21" s="59" t="n"/>
    </row>
    <row r="22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  <c r="AK22" s="69" t="n"/>
      <c r="AL22" s="69" t="n"/>
      <c r="AM22" s="69" t="n"/>
      <c r="AN22" s="69" t="n"/>
      <c r="AO22" s="69" t="n"/>
    </row>
    <row r="23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</row>
    <row r="24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  <c r="AK24" s="69" t="n"/>
      <c r="AL24" s="69" t="n"/>
      <c r="AM24" s="69" t="n"/>
      <c r="AN24" s="69" t="n"/>
      <c r="AO24" s="69" t="n"/>
    </row>
    <row r="25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n"/>
      <c r="AF25" s="59" t="n"/>
      <c r="AG25" s="59" t="n"/>
      <c r="AH25" s="59" t="n"/>
      <c r="AI25" s="59" t="n"/>
      <c r="AJ25" s="59" t="n"/>
      <c r="AK25" s="59" t="n"/>
      <c r="AL25" s="59" t="n"/>
      <c r="AM25" s="59" t="n"/>
      <c r="AN25" s="59" t="n"/>
      <c r="AO25" s="59" t="n"/>
    </row>
    <row r="26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  <c r="AK26" s="69" t="n"/>
      <c r="AL26" s="69" t="n"/>
      <c r="AM26" s="69" t="n"/>
      <c r="AN26" s="69" t="n"/>
      <c r="AO26" s="69" t="n"/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  <c r="AB27" s="59" t="n"/>
      <c r="AC27" s="59" t="n"/>
      <c r="AD27" s="59" t="n"/>
      <c r="AE27" s="59" t="n"/>
      <c r="AF27" s="59" t="n"/>
      <c r="AG27" s="59" t="n"/>
      <c r="AH27" s="59" t="n"/>
      <c r="AI27" s="59" t="n"/>
      <c r="AJ27" s="59" t="n"/>
      <c r="AK27" s="59" t="n"/>
      <c r="AL27" s="59" t="n"/>
      <c r="AM27" s="59" t="n"/>
      <c r="AN27" s="59" t="n"/>
      <c r="AO27" s="59" t="n"/>
    </row>
    <row r="28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  <c r="AK28" s="69" t="n"/>
      <c r="AL28" s="69" t="n"/>
      <c r="AM28" s="69" t="n"/>
      <c r="AN28" s="69" t="n"/>
      <c r="AO28" s="69" t="n"/>
    </row>
    <row r="29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</row>
    <row r="30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  <c r="AN30" s="69" t="n"/>
      <c r="AO30" s="69" t="n"/>
    </row>
    <row r="31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A31" s="59" t="n"/>
      <c r="AB31" s="59" t="n"/>
      <c r="AC31" s="59" t="n"/>
      <c r="AD31" s="59" t="n"/>
      <c r="AE31" s="59" t="n"/>
      <c r="AF31" s="59" t="n"/>
      <c r="AG31" s="59" t="n"/>
      <c r="AH31" s="59" t="n"/>
      <c r="AI31" s="59" t="n"/>
      <c r="AJ31" s="59" t="n"/>
      <c r="AK31" s="59" t="n"/>
      <c r="AL31" s="59" t="n"/>
      <c r="AM31" s="59" t="n"/>
      <c r="AN31" s="59" t="n"/>
      <c r="AO31" s="59" t="n"/>
    </row>
    <row r="32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  <c r="AK32" s="69" t="n"/>
      <c r="AL32" s="69" t="n"/>
      <c r="AM32" s="69" t="n"/>
      <c r="AN32" s="69" t="n"/>
      <c r="AO32" s="69" t="n"/>
    </row>
    <row r="33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  <c r="AD33" s="59" t="n"/>
      <c r="AE33" s="59" t="n"/>
      <c r="AF33" s="59" t="n"/>
      <c r="AG33" s="59" t="n"/>
      <c r="AH33" s="59" t="n"/>
      <c r="AI33" s="59" t="n"/>
      <c r="AJ33" s="59" t="n"/>
      <c r="AK33" s="59" t="n"/>
      <c r="AL33" s="59" t="n"/>
      <c r="AM33" s="59" t="n"/>
      <c r="AN33" s="59" t="n"/>
      <c r="AO33" s="59" t="n"/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  <c r="AK34" s="69" t="n"/>
      <c r="AL34" s="69" t="n"/>
      <c r="AM34" s="69" t="n"/>
      <c r="AN34" s="69" t="n"/>
      <c r="AO34" s="69" t="n"/>
    </row>
    <row r="35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</row>
    <row r="36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  <c r="AK36" s="69" t="n"/>
      <c r="AL36" s="69" t="n"/>
      <c r="AM36" s="69" t="n"/>
      <c r="AN36" s="69" t="n"/>
      <c r="AO36" s="69" t="n"/>
    </row>
    <row r="37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  <c r="AC37" s="59" t="n"/>
      <c r="AD37" s="59" t="n"/>
      <c r="AE37" s="59" t="n"/>
      <c r="AF37" s="59" t="n"/>
      <c r="AG37" s="59" t="n"/>
      <c r="AH37" s="59" t="n"/>
      <c r="AI37" s="59" t="n"/>
      <c r="AJ37" s="59" t="n"/>
      <c r="AK37" s="59" t="n"/>
      <c r="AL37" s="59" t="n"/>
      <c r="AM37" s="59" t="n"/>
      <c r="AN37" s="59" t="n"/>
      <c r="AO37" s="59" t="n"/>
    </row>
    <row r="38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  <c r="AN38" s="69" t="n"/>
      <c r="AO38" s="69" t="n"/>
    </row>
    <row r="39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  <c r="AC39" s="59" t="n"/>
      <c r="AD39" s="59" t="n"/>
      <c r="AE39" s="59" t="n"/>
      <c r="AF39" s="59" t="n"/>
      <c r="AG39" s="59" t="n"/>
      <c r="AH39" s="59" t="n"/>
      <c r="AI39" s="59" t="n"/>
      <c r="AJ39" s="59" t="n"/>
      <c r="AK39" s="59" t="n"/>
      <c r="AL39" s="59" t="n"/>
      <c r="AM39" s="59" t="n"/>
      <c r="AN39" s="59" t="n"/>
      <c r="AO39" s="59" t="n"/>
    </row>
    <row r="40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  <c r="AK40" s="69" t="n"/>
      <c r="AL40" s="69" t="n"/>
      <c r="AM40" s="69" t="n"/>
      <c r="AN40" s="69" t="n"/>
      <c r="AO40" s="69" t="n"/>
    </row>
    <row r="41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</row>
    <row r="42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  <c r="AK42" s="69" t="n"/>
      <c r="AL42" s="69" t="n"/>
      <c r="AM42" s="69" t="n"/>
      <c r="AN42" s="69" t="n"/>
      <c r="AO42" s="69" t="n"/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  <c r="AD43" s="59" t="n"/>
      <c r="AE43" s="59" t="n"/>
      <c r="AF43" s="59" t="n"/>
      <c r="AG43" s="59" t="n"/>
      <c r="AH43" s="59" t="n"/>
      <c r="AI43" s="59" t="n"/>
      <c r="AJ43" s="59" t="n"/>
      <c r="AK43" s="59" t="n"/>
      <c r="AL43" s="59" t="n"/>
      <c r="AM43" s="59" t="n"/>
      <c r="AN43" s="59" t="n"/>
      <c r="AO43" s="59" t="n"/>
    </row>
    <row r="44">
      <c r="A44" s="69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  <c r="AK44" s="69" t="n"/>
      <c r="AL44" s="69" t="n"/>
      <c r="AM44" s="69" t="n"/>
      <c r="AN44" s="69" t="n"/>
      <c r="AO44" s="69" t="n"/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  <c r="AD45" s="59" t="n"/>
      <c r="AE45" s="59" t="n"/>
      <c r="AF45" s="59" t="n"/>
      <c r="AG45" s="59" t="n"/>
      <c r="AH45" s="59" t="n"/>
      <c r="AI45" s="59" t="n"/>
      <c r="AJ45" s="59" t="n"/>
      <c r="AK45" s="59" t="n"/>
      <c r="AL45" s="59" t="n"/>
      <c r="AM45" s="59" t="n"/>
      <c r="AN45" s="59" t="n"/>
      <c r="AO45" s="59" t="n"/>
    </row>
    <row r="46">
      <c r="A46" s="69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  <c r="AK46" s="69" t="n"/>
      <c r="AL46" s="69" t="n"/>
      <c r="AM46" s="69" t="n"/>
      <c r="AN46" s="69" t="n"/>
      <c r="AO46" s="6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  <c r="AC47" s="59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59" t="n"/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  <c r="AK48" s="69" t="n"/>
      <c r="AL48" s="69" t="n"/>
      <c r="AM48" s="69" t="n"/>
      <c r="AN48" s="69" t="n"/>
      <c r="AO48" s="6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  <c r="AC49" s="59" t="n"/>
      <c r="AD49" s="59" t="n"/>
      <c r="AE49" s="59" t="n"/>
      <c r="AF49" s="59" t="n"/>
      <c r="AG49" s="59" t="n"/>
      <c r="AH49" s="59" t="n"/>
      <c r="AI49" s="59" t="n"/>
      <c r="AJ49" s="59" t="n"/>
      <c r="AK49" s="59" t="n"/>
      <c r="AL49" s="59" t="n"/>
      <c r="AM49" s="59" t="n"/>
      <c r="AN49" s="59" t="n"/>
      <c r="AO49" s="59" t="n"/>
    </row>
    <row r="50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  <c r="AK50" s="69" t="n"/>
      <c r="AL50" s="69" t="n"/>
      <c r="AM50" s="69" t="n"/>
      <c r="AN50" s="69" t="n"/>
      <c r="AO50" s="6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  <c r="AC51" s="59" t="n"/>
      <c r="AD51" s="59" t="n"/>
      <c r="AE51" s="59" t="n"/>
      <c r="AF51" s="59" t="n"/>
      <c r="AG51" s="59" t="n"/>
      <c r="AH51" s="59" t="n"/>
      <c r="AI51" s="59" t="n"/>
      <c r="AJ51" s="59" t="n"/>
      <c r="AK51" s="59" t="n"/>
      <c r="AL51" s="59" t="n"/>
      <c r="AM51" s="59" t="n"/>
      <c r="AN51" s="59" t="n"/>
      <c r="AO51" s="59" t="n"/>
    </row>
    <row r="52">
      <c r="A52" s="69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  <c r="AL52" s="69" t="n"/>
      <c r="AM52" s="69" t="n"/>
      <c r="AN52" s="69" t="n"/>
      <c r="AO52" s="6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  <c r="AD53" s="59" t="n"/>
      <c r="AE53" s="59" t="n"/>
      <c r="AF53" s="59" t="n"/>
      <c r="AG53" s="59" t="n"/>
      <c r="AH53" s="59" t="n"/>
      <c r="AI53" s="59" t="n"/>
      <c r="AJ53" s="59" t="n"/>
      <c r="AK53" s="59" t="n"/>
      <c r="AL53" s="59" t="n"/>
      <c r="AM53" s="59" t="n"/>
      <c r="AN53" s="59" t="n"/>
      <c r="AO53" s="59" t="n"/>
    </row>
    <row r="54">
      <c r="A54" s="69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  <c r="AK54" s="69" t="n"/>
      <c r="AL54" s="69" t="n"/>
      <c r="AM54" s="69" t="n"/>
      <c r="AN54" s="69" t="n"/>
      <c r="AO54" s="6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  <c r="AM55" s="59" t="n"/>
      <c r="AN55" s="59" t="n"/>
      <c r="AO55" s="59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  <c r="AC56" s="69" t="n"/>
      <c r="AD56" s="69" t="n"/>
      <c r="AE56" s="69" t="n"/>
      <c r="AF56" s="69" t="n"/>
      <c r="AG56" s="69" t="n"/>
      <c r="AH56" s="69" t="n"/>
      <c r="AI56" s="69" t="n"/>
      <c r="AJ56" s="69" t="n"/>
      <c r="AK56" s="69" t="n"/>
      <c r="AL56" s="69" t="n"/>
      <c r="AM56" s="69" t="n"/>
      <c r="AN56" s="69" t="n"/>
      <c r="AO56" s="6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  <c r="AC57" s="59" t="n"/>
      <c r="AD57" s="59" t="n"/>
      <c r="AE57" s="59" t="n"/>
      <c r="AF57" s="59" t="n"/>
      <c r="AG57" s="59" t="n"/>
      <c r="AH57" s="59" t="n"/>
      <c r="AI57" s="59" t="n"/>
      <c r="AJ57" s="59" t="n"/>
      <c r="AK57" s="59" t="n"/>
      <c r="AL57" s="59" t="n"/>
      <c r="AM57" s="59" t="n"/>
      <c r="AN57" s="59" t="n"/>
      <c r="AO57" s="59" t="n"/>
    </row>
    <row r="58">
      <c r="A58" s="69" t="n"/>
      <c r="B58" s="69" t="n"/>
      <c r="C58" s="69" t="n"/>
      <c r="D58" s="69" t="n"/>
      <c r="E58" s="69" t="n"/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  <c r="AA58" s="69" t="n"/>
      <c r="AB58" s="69" t="n"/>
      <c r="AC58" s="69" t="n"/>
      <c r="AD58" s="69" t="n"/>
      <c r="AE58" s="69" t="n"/>
      <c r="AF58" s="69" t="n"/>
      <c r="AG58" s="69" t="n"/>
      <c r="AH58" s="69" t="n"/>
      <c r="AI58" s="69" t="n"/>
      <c r="AJ58" s="69" t="n"/>
      <c r="AK58" s="69" t="n"/>
      <c r="AL58" s="69" t="n"/>
      <c r="AM58" s="69" t="n"/>
      <c r="AN58" s="69" t="n"/>
      <c r="AO58" s="6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  <c r="AC59" s="59" t="n"/>
      <c r="AD59" s="59" t="n"/>
      <c r="AE59" s="59" t="n"/>
      <c r="AF59" s="59" t="n"/>
      <c r="AG59" s="59" t="n"/>
      <c r="AH59" s="59" t="n"/>
      <c r="AI59" s="59" t="n"/>
      <c r="AJ59" s="59" t="n"/>
      <c r="AK59" s="59" t="n"/>
      <c r="AL59" s="59" t="n"/>
      <c r="AM59" s="59" t="n"/>
      <c r="AN59" s="59" t="n"/>
      <c r="AO59" s="59" t="n"/>
    </row>
    <row r="60">
      <c r="A60" s="69" t="n"/>
      <c r="B60" s="69" t="n"/>
      <c r="C60" s="69" t="n"/>
      <c r="D60" s="69" t="n"/>
      <c r="E60" s="69" t="n"/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9" t="n"/>
      <c r="AH60" s="69" t="n"/>
      <c r="AI60" s="69" t="n"/>
      <c r="AJ60" s="69" t="n"/>
      <c r="AK60" s="69" t="n"/>
      <c r="AL60" s="69" t="n"/>
      <c r="AM60" s="69" t="n"/>
      <c r="AN60" s="69" t="n"/>
      <c r="AO60" s="6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  <c r="AC61" s="59" t="n"/>
      <c r="AD61" s="59" t="n"/>
      <c r="AE61" s="59" t="n"/>
      <c r="AF61" s="59" t="n"/>
      <c r="AG61" s="59" t="n"/>
      <c r="AH61" s="59" t="n"/>
      <c r="AI61" s="59" t="n"/>
      <c r="AJ61" s="59" t="n"/>
      <c r="AK61" s="59" t="n"/>
      <c r="AL61" s="59" t="n"/>
      <c r="AM61" s="59" t="n"/>
      <c r="AN61" s="59" t="n"/>
      <c r="AO61" s="59" t="n"/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  <c r="AB62" s="69" t="n"/>
      <c r="AC62" s="69" t="n"/>
      <c r="AD62" s="69" t="n"/>
      <c r="AE62" s="69" t="n"/>
      <c r="AF62" s="69" t="n"/>
      <c r="AG62" s="69" t="n"/>
      <c r="AH62" s="69" t="n"/>
      <c r="AI62" s="69" t="n"/>
      <c r="AJ62" s="69" t="n"/>
      <c r="AK62" s="69" t="n"/>
      <c r="AL62" s="69" t="n"/>
      <c r="AM62" s="69" t="n"/>
      <c r="AN62" s="69" t="n"/>
      <c r="AO62" s="6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  <c r="AD63" s="59" t="n"/>
      <c r="AE63" s="59" t="n"/>
      <c r="AF63" s="59" t="n"/>
      <c r="AG63" s="59" t="n"/>
      <c r="AH63" s="59" t="n"/>
      <c r="AI63" s="59" t="n"/>
      <c r="AJ63" s="59" t="n"/>
      <c r="AK63" s="59" t="n"/>
      <c r="AL63" s="59" t="n"/>
      <c r="AM63" s="59" t="n"/>
      <c r="AN63" s="59" t="n"/>
      <c r="AO63" s="59" t="n"/>
    </row>
    <row r="64">
      <c r="A64" s="69" t="n"/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  <c r="AC64" s="69" t="n"/>
      <c r="AD64" s="69" t="n"/>
      <c r="AE64" s="69" t="n"/>
      <c r="AF64" s="69" t="n"/>
      <c r="AG64" s="69" t="n"/>
      <c r="AH64" s="69" t="n"/>
      <c r="AI64" s="69" t="n"/>
      <c r="AJ64" s="69" t="n"/>
      <c r="AK64" s="69" t="n"/>
      <c r="AL64" s="69" t="n"/>
      <c r="AM64" s="69" t="n"/>
      <c r="AN64" s="69" t="n"/>
      <c r="AO64" s="6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  <c r="AD65" s="59" t="n"/>
      <c r="AE65" s="59" t="n"/>
      <c r="AF65" s="59" t="n"/>
      <c r="AG65" s="59" t="n"/>
      <c r="AH65" s="59" t="n"/>
      <c r="AI65" s="59" t="n"/>
      <c r="AJ65" s="59" t="n"/>
      <c r="AK65" s="59" t="n"/>
      <c r="AL65" s="59" t="n"/>
      <c r="AM65" s="59" t="n"/>
      <c r="AN65" s="59" t="n"/>
      <c r="AO65" s="59" t="n"/>
    </row>
    <row r="66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  <c r="AC66" s="69" t="n"/>
      <c r="AD66" s="69" t="n"/>
      <c r="AE66" s="69" t="n"/>
      <c r="AF66" s="69" t="n"/>
      <c r="AG66" s="69" t="n"/>
      <c r="AH66" s="69" t="n"/>
      <c r="AI66" s="69" t="n"/>
      <c r="AJ66" s="69" t="n"/>
      <c r="AK66" s="69" t="n"/>
      <c r="AL66" s="69" t="n"/>
      <c r="AM66" s="69" t="n"/>
      <c r="AN66" s="69" t="n"/>
      <c r="AO66" s="6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  <c r="AD67" s="59" t="n"/>
      <c r="AE67" s="59" t="n"/>
      <c r="AF67" s="59" t="n"/>
      <c r="AG67" s="59" t="n"/>
      <c r="AH67" s="59" t="n"/>
      <c r="AI67" s="59" t="n"/>
      <c r="AJ67" s="59" t="n"/>
      <c r="AK67" s="59" t="n"/>
      <c r="AL67" s="59" t="n"/>
      <c r="AM67" s="59" t="n"/>
      <c r="AN67" s="59" t="n"/>
      <c r="AO67" s="59" t="n"/>
    </row>
    <row r="68">
      <c r="A68" s="69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  <c r="AK68" s="69" t="n"/>
      <c r="AL68" s="69" t="n"/>
      <c r="AM68" s="69" t="n"/>
      <c r="AN68" s="69" t="n"/>
      <c r="AO68" s="6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  <c r="AF69" s="59" t="n"/>
      <c r="AG69" s="59" t="n"/>
      <c r="AH69" s="59" t="n"/>
      <c r="AI69" s="59" t="n"/>
      <c r="AJ69" s="59" t="n"/>
      <c r="AK69" s="59" t="n"/>
      <c r="AL69" s="59" t="n"/>
      <c r="AM69" s="59" t="n"/>
      <c r="AN69" s="59" t="n"/>
      <c r="AO69" s="59" t="n"/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  <c r="AK70" s="69" t="n"/>
      <c r="AL70" s="69" t="n"/>
      <c r="AM70" s="69" t="n"/>
      <c r="AN70" s="69" t="n"/>
      <c r="AO70" s="6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  <c r="AC71" s="59" t="n"/>
      <c r="AD71" s="59" t="n"/>
      <c r="AE71" s="59" t="n"/>
      <c r="AF71" s="59" t="n"/>
      <c r="AG71" s="59" t="n"/>
      <c r="AH71" s="59" t="n"/>
      <c r="AI71" s="59" t="n"/>
      <c r="AJ71" s="59" t="n"/>
      <c r="AK71" s="59" t="n"/>
      <c r="AL71" s="59" t="n"/>
      <c r="AM71" s="59" t="n"/>
      <c r="AN71" s="59" t="n"/>
      <c r="AO71" s="59" t="n"/>
    </row>
    <row r="72">
      <c r="A72" s="69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  <c r="AK72" s="69" t="n"/>
      <c r="AL72" s="69" t="n"/>
      <c r="AM72" s="69" t="n"/>
      <c r="AN72" s="69" t="n"/>
      <c r="AO72" s="6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  <c r="AD73" s="59" t="n"/>
      <c r="AE73" s="59" t="n"/>
      <c r="AF73" s="59" t="n"/>
      <c r="AG73" s="59" t="n"/>
      <c r="AH73" s="59" t="n"/>
      <c r="AI73" s="59" t="n"/>
      <c r="AJ73" s="59" t="n"/>
      <c r="AK73" s="59" t="n"/>
      <c r="AL73" s="59" t="n"/>
      <c r="AM73" s="59" t="n"/>
      <c r="AN73" s="59" t="n"/>
      <c r="AO73" s="59" t="n"/>
    </row>
    <row r="74">
      <c r="A74" s="69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  <c r="AK74" s="69" t="n"/>
      <c r="AL74" s="69" t="n"/>
      <c r="AM74" s="69" t="n"/>
      <c r="AN74" s="69" t="n"/>
      <c r="AO74" s="6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  <c r="AF75" s="59" t="n"/>
      <c r="AG75" s="59" t="n"/>
      <c r="AH75" s="59" t="n"/>
      <c r="AI75" s="59" t="n"/>
      <c r="AJ75" s="59" t="n"/>
      <c r="AK75" s="59" t="n"/>
      <c r="AL75" s="59" t="n"/>
      <c r="AM75" s="59" t="n"/>
      <c r="AN75" s="59" t="n"/>
      <c r="AO75" s="59" t="n"/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  <c r="AK76" s="69" t="n"/>
      <c r="AL76" s="69" t="n"/>
      <c r="AM76" s="69" t="n"/>
      <c r="AN76" s="69" t="n"/>
      <c r="AO76" s="6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  <c r="AC77" s="59" t="n"/>
      <c r="AD77" s="59" t="n"/>
      <c r="AE77" s="59" t="n"/>
      <c r="AF77" s="59" t="n"/>
      <c r="AG77" s="59" t="n"/>
      <c r="AH77" s="59" t="n"/>
      <c r="AI77" s="59" t="n"/>
      <c r="AJ77" s="59" t="n"/>
      <c r="AK77" s="59" t="n"/>
      <c r="AL77" s="59" t="n"/>
      <c r="AM77" s="59" t="n"/>
      <c r="AN77" s="59" t="n"/>
      <c r="AO77" s="59" t="n"/>
    </row>
    <row r="78">
      <c r="A78" s="69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  <c r="AK78" s="69" t="n"/>
      <c r="AL78" s="69" t="n"/>
      <c r="AM78" s="69" t="n"/>
      <c r="AN78" s="69" t="n"/>
      <c r="AO78" s="6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  <c r="AC79" s="59" t="n"/>
      <c r="AD79" s="59" t="n"/>
      <c r="AE79" s="59" t="n"/>
      <c r="AF79" s="59" t="n"/>
      <c r="AG79" s="59" t="n"/>
      <c r="AH79" s="59" t="n"/>
      <c r="AI79" s="59" t="n"/>
      <c r="AJ79" s="59" t="n"/>
      <c r="AK79" s="59" t="n"/>
      <c r="AL79" s="59" t="n"/>
      <c r="AM79" s="59" t="n"/>
      <c r="AN79" s="59" t="n"/>
      <c r="AO79" s="59" t="n"/>
    </row>
    <row r="80">
      <c r="A80" s="69" t="n"/>
      <c r="B80" s="69" t="n"/>
      <c r="C80" s="69" t="n"/>
      <c r="D80" s="69" t="n"/>
      <c r="E80" s="69" t="n"/>
      <c r="F80" s="69" t="n"/>
      <c r="G80" s="69" t="n"/>
      <c r="H80" s="69" t="n"/>
      <c r="I80" s="69" t="n"/>
      <c r="J80" s="69" t="n"/>
      <c r="K80" s="69" t="n"/>
      <c r="L80" s="69" t="n"/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  <c r="AK80" s="69" t="n"/>
      <c r="AL80" s="69" t="n"/>
      <c r="AM80" s="69" t="n"/>
      <c r="AN80" s="69" t="n"/>
      <c r="AO80" s="6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59" t="n"/>
      <c r="AB81" s="59" t="n"/>
      <c r="AC81" s="59" t="n"/>
      <c r="AD81" s="59" t="n"/>
      <c r="AE81" s="59" t="n"/>
      <c r="AF81" s="59" t="n"/>
      <c r="AG81" s="59" t="n"/>
      <c r="AH81" s="59" t="n"/>
      <c r="AI81" s="59" t="n"/>
      <c r="AJ81" s="59" t="n"/>
      <c r="AK81" s="59" t="n"/>
      <c r="AL81" s="59" t="n"/>
      <c r="AM81" s="59" t="n"/>
      <c r="AN81" s="59" t="n"/>
      <c r="AO81" s="59" t="n"/>
    </row>
    <row r="82">
      <c r="A82" s="69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  <c r="AK82" s="69" t="n"/>
      <c r="AL82" s="69" t="n"/>
      <c r="AM82" s="69" t="n"/>
      <c r="AN82" s="69" t="n"/>
      <c r="AO82" s="6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A83" s="59" t="n"/>
      <c r="AB83" s="59" t="n"/>
      <c r="AC83" s="59" t="n"/>
      <c r="AD83" s="59" t="n"/>
      <c r="AE83" s="59" t="n"/>
      <c r="AF83" s="59" t="n"/>
      <c r="AG83" s="59" t="n"/>
      <c r="AH83" s="59" t="n"/>
      <c r="AI83" s="59" t="n"/>
      <c r="AJ83" s="59" t="n"/>
      <c r="AK83" s="59" t="n"/>
      <c r="AL83" s="59" t="n"/>
      <c r="AM83" s="59" t="n"/>
      <c r="AN83" s="59" t="n"/>
      <c r="AO83" s="59" t="n"/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  <c r="AK84" s="69" t="n"/>
      <c r="AL84" s="69" t="n"/>
      <c r="AM84" s="69" t="n"/>
      <c r="AN84" s="69" t="n"/>
      <c r="AO84" s="6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  <c r="AD85" s="59" t="n"/>
      <c r="AE85" s="59" t="n"/>
      <c r="AF85" s="59" t="n"/>
      <c r="AG85" s="59" t="n"/>
      <c r="AH85" s="59" t="n"/>
      <c r="AI85" s="59" t="n"/>
      <c r="AJ85" s="59" t="n"/>
      <c r="AK85" s="59" t="n"/>
      <c r="AL85" s="59" t="n"/>
      <c r="AM85" s="59" t="n"/>
      <c r="AN85" s="59" t="n"/>
      <c r="AO85" s="59" t="n"/>
    </row>
    <row r="86">
      <c r="A86" s="69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  <c r="AK86" s="69" t="n"/>
      <c r="AL86" s="69" t="n"/>
      <c r="AM86" s="69" t="n"/>
      <c r="AN86" s="69" t="n"/>
      <c r="AO86" s="6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  <c r="AB87" s="59" t="n"/>
      <c r="AC87" s="59" t="n"/>
      <c r="AD87" s="59" t="n"/>
      <c r="AE87" s="59" t="n"/>
      <c r="AF87" s="59" t="n"/>
      <c r="AG87" s="59" t="n"/>
      <c r="AH87" s="59" t="n"/>
      <c r="AI87" s="59" t="n"/>
      <c r="AJ87" s="59" t="n"/>
      <c r="AK87" s="59" t="n"/>
      <c r="AL87" s="59" t="n"/>
      <c r="AM87" s="59" t="n"/>
      <c r="AN87" s="59" t="n"/>
      <c r="AO87" s="59" t="n"/>
    </row>
    <row r="88">
      <c r="A88" s="69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  <c r="AK88" s="69" t="n"/>
      <c r="AL88" s="69" t="n"/>
      <c r="AM88" s="69" t="n"/>
      <c r="AN88" s="69" t="n"/>
      <c r="AO88" s="69" t="n"/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A89" s="59" t="n"/>
      <c r="AB89" s="59" t="n"/>
      <c r="AC89" s="59" t="n"/>
      <c r="AD89" s="59" t="n"/>
      <c r="AE89" s="59" t="n"/>
      <c r="AF89" s="59" t="n"/>
      <c r="AG89" s="59" t="n"/>
      <c r="AH89" s="59" t="n"/>
      <c r="AI89" s="59" t="n"/>
      <c r="AJ89" s="59" t="n"/>
      <c r="AK89" s="59" t="n"/>
      <c r="AL89" s="59" t="n"/>
      <c r="AM89" s="59" t="n"/>
      <c r="AN89" s="59" t="n"/>
      <c r="AO89" s="59" t="n"/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  <c r="AK90" s="69" t="n"/>
      <c r="AL90" s="69" t="n"/>
      <c r="AM90" s="69" t="n"/>
      <c r="AN90" s="69" t="n"/>
      <c r="AO90" s="6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A91" s="59" t="n"/>
      <c r="AB91" s="59" t="n"/>
      <c r="AC91" s="59" t="n"/>
      <c r="AD91" s="59" t="n"/>
      <c r="AE91" s="59" t="n"/>
      <c r="AF91" s="59" t="n"/>
      <c r="AG91" s="59" t="n"/>
      <c r="AH91" s="59" t="n"/>
      <c r="AI91" s="59" t="n"/>
      <c r="AJ91" s="59" t="n"/>
      <c r="AK91" s="59" t="n"/>
      <c r="AL91" s="59" t="n"/>
      <c r="AM91" s="59" t="n"/>
      <c r="AN91" s="59" t="n"/>
      <c r="AO91" s="59" t="n"/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  <c r="AK92" s="69" t="n"/>
      <c r="AL92" s="69" t="n"/>
      <c r="AM92" s="69" t="n"/>
      <c r="AN92" s="69" t="n"/>
      <c r="AO92" s="6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  <c r="AB93" s="59" t="n"/>
      <c r="AC93" s="59" t="n"/>
      <c r="AD93" s="59" t="n"/>
      <c r="AE93" s="59" t="n"/>
      <c r="AF93" s="59" t="n"/>
      <c r="AG93" s="59" t="n"/>
      <c r="AH93" s="59" t="n"/>
      <c r="AI93" s="59" t="n"/>
      <c r="AJ93" s="59" t="n"/>
      <c r="AK93" s="59" t="n"/>
      <c r="AL93" s="59" t="n"/>
      <c r="AM93" s="59" t="n"/>
      <c r="AN93" s="59" t="n"/>
      <c r="AO93" s="59" t="n"/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  <c r="AK94" s="69" t="n"/>
      <c r="AL94" s="69" t="n"/>
      <c r="AM94" s="69" t="n"/>
      <c r="AN94" s="69" t="n"/>
      <c r="AO94" s="6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  <c r="AD95" s="59" t="n"/>
      <c r="AE95" s="59" t="n"/>
      <c r="AF95" s="59" t="n"/>
      <c r="AG95" s="59" t="n"/>
      <c r="AH95" s="59" t="n"/>
      <c r="AI95" s="59" t="n"/>
      <c r="AJ95" s="59" t="n"/>
      <c r="AK95" s="59" t="n"/>
      <c r="AL95" s="59" t="n"/>
      <c r="AM95" s="59" t="n"/>
      <c r="AN95" s="59" t="n"/>
      <c r="AO95" s="59" t="n"/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  <c r="AK96" s="69" t="n"/>
      <c r="AL96" s="69" t="n"/>
      <c r="AM96" s="69" t="n"/>
      <c r="AN96" s="69" t="n"/>
      <c r="AO96" s="6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  <c r="AC97" s="59" t="n"/>
      <c r="AD97" s="59" t="n"/>
      <c r="AE97" s="59" t="n"/>
      <c r="AF97" s="59" t="n"/>
      <c r="AG97" s="59" t="n"/>
      <c r="AH97" s="59" t="n"/>
      <c r="AI97" s="59" t="n"/>
      <c r="AJ97" s="59" t="n"/>
      <c r="AK97" s="59" t="n"/>
      <c r="AL97" s="59" t="n"/>
      <c r="AM97" s="59" t="n"/>
      <c r="AN97" s="59" t="n"/>
      <c r="AO97" s="59" t="n"/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  <c r="AD98" s="69" t="n"/>
      <c r="AE98" s="69" t="n"/>
      <c r="AF98" s="69" t="n"/>
      <c r="AG98" s="69" t="n"/>
      <c r="AH98" s="69" t="n"/>
      <c r="AI98" s="69" t="n"/>
      <c r="AJ98" s="69" t="n"/>
      <c r="AK98" s="69" t="n"/>
      <c r="AL98" s="69" t="n"/>
      <c r="AM98" s="69" t="n"/>
      <c r="AN98" s="69" t="n"/>
      <c r="AO98" s="6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  <c r="AB99" s="59" t="n"/>
      <c r="AC99" s="59" t="n"/>
      <c r="AD99" s="59" t="n"/>
      <c r="AE99" s="59" t="n"/>
      <c r="AF99" s="59" t="n"/>
      <c r="AG99" s="59" t="n"/>
      <c r="AH99" s="59" t="n"/>
      <c r="AI99" s="59" t="n"/>
      <c r="AJ99" s="59" t="n"/>
      <c r="AK99" s="59" t="n"/>
      <c r="AL99" s="59" t="n"/>
      <c r="AM99" s="59" t="n"/>
      <c r="AN99" s="59" t="n"/>
      <c r="AO99" s="59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  <c r="AC100" s="69" t="n"/>
      <c r="AD100" s="69" t="n"/>
      <c r="AE100" s="69" t="n"/>
      <c r="AF100" s="69" t="n"/>
      <c r="AG100" s="69" t="n"/>
      <c r="AH100" s="69" t="n"/>
      <c r="AI100" s="69" t="n"/>
      <c r="AJ100" s="69" t="n"/>
      <c r="AK100" s="69" t="n"/>
      <c r="AL100" s="69" t="n"/>
      <c r="AM100" s="69" t="n"/>
      <c r="AN100" s="69" t="n"/>
      <c r="AO100" s="6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A101" s="59" t="n"/>
      <c r="AB101" s="59" t="n"/>
      <c r="AC101" s="59" t="n"/>
      <c r="AD101" s="59" t="n"/>
      <c r="AE101" s="59" t="n"/>
      <c r="AF101" s="59" t="n"/>
      <c r="AG101" s="59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  <c r="AD102" s="69" t="n"/>
      <c r="AE102" s="69" t="n"/>
      <c r="AF102" s="69" t="n"/>
      <c r="AG102" s="69" t="n"/>
      <c r="AH102" s="69" t="n"/>
      <c r="AI102" s="69" t="n"/>
      <c r="AJ102" s="69" t="n"/>
      <c r="AK102" s="69" t="n"/>
      <c r="AL102" s="69" t="n"/>
      <c r="AM102" s="69" t="n"/>
      <c r="AN102" s="69" t="n"/>
      <c r="AO102" s="6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  <c r="AB103" s="59" t="n"/>
      <c r="AC103" s="59" t="n"/>
      <c r="AD103" s="59" t="n"/>
      <c r="AE103" s="59" t="n"/>
      <c r="AF103" s="59" t="n"/>
      <c r="AG103" s="59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  <c r="AD104" s="69" t="n"/>
      <c r="AE104" s="69" t="n"/>
      <c r="AF104" s="69" t="n"/>
      <c r="AG104" s="69" t="n"/>
      <c r="AH104" s="69" t="n"/>
      <c r="AI104" s="69" t="n"/>
      <c r="AJ104" s="69" t="n"/>
      <c r="AK104" s="69" t="n"/>
      <c r="AL104" s="69" t="n"/>
      <c r="AM104" s="69" t="n"/>
      <c r="AN104" s="69" t="n"/>
      <c r="AO104" s="6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  <c r="AB105" s="59" t="n"/>
      <c r="AC105" s="59" t="n"/>
      <c r="AD105" s="59" t="n"/>
      <c r="AE105" s="59" t="n"/>
      <c r="AF105" s="59" t="n"/>
      <c r="AG105" s="59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  <c r="AB106" s="69" t="n"/>
      <c r="AC106" s="69" t="n"/>
      <c r="AD106" s="69" t="n"/>
      <c r="AE106" s="69" t="n"/>
      <c r="AF106" s="69" t="n"/>
      <c r="AG106" s="69" t="n"/>
      <c r="AH106" s="69" t="n"/>
      <c r="AI106" s="69" t="n"/>
      <c r="AJ106" s="69" t="n"/>
      <c r="AK106" s="69" t="n"/>
      <c r="AL106" s="69" t="n"/>
      <c r="AM106" s="69" t="n"/>
      <c r="AN106" s="69" t="n"/>
      <c r="AO106" s="6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  <c r="AC107" s="59" t="n"/>
      <c r="AD107" s="59" t="n"/>
      <c r="AE107" s="59" t="n"/>
      <c r="AF107" s="59" t="n"/>
      <c r="AG107" s="59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  <c r="AA108" s="69" t="n"/>
      <c r="AB108" s="69" t="n"/>
      <c r="AC108" s="69" t="n"/>
      <c r="AD108" s="69" t="n"/>
      <c r="AE108" s="69" t="n"/>
      <c r="AF108" s="69" t="n"/>
      <c r="AG108" s="69" t="n"/>
      <c r="AH108" s="69" t="n"/>
      <c r="AI108" s="69" t="n"/>
      <c r="AJ108" s="69" t="n"/>
      <c r="AK108" s="69" t="n"/>
      <c r="AL108" s="69" t="n"/>
      <c r="AM108" s="69" t="n"/>
      <c r="AN108" s="69" t="n"/>
      <c r="AO108" s="6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  <c r="AB109" s="59" t="n"/>
      <c r="AC109" s="59" t="n"/>
      <c r="AD109" s="59" t="n"/>
      <c r="AE109" s="59" t="n"/>
      <c r="AF109" s="59" t="n"/>
      <c r="AG109" s="59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  <c r="AB110" s="69" t="n"/>
      <c r="AC110" s="69" t="n"/>
      <c r="AD110" s="69" t="n"/>
      <c r="AE110" s="69" t="n"/>
      <c r="AF110" s="69" t="n"/>
      <c r="AG110" s="69" t="n"/>
      <c r="AH110" s="69" t="n"/>
      <c r="AI110" s="69" t="n"/>
      <c r="AJ110" s="69" t="n"/>
      <c r="AK110" s="69" t="n"/>
      <c r="AL110" s="69" t="n"/>
      <c r="AM110" s="69" t="n"/>
      <c r="AN110" s="69" t="n"/>
      <c r="AO110" s="6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A111" s="59" t="n"/>
      <c r="AB111" s="59" t="n"/>
      <c r="AC111" s="59" t="n"/>
      <c r="AD111" s="59" t="n"/>
      <c r="AE111" s="59" t="n"/>
      <c r="AF111" s="59" t="n"/>
      <c r="AG111" s="59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  <c r="AA112" s="69" t="n"/>
      <c r="AB112" s="69" t="n"/>
      <c r="AC112" s="69" t="n"/>
      <c r="AD112" s="69" t="n"/>
      <c r="AE112" s="69" t="n"/>
      <c r="AF112" s="69" t="n"/>
      <c r="AG112" s="69" t="n"/>
      <c r="AH112" s="69" t="n"/>
      <c r="AI112" s="69" t="n"/>
      <c r="AJ112" s="69" t="n"/>
      <c r="AK112" s="69" t="n"/>
      <c r="AL112" s="69" t="n"/>
      <c r="AM112" s="69" t="n"/>
      <c r="AN112" s="69" t="n"/>
      <c r="AO112" s="6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A113" s="59" t="n"/>
      <c r="AB113" s="59" t="n"/>
      <c r="AC113" s="59" t="n"/>
      <c r="AD113" s="59" t="n"/>
      <c r="AE113" s="59" t="n"/>
      <c r="AF113" s="59" t="n"/>
      <c r="AG113" s="59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  <c r="AC114" s="69" t="n"/>
      <c r="AD114" s="69" t="n"/>
      <c r="AE114" s="69" t="n"/>
      <c r="AF114" s="69" t="n"/>
      <c r="AG114" s="69" t="n"/>
      <c r="AH114" s="69" t="n"/>
      <c r="AI114" s="69" t="n"/>
      <c r="AJ114" s="69" t="n"/>
      <c r="AK114" s="69" t="n"/>
      <c r="AL114" s="69" t="n"/>
      <c r="AM114" s="69" t="n"/>
      <c r="AN114" s="69" t="n"/>
      <c r="AO114" s="6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  <c r="AB115" s="59" t="n"/>
      <c r="AC115" s="59" t="n"/>
      <c r="AD115" s="59" t="n"/>
      <c r="AE115" s="59" t="n"/>
      <c r="AF115" s="59" t="n"/>
      <c r="AG115" s="59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  <c r="AC116" s="69" t="n"/>
      <c r="AD116" s="69" t="n"/>
      <c r="AE116" s="69" t="n"/>
      <c r="AF116" s="69" t="n"/>
      <c r="AG116" s="69" t="n"/>
      <c r="AH116" s="69" t="n"/>
      <c r="AI116" s="69" t="n"/>
      <c r="AJ116" s="69" t="n"/>
      <c r="AK116" s="69" t="n"/>
      <c r="AL116" s="69" t="n"/>
      <c r="AM116" s="69" t="n"/>
      <c r="AN116" s="69" t="n"/>
      <c r="AO116" s="6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  <c r="AB117" s="59" t="n"/>
      <c r="AC117" s="59" t="n"/>
      <c r="AD117" s="59" t="n"/>
      <c r="AE117" s="59" t="n"/>
      <c r="AF117" s="59" t="n"/>
      <c r="AG117" s="59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  <c r="AA118" s="69" t="n"/>
      <c r="AB118" s="69" t="n"/>
      <c r="AC118" s="69" t="n"/>
      <c r="AD118" s="69" t="n"/>
      <c r="AE118" s="69" t="n"/>
      <c r="AF118" s="69" t="n"/>
      <c r="AG118" s="69" t="n"/>
      <c r="AH118" s="69" t="n"/>
      <c r="AI118" s="69" t="n"/>
      <c r="AJ118" s="69" t="n"/>
      <c r="AK118" s="69" t="n"/>
      <c r="AL118" s="69" t="n"/>
      <c r="AM118" s="69" t="n"/>
      <c r="AN118" s="69" t="n"/>
      <c r="AO118" s="6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  <c r="AB119" s="59" t="n"/>
      <c r="AC119" s="59" t="n"/>
      <c r="AD119" s="59" t="n"/>
      <c r="AE119" s="59" t="n"/>
      <c r="AF119" s="59" t="n"/>
      <c r="AG119" s="59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  <c r="AC120" s="69" t="n"/>
      <c r="AD120" s="69" t="n"/>
      <c r="AE120" s="69" t="n"/>
      <c r="AF120" s="69" t="n"/>
      <c r="AG120" s="69" t="n"/>
      <c r="AH120" s="69" t="n"/>
      <c r="AI120" s="69" t="n"/>
      <c r="AJ120" s="69" t="n"/>
      <c r="AK120" s="69" t="n"/>
      <c r="AL120" s="69" t="n"/>
      <c r="AM120" s="69" t="n"/>
      <c r="AN120" s="69" t="n"/>
      <c r="AO120" s="6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  <c r="AA121" s="59" t="n"/>
      <c r="AB121" s="59" t="n"/>
      <c r="AC121" s="59" t="n"/>
      <c r="AD121" s="59" t="n"/>
      <c r="AE121" s="59" t="n"/>
      <c r="AF121" s="59" t="n"/>
      <c r="AG121" s="59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  <c r="AD122" s="69" t="n"/>
      <c r="AE122" s="69" t="n"/>
      <c r="AF122" s="69" t="n"/>
      <c r="AG122" s="69" t="n"/>
      <c r="AH122" s="69" t="n"/>
      <c r="AI122" s="69" t="n"/>
      <c r="AJ122" s="69" t="n"/>
      <c r="AK122" s="69" t="n"/>
      <c r="AL122" s="69" t="n"/>
      <c r="AM122" s="69" t="n"/>
      <c r="AN122" s="69" t="n"/>
      <c r="AO122" s="6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  <c r="AA123" s="59" t="n"/>
      <c r="AB123" s="59" t="n"/>
      <c r="AC123" s="59" t="n"/>
      <c r="AD123" s="59" t="n"/>
      <c r="AE123" s="59" t="n"/>
      <c r="AF123" s="59" t="n"/>
      <c r="AG123" s="59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  <c r="AD124" s="69" t="n"/>
      <c r="AE124" s="69" t="n"/>
      <c r="AF124" s="69" t="n"/>
      <c r="AG124" s="69" t="n"/>
      <c r="AH124" s="69" t="n"/>
      <c r="AI124" s="69" t="n"/>
      <c r="AJ124" s="69" t="n"/>
      <c r="AK124" s="69" t="n"/>
      <c r="AL124" s="69" t="n"/>
      <c r="AM124" s="69" t="n"/>
      <c r="AN124" s="69" t="n"/>
      <c r="AO124" s="6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A125" s="59" t="n"/>
      <c r="AB125" s="59" t="n"/>
      <c r="AC125" s="59" t="n"/>
      <c r="AD125" s="59" t="n"/>
      <c r="AE125" s="59" t="n"/>
      <c r="AF125" s="59" t="n"/>
      <c r="AG125" s="59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  <c r="AC126" s="69" t="n"/>
      <c r="AD126" s="69" t="n"/>
      <c r="AE126" s="69" t="n"/>
      <c r="AF126" s="69" t="n"/>
      <c r="AG126" s="69" t="n"/>
      <c r="AH126" s="69" t="n"/>
      <c r="AI126" s="69" t="n"/>
      <c r="AJ126" s="69" t="n"/>
      <c r="AK126" s="69" t="n"/>
      <c r="AL126" s="69" t="n"/>
      <c r="AM126" s="69" t="n"/>
      <c r="AN126" s="69" t="n"/>
      <c r="AO126" s="6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  <c r="AA127" s="59" t="n"/>
      <c r="AB127" s="59" t="n"/>
      <c r="AC127" s="59" t="n"/>
      <c r="AD127" s="59" t="n"/>
      <c r="AE127" s="59" t="n"/>
      <c r="AF127" s="59" t="n"/>
      <c r="AG127" s="59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  <c r="AC128" s="69" t="n"/>
      <c r="AD128" s="69" t="n"/>
      <c r="AE128" s="69" t="n"/>
      <c r="AF128" s="69" t="n"/>
      <c r="AG128" s="69" t="n"/>
      <c r="AH128" s="69" t="n"/>
      <c r="AI128" s="69" t="n"/>
      <c r="AJ128" s="69" t="n"/>
      <c r="AK128" s="69" t="n"/>
      <c r="AL128" s="69" t="n"/>
      <c r="AM128" s="69" t="n"/>
      <c r="AN128" s="69" t="n"/>
      <c r="AO128" s="6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A129" s="59" t="n"/>
      <c r="AB129" s="59" t="n"/>
      <c r="AC129" s="59" t="n"/>
      <c r="AD129" s="59" t="n"/>
      <c r="AE129" s="59" t="n"/>
      <c r="AF129" s="59" t="n"/>
      <c r="AG129" s="59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  <c r="AF130" s="69" t="n"/>
      <c r="AG130" s="69" t="n"/>
      <c r="AH130" s="69" t="n"/>
      <c r="AI130" s="69" t="n"/>
      <c r="AJ130" s="69" t="n"/>
      <c r="AK130" s="69" t="n"/>
      <c r="AL130" s="69" t="n"/>
      <c r="AM130" s="69" t="n"/>
      <c r="AN130" s="69" t="n"/>
      <c r="AO130" s="6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A131" s="59" t="n"/>
      <c r="AB131" s="59" t="n"/>
      <c r="AC131" s="59" t="n"/>
      <c r="AD131" s="59" t="n"/>
      <c r="AE131" s="59" t="n"/>
      <c r="AF131" s="59" t="n"/>
      <c r="AG131" s="59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  <c r="AC132" s="69" t="n"/>
      <c r="AD132" s="69" t="n"/>
      <c r="AE132" s="69" t="n"/>
      <c r="AF132" s="69" t="n"/>
      <c r="AG132" s="69" t="n"/>
      <c r="AH132" s="69" t="n"/>
      <c r="AI132" s="69" t="n"/>
      <c r="AJ132" s="69" t="n"/>
      <c r="AK132" s="69" t="n"/>
      <c r="AL132" s="69" t="n"/>
      <c r="AM132" s="69" t="n"/>
      <c r="AN132" s="69" t="n"/>
      <c r="AO132" s="6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  <c r="AA133" s="59" t="n"/>
      <c r="AB133" s="59" t="n"/>
      <c r="AC133" s="59" t="n"/>
      <c r="AD133" s="59" t="n"/>
      <c r="AE133" s="59" t="n"/>
      <c r="AF133" s="59" t="n"/>
      <c r="AG133" s="59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  <c r="AA134" s="69" t="n"/>
      <c r="AB134" s="69" t="n"/>
      <c r="AC134" s="69" t="n"/>
      <c r="AD134" s="69" t="n"/>
      <c r="AE134" s="69" t="n"/>
      <c r="AF134" s="69" t="n"/>
      <c r="AG134" s="69" t="n"/>
      <c r="AH134" s="69" t="n"/>
      <c r="AI134" s="69" t="n"/>
      <c r="AJ134" s="69" t="n"/>
      <c r="AK134" s="69" t="n"/>
      <c r="AL134" s="69" t="n"/>
      <c r="AM134" s="69" t="n"/>
      <c r="AN134" s="69" t="n"/>
      <c r="AO134" s="6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A135" s="59" t="n"/>
      <c r="AB135" s="59" t="n"/>
      <c r="AC135" s="59" t="n"/>
      <c r="AD135" s="59" t="n"/>
      <c r="AE135" s="59" t="n"/>
      <c r="AF135" s="59" t="n"/>
      <c r="AG135" s="59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  <c r="AC136" s="69" t="n"/>
      <c r="AD136" s="69" t="n"/>
      <c r="AE136" s="69" t="n"/>
      <c r="AF136" s="69" t="n"/>
      <c r="AG136" s="69" t="n"/>
      <c r="AH136" s="69" t="n"/>
      <c r="AI136" s="69" t="n"/>
      <c r="AJ136" s="69" t="n"/>
      <c r="AK136" s="69" t="n"/>
      <c r="AL136" s="69" t="n"/>
      <c r="AM136" s="69" t="n"/>
      <c r="AN136" s="69" t="n"/>
      <c r="AO136" s="6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  <c r="AA137" s="59" t="n"/>
      <c r="AB137" s="59" t="n"/>
      <c r="AC137" s="59" t="n"/>
      <c r="AD137" s="59" t="n"/>
      <c r="AE137" s="59" t="n"/>
      <c r="AF137" s="59" t="n"/>
      <c r="AG137" s="59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  <c r="AD138" s="69" t="n"/>
      <c r="AE138" s="69" t="n"/>
      <c r="AF138" s="69" t="n"/>
      <c r="AG138" s="69" t="n"/>
      <c r="AH138" s="69" t="n"/>
      <c r="AI138" s="69" t="n"/>
      <c r="AJ138" s="69" t="n"/>
      <c r="AK138" s="69" t="n"/>
      <c r="AL138" s="69" t="n"/>
      <c r="AM138" s="69" t="n"/>
      <c r="AN138" s="69" t="n"/>
      <c r="AO138" s="6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  <c r="AA139" s="59" t="n"/>
      <c r="AB139" s="59" t="n"/>
      <c r="AC139" s="59" t="n"/>
      <c r="AD139" s="59" t="n"/>
      <c r="AE139" s="59" t="n"/>
      <c r="AF139" s="59" t="n"/>
      <c r="AG139" s="59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  <c r="AC140" s="69" t="n"/>
      <c r="AD140" s="69" t="n"/>
      <c r="AE140" s="69" t="n"/>
      <c r="AF140" s="69" t="n"/>
      <c r="AG140" s="69" t="n"/>
      <c r="AH140" s="69" t="n"/>
      <c r="AI140" s="69" t="n"/>
      <c r="AJ140" s="69" t="n"/>
      <c r="AK140" s="69" t="n"/>
      <c r="AL140" s="69" t="n"/>
      <c r="AM140" s="69" t="n"/>
      <c r="AN140" s="69" t="n"/>
      <c r="AO140" s="6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  <c r="AA141" s="59" t="n"/>
      <c r="AB141" s="59" t="n"/>
      <c r="AC141" s="59" t="n"/>
      <c r="AD141" s="59" t="n"/>
      <c r="AE141" s="59" t="n"/>
      <c r="AF141" s="59" t="n"/>
      <c r="AG141" s="59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  <c r="AC142" s="69" t="n"/>
      <c r="AD142" s="69" t="n"/>
      <c r="AE142" s="69" t="n"/>
      <c r="AF142" s="69" t="n"/>
      <c r="AG142" s="69" t="n"/>
      <c r="AH142" s="69" t="n"/>
      <c r="AI142" s="69" t="n"/>
      <c r="AJ142" s="69" t="n"/>
      <c r="AK142" s="69" t="n"/>
      <c r="AL142" s="69" t="n"/>
      <c r="AM142" s="69" t="n"/>
      <c r="AN142" s="69" t="n"/>
      <c r="AO142" s="6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  <c r="AA143" s="59" t="n"/>
      <c r="AB143" s="59" t="n"/>
      <c r="AC143" s="59" t="n"/>
      <c r="AD143" s="59" t="n"/>
      <c r="AE143" s="59" t="n"/>
      <c r="AF143" s="59" t="n"/>
      <c r="AG143" s="59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  <c r="AC144" s="69" t="n"/>
      <c r="AD144" s="69" t="n"/>
      <c r="AE144" s="69" t="n"/>
      <c r="AF144" s="69" t="n"/>
      <c r="AG144" s="69" t="n"/>
      <c r="AH144" s="69" t="n"/>
      <c r="AI144" s="69" t="n"/>
      <c r="AJ144" s="69" t="n"/>
      <c r="AK144" s="69" t="n"/>
      <c r="AL144" s="69" t="n"/>
      <c r="AM144" s="69" t="n"/>
      <c r="AN144" s="69" t="n"/>
      <c r="AO144" s="6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  <c r="AA145" s="59" t="n"/>
      <c r="AB145" s="59" t="n"/>
      <c r="AC145" s="59" t="n"/>
      <c r="AD145" s="59" t="n"/>
      <c r="AE145" s="59" t="n"/>
      <c r="AF145" s="59" t="n"/>
      <c r="AG145" s="59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  <c r="AD146" s="69" t="n"/>
      <c r="AE146" s="69" t="n"/>
      <c r="AF146" s="69" t="n"/>
      <c r="AG146" s="69" t="n"/>
      <c r="AH146" s="69" t="n"/>
      <c r="AI146" s="69" t="n"/>
      <c r="AJ146" s="69" t="n"/>
      <c r="AK146" s="69" t="n"/>
      <c r="AL146" s="69" t="n"/>
      <c r="AM146" s="69" t="n"/>
      <c r="AN146" s="69" t="n"/>
      <c r="AO146" s="6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  <c r="AA147" s="59" t="n"/>
      <c r="AB147" s="59" t="n"/>
      <c r="AC147" s="59" t="n"/>
      <c r="AD147" s="59" t="n"/>
      <c r="AE147" s="59" t="n"/>
      <c r="AF147" s="59" t="n"/>
      <c r="AG147" s="59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  <c r="AD148" s="69" t="n"/>
      <c r="AE148" s="69" t="n"/>
      <c r="AF148" s="69" t="n"/>
      <c r="AG148" s="69" t="n"/>
      <c r="AH148" s="69" t="n"/>
      <c r="AI148" s="69" t="n"/>
      <c r="AJ148" s="69" t="n"/>
      <c r="AK148" s="69" t="n"/>
      <c r="AL148" s="69" t="n"/>
      <c r="AM148" s="69" t="n"/>
      <c r="AN148" s="69" t="n"/>
      <c r="AO148" s="6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  <c r="AA149" s="59" t="n"/>
      <c r="AB149" s="59" t="n"/>
      <c r="AC149" s="59" t="n"/>
      <c r="AD149" s="59" t="n"/>
      <c r="AE149" s="59" t="n"/>
      <c r="AF149" s="59" t="n"/>
      <c r="AG149" s="59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  <c r="AA150" s="69" t="n"/>
      <c r="AB150" s="69" t="n"/>
      <c r="AC150" s="69" t="n"/>
      <c r="AD150" s="69" t="n"/>
      <c r="AE150" s="69" t="n"/>
      <c r="AF150" s="69" t="n"/>
      <c r="AG150" s="69" t="n"/>
      <c r="AH150" s="69" t="n"/>
      <c r="AI150" s="69" t="n"/>
      <c r="AJ150" s="69" t="n"/>
      <c r="AK150" s="69" t="n"/>
      <c r="AL150" s="69" t="n"/>
      <c r="AM150" s="69" t="n"/>
      <c r="AN150" s="69" t="n"/>
      <c r="AO150" s="6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  <c r="AA151" s="59" t="n"/>
      <c r="AB151" s="59" t="n"/>
      <c r="AC151" s="59" t="n"/>
      <c r="AD151" s="59" t="n"/>
      <c r="AE151" s="59" t="n"/>
      <c r="AF151" s="59" t="n"/>
      <c r="AG151" s="59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  <c r="AC152" s="69" t="n"/>
      <c r="AD152" s="69" t="n"/>
      <c r="AE152" s="69" t="n"/>
      <c r="AF152" s="69" t="n"/>
      <c r="AG152" s="69" t="n"/>
      <c r="AH152" s="69" t="n"/>
      <c r="AI152" s="69" t="n"/>
      <c r="AJ152" s="69" t="n"/>
      <c r="AK152" s="69" t="n"/>
      <c r="AL152" s="69" t="n"/>
      <c r="AM152" s="69" t="n"/>
      <c r="AN152" s="69" t="n"/>
      <c r="AO152" s="6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  <c r="AA153" s="59" t="n"/>
      <c r="AB153" s="59" t="n"/>
      <c r="AC153" s="59" t="n"/>
      <c r="AD153" s="59" t="n"/>
      <c r="AE153" s="59" t="n"/>
      <c r="AF153" s="59" t="n"/>
      <c r="AG153" s="59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  <c r="AA154" s="69" t="n"/>
      <c r="AB154" s="69" t="n"/>
      <c r="AC154" s="69" t="n"/>
      <c r="AD154" s="69" t="n"/>
      <c r="AE154" s="69" t="n"/>
      <c r="AF154" s="69" t="n"/>
      <c r="AG154" s="69" t="n"/>
      <c r="AH154" s="69" t="n"/>
      <c r="AI154" s="69" t="n"/>
      <c r="AJ154" s="69" t="n"/>
      <c r="AK154" s="69" t="n"/>
      <c r="AL154" s="69" t="n"/>
      <c r="AM154" s="69" t="n"/>
      <c r="AN154" s="69" t="n"/>
      <c r="AO154" s="6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  <c r="AA155" s="59" t="n"/>
      <c r="AB155" s="59" t="n"/>
      <c r="AC155" s="59" t="n"/>
      <c r="AD155" s="59" t="n"/>
      <c r="AE155" s="59" t="n"/>
      <c r="AF155" s="59" t="n"/>
      <c r="AG155" s="59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  <c r="AA156" s="69" t="n"/>
      <c r="AB156" s="69" t="n"/>
      <c r="AC156" s="69" t="n"/>
      <c r="AD156" s="69" t="n"/>
      <c r="AE156" s="69" t="n"/>
      <c r="AF156" s="69" t="n"/>
      <c r="AG156" s="69" t="n"/>
      <c r="AH156" s="69" t="n"/>
      <c r="AI156" s="69" t="n"/>
      <c r="AJ156" s="69" t="n"/>
      <c r="AK156" s="69" t="n"/>
      <c r="AL156" s="69" t="n"/>
      <c r="AM156" s="69" t="n"/>
      <c r="AN156" s="69" t="n"/>
      <c r="AO156" s="6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  <c r="AA157" s="59" t="n"/>
      <c r="AB157" s="59" t="n"/>
      <c r="AC157" s="59" t="n"/>
      <c r="AD157" s="59" t="n"/>
      <c r="AE157" s="59" t="n"/>
      <c r="AF157" s="59" t="n"/>
      <c r="AG157" s="59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  <c r="AD158" s="69" t="n"/>
      <c r="AE158" s="69" t="n"/>
      <c r="AF158" s="69" t="n"/>
      <c r="AG158" s="69" t="n"/>
      <c r="AH158" s="69" t="n"/>
      <c r="AI158" s="69" t="n"/>
      <c r="AJ158" s="69" t="n"/>
      <c r="AK158" s="69" t="n"/>
      <c r="AL158" s="69" t="n"/>
      <c r="AM158" s="69" t="n"/>
      <c r="AN158" s="69" t="n"/>
      <c r="AO158" s="6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  <c r="AA159" s="59" t="n"/>
      <c r="AB159" s="59" t="n"/>
      <c r="AC159" s="59" t="n"/>
      <c r="AD159" s="59" t="n"/>
      <c r="AE159" s="59" t="n"/>
      <c r="AF159" s="59" t="n"/>
      <c r="AG159" s="59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  <c r="AA160" s="69" t="n"/>
      <c r="AB160" s="69" t="n"/>
      <c r="AC160" s="69" t="n"/>
      <c r="AD160" s="69" t="n"/>
      <c r="AE160" s="69" t="n"/>
      <c r="AF160" s="69" t="n"/>
      <c r="AG160" s="69" t="n"/>
      <c r="AH160" s="69" t="n"/>
      <c r="AI160" s="69" t="n"/>
      <c r="AJ160" s="69" t="n"/>
      <c r="AK160" s="69" t="n"/>
      <c r="AL160" s="69" t="n"/>
      <c r="AM160" s="69" t="n"/>
      <c r="AN160" s="69" t="n"/>
      <c r="AO160" s="6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  <c r="AA161" s="59" t="n"/>
      <c r="AB161" s="59" t="n"/>
      <c r="AC161" s="59" t="n"/>
      <c r="AD161" s="59" t="n"/>
      <c r="AE161" s="59" t="n"/>
      <c r="AF161" s="59" t="n"/>
      <c r="AG161" s="59" t="n"/>
      <c r="AH161" s="59" t="n"/>
      <c r="AI161" s="59" t="n"/>
      <c r="AJ161" s="59" t="n"/>
      <c r="AK161" s="59" t="n"/>
      <c r="AL161" s="59" t="n"/>
      <c r="AM161" s="59" t="n"/>
      <c r="AN161" s="59" t="n"/>
      <c r="AO161" s="59" t="n"/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  <c r="AA162" s="69" t="n"/>
      <c r="AB162" s="69" t="n"/>
      <c r="AC162" s="69" t="n"/>
      <c r="AD162" s="69" t="n"/>
      <c r="AE162" s="69" t="n"/>
      <c r="AF162" s="69" t="n"/>
      <c r="AG162" s="69" t="n"/>
      <c r="AH162" s="69" t="n"/>
      <c r="AI162" s="69" t="n"/>
      <c r="AJ162" s="69" t="n"/>
      <c r="AK162" s="69" t="n"/>
      <c r="AL162" s="69" t="n"/>
      <c r="AM162" s="69" t="n"/>
      <c r="AN162" s="69" t="n"/>
      <c r="AO162" s="6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  <c r="AA163" s="59" t="n"/>
      <c r="AB163" s="59" t="n"/>
      <c r="AC163" s="59" t="n"/>
      <c r="AD163" s="59" t="n"/>
      <c r="AE163" s="59" t="n"/>
      <c r="AF163" s="59" t="n"/>
      <c r="AG163" s="59" t="n"/>
      <c r="AH163" s="59" t="n"/>
      <c r="AI163" s="59" t="n"/>
      <c r="AJ163" s="59" t="n"/>
      <c r="AK163" s="59" t="n"/>
      <c r="AL163" s="59" t="n"/>
      <c r="AM163" s="59" t="n"/>
      <c r="AN163" s="59" t="n"/>
      <c r="AO163" s="59" t="n"/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  <c r="AC164" s="69" t="n"/>
      <c r="AD164" s="69" t="n"/>
      <c r="AE164" s="69" t="n"/>
      <c r="AF164" s="69" t="n"/>
      <c r="AG164" s="69" t="n"/>
      <c r="AH164" s="69" t="n"/>
      <c r="AI164" s="69" t="n"/>
      <c r="AJ164" s="69" t="n"/>
      <c r="AK164" s="69" t="n"/>
      <c r="AL164" s="69" t="n"/>
      <c r="AM164" s="69" t="n"/>
      <c r="AN164" s="69" t="n"/>
      <c r="AO164" s="6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  <c r="AA165" s="59" t="n"/>
      <c r="AB165" s="59" t="n"/>
      <c r="AC165" s="59" t="n"/>
      <c r="AD165" s="59" t="n"/>
      <c r="AE165" s="59" t="n"/>
      <c r="AF165" s="59" t="n"/>
      <c r="AG165" s="59" t="n"/>
      <c r="AH165" s="59" t="n"/>
      <c r="AI165" s="59" t="n"/>
      <c r="AJ165" s="59" t="n"/>
      <c r="AK165" s="59" t="n"/>
      <c r="AL165" s="59" t="n"/>
      <c r="AM165" s="59" t="n"/>
      <c r="AN165" s="59" t="n"/>
      <c r="AO165" s="59" t="n"/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  <c r="AC166" s="69" t="n"/>
      <c r="AD166" s="69" t="n"/>
      <c r="AE166" s="69" t="n"/>
      <c r="AF166" s="69" t="n"/>
      <c r="AG166" s="69" t="n"/>
      <c r="AH166" s="69" t="n"/>
      <c r="AI166" s="69" t="n"/>
      <c r="AJ166" s="69" t="n"/>
      <c r="AK166" s="69" t="n"/>
      <c r="AL166" s="69" t="n"/>
      <c r="AM166" s="69" t="n"/>
      <c r="AN166" s="69" t="n"/>
      <c r="AO166" s="6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  <c r="AA167" s="59" t="n"/>
      <c r="AB167" s="59" t="n"/>
      <c r="AC167" s="59" t="n"/>
      <c r="AD167" s="59" t="n"/>
      <c r="AE167" s="59" t="n"/>
      <c r="AF167" s="59" t="n"/>
      <c r="AG167" s="59" t="n"/>
      <c r="AH167" s="59" t="n"/>
      <c r="AI167" s="59" t="n"/>
      <c r="AJ167" s="59" t="n"/>
      <c r="AK167" s="59" t="n"/>
      <c r="AL167" s="59" t="n"/>
      <c r="AM167" s="59" t="n"/>
      <c r="AN167" s="59" t="n"/>
      <c r="AO167" s="59" t="n"/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  <c r="AC168" s="69" t="n"/>
      <c r="AD168" s="69" t="n"/>
      <c r="AE168" s="69" t="n"/>
      <c r="AF168" s="69" t="n"/>
      <c r="AG168" s="69" t="n"/>
      <c r="AH168" s="69" t="n"/>
      <c r="AI168" s="69" t="n"/>
      <c r="AJ168" s="69" t="n"/>
      <c r="AK168" s="69" t="n"/>
      <c r="AL168" s="69" t="n"/>
      <c r="AM168" s="69" t="n"/>
      <c r="AN168" s="69" t="n"/>
      <c r="AO168" s="6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  <c r="AA169" s="59" t="n"/>
      <c r="AB169" s="59" t="n"/>
      <c r="AC169" s="59" t="n"/>
      <c r="AD169" s="59" t="n"/>
      <c r="AE169" s="59" t="n"/>
      <c r="AF169" s="59" t="n"/>
      <c r="AG169" s="59" t="n"/>
      <c r="AH169" s="59" t="n"/>
      <c r="AI169" s="59" t="n"/>
      <c r="AJ169" s="59" t="n"/>
      <c r="AK169" s="59" t="n"/>
      <c r="AL169" s="59" t="n"/>
      <c r="AM169" s="59" t="n"/>
      <c r="AN169" s="59" t="n"/>
      <c r="AO169" s="59" t="n"/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  <c r="AD170" s="69" t="n"/>
      <c r="AE170" s="69" t="n"/>
      <c r="AF170" s="69" t="n"/>
      <c r="AG170" s="69" t="n"/>
      <c r="AH170" s="69" t="n"/>
      <c r="AI170" s="69" t="n"/>
      <c r="AJ170" s="69" t="n"/>
      <c r="AK170" s="69" t="n"/>
      <c r="AL170" s="69" t="n"/>
      <c r="AM170" s="69" t="n"/>
      <c r="AN170" s="69" t="n"/>
      <c r="AO170" s="6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  <c r="AA171" s="59" t="n"/>
      <c r="AB171" s="59" t="n"/>
      <c r="AC171" s="59" t="n"/>
      <c r="AD171" s="59" t="n"/>
      <c r="AE171" s="59" t="n"/>
      <c r="AF171" s="59" t="n"/>
      <c r="AG171" s="59" t="n"/>
      <c r="AH171" s="59" t="n"/>
      <c r="AI171" s="59" t="n"/>
      <c r="AJ171" s="59" t="n"/>
      <c r="AK171" s="59" t="n"/>
      <c r="AL171" s="59" t="n"/>
      <c r="AM171" s="59" t="n"/>
      <c r="AN171" s="59" t="n"/>
      <c r="AO171" s="59" t="n"/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  <c r="AD172" s="69" t="n"/>
      <c r="AE172" s="69" t="n"/>
      <c r="AF172" s="69" t="n"/>
      <c r="AG172" s="69" t="n"/>
      <c r="AH172" s="69" t="n"/>
      <c r="AI172" s="69" t="n"/>
      <c r="AJ172" s="69" t="n"/>
      <c r="AK172" s="69" t="n"/>
      <c r="AL172" s="69" t="n"/>
      <c r="AM172" s="69" t="n"/>
      <c r="AN172" s="69" t="n"/>
      <c r="AO172" s="6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  <c r="AD173" s="59" t="n"/>
      <c r="AE173" s="59" t="n"/>
      <c r="AF173" s="59" t="n"/>
      <c r="AG173" s="59" t="n"/>
      <c r="AH173" s="59" t="n"/>
      <c r="AI173" s="59" t="n"/>
      <c r="AJ173" s="59" t="n"/>
      <c r="AK173" s="59" t="n"/>
      <c r="AL173" s="59" t="n"/>
      <c r="AM173" s="59" t="n"/>
      <c r="AN173" s="59" t="n"/>
      <c r="AO173" s="59" t="n"/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  <c r="AC174" s="69" t="n"/>
      <c r="AD174" s="69" t="n"/>
      <c r="AE174" s="69" t="n"/>
      <c r="AF174" s="69" t="n"/>
      <c r="AG174" s="69" t="n"/>
      <c r="AH174" s="69" t="n"/>
      <c r="AI174" s="69" t="n"/>
      <c r="AJ174" s="69" t="n"/>
      <c r="AK174" s="69" t="n"/>
      <c r="AL174" s="69" t="n"/>
      <c r="AM174" s="69" t="n"/>
      <c r="AN174" s="69" t="n"/>
      <c r="AO174" s="6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  <c r="AB175" s="59" t="n"/>
      <c r="AC175" s="59" t="n"/>
      <c r="AD175" s="59" t="n"/>
      <c r="AE175" s="59" t="n"/>
      <c r="AF175" s="59" t="n"/>
      <c r="AG175" s="59" t="n"/>
      <c r="AH175" s="59" t="n"/>
      <c r="AI175" s="59" t="n"/>
      <c r="AJ175" s="59" t="n"/>
      <c r="AK175" s="59" t="n"/>
      <c r="AL175" s="59" t="n"/>
      <c r="AM175" s="59" t="n"/>
      <c r="AN175" s="59" t="n"/>
      <c r="AO175" s="59" t="n"/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  <c r="AC176" s="69" t="n"/>
      <c r="AD176" s="69" t="n"/>
      <c r="AE176" s="69" t="n"/>
      <c r="AF176" s="69" t="n"/>
      <c r="AG176" s="69" t="n"/>
      <c r="AH176" s="69" t="n"/>
      <c r="AI176" s="69" t="n"/>
      <c r="AJ176" s="69" t="n"/>
      <c r="AK176" s="69" t="n"/>
      <c r="AL176" s="69" t="n"/>
      <c r="AM176" s="69" t="n"/>
      <c r="AN176" s="69" t="n"/>
      <c r="AO176" s="6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  <c r="AA177" s="59" t="n"/>
      <c r="AB177" s="59" t="n"/>
      <c r="AC177" s="59" t="n"/>
      <c r="AD177" s="59" t="n"/>
      <c r="AE177" s="59" t="n"/>
      <c r="AF177" s="59" t="n"/>
      <c r="AG177" s="59" t="n"/>
      <c r="AH177" s="59" t="n"/>
      <c r="AI177" s="59" t="n"/>
      <c r="AJ177" s="59" t="n"/>
      <c r="AK177" s="59" t="n"/>
      <c r="AL177" s="59" t="n"/>
      <c r="AM177" s="59" t="n"/>
      <c r="AN177" s="59" t="n"/>
      <c r="AO177" s="59" t="n"/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  <c r="AB178" s="69" t="n"/>
      <c r="AC178" s="69" t="n"/>
      <c r="AD178" s="69" t="n"/>
      <c r="AE178" s="69" t="n"/>
      <c r="AF178" s="69" t="n"/>
      <c r="AG178" s="69" t="n"/>
      <c r="AH178" s="69" t="n"/>
      <c r="AI178" s="69" t="n"/>
      <c r="AJ178" s="69" t="n"/>
      <c r="AK178" s="69" t="n"/>
      <c r="AL178" s="69" t="n"/>
      <c r="AM178" s="69" t="n"/>
      <c r="AN178" s="69" t="n"/>
      <c r="AO178" s="6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  <c r="AA179" s="59" t="n"/>
      <c r="AB179" s="59" t="n"/>
      <c r="AC179" s="59" t="n"/>
      <c r="AD179" s="59" t="n"/>
      <c r="AE179" s="59" t="n"/>
      <c r="AF179" s="59" t="n"/>
      <c r="AG179" s="59" t="n"/>
      <c r="AH179" s="59" t="n"/>
      <c r="AI179" s="59" t="n"/>
      <c r="AJ179" s="59" t="n"/>
      <c r="AK179" s="59" t="n"/>
      <c r="AL179" s="59" t="n"/>
      <c r="AM179" s="59" t="n"/>
      <c r="AN179" s="59" t="n"/>
      <c r="AO179" s="59" t="n"/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  <c r="AC180" s="69" t="n"/>
      <c r="AD180" s="69" t="n"/>
      <c r="AE180" s="69" t="n"/>
      <c r="AF180" s="69" t="n"/>
      <c r="AG180" s="69" t="n"/>
      <c r="AH180" s="69" t="n"/>
      <c r="AI180" s="69" t="n"/>
      <c r="AJ180" s="69" t="n"/>
      <c r="AK180" s="69" t="n"/>
      <c r="AL180" s="69" t="n"/>
      <c r="AM180" s="69" t="n"/>
      <c r="AN180" s="69" t="n"/>
      <c r="AO180" s="6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  <c r="AA181" s="59" t="n"/>
      <c r="AB181" s="59" t="n"/>
      <c r="AC181" s="59" t="n"/>
      <c r="AD181" s="59" t="n"/>
      <c r="AE181" s="59" t="n"/>
      <c r="AF181" s="59" t="n"/>
      <c r="AG181" s="59" t="n"/>
      <c r="AH181" s="59" t="n"/>
      <c r="AI181" s="59" t="n"/>
      <c r="AJ181" s="59" t="n"/>
      <c r="AK181" s="59" t="n"/>
      <c r="AL181" s="59" t="n"/>
      <c r="AM181" s="59" t="n"/>
      <c r="AN181" s="59" t="n"/>
      <c r="AO181" s="59" t="n"/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  <c r="AA182" s="69" t="n"/>
      <c r="AB182" s="69" t="n"/>
      <c r="AC182" s="69" t="n"/>
      <c r="AD182" s="69" t="n"/>
      <c r="AE182" s="69" t="n"/>
      <c r="AF182" s="69" t="n"/>
      <c r="AG182" s="69" t="n"/>
      <c r="AH182" s="69" t="n"/>
      <c r="AI182" s="69" t="n"/>
      <c r="AJ182" s="69" t="n"/>
      <c r="AK182" s="69" t="n"/>
      <c r="AL182" s="69" t="n"/>
      <c r="AM182" s="69" t="n"/>
      <c r="AN182" s="69" t="n"/>
      <c r="AO182" s="6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  <c r="AA183" s="59" t="n"/>
      <c r="AB183" s="59" t="n"/>
      <c r="AC183" s="59" t="n"/>
      <c r="AD183" s="59" t="n"/>
      <c r="AE183" s="59" t="n"/>
      <c r="AF183" s="59" t="n"/>
      <c r="AG183" s="59" t="n"/>
      <c r="AH183" s="59" t="n"/>
      <c r="AI183" s="59" t="n"/>
      <c r="AJ183" s="59" t="n"/>
      <c r="AK183" s="59" t="n"/>
      <c r="AL183" s="59" t="n"/>
      <c r="AM183" s="59" t="n"/>
      <c r="AN183" s="59" t="n"/>
      <c r="AO183" s="59" t="n"/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  <c r="AA184" s="69" t="n"/>
      <c r="AB184" s="69" t="n"/>
      <c r="AC184" s="69" t="n"/>
      <c r="AD184" s="69" t="n"/>
      <c r="AE184" s="69" t="n"/>
      <c r="AF184" s="69" t="n"/>
      <c r="AG184" s="69" t="n"/>
      <c r="AH184" s="69" t="n"/>
      <c r="AI184" s="69" t="n"/>
      <c r="AJ184" s="69" t="n"/>
      <c r="AK184" s="69" t="n"/>
      <c r="AL184" s="69" t="n"/>
      <c r="AM184" s="69" t="n"/>
      <c r="AN184" s="69" t="n"/>
      <c r="AO184" s="6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  <c r="AB185" s="59" t="n"/>
      <c r="AC185" s="59" t="n"/>
      <c r="AD185" s="59" t="n"/>
      <c r="AE185" s="59" t="n"/>
      <c r="AF185" s="59" t="n"/>
      <c r="AG185" s="59" t="n"/>
      <c r="AH185" s="59" t="n"/>
      <c r="AI185" s="59" t="n"/>
      <c r="AJ185" s="59" t="n"/>
      <c r="AK185" s="59" t="n"/>
      <c r="AL185" s="59" t="n"/>
      <c r="AM185" s="59" t="n"/>
      <c r="AN185" s="59" t="n"/>
      <c r="AO185" s="59" t="n"/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  <c r="AC186" s="69" t="n"/>
      <c r="AD186" s="69" t="n"/>
      <c r="AE186" s="69" t="n"/>
      <c r="AF186" s="69" t="n"/>
      <c r="AG186" s="69" t="n"/>
      <c r="AH186" s="69" t="n"/>
      <c r="AI186" s="69" t="n"/>
      <c r="AJ186" s="69" t="n"/>
      <c r="AK186" s="69" t="n"/>
      <c r="AL186" s="69" t="n"/>
      <c r="AM186" s="69" t="n"/>
      <c r="AN186" s="69" t="n"/>
      <c r="AO186" s="6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  <c r="AA187" s="59" t="n"/>
      <c r="AB187" s="59" t="n"/>
      <c r="AC187" s="59" t="n"/>
      <c r="AD187" s="59" t="n"/>
      <c r="AE187" s="59" t="n"/>
      <c r="AF187" s="59" t="n"/>
      <c r="AG187" s="59" t="n"/>
      <c r="AH187" s="59" t="n"/>
      <c r="AI187" s="59" t="n"/>
      <c r="AJ187" s="59" t="n"/>
      <c r="AK187" s="59" t="n"/>
      <c r="AL187" s="59" t="n"/>
      <c r="AM187" s="59" t="n"/>
      <c r="AN187" s="59" t="n"/>
      <c r="AO187" s="59" t="n"/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  <c r="AA188" s="69" t="n"/>
      <c r="AB188" s="69" t="n"/>
      <c r="AC188" s="69" t="n"/>
      <c r="AD188" s="69" t="n"/>
      <c r="AE188" s="69" t="n"/>
      <c r="AF188" s="69" t="n"/>
      <c r="AG188" s="69" t="n"/>
      <c r="AH188" s="69" t="n"/>
      <c r="AI188" s="69" t="n"/>
      <c r="AJ188" s="69" t="n"/>
      <c r="AK188" s="69" t="n"/>
      <c r="AL188" s="69" t="n"/>
      <c r="AM188" s="69" t="n"/>
      <c r="AN188" s="69" t="n"/>
      <c r="AO188" s="6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  <c r="AA189" s="59" t="n"/>
      <c r="AB189" s="59" t="n"/>
      <c r="AC189" s="59" t="n"/>
      <c r="AD189" s="59" t="n"/>
      <c r="AE189" s="59" t="n"/>
      <c r="AF189" s="59" t="n"/>
      <c r="AG189" s="59" t="n"/>
      <c r="AH189" s="59" t="n"/>
      <c r="AI189" s="59" t="n"/>
      <c r="AJ189" s="59" t="n"/>
      <c r="AK189" s="59" t="n"/>
      <c r="AL189" s="59" t="n"/>
      <c r="AM189" s="59" t="n"/>
      <c r="AN189" s="59" t="n"/>
      <c r="AO189" s="59" t="n"/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  <c r="AA190" s="69" t="n"/>
      <c r="AB190" s="69" t="n"/>
      <c r="AC190" s="69" t="n"/>
      <c r="AD190" s="69" t="n"/>
      <c r="AE190" s="69" t="n"/>
      <c r="AF190" s="69" t="n"/>
      <c r="AG190" s="69" t="n"/>
      <c r="AH190" s="69" t="n"/>
      <c r="AI190" s="69" t="n"/>
      <c r="AJ190" s="69" t="n"/>
      <c r="AK190" s="69" t="n"/>
      <c r="AL190" s="69" t="n"/>
      <c r="AM190" s="69" t="n"/>
      <c r="AN190" s="69" t="n"/>
      <c r="AO190" s="6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  <c r="AA191" s="59" t="n"/>
      <c r="AB191" s="59" t="n"/>
      <c r="AC191" s="59" t="n"/>
      <c r="AD191" s="59" t="n"/>
      <c r="AE191" s="59" t="n"/>
      <c r="AF191" s="59" t="n"/>
      <c r="AG191" s="59" t="n"/>
      <c r="AH191" s="59" t="n"/>
      <c r="AI191" s="59" t="n"/>
      <c r="AJ191" s="59" t="n"/>
      <c r="AK191" s="59" t="n"/>
      <c r="AL191" s="59" t="n"/>
      <c r="AM191" s="59" t="n"/>
      <c r="AN191" s="59" t="n"/>
      <c r="AO191" s="59" t="n"/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  <c r="AD192" s="69" t="n"/>
      <c r="AE192" s="69" t="n"/>
      <c r="AF192" s="69" t="n"/>
      <c r="AG192" s="69" t="n"/>
      <c r="AH192" s="69" t="n"/>
      <c r="AI192" s="69" t="n"/>
      <c r="AJ192" s="69" t="n"/>
      <c r="AK192" s="69" t="n"/>
      <c r="AL192" s="69" t="n"/>
      <c r="AM192" s="69" t="n"/>
      <c r="AN192" s="69" t="n"/>
      <c r="AO192" s="6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  <c r="AA193" s="59" t="n"/>
      <c r="AB193" s="59" t="n"/>
      <c r="AC193" s="59" t="n"/>
      <c r="AD193" s="59" t="n"/>
      <c r="AE193" s="59" t="n"/>
      <c r="AF193" s="59" t="n"/>
      <c r="AG193" s="59" t="n"/>
      <c r="AH193" s="59" t="n"/>
      <c r="AI193" s="59" t="n"/>
      <c r="AJ193" s="59" t="n"/>
      <c r="AK193" s="59" t="n"/>
      <c r="AL193" s="59" t="n"/>
      <c r="AM193" s="59" t="n"/>
      <c r="AN193" s="59" t="n"/>
      <c r="AO193" s="59" t="n"/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  <c r="AD194" s="69" t="n"/>
      <c r="AE194" s="69" t="n"/>
      <c r="AF194" s="69" t="n"/>
      <c r="AG194" s="69" t="n"/>
      <c r="AH194" s="69" t="n"/>
      <c r="AI194" s="69" t="n"/>
      <c r="AJ194" s="69" t="n"/>
      <c r="AK194" s="69" t="n"/>
      <c r="AL194" s="69" t="n"/>
      <c r="AM194" s="69" t="n"/>
      <c r="AN194" s="69" t="n"/>
      <c r="AO194" s="6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  <c r="AD195" s="59" t="n"/>
      <c r="AE195" s="59" t="n"/>
      <c r="AF195" s="59" t="n"/>
      <c r="AG195" s="59" t="n"/>
      <c r="AH195" s="59" t="n"/>
      <c r="AI195" s="59" t="n"/>
      <c r="AJ195" s="59" t="n"/>
      <c r="AK195" s="59" t="n"/>
      <c r="AL195" s="59" t="n"/>
      <c r="AM195" s="59" t="n"/>
      <c r="AN195" s="59" t="n"/>
      <c r="AO195" s="59" t="n"/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  <c r="AA196" s="69" t="n"/>
      <c r="AB196" s="69" t="n"/>
      <c r="AC196" s="69" t="n"/>
      <c r="AD196" s="69" t="n"/>
      <c r="AE196" s="69" t="n"/>
      <c r="AF196" s="69" t="n"/>
      <c r="AG196" s="69" t="n"/>
      <c r="AH196" s="69" t="n"/>
      <c r="AI196" s="69" t="n"/>
      <c r="AJ196" s="69" t="n"/>
      <c r="AK196" s="69" t="n"/>
      <c r="AL196" s="69" t="n"/>
      <c r="AM196" s="69" t="n"/>
      <c r="AN196" s="69" t="n"/>
      <c r="AO196" s="6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  <c r="AB197" s="59" t="n"/>
      <c r="AC197" s="59" t="n"/>
      <c r="AD197" s="59" t="n"/>
      <c r="AE197" s="59" t="n"/>
      <c r="AF197" s="59" t="n"/>
      <c r="AG197" s="59" t="n"/>
      <c r="AH197" s="59" t="n"/>
      <c r="AI197" s="59" t="n"/>
      <c r="AJ197" s="59" t="n"/>
      <c r="AK197" s="59" t="n"/>
      <c r="AL197" s="59" t="n"/>
      <c r="AM197" s="59" t="n"/>
      <c r="AN197" s="59" t="n"/>
      <c r="AO197" s="59" t="n"/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  <c r="AD198" s="69" t="n"/>
      <c r="AE198" s="69" t="n"/>
      <c r="AF198" s="69" t="n"/>
      <c r="AG198" s="69" t="n"/>
      <c r="AH198" s="69" t="n"/>
      <c r="AI198" s="69" t="n"/>
      <c r="AJ198" s="69" t="n"/>
      <c r="AK198" s="69" t="n"/>
      <c r="AL198" s="69" t="n"/>
      <c r="AM198" s="69" t="n"/>
      <c r="AN198" s="69" t="n"/>
      <c r="AO198" s="6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  <c r="AA199" s="59" t="n"/>
      <c r="AB199" s="59" t="n"/>
      <c r="AC199" s="59" t="n"/>
      <c r="AD199" s="59" t="n"/>
      <c r="AE199" s="59" t="n"/>
      <c r="AF199" s="59" t="n"/>
      <c r="AG199" s="59" t="n"/>
      <c r="AH199" s="59" t="n"/>
      <c r="AI199" s="59" t="n"/>
      <c r="AJ199" s="59" t="n"/>
      <c r="AK199" s="59" t="n"/>
      <c r="AL199" s="59" t="n"/>
      <c r="AM199" s="59" t="n"/>
      <c r="AN199" s="59" t="n"/>
      <c r="AO199" s="59" t="n"/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  <c r="AA200" s="69" t="n"/>
      <c r="AB200" s="69" t="n"/>
      <c r="AC200" s="69" t="n"/>
      <c r="AD200" s="69" t="n"/>
      <c r="AE200" s="69" t="n"/>
      <c r="AF200" s="69" t="n"/>
      <c r="AG200" s="69" t="n"/>
      <c r="AH200" s="69" t="n"/>
      <c r="AI200" s="69" t="n"/>
      <c r="AJ200" s="69" t="n"/>
      <c r="AK200" s="69" t="n"/>
      <c r="AL200" s="69" t="n"/>
      <c r="AM200" s="69" t="n"/>
      <c r="AN200" s="69" t="n"/>
      <c r="AO200" s="6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  <c r="AA201" s="59" t="n"/>
      <c r="AB201" s="59" t="n"/>
      <c r="AC201" s="59" t="n"/>
      <c r="AD201" s="59" t="n"/>
      <c r="AE201" s="59" t="n"/>
      <c r="AF201" s="59" t="n"/>
      <c r="AG201" s="59" t="n"/>
      <c r="AH201" s="59" t="n"/>
      <c r="AI201" s="59" t="n"/>
      <c r="AJ201" s="59" t="n"/>
      <c r="AK201" s="59" t="n"/>
      <c r="AL201" s="59" t="n"/>
      <c r="AM201" s="59" t="n"/>
      <c r="AN201" s="59" t="n"/>
      <c r="AO201" s="59" t="n"/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  <c r="AA202" s="69" t="n"/>
      <c r="AB202" s="69" t="n"/>
      <c r="AC202" s="69" t="n"/>
      <c r="AD202" s="69" t="n"/>
      <c r="AE202" s="69" t="n"/>
      <c r="AF202" s="69" t="n"/>
      <c r="AG202" s="69" t="n"/>
      <c r="AH202" s="69" t="n"/>
      <c r="AI202" s="69" t="n"/>
      <c r="AJ202" s="69" t="n"/>
      <c r="AK202" s="69" t="n"/>
      <c r="AL202" s="69" t="n"/>
      <c r="AM202" s="69" t="n"/>
      <c r="AN202" s="69" t="n"/>
      <c r="AO202" s="6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  <c r="AA203" s="59" t="n"/>
      <c r="AB203" s="59" t="n"/>
      <c r="AC203" s="59" t="n"/>
      <c r="AD203" s="59" t="n"/>
      <c r="AE203" s="59" t="n"/>
      <c r="AF203" s="59" t="n"/>
      <c r="AG203" s="59" t="n"/>
      <c r="AH203" s="59" t="n"/>
      <c r="AI203" s="59" t="n"/>
      <c r="AJ203" s="59" t="n"/>
      <c r="AK203" s="59" t="n"/>
      <c r="AL203" s="59" t="n"/>
      <c r="AM203" s="59" t="n"/>
      <c r="AN203" s="59" t="n"/>
      <c r="AO203" s="59" t="n"/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  <c r="AA204" s="69" t="n"/>
      <c r="AB204" s="69" t="n"/>
      <c r="AC204" s="69" t="n"/>
      <c r="AD204" s="69" t="n"/>
      <c r="AE204" s="69" t="n"/>
      <c r="AF204" s="69" t="n"/>
      <c r="AG204" s="69" t="n"/>
      <c r="AH204" s="69" t="n"/>
      <c r="AI204" s="69" t="n"/>
      <c r="AJ204" s="69" t="n"/>
      <c r="AK204" s="69" t="n"/>
      <c r="AL204" s="69" t="n"/>
      <c r="AM204" s="69" t="n"/>
      <c r="AN204" s="69" t="n"/>
      <c r="AO204" s="6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  <c r="AA205" s="59" t="n"/>
      <c r="AB205" s="59" t="n"/>
      <c r="AC205" s="59" t="n"/>
      <c r="AD205" s="59" t="n"/>
      <c r="AE205" s="59" t="n"/>
      <c r="AF205" s="59" t="n"/>
      <c r="AG205" s="59" t="n"/>
      <c r="AH205" s="59" t="n"/>
      <c r="AI205" s="59" t="n"/>
      <c r="AJ205" s="59" t="n"/>
      <c r="AK205" s="59" t="n"/>
      <c r="AL205" s="59" t="n"/>
      <c r="AM205" s="59" t="n"/>
      <c r="AN205" s="59" t="n"/>
      <c r="AO205" s="59" t="n"/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  <c r="AA206" s="69" t="n"/>
      <c r="AB206" s="69" t="n"/>
      <c r="AC206" s="69" t="n"/>
      <c r="AD206" s="69" t="n"/>
      <c r="AE206" s="69" t="n"/>
      <c r="AF206" s="69" t="n"/>
      <c r="AG206" s="69" t="n"/>
      <c r="AH206" s="69" t="n"/>
      <c r="AI206" s="69" t="n"/>
      <c r="AJ206" s="69" t="n"/>
      <c r="AK206" s="69" t="n"/>
      <c r="AL206" s="69" t="n"/>
      <c r="AM206" s="69" t="n"/>
      <c r="AN206" s="69" t="n"/>
      <c r="AO206" s="6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  <c r="AA207" s="59" t="n"/>
      <c r="AB207" s="59" t="n"/>
      <c r="AC207" s="59" t="n"/>
      <c r="AD207" s="59" t="n"/>
      <c r="AE207" s="59" t="n"/>
      <c r="AF207" s="59" t="n"/>
      <c r="AG207" s="59" t="n"/>
      <c r="AH207" s="59" t="n"/>
      <c r="AI207" s="59" t="n"/>
      <c r="AJ207" s="59" t="n"/>
      <c r="AK207" s="59" t="n"/>
      <c r="AL207" s="59" t="n"/>
      <c r="AM207" s="59" t="n"/>
      <c r="AN207" s="59" t="n"/>
      <c r="AO207" s="59" t="n"/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  <c r="AC208" s="69" t="n"/>
      <c r="AD208" s="69" t="n"/>
      <c r="AE208" s="69" t="n"/>
      <c r="AF208" s="69" t="n"/>
      <c r="AG208" s="69" t="n"/>
      <c r="AH208" s="69" t="n"/>
      <c r="AI208" s="69" t="n"/>
      <c r="AJ208" s="69" t="n"/>
      <c r="AK208" s="69" t="n"/>
      <c r="AL208" s="69" t="n"/>
      <c r="AM208" s="69" t="n"/>
      <c r="AN208" s="69" t="n"/>
      <c r="AO208" s="6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  <c r="AA209" s="59" t="n"/>
      <c r="AB209" s="59" t="n"/>
      <c r="AC209" s="59" t="n"/>
      <c r="AD209" s="59" t="n"/>
      <c r="AE209" s="59" t="n"/>
      <c r="AF209" s="59" t="n"/>
      <c r="AG209" s="59" t="n"/>
      <c r="AH209" s="59" t="n"/>
      <c r="AI209" s="59" t="n"/>
      <c r="AJ209" s="59" t="n"/>
      <c r="AK209" s="59" t="n"/>
      <c r="AL209" s="59" t="n"/>
      <c r="AM209" s="59" t="n"/>
      <c r="AN209" s="59" t="n"/>
      <c r="AO209" s="59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  <c r="AA210" s="69" t="n"/>
      <c r="AB210" s="69" t="n"/>
      <c r="AC210" s="69" t="n"/>
      <c r="AD210" s="69" t="n"/>
      <c r="AE210" s="69" t="n"/>
      <c r="AF210" s="69" t="n"/>
      <c r="AG210" s="69" t="n"/>
      <c r="AH210" s="69" t="n"/>
      <c r="AI210" s="69" t="n"/>
      <c r="AJ210" s="69" t="n"/>
      <c r="AK210" s="69" t="n"/>
      <c r="AL210" s="69" t="n"/>
      <c r="AM210" s="69" t="n"/>
      <c r="AN210" s="69" t="n"/>
      <c r="AO210" s="6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  <c r="AA211" s="59" t="n"/>
      <c r="AB211" s="59" t="n"/>
      <c r="AC211" s="59" t="n"/>
      <c r="AD211" s="59" t="n"/>
      <c r="AE211" s="59" t="n"/>
      <c r="AF211" s="59" t="n"/>
      <c r="AG211" s="59" t="n"/>
      <c r="AH211" s="59" t="n"/>
      <c r="AI211" s="59" t="n"/>
      <c r="AJ211" s="59" t="n"/>
      <c r="AK211" s="59" t="n"/>
      <c r="AL211" s="59" t="n"/>
      <c r="AM211" s="59" t="n"/>
      <c r="AN211" s="59" t="n"/>
      <c r="AO211" s="59" t="n"/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  <c r="AA212" s="69" t="n"/>
      <c r="AB212" s="69" t="n"/>
      <c r="AC212" s="69" t="n"/>
      <c r="AD212" s="69" t="n"/>
      <c r="AE212" s="69" t="n"/>
      <c r="AF212" s="69" t="n"/>
      <c r="AG212" s="69" t="n"/>
      <c r="AH212" s="69" t="n"/>
      <c r="AI212" s="69" t="n"/>
      <c r="AJ212" s="69" t="n"/>
      <c r="AK212" s="69" t="n"/>
      <c r="AL212" s="69" t="n"/>
      <c r="AM212" s="69" t="n"/>
      <c r="AN212" s="69" t="n"/>
      <c r="AO212" s="6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  <c r="AA213" s="59" t="n"/>
      <c r="AB213" s="59" t="n"/>
      <c r="AC213" s="59" t="n"/>
      <c r="AD213" s="59" t="n"/>
      <c r="AE213" s="59" t="n"/>
      <c r="AF213" s="59" t="n"/>
      <c r="AG213" s="59" t="n"/>
      <c r="AH213" s="59" t="n"/>
      <c r="AI213" s="59" t="n"/>
      <c r="AJ213" s="59" t="n"/>
      <c r="AK213" s="59" t="n"/>
      <c r="AL213" s="59" t="n"/>
      <c r="AM213" s="59" t="n"/>
      <c r="AN213" s="59" t="n"/>
      <c r="AO213" s="59" t="n"/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  <c r="AA214" s="69" t="n"/>
      <c r="AB214" s="69" t="n"/>
      <c r="AC214" s="69" t="n"/>
      <c r="AD214" s="69" t="n"/>
      <c r="AE214" s="69" t="n"/>
      <c r="AF214" s="69" t="n"/>
      <c r="AG214" s="69" t="n"/>
      <c r="AH214" s="69" t="n"/>
      <c r="AI214" s="69" t="n"/>
      <c r="AJ214" s="69" t="n"/>
      <c r="AK214" s="69" t="n"/>
      <c r="AL214" s="69" t="n"/>
      <c r="AM214" s="69" t="n"/>
      <c r="AN214" s="69" t="n"/>
      <c r="AO214" s="6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  <c r="AA215" s="59" t="n"/>
      <c r="AB215" s="59" t="n"/>
      <c r="AC215" s="59" t="n"/>
      <c r="AD215" s="59" t="n"/>
      <c r="AE215" s="59" t="n"/>
      <c r="AF215" s="59" t="n"/>
      <c r="AG215" s="59" t="n"/>
      <c r="AH215" s="59" t="n"/>
      <c r="AI215" s="59" t="n"/>
      <c r="AJ215" s="59" t="n"/>
      <c r="AK215" s="59" t="n"/>
      <c r="AL215" s="59" t="n"/>
      <c r="AM215" s="59" t="n"/>
      <c r="AN215" s="59" t="n"/>
      <c r="AO215" s="59" t="n"/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  <c r="AC216" s="69" t="n"/>
      <c r="AD216" s="69" t="n"/>
      <c r="AE216" s="69" t="n"/>
      <c r="AF216" s="69" t="n"/>
      <c r="AG216" s="69" t="n"/>
      <c r="AH216" s="69" t="n"/>
      <c r="AI216" s="69" t="n"/>
      <c r="AJ216" s="69" t="n"/>
      <c r="AK216" s="69" t="n"/>
      <c r="AL216" s="69" t="n"/>
      <c r="AM216" s="69" t="n"/>
      <c r="AN216" s="69" t="n"/>
      <c r="AO216" s="6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  <c r="AA217" s="59" t="n"/>
      <c r="AB217" s="59" t="n"/>
      <c r="AC217" s="59" t="n"/>
      <c r="AD217" s="59" t="n"/>
      <c r="AE217" s="59" t="n"/>
      <c r="AF217" s="59" t="n"/>
      <c r="AG217" s="59" t="n"/>
      <c r="AH217" s="59" t="n"/>
      <c r="AI217" s="59" t="n"/>
      <c r="AJ217" s="59" t="n"/>
      <c r="AK217" s="59" t="n"/>
      <c r="AL217" s="59" t="n"/>
      <c r="AM217" s="59" t="n"/>
      <c r="AN217" s="59" t="n"/>
      <c r="AO217" s="59" t="n"/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  <c r="AA218" s="69" t="n"/>
      <c r="AB218" s="69" t="n"/>
      <c r="AC218" s="69" t="n"/>
      <c r="AD218" s="69" t="n"/>
      <c r="AE218" s="69" t="n"/>
      <c r="AF218" s="69" t="n"/>
      <c r="AG218" s="69" t="n"/>
      <c r="AH218" s="69" t="n"/>
      <c r="AI218" s="69" t="n"/>
      <c r="AJ218" s="69" t="n"/>
      <c r="AK218" s="69" t="n"/>
      <c r="AL218" s="69" t="n"/>
      <c r="AM218" s="69" t="n"/>
      <c r="AN218" s="69" t="n"/>
      <c r="AO218" s="6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  <c r="AB219" s="59" t="n"/>
      <c r="AC219" s="59" t="n"/>
      <c r="AD219" s="59" t="n"/>
      <c r="AE219" s="59" t="n"/>
      <c r="AF219" s="59" t="n"/>
      <c r="AG219" s="59" t="n"/>
      <c r="AH219" s="59" t="n"/>
      <c r="AI219" s="59" t="n"/>
      <c r="AJ219" s="59" t="n"/>
      <c r="AK219" s="59" t="n"/>
      <c r="AL219" s="59" t="n"/>
      <c r="AM219" s="59" t="n"/>
      <c r="AN219" s="59" t="n"/>
      <c r="AO219" s="59" t="n"/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  <c r="AA220" s="69" t="n"/>
      <c r="AB220" s="69" t="n"/>
      <c r="AC220" s="69" t="n"/>
      <c r="AD220" s="69" t="n"/>
      <c r="AE220" s="69" t="n"/>
      <c r="AF220" s="69" t="n"/>
      <c r="AG220" s="69" t="n"/>
      <c r="AH220" s="69" t="n"/>
      <c r="AI220" s="69" t="n"/>
      <c r="AJ220" s="69" t="n"/>
      <c r="AK220" s="69" t="n"/>
      <c r="AL220" s="69" t="n"/>
      <c r="AM220" s="69" t="n"/>
      <c r="AN220" s="69" t="n"/>
      <c r="AO220" s="6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  <c r="AA221" s="59" t="n"/>
      <c r="AB221" s="59" t="n"/>
      <c r="AC221" s="59" t="n"/>
      <c r="AD221" s="59" t="n"/>
      <c r="AE221" s="59" t="n"/>
      <c r="AF221" s="59" t="n"/>
      <c r="AG221" s="59" t="n"/>
      <c r="AH221" s="59" t="n"/>
      <c r="AI221" s="59" t="n"/>
      <c r="AJ221" s="59" t="n"/>
      <c r="AK221" s="59" t="n"/>
      <c r="AL221" s="59" t="n"/>
      <c r="AM221" s="59" t="n"/>
      <c r="AN221" s="59" t="n"/>
      <c r="AO221" s="59" t="n"/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69" t="n"/>
      <c r="AD222" s="69" t="n"/>
      <c r="AE222" s="69" t="n"/>
      <c r="AF222" s="69" t="n"/>
      <c r="AG222" s="69" t="n"/>
      <c r="AH222" s="69" t="n"/>
      <c r="AI222" s="69" t="n"/>
      <c r="AJ222" s="69" t="n"/>
      <c r="AK222" s="69" t="n"/>
      <c r="AL222" s="69" t="n"/>
      <c r="AM222" s="69" t="n"/>
      <c r="AN222" s="69" t="n"/>
      <c r="AO222" s="6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  <c r="AA223" s="59" t="n"/>
      <c r="AB223" s="59" t="n"/>
      <c r="AC223" s="59" t="n"/>
      <c r="AD223" s="59" t="n"/>
      <c r="AE223" s="59" t="n"/>
      <c r="AF223" s="59" t="n"/>
      <c r="AG223" s="59" t="n"/>
      <c r="AH223" s="59" t="n"/>
      <c r="AI223" s="59" t="n"/>
      <c r="AJ223" s="59" t="n"/>
      <c r="AK223" s="59" t="n"/>
      <c r="AL223" s="59" t="n"/>
      <c r="AM223" s="59" t="n"/>
      <c r="AN223" s="59" t="n"/>
      <c r="AO223" s="59" t="n"/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  <c r="AA224" s="69" t="n"/>
      <c r="AB224" s="69" t="n"/>
      <c r="AC224" s="69" t="n"/>
      <c r="AD224" s="69" t="n"/>
      <c r="AE224" s="69" t="n"/>
      <c r="AF224" s="69" t="n"/>
      <c r="AG224" s="69" t="n"/>
      <c r="AH224" s="69" t="n"/>
      <c r="AI224" s="69" t="n"/>
      <c r="AJ224" s="69" t="n"/>
      <c r="AK224" s="69" t="n"/>
      <c r="AL224" s="69" t="n"/>
      <c r="AM224" s="69" t="n"/>
      <c r="AN224" s="69" t="n"/>
      <c r="AO224" s="6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  <c r="AA225" s="59" t="n"/>
      <c r="AB225" s="59" t="n"/>
      <c r="AC225" s="59" t="n"/>
      <c r="AD225" s="59" t="n"/>
      <c r="AE225" s="59" t="n"/>
      <c r="AF225" s="59" t="n"/>
      <c r="AG225" s="59" t="n"/>
      <c r="AH225" s="59" t="n"/>
      <c r="AI225" s="59" t="n"/>
      <c r="AJ225" s="59" t="n"/>
      <c r="AK225" s="59" t="n"/>
      <c r="AL225" s="59" t="n"/>
      <c r="AM225" s="59" t="n"/>
      <c r="AN225" s="59" t="n"/>
      <c r="AO225" s="59" t="n"/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  <c r="AA226" s="69" t="n"/>
      <c r="AB226" s="69" t="n"/>
      <c r="AC226" s="69" t="n"/>
      <c r="AD226" s="69" t="n"/>
      <c r="AE226" s="69" t="n"/>
      <c r="AF226" s="69" t="n"/>
      <c r="AG226" s="69" t="n"/>
      <c r="AH226" s="69" t="n"/>
      <c r="AI226" s="69" t="n"/>
      <c r="AJ226" s="69" t="n"/>
      <c r="AK226" s="69" t="n"/>
      <c r="AL226" s="69" t="n"/>
      <c r="AM226" s="69" t="n"/>
      <c r="AN226" s="69" t="n"/>
      <c r="AO226" s="6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  <c r="AA227" s="59" t="n"/>
      <c r="AB227" s="59" t="n"/>
      <c r="AC227" s="59" t="n"/>
      <c r="AD227" s="59" t="n"/>
      <c r="AE227" s="59" t="n"/>
      <c r="AF227" s="59" t="n"/>
      <c r="AG227" s="59" t="n"/>
      <c r="AH227" s="59" t="n"/>
      <c r="AI227" s="59" t="n"/>
      <c r="AJ227" s="59" t="n"/>
      <c r="AK227" s="59" t="n"/>
      <c r="AL227" s="59" t="n"/>
      <c r="AM227" s="59" t="n"/>
      <c r="AN227" s="59" t="n"/>
      <c r="AO227" s="59" t="n"/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  <c r="AA228" s="69" t="n"/>
      <c r="AB228" s="69" t="n"/>
      <c r="AC228" s="69" t="n"/>
      <c r="AD228" s="69" t="n"/>
      <c r="AE228" s="69" t="n"/>
      <c r="AF228" s="69" t="n"/>
      <c r="AG228" s="69" t="n"/>
      <c r="AH228" s="69" t="n"/>
      <c r="AI228" s="69" t="n"/>
      <c r="AJ228" s="69" t="n"/>
      <c r="AK228" s="69" t="n"/>
      <c r="AL228" s="69" t="n"/>
      <c r="AM228" s="69" t="n"/>
      <c r="AN228" s="69" t="n"/>
      <c r="AO228" s="6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  <c r="AA229" s="59" t="n"/>
      <c r="AB229" s="59" t="n"/>
      <c r="AC229" s="59" t="n"/>
      <c r="AD229" s="59" t="n"/>
      <c r="AE229" s="59" t="n"/>
      <c r="AF229" s="59" t="n"/>
      <c r="AG229" s="59" t="n"/>
      <c r="AH229" s="59" t="n"/>
      <c r="AI229" s="59" t="n"/>
      <c r="AJ229" s="59" t="n"/>
      <c r="AK229" s="59" t="n"/>
      <c r="AL229" s="59" t="n"/>
      <c r="AM229" s="59" t="n"/>
      <c r="AN229" s="59" t="n"/>
      <c r="AO229" s="59" t="n"/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  <c r="AA230" s="69" t="n"/>
      <c r="AB230" s="69" t="n"/>
      <c r="AC230" s="69" t="n"/>
      <c r="AD230" s="69" t="n"/>
      <c r="AE230" s="69" t="n"/>
      <c r="AF230" s="69" t="n"/>
      <c r="AG230" s="69" t="n"/>
      <c r="AH230" s="69" t="n"/>
      <c r="AI230" s="69" t="n"/>
      <c r="AJ230" s="69" t="n"/>
      <c r="AK230" s="69" t="n"/>
      <c r="AL230" s="69" t="n"/>
      <c r="AM230" s="69" t="n"/>
      <c r="AN230" s="69" t="n"/>
      <c r="AO230" s="6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  <c r="AA231" s="59" t="n"/>
      <c r="AB231" s="59" t="n"/>
      <c r="AC231" s="59" t="n"/>
      <c r="AD231" s="59" t="n"/>
      <c r="AE231" s="59" t="n"/>
      <c r="AF231" s="59" t="n"/>
      <c r="AG231" s="59" t="n"/>
      <c r="AH231" s="59" t="n"/>
      <c r="AI231" s="59" t="n"/>
      <c r="AJ231" s="59" t="n"/>
      <c r="AK231" s="59" t="n"/>
      <c r="AL231" s="59" t="n"/>
      <c r="AM231" s="59" t="n"/>
      <c r="AN231" s="59" t="n"/>
      <c r="AO231" s="59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  <c r="AA232" s="69" t="n"/>
      <c r="AB232" s="69" t="n"/>
      <c r="AC232" s="69" t="n"/>
      <c r="AD232" s="69" t="n"/>
      <c r="AE232" s="69" t="n"/>
      <c r="AF232" s="69" t="n"/>
      <c r="AG232" s="69" t="n"/>
      <c r="AH232" s="69" t="n"/>
      <c r="AI232" s="69" t="n"/>
      <c r="AJ232" s="69" t="n"/>
      <c r="AK232" s="69" t="n"/>
      <c r="AL232" s="69" t="n"/>
      <c r="AM232" s="69" t="n"/>
      <c r="AN232" s="69" t="n"/>
      <c r="AO232" s="6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  <c r="AA233" s="59" t="n"/>
      <c r="AB233" s="59" t="n"/>
      <c r="AC233" s="59" t="n"/>
      <c r="AD233" s="59" t="n"/>
      <c r="AE233" s="59" t="n"/>
      <c r="AF233" s="59" t="n"/>
      <c r="AG233" s="59" t="n"/>
      <c r="AH233" s="59" t="n"/>
      <c r="AI233" s="59" t="n"/>
      <c r="AJ233" s="59" t="n"/>
      <c r="AK233" s="59" t="n"/>
      <c r="AL233" s="59" t="n"/>
      <c r="AM233" s="59" t="n"/>
      <c r="AN233" s="59" t="n"/>
      <c r="AO233" s="59" t="n"/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  <c r="AA234" s="69" t="n"/>
      <c r="AB234" s="69" t="n"/>
      <c r="AC234" s="69" t="n"/>
      <c r="AD234" s="69" t="n"/>
      <c r="AE234" s="69" t="n"/>
      <c r="AF234" s="69" t="n"/>
      <c r="AG234" s="69" t="n"/>
      <c r="AH234" s="69" t="n"/>
      <c r="AI234" s="69" t="n"/>
      <c r="AJ234" s="69" t="n"/>
      <c r="AK234" s="69" t="n"/>
      <c r="AL234" s="69" t="n"/>
      <c r="AM234" s="69" t="n"/>
      <c r="AN234" s="69" t="n"/>
      <c r="AO234" s="6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  <c r="AA235" s="59" t="n"/>
      <c r="AB235" s="59" t="n"/>
      <c r="AC235" s="59" t="n"/>
      <c r="AD235" s="59" t="n"/>
      <c r="AE235" s="59" t="n"/>
      <c r="AF235" s="59" t="n"/>
      <c r="AG235" s="59" t="n"/>
      <c r="AH235" s="59" t="n"/>
      <c r="AI235" s="59" t="n"/>
      <c r="AJ235" s="59" t="n"/>
      <c r="AK235" s="59" t="n"/>
      <c r="AL235" s="59" t="n"/>
      <c r="AM235" s="59" t="n"/>
      <c r="AN235" s="59" t="n"/>
      <c r="AO235" s="59" t="n"/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  <c r="AA236" s="69" t="n"/>
      <c r="AB236" s="69" t="n"/>
      <c r="AC236" s="69" t="n"/>
      <c r="AD236" s="69" t="n"/>
      <c r="AE236" s="69" t="n"/>
      <c r="AF236" s="69" t="n"/>
      <c r="AG236" s="69" t="n"/>
      <c r="AH236" s="69" t="n"/>
      <c r="AI236" s="69" t="n"/>
      <c r="AJ236" s="69" t="n"/>
      <c r="AK236" s="69" t="n"/>
      <c r="AL236" s="69" t="n"/>
      <c r="AM236" s="69" t="n"/>
      <c r="AN236" s="69" t="n"/>
      <c r="AO236" s="6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  <c r="AA237" s="59" t="n"/>
      <c r="AB237" s="59" t="n"/>
      <c r="AC237" s="59" t="n"/>
      <c r="AD237" s="59" t="n"/>
      <c r="AE237" s="59" t="n"/>
      <c r="AF237" s="59" t="n"/>
      <c r="AG237" s="59" t="n"/>
      <c r="AH237" s="59" t="n"/>
      <c r="AI237" s="59" t="n"/>
      <c r="AJ237" s="59" t="n"/>
      <c r="AK237" s="59" t="n"/>
      <c r="AL237" s="59" t="n"/>
      <c r="AM237" s="59" t="n"/>
      <c r="AN237" s="59" t="n"/>
      <c r="AO237" s="59" t="n"/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  <c r="AA238" s="69" t="n"/>
      <c r="AB238" s="69" t="n"/>
      <c r="AC238" s="69" t="n"/>
      <c r="AD238" s="69" t="n"/>
      <c r="AE238" s="69" t="n"/>
      <c r="AF238" s="69" t="n"/>
      <c r="AG238" s="69" t="n"/>
      <c r="AH238" s="69" t="n"/>
      <c r="AI238" s="69" t="n"/>
      <c r="AJ238" s="69" t="n"/>
      <c r="AK238" s="69" t="n"/>
      <c r="AL238" s="69" t="n"/>
      <c r="AM238" s="69" t="n"/>
      <c r="AN238" s="69" t="n"/>
      <c r="AO238" s="6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  <c r="AA239" s="59" t="n"/>
      <c r="AB239" s="59" t="n"/>
      <c r="AC239" s="59" t="n"/>
      <c r="AD239" s="59" t="n"/>
      <c r="AE239" s="59" t="n"/>
      <c r="AF239" s="59" t="n"/>
      <c r="AG239" s="59" t="n"/>
      <c r="AH239" s="59" t="n"/>
      <c r="AI239" s="59" t="n"/>
      <c r="AJ239" s="59" t="n"/>
      <c r="AK239" s="59" t="n"/>
      <c r="AL239" s="59" t="n"/>
      <c r="AM239" s="59" t="n"/>
      <c r="AN239" s="59" t="n"/>
      <c r="AO239" s="59" t="n"/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  <c r="AA240" s="69" t="n"/>
      <c r="AB240" s="69" t="n"/>
      <c r="AC240" s="69" t="n"/>
      <c r="AD240" s="69" t="n"/>
      <c r="AE240" s="69" t="n"/>
      <c r="AF240" s="69" t="n"/>
      <c r="AG240" s="69" t="n"/>
      <c r="AH240" s="69" t="n"/>
      <c r="AI240" s="69" t="n"/>
      <c r="AJ240" s="69" t="n"/>
      <c r="AK240" s="69" t="n"/>
      <c r="AL240" s="69" t="n"/>
      <c r="AM240" s="69" t="n"/>
      <c r="AN240" s="69" t="n"/>
      <c r="AO240" s="6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  <c r="AA241" s="59" t="n"/>
      <c r="AB241" s="59" t="n"/>
      <c r="AC241" s="59" t="n"/>
      <c r="AD241" s="59" t="n"/>
      <c r="AE241" s="59" t="n"/>
      <c r="AF241" s="59" t="n"/>
      <c r="AG241" s="59" t="n"/>
      <c r="AH241" s="59" t="n"/>
      <c r="AI241" s="59" t="n"/>
      <c r="AJ241" s="59" t="n"/>
      <c r="AK241" s="59" t="n"/>
      <c r="AL241" s="59" t="n"/>
      <c r="AM241" s="59" t="n"/>
      <c r="AN241" s="59" t="n"/>
      <c r="AO241" s="59" t="n"/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  <c r="AA242" s="69" t="n"/>
      <c r="AB242" s="69" t="n"/>
      <c r="AC242" s="69" t="n"/>
      <c r="AD242" s="69" t="n"/>
      <c r="AE242" s="69" t="n"/>
      <c r="AF242" s="69" t="n"/>
      <c r="AG242" s="69" t="n"/>
      <c r="AH242" s="69" t="n"/>
      <c r="AI242" s="69" t="n"/>
      <c r="AJ242" s="69" t="n"/>
      <c r="AK242" s="69" t="n"/>
      <c r="AL242" s="69" t="n"/>
      <c r="AM242" s="69" t="n"/>
      <c r="AN242" s="69" t="n"/>
      <c r="AO242" s="6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  <c r="AA243" s="59" t="n"/>
      <c r="AB243" s="59" t="n"/>
      <c r="AC243" s="59" t="n"/>
      <c r="AD243" s="59" t="n"/>
      <c r="AE243" s="59" t="n"/>
      <c r="AF243" s="59" t="n"/>
      <c r="AG243" s="59" t="n"/>
      <c r="AH243" s="59" t="n"/>
      <c r="AI243" s="59" t="n"/>
      <c r="AJ243" s="59" t="n"/>
      <c r="AK243" s="59" t="n"/>
      <c r="AL243" s="59" t="n"/>
      <c r="AM243" s="59" t="n"/>
      <c r="AN243" s="59" t="n"/>
      <c r="AO243" s="59" t="n"/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  <c r="AA244" s="69" t="n"/>
      <c r="AB244" s="69" t="n"/>
      <c r="AC244" s="69" t="n"/>
      <c r="AD244" s="69" t="n"/>
      <c r="AE244" s="69" t="n"/>
      <c r="AF244" s="69" t="n"/>
      <c r="AG244" s="69" t="n"/>
      <c r="AH244" s="69" t="n"/>
      <c r="AI244" s="69" t="n"/>
      <c r="AJ244" s="69" t="n"/>
      <c r="AK244" s="69" t="n"/>
      <c r="AL244" s="69" t="n"/>
      <c r="AM244" s="69" t="n"/>
      <c r="AN244" s="69" t="n"/>
      <c r="AO244" s="6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  <c r="AA245" s="59" t="n"/>
      <c r="AB245" s="59" t="n"/>
      <c r="AC245" s="59" t="n"/>
      <c r="AD245" s="59" t="n"/>
      <c r="AE245" s="59" t="n"/>
      <c r="AF245" s="59" t="n"/>
      <c r="AG245" s="59" t="n"/>
      <c r="AH245" s="59" t="n"/>
      <c r="AI245" s="59" t="n"/>
      <c r="AJ245" s="59" t="n"/>
      <c r="AK245" s="59" t="n"/>
      <c r="AL245" s="59" t="n"/>
      <c r="AM245" s="59" t="n"/>
      <c r="AN245" s="59" t="n"/>
      <c r="AO245" s="59" t="n"/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  <c r="AA246" s="69" t="n"/>
      <c r="AB246" s="69" t="n"/>
      <c r="AC246" s="69" t="n"/>
      <c r="AD246" s="69" t="n"/>
      <c r="AE246" s="69" t="n"/>
      <c r="AF246" s="69" t="n"/>
      <c r="AG246" s="69" t="n"/>
      <c r="AH246" s="69" t="n"/>
      <c r="AI246" s="69" t="n"/>
      <c r="AJ246" s="69" t="n"/>
      <c r="AK246" s="69" t="n"/>
      <c r="AL246" s="69" t="n"/>
      <c r="AM246" s="69" t="n"/>
      <c r="AN246" s="69" t="n"/>
      <c r="AO246" s="6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  <c r="AA247" s="59" t="n"/>
      <c r="AB247" s="59" t="n"/>
      <c r="AC247" s="59" t="n"/>
      <c r="AD247" s="59" t="n"/>
      <c r="AE247" s="59" t="n"/>
      <c r="AF247" s="59" t="n"/>
      <c r="AG247" s="59" t="n"/>
      <c r="AH247" s="59" t="n"/>
      <c r="AI247" s="59" t="n"/>
      <c r="AJ247" s="59" t="n"/>
      <c r="AK247" s="59" t="n"/>
      <c r="AL247" s="59" t="n"/>
      <c r="AM247" s="59" t="n"/>
      <c r="AN247" s="59" t="n"/>
      <c r="AO247" s="59" t="n"/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  <c r="AA248" s="69" t="n"/>
      <c r="AB248" s="69" t="n"/>
      <c r="AC248" s="69" t="n"/>
      <c r="AD248" s="69" t="n"/>
      <c r="AE248" s="69" t="n"/>
      <c r="AF248" s="69" t="n"/>
      <c r="AG248" s="69" t="n"/>
      <c r="AH248" s="69" t="n"/>
      <c r="AI248" s="69" t="n"/>
      <c r="AJ248" s="69" t="n"/>
      <c r="AK248" s="69" t="n"/>
      <c r="AL248" s="69" t="n"/>
      <c r="AM248" s="69" t="n"/>
      <c r="AN248" s="69" t="n"/>
      <c r="AO248" s="6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  <c r="AA249" s="59" t="n"/>
      <c r="AB249" s="59" t="n"/>
      <c r="AC249" s="59" t="n"/>
      <c r="AD249" s="59" t="n"/>
      <c r="AE249" s="59" t="n"/>
      <c r="AF249" s="59" t="n"/>
      <c r="AG249" s="59" t="n"/>
      <c r="AH249" s="59" t="n"/>
      <c r="AI249" s="59" t="n"/>
      <c r="AJ249" s="59" t="n"/>
      <c r="AK249" s="59" t="n"/>
      <c r="AL249" s="59" t="n"/>
      <c r="AM249" s="59" t="n"/>
      <c r="AN249" s="59" t="n"/>
      <c r="AO249" s="59" t="n"/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  <c r="AD250" s="69" t="n"/>
      <c r="AE250" s="69" t="n"/>
      <c r="AF250" s="69" t="n"/>
      <c r="AG250" s="69" t="n"/>
      <c r="AH250" s="69" t="n"/>
      <c r="AI250" s="69" t="n"/>
      <c r="AJ250" s="69" t="n"/>
      <c r="AK250" s="69" t="n"/>
      <c r="AL250" s="69" t="n"/>
      <c r="AM250" s="69" t="n"/>
      <c r="AN250" s="69" t="n"/>
      <c r="AO250" s="6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  <c r="AA251" s="59" t="n"/>
      <c r="AB251" s="59" t="n"/>
      <c r="AC251" s="59" t="n"/>
      <c r="AD251" s="59" t="n"/>
      <c r="AE251" s="59" t="n"/>
      <c r="AF251" s="59" t="n"/>
      <c r="AG251" s="59" t="n"/>
      <c r="AH251" s="59" t="n"/>
      <c r="AI251" s="59" t="n"/>
      <c r="AJ251" s="59" t="n"/>
      <c r="AK251" s="59" t="n"/>
      <c r="AL251" s="59" t="n"/>
      <c r="AM251" s="59" t="n"/>
      <c r="AN251" s="59" t="n"/>
      <c r="AO251" s="59" t="n"/>
    </row>
    <row r="252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  <c r="AA252" s="69" t="n"/>
      <c r="AB252" s="69" t="n"/>
      <c r="AC252" s="69" t="n"/>
      <c r="AD252" s="69" t="n"/>
      <c r="AE252" s="69" t="n"/>
      <c r="AF252" s="69" t="n"/>
      <c r="AG252" s="69" t="n"/>
      <c r="AH252" s="69" t="n"/>
      <c r="AI252" s="69" t="n"/>
      <c r="AJ252" s="69" t="n"/>
      <c r="AK252" s="69" t="n"/>
      <c r="AL252" s="69" t="n"/>
      <c r="AM252" s="69" t="n"/>
      <c r="AN252" s="69" t="n"/>
      <c r="AO252" s="6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  <c r="AA253" s="59" t="n"/>
      <c r="AB253" s="59" t="n"/>
      <c r="AC253" s="59" t="n"/>
      <c r="AD253" s="59" t="n"/>
      <c r="AE253" s="59" t="n"/>
      <c r="AF253" s="59" t="n"/>
      <c r="AG253" s="59" t="n"/>
      <c r="AH253" s="59" t="n"/>
      <c r="AI253" s="59" t="n"/>
      <c r="AJ253" s="59" t="n"/>
      <c r="AK253" s="59" t="n"/>
      <c r="AL253" s="59" t="n"/>
      <c r="AM253" s="59" t="n"/>
      <c r="AN253" s="59" t="n"/>
      <c r="AO253" s="59" t="n"/>
    </row>
    <row r="254">
      <c r="A254" s="69" t="n"/>
      <c r="B254" s="69" t="n"/>
      <c r="C254" s="69" t="n"/>
      <c r="D254" s="69" t="n"/>
      <c r="E254" s="69" t="n"/>
      <c r="F254" s="69" t="n"/>
      <c r="G254" s="69" t="n"/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  <c r="AA254" s="69" t="n"/>
      <c r="AB254" s="69" t="n"/>
      <c r="AC254" s="69" t="n"/>
      <c r="AD254" s="69" t="n"/>
      <c r="AE254" s="69" t="n"/>
      <c r="AF254" s="69" t="n"/>
      <c r="AG254" s="69" t="n"/>
      <c r="AH254" s="69" t="n"/>
      <c r="AI254" s="69" t="n"/>
      <c r="AJ254" s="69" t="n"/>
      <c r="AK254" s="69" t="n"/>
      <c r="AL254" s="69" t="n"/>
      <c r="AM254" s="69" t="n"/>
      <c r="AN254" s="69" t="n"/>
      <c r="AO254" s="6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  <c r="AA255" s="59" t="n"/>
      <c r="AB255" s="59" t="n"/>
      <c r="AC255" s="59" t="n"/>
      <c r="AD255" s="59" t="n"/>
      <c r="AE255" s="59" t="n"/>
      <c r="AF255" s="59" t="n"/>
      <c r="AG255" s="59" t="n"/>
      <c r="AH255" s="59" t="n"/>
      <c r="AI255" s="59" t="n"/>
      <c r="AJ255" s="59" t="n"/>
      <c r="AK255" s="59" t="n"/>
      <c r="AL255" s="59" t="n"/>
      <c r="AM255" s="59" t="n"/>
      <c r="AN255" s="59" t="n"/>
      <c r="AO255" s="59" t="n"/>
    </row>
    <row r="256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  <c r="AA256" s="69" t="n"/>
      <c r="AB256" s="69" t="n"/>
      <c r="AC256" s="69" t="n"/>
      <c r="AD256" s="69" t="n"/>
      <c r="AE256" s="69" t="n"/>
      <c r="AF256" s="69" t="n"/>
      <c r="AG256" s="69" t="n"/>
      <c r="AH256" s="69" t="n"/>
      <c r="AI256" s="69" t="n"/>
      <c r="AJ256" s="69" t="n"/>
      <c r="AK256" s="69" t="n"/>
      <c r="AL256" s="69" t="n"/>
      <c r="AM256" s="69" t="n"/>
      <c r="AN256" s="69" t="n"/>
      <c r="AO256" s="6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  <c r="AA257" s="59" t="n"/>
      <c r="AB257" s="59" t="n"/>
      <c r="AC257" s="59" t="n"/>
      <c r="AD257" s="59" t="n"/>
      <c r="AE257" s="59" t="n"/>
      <c r="AF257" s="59" t="n"/>
      <c r="AG257" s="59" t="n"/>
      <c r="AH257" s="59" t="n"/>
      <c r="AI257" s="59" t="n"/>
      <c r="AJ257" s="59" t="n"/>
      <c r="AK257" s="59" t="n"/>
      <c r="AL257" s="59" t="n"/>
      <c r="AM257" s="59" t="n"/>
      <c r="AN257" s="59" t="n"/>
      <c r="AO257" s="59" t="n"/>
    </row>
    <row r="258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  <c r="AA258" s="69" t="n"/>
      <c r="AB258" s="69" t="n"/>
      <c r="AC258" s="69" t="n"/>
      <c r="AD258" s="69" t="n"/>
      <c r="AE258" s="69" t="n"/>
      <c r="AF258" s="69" t="n"/>
      <c r="AG258" s="69" t="n"/>
      <c r="AH258" s="69" t="n"/>
      <c r="AI258" s="69" t="n"/>
      <c r="AJ258" s="69" t="n"/>
      <c r="AK258" s="69" t="n"/>
      <c r="AL258" s="69" t="n"/>
      <c r="AM258" s="69" t="n"/>
      <c r="AN258" s="69" t="n"/>
      <c r="AO258" s="6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  <c r="AA259" s="59" t="n"/>
      <c r="AB259" s="59" t="n"/>
      <c r="AC259" s="59" t="n"/>
      <c r="AD259" s="59" t="n"/>
      <c r="AE259" s="59" t="n"/>
      <c r="AF259" s="59" t="n"/>
      <c r="AG259" s="59" t="n"/>
      <c r="AH259" s="59" t="n"/>
      <c r="AI259" s="59" t="n"/>
      <c r="AJ259" s="59" t="n"/>
      <c r="AK259" s="59" t="n"/>
      <c r="AL259" s="59" t="n"/>
      <c r="AM259" s="59" t="n"/>
      <c r="AN259" s="59" t="n"/>
      <c r="AO259" s="59" t="n"/>
    </row>
    <row r="26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  <c r="AA260" s="69" t="n"/>
      <c r="AB260" s="69" t="n"/>
      <c r="AC260" s="69" t="n"/>
      <c r="AD260" s="69" t="n"/>
      <c r="AE260" s="69" t="n"/>
      <c r="AF260" s="69" t="n"/>
      <c r="AG260" s="69" t="n"/>
      <c r="AH260" s="69" t="n"/>
      <c r="AI260" s="69" t="n"/>
      <c r="AJ260" s="69" t="n"/>
      <c r="AK260" s="69" t="n"/>
      <c r="AL260" s="69" t="n"/>
      <c r="AM260" s="69" t="n"/>
      <c r="AN260" s="69" t="n"/>
      <c r="AO260" s="6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  <c r="AA261" s="59" t="n"/>
      <c r="AB261" s="59" t="n"/>
      <c r="AC261" s="59" t="n"/>
      <c r="AD261" s="59" t="n"/>
      <c r="AE261" s="59" t="n"/>
      <c r="AF261" s="59" t="n"/>
      <c r="AG261" s="59" t="n"/>
      <c r="AH261" s="59" t="n"/>
      <c r="AI261" s="59" t="n"/>
      <c r="AJ261" s="59" t="n"/>
      <c r="AK261" s="59" t="n"/>
      <c r="AL261" s="59" t="n"/>
      <c r="AM261" s="59" t="n"/>
      <c r="AN261" s="59" t="n"/>
      <c r="AO261" s="59" t="n"/>
    </row>
    <row r="262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  <c r="AA262" s="69" t="n"/>
      <c r="AB262" s="69" t="n"/>
      <c r="AC262" s="69" t="n"/>
      <c r="AD262" s="69" t="n"/>
      <c r="AE262" s="69" t="n"/>
      <c r="AF262" s="69" t="n"/>
      <c r="AG262" s="69" t="n"/>
      <c r="AH262" s="69" t="n"/>
      <c r="AI262" s="69" t="n"/>
      <c r="AJ262" s="69" t="n"/>
      <c r="AK262" s="69" t="n"/>
      <c r="AL262" s="69" t="n"/>
      <c r="AM262" s="69" t="n"/>
      <c r="AN262" s="69" t="n"/>
      <c r="AO262" s="6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  <c r="AA263" s="59" t="n"/>
      <c r="AB263" s="59" t="n"/>
      <c r="AC263" s="59" t="n"/>
      <c r="AD263" s="59" t="n"/>
      <c r="AE263" s="59" t="n"/>
      <c r="AF263" s="59" t="n"/>
      <c r="AG263" s="59" t="n"/>
      <c r="AH263" s="59" t="n"/>
      <c r="AI263" s="59" t="n"/>
      <c r="AJ263" s="59" t="n"/>
      <c r="AK263" s="59" t="n"/>
      <c r="AL263" s="59" t="n"/>
      <c r="AM263" s="59" t="n"/>
      <c r="AN263" s="59" t="n"/>
      <c r="AO263" s="59" t="n"/>
    </row>
    <row r="264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  <c r="Z264" s="69" t="n"/>
      <c r="AA264" s="69" t="n"/>
      <c r="AB264" s="69" t="n"/>
      <c r="AC264" s="69" t="n"/>
      <c r="AD264" s="69" t="n"/>
      <c r="AE264" s="69" t="n"/>
      <c r="AF264" s="69" t="n"/>
      <c r="AG264" s="69" t="n"/>
      <c r="AH264" s="69" t="n"/>
      <c r="AI264" s="69" t="n"/>
      <c r="AJ264" s="69" t="n"/>
      <c r="AK264" s="69" t="n"/>
      <c r="AL264" s="69" t="n"/>
      <c r="AM264" s="69" t="n"/>
      <c r="AN264" s="69" t="n"/>
      <c r="AO264" s="6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  <c r="AA265" s="59" t="n"/>
      <c r="AB265" s="59" t="n"/>
      <c r="AC265" s="59" t="n"/>
      <c r="AD265" s="59" t="n"/>
      <c r="AE265" s="59" t="n"/>
      <c r="AF265" s="59" t="n"/>
      <c r="AG265" s="59" t="n"/>
      <c r="AH265" s="59" t="n"/>
      <c r="AI265" s="59" t="n"/>
      <c r="AJ265" s="59" t="n"/>
      <c r="AK265" s="59" t="n"/>
      <c r="AL265" s="59" t="n"/>
      <c r="AM265" s="59" t="n"/>
      <c r="AN265" s="59" t="n"/>
      <c r="AO265" s="59" t="n"/>
    </row>
    <row r="266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  <c r="Z266" s="69" t="n"/>
      <c r="AA266" s="69" t="n"/>
      <c r="AB266" s="69" t="n"/>
      <c r="AC266" s="69" t="n"/>
      <c r="AD266" s="69" t="n"/>
      <c r="AE266" s="69" t="n"/>
      <c r="AF266" s="69" t="n"/>
      <c r="AG266" s="69" t="n"/>
      <c r="AH266" s="69" t="n"/>
      <c r="AI266" s="69" t="n"/>
      <c r="AJ266" s="69" t="n"/>
      <c r="AK266" s="69" t="n"/>
      <c r="AL266" s="69" t="n"/>
      <c r="AM266" s="69" t="n"/>
      <c r="AN266" s="69" t="n"/>
      <c r="AO266" s="6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  <c r="AA267" s="59" t="n"/>
      <c r="AB267" s="59" t="n"/>
      <c r="AC267" s="59" t="n"/>
      <c r="AD267" s="59" t="n"/>
      <c r="AE267" s="59" t="n"/>
      <c r="AF267" s="59" t="n"/>
      <c r="AG267" s="59" t="n"/>
      <c r="AH267" s="59" t="n"/>
      <c r="AI267" s="59" t="n"/>
      <c r="AJ267" s="59" t="n"/>
      <c r="AK267" s="59" t="n"/>
      <c r="AL267" s="59" t="n"/>
      <c r="AM267" s="59" t="n"/>
      <c r="AN267" s="59" t="n"/>
      <c r="AO267" s="59" t="n"/>
    </row>
    <row r="268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  <c r="Z268" s="69" t="n"/>
      <c r="AA268" s="69" t="n"/>
      <c r="AB268" s="69" t="n"/>
      <c r="AC268" s="69" t="n"/>
      <c r="AD268" s="69" t="n"/>
      <c r="AE268" s="69" t="n"/>
      <c r="AF268" s="69" t="n"/>
      <c r="AG268" s="69" t="n"/>
      <c r="AH268" s="69" t="n"/>
      <c r="AI268" s="69" t="n"/>
      <c r="AJ268" s="69" t="n"/>
      <c r="AK268" s="69" t="n"/>
      <c r="AL268" s="69" t="n"/>
      <c r="AM268" s="69" t="n"/>
      <c r="AN268" s="69" t="n"/>
      <c r="AO268" s="6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  <c r="AA269" s="59" t="n"/>
      <c r="AB269" s="59" t="n"/>
      <c r="AC269" s="59" t="n"/>
      <c r="AD269" s="59" t="n"/>
      <c r="AE269" s="59" t="n"/>
      <c r="AF269" s="59" t="n"/>
      <c r="AG269" s="59" t="n"/>
      <c r="AH269" s="59" t="n"/>
      <c r="AI269" s="59" t="n"/>
      <c r="AJ269" s="59" t="n"/>
      <c r="AK269" s="59" t="n"/>
      <c r="AL269" s="59" t="n"/>
      <c r="AM269" s="59" t="n"/>
      <c r="AN269" s="59" t="n"/>
      <c r="AO269" s="59" t="n"/>
    </row>
    <row r="2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  <c r="Z270" s="69" t="n"/>
      <c r="AA270" s="69" t="n"/>
      <c r="AB270" s="69" t="n"/>
      <c r="AC270" s="69" t="n"/>
      <c r="AD270" s="69" t="n"/>
      <c r="AE270" s="69" t="n"/>
      <c r="AF270" s="69" t="n"/>
      <c r="AG270" s="69" t="n"/>
      <c r="AH270" s="69" t="n"/>
      <c r="AI270" s="69" t="n"/>
      <c r="AJ270" s="69" t="n"/>
      <c r="AK270" s="69" t="n"/>
      <c r="AL270" s="69" t="n"/>
      <c r="AM270" s="69" t="n"/>
      <c r="AN270" s="69" t="n"/>
      <c r="AO270" s="6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  <c r="AA271" s="59" t="n"/>
      <c r="AB271" s="59" t="n"/>
      <c r="AC271" s="59" t="n"/>
      <c r="AD271" s="59" t="n"/>
      <c r="AE271" s="59" t="n"/>
      <c r="AF271" s="59" t="n"/>
      <c r="AG271" s="59" t="n"/>
      <c r="AH271" s="59" t="n"/>
      <c r="AI271" s="59" t="n"/>
      <c r="AJ271" s="59" t="n"/>
      <c r="AK271" s="59" t="n"/>
      <c r="AL271" s="59" t="n"/>
      <c r="AM271" s="59" t="n"/>
      <c r="AN271" s="59" t="n"/>
      <c r="AO271" s="59" t="n"/>
    </row>
    <row r="272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  <c r="Z272" s="69" t="n"/>
      <c r="AA272" s="69" t="n"/>
      <c r="AB272" s="69" t="n"/>
      <c r="AC272" s="69" t="n"/>
      <c r="AD272" s="69" t="n"/>
      <c r="AE272" s="69" t="n"/>
      <c r="AF272" s="69" t="n"/>
      <c r="AG272" s="69" t="n"/>
      <c r="AH272" s="69" t="n"/>
      <c r="AI272" s="69" t="n"/>
      <c r="AJ272" s="69" t="n"/>
      <c r="AK272" s="69" t="n"/>
      <c r="AL272" s="69" t="n"/>
      <c r="AM272" s="69" t="n"/>
      <c r="AN272" s="69" t="n"/>
      <c r="AO272" s="6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  <c r="AA273" s="59" t="n"/>
      <c r="AB273" s="59" t="n"/>
      <c r="AC273" s="59" t="n"/>
      <c r="AD273" s="59" t="n"/>
      <c r="AE273" s="59" t="n"/>
      <c r="AF273" s="59" t="n"/>
      <c r="AG273" s="59" t="n"/>
      <c r="AH273" s="59" t="n"/>
      <c r="AI273" s="59" t="n"/>
      <c r="AJ273" s="59" t="n"/>
      <c r="AK273" s="59" t="n"/>
      <c r="AL273" s="59" t="n"/>
      <c r="AM273" s="59" t="n"/>
      <c r="AN273" s="59" t="n"/>
      <c r="AO273" s="59" t="n"/>
    </row>
    <row r="274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  <c r="Z274" s="69" t="n"/>
      <c r="AA274" s="69" t="n"/>
      <c r="AB274" s="69" t="n"/>
      <c r="AC274" s="69" t="n"/>
      <c r="AD274" s="69" t="n"/>
      <c r="AE274" s="69" t="n"/>
      <c r="AF274" s="69" t="n"/>
      <c r="AG274" s="69" t="n"/>
      <c r="AH274" s="69" t="n"/>
      <c r="AI274" s="69" t="n"/>
      <c r="AJ274" s="69" t="n"/>
      <c r="AK274" s="69" t="n"/>
      <c r="AL274" s="69" t="n"/>
      <c r="AM274" s="69" t="n"/>
      <c r="AN274" s="69" t="n"/>
      <c r="AO274" s="6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  <c r="AA275" s="59" t="n"/>
      <c r="AB275" s="59" t="n"/>
      <c r="AC275" s="59" t="n"/>
      <c r="AD275" s="59" t="n"/>
      <c r="AE275" s="59" t="n"/>
      <c r="AF275" s="59" t="n"/>
      <c r="AG275" s="59" t="n"/>
      <c r="AH275" s="59" t="n"/>
      <c r="AI275" s="59" t="n"/>
      <c r="AJ275" s="59" t="n"/>
      <c r="AK275" s="59" t="n"/>
      <c r="AL275" s="59" t="n"/>
      <c r="AM275" s="59" t="n"/>
      <c r="AN275" s="59" t="n"/>
      <c r="AO275" s="59" t="n"/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  <c r="Z276" s="69" t="n"/>
      <c r="AA276" s="69" t="n"/>
      <c r="AB276" s="69" t="n"/>
      <c r="AC276" s="69" t="n"/>
      <c r="AD276" s="69" t="n"/>
      <c r="AE276" s="69" t="n"/>
      <c r="AF276" s="69" t="n"/>
      <c r="AG276" s="69" t="n"/>
      <c r="AH276" s="69" t="n"/>
      <c r="AI276" s="69" t="n"/>
      <c r="AJ276" s="69" t="n"/>
      <c r="AK276" s="69" t="n"/>
      <c r="AL276" s="69" t="n"/>
      <c r="AM276" s="69" t="n"/>
      <c r="AN276" s="69" t="n"/>
      <c r="AO276" s="6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  <c r="AA277" s="59" t="n"/>
      <c r="AB277" s="59" t="n"/>
      <c r="AC277" s="59" t="n"/>
      <c r="AD277" s="59" t="n"/>
      <c r="AE277" s="59" t="n"/>
      <c r="AF277" s="59" t="n"/>
      <c r="AG277" s="59" t="n"/>
      <c r="AH277" s="59" t="n"/>
      <c r="AI277" s="59" t="n"/>
      <c r="AJ277" s="59" t="n"/>
      <c r="AK277" s="59" t="n"/>
      <c r="AL277" s="59" t="n"/>
      <c r="AM277" s="59" t="n"/>
      <c r="AN277" s="59" t="n"/>
      <c r="AO277" s="59" t="n"/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  <c r="Z278" s="69" t="n"/>
      <c r="AA278" s="69" t="n"/>
      <c r="AB278" s="69" t="n"/>
      <c r="AC278" s="69" t="n"/>
      <c r="AD278" s="69" t="n"/>
      <c r="AE278" s="69" t="n"/>
      <c r="AF278" s="69" t="n"/>
      <c r="AG278" s="69" t="n"/>
      <c r="AH278" s="69" t="n"/>
      <c r="AI278" s="69" t="n"/>
      <c r="AJ278" s="69" t="n"/>
      <c r="AK278" s="69" t="n"/>
      <c r="AL278" s="69" t="n"/>
      <c r="AM278" s="69" t="n"/>
      <c r="AN278" s="69" t="n"/>
      <c r="AO278" s="6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  <c r="AA279" s="59" t="n"/>
      <c r="AB279" s="59" t="n"/>
      <c r="AC279" s="59" t="n"/>
      <c r="AD279" s="59" t="n"/>
      <c r="AE279" s="59" t="n"/>
      <c r="AF279" s="59" t="n"/>
      <c r="AG279" s="59" t="n"/>
      <c r="AH279" s="59" t="n"/>
      <c r="AI279" s="59" t="n"/>
      <c r="AJ279" s="59" t="n"/>
      <c r="AK279" s="59" t="n"/>
      <c r="AL279" s="59" t="n"/>
      <c r="AM279" s="59" t="n"/>
      <c r="AN279" s="59" t="n"/>
      <c r="AO279" s="59" t="n"/>
    </row>
    <row r="28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  <c r="Z280" s="69" t="n"/>
      <c r="AA280" s="69" t="n"/>
      <c r="AB280" s="69" t="n"/>
      <c r="AC280" s="69" t="n"/>
      <c r="AD280" s="69" t="n"/>
      <c r="AE280" s="69" t="n"/>
      <c r="AF280" s="69" t="n"/>
      <c r="AG280" s="69" t="n"/>
      <c r="AH280" s="69" t="n"/>
      <c r="AI280" s="69" t="n"/>
      <c r="AJ280" s="69" t="n"/>
      <c r="AK280" s="69" t="n"/>
      <c r="AL280" s="69" t="n"/>
      <c r="AM280" s="69" t="n"/>
      <c r="AN280" s="69" t="n"/>
      <c r="AO280" s="6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  <c r="AA281" s="59" t="n"/>
      <c r="AB281" s="59" t="n"/>
      <c r="AC281" s="59" t="n"/>
      <c r="AD281" s="59" t="n"/>
      <c r="AE281" s="59" t="n"/>
      <c r="AF281" s="59" t="n"/>
      <c r="AG281" s="59" t="n"/>
      <c r="AH281" s="59" t="n"/>
      <c r="AI281" s="59" t="n"/>
      <c r="AJ281" s="59" t="n"/>
      <c r="AK281" s="59" t="n"/>
      <c r="AL281" s="59" t="n"/>
      <c r="AM281" s="59" t="n"/>
      <c r="AN281" s="59" t="n"/>
      <c r="AO281" s="59" t="n"/>
    </row>
    <row r="282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  <c r="Z282" s="69" t="n"/>
      <c r="AA282" s="69" t="n"/>
      <c r="AB282" s="69" t="n"/>
      <c r="AC282" s="69" t="n"/>
      <c r="AD282" s="69" t="n"/>
      <c r="AE282" s="69" t="n"/>
      <c r="AF282" s="69" t="n"/>
      <c r="AG282" s="69" t="n"/>
      <c r="AH282" s="69" t="n"/>
      <c r="AI282" s="69" t="n"/>
      <c r="AJ282" s="69" t="n"/>
      <c r="AK282" s="69" t="n"/>
      <c r="AL282" s="69" t="n"/>
      <c r="AM282" s="69" t="n"/>
      <c r="AN282" s="69" t="n"/>
      <c r="AO282" s="6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  <c r="AA283" s="59" t="n"/>
      <c r="AB283" s="59" t="n"/>
      <c r="AC283" s="59" t="n"/>
      <c r="AD283" s="59" t="n"/>
      <c r="AE283" s="59" t="n"/>
      <c r="AF283" s="59" t="n"/>
      <c r="AG283" s="59" t="n"/>
      <c r="AH283" s="59" t="n"/>
      <c r="AI283" s="59" t="n"/>
      <c r="AJ283" s="59" t="n"/>
      <c r="AK283" s="59" t="n"/>
      <c r="AL283" s="59" t="n"/>
      <c r="AM283" s="59" t="n"/>
      <c r="AN283" s="59" t="n"/>
      <c r="AO283" s="59" t="n"/>
    </row>
    <row r="284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  <c r="Z284" s="69" t="n"/>
      <c r="AA284" s="69" t="n"/>
      <c r="AB284" s="69" t="n"/>
      <c r="AC284" s="69" t="n"/>
      <c r="AD284" s="69" t="n"/>
      <c r="AE284" s="69" t="n"/>
      <c r="AF284" s="69" t="n"/>
      <c r="AG284" s="69" t="n"/>
      <c r="AH284" s="69" t="n"/>
      <c r="AI284" s="69" t="n"/>
      <c r="AJ284" s="69" t="n"/>
      <c r="AK284" s="69" t="n"/>
      <c r="AL284" s="69" t="n"/>
      <c r="AM284" s="69" t="n"/>
      <c r="AN284" s="69" t="n"/>
      <c r="AO284" s="6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  <c r="AA285" s="59" t="n"/>
      <c r="AB285" s="59" t="n"/>
      <c r="AC285" s="59" t="n"/>
      <c r="AD285" s="59" t="n"/>
      <c r="AE285" s="59" t="n"/>
      <c r="AF285" s="59" t="n"/>
      <c r="AG285" s="59" t="n"/>
      <c r="AH285" s="59" t="n"/>
      <c r="AI285" s="59" t="n"/>
      <c r="AJ285" s="59" t="n"/>
      <c r="AK285" s="59" t="n"/>
      <c r="AL285" s="59" t="n"/>
      <c r="AM285" s="59" t="n"/>
      <c r="AN285" s="59" t="n"/>
      <c r="AO285" s="59" t="n"/>
    </row>
    <row r="286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  <c r="Z286" s="69" t="n"/>
      <c r="AA286" s="69" t="n"/>
      <c r="AB286" s="69" t="n"/>
      <c r="AC286" s="69" t="n"/>
      <c r="AD286" s="69" t="n"/>
      <c r="AE286" s="69" t="n"/>
      <c r="AF286" s="69" t="n"/>
      <c r="AG286" s="69" t="n"/>
      <c r="AH286" s="69" t="n"/>
      <c r="AI286" s="69" t="n"/>
      <c r="AJ286" s="69" t="n"/>
      <c r="AK286" s="69" t="n"/>
      <c r="AL286" s="69" t="n"/>
      <c r="AM286" s="69" t="n"/>
      <c r="AN286" s="69" t="n"/>
      <c r="AO286" s="6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  <c r="AA287" s="59" t="n"/>
      <c r="AB287" s="59" t="n"/>
      <c r="AC287" s="59" t="n"/>
      <c r="AD287" s="59" t="n"/>
      <c r="AE287" s="59" t="n"/>
      <c r="AF287" s="59" t="n"/>
      <c r="AG287" s="59" t="n"/>
      <c r="AH287" s="59" t="n"/>
      <c r="AI287" s="59" t="n"/>
      <c r="AJ287" s="59" t="n"/>
      <c r="AK287" s="59" t="n"/>
      <c r="AL287" s="59" t="n"/>
      <c r="AM287" s="59" t="n"/>
      <c r="AN287" s="59" t="n"/>
      <c r="AO287" s="59" t="n"/>
    </row>
    <row r="288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  <c r="Z288" s="69" t="n"/>
      <c r="AA288" s="69" t="n"/>
      <c r="AB288" s="69" t="n"/>
      <c r="AC288" s="69" t="n"/>
      <c r="AD288" s="69" t="n"/>
      <c r="AE288" s="69" t="n"/>
      <c r="AF288" s="69" t="n"/>
      <c r="AG288" s="69" t="n"/>
      <c r="AH288" s="69" t="n"/>
      <c r="AI288" s="69" t="n"/>
      <c r="AJ288" s="69" t="n"/>
      <c r="AK288" s="69" t="n"/>
      <c r="AL288" s="69" t="n"/>
      <c r="AM288" s="69" t="n"/>
      <c r="AN288" s="69" t="n"/>
      <c r="AO288" s="6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  <c r="AA289" s="59" t="n"/>
      <c r="AB289" s="59" t="n"/>
      <c r="AC289" s="59" t="n"/>
      <c r="AD289" s="59" t="n"/>
      <c r="AE289" s="59" t="n"/>
      <c r="AF289" s="59" t="n"/>
      <c r="AG289" s="59" t="n"/>
      <c r="AH289" s="59" t="n"/>
      <c r="AI289" s="59" t="n"/>
      <c r="AJ289" s="59" t="n"/>
      <c r="AK289" s="59" t="n"/>
      <c r="AL289" s="59" t="n"/>
      <c r="AM289" s="59" t="n"/>
      <c r="AN289" s="59" t="n"/>
      <c r="AO289" s="59" t="n"/>
    </row>
    <row r="29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  <c r="Z290" s="69" t="n"/>
      <c r="AA290" s="69" t="n"/>
      <c r="AB290" s="69" t="n"/>
      <c r="AC290" s="69" t="n"/>
      <c r="AD290" s="69" t="n"/>
      <c r="AE290" s="69" t="n"/>
      <c r="AF290" s="69" t="n"/>
      <c r="AG290" s="69" t="n"/>
      <c r="AH290" s="69" t="n"/>
      <c r="AI290" s="69" t="n"/>
      <c r="AJ290" s="69" t="n"/>
      <c r="AK290" s="69" t="n"/>
      <c r="AL290" s="69" t="n"/>
      <c r="AM290" s="69" t="n"/>
      <c r="AN290" s="69" t="n"/>
      <c r="AO290" s="6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  <c r="AA291" s="59" t="n"/>
      <c r="AB291" s="59" t="n"/>
      <c r="AC291" s="59" t="n"/>
      <c r="AD291" s="59" t="n"/>
      <c r="AE291" s="59" t="n"/>
      <c r="AF291" s="59" t="n"/>
      <c r="AG291" s="59" t="n"/>
      <c r="AH291" s="59" t="n"/>
      <c r="AI291" s="59" t="n"/>
      <c r="AJ291" s="59" t="n"/>
      <c r="AK291" s="59" t="n"/>
      <c r="AL291" s="59" t="n"/>
      <c r="AM291" s="59" t="n"/>
      <c r="AN291" s="59" t="n"/>
      <c r="AO291" s="59" t="n"/>
    </row>
    <row r="292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  <c r="Z292" s="69" t="n"/>
      <c r="AA292" s="69" t="n"/>
      <c r="AB292" s="69" t="n"/>
      <c r="AC292" s="69" t="n"/>
      <c r="AD292" s="69" t="n"/>
      <c r="AE292" s="69" t="n"/>
      <c r="AF292" s="69" t="n"/>
      <c r="AG292" s="69" t="n"/>
      <c r="AH292" s="69" t="n"/>
      <c r="AI292" s="69" t="n"/>
      <c r="AJ292" s="69" t="n"/>
      <c r="AK292" s="69" t="n"/>
      <c r="AL292" s="69" t="n"/>
      <c r="AM292" s="69" t="n"/>
      <c r="AN292" s="69" t="n"/>
      <c r="AO292" s="6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  <c r="AA293" s="59" t="n"/>
      <c r="AB293" s="59" t="n"/>
      <c r="AC293" s="59" t="n"/>
      <c r="AD293" s="59" t="n"/>
      <c r="AE293" s="59" t="n"/>
      <c r="AF293" s="59" t="n"/>
      <c r="AG293" s="59" t="n"/>
      <c r="AH293" s="59" t="n"/>
      <c r="AI293" s="59" t="n"/>
      <c r="AJ293" s="59" t="n"/>
      <c r="AK293" s="59" t="n"/>
      <c r="AL293" s="59" t="n"/>
      <c r="AM293" s="59" t="n"/>
      <c r="AN293" s="59" t="n"/>
      <c r="AO293" s="59" t="n"/>
    </row>
    <row r="294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  <c r="Z294" s="69" t="n"/>
      <c r="AA294" s="69" t="n"/>
      <c r="AB294" s="69" t="n"/>
      <c r="AC294" s="69" t="n"/>
      <c r="AD294" s="69" t="n"/>
      <c r="AE294" s="69" t="n"/>
      <c r="AF294" s="69" t="n"/>
      <c r="AG294" s="69" t="n"/>
      <c r="AH294" s="69" t="n"/>
      <c r="AI294" s="69" t="n"/>
      <c r="AJ294" s="69" t="n"/>
      <c r="AK294" s="69" t="n"/>
      <c r="AL294" s="69" t="n"/>
      <c r="AM294" s="69" t="n"/>
      <c r="AN294" s="69" t="n"/>
      <c r="AO294" s="6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  <c r="AA295" s="59" t="n"/>
      <c r="AB295" s="59" t="n"/>
      <c r="AC295" s="59" t="n"/>
      <c r="AD295" s="59" t="n"/>
      <c r="AE295" s="59" t="n"/>
      <c r="AF295" s="59" t="n"/>
      <c r="AG295" s="59" t="n"/>
      <c r="AH295" s="59" t="n"/>
      <c r="AI295" s="59" t="n"/>
      <c r="AJ295" s="59" t="n"/>
      <c r="AK295" s="59" t="n"/>
      <c r="AL295" s="59" t="n"/>
      <c r="AM295" s="59" t="n"/>
      <c r="AN295" s="59" t="n"/>
      <c r="AO295" s="59" t="n"/>
    </row>
    <row r="296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  <c r="Z296" s="69" t="n"/>
      <c r="AA296" s="69" t="n"/>
      <c r="AB296" s="69" t="n"/>
      <c r="AC296" s="69" t="n"/>
      <c r="AD296" s="69" t="n"/>
      <c r="AE296" s="69" t="n"/>
      <c r="AF296" s="69" t="n"/>
      <c r="AG296" s="69" t="n"/>
      <c r="AH296" s="69" t="n"/>
      <c r="AI296" s="69" t="n"/>
      <c r="AJ296" s="69" t="n"/>
      <c r="AK296" s="69" t="n"/>
      <c r="AL296" s="69" t="n"/>
      <c r="AM296" s="69" t="n"/>
      <c r="AN296" s="69" t="n"/>
      <c r="AO296" s="6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  <c r="AA297" s="59" t="n"/>
      <c r="AB297" s="59" t="n"/>
      <c r="AC297" s="59" t="n"/>
      <c r="AD297" s="59" t="n"/>
      <c r="AE297" s="59" t="n"/>
      <c r="AF297" s="59" t="n"/>
      <c r="AG297" s="59" t="n"/>
      <c r="AH297" s="59" t="n"/>
      <c r="AI297" s="59" t="n"/>
      <c r="AJ297" s="59" t="n"/>
      <c r="AK297" s="59" t="n"/>
      <c r="AL297" s="59" t="n"/>
      <c r="AM297" s="59" t="n"/>
      <c r="AN297" s="59" t="n"/>
      <c r="AO297" s="59" t="n"/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  <c r="Z298" s="69" t="n"/>
      <c r="AA298" s="69" t="n"/>
      <c r="AB298" s="69" t="n"/>
      <c r="AC298" s="69" t="n"/>
      <c r="AD298" s="69" t="n"/>
      <c r="AE298" s="69" t="n"/>
      <c r="AF298" s="69" t="n"/>
      <c r="AG298" s="69" t="n"/>
      <c r="AH298" s="69" t="n"/>
      <c r="AI298" s="69" t="n"/>
      <c r="AJ298" s="69" t="n"/>
      <c r="AK298" s="69" t="n"/>
      <c r="AL298" s="69" t="n"/>
      <c r="AM298" s="69" t="n"/>
      <c r="AN298" s="69" t="n"/>
      <c r="AO298" s="6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  <c r="AA299" s="59" t="n"/>
      <c r="AB299" s="59" t="n"/>
      <c r="AC299" s="59" t="n"/>
      <c r="AD299" s="59" t="n"/>
      <c r="AE299" s="59" t="n"/>
      <c r="AF299" s="59" t="n"/>
      <c r="AG299" s="59" t="n"/>
      <c r="AH299" s="59" t="n"/>
      <c r="AI299" s="59" t="n"/>
      <c r="AJ299" s="59" t="n"/>
      <c r="AK299" s="59" t="n"/>
      <c r="AL299" s="59" t="n"/>
      <c r="AM299" s="59" t="n"/>
      <c r="AN299" s="59" t="n"/>
      <c r="AO299" s="59" t="n"/>
    </row>
    <row r="30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  <c r="Z300" s="69" t="n"/>
      <c r="AA300" s="69" t="n"/>
      <c r="AB300" s="69" t="n"/>
      <c r="AC300" s="69" t="n"/>
      <c r="AD300" s="69" t="n"/>
      <c r="AE300" s="69" t="n"/>
      <c r="AF300" s="69" t="n"/>
      <c r="AG300" s="69" t="n"/>
      <c r="AH300" s="69" t="n"/>
      <c r="AI300" s="69" t="n"/>
      <c r="AJ300" s="69" t="n"/>
      <c r="AK300" s="69" t="n"/>
      <c r="AL300" s="69" t="n"/>
      <c r="AM300" s="69" t="n"/>
      <c r="AN300" s="69" t="n"/>
      <c r="AO300" s="6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  <c r="AA301" s="59" t="n"/>
      <c r="AB301" s="59" t="n"/>
      <c r="AC301" s="59" t="n"/>
      <c r="AD301" s="59" t="n"/>
      <c r="AE301" s="59" t="n"/>
      <c r="AF301" s="59" t="n"/>
      <c r="AG301" s="59" t="n"/>
      <c r="AH301" s="59" t="n"/>
      <c r="AI301" s="59" t="n"/>
      <c r="AJ301" s="59" t="n"/>
      <c r="AK301" s="59" t="n"/>
      <c r="AL301" s="59" t="n"/>
      <c r="AM301" s="59" t="n"/>
      <c r="AN301" s="59" t="n"/>
      <c r="AO301" s="59" t="n"/>
    </row>
    <row r="302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  <c r="Z302" s="69" t="n"/>
      <c r="AA302" s="69" t="n"/>
      <c r="AB302" s="69" t="n"/>
      <c r="AC302" s="69" t="n"/>
      <c r="AD302" s="69" t="n"/>
      <c r="AE302" s="69" t="n"/>
      <c r="AF302" s="69" t="n"/>
      <c r="AG302" s="69" t="n"/>
      <c r="AH302" s="69" t="n"/>
      <c r="AI302" s="69" t="n"/>
      <c r="AJ302" s="69" t="n"/>
      <c r="AK302" s="69" t="n"/>
      <c r="AL302" s="69" t="n"/>
      <c r="AM302" s="69" t="n"/>
      <c r="AN302" s="69" t="n"/>
      <c r="AO302" s="6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  <c r="AA303" s="59" t="n"/>
      <c r="AB303" s="59" t="n"/>
      <c r="AC303" s="59" t="n"/>
      <c r="AD303" s="59" t="n"/>
      <c r="AE303" s="59" t="n"/>
      <c r="AF303" s="59" t="n"/>
      <c r="AG303" s="59" t="n"/>
      <c r="AH303" s="59" t="n"/>
      <c r="AI303" s="59" t="n"/>
      <c r="AJ303" s="59" t="n"/>
      <c r="AK303" s="59" t="n"/>
      <c r="AL303" s="59" t="n"/>
      <c r="AM303" s="59" t="n"/>
      <c r="AN303" s="59" t="n"/>
      <c r="AO303" s="59" t="n"/>
    </row>
    <row r="304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  <c r="Z304" s="69" t="n"/>
      <c r="AA304" s="69" t="n"/>
      <c r="AB304" s="69" t="n"/>
      <c r="AC304" s="69" t="n"/>
      <c r="AD304" s="69" t="n"/>
      <c r="AE304" s="69" t="n"/>
      <c r="AF304" s="69" t="n"/>
      <c r="AG304" s="69" t="n"/>
      <c r="AH304" s="69" t="n"/>
      <c r="AI304" s="69" t="n"/>
      <c r="AJ304" s="69" t="n"/>
      <c r="AK304" s="69" t="n"/>
      <c r="AL304" s="69" t="n"/>
      <c r="AM304" s="69" t="n"/>
      <c r="AN304" s="69" t="n"/>
      <c r="AO304" s="6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  <c r="AA305" s="59" t="n"/>
      <c r="AB305" s="59" t="n"/>
      <c r="AC305" s="59" t="n"/>
      <c r="AD305" s="59" t="n"/>
      <c r="AE305" s="59" t="n"/>
      <c r="AF305" s="59" t="n"/>
      <c r="AG305" s="59" t="n"/>
      <c r="AH305" s="59" t="n"/>
      <c r="AI305" s="59" t="n"/>
      <c r="AJ305" s="59" t="n"/>
      <c r="AK305" s="59" t="n"/>
      <c r="AL305" s="59" t="n"/>
      <c r="AM305" s="59" t="n"/>
      <c r="AN305" s="59" t="n"/>
      <c r="AO305" s="59" t="n"/>
    </row>
    <row r="306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  <c r="Z306" s="69" t="n"/>
      <c r="AA306" s="69" t="n"/>
      <c r="AB306" s="69" t="n"/>
      <c r="AC306" s="69" t="n"/>
      <c r="AD306" s="69" t="n"/>
      <c r="AE306" s="69" t="n"/>
      <c r="AF306" s="69" t="n"/>
      <c r="AG306" s="69" t="n"/>
      <c r="AH306" s="69" t="n"/>
      <c r="AI306" s="69" t="n"/>
      <c r="AJ306" s="69" t="n"/>
      <c r="AK306" s="69" t="n"/>
      <c r="AL306" s="69" t="n"/>
      <c r="AM306" s="69" t="n"/>
      <c r="AN306" s="69" t="n"/>
      <c r="AO306" s="6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  <c r="AA307" s="59" t="n"/>
      <c r="AB307" s="59" t="n"/>
      <c r="AC307" s="59" t="n"/>
      <c r="AD307" s="59" t="n"/>
      <c r="AE307" s="59" t="n"/>
      <c r="AF307" s="59" t="n"/>
      <c r="AG307" s="59" t="n"/>
      <c r="AH307" s="59" t="n"/>
      <c r="AI307" s="59" t="n"/>
      <c r="AJ307" s="59" t="n"/>
      <c r="AK307" s="59" t="n"/>
      <c r="AL307" s="59" t="n"/>
      <c r="AM307" s="59" t="n"/>
      <c r="AN307" s="59" t="n"/>
      <c r="AO307" s="59" t="n"/>
    </row>
    <row r="308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  <c r="Z308" s="69" t="n"/>
      <c r="AA308" s="69" t="n"/>
      <c r="AB308" s="69" t="n"/>
      <c r="AC308" s="69" t="n"/>
      <c r="AD308" s="69" t="n"/>
      <c r="AE308" s="69" t="n"/>
      <c r="AF308" s="69" t="n"/>
      <c r="AG308" s="69" t="n"/>
      <c r="AH308" s="69" t="n"/>
      <c r="AI308" s="69" t="n"/>
      <c r="AJ308" s="69" t="n"/>
      <c r="AK308" s="69" t="n"/>
      <c r="AL308" s="69" t="n"/>
      <c r="AM308" s="69" t="n"/>
      <c r="AN308" s="69" t="n"/>
      <c r="AO308" s="6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  <c r="AA309" s="59" t="n"/>
      <c r="AB309" s="59" t="n"/>
      <c r="AC309" s="59" t="n"/>
      <c r="AD309" s="59" t="n"/>
      <c r="AE309" s="59" t="n"/>
      <c r="AF309" s="59" t="n"/>
      <c r="AG309" s="59" t="n"/>
      <c r="AH309" s="59" t="n"/>
      <c r="AI309" s="59" t="n"/>
      <c r="AJ309" s="59" t="n"/>
      <c r="AK309" s="59" t="n"/>
      <c r="AL309" s="59" t="n"/>
      <c r="AM309" s="59" t="n"/>
      <c r="AN309" s="59" t="n"/>
      <c r="AO309" s="59" t="n"/>
    </row>
    <row r="31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  <c r="Z310" s="69" t="n"/>
      <c r="AA310" s="69" t="n"/>
      <c r="AB310" s="69" t="n"/>
      <c r="AC310" s="69" t="n"/>
      <c r="AD310" s="69" t="n"/>
      <c r="AE310" s="69" t="n"/>
      <c r="AF310" s="69" t="n"/>
      <c r="AG310" s="69" t="n"/>
      <c r="AH310" s="69" t="n"/>
      <c r="AI310" s="69" t="n"/>
      <c r="AJ310" s="69" t="n"/>
      <c r="AK310" s="69" t="n"/>
      <c r="AL310" s="69" t="n"/>
      <c r="AM310" s="69" t="n"/>
      <c r="AN310" s="69" t="n"/>
      <c r="AO310" s="6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  <c r="AA311" s="59" t="n"/>
      <c r="AB311" s="59" t="n"/>
      <c r="AC311" s="59" t="n"/>
      <c r="AD311" s="59" t="n"/>
      <c r="AE311" s="59" t="n"/>
      <c r="AF311" s="59" t="n"/>
      <c r="AG311" s="59" t="n"/>
      <c r="AH311" s="59" t="n"/>
      <c r="AI311" s="59" t="n"/>
      <c r="AJ311" s="59" t="n"/>
      <c r="AK311" s="59" t="n"/>
      <c r="AL311" s="59" t="n"/>
      <c r="AM311" s="59" t="n"/>
      <c r="AN311" s="59" t="n"/>
      <c r="AO311" s="59" t="n"/>
    </row>
    <row r="312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  <c r="Z312" s="69" t="n"/>
      <c r="AA312" s="69" t="n"/>
      <c r="AB312" s="69" t="n"/>
      <c r="AC312" s="69" t="n"/>
      <c r="AD312" s="69" t="n"/>
      <c r="AE312" s="69" t="n"/>
      <c r="AF312" s="69" t="n"/>
      <c r="AG312" s="69" t="n"/>
      <c r="AH312" s="69" t="n"/>
      <c r="AI312" s="69" t="n"/>
      <c r="AJ312" s="69" t="n"/>
      <c r="AK312" s="69" t="n"/>
      <c r="AL312" s="69" t="n"/>
      <c r="AM312" s="69" t="n"/>
      <c r="AN312" s="69" t="n"/>
      <c r="AO312" s="6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  <c r="AA313" s="59" t="n"/>
      <c r="AB313" s="59" t="n"/>
      <c r="AC313" s="59" t="n"/>
      <c r="AD313" s="59" t="n"/>
      <c r="AE313" s="59" t="n"/>
      <c r="AF313" s="59" t="n"/>
      <c r="AG313" s="59" t="n"/>
      <c r="AH313" s="59" t="n"/>
      <c r="AI313" s="59" t="n"/>
      <c r="AJ313" s="59" t="n"/>
      <c r="AK313" s="59" t="n"/>
      <c r="AL313" s="59" t="n"/>
      <c r="AM313" s="59" t="n"/>
      <c r="AN313" s="59" t="n"/>
      <c r="AO313" s="59" t="n"/>
    </row>
    <row r="314">
      <c r="A314" s="69" t="n"/>
      <c r="B314" s="69" t="n"/>
      <c r="C314" s="69" t="n"/>
      <c r="D314" s="69" t="n"/>
      <c r="E314" s="69" t="n"/>
      <c r="F314" s="69" t="n"/>
      <c r="G314" s="69" t="n"/>
      <c r="H314" s="69" t="n"/>
      <c r="I314" s="69" t="n"/>
      <c r="J314" s="69" t="n"/>
      <c r="K314" s="69" t="n"/>
      <c r="L314" s="69" t="n"/>
      <c r="M314" s="69" t="n"/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9" t="n"/>
      <c r="X314" s="69" t="n"/>
      <c r="Y314" s="69" t="n"/>
      <c r="Z314" s="69" t="n"/>
      <c r="AA314" s="69" t="n"/>
      <c r="AB314" s="69" t="n"/>
      <c r="AC314" s="69" t="n"/>
      <c r="AD314" s="69" t="n"/>
      <c r="AE314" s="69" t="n"/>
      <c r="AF314" s="69" t="n"/>
      <c r="AG314" s="69" t="n"/>
      <c r="AH314" s="69" t="n"/>
      <c r="AI314" s="69" t="n"/>
      <c r="AJ314" s="69" t="n"/>
      <c r="AK314" s="69" t="n"/>
      <c r="AL314" s="69" t="n"/>
      <c r="AM314" s="69" t="n"/>
      <c r="AN314" s="69" t="n"/>
      <c r="AO314" s="6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  <c r="AA315" s="59" t="n"/>
      <c r="AB315" s="59" t="n"/>
      <c r="AC315" s="59" t="n"/>
      <c r="AD315" s="59" t="n"/>
      <c r="AE315" s="59" t="n"/>
      <c r="AF315" s="59" t="n"/>
      <c r="AG315" s="59" t="n"/>
      <c r="AH315" s="59" t="n"/>
      <c r="AI315" s="59" t="n"/>
      <c r="AJ315" s="59" t="n"/>
      <c r="AK315" s="59" t="n"/>
      <c r="AL315" s="59" t="n"/>
      <c r="AM315" s="59" t="n"/>
      <c r="AN315" s="59" t="n"/>
      <c r="AO315" s="59" t="n"/>
    </row>
    <row r="316">
      <c r="A316" s="69" t="n"/>
      <c r="B316" s="69" t="n"/>
      <c r="C316" s="69" t="n"/>
      <c r="D316" s="69" t="n"/>
      <c r="E316" s="69" t="n"/>
      <c r="F316" s="69" t="n"/>
      <c r="G316" s="69" t="n"/>
      <c r="H316" s="69" t="n"/>
      <c r="I316" s="69" t="n"/>
      <c r="J316" s="69" t="n"/>
      <c r="K316" s="69" t="n"/>
      <c r="L316" s="69" t="n"/>
      <c r="M316" s="69" t="n"/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9" t="n"/>
      <c r="X316" s="69" t="n"/>
      <c r="Y316" s="69" t="n"/>
      <c r="Z316" s="69" t="n"/>
      <c r="AA316" s="69" t="n"/>
      <c r="AB316" s="69" t="n"/>
      <c r="AC316" s="69" t="n"/>
      <c r="AD316" s="69" t="n"/>
      <c r="AE316" s="69" t="n"/>
      <c r="AF316" s="69" t="n"/>
      <c r="AG316" s="69" t="n"/>
      <c r="AH316" s="69" t="n"/>
      <c r="AI316" s="69" t="n"/>
      <c r="AJ316" s="69" t="n"/>
      <c r="AK316" s="69" t="n"/>
      <c r="AL316" s="69" t="n"/>
      <c r="AM316" s="69" t="n"/>
      <c r="AN316" s="69" t="n"/>
      <c r="AO316" s="6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  <c r="AA317" s="59" t="n"/>
      <c r="AB317" s="59" t="n"/>
      <c r="AC317" s="59" t="n"/>
      <c r="AD317" s="59" t="n"/>
      <c r="AE317" s="59" t="n"/>
      <c r="AF317" s="59" t="n"/>
      <c r="AG317" s="59" t="n"/>
      <c r="AH317" s="59" t="n"/>
      <c r="AI317" s="59" t="n"/>
      <c r="AJ317" s="59" t="n"/>
      <c r="AK317" s="59" t="n"/>
      <c r="AL317" s="59" t="n"/>
      <c r="AM317" s="59" t="n"/>
      <c r="AN317" s="59" t="n"/>
      <c r="AO317" s="59" t="n"/>
    </row>
    <row r="318">
      <c r="A318" s="69" t="n"/>
      <c r="B318" s="69" t="n"/>
      <c r="C318" s="69" t="n"/>
      <c r="D318" s="69" t="n"/>
      <c r="E318" s="69" t="n"/>
      <c r="F318" s="69" t="n"/>
      <c r="G318" s="69" t="n"/>
      <c r="H318" s="69" t="n"/>
      <c r="I318" s="69" t="n"/>
      <c r="J318" s="69" t="n"/>
      <c r="K318" s="69" t="n"/>
      <c r="L318" s="69" t="n"/>
      <c r="M318" s="69" t="n"/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9" t="n"/>
      <c r="X318" s="69" t="n"/>
      <c r="Y318" s="69" t="n"/>
      <c r="Z318" s="69" t="n"/>
      <c r="AA318" s="69" t="n"/>
      <c r="AB318" s="69" t="n"/>
      <c r="AC318" s="69" t="n"/>
      <c r="AD318" s="69" t="n"/>
      <c r="AE318" s="69" t="n"/>
      <c r="AF318" s="69" t="n"/>
      <c r="AG318" s="69" t="n"/>
      <c r="AH318" s="69" t="n"/>
      <c r="AI318" s="69" t="n"/>
      <c r="AJ318" s="69" t="n"/>
      <c r="AK318" s="69" t="n"/>
      <c r="AL318" s="69" t="n"/>
      <c r="AM318" s="69" t="n"/>
      <c r="AN318" s="69" t="n"/>
      <c r="AO318" s="6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  <c r="AA319" s="59" t="n"/>
      <c r="AB319" s="59" t="n"/>
      <c r="AC319" s="59" t="n"/>
      <c r="AD319" s="59" t="n"/>
      <c r="AE319" s="59" t="n"/>
      <c r="AF319" s="59" t="n"/>
      <c r="AG319" s="59" t="n"/>
      <c r="AH319" s="59" t="n"/>
      <c r="AI319" s="59" t="n"/>
      <c r="AJ319" s="59" t="n"/>
      <c r="AK319" s="59" t="n"/>
      <c r="AL319" s="59" t="n"/>
      <c r="AM319" s="59" t="n"/>
      <c r="AN319" s="59" t="n"/>
      <c r="AO319" s="59" t="n"/>
    </row>
    <row r="320">
      <c r="A320" s="69" t="n"/>
      <c r="B320" s="69" t="n"/>
      <c r="C320" s="69" t="n"/>
      <c r="D320" s="69" t="n"/>
      <c r="E320" s="69" t="n"/>
      <c r="F320" s="69" t="n"/>
      <c r="G320" s="69" t="n"/>
      <c r="H320" s="69" t="n"/>
      <c r="I320" s="69" t="n"/>
      <c r="J320" s="69" t="n"/>
      <c r="K320" s="69" t="n"/>
      <c r="L320" s="69" t="n"/>
      <c r="M320" s="69" t="n"/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9" t="n"/>
      <c r="X320" s="69" t="n"/>
      <c r="Y320" s="69" t="n"/>
      <c r="Z320" s="69" t="n"/>
      <c r="AA320" s="69" t="n"/>
      <c r="AB320" s="69" t="n"/>
      <c r="AC320" s="69" t="n"/>
      <c r="AD320" s="69" t="n"/>
      <c r="AE320" s="69" t="n"/>
      <c r="AF320" s="69" t="n"/>
      <c r="AG320" s="69" t="n"/>
      <c r="AH320" s="69" t="n"/>
      <c r="AI320" s="69" t="n"/>
      <c r="AJ320" s="69" t="n"/>
      <c r="AK320" s="69" t="n"/>
      <c r="AL320" s="69" t="n"/>
      <c r="AM320" s="69" t="n"/>
      <c r="AN320" s="69" t="n"/>
      <c r="AO320" s="6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  <c r="AA321" s="59" t="n"/>
      <c r="AB321" s="59" t="n"/>
      <c r="AC321" s="59" t="n"/>
      <c r="AD321" s="59" t="n"/>
      <c r="AE321" s="59" t="n"/>
      <c r="AF321" s="59" t="n"/>
      <c r="AG321" s="59" t="n"/>
      <c r="AH321" s="59" t="n"/>
      <c r="AI321" s="59" t="n"/>
      <c r="AJ321" s="59" t="n"/>
      <c r="AK321" s="59" t="n"/>
      <c r="AL321" s="59" t="n"/>
      <c r="AM321" s="59" t="n"/>
      <c r="AN321" s="59" t="n"/>
      <c r="AO321" s="59" t="n"/>
    </row>
    <row r="322">
      <c r="A322" s="69" t="n"/>
      <c r="B322" s="69" t="n"/>
      <c r="C322" s="69" t="n"/>
      <c r="D322" s="69" t="n"/>
      <c r="E322" s="69" t="n"/>
      <c r="F322" s="69" t="n"/>
      <c r="G322" s="69" t="n"/>
      <c r="H322" s="69" t="n"/>
      <c r="I322" s="69" t="n"/>
      <c r="J322" s="69" t="n"/>
      <c r="K322" s="69" t="n"/>
      <c r="L322" s="69" t="n"/>
      <c r="M322" s="69" t="n"/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9" t="n"/>
      <c r="X322" s="69" t="n"/>
      <c r="Y322" s="69" t="n"/>
      <c r="Z322" s="69" t="n"/>
      <c r="AA322" s="69" t="n"/>
      <c r="AB322" s="69" t="n"/>
      <c r="AC322" s="69" t="n"/>
      <c r="AD322" s="69" t="n"/>
      <c r="AE322" s="69" t="n"/>
      <c r="AF322" s="69" t="n"/>
      <c r="AG322" s="69" t="n"/>
      <c r="AH322" s="69" t="n"/>
      <c r="AI322" s="69" t="n"/>
      <c r="AJ322" s="69" t="n"/>
      <c r="AK322" s="69" t="n"/>
      <c r="AL322" s="69" t="n"/>
      <c r="AM322" s="69" t="n"/>
      <c r="AN322" s="69" t="n"/>
      <c r="AO322" s="6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  <c r="AA323" s="59" t="n"/>
      <c r="AB323" s="59" t="n"/>
      <c r="AC323" s="59" t="n"/>
      <c r="AD323" s="59" t="n"/>
      <c r="AE323" s="59" t="n"/>
      <c r="AF323" s="59" t="n"/>
      <c r="AG323" s="59" t="n"/>
      <c r="AH323" s="59" t="n"/>
      <c r="AI323" s="59" t="n"/>
      <c r="AJ323" s="59" t="n"/>
      <c r="AK323" s="59" t="n"/>
      <c r="AL323" s="59" t="n"/>
      <c r="AM323" s="59" t="n"/>
      <c r="AN323" s="59" t="n"/>
      <c r="AO323" s="59" t="n"/>
    </row>
    <row r="324">
      <c r="A324" s="69" t="n"/>
      <c r="B324" s="69" t="n"/>
      <c r="C324" s="69" t="n"/>
      <c r="D324" s="69" t="n"/>
      <c r="E324" s="69" t="n"/>
      <c r="F324" s="69" t="n"/>
      <c r="G324" s="69" t="n"/>
      <c r="H324" s="69" t="n"/>
      <c r="I324" s="69" t="n"/>
      <c r="J324" s="69" t="n"/>
      <c r="K324" s="69" t="n"/>
      <c r="L324" s="69" t="n"/>
      <c r="M324" s="69" t="n"/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9" t="n"/>
      <c r="X324" s="69" t="n"/>
      <c r="Y324" s="69" t="n"/>
      <c r="Z324" s="69" t="n"/>
      <c r="AA324" s="69" t="n"/>
      <c r="AB324" s="69" t="n"/>
      <c r="AC324" s="69" t="n"/>
      <c r="AD324" s="69" t="n"/>
      <c r="AE324" s="69" t="n"/>
      <c r="AF324" s="69" t="n"/>
      <c r="AG324" s="69" t="n"/>
      <c r="AH324" s="69" t="n"/>
      <c r="AI324" s="69" t="n"/>
      <c r="AJ324" s="69" t="n"/>
      <c r="AK324" s="69" t="n"/>
      <c r="AL324" s="69" t="n"/>
      <c r="AM324" s="69" t="n"/>
      <c r="AN324" s="69" t="n"/>
      <c r="AO324" s="6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  <c r="AA325" s="59" t="n"/>
      <c r="AB325" s="59" t="n"/>
      <c r="AC325" s="59" t="n"/>
      <c r="AD325" s="59" t="n"/>
      <c r="AE325" s="59" t="n"/>
      <c r="AF325" s="59" t="n"/>
      <c r="AG325" s="59" t="n"/>
      <c r="AH325" s="59" t="n"/>
      <c r="AI325" s="59" t="n"/>
      <c r="AJ325" s="59" t="n"/>
      <c r="AK325" s="59" t="n"/>
      <c r="AL325" s="59" t="n"/>
      <c r="AM325" s="59" t="n"/>
      <c r="AN325" s="59" t="n"/>
      <c r="AO325" s="59" t="n"/>
    </row>
    <row r="326">
      <c r="A326" s="69" t="n"/>
      <c r="B326" s="69" t="n"/>
      <c r="C326" s="69" t="n"/>
      <c r="D326" s="69" t="n"/>
      <c r="E326" s="69" t="n"/>
      <c r="F326" s="69" t="n"/>
      <c r="G326" s="69" t="n"/>
      <c r="H326" s="69" t="n"/>
      <c r="I326" s="69" t="n"/>
      <c r="J326" s="69" t="n"/>
      <c r="K326" s="69" t="n"/>
      <c r="L326" s="69" t="n"/>
      <c r="M326" s="69" t="n"/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9" t="n"/>
      <c r="X326" s="69" t="n"/>
      <c r="Y326" s="69" t="n"/>
      <c r="Z326" s="69" t="n"/>
      <c r="AA326" s="69" t="n"/>
      <c r="AB326" s="69" t="n"/>
      <c r="AC326" s="69" t="n"/>
      <c r="AD326" s="69" t="n"/>
      <c r="AE326" s="69" t="n"/>
      <c r="AF326" s="69" t="n"/>
      <c r="AG326" s="69" t="n"/>
      <c r="AH326" s="69" t="n"/>
      <c r="AI326" s="69" t="n"/>
      <c r="AJ326" s="69" t="n"/>
      <c r="AK326" s="69" t="n"/>
      <c r="AL326" s="69" t="n"/>
      <c r="AM326" s="69" t="n"/>
      <c r="AN326" s="69" t="n"/>
      <c r="AO326" s="6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  <c r="AA327" s="59" t="n"/>
      <c r="AB327" s="59" t="n"/>
      <c r="AC327" s="59" t="n"/>
      <c r="AD327" s="59" t="n"/>
      <c r="AE327" s="59" t="n"/>
      <c r="AF327" s="59" t="n"/>
      <c r="AG327" s="59" t="n"/>
      <c r="AH327" s="59" t="n"/>
      <c r="AI327" s="59" t="n"/>
      <c r="AJ327" s="59" t="n"/>
      <c r="AK327" s="59" t="n"/>
      <c r="AL327" s="59" t="n"/>
      <c r="AM327" s="59" t="n"/>
      <c r="AN327" s="59" t="n"/>
      <c r="AO327" s="59" t="n"/>
    </row>
    <row r="328">
      <c r="A328" s="69" t="n"/>
      <c r="B328" s="69" t="n"/>
      <c r="C328" s="69" t="n"/>
      <c r="D328" s="69" t="n"/>
      <c r="E328" s="69" t="n"/>
      <c r="F328" s="69" t="n"/>
      <c r="G328" s="69" t="n"/>
      <c r="H328" s="69" t="n"/>
      <c r="I328" s="69" t="n"/>
      <c r="J328" s="69" t="n"/>
      <c r="K328" s="69" t="n"/>
      <c r="L328" s="69" t="n"/>
      <c r="M328" s="69" t="n"/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9" t="n"/>
      <c r="X328" s="69" t="n"/>
      <c r="Y328" s="69" t="n"/>
      <c r="Z328" s="69" t="n"/>
      <c r="AA328" s="69" t="n"/>
      <c r="AB328" s="69" t="n"/>
      <c r="AC328" s="69" t="n"/>
      <c r="AD328" s="69" t="n"/>
      <c r="AE328" s="69" t="n"/>
      <c r="AF328" s="69" t="n"/>
      <c r="AG328" s="69" t="n"/>
      <c r="AH328" s="69" t="n"/>
      <c r="AI328" s="69" t="n"/>
      <c r="AJ328" s="69" t="n"/>
      <c r="AK328" s="69" t="n"/>
      <c r="AL328" s="69" t="n"/>
      <c r="AM328" s="69" t="n"/>
      <c r="AN328" s="69" t="n"/>
      <c r="AO328" s="6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  <c r="AA329" s="59" t="n"/>
      <c r="AB329" s="59" t="n"/>
      <c r="AC329" s="59" t="n"/>
      <c r="AD329" s="59" t="n"/>
      <c r="AE329" s="59" t="n"/>
      <c r="AF329" s="59" t="n"/>
      <c r="AG329" s="59" t="n"/>
      <c r="AH329" s="59" t="n"/>
      <c r="AI329" s="59" t="n"/>
      <c r="AJ329" s="59" t="n"/>
      <c r="AK329" s="59" t="n"/>
      <c r="AL329" s="59" t="n"/>
      <c r="AM329" s="59" t="n"/>
      <c r="AN329" s="59" t="n"/>
      <c r="AO329" s="59" t="n"/>
    </row>
    <row r="330">
      <c r="A330" s="69" t="n"/>
      <c r="B330" s="69" t="n"/>
      <c r="C330" s="69" t="n"/>
      <c r="D330" s="69" t="n"/>
      <c r="E330" s="69" t="n"/>
      <c r="F330" s="69" t="n"/>
      <c r="G330" s="69" t="n"/>
      <c r="H330" s="69" t="n"/>
      <c r="I330" s="69" t="n"/>
      <c r="J330" s="69" t="n"/>
      <c r="K330" s="69" t="n"/>
      <c r="L330" s="69" t="n"/>
      <c r="M330" s="69" t="n"/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9" t="n"/>
      <c r="X330" s="69" t="n"/>
      <c r="Y330" s="69" t="n"/>
      <c r="Z330" s="69" t="n"/>
      <c r="AA330" s="69" t="n"/>
      <c r="AB330" s="69" t="n"/>
      <c r="AC330" s="69" t="n"/>
      <c r="AD330" s="69" t="n"/>
      <c r="AE330" s="69" t="n"/>
      <c r="AF330" s="69" t="n"/>
      <c r="AG330" s="69" t="n"/>
      <c r="AH330" s="69" t="n"/>
      <c r="AI330" s="69" t="n"/>
      <c r="AJ330" s="69" t="n"/>
      <c r="AK330" s="69" t="n"/>
      <c r="AL330" s="69" t="n"/>
      <c r="AM330" s="69" t="n"/>
      <c r="AN330" s="69" t="n"/>
      <c r="AO330" s="6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  <c r="AA331" s="59" t="n"/>
      <c r="AB331" s="59" t="n"/>
      <c r="AC331" s="59" t="n"/>
      <c r="AD331" s="59" t="n"/>
      <c r="AE331" s="59" t="n"/>
      <c r="AF331" s="59" t="n"/>
      <c r="AG331" s="59" t="n"/>
      <c r="AH331" s="59" t="n"/>
      <c r="AI331" s="59" t="n"/>
      <c r="AJ331" s="59" t="n"/>
      <c r="AK331" s="59" t="n"/>
      <c r="AL331" s="59" t="n"/>
      <c r="AM331" s="59" t="n"/>
      <c r="AN331" s="59" t="n"/>
      <c r="AO331" s="59" t="n"/>
    </row>
    <row r="332">
      <c r="A332" s="69" t="n"/>
      <c r="B332" s="69" t="n"/>
      <c r="C332" s="69" t="n"/>
      <c r="D332" s="69" t="n"/>
      <c r="E332" s="69" t="n"/>
      <c r="F332" s="69" t="n"/>
      <c r="G332" s="69" t="n"/>
      <c r="H332" s="69" t="n"/>
      <c r="I332" s="69" t="n"/>
      <c r="J332" s="69" t="n"/>
      <c r="K332" s="69" t="n"/>
      <c r="L332" s="69" t="n"/>
      <c r="M332" s="69" t="n"/>
      <c r="N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W332" s="69" t="n"/>
      <c r="X332" s="69" t="n"/>
      <c r="Y332" s="69" t="n"/>
      <c r="Z332" s="69" t="n"/>
      <c r="AA332" s="69" t="n"/>
      <c r="AB332" s="69" t="n"/>
      <c r="AC332" s="69" t="n"/>
      <c r="AD332" s="69" t="n"/>
      <c r="AE332" s="69" t="n"/>
      <c r="AF332" s="69" t="n"/>
      <c r="AG332" s="69" t="n"/>
      <c r="AH332" s="69" t="n"/>
      <c r="AI332" s="69" t="n"/>
      <c r="AJ332" s="69" t="n"/>
      <c r="AK332" s="69" t="n"/>
      <c r="AL332" s="69" t="n"/>
      <c r="AM332" s="69" t="n"/>
      <c r="AN332" s="69" t="n"/>
      <c r="AO332" s="6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  <c r="AA333" s="59" t="n"/>
      <c r="AB333" s="59" t="n"/>
      <c r="AC333" s="59" t="n"/>
      <c r="AD333" s="59" t="n"/>
      <c r="AE333" s="59" t="n"/>
      <c r="AF333" s="59" t="n"/>
      <c r="AG333" s="59" t="n"/>
      <c r="AH333" s="59" t="n"/>
      <c r="AI333" s="59" t="n"/>
      <c r="AJ333" s="59" t="n"/>
      <c r="AK333" s="59" t="n"/>
      <c r="AL333" s="59" t="n"/>
      <c r="AM333" s="59" t="n"/>
      <c r="AN333" s="59" t="n"/>
      <c r="AO333" s="59" t="n"/>
    </row>
    <row r="334">
      <c r="A334" s="69" t="n"/>
      <c r="B334" s="69" t="n"/>
      <c r="C334" s="69" t="n"/>
      <c r="D334" s="69" t="n"/>
      <c r="E334" s="69" t="n"/>
      <c r="F334" s="69" t="n"/>
      <c r="G334" s="69" t="n"/>
      <c r="H334" s="69" t="n"/>
      <c r="I334" s="69" t="n"/>
      <c r="J334" s="69" t="n"/>
      <c r="K334" s="69" t="n"/>
      <c r="L334" s="69" t="n"/>
      <c r="M334" s="69" t="n"/>
      <c r="N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W334" s="69" t="n"/>
      <c r="X334" s="69" t="n"/>
      <c r="Y334" s="69" t="n"/>
      <c r="Z334" s="69" t="n"/>
      <c r="AA334" s="69" t="n"/>
      <c r="AB334" s="69" t="n"/>
      <c r="AC334" s="69" t="n"/>
      <c r="AD334" s="69" t="n"/>
      <c r="AE334" s="69" t="n"/>
      <c r="AF334" s="69" t="n"/>
      <c r="AG334" s="69" t="n"/>
      <c r="AH334" s="69" t="n"/>
      <c r="AI334" s="69" t="n"/>
      <c r="AJ334" s="69" t="n"/>
      <c r="AK334" s="69" t="n"/>
      <c r="AL334" s="69" t="n"/>
      <c r="AM334" s="69" t="n"/>
      <c r="AN334" s="69" t="n"/>
      <c r="AO334" s="6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  <c r="AA335" s="59" t="n"/>
      <c r="AB335" s="59" t="n"/>
      <c r="AC335" s="59" t="n"/>
      <c r="AD335" s="59" t="n"/>
      <c r="AE335" s="59" t="n"/>
      <c r="AF335" s="59" t="n"/>
      <c r="AG335" s="59" t="n"/>
      <c r="AH335" s="59" t="n"/>
      <c r="AI335" s="59" t="n"/>
      <c r="AJ335" s="59" t="n"/>
      <c r="AK335" s="59" t="n"/>
      <c r="AL335" s="59" t="n"/>
      <c r="AM335" s="59" t="n"/>
      <c r="AN335" s="59" t="n"/>
      <c r="AO335" s="59" t="n"/>
    </row>
    <row r="336">
      <c r="A336" s="69" t="n"/>
      <c r="B336" s="69" t="n"/>
      <c r="C336" s="69" t="n"/>
      <c r="D336" s="69" t="n"/>
      <c r="E336" s="69" t="n"/>
      <c r="F336" s="69" t="n"/>
      <c r="G336" s="69" t="n"/>
      <c r="H336" s="69" t="n"/>
      <c r="I336" s="69" t="n"/>
      <c r="J336" s="69" t="n"/>
      <c r="K336" s="69" t="n"/>
      <c r="L336" s="69" t="n"/>
      <c r="M336" s="69" t="n"/>
      <c r="N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W336" s="69" t="n"/>
      <c r="X336" s="69" t="n"/>
      <c r="Y336" s="69" t="n"/>
      <c r="Z336" s="69" t="n"/>
      <c r="AA336" s="69" t="n"/>
      <c r="AB336" s="69" t="n"/>
      <c r="AC336" s="69" t="n"/>
      <c r="AD336" s="69" t="n"/>
      <c r="AE336" s="69" t="n"/>
      <c r="AF336" s="69" t="n"/>
      <c r="AG336" s="69" t="n"/>
      <c r="AH336" s="69" t="n"/>
      <c r="AI336" s="69" t="n"/>
      <c r="AJ336" s="69" t="n"/>
      <c r="AK336" s="69" t="n"/>
      <c r="AL336" s="69" t="n"/>
      <c r="AM336" s="69" t="n"/>
      <c r="AN336" s="69" t="n"/>
      <c r="AO336" s="6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  <c r="AA337" s="59" t="n"/>
      <c r="AB337" s="59" t="n"/>
      <c r="AC337" s="59" t="n"/>
      <c r="AD337" s="59" t="n"/>
      <c r="AE337" s="59" t="n"/>
      <c r="AF337" s="59" t="n"/>
      <c r="AG337" s="59" t="n"/>
      <c r="AH337" s="59" t="n"/>
      <c r="AI337" s="59" t="n"/>
      <c r="AJ337" s="59" t="n"/>
      <c r="AK337" s="59" t="n"/>
      <c r="AL337" s="59" t="n"/>
      <c r="AM337" s="59" t="n"/>
      <c r="AN337" s="59" t="n"/>
      <c r="AO337" s="59" t="n"/>
    </row>
    <row r="338">
      <c r="A338" s="69" t="n"/>
      <c r="B338" s="69" t="n"/>
      <c r="C338" s="69" t="n"/>
      <c r="D338" s="69" t="n"/>
      <c r="E338" s="69" t="n"/>
      <c r="F338" s="69" t="n"/>
      <c r="G338" s="69" t="n"/>
      <c r="H338" s="69" t="n"/>
      <c r="I338" s="69" t="n"/>
      <c r="J338" s="69" t="n"/>
      <c r="K338" s="69" t="n"/>
      <c r="L338" s="69" t="n"/>
      <c r="M338" s="69" t="n"/>
      <c r="N338" s="69" t="n"/>
      <c r="O338" s="69" t="n"/>
      <c r="P338" s="69" t="n"/>
      <c r="Q338" s="69" t="n"/>
      <c r="R338" s="69" t="n"/>
      <c r="S338" s="69" t="n"/>
      <c r="T338" s="69" t="n"/>
      <c r="U338" s="69" t="n"/>
      <c r="V338" s="69" t="n"/>
      <c r="W338" s="69" t="n"/>
      <c r="X338" s="69" t="n"/>
      <c r="Y338" s="69" t="n"/>
      <c r="Z338" s="69" t="n"/>
      <c r="AA338" s="69" t="n"/>
      <c r="AB338" s="69" t="n"/>
      <c r="AC338" s="69" t="n"/>
      <c r="AD338" s="69" t="n"/>
      <c r="AE338" s="69" t="n"/>
      <c r="AF338" s="69" t="n"/>
      <c r="AG338" s="69" t="n"/>
      <c r="AH338" s="69" t="n"/>
      <c r="AI338" s="69" t="n"/>
      <c r="AJ338" s="69" t="n"/>
      <c r="AK338" s="69" t="n"/>
      <c r="AL338" s="69" t="n"/>
      <c r="AM338" s="69" t="n"/>
      <c r="AN338" s="69" t="n"/>
      <c r="AO338" s="6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  <c r="AA339" s="59" t="n"/>
      <c r="AB339" s="59" t="n"/>
      <c r="AC339" s="59" t="n"/>
      <c r="AD339" s="59" t="n"/>
      <c r="AE339" s="59" t="n"/>
      <c r="AF339" s="59" t="n"/>
      <c r="AG339" s="59" t="n"/>
      <c r="AH339" s="59" t="n"/>
      <c r="AI339" s="59" t="n"/>
      <c r="AJ339" s="59" t="n"/>
      <c r="AK339" s="59" t="n"/>
      <c r="AL339" s="59" t="n"/>
      <c r="AM339" s="59" t="n"/>
      <c r="AN339" s="59" t="n"/>
      <c r="AO339" s="59" t="n"/>
    </row>
    <row r="340">
      <c r="A340" s="69" t="n"/>
      <c r="B340" s="69" t="n"/>
      <c r="C340" s="69" t="n"/>
      <c r="D340" s="69" t="n"/>
      <c r="E340" s="69" t="n"/>
      <c r="F340" s="69" t="n"/>
      <c r="G340" s="69" t="n"/>
      <c r="H340" s="69" t="n"/>
      <c r="I340" s="69" t="n"/>
      <c r="J340" s="69" t="n"/>
      <c r="K340" s="69" t="n"/>
      <c r="L340" s="69" t="n"/>
      <c r="M340" s="69" t="n"/>
      <c r="N340" s="69" t="n"/>
      <c r="O340" s="69" t="n"/>
      <c r="P340" s="69" t="n"/>
      <c r="Q340" s="69" t="n"/>
      <c r="R340" s="69" t="n"/>
      <c r="S340" s="69" t="n"/>
      <c r="T340" s="69" t="n"/>
      <c r="U340" s="69" t="n"/>
      <c r="V340" s="69" t="n"/>
      <c r="W340" s="69" t="n"/>
      <c r="X340" s="69" t="n"/>
      <c r="Y340" s="69" t="n"/>
      <c r="Z340" s="69" t="n"/>
      <c r="AA340" s="69" t="n"/>
      <c r="AB340" s="69" t="n"/>
      <c r="AC340" s="69" t="n"/>
      <c r="AD340" s="69" t="n"/>
      <c r="AE340" s="69" t="n"/>
      <c r="AF340" s="69" t="n"/>
      <c r="AG340" s="69" t="n"/>
      <c r="AH340" s="69" t="n"/>
      <c r="AI340" s="69" t="n"/>
      <c r="AJ340" s="69" t="n"/>
      <c r="AK340" s="69" t="n"/>
      <c r="AL340" s="69" t="n"/>
      <c r="AM340" s="69" t="n"/>
      <c r="AN340" s="69" t="n"/>
      <c r="AO340" s="6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  <c r="AA341" s="59" t="n"/>
      <c r="AB341" s="59" t="n"/>
      <c r="AC341" s="59" t="n"/>
      <c r="AD341" s="59" t="n"/>
      <c r="AE341" s="59" t="n"/>
      <c r="AF341" s="59" t="n"/>
      <c r="AG341" s="59" t="n"/>
      <c r="AH341" s="59" t="n"/>
      <c r="AI341" s="59" t="n"/>
      <c r="AJ341" s="59" t="n"/>
      <c r="AK341" s="59" t="n"/>
      <c r="AL341" s="59" t="n"/>
      <c r="AM341" s="59" t="n"/>
      <c r="AN341" s="59" t="n"/>
      <c r="AO341" s="59" t="n"/>
    </row>
    <row r="342">
      <c r="A342" s="69" t="n"/>
      <c r="B342" s="69" t="n"/>
      <c r="C342" s="69" t="n"/>
      <c r="D342" s="69" t="n"/>
      <c r="E342" s="69" t="n"/>
      <c r="F342" s="69" t="n"/>
      <c r="G342" s="69" t="n"/>
      <c r="H342" s="69" t="n"/>
      <c r="I342" s="69" t="n"/>
      <c r="J342" s="69" t="n"/>
      <c r="K342" s="69" t="n"/>
      <c r="L342" s="69" t="n"/>
      <c r="M342" s="69" t="n"/>
      <c r="N342" s="69" t="n"/>
      <c r="O342" s="69" t="n"/>
      <c r="P342" s="69" t="n"/>
      <c r="Q342" s="69" t="n"/>
      <c r="R342" s="69" t="n"/>
      <c r="S342" s="69" t="n"/>
      <c r="T342" s="69" t="n"/>
      <c r="U342" s="69" t="n"/>
      <c r="V342" s="69" t="n"/>
      <c r="W342" s="69" t="n"/>
      <c r="X342" s="69" t="n"/>
      <c r="Y342" s="69" t="n"/>
      <c r="Z342" s="69" t="n"/>
      <c r="AA342" s="69" t="n"/>
      <c r="AB342" s="69" t="n"/>
      <c r="AC342" s="69" t="n"/>
      <c r="AD342" s="69" t="n"/>
      <c r="AE342" s="69" t="n"/>
      <c r="AF342" s="69" t="n"/>
      <c r="AG342" s="69" t="n"/>
      <c r="AH342" s="69" t="n"/>
      <c r="AI342" s="69" t="n"/>
      <c r="AJ342" s="69" t="n"/>
      <c r="AK342" s="69" t="n"/>
      <c r="AL342" s="69" t="n"/>
      <c r="AM342" s="69" t="n"/>
      <c r="AN342" s="69" t="n"/>
      <c r="AO342" s="6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  <c r="AA343" s="59" t="n"/>
      <c r="AB343" s="59" t="n"/>
      <c r="AC343" s="59" t="n"/>
      <c r="AD343" s="59" t="n"/>
      <c r="AE343" s="59" t="n"/>
      <c r="AF343" s="59" t="n"/>
      <c r="AG343" s="59" t="n"/>
      <c r="AH343" s="59" t="n"/>
      <c r="AI343" s="59" t="n"/>
      <c r="AJ343" s="59" t="n"/>
      <c r="AK343" s="59" t="n"/>
      <c r="AL343" s="59" t="n"/>
      <c r="AM343" s="59" t="n"/>
      <c r="AN343" s="59" t="n"/>
      <c r="AO343" s="59" t="n"/>
    </row>
    <row r="344">
      <c r="A344" s="69" t="n"/>
      <c r="B344" s="69" t="n"/>
      <c r="C344" s="69" t="n"/>
      <c r="D344" s="69" t="n"/>
      <c r="E344" s="69" t="n"/>
      <c r="F344" s="69" t="n"/>
      <c r="G344" s="69" t="n"/>
      <c r="H344" s="69" t="n"/>
      <c r="I344" s="69" t="n"/>
      <c r="J344" s="69" t="n"/>
      <c r="K344" s="69" t="n"/>
      <c r="L344" s="69" t="n"/>
      <c r="M344" s="69" t="n"/>
      <c r="N344" s="69" t="n"/>
      <c r="O344" s="69" t="n"/>
      <c r="P344" s="69" t="n"/>
      <c r="Q344" s="69" t="n"/>
      <c r="R344" s="69" t="n"/>
      <c r="S344" s="69" t="n"/>
      <c r="T344" s="69" t="n"/>
      <c r="U344" s="69" t="n"/>
      <c r="V344" s="69" t="n"/>
      <c r="W344" s="69" t="n"/>
      <c r="X344" s="69" t="n"/>
      <c r="Y344" s="69" t="n"/>
      <c r="Z344" s="69" t="n"/>
      <c r="AA344" s="69" t="n"/>
      <c r="AB344" s="69" t="n"/>
      <c r="AC344" s="69" t="n"/>
      <c r="AD344" s="69" t="n"/>
      <c r="AE344" s="69" t="n"/>
      <c r="AF344" s="69" t="n"/>
      <c r="AG344" s="69" t="n"/>
      <c r="AH344" s="69" t="n"/>
      <c r="AI344" s="69" t="n"/>
      <c r="AJ344" s="69" t="n"/>
      <c r="AK344" s="69" t="n"/>
      <c r="AL344" s="69" t="n"/>
      <c r="AM344" s="69" t="n"/>
      <c r="AN344" s="69" t="n"/>
      <c r="AO344" s="6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  <c r="AA345" s="59" t="n"/>
      <c r="AB345" s="59" t="n"/>
      <c r="AC345" s="59" t="n"/>
      <c r="AD345" s="59" t="n"/>
      <c r="AE345" s="59" t="n"/>
      <c r="AF345" s="59" t="n"/>
      <c r="AG345" s="59" t="n"/>
      <c r="AH345" s="59" t="n"/>
      <c r="AI345" s="59" t="n"/>
      <c r="AJ345" s="59" t="n"/>
      <c r="AK345" s="59" t="n"/>
      <c r="AL345" s="59" t="n"/>
      <c r="AM345" s="59" t="n"/>
      <c r="AN345" s="59" t="n"/>
      <c r="AO345" s="59" t="n"/>
    </row>
    <row r="346">
      <c r="A346" s="69" t="n"/>
      <c r="B346" s="69" t="n"/>
      <c r="C346" s="69" t="n"/>
      <c r="D346" s="69" t="n"/>
      <c r="E346" s="69" t="n"/>
      <c r="F346" s="69" t="n"/>
      <c r="G346" s="69" t="n"/>
      <c r="H346" s="69" t="n"/>
      <c r="I346" s="69" t="n"/>
      <c r="J346" s="69" t="n"/>
      <c r="K346" s="69" t="n"/>
      <c r="L346" s="69" t="n"/>
      <c r="M346" s="69" t="n"/>
      <c r="N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W346" s="69" t="n"/>
      <c r="X346" s="69" t="n"/>
      <c r="Y346" s="69" t="n"/>
      <c r="Z346" s="69" t="n"/>
      <c r="AA346" s="69" t="n"/>
      <c r="AB346" s="69" t="n"/>
      <c r="AC346" s="69" t="n"/>
      <c r="AD346" s="69" t="n"/>
      <c r="AE346" s="69" t="n"/>
      <c r="AF346" s="69" t="n"/>
      <c r="AG346" s="69" t="n"/>
      <c r="AH346" s="69" t="n"/>
      <c r="AI346" s="69" t="n"/>
      <c r="AJ346" s="69" t="n"/>
      <c r="AK346" s="69" t="n"/>
      <c r="AL346" s="69" t="n"/>
      <c r="AM346" s="69" t="n"/>
      <c r="AN346" s="69" t="n"/>
      <c r="AO346" s="6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  <c r="AA347" s="59" t="n"/>
      <c r="AB347" s="59" t="n"/>
      <c r="AC347" s="59" t="n"/>
      <c r="AD347" s="59" t="n"/>
      <c r="AE347" s="59" t="n"/>
      <c r="AF347" s="59" t="n"/>
      <c r="AG347" s="59" t="n"/>
      <c r="AH347" s="59" t="n"/>
      <c r="AI347" s="59" t="n"/>
      <c r="AJ347" s="59" t="n"/>
      <c r="AK347" s="59" t="n"/>
      <c r="AL347" s="59" t="n"/>
      <c r="AM347" s="59" t="n"/>
      <c r="AN347" s="59" t="n"/>
      <c r="AO347" s="59" t="n"/>
    </row>
    <row r="348">
      <c r="A348" s="69" t="n"/>
      <c r="B348" s="69" t="n"/>
      <c r="C348" s="69" t="n"/>
      <c r="D348" s="69" t="n"/>
      <c r="E348" s="69" t="n"/>
      <c r="F348" s="69" t="n"/>
      <c r="G348" s="69" t="n"/>
      <c r="H348" s="69" t="n"/>
      <c r="I348" s="69" t="n"/>
      <c r="J348" s="69" t="n"/>
      <c r="K348" s="69" t="n"/>
      <c r="L348" s="69" t="n"/>
      <c r="M348" s="69" t="n"/>
      <c r="N348" s="69" t="n"/>
      <c r="O348" s="69" t="n"/>
      <c r="P348" s="69" t="n"/>
      <c r="Q348" s="69" t="n"/>
      <c r="R348" s="69" t="n"/>
      <c r="S348" s="69" t="n"/>
      <c r="T348" s="69" t="n"/>
      <c r="U348" s="69" t="n"/>
      <c r="V348" s="69" t="n"/>
      <c r="W348" s="69" t="n"/>
      <c r="X348" s="69" t="n"/>
      <c r="Y348" s="69" t="n"/>
      <c r="Z348" s="69" t="n"/>
      <c r="AA348" s="69" t="n"/>
      <c r="AB348" s="69" t="n"/>
      <c r="AC348" s="69" t="n"/>
      <c r="AD348" s="69" t="n"/>
      <c r="AE348" s="69" t="n"/>
      <c r="AF348" s="69" t="n"/>
      <c r="AG348" s="69" t="n"/>
      <c r="AH348" s="69" t="n"/>
      <c r="AI348" s="69" t="n"/>
      <c r="AJ348" s="69" t="n"/>
      <c r="AK348" s="69" t="n"/>
      <c r="AL348" s="69" t="n"/>
      <c r="AM348" s="69" t="n"/>
      <c r="AN348" s="69" t="n"/>
      <c r="AO348" s="6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  <c r="AA349" s="59" t="n"/>
      <c r="AB349" s="59" t="n"/>
      <c r="AC349" s="59" t="n"/>
      <c r="AD349" s="59" t="n"/>
      <c r="AE349" s="59" t="n"/>
      <c r="AF349" s="59" t="n"/>
      <c r="AG349" s="59" t="n"/>
      <c r="AH349" s="59" t="n"/>
      <c r="AI349" s="59" t="n"/>
      <c r="AJ349" s="59" t="n"/>
      <c r="AK349" s="59" t="n"/>
      <c r="AL349" s="59" t="n"/>
      <c r="AM349" s="59" t="n"/>
      <c r="AN349" s="59" t="n"/>
      <c r="AO349" s="59" t="n"/>
    </row>
    <row r="350">
      <c r="A350" s="69" t="n"/>
      <c r="B350" s="69" t="n"/>
      <c r="C350" s="69" t="n"/>
      <c r="D350" s="69" t="n"/>
      <c r="E350" s="69" t="n"/>
      <c r="F350" s="69" t="n"/>
      <c r="G350" s="69" t="n"/>
      <c r="H350" s="69" t="n"/>
      <c r="I350" s="69" t="n"/>
      <c r="J350" s="69" t="n"/>
      <c r="K350" s="69" t="n"/>
      <c r="L350" s="69" t="n"/>
      <c r="M350" s="69" t="n"/>
      <c r="N350" s="69" t="n"/>
      <c r="O350" s="69" t="n"/>
      <c r="P350" s="69" t="n"/>
      <c r="Q350" s="69" t="n"/>
      <c r="R350" s="69" t="n"/>
      <c r="S350" s="69" t="n"/>
      <c r="T350" s="69" t="n"/>
      <c r="U350" s="69" t="n"/>
      <c r="V350" s="69" t="n"/>
      <c r="W350" s="69" t="n"/>
      <c r="X350" s="69" t="n"/>
      <c r="Y350" s="69" t="n"/>
      <c r="Z350" s="69" t="n"/>
      <c r="AA350" s="69" t="n"/>
      <c r="AB350" s="69" t="n"/>
      <c r="AC350" s="69" t="n"/>
      <c r="AD350" s="69" t="n"/>
      <c r="AE350" s="69" t="n"/>
      <c r="AF350" s="69" t="n"/>
      <c r="AG350" s="69" t="n"/>
      <c r="AH350" s="69" t="n"/>
      <c r="AI350" s="69" t="n"/>
      <c r="AJ350" s="69" t="n"/>
      <c r="AK350" s="69" t="n"/>
      <c r="AL350" s="69" t="n"/>
      <c r="AM350" s="69" t="n"/>
      <c r="AN350" s="69" t="n"/>
      <c r="AO350" s="6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  <c r="AA351" s="59" t="n"/>
      <c r="AB351" s="59" t="n"/>
      <c r="AC351" s="59" t="n"/>
      <c r="AD351" s="59" t="n"/>
      <c r="AE351" s="59" t="n"/>
      <c r="AF351" s="59" t="n"/>
      <c r="AG351" s="59" t="n"/>
      <c r="AH351" s="59" t="n"/>
      <c r="AI351" s="59" t="n"/>
      <c r="AJ351" s="59" t="n"/>
      <c r="AK351" s="59" t="n"/>
      <c r="AL351" s="59" t="n"/>
      <c r="AM351" s="59" t="n"/>
      <c r="AN351" s="59" t="n"/>
      <c r="AO351" s="59" t="n"/>
    </row>
    <row r="352">
      <c r="A352" s="69" t="n"/>
      <c r="B352" s="69" t="n"/>
      <c r="C352" s="69" t="n"/>
      <c r="D352" s="69" t="n"/>
      <c r="E352" s="69" t="n"/>
      <c r="F352" s="69" t="n"/>
      <c r="G352" s="69" t="n"/>
      <c r="H352" s="69" t="n"/>
      <c r="I352" s="69" t="n"/>
      <c r="J352" s="69" t="n"/>
      <c r="K352" s="69" t="n"/>
      <c r="L352" s="69" t="n"/>
      <c r="M352" s="69" t="n"/>
      <c r="N352" s="69" t="n"/>
      <c r="O352" s="69" t="n"/>
      <c r="P352" s="69" t="n"/>
      <c r="Q352" s="69" t="n"/>
      <c r="R352" s="69" t="n"/>
      <c r="S352" s="69" t="n"/>
      <c r="T352" s="69" t="n"/>
      <c r="U352" s="69" t="n"/>
      <c r="V352" s="69" t="n"/>
      <c r="W352" s="69" t="n"/>
      <c r="X352" s="69" t="n"/>
      <c r="Y352" s="69" t="n"/>
      <c r="Z352" s="69" t="n"/>
      <c r="AA352" s="69" t="n"/>
      <c r="AB352" s="69" t="n"/>
      <c r="AC352" s="69" t="n"/>
      <c r="AD352" s="69" t="n"/>
      <c r="AE352" s="69" t="n"/>
      <c r="AF352" s="69" t="n"/>
      <c r="AG352" s="69" t="n"/>
      <c r="AH352" s="69" t="n"/>
      <c r="AI352" s="69" t="n"/>
      <c r="AJ352" s="69" t="n"/>
      <c r="AK352" s="69" t="n"/>
      <c r="AL352" s="69" t="n"/>
      <c r="AM352" s="69" t="n"/>
      <c r="AN352" s="69" t="n"/>
      <c r="AO352" s="6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  <c r="AA353" s="59" t="n"/>
      <c r="AB353" s="59" t="n"/>
      <c r="AC353" s="59" t="n"/>
      <c r="AD353" s="59" t="n"/>
      <c r="AE353" s="59" t="n"/>
      <c r="AF353" s="59" t="n"/>
      <c r="AG353" s="59" t="n"/>
      <c r="AH353" s="59" t="n"/>
      <c r="AI353" s="59" t="n"/>
      <c r="AJ353" s="59" t="n"/>
      <c r="AK353" s="59" t="n"/>
      <c r="AL353" s="59" t="n"/>
      <c r="AM353" s="59" t="n"/>
      <c r="AN353" s="59" t="n"/>
      <c r="AO353" s="59" t="n"/>
    </row>
    <row r="354">
      <c r="A354" s="69" t="n"/>
      <c r="B354" s="69" t="n"/>
      <c r="C354" s="69" t="n"/>
      <c r="D354" s="69" t="n"/>
      <c r="E354" s="69" t="n"/>
      <c r="F354" s="69" t="n"/>
      <c r="G354" s="69" t="n"/>
      <c r="H354" s="69" t="n"/>
      <c r="I354" s="69" t="n"/>
      <c r="J354" s="69" t="n"/>
      <c r="K354" s="69" t="n"/>
      <c r="L354" s="69" t="n"/>
      <c r="M354" s="69" t="n"/>
      <c r="N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W354" s="69" t="n"/>
      <c r="X354" s="69" t="n"/>
      <c r="Y354" s="69" t="n"/>
      <c r="Z354" s="69" t="n"/>
      <c r="AA354" s="69" t="n"/>
      <c r="AB354" s="69" t="n"/>
      <c r="AC354" s="69" t="n"/>
      <c r="AD354" s="69" t="n"/>
      <c r="AE354" s="69" t="n"/>
      <c r="AF354" s="69" t="n"/>
      <c r="AG354" s="69" t="n"/>
      <c r="AH354" s="69" t="n"/>
      <c r="AI354" s="69" t="n"/>
      <c r="AJ354" s="69" t="n"/>
      <c r="AK354" s="69" t="n"/>
      <c r="AL354" s="69" t="n"/>
      <c r="AM354" s="69" t="n"/>
      <c r="AN354" s="69" t="n"/>
      <c r="AO354" s="6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  <c r="AA355" s="59" t="n"/>
      <c r="AB355" s="59" t="n"/>
      <c r="AC355" s="59" t="n"/>
      <c r="AD355" s="59" t="n"/>
      <c r="AE355" s="59" t="n"/>
      <c r="AF355" s="59" t="n"/>
      <c r="AG355" s="59" t="n"/>
      <c r="AH355" s="59" t="n"/>
      <c r="AI355" s="59" t="n"/>
      <c r="AJ355" s="59" t="n"/>
      <c r="AK355" s="59" t="n"/>
      <c r="AL355" s="59" t="n"/>
      <c r="AM355" s="59" t="n"/>
      <c r="AN355" s="59" t="n"/>
      <c r="AO355" s="59" t="n"/>
    </row>
    <row r="356">
      <c r="A356" s="69" t="n"/>
      <c r="B356" s="69" t="n"/>
      <c r="C356" s="69" t="n"/>
      <c r="D356" s="69" t="n"/>
      <c r="E356" s="69" t="n"/>
      <c r="F356" s="69" t="n"/>
      <c r="G356" s="69" t="n"/>
      <c r="H356" s="69" t="n"/>
      <c r="I356" s="69" t="n"/>
      <c r="J356" s="69" t="n"/>
      <c r="K356" s="69" t="n"/>
      <c r="L356" s="69" t="n"/>
      <c r="M356" s="69" t="n"/>
      <c r="N356" s="69" t="n"/>
      <c r="O356" s="69" t="n"/>
      <c r="P356" s="69" t="n"/>
      <c r="Q356" s="69" t="n"/>
      <c r="R356" s="69" t="n"/>
      <c r="S356" s="69" t="n"/>
      <c r="T356" s="69" t="n"/>
      <c r="U356" s="69" t="n"/>
      <c r="V356" s="69" t="n"/>
      <c r="W356" s="69" t="n"/>
      <c r="X356" s="69" t="n"/>
      <c r="Y356" s="69" t="n"/>
      <c r="Z356" s="69" t="n"/>
      <c r="AA356" s="69" t="n"/>
      <c r="AB356" s="69" t="n"/>
      <c r="AC356" s="69" t="n"/>
      <c r="AD356" s="69" t="n"/>
      <c r="AE356" s="69" t="n"/>
      <c r="AF356" s="69" t="n"/>
      <c r="AG356" s="69" t="n"/>
      <c r="AH356" s="69" t="n"/>
      <c r="AI356" s="69" t="n"/>
      <c r="AJ356" s="69" t="n"/>
      <c r="AK356" s="69" t="n"/>
      <c r="AL356" s="69" t="n"/>
      <c r="AM356" s="69" t="n"/>
      <c r="AN356" s="69" t="n"/>
      <c r="AO356" s="6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  <c r="AA357" s="59" t="n"/>
      <c r="AB357" s="59" t="n"/>
      <c r="AC357" s="59" t="n"/>
      <c r="AD357" s="59" t="n"/>
      <c r="AE357" s="59" t="n"/>
      <c r="AF357" s="59" t="n"/>
      <c r="AG357" s="59" t="n"/>
      <c r="AH357" s="59" t="n"/>
      <c r="AI357" s="59" t="n"/>
      <c r="AJ357" s="59" t="n"/>
      <c r="AK357" s="59" t="n"/>
      <c r="AL357" s="59" t="n"/>
      <c r="AM357" s="59" t="n"/>
      <c r="AN357" s="59" t="n"/>
      <c r="AO357" s="59" t="n"/>
    </row>
    <row r="358">
      <c r="A358" s="69" t="n"/>
      <c r="B358" s="69" t="n"/>
      <c r="C358" s="69" t="n"/>
      <c r="D358" s="69" t="n"/>
      <c r="E358" s="69" t="n"/>
      <c r="F358" s="69" t="n"/>
      <c r="G358" s="69" t="n"/>
      <c r="H358" s="69" t="n"/>
      <c r="I358" s="69" t="n"/>
      <c r="J358" s="69" t="n"/>
      <c r="K358" s="69" t="n"/>
      <c r="L358" s="69" t="n"/>
      <c r="M358" s="69" t="n"/>
      <c r="N358" s="69" t="n"/>
      <c r="O358" s="69" t="n"/>
      <c r="P358" s="69" t="n"/>
      <c r="Q358" s="69" t="n"/>
      <c r="R358" s="69" t="n"/>
      <c r="S358" s="69" t="n"/>
      <c r="T358" s="69" t="n"/>
      <c r="U358" s="69" t="n"/>
      <c r="V358" s="69" t="n"/>
      <c r="W358" s="69" t="n"/>
      <c r="X358" s="69" t="n"/>
      <c r="Y358" s="69" t="n"/>
      <c r="Z358" s="69" t="n"/>
      <c r="AA358" s="69" t="n"/>
      <c r="AB358" s="69" t="n"/>
      <c r="AC358" s="69" t="n"/>
      <c r="AD358" s="69" t="n"/>
      <c r="AE358" s="69" t="n"/>
      <c r="AF358" s="69" t="n"/>
      <c r="AG358" s="69" t="n"/>
      <c r="AH358" s="69" t="n"/>
      <c r="AI358" s="69" t="n"/>
      <c r="AJ358" s="69" t="n"/>
      <c r="AK358" s="69" t="n"/>
      <c r="AL358" s="69" t="n"/>
      <c r="AM358" s="69" t="n"/>
      <c r="AN358" s="69" t="n"/>
      <c r="AO358" s="6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  <c r="AA359" s="59" t="n"/>
      <c r="AB359" s="59" t="n"/>
      <c r="AC359" s="59" t="n"/>
      <c r="AD359" s="59" t="n"/>
      <c r="AE359" s="59" t="n"/>
      <c r="AF359" s="59" t="n"/>
      <c r="AG359" s="59" t="n"/>
      <c r="AH359" s="59" t="n"/>
      <c r="AI359" s="59" t="n"/>
      <c r="AJ359" s="59" t="n"/>
      <c r="AK359" s="59" t="n"/>
      <c r="AL359" s="59" t="n"/>
      <c r="AM359" s="59" t="n"/>
      <c r="AN359" s="59" t="n"/>
      <c r="AO359" s="59" t="n"/>
    </row>
    <row r="360">
      <c r="A360" s="69" t="n"/>
      <c r="B360" s="69" t="n"/>
      <c r="C360" s="69" t="n"/>
      <c r="D360" s="69" t="n"/>
      <c r="E360" s="69" t="n"/>
      <c r="F360" s="69" t="n"/>
      <c r="G360" s="69" t="n"/>
      <c r="H360" s="69" t="n"/>
      <c r="I360" s="69" t="n"/>
      <c r="J360" s="69" t="n"/>
      <c r="K360" s="69" t="n"/>
      <c r="L360" s="69" t="n"/>
      <c r="M360" s="69" t="n"/>
      <c r="N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W360" s="69" t="n"/>
      <c r="X360" s="69" t="n"/>
      <c r="Y360" s="69" t="n"/>
      <c r="Z360" s="69" t="n"/>
      <c r="AA360" s="69" t="n"/>
      <c r="AB360" s="69" t="n"/>
      <c r="AC360" s="69" t="n"/>
      <c r="AD360" s="69" t="n"/>
      <c r="AE360" s="69" t="n"/>
      <c r="AF360" s="69" t="n"/>
      <c r="AG360" s="69" t="n"/>
      <c r="AH360" s="69" t="n"/>
      <c r="AI360" s="69" t="n"/>
      <c r="AJ360" s="69" t="n"/>
      <c r="AK360" s="69" t="n"/>
      <c r="AL360" s="69" t="n"/>
      <c r="AM360" s="69" t="n"/>
      <c r="AN360" s="69" t="n"/>
      <c r="AO360" s="6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  <c r="AA361" s="59" t="n"/>
      <c r="AB361" s="59" t="n"/>
      <c r="AC361" s="59" t="n"/>
      <c r="AD361" s="59" t="n"/>
      <c r="AE361" s="59" t="n"/>
      <c r="AF361" s="59" t="n"/>
      <c r="AG361" s="59" t="n"/>
      <c r="AH361" s="59" t="n"/>
      <c r="AI361" s="59" t="n"/>
      <c r="AJ361" s="59" t="n"/>
      <c r="AK361" s="59" t="n"/>
      <c r="AL361" s="59" t="n"/>
      <c r="AM361" s="59" t="n"/>
      <c r="AN361" s="59" t="n"/>
      <c r="AO361" s="59" t="n"/>
    </row>
    <row r="362">
      <c r="A362" s="69" t="n"/>
      <c r="B362" s="69" t="n"/>
      <c r="C362" s="69" t="n"/>
      <c r="D362" s="69" t="n"/>
      <c r="E362" s="69" t="n"/>
      <c r="F362" s="69" t="n"/>
      <c r="G362" s="69" t="n"/>
      <c r="H362" s="69" t="n"/>
      <c r="I362" s="69" t="n"/>
      <c r="J362" s="69" t="n"/>
      <c r="K362" s="69" t="n"/>
      <c r="L362" s="69" t="n"/>
      <c r="M362" s="69" t="n"/>
      <c r="N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W362" s="69" t="n"/>
      <c r="X362" s="69" t="n"/>
      <c r="Y362" s="69" t="n"/>
      <c r="Z362" s="69" t="n"/>
      <c r="AA362" s="69" t="n"/>
      <c r="AB362" s="69" t="n"/>
      <c r="AC362" s="69" t="n"/>
      <c r="AD362" s="69" t="n"/>
      <c r="AE362" s="69" t="n"/>
      <c r="AF362" s="69" t="n"/>
      <c r="AG362" s="69" t="n"/>
      <c r="AH362" s="69" t="n"/>
      <c r="AI362" s="69" t="n"/>
      <c r="AJ362" s="69" t="n"/>
      <c r="AK362" s="69" t="n"/>
      <c r="AL362" s="69" t="n"/>
      <c r="AM362" s="69" t="n"/>
      <c r="AN362" s="69" t="n"/>
      <c r="AO362" s="6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  <c r="AA363" s="59" t="n"/>
      <c r="AB363" s="59" t="n"/>
      <c r="AC363" s="59" t="n"/>
      <c r="AD363" s="59" t="n"/>
      <c r="AE363" s="59" t="n"/>
      <c r="AF363" s="59" t="n"/>
      <c r="AG363" s="59" t="n"/>
      <c r="AH363" s="59" t="n"/>
      <c r="AI363" s="59" t="n"/>
      <c r="AJ363" s="59" t="n"/>
      <c r="AK363" s="59" t="n"/>
      <c r="AL363" s="59" t="n"/>
      <c r="AM363" s="59" t="n"/>
      <c r="AN363" s="59" t="n"/>
      <c r="AO363" s="59" t="n"/>
    </row>
    <row r="364">
      <c r="A364" s="69" t="n"/>
      <c r="B364" s="69" t="n"/>
      <c r="C364" s="69" t="n"/>
      <c r="D364" s="69" t="n"/>
      <c r="E364" s="69" t="n"/>
      <c r="F364" s="69" t="n"/>
      <c r="G364" s="69" t="n"/>
      <c r="H364" s="69" t="n"/>
      <c r="I364" s="69" t="n"/>
      <c r="J364" s="69" t="n"/>
      <c r="K364" s="69" t="n"/>
      <c r="L364" s="69" t="n"/>
      <c r="M364" s="69" t="n"/>
      <c r="N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W364" s="69" t="n"/>
      <c r="X364" s="69" t="n"/>
      <c r="Y364" s="69" t="n"/>
      <c r="Z364" s="69" t="n"/>
      <c r="AA364" s="69" t="n"/>
      <c r="AB364" s="69" t="n"/>
      <c r="AC364" s="69" t="n"/>
      <c r="AD364" s="69" t="n"/>
      <c r="AE364" s="69" t="n"/>
      <c r="AF364" s="69" t="n"/>
      <c r="AG364" s="69" t="n"/>
      <c r="AH364" s="69" t="n"/>
      <c r="AI364" s="69" t="n"/>
      <c r="AJ364" s="69" t="n"/>
      <c r="AK364" s="69" t="n"/>
      <c r="AL364" s="69" t="n"/>
      <c r="AM364" s="69" t="n"/>
      <c r="AN364" s="69" t="n"/>
      <c r="AO364" s="6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  <c r="AA365" s="59" t="n"/>
      <c r="AB365" s="59" t="n"/>
      <c r="AC365" s="59" t="n"/>
      <c r="AD365" s="59" t="n"/>
      <c r="AE365" s="59" t="n"/>
      <c r="AF365" s="59" t="n"/>
      <c r="AG365" s="59" t="n"/>
      <c r="AH365" s="59" t="n"/>
      <c r="AI365" s="59" t="n"/>
      <c r="AJ365" s="59" t="n"/>
      <c r="AK365" s="59" t="n"/>
      <c r="AL365" s="59" t="n"/>
      <c r="AM365" s="59" t="n"/>
      <c r="AN365" s="59" t="n"/>
      <c r="AO365" s="59" t="n"/>
    </row>
    <row r="366">
      <c r="A366" s="69" t="n"/>
      <c r="B366" s="69" t="n"/>
      <c r="C366" s="69" t="n"/>
      <c r="D366" s="69" t="n"/>
      <c r="E366" s="69" t="n"/>
      <c r="F366" s="69" t="n"/>
      <c r="G366" s="69" t="n"/>
      <c r="H366" s="69" t="n"/>
      <c r="I366" s="69" t="n"/>
      <c r="J366" s="69" t="n"/>
      <c r="K366" s="69" t="n"/>
      <c r="L366" s="69" t="n"/>
      <c r="M366" s="69" t="n"/>
      <c r="N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W366" s="69" t="n"/>
      <c r="X366" s="69" t="n"/>
      <c r="Y366" s="69" t="n"/>
      <c r="Z366" s="69" t="n"/>
      <c r="AA366" s="69" t="n"/>
      <c r="AB366" s="69" t="n"/>
      <c r="AC366" s="69" t="n"/>
      <c r="AD366" s="69" t="n"/>
      <c r="AE366" s="69" t="n"/>
      <c r="AF366" s="69" t="n"/>
      <c r="AG366" s="69" t="n"/>
      <c r="AH366" s="69" t="n"/>
      <c r="AI366" s="69" t="n"/>
      <c r="AJ366" s="69" t="n"/>
      <c r="AK366" s="69" t="n"/>
      <c r="AL366" s="69" t="n"/>
      <c r="AM366" s="69" t="n"/>
      <c r="AN366" s="69" t="n"/>
      <c r="AO366" s="6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  <c r="AA367" s="59" t="n"/>
      <c r="AB367" s="59" t="n"/>
      <c r="AC367" s="59" t="n"/>
      <c r="AD367" s="59" t="n"/>
      <c r="AE367" s="59" t="n"/>
      <c r="AF367" s="59" t="n"/>
      <c r="AG367" s="59" t="n"/>
      <c r="AH367" s="59" t="n"/>
      <c r="AI367" s="59" t="n"/>
      <c r="AJ367" s="59" t="n"/>
      <c r="AK367" s="59" t="n"/>
      <c r="AL367" s="59" t="n"/>
      <c r="AM367" s="59" t="n"/>
      <c r="AN367" s="59" t="n"/>
      <c r="AO367" s="59" t="n"/>
    </row>
    <row r="368">
      <c r="A368" s="69" t="n"/>
      <c r="B368" s="69" t="n"/>
      <c r="C368" s="69" t="n"/>
      <c r="D368" s="69" t="n"/>
      <c r="E368" s="69" t="n"/>
      <c r="F368" s="69" t="n"/>
      <c r="G368" s="69" t="n"/>
      <c r="H368" s="69" t="n"/>
      <c r="I368" s="69" t="n"/>
      <c r="J368" s="69" t="n"/>
      <c r="K368" s="69" t="n"/>
      <c r="L368" s="69" t="n"/>
      <c r="M368" s="69" t="n"/>
      <c r="N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W368" s="69" t="n"/>
      <c r="X368" s="69" t="n"/>
      <c r="Y368" s="69" t="n"/>
      <c r="Z368" s="69" t="n"/>
      <c r="AA368" s="69" t="n"/>
      <c r="AB368" s="69" t="n"/>
      <c r="AC368" s="69" t="n"/>
      <c r="AD368" s="69" t="n"/>
      <c r="AE368" s="69" t="n"/>
      <c r="AF368" s="69" t="n"/>
      <c r="AG368" s="69" t="n"/>
      <c r="AH368" s="69" t="n"/>
      <c r="AI368" s="69" t="n"/>
      <c r="AJ368" s="69" t="n"/>
      <c r="AK368" s="69" t="n"/>
      <c r="AL368" s="69" t="n"/>
      <c r="AM368" s="69" t="n"/>
      <c r="AN368" s="69" t="n"/>
      <c r="AO368" s="6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  <c r="AA369" s="59" t="n"/>
      <c r="AB369" s="59" t="n"/>
      <c r="AC369" s="59" t="n"/>
      <c r="AD369" s="59" t="n"/>
      <c r="AE369" s="59" t="n"/>
      <c r="AF369" s="59" t="n"/>
      <c r="AG369" s="59" t="n"/>
      <c r="AH369" s="59" t="n"/>
      <c r="AI369" s="59" t="n"/>
      <c r="AJ369" s="59" t="n"/>
      <c r="AK369" s="59" t="n"/>
      <c r="AL369" s="59" t="n"/>
      <c r="AM369" s="59" t="n"/>
      <c r="AN369" s="59" t="n"/>
      <c r="AO369" s="59" t="n"/>
    </row>
    <row r="370">
      <c r="A370" s="69" t="n"/>
      <c r="B370" s="69" t="n"/>
      <c r="C370" s="69" t="n"/>
      <c r="D370" s="69" t="n"/>
      <c r="E370" s="69" t="n"/>
      <c r="F370" s="69" t="n"/>
      <c r="G370" s="69" t="n"/>
      <c r="H370" s="69" t="n"/>
      <c r="I370" s="69" t="n"/>
      <c r="J370" s="69" t="n"/>
      <c r="K370" s="69" t="n"/>
      <c r="L370" s="69" t="n"/>
      <c r="M370" s="69" t="n"/>
      <c r="N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W370" s="69" t="n"/>
      <c r="X370" s="69" t="n"/>
      <c r="Y370" s="69" t="n"/>
      <c r="Z370" s="69" t="n"/>
      <c r="AA370" s="69" t="n"/>
      <c r="AB370" s="69" t="n"/>
      <c r="AC370" s="69" t="n"/>
      <c r="AD370" s="69" t="n"/>
      <c r="AE370" s="69" t="n"/>
      <c r="AF370" s="69" t="n"/>
      <c r="AG370" s="69" t="n"/>
      <c r="AH370" s="69" t="n"/>
      <c r="AI370" s="69" t="n"/>
      <c r="AJ370" s="69" t="n"/>
      <c r="AK370" s="69" t="n"/>
      <c r="AL370" s="69" t="n"/>
      <c r="AM370" s="69" t="n"/>
      <c r="AN370" s="69" t="n"/>
      <c r="AO370" s="6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  <c r="AA371" s="59" t="n"/>
      <c r="AB371" s="59" t="n"/>
      <c r="AC371" s="59" t="n"/>
      <c r="AD371" s="59" t="n"/>
      <c r="AE371" s="59" t="n"/>
      <c r="AF371" s="59" t="n"/>
      <c r="AG371" s="59" t="n"/>
      <c r="AH371" s="59" t="n"/>
      <c r="AI371" s="59" t="n"/>
      <c r="AJ371" s="59" t="n"/>
      <c r="AK371" s="59" t="n"/>
      <c r="AL371" s="59" t="n"/>
      <c r="AM371" s="59" t="n"/>
      <c r="AN371" s="59" t="n"/>
      <c r="AO371" s="59" t="n"/>
    </row>
    <row r="372">
      <c r="A372" s="69" t="n"/>
      <c r="B372" s="69" t="n"/>
      <c r="C372" s="69" t="n"/>
      <c r="D372" s="69" t="n"/>
      <c r="E372" s="69" t="n"/>
      <c r="F372" s="69" t="n"/>
      <c r="G372" s="69" t="n"/>
      <c r="H372" s="69" t="n"/>
      <c r="I372" s="69" t="n"/>
      <c r="J372" s="69" t="n"/>
      <c r="K372" s="69" t="n"/>
      <c r="L372" s="69" t="n"/>
      <c r="M372" s="69" t="n"/>
      <c r="N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W372" s="69" t="n"/>
      <c r="X372" s="69" t="n"/>
      <c r="Y372" s="69" t="n"/>
      <c r="Z372" s="69" t="n"/>
      <c r="AA372" s="69" t="n"/>
      <c r="AB372" s="69" t="n"/>
      <c r="AC372" s="69" t="n"/>
      <c r="AD372" s="69" t="n"/>
      <c r="AE372" s="69" t="n"/>
      <c r="AF372" s="69" t="n"/>
      <c r="AG372" s="69" t="n"/>
      <c r="AH372" s="69" t="n"/>
      <c r="AI372" s="69" t="n"/>
      <c r="AJ372" s="69" t="n"/>
      <c r="AK372" s="69" t="n"/>
      <c r="AL372" s="69" t="n"/>
      <c r="AM372" s="69" t="n"/>
      <c r="AN372" s="69" t="n"/>
      <c r="AO372" s="6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  <c r="AA373" s="59" t="n"/>
      <c r="AB373" s="59" t="n"/>
      <c r="AC373" s="59" t="n"/>
      <c r="AD373" s="59" t="n"/>
      <c r="AE373" s="59" t="n"/>
      <c r="AF373" s="59" t="n"/>
      <c r="AG373" s="59" t="n"/>
      <c r="AH373" s="59" t="n"/>
      <c r="AI373" s="59" t="n"/>
      <c r="AJ373" s="59" t="n"/>
      <c r="AK373" s="59" t="n"/>
      <c r="AL373" s="59" t="n"/>
      <c r="AM373" s="59" t="n"/>
      <c r="AN373" s="59" t="n"/>
      <c r="AO373" s="59" t="n"/>
    </row>
    <row r="374">
      <c r="A374" s="69" t="n"/>
      <c r="B374" s="69" t="n"/>
      <c r="C374" s="69" t="n"/>
      <c r="D374" s="69" t="n"/>
      <c r="E374" s="69" t="n"/>
      <c r="F374" s="69" t="n"/>
      <c r="G374" s="69" t="n"/>
      <c r="H374" s="69" t="n"/>
      <c r="I374" s="69" t="n"/>
      <c r="J374" s="69" t="n"/>
      <c r="K374" s="69" t="n"/>
      <c r="L374" s="69" t="n"/>
      <c r="M374" s="69" t="n"/>
      <c r="N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W374" s="69" t="n"/>
      <c r="X374" s="69" t="n"/>
      <c r="Y374" s="69" t="n"/>
      <c r="Z374" s="69" t="n"/>
      <c r="AA374" s="69" t="n"/>
      <c r="AB374" s="69" t="n"/>
      <c r="AC374" s="69" t="n"/>
      <c r="AD374" s="69" t="n"/>
      <c r="AE374" s="69" t="n"/>
      <c r="AF374" s="69" t="n"/>
      <c r="AG374" s="69" t="n"/>
      <c r="AH374" s="69" t="n"/>
      <c r="AI374" s="69" t="n"/>
      <c r="AJ374" s="69" t="n"/>
      <c r="AK374" s="69" t="n"/>
      <c r="AL374" s="69" t="n"/>
      <c r="AM374" s="69" t="n"/>
      <c r="AN374" s="69" t="n"/>
      <c r="AO374" s="6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  <c r="AA375" s="59" t="n"/>
      <c r="AB375" s="59" t="n"/>
      <c r="AC375" s="59" t="n"/>
      <c r="AD375" s="59" t="n"/>
      <c r="AE375" s="59" t="n"/>
      <c r="AF375" s="59" t="n"/>
      <c r="AG375" s="59" t="n"/>
      <c r="AH375" s="59" t="n"/>
      <c r="AI375" s="59" t="n"/>
      <c r="AJ375" s="59" t="n"/>
      <c r="AK375" s="59" t="n"/>
      <c r="AL375" s="59" t="n"/>
      <c r="AM375" s="59" t="n"/>
      <c r="AN375" s="59" t="n"/>
      <c r="AO375" s="59" t="n"/>
    </row>
    <row r="376">
      <c r="A376" s="69" t="n"/>
      <c r="B376" s="69" t="n"/>
      <c r="C376" s="69" t="n"/>
      <c r="D376" s="69" t="n"/>
      <c r="E376" s="69" t="n"/>
      <c r="F376" s="69" t="n"/>
      <c r="G376" s="69" t="n"/>
      <c r="H376" s="69" t="n"/>
      <c r="I376" s="69" t="n"/>
      <c r="J376" s="69" t="n"/>
      <c r="K376" s="69" t="n"/>
      <c r="L376" s="69" t="n"/>
      <c r="M376" s="69" t="n"/>
      <c r="N376" s="69" t="n"/>
      <c r="O376" s="69" t="n"/>
      <c r="P376" s="69" t="n"/>
      <c r="Q376" s="69" t="n"/>
      <c r="R376" s="69" t="n"/>
      <c r="S376" s="69" t="n"/>
      <c r="T376" s="69" t="n"/>
      <c r="U376" s="69" t="n"/>
      <c r="V376" s="69" t="n"/>
      <c r="W376" s="69" t="n"/>
      <c r="X376" s="69" t="n"/>
      <c r="Y376" s="69" t="n"/>
      <c r="Z376" s="69" t="n"/>
      <c r="AA376" s="69" t="n"/>
      <c r="AB376" s="69" t="n"/>
      <c r="AC376" s="69" t="n"/>
      <c r="AD376" s="69" t="n"/>
      <c r="AE376" s="69" t="n"/>
      <c r="AF376" s="69" t="n"/>
      <c r="AG376" s="69" t="n"/>
      <c r="AH376" s="69" t="n"/>
      <c r="AI376" s="69" t="n"/>
      <c r="AJ376" s="69" t="n"/>
      <c r="AK376" s="69" t="n"/>
      <c r="AL376" s="69" t="n"/>
      <c r="AM376" s="69" t="n"/>
      <c r="AN376" s="69" t="n"/>
      <c r="AO376" s="6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  <c r="AA377" s="59" t="n"/>
      <c r="AB377" s="59" t="n"/>
      <c r="AC377" s="59" t="n"/>
      <c r="AD377" s="59" t="n"/>
      <c r="AE377" s="59" t="n"/>
      <c r="AF377" s="59" t="n"/>
      <c r="AG377" s="59" t="n"/>
      <c r="AH377" s="59" t="n"/>
      <c r="AI377" s="59" t="n"/>
      <c r="AJ377" s="59" t="n"/>
      <c r="AK377" s="59" t="n"/>
      <c r="AL377" s="59" t="n"/>
      <c r="AM377" s="59" t="n"/>
      <c r="AN377" s="59" t="n"/>
      <c r="AO377" s="59" t="n"/>
    </row>
    <row r="378">
      <c r="A378" s="69" t="n"/>
      <c r="B378" s="69" t="n"/>
      <c r="C378" s="69" t="n"/>
      <c r="D378" s="69" t="n"/>
      <c r="E378" s="69" t="n"/>
      <c r="F378" s="69" t="n"/>
      <c r="G378" s="69" t="n"/>
      <c r="H378" s="69" t="n"/>
      <c r="I378" s="69" t="n"/>
      <c r="J378" s="69" t="n"/>
      <c r="K378" s="69" t="n"/>
      <c r="L378" s="69" t="n"/>
      <c r="M378" s="69" t="n"/>
      <c r="N378" s="69" t="n"/>
      <c r="O378" s="69" t="n"/>
      <c r="P378" s="69" t="n"/>
      <c r="Q378" s="69" t="n"/>
      <c r="R378" s="69" t="n"/>
      <c r="S378" s="69" t="n"/>
      <c r="T378" s="69" t="n"/>
      <c r="U378" s="69" t="n"/>
      <c r="V378" s="69" t="n"/>
      <c r="W378" s="69" t="n"/>
      <c r="X378" s="69" t="n"/>
      <c r="Y378" s="69" t="n"/>
      <c r="Z378" s="69" t="n"/>
      <c r="AA378" s="69" t="n"/>
      <c r="AB378" s="69" t="n"/>
      <c r="AC378" s="69" t="n"/>
      <c r="AD378" s="69" t="n"/>
      <c r="AE378" s="69" t="n"/>
      <c r="AF378" s="69" t="n"/>
      <c r="AG378" s="69" t="n"/>
      <c r="AH378" s="69" t="n"/>
      <c r="AI378" s="69" t="n"/>
      <c r="AJ378" s="69" t="n"/>
      <c r="AK378" s="69" t="n"/>
      <c r="AL378" s="69" t="n"/>
      <c r="AM378" s="69" t="n"/>
      <c r="AN378" s="69" t="n"/>
      <c r="AO378" s="6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  <c r="AA379" s="59" t="n"/>
      <c r="AB379" s="59" t="n"/>
      <c r="AC379" s="59" t="n"/>
      <c r="AD379" s="59" t="n"/>
      <c r="AE379" s="59" t="n"/>
      <c r="AF379" s="59" t="n"/>
      <c r="AG379" s="59" t="n"/>
      <c r="AH379" s="59" t="n"/>
      <c r="AI379" s="59" t="n"/>
      <c r="AJ379" s="59" t="n"/>
      <c r="AK379" s="59" t="n"/>
      <c r="AL379" s="59" t="n"/>
      <c r="AM379" s="59" t="n"/>
      <c r="AN379" s="59" t="n"/>
      <c r="AO379" s="59" t="n"/>
    </row>
    <row r="380">
      <c r="A380" s="69" t="n"/>
      <c r="B380" s="69" t="n"/>
      <c r="C380" s="69" t="n"/>
      <c r="D380" s="69" t="n"/>
      <c r="E380" s="69" t="n"/>
      <c r="F380" s="69" t="n"/>
      <c r="G380" s="69" t="n"/>
      <c r="H380" s="69" t="n"/>
      <c r="I380" s="69" t="n"/>
      <c r="J380" s="69" t="n"/>
      <c r="K380" s="69" t="n"/>
      <c r="L380" s="69" t="n"/>
      <c r="M380" s="69" t="n"/>
      <c r="N380" s="69" t="n"/>
      <c r="O380" s="69" t="n"/>
      <c r="P380" s="69" t="n"/>
      <c r="Q380" s="69" t="n"/>
      <c r="R380" s="69" t="n"/>
      <c r="S380" s="69" t="n"/>
      <c r="T380" s="69" t="n"/>
      <c r="U380" s="69" t="n"/>
      <c r="V380" s="69" t="n"/>
      <c r="W380" s="69" t="n"/>
      <c r="X380" s="69" t="n"/>
      <c r="Y380" s="69" t="n"/>
      <c r="Z380" s="69" t="n"/>
      <c r="AA380" s="69" t="n"/>
      <c r="AB380" s="69" t="n"/>
      <c r="AC380" s="69" t="n"/>
      <c r="AD380" s="69" t="n"/>
      <c r="AE380" s="69" t="n"/>
      <c r="AF380" s="69" t="n"/>
      <c r="AG380" s="69" t="n"/>
      <c r="AH380" s="69" t="n"/>
      <c r="AI380" s="69" t="n"/>
      <c r="AJ380" s="69" t="n"/>
      <c r="AK380" s="69" t="n"/>
      <c r="AL380" s="69" t="n"/>
      <c r="AM380" s="69" t="n"/>
      <c r="AN380" s="69" t="n"/>
      <c r="AO380" s="6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  <c r="AA381" s="59" t="n"/>
      <c r="AB381" s="59" t="n"/>
      <c r="AC381" s="59" t="n"/>
      <c r="AD381" s="59" t="n"/>
      <c r="AE381" s="59" t="n"/>
      <c r="AF381" s="59" t="n"/>
      <c r="AG381" s="59" t="n"/>
      <c r="AH381" s="59" t="n"/>
      <c r="AI381" s="59" t="n"/>
      <c r="AJ381" s="59" t="n"/>
      <c r="AK381" s="59" t="n"/>
      <c r="AL381" s="59" t="n"/>
      <c r="AM381" s="59" t="n"/>
      <c r="AN381" s="59" t="n"/>
      <c r="AO381" s="59" t="n"/>
    </row>
    <row r="382">
      <c r="A382" s="69" t="n"/>
      <c r="B382" s="69" t="n"/>
      <c r="C382" s="69" t="n"/>
      <c r="D382" s="69" t="n"/>
      <c r="E382" s="69" t="n"/>
      <c r="F382" s="69" t="n"/>
      <c r="G382" s="69" t="n"/>
      <c r="H382" s="69" t="n"/>
      <c r="I382" s="69" t="n"/>
      <c r="J382" s="69" t="n"/>
      <c r="K382" s="69" t="n"/>
      <c r="L382" s="69" t="n"/>
      <c r="M382" s="69" t="n"/>
      <c r="N382" s="69" t="n"/>
      <c r="O382" s="69" t="n"/>
      <c r="P382" s="69" t="n"/>
      <c r="Q382" s="69" t="n"/>
      <c r="R382" s="69" t="n"/>
      <c r="S382" s="69" t="n"/>
      <c r="T382" s="69" t="n"/>
      <c r="U382" s="69" t="n"/>
      <c r="V382" s="69" t="n"/>
      <c r="W382" s="69" t="n"/>
      <c r="X382" s="69" t="n"/>
      <c r="Y382" s="69" t="n"/>
      <c r="Z382" s="69" t="n"/>
      <c r="AA382" s="69" t="n"/>
      <c r="AB382" s="69" t="n"/>
      <c r="AC382" s="69" t="n"/>
      <c r="AD382" s="69" t="n"/>
      <c r="AE382" s="69" t="n"/>
      <c r="AF382" s="69" t="n"/>
      <c r="AG382" s="69" t="n"/>
      <c r="AH382" s="69" t="n"/>
      <c r="AI382" s="69" t="n"/>
      <c r="AJ382" s="69" t="n"/>
      <c r="AK382" s="69" t="n"/>
      <c r="AL382" s="69" t="n"/>
      <c r="AM382" s="69" t="n"/>
      <c r="AN382" s="69" t="n"/>
      <c r="AO382" s="6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  <c r="AA383" s="59" t="n"/>
      <c r="AB383" s="59" t="n"/>
      <c r="AC383" s="59" t="n"/>
      <c r="AD383" s="59" t="n"/>
      <c r="AE383" s="59" t="n"/>
      <c r="AF383" s="59" t="n"/>
      <c r="AG383" s="59" t="n"/>
      <c r="AH383" s="59" t="n"/>
      <c r="AI383" s="59" t="n"/>
      <c r="AJ383" s="59" t="n"/>
      <c r="AK383" s="59" t="n"/>
      <c r="AL383" s="59" t="n"/>
      <c r="AM383" s="59" t="n"/>
      <c r="AN383" s="59" t="n"/>
      <c r="AO383" s="59" t="n"/>
    </row>
    <row r="384">
      <c r="A384" s="69" t="n"/>
      <c r="B384" s="69" t="n"/>
      <c r="C384" s="69" t="n"/>
      <c r="D384" s="69" t="n"/>
      <c r="E384" s="69" t="n"/>
      <c r="F384" s="69" t="n"/>
      <c r="G384" s="69" t="n"/>
      <c r="H384" s="69" t="n"/>
      <c r="I384" s="69" t="n"/>
      <c r="J384" s="69" t="n"/>
      <c r="K384" s="69" t="n"/>
      <c r="L384" s="69" t="n"/>
      <c r="M384" s="69" t="n"/>
      <c r="N384" s="69" t="n"/>
      <c r="O384" s="69" t="n"/>
      <c r="P384" s="69" t="n"/>
      <c r="Q384" s="69" t="n"/>
      <c r="R384" s="69" t="n"/>
      <c r="S384" s="69" t="n"/>
      <c r="T384" s="69" t="n"/>
      <c r="U384" s="69" t="n"/>
      <c r="V384" s="69" t="n"/>
      <c r="W384" s="69" t="n"/>
      <c r="X384" s="69" t="n"/>
      <c r="Y384" s="69" t="n"/>
      <c r="Z384" s="69" t="n"/>
      <c r="AA384" s="69" t="n"/>
      <c r="AB384" s="69" t="n"/>
      <c r="AC384" s="69" t="n"/>
      <c r="AD384" s="69" t="n"/>
      <c r="AE384" s="69" t="n"/>
      <c r="AF384" s="69" t="n"/>
      <c r="AG384" s="69" t="n"/>
      <c r="AH384" s="69" t="n"/>
      <c r="AI384" s="69" t="n"/>
      <c r="AJ384" s="69" t="n"/>
      <c r="AK384" s="69" t="n"/>
      <c r="AL384" s="69" t="n"/>
      <c r="AM384" s="69" t="n"/>
      <c r="AN384" s="69" t="n"/>
      <c r="AO384" s="6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  <c r="AA385" s="59" t="n"/>
      <c r="AB385" s="59" t="n"/>
      <c r="AC385" s="59" t="n"/>
      <c r="AD385" s="59" t="n"/>
      <c r="AE385" s="59" t="n"/>
      <c r="AF385" s="59" t="n"/>
      <c r="AG385" s="59" t="n"/>
      <c r="AH385" s="59" t="n"/>
      <c r="AI385" s="59" t="n"/>
      <c r="AJ385" s="59" t="n"/>
      <c r="AK385" s="59" t="n"/>
      <c r="AL385" s="59" t="n"/>
      <c r="AM385" s="59" t="n"/>
      <c r="AN385" s="59" t="n"/>
      <c r="AO385" s="59" t="n"/>
    </row>
    <row r="386">
      <c r="A386" s="69" t="n"/>
      <c r="B386" s="69" t="n"/>
      <c r="C386" s="69" t="n"/>
      <c r="D386" s="69" t="n"/>
      <c r="E386" s="69" t="n"/>
      <c r="F386" s="69" t="n"/>
      <c r="G386" s="69" t="n"/>
      <c r="H386" s="69" t="n"/>
      <c r="I386" s="69" t="n"/>
      <c r="J386" s="69" t="n"/>
      <c r="K386" s="69" t="n"/>
      <c r="L386" s="69" t="n"/>
      <c r="M386" s="69" t="n"/>
      <c r="N386" s="69" t="n"/>
      <c r="O386" s="69" t="n"/>
      <c r="P386" s="69" t="n"/>
      <c r="Q386" s="69" t="n"/>
      <c r="R386" s="69" t="n"/>
      <c r="S386" s="69" t="n"/>
      <c r="T386" s="69" t="n"/>
      <c r="U386" s="69" t="n"/>
      <c r="V386" s="69" t="n"/>
      <c r="W386" s="69" t="n"/>
      <c r="X386" s="69" t="n"/>
      <c r="Y386" s="69" t="n"/>
      <c r="Z386" s="69" t="n"/>
      <c r="AA386" s="69" t="n"/>
      <c r="AB386" s="69" t="n"/>
      <c r="AC386" s="69" t="n"/>
      <c r="AD386" s="69" t="n"/>
      <c r="AE386" s="69" t="n"/>
      <c r="AF386" s="69" t="n"/>
      <c r="AG386" s="69" t="n"/>
      <c r="AH386" s="69" t="n"/>
      <c r="AI386" s="69" t="n"/>
      <c r="AJ386" s="69" t="n"/>
      <c r="AK386" s="69" t="n"/>
      <c r="AL386" s="69" t="n"/>
      <c r="AM386" s="69" t="n"/>
      <c r="AN386" s="69" t="n"/>
      <c r="AO386" s="6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  <c r="AA387" s="59" t="n"/>
      <c r="AB387" s="59" t="n"/>
      <c r="AC387" s="59" t="n"/>
      <c r="AD387" s="59" t="n"/>
      <c r="AE387" s="59" t="n"/>
      <c r="AF387" s="59" t="n"/>
      <c r="AG387" s="59" t="n"/>
      <c r="AH387" s="59" t="n"/>
      <c r="AI387" s="59" t="n"/>
      <c r="AJ387" s="59" t="n"/>
      <c r="AK387" s="59" t="n"/>
      <c r="AL387" s="59" t="n"/>
      <c r="AM387" s="59" t="n"/>
      <c r="AN387" s="59" t="n"/>
      <c r="AO387" s="59" t="n"/>
    </row>
    <row r="388">
      <c r="A388" s="69" t="n"/>
      <c r="B388" s="69" t="n"/>
      <c r="C388" s="69" t="n"/>
      <c r="D388" s="69" t="n"/>
      <c r="E388" s="69" t="n"/>
      <c r="F388" s="69" t="n"/>
      <c r="G388" s="69" t="n"/>
      <c r="H388" s="69" t="n"/>
      <c r="I388" s="69" t="n"/>
      <c r="J388" s="69" t="n"/>
      <c r="K388" s="69" t="n"/>
      <c r="L388" s="69" t="n"/>
      <c r="M388" s="69" t="n"/>
      <c r="N388" s="69" t="n"/>
      <c r="O388" s="69" t="n"/>
      <c r="P388" s="69" t="n"/>
      <c r="Q388" s="69" t="n"/>
      <c r="R388" s="69" t="n"/>
      <c r="S388" s="69" t="n"/>
      <c r="T388" s="69" t="n"/>
      <c r="U388" s="69" t="n"/>
      <c r="V388" s="69" t="n"/>
      <c r="W388" s="69" t="n"/>
      <c r="X388" s="69" t="n"/>
      <c r="Y388" s="69" t="n"/>
      <c r="Z388" s="69" t="n"/>
      <c r="AA388" s="69" t="n"/>
      <c r="AB388" s="69" t="n"/>
      <c r="AC388" s="69" t="n"/>
      <c r="AD388" s="69" t="n"/>
      <c r="AE388" s="69" t="n"/>
      <c r="AF388" s="69" t="n"/>
      <c r="AG388" s="69" t="n"/>
      <c r="AH388" s="69" t="n"/>
      <c r="AI388" s="69" t="n"/>
      <c r="AJ388" s="69" t="n"/>
      <c r="AK388" s="69" t="n"/>
      <c r="AL388" s="69" t="n"/>
      <c r="AM388" s="69" t="n"/>
      <c r="AN388" s="69" t="n"/>
      <c r="AO388" s="6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  <c r="AA389" s="59" t="n"/>
      <c r="AB389" s="59" t="n"/>
      <c r="AC389" s="59" t="n"/>
      <c r="AD389" s="59" t="n"/>
      <c r="AE389" s="59" t="n"/>
      <c r="AF389" s="59" t="n"/>
      <c r="AG389" s="59" t="n"/>
      <c r="AH389" s="59" t="n"/>
      <c r="AI389" s="59" t="n"/>
      <c r="AJ389" s="59" t="n"/>
      <c r="AK389" s="59" t="n"/>
      <c r="AL389" s="59" t="n"/>
      <c r="AM389" s="59" t="n"/>
      <c r="AN389" s="59" t="n"/>
      <c r="AO389" s="59" t="n"/>
    </row>
    <row r="390">
      <c r="A390" s="69" t="n"/>
      <c r="B390" s="69" t="n"/>
      <c r="C390" s="69" t="n"/>
      <c r="D390" s="69" t="n"/>
      <c r="E390" s="69" t="n"/>
      <c r="F390" s="69" t="n"/>
      <c r="G390" s="69" t="n"/>
      <c r="H390" s="69" t="n"/>
      <c r="I390" s="69" t="n"/>
      <c r="J390" s="69" t="n"/>
      <c r="K390" s="69" t="n"/>
      <c r="L390" s="69" t="n"/>
      <c r="M390" s="69" t="n"/>
      <c r="N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W390" s="69" t="n"/>
      <c r="X390" s="69" t="n"/>
      <c r="Y390" s="69" t="n"/>
      <c r="Z390" s="69" t="n"/>
      <c r="AA390" s="69" t="n"/>
      <c r="AB390" s="69" t="n"/>
      <c r="AC390" s="69" t="n"/>
      <c r="AD390" s="69" t="n"/>
      <c r="AE390" s="69" t="n"/>
      <c r="AF390" s="69" t="n"/>
      <c r="AG390" s="69" t="n"/>
      <c r="AH390" s="69" t="n"/>
      <c r="AI390" s="69" t="n"/>
      <c r="AJ390" s="69" t="n"/>
      <c r="AK390" s="69" t="n"/>
      <c r="AL390" s="69" t="n"/>
      <c r="AM390" s="69" t="n"/>
      <c r="AN390" s="69" t="n"/>
      <c r="AO390" s="6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  <c r="AA391" s="59" t="n"/>
      <c r="AB391" s="59" t="n"/>
      <c r="AC391" s="59" t="n"/>
      <c r="AD391" s="59" t="n"/>
      <c r="AE391" s="59" t="n"/>
      <c r="AF391" s="59" t="n"/>
      <c r="AG391" s="59" t="n"/>
      <c r="AH391" s="59" t="n"/>
      <c r="AI391" s="59" t="n"/>
      <c r="AJ391" s="59" t="n"/>
      <c r="AK391" s="59" t="n"/>
      <c r="AL391" s="59" t="n"/>
      <c r="AM391" s="59" t="n"/>
      <c r="AN391" s="59" t="n"/>
      <c r="AO391" s="59" t="n"/>
    </row>
    <row r="392">
      <c r="A392" s="69" t="n"/>
      <c r="B392" s="69" t="n"/>
      <c r="C392" s="69" t="n"/>
      <c r="D392" s="69" t="n"/>
      <c r="E392" s="69" t="n"/>
      <c r="F392" s="69" t="n"/>
      <c r="G392" s="69" t="n"/>
      <c r="H392" s="69" t="n"/>
      <c r="I392" s="69" t="n"/>
      <c r="J392" s="69" t="n"/>
      <c r="K392" s="69" t="n"/>
      <c r="L392" s="69" t="n"/>
      <c r="M392" s="69" t="n"/>
      <c r="N392" s="69" t="n"/>
      <c r="O392" s="69" t="n"/>
      <c r="P392" s="69" t="n"/>
      <c r="Q392" s="69" t="n"/>
      <c r="R392" s="69" t="n"/>
      <c r="S392" s="69" t="n"/>
      <c r="T392" s="69" t="n"/>
      <c r="U392" s="69" t="n"/>
      <c r="V392" s="69" t="n"/>
      <c r="W392" s="69" t="n"/>
      <c r="X392" s="69" t="n"/>
      <c r="Y392" s="69" t="n"/>
      <c r="Z392" s="69" t="n"/>
      <c r="AA392" s="69" t="n"/>
      <c r="AB392" s="69" t="n"/>
      <c r="AC392" s="69" t="n"/>
      <c r="AD392" s="69" t="n"/>
      <c r="AE392" s="69" t="n"/>
      <c r="AF392" s="69" t="n"/>
      <c r="AG392" s="69" t="n"/>
      <c r="AH392" s="69" t="n"/>
      <c r="AI392" s="69" t="n"/>
      <c r="AJ392" s="69" t="n"/>
      <c r="AK392" s="69" t="n"/>
      <c r="AL392" s="69" t="n"/>
      <c r="AM392" s="69" t="n"/>
      <c r="AN392" s="69" t="n"/>
      <c r="AO392" s="6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  <c r="AA393" s="59" t="n"/>
      <c r="AB393" s="59" t="n"/>
      <c r="AC393" s="59" t="n"/>
      <c r="AD393" s="59" t="n"/>
      <c r="AE393" s="59" t="n"/>
      <c r="AF393" s="59" t="n"/>
      <c r="AG393" s="59" t="n"/>
      <c r="AH393" s="59" t="n"/>
      <c r="AI393" s="59" t="n"/>
      <c r="AJ393" s="59" t="n"/>
      <c r="AK393" s="59" t="n"/>
      <c r="AL393" s="59" t="n"/>
      <c r="AM393" s="59" t="n"/>
      <c r="AN393" s="59" t="n"/>
      <c r="AO393" s="59" t="n"/>
    </row>
    <row r="394">
      <c r="A394" s="69" t="n"/>
      <c r="B394" s="69" t="n"/>
      <c r="C394" s="69" t="n"/>
      <c r="D394" s="69" t="n"/>
      <c r="E394" s="69" t="n"/>
      <c r="F394" s="69" t="n"/>
      <c r="G394" s="69" t="n"/>
      <c r="H394" s="69" t="n"/>
      <c r="I394" s="69" t="n"/>
      <c r="J394" s="69" t="n"/>
      <c r="K394" s="69" t="n"/>
      <c r="L394" s="69" t="n"/>
      <c r="M394" s="69" t="n"/>
      <c r="N394" s="69" t="n"/>
      <c r="O394" s="69" t="n"/>
      <c r="P394" s="69" t="n"/>
      <c r="Q394" s="69" t="n"/>
      <c r="R394" s="69" t="n"/>
      <c r="S394" s="69" t="n"/>
      <c r="T394" s="69" t="n"/>
      <c r="U394" s="69" t="n"/>
      <c r="V394" s="69" t="n"/>
      <c r="W394" s="69" t="n"/>
      <c r="X394" s="69" t="n"/>
      <c r="Y394" s="69" t="n"/>
      <c r="Z394" s="69" t="n"/>
      <c r="AA394" s="69" t="n"/>
      <c r="AB394" s="69" t="n"/>
      <c r="AC394" s="69" t="n"/>
      <c r="AD394" s="69" t="n"/>
      <c r="AE394" s="69" t="n"/>
      <c r="AF394" s="69" t="n"/>
      <c r="AG394" s="69" t="n"/>
      <c r="AH394" s="69" t="n"/>
      <c r="AI394" s="69" t="n"/>
      <c r="AJ394" s="69" t="n"/>
      <c r="AK394" s="69" t="n"/>
      <c r="AL394" s="69" t="n"/>
      <c r="AM394" s="69" t="n"/>
      <c r="AN394" s="69" t="n"/>
      <c r="AO394" s="6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  <c r="AA395" s="59" t="n"/>
      <c r="AB395" s="59" t="n"/>
      <c r="AC395" s="59" t="n"/>
      <c r="AD395" s="59" t="n"/>
      <c r="AE395" s="59" t="n"/>
      <c r="AF395" s="59" t="n"/>
      <c r="AG395" s="59" t="n"/>
      <c r="AH395" s="59" t="n"/>
      <c r="AI395" s="59" t="n"/>
      <c r="AJ395" s="59" t="n"/>
      <c r="AK395" s="59" t="n"/>
      <c r="AL395" s="59" t="n"/>
      <c r="AM395" s="59" t="n"/>
      <c r="AN395" s="59" t="n"/>
      <c r="AO395" s="59" t="n"/>
    </row>
    <row r="396">
      <c r="A396" s="69" t="n"/>
      <c r="B396" s="69" t="n"/>
      <c r="C396" s="69" t="n"/>
      <c r="D396" s="69" t="n"/>
      <c r="E396" s="69" t="n"/>
      <c r="F396" s="69" t="n"/>
      <c r="G396" s="69" t="n"/>
      <c r="H396" s="69" t="n"/>
      <c r="I396" s="69" t="n"/>
      <c r="J396" s="69" t="n"/>
      <c r="K396" s="69" t="n"/>
      <c r="L396" s="69" t="n"/>
      <c r="M396" s="69" t="n"/>
      <c r="N396" s="69" t="n"/>
      <c r="O396" s="69" t="n"/>
      <c r="P396" s="69" t="n"/>
      <c r="Q396" s="69" t="n"/>
      <c r="R396" s="69" t="n"/>
      <c r="S396" s="69" t="n"/>
      <c r="T396" s="69" t="n"/>
      <c r="U396" s="69" t="n"/>
      <c r="V396" s="69" t="n"/>
      <c r="W396" s="69" t="n"/>
      <c r="X396" s="69" t="n"/>
      <c r="Y396" s="69" t="n"/>
      <c r="Z396" s="69" t="n"/>
      <c r="AA396" s="69" t="n"/>
      <c r="AB396" s="69" t="n"/>
      <c r="AC396" s="69" t="n"/>
      <c r="AD396" s="69" t="n"/>
      <c r="AE396" s="69" t="n"/>
      <c r="AF396" s="69" t="n"/>
      <c r="AG396" s="69" t="n"/>
      <c r="AH396" s="69" t="n"/>
      <c r="AI396" s="69" t="n"/>
      <c r="AJ396" s="69" t="n"/>
      <c r="AK396" s="69" t="n"/>
      <c r="AL396" s="69" t="n"/>
      <c r="AM396" s="69" t="n"/>
      <c r="AN396" s="69" t="n"/>
      <c r="AO396" s="6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  <c r="AA397" s="59" t="n"/>
      <c r="AB397" s="59" t="n"/>
      <c r="AC397" s="59" t="n"/>
      <c r="AD397" s="59" t="n"/>
      <c r="AE397" s="59" t="n"/>
      <c r="AF397" s="59" t="n"/>
      <c r="AG397" s="59" t="n"/>
      <c r="AH397" s="59" t="n"/>
      <c r="AI397" s="59" t="n"/>
      <c r="AJ397" s="59" t="n"/>
      <c r="AK397" s="59" t="n"/>
      <c r="AL397" s="59" t="n"/>
      <c r="AM397" s="59" t="n"/>
      <c r="AN397" s="59" t="n"/>
      <c r="AO397" s="59" t="n"/>
    </row>
    <row r="398">
      <c r="A398" s="69" t="n"/>
      <c r="B398" s="69" t="n"/>
      <c r="C398" s="69" t="n"/>
      <c r="D398" s="69" t="n"/>
      <c r="E398" s="69" t="n"/>
      <c r="F398" s="69" t="n"/>
      <c r="G398" s="69" t="n"/>
      <c r="H398" s="69" t="n"/>
      <c r="I398" s="69" t="n"/>
      <c r="J398" s="69" t="n"/>
      <c r="K398" s="69" t="n"/>
      <c r="L398" s="69" t="n"/>
      <c r="M398" s="69" t="n"/>
      <c r="N398" s="69" t="n"/>
      <c r="O398" s="69" t="n"/>
      <c r="P398" s="69" t="n"/>
      <c r="Q398" s="69" t="n"/>
      <c r="R398" s="69" t="n"/>
      <c r="S398" s="69" t="n"/>
      <c r="T398" s="69" t="n"/>
      <c r="U398" s="69" t="n"/>
      <c r="V398" s="69" t="n"/>
      <c r="W398" s="69" t="n"/>
      <c r="X398" s="69" t="n"/>
      <c r="Y398" s="69" t="n"/>
      <c r="Z398" s="69" t="n"/>
      <c r="AA398" s="69" t="n"/>
      <c r="AB398" s="69" t="n"/>
      <c r="AC398" s="69" t="n"/>
      <c r="AD398" s="69" t="n"/>
      <c r="AE398" s="69" t="n"/>
      <c r="AF398" s="69" t="n"/>
      <c r="AG398" s="69" t="n"/>
      <c r="AH398" s="69" t="n"/>
      <c r="AI398" s="69" t="n"/>
      <c r="AJ398" s="69" t="n"/>
      <c r="AK398" s="69" t="n"/>
      <c r="AL398" s="69" t="n"/>
      <c r="AM398" s="69" t="n"/>
      <c r="AN398" s="69" t="n"/>
      <c r="AO398" s="6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  <c r="AA399" s="59" t="n"/>
      <c r="AB399" s="59" t="n"/>
      <c r="AC399" s="59" t="n"/>
      <c r="AD399" s="59" t="n"/>
      <c r="AE399" s="59" t="n"/>
      <c r="AF399" s="59" t="n"/>
      <c r="AG399" s="59" t="n"/>
      <c r="AH399" s="59" t="n"/>
      <c r="AI399" s="59" t="n"/>
      <c r="AJ399" s="59" t="n"/>
      <c r="AK399" s="59" t="n"/>
      <c r="AL399" s="59" t="n"/>
      <c r="AM399" s="59" t="n"/>
      <c r="AN399" s="59" t="n"/>
      <c r="AO399" s="59" t="n"/>
    </row>
    <row r="400">
      <c r="A400" s="69" t="n"/>
      <c r="B400" s="69" t="n"/>
      <c r="C400" s="69" t="n"/>
      <c r="D400" s="69" t="n"/>
      <c r="E400" s="69" t="n"/>
      <c r="F400" s="69" t="n"/>
      <c r="G400" s="69" t="n"/>
      <c r="H400" s="69" t="n"/>
      <c r="I400" s="69" t="n"/>
      <c r="J400" s="69" t="n"/>
      <c r="K400" s="69" t="n"/>
      <c r="L400" s="69" t="n"/>
      <c r="M400" s="69" t="n"/>
      <c r="N400" s="69" t="n"/>
      <c r="O400" s="69" t="n"/>
      <c r="P400" s="69" t="n"/>
      <c r="Q400" s="69" t="n"/>
      <c r="R400" s="69" t="n"/>
      <c r="S400" s="69" t="n"/>
      <c r="T400" s="69" t="n"/>
      <c r="U400" s="69" t="n"/>
      <c r="V400" s="69" t="n"/>
      <c r="W400" s="69" t="n"/>
      <c r="X400" s="69" t="n"/>
      <c r="Y400" s="69" t="n"/>
      <c r="Z400" s="69" t="n"/>
      <c r="AA400" s="69" t="n"/>
      <c r="AB400" s="69" t="n"/>
      <c r="AC400" s="69" t="n"/>
      <c r="AD400" s="69" t="n"/>
      <c r="AE400" s="69" t="n"/>
      <c r="AF400" s="69" t="n"/>
      <c r="AG400" s="69" t="n"/>
      <c r="AH400" s="69" t="n"/>
      <c r="AI400" s="69" t="n"/>
      <c r="AJ400" s="69" t="n"/>
      <c r="AK400" s="69" t="n"/>
      <c r="AL400" s="69" t="n"/>
      <c r="AM400" s="69" t="n"/>
      <c r="AN400" s="69" t="n"/>
      <c r="AO400" s="6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  <c r="AA401" s="59" t="n"/>
      <c r="AB401" s="59" t="n"/>
      <c r="AC401" s="59" t="n"/>
      <c r="AD401" s="59" t="n"/>
      <c r="AE401" s="59" t="n"/>
      <c r="AF401" s="59" t="n"/>
      <c r="AG401" s="59" t="n"/>
      <c r="AH401" s="59" t="n"/>
      <c r="AI401" s="59" t="n"/>
      <c r="AJ401" s="59" t="n"/>
      <c r="AK401" s="59" t="n"/>
      <c r="AL401" s="59" t="n"/>
      <c r="AM401" s="59" t="n"/>
      <c r="AN401" s="59" t="n"/>
      <c r="AO401" s="59" t="n"/>
    </row>
    <row r="402">
      <c r="A402" s="69" t="n"/>
      <c r="B402" s="69" t="n"/>
      <c r="C402" s="69" t="n"/>
      <c r="D402" s="69" t="n"/>
      <c r="E402" s="69" t="n"/>
      <c r="F402" s="69" t="n"/>
      <c r="G402" s="69" t="n"/>
      <c r="H402" s="69" t="n"/>
      <c r="I402" s="69" t="n"/>
      <c r="J402" s="69" t="n"/>
      <c r="K402" s="69" t="n"/>
      <c r="L402" s="69" t="n"/>
      <c r="M402" s="69" t="n"/>
      <c r="N402" s="69" t="n"/>
      <c r="O402" s="69" t="n"/>
      <c r="P402" s="69" t="n"/>
      <c r="Q402" s="69" t="n"/>
      <c r="R402" s="69" t="n"/>
      <c r="S402" s="69" t="n"/>
      <c r="T402" s="69" t="n"/>
      <c r="U402" s="69" t="n"/>
      <c r="V402" s="69" t="n"/>
      <c r="W402" s="69" t="n"/>
      <c r="X402" s="69" t="n"/>
      <c r="Y402" s="69" t="n"/>
      <c r="Z402" s="69" t="n"/>
      <c r="AA402" s="69" t="n"/>
      <c r="AB402" s="69" t="n"/>
      <c r="AC402" s="69" t="n"/>
      <c r="AD402" s="69" t="n"/>
      <c r="AE402" s="69" t="n"/>
      <c r="AF402" s="69" t="n"/>
      <c r="AG402" s="69" t="n"/>
      <c r="AH402" s="69" t="n"/>
      <c r="AI402" s="69" t="n"/>
      <c r="AJ402" s="69" t="n"/>
      <c r="AK402" s="69" t="n"/>
      <c r="AL402" s="69" t="n"/>
      <c r="AM402" s="69" t="n"/>
      <c r="AN402" s="69" t="n"/>
      <c r="AO402" s="6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  <c r="AA403" s="59" t="n"/>
      <c r="AB403" s="59" t="n"/>
      <c r="AC403" s="59" t="n"/>
      <c r="AD403" s="59" t="n"/>
      <c r="AE403" s="59" t="n"/>
      <c r="AF403" s="59" t="n"/>
      <c r="AG403" s="59" t="n"/>
      <c r="AH403" s="59" t="n"/>
      <c r="AI403" s="59" t="n"/>
      <c r="AJ403" s="59" t="n"/>
      <c r="AK403" s="59" t="n"/>
      <c r="AL403" s="59" t="n"/>
      <c r="AM403" s="59" t="n"/>
      <c r="AN403" s="59" t="n"/>
      <c r="AO403" s="59" t="n"/>
    </row>
    <row r="404">
      <c r="A404" s="69" t="n"/>
      <c r="B404" s="69" t="n"/>
      <c r="C404" s="69" t="n"/>
      <c r="D404" s="69" t="n"/>
      <c r="E404" s="69" t="n"/>
      <c r="F404" s="69" t="n"/>
      <c r="G404" s="69" t="n"/>
      <c r="H404" s="69" t="n"/>
      <c r="I404" s="69" t="n"/>
      <c r="J404" s="69" t="n"/>
      <c r="K404" s="69" t="n"/>
      <c r="L404" s="69" t="n"/>
      <c r="M404" s="69" t="n"/>
      <c r="N404" s="69" t="n"/>
      <c r="O404" s="69" t="n"/>
      <c r="P404" s="69" t="n"/>
      <c r="Q404" s="69" t="n"/>
      <c r="R404" s="69" t="n"/>
      <c r="S404" s="69" t="n"/>
      <c r="T404" s="69" t="n"/>
      <c r="U404" s="69" t="n"/>
      <c r="V404" s="69" t="n"/>
      <c r="W404" s="69" t="n"/>
      <c r="X404" s="69" t="n"/>
      <c r="Y404" s="69" t="n"/>
      <c r="Z404" s="69" t="n"/>
      <c r="AA404" s="69" t="n"/>
      <c r="AB404" s="69" t="n"/>
      <c r="AC404" s="69" t="n"/>
      <c r="AD404" s="69" t="n"/>
      <c r="AE404" s="69" t="n"/>
      <c r="AF404" s="69" t="n"/>
      <c r="AG404" s="69" t="n"/>
      <c r="AH404" s="69" t="n"/>
      <c r="AI404" s="69" t="n"/>
      <c r="AJ404" s="69" t="n"/>
      <c r="AK404" s="69" t="n"/>
      <c r="AL404" s="69" t="n"/>
      <c r="AM404" s="69" t="n"/>
      <c r="AN404" s="69" t="n"/>
      <c r="AO404" s="6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  <c r="AA405" s="59" t="n"/>
      <c r="AB405" s="59" t="n"/>
      <c r="AC405" s="59" t="n"/>
      <c r="AD405" s="59" t="n"/>
      <c r="AE405" s="59" t="n"/>
      <c r="AF405" s="59" t="n"/>
      <c r="AG405" s="59" t="n"/>
      <c r="AH405" s="59" t="n"/>
      <c r="AI405" s="59" t="n"/>
      <c r="AJ405" s="59" t="n"/>
      <c r="AK405" s="59" t="n"/>
      <c r="AL405" s="59" t="n"/>
      <c r="AM405" s="59" t="n"/>
      <c r="AN405" s="59" t="n"/>
      <c r="AO405" s="59" t="n"/>
    </row>
    <row r="406">
      <c r="A406" s="69" t="n"/>
      <c r="B406" s="69" t="n"/>
      <c r="C406" s="69" t="n"/>
      <c r="D406" s="69" t="n"/>
      <c r="E406" s="69" t="n"/>
      <c r="F406" s="69" t="n"/>
      <c r="G406" s="69" t="n"/>
      <c r="H406" s="69" t="n"/>
      <c r="I406" s="69" t="n"/>
      <c r="J406" s="69" t="n"/>
      <c r="K406" s="69" t="n"/>
      <c r="L406" s="69" t="n"/>
      <c r="M406" s="69" t="n"/>
      <c r="N406" s="69" t="n"/>
      <c r="O406" s="69" t="n"/>
      <c r="P406" s="69" t="n"/>
      <c r="Q406" s="69" t="n"/>
      <c r="R406" s="69" t="n"/>
      <c r="S406" s="69" t="n"/>
      <c r="T406" s="69" t="n"/>
      <c r="U406" s="69" t="n"/>
      <c r="V406" s="69" t="n"/>
      <c r="W406" s="69" t="n"/>
      <c r="X406" s="69" t="n"/>
      <c r="Y406" s="69" t="n"/>
      <c r="Z406" s="69" t="n"/>
      <c r="AA406" s="69" t="n"/>
      <c r="AB406" s="69" t="n"/>
      <c r="AC406" s="69" t="n"/>
      <c r="AD406" s="69" t="n"/>
      <c r="AE406" s="69" t="n"/>
      <c r="AF406" s="69" t="n"/>
      <c r="AG406" s="69" t="n"/>
      <c r="AH406" s="69" t="n"/>
      <c r="AI406" s="69" t="n"/>
      <c r="AJ406" s="69" t="n"/>
      <c r="AK406" s="69" t="n"/>
      <c r="AL406" s="69" t="n"/>
      <c r="AM406" s="69" t="n"/>
      <c r="AN406" s="69" t="n"/>
      <c r="AO406" s="6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  <c r="AA407" s="59" t="n"/>
      <c r="AB407" s="59" t="n"/>
      <c r="AC407" s="59" t="n"/>
      <c r="AD407" s="59" t="n"/>
      <c r="AE407" s="59" t="n"/>
      <c r="AF407" s="59" t="n"/>
      <c r="AG407" s="59" t="n"/>
      <c r="AH407" s="59" t="n"/>
      <c r="AI407" s="59" t="n"/>
      <c r="AJ407" s="59" t="n"/>
      <c r="AK407" s="59" t="n"/>
      <c r="AL407" s="59" t="n"/>
      <c r="AM407" s="59" t="n"/>
      <c r="AN407" s="59" t="n"/>
      <c r="AO407" s="59" t="n"/>
    </row>
    <row r="408">
      <c r="A408" s="69" t="n"/>
      <c r="B408" s="69" t="n"/>
      <c r="C408" s="69" t="n"/>
      <c r="D408" s="69" t="n"/>
      <c r="E408" s="69" t="n"/>
      <c r="F408" s="69" t="n"/>
      <c r="G408" s="69" t="n"/>
      <c r="H408" s="69" t="n"/>
      <c r="I408" s="69" t="n"/>
      <c r="J408" s="69" t="n"/>
      <c r="K408" s="69" t="n"/>
      <c r="L408" s="69" t="n"/>
      <c r="M408" s="69" t="n"/>
      <c r="N408" s="69" t="n"/>
      <c r="O408" s="69" t="n"/>
      <c r="P408" s="69" t="n"/>
      <c r="Q408" s="69" t="n"/>
      <c r="R408" s="69" t="n"/>
      <c r="S408" s="69" t="n"/>
      <c r="T408" s="69" t="n"/>
      <c r="U408" s="69" t="n"/>
      <c r="V408" s="69" t="n"/>
      <c r="W408" s="69" t="n"/>
      <c r="X408" s="69" t="n"/>
      <c r="Y408" s="69" t="n"/>
      <c r="Z408" s="69" t="n"/>
      <c r="AA408" s="69" t="n"/>
      <c r="AB408" s="69" t="n"/>
      <c r="AC408" s="69" t="n"/>
      <c r="AD408" s="69" t="n"/>
      <c r="AE408" s="69" t="n"/>
      <c r="AF408" s="69" t="n"/>
      <c r="AG408" s="69" t="n"/>
      <c r="AH408" s="69" t="n"/>
      <c r="AI408" s="69" t="n"/>
      <c r="AJ408" s="69" t="n"/>
      <c r="AK408" s="69" t="n"/>
      <c r="AL408" s="69" t="n"/>
      <c r="AM408" s="69" t="n"/>
      <c r="AN408" s="69" t="n"/>
      <c r="AO408" s="6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  <c r="AA409" s="59" t="n"/>
      <c r="AB409" s="59" t="n"/>
      <c r="AC409" s="59" t="n"/>
      <c r="AD409" s="59" t="n"/>
      <c r="AE409" s="59" t="n"/>
      <c r="AF409" s="59" t="n"/>
      <c r="AG409" s="59" t="n"/>
      <c r="AH409" s="59" t="n"/>
      <c r="AI409" s="59" t="n"/>
      <c r="AJ409" s="59" t="n"/>
      <c r="AK409" s="59" t="n"/>
      <c r="AL409" s="59" t="n"/>
      <c r="AM409" s="59" t="n"/>
      <c r="AN409" s="59" t="n"/>
      <c r="AO409" s="59" t="n"/>
    </row>
    <row r="410">
      <c r="A410" s="69" t="n"/>
      <c r="B410" s="69" t="n"/>
      <c r="C410" s="69" t="n"/>
      <c r="D410" s="69" t="n"/>
      <c r="E410" s="69" t="n"/>
      <c r="F410" s="69" t="n"/>
      <c r="G410" s="69" t="n"/>
      <c r="H410" s="69" t="n"/>
      <c r="I410" s="69" t="n"/>
      <c r="J410" s="69" t="n"/>
      <c r="K410" s="69" t="n"/>
      <c r="L410" s="69" t="n"/>
      <c r="M410" s="69" t="n"/>
      <c r="N410" s="69" t="n"/>
      <c r="O410" s="69" t="n"/>
      <c r="P410" s="69" t="n"/>
      <c r="Q410" s="69" t="n"/>
      <c r="R410" s="69" t="n"/>
      <c r="S410" s="69" t="n"/>
      <c r="T410" s="69" t="n"/>
      <c r="U410" s="69" t="n"/>
      <c r="V410" s="69" t="n"/>
      <c r="W410" s="69" t="n"/>
      <c r="X410" s="69" t="n"/>
      <c r="Y410" s="69" t="n"/>
      <c r="Z410" s="69" t="n"/>
      <c r="AA410" s="69" t="n"/>
      <c r="AB410" s="69" t="n"/>
      <c r="AC410" s="69" t="n"/>
      <c r="AD410" s="69" t="n"/>
      <c r="AE410" s="69" t="n"/>
      <c r="AF410" s="69" t="n"/>
      <c r="AG410" s="69" t="n"/>
      <c r="AH410" s="69" t="n"/>
      <c r="AI410" s="69" t="n"/>
      <c r="AJ410" s="69" t="n"/>
      <c r="AK410" s="69" t="n"/>
      <c r="AL410" s="69" t="n"/>
      <c r="AM410" s="69" t="n"/>
      <c r="AN410" s="69" t="n"/>
      <c r="AO410" s="6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  <c r="AA411" s="59" t="n"/>
      <c r="AB411" s="59" t="n"/>
      <c r="AC411" s="59" t="n"/>
      <c r="AD411" s="59" t="n"/>
      <c r="AE411" s="59" t="n"/>
      <c r="AF411" s="59" t="n"/>
      <c r="AG411" s="59" t="n"/>
      <c r="AH411" s="59" t="n"/>
      <c r="AI411" s="59" t="n"/>
      <c r="AJ411" s="59" t="n"/>
      <c r="AK411" s="59" t="n"/>
      <c r="AL411" s="59" t="n"/>
      <c r="AM411" s="59" t="n"/>
      <c r="AN411" s="59" t="n"/>
      <c r="AO411" s="59" t="n"/>
    </row>
    <row r="412">
      <c r="A412" s="69" t="n"/>
      <c r="B412" s="69" t="n"/>
      <c r="C412" s="69" t="n"/>
      <c r="D412" s="69" t="n"/>
      <c r="E412" s="69" t="n"/>
      <c r="F412" s="69" t="n"/>
      <c r="G412" s="69" t="n"/>
      <c r="H412" s="69" t="n"/>
      <c r="I412" s="69" t="n"/>
      <c r="J412" s="69" t="n"/>
      <c r="K412" s="69" t="n"/>
      <c r="L412" s="69" t="n"/>
      <c r="M412" s="69" t="n"/>
      <c r="N412" s="69" t="n"/>
      <c r="O412" s="69" t="n"/>
      <c r="P412" s="69" t="n"/>
      <c r="Q412" s="69" t="n"/>
      <c r="R412" s="69" t="n"/>
      <c r="S412" s="69" t="n"/>
      <c r="T412" s="69" t="n"/>
      <c r="U412" s="69" t="n"/>
      <c r="V412" s="69" t="n"/>
      <c r="W412" s="69" t="n"/>
      <c r="X412" s="69" t="n"/>
      <c r="Y412" s="69" t="n"/>
      <c r="Z412" s="69" t="n"/>
      <c r="AA412" s="69" t="n"/>
      <c r="AB412" s="69" t="n"/>
      <c r="AC412" s="69" t="n"/>
      <c r="AD412" s="69" t="n"/>
      <c r="AE412" s="69" t="n"/>
      <c r="AF412" s="69" t="n"/>
      <c r="AG412" s="69" t="n"/>
      <c r="AH412" s="69" t="n"/>
      <c r="AI412" s="69" t="n"/>
      <c r="AJ412" s="69" t="n"/>
      <c r="AK412" s="69" t="n"/>
      <c r="AL412" s="69" t="n"/>
      <c r="AM412" s="69" t="n"/>
      <c r="AN412" s="69" t="n"/>
      <c r="AO412" s="6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  <c r="AA413" s="59" t="n"/>
      <c r="AB413" s="59" t="n"/>
      <c r="AC413" s="59" t="n"/>
      <c r="AD413" s="59" t="n"/>
      <c r="AE413" s="59" t="n"/>
      <c r="AF413" s="59" t="n"/>
      <c r="AG413" s="59" t="n"/>
      <c r="AH413" s="59" t="n"/>
      <c r="AI413" s="59" t="n"/>
      <c r="AJ413" s="59" t="n"/>
      <c r="AK413" s="59" t="n"/>
      <c r="AL413" s="59" t="n"/>
      <c r="AM413" s="59" t="n"/>
      <c r="AN413" s="59" t="n"/>
      <c r="AO413" s="59" t="n"/>
    </row>
    <row r="414">
      <c r="A414" s="69" t="n"/>
      <c r="B414" s="69" t="n"/>
      <c r="C414" s="69" t="n"/>
      <c r="D414" s="69" t="n"/>
      <c r="E414" s="69" t="n"/>
      <c r="F414" s="69" t="n"/>
      <c r="G414" s="69" t="n"/>
      <c r="H414" s="69" t="n"/>
      <c r="I414" s="69" t="n"/>
      <c r="J414" s="69" t="n"/>
      <c r="K414" s="69" t="n"/>
      <c r="L414" s="69" t="n"/>
      <c r="M414" s="69" t="n"/>
      <c r="N414" s="69" t="n"/>
      <c r="O414" s="69" t="n"/>
      <c r="P414" s="69" t="n"/>
      <c r="Q414" s="69" t="n"/>
      <c r="R414" s="69" t="n"/>
      <c r="S414" s="69" t="n"/>
      <c r="T414" s="69" t="n"/>
      <c r="U414" s="69" t="n"/>
      <c r="V414" s="69" t="n"/>
      <c r="W414" s="69" t="n"/>
      <c r="X414" s="69" t="n"/>
      <c r="Y414" s="69" t="n"/>
      <c r="Z414" s="69" t="n"/>
      <c r="AA414" s="69" t="n"/>
      <c r="AB414" s="69" t="n"/>
      <c r="AC414" s="69" t="n"/>
      <c r="AD414" s="69" t="n"/>
      <c r="AE414" s="69" t="n"/>
      <c r="AF414" s="69" t="n"/>
      <c r="AG414" s="69" t="n"/>
      <c r="AH414" s="69" t="n"/>
      <c r="AI414" s="69" t="n"/>
      <c r="AJ414" s="69" t="n"/>
      <c r="AK414" s="69" t="n"/>
      <c r="AL414" s="69" t="n"/>
      <c r="AM414" s="69" t="n"/>
      <c r="AN414" s="69" t="n"/>
      <c r="AO414" s="6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  <c r="AA415" s="59" t="n"/>
      <c r="AB415" s="59" t="n"/>
      <c r="AC415" s="59" t="n"/>
      <c r="AD415" s="59" t="n"/>
      <c r="AE415" s="59" t="n"/>
      <c r="AF415" s="59" t="n"/>
      <c r="AG415" s="59" t="n"/>
      <c r="AH415" s="59" t="n"/>
      <c r="AI415" s="59" t="n"/>
      <c r="AJ415" s="59" t="n"/>
      <c r="AK415" s="59" t="n"/>
      <c r="AL415" s="59" t="n"/>
      <c r="AM415" s="59" t="n"/>
      <c r="AN415" s="59" t="n"/>
      <c r="AO415" s="59" t="n"/>
    </row>
    <row r="416">
      <c r="A416" s="69" t="n"/>
      <c r="B416" s="69" t="n"/>
      <c r="C416" s="69" t="n"/>
      <c r="D416" s="69" t="n"/>
      <c r="E416" s="69" t="n"/>
      <c r="F416" s="69" t="n"/>
      <c r="G416" s="69" t="n"/>
      <c r="H416" s="69" t="n"/>
      <c r="I416" s="69" t="n"/>
      <c r="J416" s="69" t="n"/>
      <c r="K416" s="69" t="n"/>
      <c r="L416" s="69" t="n"/>
      <c r="M416" s="69" t="n"/>
      <c r="N416" s="69" t="n"/>
      <c r="O416" s="69" t="n"/>
      <c r="P416" s="69" t="n"/>
      <c r="Q416" s="69" t="n"/>
      <c r="R416" s="69" t="n"/>
      <c r="S416" s="69" t="n"/>
      <c r="T416" s="69" t="n"/>
      <c r="U416" s="69" t="n"/>
      <c r="V416" s="69" t="n"/>
      <c r="W416" s="69" t="n"/>
      <c r="X416" s="69" t="n"/>
      <c r="Y416" s="69" t="n"/>
      <c r="Z416" s="69" t="n"/>
      <c r="AA416" s="69" t="n"/>
      <c r="AB416" s="69" t="n"/>
      <c r="AC416" s="69" t="n"/>
      <c r="AD416" s="69" t="n"/>
      <c r="AE416" s="69" t="n"/>
      <c r="AF416" s="69" t="n"/>
      <c r="AG416" s="69" t="n"/>
      <c r="AH416" s="69" t="n"/>
      <c r="AI416" s="69" t="n"/>
      <c r="AJ416" s="69" t="n"/>
      <c r="AK416" s="69" t="n"/>
      <c r="AL416" s="69" t="n"/>
      <c r="AM416" s="69" t="n"/>
      <c r="AN416" s="69" t="n"/>
      <c r="AO416" s="6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  <c r="AA417" s="59" t="n"/>
      <c r="AB417" s="59" t="n"/>
      <c r="AC417" s="59" t="n"/>
      <c r="AD417" s="59" t="n"/>
      <c r="AE417" s="59" t="n"/>
      <c r="AF417" s="59" t="n"/>
      <c r="AG417" s="59" t="n"/>
      <c r="AH417" s="59" t="n"/>
      <c r="AI417" s="59" t="n"/>
      <c r="AJ417" s="59" t="n"/>
      <c r="AK417" s="59" t="n"/>
      <c r="AL417" s="59" t="n"/>
      <c r="AM417" s="59" t="n"/>
      <c r="AN417" s="59" t="n"/>
      <c r="AO417" s="59" t="n"/>
    </row>
    <row r="418">
      <c r="A418" s="69" t="n"/>
      <c r="B418" s="69" t="n"/>
      <c r="C418" s="69" t="n"/>
      <c r="D418" s="69" t="n"/>
      <c r="E418" s="69" t="n"/>
      <c r="F418" s="69" t="n"/>
      <c r="G418" s="69" t="n"/>
      <c r="H418" s="69" t="n"/>
      <c r="I418" s="69" t="n"/>
      <c r="J418" s="69" t="n"/>
      <c r="K418" s="69" t="n"/>
      <c r="L418" s="69" t="n"/>
      <c r="M418" s="69" t="n"/>
      <c r="N418" s="69" t="n"/>
      <c r="O418" s="69" t="n"/>
      <c r="P418" s="69" t="n"/>
      <c r="Q418" s="69" t="n"/>
      <c r="R418" s="69" t="n"/>
      <c r="S418" s="69" t="n"/>
      <c r="T418" s="69" t="n"/>
      <c r="U418" s="69" t="n"/>
      <c r="V418" s="69" t="n"/>
      <c r="W418" s="69" t="n"/>
      <c r="X418" s="69" t="n"/>
      <c r="Y418" s="69" t="n"/>
      <c r="Z418" s="69" t="n"/>
      <c r="AA418" s="69" t="n"/>
      <c r="AB418" s="69" t="n"/>
      <c r="AC418" s="69" t="n"/>
      <c r="AD418" s="69" t="n"/>
      <c r="AE418" s="69" t="n"/>
      <c r="AF418" s="69" t="n"/>
      <c r="AG418" s="69" t="n"/>
      <c r="AH418" s="69" t="n"/>
      <c r="AI418" s="69" t="n"/>
      <c r="AJ418" s="69" t="n"/>
      <c r="AK418" s="69" t="n"/>
      <c r="AL418" s="69" t="n"/>
      <c r="AM418" s="69" t="n"/>
      <c r="AN418" s="69" t="n"/>
      <c r="AO418" s="6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  <c r="AA419" s="59" t="n"/>
      <c r="AB419" s="59" t="n"/>
      <c r="AC419" s="59" t="n"/>
      <c r="AD419" s="59" t="n"/>
      <c r="AE419" s="59" t="n"/>
      <c r="AF419" s="59" t="n"/>
      <c r="AG419" s="59" t="n"/>
      <c r="AH419" s="59" t="n"/>
      <c r="AI419" s="59" t="n"/>
      <c r="AJ419" s="59" t="n"/>
      <c r="AK419" s="59" t="n"/>
      <c r="AL419" s="59" t="n"/>
      <c r="AM419" s="59" t="n"/>
      <c r="AN419" s="59" t="n"/>
      <c r="AO419" s="59" t="n"/>
    </row>
    <row r="420">
      <c r="A420" s="69" t="n"/>
      <c r="B420" s="69" t="n"/>
      <c r="C420" s="69" t="n"/>
      <c r="D420" s="69" t="n"/>
      <c r="E420" s="69" t="n"/>
      <c r="F420" s="69" t="n"/>
      <c r="G420" s="69" t="n"/>
      <c r="H420" s="69" t="n"/>
      <c r="I420" s="69" t="n"/>
      <c r="J420" s="69" t="n"/>
      <c r="K420" s="69" t="n"/>
      <c r="L420" s="69" t="n"/>
      <c r="M420" s="69" t="n"/>
      <c r="N420" s="69" t="n"/>
      <c r="O420" s="69" t="n"/>
      <c r="P420" s="69" t="n"/>
      <c r="Q420" s="69" t="n"/>
      <c r="R420" s="69" t="n"/>
      <c r="S420" s="69" t="n"/>
      <c r="T420" s="69" t="n"/>
      <c r="U420" s="69" t="n"/>
      <c r="V420" s="69" t="n"/>
      <c r="W420" s="69" t="n"/>
      <c r="X420" s="69" t="n"/>
      <c r="Y420" s="69" t="n"/>
      <c r="Z420" s="69" t="n"/>
      <c r="AA420" s="69" t="n"/>
      <c r="AB420" s="69" t="n"/>
      <c r="AC420" s="69" t="n"/>
      <c r="AD420" s="69" t="n"/>
      <c r="AE420" s="69" t="n"/>
      <c r="AF420" s="69" t="n"/>
      <c r="AG420" s="69" t="n"/>
      <c r="AH420" s="69" t="n"/>
      <c r="AI420" s="69" t="n"/>
      <c r="AJ420" s="69" t="n"/>
      <c r="AK420" s="69" t="n"/>
      <c r="AL420" s="69" t="n"/>
      <c r="AM420" s="69" t="n"/>
      <c r="AN420" s="69" t="n"/>
      <c r="AO420" s="6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  <c r="AA421" s="59" t="n"/>
      <c r="AB421" s="59" t="n"/>
      <c r="AC421" s="59" t="n"/>
      <c r="AD421" s="59" t="n"/>
      <c r="AE421" s="59" t="n"/>
      <c r="AF421" s="59" t="n"/>
      <c r="AG421" s="59" t="n"/>
      <c r="AH421" s="59" t="n"/>
      <c r="AI421" s="59" t="n"/>
      <c r="AJ421" s="59" t="n"/>
      <c r="AK421" s="59" t="n"/>
      <c r="AL421" s="59" t="n"/>
      <c r="AM421" s="59" t="n"/>
      <c r="AN421" s="59" t="n"/>
      <c r="AO421" s="59" t="n"/>
    </row>
    <row r="422">
      <c r="A422" s="69" t="n"/>
      <c r="B422" s="69" t="n"/>
      <c r="C422" s="69" t="n"/>
      <c r="D422" s="69" t="n"/>
      <c r="E422" s="69" t="n"/>
      <c r="F422" s="69" t="n"/>
      <c r="G422" s="69" t="n"/>
      <c r="H422" s="69" t="n"/>
      <c r="I422" s="69" t="n"/>
      <c r="J422" s="69" t="n"/>
      <c r="K422" s="69" t="n"/>
      <c r="L422" s="69" t="n"/>
      <c r="M422" s="69" t="n"/>
      <c r="N422" s="69" t="n"/>
      <c r="O422" s="69" t="n"/>
      <c r="P422" s="69" t="n"/>
      <c r="Q422" s="69" t="n"/>
      <c r="R422" s="69" t="n"/>
      <c r="S422" s="69" t="n"/>
      <c r="T422" s="69" t="n"/>
      <c r="U422" s="69" t="n"/>
      <c r="V422" s="69" t="n"/>
      <c r="W422" s="69" t="n"/>
      <c r="X422" s="69" t="n"/>
      <c r="Y422" s="69" t="n"/>
      <c r="Z422" s="69" t="n"/>
      <c r="AA422" s="69" t="n"/>
      <c r="AB422" s="69" t="n"/>
      <c r="AC422" s="69" t="n"/>
      <c r="AD422" s="69" t="n"/>
      <c r="AE422" s="69" t="n"/>
      <c r="AF422" s="69" t="n"/>
      <c r="AG422" s="69" t="n"/>
      <c r="AH422" s="69" t="n"/>
      <c r="AI422" s="69" t="n"/>
      <c r="AJ422" s="69" t="n"/>
      <c r="AK422" s="69" t="n"/>
      <c r="AL422" s="69" t="n"/>
      <c r="AM422" s="69" t="n"/>
      <c r="AN422" s="69" t="n"/>
      <c r="AO422" s="6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  <c r="AA423" s="59" t="n"/>
      <c r="AB423" s="59" t="n"/>
      <c r="AC423" s="59" t="n"/>
      <c r="AD423" s="59" t="n"/>
      <c r="AE423" s="59" t="n"/>
      <c r="AF423" s="59" t="n"/>
      <c r="AG423" s="59" t="n"/>
      <c r="AH423" s="59" t="n"/>
      <c r="AI423" s="59" t="n"/>
      <c r="AJ423" s="59" t="n"/>
      <c r="AK423" s="59" t="n"/>
      <c r="AL423" s="59" t="n"/>
      <c r="AM423" s="59" t="n"/>
      <c r="AN423" s="59" t="n"/>
      <c r="AO423" s="59" t="n"/>
    </row>
    <row r="424">
      <c r="A424" s="69" t="n"/>
      <c r="B424" s="69" t="n"/>
      <c r="C424" s="69" t="n"/>
      <c r="D424" s="69" t="n"/>
      <c r="E424" s="69" t="n"/>
      <c r="F424" s="69" t="n"/>
      <c r="G424" s="69" t="n"/>
      <c r="H424" s="69" t="n"/>
      <c r="I424" s="69" t="n"/>
      <c r="J424" s="69" t="n"/>
      <c r="K424" s="69" t="n"/>
      <c r="L424" s="69" t="n"/>
      <c r="M424" s="69" t="n"/>
      <c r="N424" s="69" t="n"/>
      <c r="O424" s="69" t="n"/>
      <c r="P424" s="69" t="n"/>
      <c r="Q424" s="69" t="n"/>
      <c r="R424" s="69" t="n"/>
      <c r="S424" s="69" t="n"/>
      <c r="T424" s="69" t="n"/>
      <c r="U424" s="69" t="n"/>
      <c r="V424" s="69" t="n"/>
      <c r="W424" s="69" t="n"/>
      <c r="X424" s="69" t="n"/>
      <c r="Y424" s="69" t="n"/>
      <c r="Z424" s="69" t="n"/>
      <c r="AA424" s="69" t="n"/>
      <c r="AB424" s="69" t="n"/>
      <c r="AC424" s="69" t="n"/>
      <c r="AD424" s="69" t="n"/>
      <c r="AE424" s="69" t="n"/>
      <c r="AF424" s="69" t="n"/>
      <c r="AG424" s="69" t="n"/>
      <c r="AH424" s="69" t="n"/>
      <c r="AI424" s="69" t="n"/>
      <c r="AJ424" s="69" t="n"/>
      <c r="AK424" s="69" t="n"/>
      <c r="AL424" s="69" t="n"/>
      <c r="AM424" s="69" t="n"/>
      <c r="AN424" s="69" t="n"/>
      <c r="AO424" s="6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  <c r="AA425" s="59" t="n"/>
      <c r="AB425" s="59" t="n"/>
      <c r="AC425" s="59" t="n"/>
      <c r="AD425" s="59" t="n"/>
      <c r="AE425" s="59" t="n"/>
      <c r="AF425" s="59" t="n"/>
      <c r="AG425" s="59" t="n"/>
      <c r="AH425" s="59" t="n"/>
      <c r="AI425" s="59" t="n"/>
      <c r="AJ425" s="59" t="n"/>
      <c r="AK425" s="59" t="n"/>
      <c r="AL425" s="59" t="n"/>
      <c r="AM425" s="59" t="n"/>
      <c r="AN425" s="59" t="n"/>
      <c r="AO425" s="59" t="n"/>
    </row>
    <row r="426">
      <c r="A426" s="69" t="n"/>
      <c r="B426" s="69" t="n"/>
      <c r="C426" s="69" t="n"/>
      <c r="D426" s="69" t="n"/>
      <c r="E426" s="69" t="n"/>
      <c r="F426" s="69" t="n"/>
      <c r="G426" s="69" t="n"/>
      <c r="H426" s="69" t="n"/>
      <c r="I426" s="69" t="n"/>
      <c r="J426" s="69" t="n"/>
      <c r="K426" s="69" t="n"/>
      <c r="L426" s="69" t="n"/>
      <c r="M426" s="69" t="n"/>
      <c r="N426" s="69" t="n"/>
      <c r="O426" s="69" t="n"/>
      <c r="P426" s="69" t="n"/>
      <c r="Q426" s="69" t="n"/>
      <c r="R426" s="69" t="n"/>
      <c r="S426" s="69" t="n"/>
      <c r="T426" s="69" t="n"/>
      <c r="U426" s="69" t="n"/>
      <c r="V426" s="69" t="n"/>
      <c r="W426" s="69" t="n"/>
      <c r="X426" s="69" t="n"/>
      <c r="Y426" s="69" t="n"/>
      <c r="Z426" s="69" t="n"/>
      <c r="AA426" s="69" t="n"/>
      <c r="AB426" s="69" t="n"/>
      <c r="AC426" s="69" t="n"/>
      <c r="AD426" s="69" t="n"/>
      <c r="AE426" s="69" t="n"/>
      <c r="AF426" s="69" t="n"/>
      <c r="AG426" s="69" t="n"/>
      <c r="AH426" s="69" t="n"/>
      <c r="AI426" s="69" t="n"/>
      <c r="AJ426" s="69" t="n"/>
      <c r="AK426" s="69" t="n"/>
      <c r="AL426" s="69" t="n"/>
      <c r="AM426" s="69" t="n"/>
      <c r="AN426" s="69" t="n"/>
      <c r="AO426" s="6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  <c r="AA427" s="59" t="n"/>
      <c r="AB427" s="59" t="n"/>
      <c r="AC427" s="59" t="n"/>
      <c r="AD427" s="59" t="n"/>
      <c r="AE427" s="59" t="n"/>
      <c r="AF427" s="59" t="n"/>
      <c r="AG427" s="59" t="n"/>
      <c r="AH427" s="59" t="n"/>
      <c r="AI427" s="59" t="n"/>
      <c r="AJ427" s="59" t="n"/>
      <c r="AK427" s="59" t="n"/>
      <c r="AL427" s="59" t="n"/>
      <c r="AM427" s="59" t="n"/>
      <c r="AN427" s="59" t="n"/>
      <c r="AO427" s="59" t="n"/>
    </row>
    <row r="428">
      <c r="A428" s="69" t="n"/>
      <c r="B428" s="69" t="n"/>
      <c r="C428" s="69" t="n"/>
      <c r="D428" s="69" t="n"/>
      <c r="E428" s="69" t="n"/>
      <c r="F428" s="69" t="n"/>
      <c r="G428" s="69" t="n"/>
      <c r="H428" s="69" t="n"/>
      <c r="I428" s="69" t="n"/>
      <c r="J428" s="69" t="n"/>
      <c r="K428" s="69" t="n"/>
      <c r="L428" s="69" t="n"/>
      <c r="M428" s="69" t="n"/>
      <c r="N428" s="69" t="n"/>
      <c r="O428" s="69" t="n"/>
      <c r="P428" s="69" t="n"/>
      <c r="Q428" s="69" t="n"/>
      <c r="R428" s="69" t="n"/>
      <c r="S428" s="69" t="n"/>
      <c r="T428" s="69" t="n"/>
      <c r="U428" s="69" t="n"/>
      <c r="V428" s="69" t="n"/>
      <c r="W428" s="69" t="n"/>
      <c r="X428" s="69" t="n"/>
      <c r="Y428" s="69" t="n"/>
      <c r="Z428" s="69" t="n"/>
      <c r="AA428" s="69" t="n"/>
      <c r="AB428" s="69" t="n"/>
      <c r="AC428" s="69" t="n"/>
      <c r="AD428" s="69" t="n"/>
      <c r="AE428" s="69" t="n"/>
      <c r="AF428" s="69" t="n"/>
      <c r="AG428" s="69" t="n"/>
      <c r="AH428" s="69" t="n"/>
      <c r="AI428" s="69" t="n"/>
      <c r="AJ428" s="69" t="n"/>
      <c r="AK428" s="69" t="n"/>
      <c r="AL428" s="69" t="n"/>
      <c r="AM428" s="69" t="n"/>
      <c r="AN428" s="69" t="n"/>
      <c r="AO428" s="6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  <c r="AA429" s="59" t="n"/>
      <c r="AB429" s="59" t="n"/>
      <c r="AC429" s="59" t="n"/>
      <c r="AD429" s="59" t="n"/>
      <c r="AE429" s="59" t="n"/>
      <c r="AF429" s="59" t="n"/>
      <c r="AG429" s="59" t="n"/>
      <c r="AH429" s="59" t="n"/>
      <c r="AI429" s="59" t="n"/>
      <c r="AJ429" s="59" t="n"/>
      <c r="AK429" s="59" t="n"/>
      <c r="AL429" s="59" t="n"/>
      <c r="AM429" s="59" t="n"/>
      <c r="AN429" s="59" t="n"/>
      <c r="AO429" s="59" t="n"/>
    </row>
    <row r="430">
      <c r="A430" s="69" t="n"/>
      <c r="B430" s="69" t="n"/>
      <c r="C430" s="69" t="n"/>
      <c r="D430" s="69" t="n"/>
      <c r="E430" s="69" t="n"/>
      <c r="F430" s="69" t="n"/>
      <c r="G430" s="69" t="n"/>
      <c r="H430" s="69" t="n"/>
      <c r="I430" s="69" t="n"/>
      <c r="J430" s="69" t="n"/>
      <c r="K430" s="69" t="n"/>
      <c r="L430" s="69" t="n"/>
      <c r="M430" s="69" t="n"/>
      <c r="N430" s="69" t="n"/>
      <c r="O430" s="69" t="n"/>
      <c r="P430" s="69" t="n"/>
      <c r="Q430" s="69" t="n"/>
      <c r="R430" s="69" t="n"/>
      <c r="S430" s="69" t="n"/>
      <c r="T430" s="69" t="n"/>
      <c r="U430" s="69" t="n"/>
      <c r="V430" s="69" t="n"/>
      <c r="W430" s="69" t="n"/>
      <c r="X430" s="69" t="n"/>
      <c r="Y430" s="69" t="n"/>
      <c r="Z430" s="69" t="n"/>
      <c r="AA430" s="69" t="n"/>
      <c r="AB430" s="69" t="n"/>
      <c r="AC430" s="69" t="n"/>
      <c r="AD430" s="69" t="n"/>
      <c r="AE430" s="69" t="n"/>
      <c r="AF430" s="69" t="n"/>
      <c r="AG430" s="69" t="n"/>
      <c r="AH430" s="69" t="n"/>
      <c r="AI430" s="69" t="n"/>
      <c r="AJ430" s="69" t="n"/>
      <c r="AK430" s="69" t="n"/>
      <c r="AL430" s="69" t="n"/>
      <c r="AM430" s="69" t="n"/>
      <c r="AN430" s="69" t="n"/>
      <c r="AO430" s="6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  <c r="AA431" s="59" t="n"/>
      <c r="AB431" s="59" t="n"/>
      <c r="AC431" s="59" t="n"/>
      <c r="AD431" s="59" t="n"/>
      <c r="AE431" s="59" t="n"/>
      <c r="AF431" s="59" t="n"/>
      <c r="AG431" s="59" t="n"/>
      <c r="AH431" s="59" t="n"/>
      <c r="AI431" s="59" t="n"/>
      <c r="AJ431" s="59" t="n"/>
      <c r="AK431" s="59" t="n"/>
      <c r="AL431" s="59" t="n"/>
      <c r="AM431" s="59" t="n"/>
      <c r="AN431" s="59" t="n"/>
      <c r="AO431" s="59" t="n"/>
    </row>
    <row r="432">
      <c r="A432" s="69" t="n"/>
      <c r="B432" s="69" t="n"/>
      <c r="C432" s="69" t="n"/>
      <c r="D432" s="69" t="n"/>
      <c r="E432" s="69" t="n"/>
      <c r="F432" s="69" t="n"/>
      <c r="G432" s="69" t="n"/>
      <c r="H432" s="69" t="n"/>
      <c r="I432" s="69" t="n"/>
      <c r="J432" s="69" t="n"/>
      <c r="K432" s="69" t="n"/>
      <c r="L432" s="69" t="n"/>
      <c r="M432" s="69" t="n"/>
      <c r="N432" s="69" t="n"/>
      <c r="O432" s="69" t="n"/>
      <c r="P432" s="69" t="n"/>
      <c r="Q432" s="69" t="n"/>
      <c r="R432" s="69" t="n"/>
      <c r="S432" s="69" t="n"/>
      <c r="T432" s="69" t="n"/>
      <c r="U432" s="69" t="n"/>
      <c r="V432" s="69" t="n"/>
      <c r="W432" s="69" t="n"/>
      <c r="X432" s="69" t="n"/>
      <c r="Y432" s="69" t="n"/>
      <c r="Z432" s="69" t="n"/>
      <c r="AA432" s="69" t="n"/>
      <c r="AB432" s="69" t="n"/>
      <c r="AC432" s="69" t="n"/>
      <c r="AD432" s="69" t="n"/>
      <c r="AE432" s="69" t="n"/>
      <c r="AF432" s="69" t="n"/>
      <c r="AG432" s="69" t="n"/>
      <c r="AH432" s="69" t="n"/>
      <c r="AI432" s="69" t="n"/>
      <c r="AJ432" s="69" t="n"/>
      <c r="AK432" s="69" t="n"/>
      <c r="AL432" s="69" t="n"/>
      <c r="AM432" s="69" t="n"/>
      <c r="AN432" s="69" t="n"/>
      <c r="AO432" s="6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  <c r="AA433" s="59" t="n"/>
      <c r="AB433" s="59" t="n"/>
      <c r="AC433" s="59" t="n"/>
      <c r="AD433" s="59" t="n"/>
      <c r="AE433" s="59" t="n"/>
      <c r="AF433" s="59" t="n"/>
      <c r="AG433" s="59" t="n"/>
      <c r="AH433" s="59" t="n"/>
      <c r="AI433" s="59" t="n"/>
      <c r="AJ433" s="59" t="n"/>
      <c r="AK433" s="59" t="n"/>
      <c r="AL433" s="59" t="n"/>
      <c r="AM433" s="59" t="n"/>
      <c r="AN433" s="59" t="n"/>
      <c r="AO433" s="59" t="n"/>
    </row>
    <row r="434">
      <c r="A434" s="69" t="n"/>
      <c r="B434" s="69" t="n"/>
      <c r="C434" s="69" t="n"/>
      <c r="D434" s="69" t="n"/>
      <c r="E434" s="69" t="n"/>
      <c r="F434" s="69" t="n"/>
      <c r="G434" s="69" t="n"/>
      <c r="H434" s="69" t="n"/>
      <c r="I434" s="69" t="n"/>
      <c r="J434" s="69" t="n"/>
      <c r="K434" s="69" t="n"/>
      <c r="L434" s="69" t="n"/>
      <c r="M434" s="69" t="n"/>
      <c r="N434" s="69" t="n"/>
      <c r="O434" s="69" t="n"/>
      <c r="P434" s="69" t="n"/>
      <c r="Q434" s="69" t="n"/>
      <c r="R434" s="69" t="n"/>
      <c r="S434" s="69" t="n"/>
      <c r="T434" s="69" t="n"/>
      <c r="U434" s="69" t="n"/>
      <c r="V434" s="69" t="n"/>
      <c r="W434" s="69" t="n"/>
      <c r="X434" s="69" t="n"/>
      <c r="Y434" s="69" t="n"/>
      <c r="Z434" s="69" t="n"/>
      <c r="AA434" s="69" t="n"/>
      <c r="AB434" s="69" t="n"/>
      <c r="AC434" s="69" t="n"/>
      <c r="AD434" s="69" t="n"/>
      <c r="AE434" s="69" t="n"/>
      <c r="AF434" s="69" t="n"/>
      <c r="AG434" s="69" t="n"/>
      <c r="AH434" s="69" t="n"/>
      <c r="AI434" s="69" t="n"/>
      <c r="AJ434" s="69" t="n"/>
      <c r="AK434" s="69" t="n"/>
      <c r="AL434" s="69" t="n"/>
      <c r="AM434" s="69" t="n"/>
      <c r="AN434" s="69" t="n"/>
      <c r="AO434" s="6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  <c r="AA435" s="59" t="n"/>
      <c r="AB435" s="59" t="n"/>
      <c r="AC435" s="59" t="n"/>
      <c r="AD435" s="59" t="n"/>
      <c r="AE435" s="59" t="n"/>
      <c r="AF435" s="59" t="n"/>
      <c r="AG435" s="59" t="n"/>
      <c r="AH435" s="59" t="n"/>
      <c r="AI435" s="59" t="n"/>
      <c r="AJ435" s="59" t="n"/>
      <c r="AK435" s="59" t="n"/>
      <c r="AL435" s="59" t="n"/>
      <c r="AM435" s="59" t="n"/>
      <c r="AN435" s="59" t="n"/>
      <c r="AO435" s="59" t="n"/>
    </row>
    <row r="436">
      <c r="A436" s="69" t="n"/>
      <c r="B436" s="69" t="n"/>
      <c r="C436" s="69" t="n"/>
      <c r="D436" s="69" t="n"/>
      <c r="E436" s="69" t="n"/>
      <c r="F436" s="69" t="n"/>
      <c r="G436" s="69" t="n"/>
      <c r="H436" s="69" t="n"/>
      <c r="I436" s="69" t="n"/>
      <c r="J436" s="69" t="n"/>
      <c r="K436" s="69" t="n"/>
      <c r="L436" s="69" t="n"/>
      <c r="M436" s="69" t="n"/>
      <c r="N436" s="69" t="n"/>
      <c r="O436" s="69" t="n"/>
      <c r="P436" s="69" t="n"/>
      <c r="Q436" s="69" t="n"/>
      <c r="R436" s="69" t="n"/>
      <c r="S436" s="69" t="n"/>
      <c r="T436" s="69" t="n"/>
      <c r="U436" s="69" t="n"/>
      <c r="V436" s="69" t="n"/>
      <c r="W436" s="69" t="n"/>
      <c r="X436" s="69" t="n"/>
      <c r="Y436" s="69" t="n"/>
      <c r="Z436" s="69" t="n"/>
      <c r="AA436" s="69" t="n"/>
      <c r="AB436" s="69" t="n"/>
      <c r="AC436" s="69" t="n"/>
      <c r="AD436" s="69" t="n"/>
      <c r="AE436" s="69" t="n"/>
      <c r="AF436" s="69" t="n"/>
      <c r="AG436" s="69" t="n"/>
      <c r="AH436" s="69" t="n"/>
      <c r="AI436" s="69" t="n"/>
      <c r="AJ436" s="69" t="n"/>
      <c r="AK436" s="69" t="n"/>
      <c r="AL436" s="69" t="n"/>
      <c r="AM436" s="69" t="n"/>
      <c r="AN436" s="69" t="n"/>
      <c r="AO436" s="6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  <c r="AA437" s="59" t="n"/>
      <c r="AB437" s="59" t="n"/>
      <c r="AC437" s="59" t="n"/>
      <c r="AD437" s="59" t="n"/>
      <c r="AE437" s="59" t="n"/>
      <c r="AF437" s="59" t="n"/>
      <c r="AG437" s="59" t="n"/>
      <c r="AH437" s="59" t="n"/>
      <c r="AI437" s="59" t="n"/>
      <c r="AJ437" s="59" t="n"/>
      <c r="AK437" s="59" t="n"/>
      <c r="AL437" s="59" t="n"/>
      <c r="AM437" s="59" t="n"/>
      <c r="AN437" s="59" t="n"/>
      <c r="AO437" s="59" t="n"/>
    </row>
    <row r="438">
      <c r="A438" s="69" t="n"/>
      <c r="B438" s="69" t="n"/>
      <c r="C438" s="69" t="n"/>
      <c r="D438" s="69" t="n"/>
      <c r="E438" s="69" t="n"/>
      <c r="F438" s="69" t="n"/>
      <c r="G438" s="69" t="n"/>
      <c r="H438" s="69" t="n"/>
      <c r="I438" s="69" t="n"/>
      <c r="J438" s="69" t="n"/>
      <c r="K438" s="69" t="n"/>
      <c r="L438" s="69" t="n"/>
      <c r="M438" s="69" t="n"/>
      <c r="N438" s="69" t="n"/>
      <c r="O438" s="69" t="n"/>
      <c r="P438" s="69" t="n"/>
      <c r="Q438" s="69" t="n"/>
      <c r="R438" s="69" t="n"/>
      <c r="S438" s="69" t="n"/>
      <c r="T438" s="69" t="n"/>
      <c r="U438" s="69" t="n"/>
      <c r="V438" s="69" t="n"/>
      <c r="W438" s="69" t="n"/>
      <c r="X438" s="69" t="n"/>
      <c r="Y438" s="69" t="n"/>
      <c r="Z438" s="69" t="n"/>
      <c r="AA438" s="69" t="n"/>
      <c r="AB438" s="69" t="n"/>
      <c r="AC438" s="69" t="n"/>
      <c r="AD438" s="69" t="n"/>
      <c r="AE438" s="69" t="n"/>
      <c r="AF438" s="69" t="n"/>
      <c r="AG438" s="69" t="n"/>
      <c r="AH438" s="69" t="n"/>
      <c r="AI438" s="69" t="n"/>
      <c r="AJ438" s="69" t="n"/>
      <c r="AK438" s="69" t="n"/>
      <c r="AL438" s="69" t="n"/>
      <c r="AM438" s="69" t="n"/>
      <c r="AN438" s="69" t="n"/>
      <c r="AO438" s="6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  <c r="AA439" s="59" t="n"/>
      <c r="AB439" s="59" t="n"/>
      <c r="AC439" s="59" t="n"/>
      <c r="AD439" s="59" t="n"/>
      <c r="AE439" s="59" t="n"/>
      <c r="AF439" s="59" t="n"/>
      <c r="AG439" s="59" t="n"/>
      <c r="AH439" s="59" t="n"/>
      <c r="AI439" s="59" t="n"/>
      <c r="AJ439" s="59" t="n"/>
      <c r="AK439" s="59" t="n"/>
      <c r="AL439" s="59" t="n"/>
      <c r="AM439" s="59" t="n"/>
      <c r="AN439" s="59" t="n"/>
      <c r="AO439" s="59" t="n"/>
    </row>
    <row r="440">
      <c r="A440" s="69" t="n"/>
      <c r="B440" s="69" t="n"/>
      <c r="C440" s="69" t="n"/>
      <c r="D440" s="69" t="n"/>
      <c r="E440" s="69" t="n"/>
      <c r="F440" s="69" t="n"/>
      <c r="G440" s="69" t="n"/>
      <c r="H440" s="69" t="n"/>
      <c r="I440" s="69" t="n"/>
      <c r="J440" s="69" t="n"/>
      <c r="K440" s="69" t="n"/>
      <c r="L440" s="69" t="n"/>
      <c r="M440" s="69" t="n"/>
      <c r="N440" s="69" t="n"/>
      <c r="O440" s="69" t="n"/>
      <c r="P440" s="69" t="n"/>
      <c r="Q440" s="69" t="n"/>
      <c r="R440" s="69" t="n"/>
      <c r="S440" s="69" t="n"/>
      <c r="T440" s="69" t="n"/>
      <c r="U440" s="69" t="n"/>
      <c r="V440" s="69" t="n"/>
      <c r="W440" s="69" t="n"/>
      <c r="X440" s="69" t="n"/>
      <c r="Y440" s="69" t="n"/>
      <c r="Z440" s="69" t="n"/>
      <c r="AA440" s="69" t="n"/>
      <c r="AB440" s="69" t="n"/>
      <c r="AC440" s="69" t="n"/>
      <c r="AD440" s="69" t="n"/>
      <c r="AE440" s="69" t="n"/>
      <c r="AF440" s="69" t="n"/>
      <c r="AG440" s="69" t="n"/>
      <c r="AH440" s="69" t="n"/>
      <c r="AI440" s="69" t="n"/>
      <c r="AJ440" s="69" t="n"/>
      <c r="AK440" s="69" t="n"/>
      <c r="AL440" s="69" t="n"/>
      <c r="AM440" s="69" t="n"/>
      <c r="AN440" s="69" t="n"/>
      <c r="AO440" s="6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  <c r="AA441" s="59" t="n"/>
      <c r="AB441" s="59" t="n"/>
      <c r="AC441" s="59" t="n"/>
      <c r="AD441" s="59" t="n"/>
      <c r="AE441" s="59" t="n"/>
      <c r="AF441" s="59" t="n"/>
      <c r="AG441" s="59" t="n"/>
      <c r="AH441" s="59" t="n"/>
      <c r="AI441" s="59" t="n"/>
      <c r="AJ441" s="59" t="n"/>
      <c r="AK441" s="59" t="n"/>
      <c r="AL441" s="59" t="n"/>
      <c r="AM441" s="59" t="n"/>
      <c r="AN441" s="59" t="n"/>
      <c r="AO441" s="59" t="n"/>
    </row>
    <row r="442">
      <c r="A442" s="69" t="n"/>
      <c r="B442" s="69" t="n"/>
      <c r="C442" s="69" t="n"/>
      <c r="D442" s="69" t="n"/>
      <c r="E442" s="69" t="n"/>
      <c r="F442" s="69" t="n"/>
      <c r="G442" s="69" t="n"/>
      <c r="H442" s="69" t="n"/>
      <c r="I442" s="69" t="n"/>
      <c r="J442" s="69" t="n"/>
      <c r="K442" s="69" t="n"/>
      <c r="L442" s="69" t="n"/>
      <c r="M442" s="69" t="n"/>
      <c r="N442" s="69" t="n"/>
      <c r="O442" s="69" t="n"/>
      <c r="P442" s="69" t="n"/>
      <c r="Q442" s="69" t="n"/>
      <c r="R442" s="69" t="n"/>
      <c r="S442" s="69" t="n"/>
      <c r="T442" s="69" t="n"/>
      <c r="U442" s="69" t="n"/>
      <c r="V442" s="69" t="n"/>
      <c r="W442" s="69" t="n"/>
      <c r="X442" s="69" t="n"/>
      <c r="Y442" s="69" t="n"/>
      <c r="Z442" s="69" t="n"/>
      <c r="AA442" s="69" t="n"/>
      <c r="AB442" s="69" t="n"/>
      <c r="AC442" s="69" t="n"/>
      <c r="AD442" s="69" t="n"/>
      <c r="AE442" s="69" t="n"/>
      <c r="AF442" s="69" t="n"/>
      <c r="AG442" s="69" t="n"/>
      <c r="AH442" s="69" t="n"/>
      <c r="AI442" s="69" t="n"/>
      <c r="AJ442" s="69" t="n"/>
      <c r="AK442" s="69" t="n"/>
      <c r="AL442" s="69" t="n"/>
      <c r="AM442" s="69" t="n"/>
      <c r="AN442" s="69" t="n"/>
      <c r="AO442" s="6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  <c r="AA443" s="59" t="n"/>
      <c r="AB443" s="59" t="n"/>
      <c r="AC443" s="59" t="n"/>
      <c r="AD443" s="59" t="n"/>
      <c r="AE443" s="59" t="n"/>
      <c r="AF443" s="59" t="n"/>
      <c r="AG443" s="59" t="n"/>
      <c r="AH443" s="59" t="n"/>
      <c r="AI443" s="59" t="n"/>
      <c r="AJ443" s="59" t="n"/>
      <c r="AK443" s="59" t="n"/>
      <c r="AL443" s="59" t="n"/>
      <c r="AM443" s="59" t="n"/>
      <c r="AN443" s="59" t="n"/>
      <c r="AO443" s="59" t="n"/>
    </row>
    <row r="444">
      <c r="A444" s="69" t="n"/>
      <c r="B444" s="69" t="n"/>
      <c r="C444" s="69" t="n"/>
      <c r="D444" s="69" t="n"/>
      <c r="E444" s="69" t="n"/>
      <c r="F444" s="69" t="n"/>
      <c r="G444" s="69" t="n"/>
      <c r="H444" s="69" t="n"/>
      <c r="I444" s="69" t="n"/>
      <c r="J444" s="69" t="n"/>
      <c r="K444" s="69" t="n"/>
      <c r="L444" s="69" t="n"/>
      <c r="M444" s="69" t="n"/>
      <c r="N444" s="69" t="n"/>
      <c r="O444" s="69" t="n"/>
      <c r="P444" s="69" t="n"/>
      <c r="Q444" s="69" t="n"/>
      <c r="R444" s="69" t="n"/>
      <c r="S444" s="69" t="n"/>
      <c r="T444" s="69" t="n"/>
      <c r="U444" s="69" t="n"/>
      <c r="V444" s="69" t="n"/>
      <c r="W444" s="69" t="n"/>
      <c r="X444" s="69" t="n"/>
      <c r="Y444" s="69" t="n"/>
      <c r="Z444" s="69" t="n"/>
      <c r="AA444" s="69" t="n"/>
      <c r="AB444" s="69" t="n"/>
      <c r="AC444" s="69" t="n"/>
      <c r="AD444" s="69" t="n"/>
      <c r="AE444" s="69" t="n"/>
      <c r="AF444" s="69" t="n"/>
      <c r="AG444" s="69" t="n"/>
      <c r="AH444" s="69" t="n"/>
      <c r="AI444" s="69" t="n"/>
      <c r="AJ444" s="69" t="n"/>
      <c r="AK444" s="69" t="n"/>
      <c r="AL444" s="69" t="n"/>
      <c r="AM444" s="69" t="n"/>
      <c r="AN444" s="69" t="n"/>
      <c r="AO444" s="6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  <c r="AA445" s="59" t="n"/>
      <c r="AB445" s="59" t="n"/>
      <c r="AC445" s="59" t="n"/>
      <c r="AD445" s="59" t="n"/>
      <c r="AE445" s="59" t="n"/>
      <c r="AF445" s="59" t="n"/>
      <c r="AG445" s="59" t="n"/>
      <c r="AH445" s="59" t="n"/>
      <c r="AI445" s="59" t="n"/>
      <c r="AJ445" s="59" t="n"/>
      <c r="AK445" s="59" t="n"/>
      <c r="AL445" s="59" t="n"/>
      <c r="AM445" s="59" t="n"/>
      <c r="AN445" s="59" t="n"/>
      <c r="AO445" s="59" t="n"/>
    </row>
    <row r="446">
      <c r="A446" s="69" t="n"/>
      <c r="B446" s="69" t="n"/>
      <c r="C446" s="69" t="n"/>
      <c r="D446" s="69" t="n"/>
      <c r="E446" s="69" t="n"/>
      <c r="F446" s="69" t="n"/>
      <c r="G446" s="69" t="n"/>
      <c r="H446" s="69" t="n"/>
      <c r="I446" s="69" t="n"/>
      <c r="J446" s="69" t="n"/>
      <c r="K446" s="69" t="n"/>
      <c r="L446" s="69" t="n"/>
      <c r="M446" s="69" t="n"/>
      <c r="N446" s="69" t="n"/>
      <c r="O446" s="69" t="n"/>
      <c r="P446" s="69" t="n"/>
      <c r="Q446" s="69" t="n"/>
      <c r="R446" s="69" t="n"/>
      <c r="S446" s="69" t="n"/>
      <c r="T446" s="69" t="n"/>
      <c r="U446" s="69" t="n"/>
      <c r="V446" s="69" t="n"/>
      <c r="W446" s="69" t="n"/>
      <c r="X446" s="69" t="n"/>
      <c r="Y446" s="69" t="n"/>
      <c r="Z446" s="69" t="n"/>
      <c r="AA446" s="69" t="n"/>
      <c r="AB446" s="69" t="n"/>
      <c r="AC446" s="69" t="n"/>
      <c r="AD446" s="69" t="n"/>
      <c r="AE446" s="69" t="n"/>
      <c r="AF446" s="69" t="n"/>
      <c r="AG446" s="69" t="n"/>
      <c r="AH446" s="69" t="n"/>
      <c r="AI446" s="69" t="n"/>
      <c r="AJ446" s="69" t="n"/>
      <c r="AK446" s="69" t="n"/>
      <c r="AL446" s="69" t="n"/>
      <c r="AM446" s="69" t="n"/>
      <c r="AN446" s="69" t="n"/>
      <c r="AO446" s="6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  <c r="AA447" s="59" t="n"/>
      <c r="AB447" s="59" t="n"/>
      <c r="AC447" s="59" t="n"/>
      <c r="AD447" s="59" t="n"/>
      <c r="AE447" s="59" t="n"/>
      <c r="AF447" s="59" t="n"/>
      <c r="AG447" s="59" t="n"/>
      <c r="AH447" s="59" t="n"/>
      <c r="AI447" s="59" t="n"/>
      <c r="AJ447" s="59" t="n"/>
      <c r="AK447" s="59" t="n"/>
      <c r="AL447" s="59" t="n"/>
      <c r="AM447" s="59" t="n"/>
      <c r="AN447" s="59" t="n"/>
      <c r="AO447" s="59" t="n"/>
    </row>
    <row r="448">
      <c r="A448" s="69" t="n"/>
      <c r="B448" s="69" t="n"/>
      <c r="C448" s="69" t="n"/>
      <c r="D448" s="69" t="n"/>
      <c r="E448" s="69" t="n"/>
      <c r="F448" s="69" t="n"/>
      <c r="G448" s="69" t="n"/>
      <c r="H448" s="69" t="n"/>
      <c r="I448" s="69" t="n"/>
      <c r="J448" s="69" t="n"/>
      <c r="K448" s="69" t="n"/>
      <c r="L448" s="69" t="n"/>
      <c r="M448" s="69" t="n"/>
      <c r="N448" s="69" t="n"/>
      <c r="O448" s="69" t="n"/>
      <c r="P448" s="69" t="n"/>
      <c r="Q448" s="69" t="n"/>
      <c r="R448" s="69" t="n"/>
      <c r="S448" s="69" t="n"/>
      <c r="T448" s="69" t="n"/>
      <c r="U448" s="69" t="n"/>
      <c r="V448" s="69" t="n"/>
      <c r="W448" s="69" t="n"/>
      <c r="X448" s="69" t="n"/>
      <c r="Y448" s="69" t="n"/>
      <c r="Z448" s="69" t="n"/>
      <c r="AA448" s="69" t="n"/>
      <c r="AB448" s="69" t="n"/>
      <c r="AC448" s="69" t="n"/>
      <c r="AD448" s="69" t="n"/>
      <c r="AE448" s="69" t="n"/>
      <c r="AF448" s="69" t="n"/>
      <c r="AG448" s="69" t="n"/>
      <c r="AH448" s="69" t="n"/>
      <c r="AI448" s="69" t="n"/>
      <c r="AJ448" s="69" t="n"/>
      <c r="AK448" s="69" t="n"/>
      <c r="AL448" s="69" t="n"/>
      <c r="AM448" s="69" t="n"/>
      <c r="AN448" s="69" t="n"/>
      <c r="AO448" s="6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  <c r="AA449" s="59" t="n"/>
      <c r="AB449" s="59" t="n"/>
      <c r="AC449" s="59" t="n"/>
      <c r="AD449" s="59" t="n"/>
      <c r="AE449" s="59" t="n"/>
      <c r="AF449" s="59" t="n"/>
      <c r="AG449" s="59" t="n"/>
      <c r="AH449" s="59" t="n"/>
      <c r="AI449" s="59" t="n"/>
      <c r="AJ449" s="59" t="n"/>
      <c r="AK449" s="59" t="n"/>
      <c r="AL449" s="59" t="n"/>
      <c r="AM449" s="59" t="n"/>
      <c r="AN449" s="59" t="n"/>
      <c r="AO449" s="59" t="n"/>
    </row>
    <row r="450">
      <c r="A450" s="69" t="n"/>
      <c r="B450" s="69" t="n"/>
      <c r="C450" s="69" t="n"/>
      <c r="D450" s="69" t="n"/>
      <c r="E450" s="69" t="n"/>
      <c r="F450" s="69" t="n"/>
      <c r="G450" s="69" t="n"/>
      <c r="H450" s="69" t="n"/>
      <c r="I450" s="69" t="n"/>
      <c r="J450" s="69" t="n"/>
      <c r="K450" s="69" t="n"/>
      <c r="L450" s="69" t="n"/>
      <c r="M450" s="69" t="n"/>
      <c r="N450" s="69" t="n"/>
      <c r="O450" s="69" t="n"/>
      <c r="P450" s="69" t="n"/>
      <c r="Q450" s="69" t="n"/>
      <c r="R450" s="69" t="n"/>
      <c r="S450" s="69" t="n"/>
      <c r="T450" s="69" t="n"/>
      <c r="U450" s="69" t="n"/>
      <c r="V450" s="69" t="n"/>
      <c r="W450" s="69" t="n"/>
      <c r="X450" s="69" t="n"/>
      <c r="Y450" s="69" t="n"/>
      <c r="Z450" s="69" t="n"/>
      <c r="AA450" s="69" t="n"/>
      <c r="AB450" s="69" t="n"/>
      <c r="AC450" s="69" t="n"/>
      <c r="AD450" s="69" t="n"/>
      <c r="AE450" s="69" t="n"/>
      <c r="AF450" s="69" t="n"/>
      <c r="AG450" s="69" t="n"/>
      <c r="AH450" s="69" t="n"/>
      <c r="AI450" s="69" t="n"/>
      <c r="AJ450" s="69" t="n"/>
      <c r="AK450" s="69" t="n"/>
      <c r="AL450" s="69" t="n"/>
      <c r="AM450" s="69" t="n"/>
      <c r="AN450" s="69" t="n"/>
      <c r="AO450" s="6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  <c r="AA451" s="59" t="n"/>
      <c r="AB451" s="59" t="n"/>
      <c r="AC451" s="59" t="n"/>
      <c r="AD451" s="59" t="n"/>
      <c r="AE451" s="59" t="n"/>
      <c r="AF451" s="59" t="n"/>
      <c r="AG451" s="59" t="n"/>
      <c r="AH451" s="59" t="n"/>
      <c r="AI451" s="59" t="n"/>
      <c r="AJ451" s="59" t="n"/>
      <c r="AK451" s="59" t="n"/>
      <c r="AL451" s="59" t="n"/>
      <c r="AM451" s="59" t="n"/>
      <c r="AN451" s="59" t="n"/>
      <c r="AO451" s="59" t="n"/>
    </row>
    <row r="452">
      <c r="A452" s="69" t="n"/>
      <c r="B452" s="69" t="n"/>
      <c r="C452" s="69" t="n"/>
      <c r="D452" s="69" t="n"/>
      <c r="E452" s="69" t="n"/>
      <c r="F452" s="69" t="n"/>
      <c r="G452" s="69" t="n"/>
      <c r="H452" s="69" t="n"/>
      <c r="I452" s="69" t="n"/>
      <c r="J452" s="69" t="n"/>
      <c r="K452" s="69" t="n"/>
      <c r="L452" s="69" t="n"/>
      <c r="M452" s="69" t="n"/>
      <c r="N452" s="69" t="n"/>
      <c r="O452" s="69" t="n"/>
      <c r="P452" s="69" t="n"/>
      <c r="Q452" s="69" t="n"/>
      <c r="R452" s="69" t="n"/>
      <c r="S452" s="69" t="n"/>
      <c r="T452" s="69" t="n"/>
      <c r="U452" s="69" t="n"/>
      <c r="V452" s="69" t="n"/>
      <c r="W452" s="69" t="n"/>
      <c r="X452" s="69" t="n"/>
      <c r="Y452" s="69" t="n"/>
      <c r="Z452" s="69" t="n"/>
      <c r="AA452" s="69" t="n"/>
      <c r="AB452" s="69" t="n"/>
      <c r="AC452" s="69" t="n"/>
      <c r="AD452" s="69" t="n"/>
      <c r="AE452" s="69" t="n"/>
      <c r="AF452" s="69" t="n"/>
      <c r="AG452" s="69" t="n"/>
      <c r="AH452" s="69" t="n"/>
      <c r="AI452" s="69" t="n"/>
      <c r="AJ452" s="69" t="n"/>
      <c r="AK452" s="69" t="n"/>
      <c r="AL452" s="69" t="n"/>
      <c r="AM452" s="69" t="n"/>
      <c r="AN452" s="69" t="n"/>
      <c r="AO452" s="6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  <c r="AA453" s="59" t="n"/>
      <c r="AB453" s="59" t="n"/>
      <c r="AC453" s="59" t="n"/>
      <c r="AD453" s="59" t="n"/>
      <c r="AE453" s="59" t="n"/>
      <c r="AF453" s="59" t="n"/>
      <c r="AG453" s="59" t="n"/>
      <c r="AH453" s="59" t="n"/>
      <c r="AI453" s="59" t="n"/>
      <c r="AJ453" s="59" t="n"/>
      <c r="AK453" s="59" t="n"/>
      <c r="AL453" s="59" t="n"/>
      <c r="AM453" s="59" t="n"/>
      <c r="AN453" s="59" t="n"/>
      <c r="AO453" s="59" t="n"/>
    </row>
    <row r="454">
      <c r="A454" s="69" t="n"/>
      <c r="B454" s="69" t="n"/>
      <c r="C454" s="69" t="n"/>
      <c r="D454" s="69" t="n"/>
      <c r="E454" s="69" t="n"/>
      <c r="F454" s="69" t="n"/>
      <c r="G454" s="69" t="n"/>
      <c r="H454" s="69" t="n"/>
      <c r="I454" s="69" t="n"/>
      <c r="J454" s="69" t="n"/>
      <c r="K454" s="69" t="n"/>
      <c r="L454" s="69" t="n"/>
      <c r="M454" s="69" t="n"/>
      <c r="N454" s="69" t="n"/>
      <c r="O454" s="69" t="n"/>
      <c r="P454" s="69" t="n"/>
      <c r="Q454" s="69" t="n"/>
      <c r="R454" s="69" t="n"/>
      <c r="S454" s="69" t="n"/>
      <c r="T454" s="69" t="n"/>
      <c r="U454" s="69" t="n"/>
      <c r="V454" s="69" t="n"/>
      <c r="W454" s="69" t="n"/>
      <c r="X454" s="69" t="n"/>
      <c r="Y454" s="69" t="n"/>
      <c r="Z454" s="69" t="n"/>
      <c r="AA454" s="69" t="n"/>
      <c r="AB454" s="69" t="n"/>
      <c r="AC454" s="69" t="n"/>
      <c r="AD454" s="69" t="n"/>
      <c r="AE454" s="69" t="n"/>
      <c r="AF454" s="69" t="n"/>
      <c r="AG454" s="69" t="n"/>
      <c r="AH454" s="69" t="n"/>
      <c r="AI454" s="69" t="n"/>
      <c r="AJ454" s="69" t="n"/>
      <c r="AK454" s="69" t="n"/>
      <c r="AL454" s="69" t="n"/>
      <c r="AM454" s="69" t="n"/>
      <c r="AN454" s="69" t="n"/>
      <c r="AO454" s="6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  <c r="AA455" s="59" t="n"/>
      <c r="AB455" s="59" t="n"/>
      <c r="AC455" s="59" t="n"/>
      <c r="AD455" s="59" t="n"/>
      <c r="AE455" s="59" t="n"/>
      <c r="AF455" s="59" t="n"/>
      <c r="AG455" s="59" t="n"/>
      <c r="AH455" s="59" t="n"/>
      <c r="AI455" s="59" t="n"/>
      <c r="AJ455" s="59" t="n"/>
      <c r="AK455" s="59" t="n"/>
      <c r="AL455" s="59" t="n"/>
      <c r="AM455" s="59" t="n"/>
      <c r="AN455" s="59" t="n"/>
      <c r="AO455" s="59" t="n"/>
    </row>
    <row r="456">
      <c r="A456" s="69" t="n"/>
      <c r="B456" s="69" t="n"/>
      <c r="C456" s="69" t="n"/>
      <c r="D456" s="69" t="n"/>
      <c r="E456" s="69" t="n"/>
      <c r="F456" s="69" t="n"/>
      <c r="G456" s="69" t="n"/>
      <c r="H456" s="69" t="n"/>
      <c r="I456" s="69" t="n"/>
      <c r="J456" s="69" t="n"/>
      <c r="K456" s="69" t="n"/>
      <c r="L456" s="69" t="n"/>
      <c r="M456" s="69" t="n"/>
      <c r="N456" s="69" t="n"/>
      <c r="O456" s="69" t="n"/>
      <c r="P456" s="69" t="n"/>
      <c r="Q456" s="69" t="n"/>
      <c r="R456" s="69" t="n"/>
      <c r="S456" s="69" t="n"/>
      <c r="T456" s="69" t="n"/>
      <c r="U456" s="69" t="n"/>
      <c r="V456" s="69" t="n"/>
      <c r="W456" s="69" t="n"/>
      <c r="X456" s="69" t="n"/>
      <c r="Y456" s="69" t="n"/>
      <c r="Z456" s="69" t="n"/>
      <c r="AA456" s="69" t="n"/>
      <c r="AB456" s="69" t="n"/>
      <c r="AC456" s="69" t="n"/>
      <c r="AD456" s="69" t="n"/>
      <c r="AE456" s="69" t="n"/>
      <c r="AF456" s="69" t="n"/>
      <c r="AG456" s="69" t="n"/>
      <c r="AH456" s="69" t="n"/>
      <c r="AI456" s="69" t="n"/>
      <c r="AJ456" s="69" t="n"/>
      <c r="AK456" s="69" t="n"/>
      <c r="AL456" s="69" t="n"/>
      <c r="AM456" s="69" t="n"/>
      <c r="AN456" s="69" t="n"/>
      <c r="AO456" s="6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  <c r="AA457" s="59" t="n"/>
      <c r="AB457" s="59" t="n"/>
      <c r="AC457" s="59" t="n"/>
      <c r="AD457" s="59" t="n"/>
      <c r="AE457" s="59" t="n"/>
      <c r="AF457" s="59" t="n"/>
      <c r="AG457" s="59" t="n"/>
      <c r="AH457" s="59" t="n"/>
      <c r="AI457" s="59" t="n"/>
      <c r="AJ457" s="59" t="n"/>
      <c r="AK457" s="59" t="n"/>
      <c r="AL457" s="59" t="n"/>
      <c r="AM457" s="59" t="n"/>
      <c r="AN457" s="59" t="n"/>
      <c r="AO457" s="59" t="n"/>
    </row>
    <row r="458">
      <c r="A458" s="69" t="n"/>
      <c r="B458" s="69" t="n"/>
      <c r="C458" s="69" t="n"/>
      <c r="D458" s="69" t="n"/>
      <c r="E458" s="69" t="n"/>
      <c r="F458" s="69" t="n"/>
      <c r="G458" s="69" t="n"/>
      <c r="H458" s="69" t="n"/>
      <c r="I458" s="69" t="n"/>
      <c r="J458" s="69" t="n"/>
      <c r="K458" s="69" t="n"/>
      <c r="L458" s="69" t="n"/>
      <c r="M458" s="69" t="n"/>
      <c r="N458" s="69" t="n"/>
      <c r="O458" s="69" t="n"/>
      <c r="P458" s="69" t="n"/>
      <c r="Q458" s="69" t="n"/>
      <c r="R458" s="69" t="n"/>
      <c r="S458" s="69" t="n"/>
      <c r="T458" s="69" t="n"/>
      <c r="U458" s="69" t="n"/>
      <c r="V458" s="69" t="n"/>
      <c r="W458" s="69" t="n"/>
      <c r="X458" s="69" t="n"/>
      <c r="Y458" s="69" t="n"/>
      <c r="Z458" s="69" t="n"/>
      <c r="AA458" s="69" t="n"/>
      <c r="AB458" s="69" t="n"/>
      <c r="AC458" s="69" t="n"/>
      <c r="AD458" s="69" t="n"/>
      <c r="AE458" s="69" t="n"/>
      <c r="AF458" s="69" t="n"/>
      <c r="AG458" s="69" t="n"/>
      <c r="AH458" s="69" t="n"/>
      <c r="AI458" s="69" t="n"/>
      <c r="AJ458" s="69" t="n"/>
      <c r="AK458" s="69" t="n"/>
      <c r="AL458" s="69" t="n"/>
      <c r="AM458" s="69" t="n"/>
      <c r="AN458" s="69" t="n"/>
      <c r="AO458" s="6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  <c r="AA459" s="59" t="n"/>
      <c r="AB459" s="59" t="n"/>
      <c r="AC459" s="59" t="n"/>
      <c r="AD459" s="59" t="n"/>
      <c r="AE459" s="59" t="n"/>
      <c r="AF459" s="59" t="n"/>
      <c r="AG459" s="59" t="n"/>
      <c r="AH459" s="59" t="n"/>
      <c r="AI459" s="59" t="n"/>
      <c r="AJ459" s="59" t="n"/>
      <c r="AK459" s="59" t="n"/>
      <c r="AL459" s="59" t="n"/>
      <c r="AM459" s="59" t="n"/>
      <c r="AN459" s="59" t="n"/>
      <c r="AO459" s="59" t="n"/>
    </row>
    <row r="460">
      <c r="A460" s="69" t="n"/>
      <c r="B460" s="69" t="n"/>
      <c r="C460" s="69" t="n"/>
      <c r="D460" s="69" t="n"/>
      <c r="E460" s="69" t="n"/>
      <c r="F460" s="69" t="n"/>
      <c r="G460" s="69" t="n"/>
      <c r="H460" s="69" t="n"/>
      <c r="I460" s="69" t="n"/>
      <c r="J460" s="69" t="n"/>
      <c r="K460" s="69" t="n"/>
      <c r="L460" s="69" t="n"/>
      <c r="M460" s="69" t="n"/>
      <c r="N460" s="69" t="n"/>
      <c r="O460" s="69" t="n"/>
      <c r="P460" s="69" t="n"/>
      <c r="Q460" s="69" t="n"/>
      <c r="R460" s="69" t="n"/>
      <c r="S460" s="69" t="n"/>
      <c r="T460" s="69" t="n"/>
      <c r="U460" s="69" t="n"/>
      <c r="V460" s="69" t="n"/>
      <c r="W460" s="69" t="n"/>
      <c r="X460" s="69" t="n"/>
      <c r="Y460" s="69" t="n"/>
      <c r="Z460" s="69" t="n"/>
      <c r="AA460" s="69" t="n"/>
      <c r="AB460" s="69" t="n"/>
      <c r="AC460" s="69" t="n"/>
      <c r="AD460" s="69" t="n"/>
      <c r="AE460" s="69" t="n"/>
      <c r="AF460" s="69" t="n"/>
      <c r="AG460" s="69" t="n"/>
      <c r="AH460" s="69" t="n"/>
      <c r="AI460" s="69" t="n"/>
      <c r="AJ460" s="69" t="n"/>
      <c r="AK460" s="69" t="n"/>
      <c r="AL460" s="69" t="n"/>
      <c r="AM460" s="69" t="n"/>
      <c r="AN460" s="69" t="n"/>
      <c r="AO460" s="6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  <c r="AA461" s="59" t="n"/>
      <c r="AB461" s="59" t="n"/>
      <c r="AC461" s="59" t="n"/>
      <c r="AD461" s="59" t="n"/>
      <c r="AE461" s="59" t="n"/>
      <c r="AF461" s="59" t="n"/>
      <c r="AG461" s="59" t="n"/>
      <c r="AH461" s="59" t="n"/>
      <c r="AI461" s="59" t="n"/>
      <c r="AJ461" s="59" t="n"/>
      <c r="AK461" s="59" t="n"/>
      <c r="AL461" s="59" t="n"/>
      <c r="AM461" s="59" t="n"/>
      <c r="AN461" s="59" t="n"/>
      <c r="AO461" s="59" t="n"/>
    </row>
    <row r="462">
      <c r="A462" s="69" t="n"/>
      <c r="B462" s="69" t="n"/>
      <c r="C462" s="69" t="n"/>
      <c r="D462" s="69" t="n"/>
      <c r="E462" s="69" t="n"/>
      <c r="F462" s="69" t="n"/>
      <c r="G462" s="69" t="n"/>
      <c r="H462" s="69" t="n"/>
      <c r="I462" s="69" t="n"/>
      <c r="J462" s="69" t="n"/>
      <c r="K462" s="69" t="n"/>
      <c r="L462" s="69" t="n"/>
      <c r="M462" s="69" t="n"/>
      <c r="N462" s="69" t="n"/>
      <c r="O462" s="69" t="n"/>
      <c r="P462" s="69" t="n"/>
      <c r="Q462" s="69" t="n"/>
      <c r="R462" s="69" t="n"/>
      <c r="S462" s="69" t="n"/>
      <c r="T462" s="69" t="n"/>
      <c r="U462" s="69" t="n"/>
      <c r="V462" s="69" t="n"/>
      <c r="W462" s="69" t="n"/>
      <c r="X462" s="69" t="n"/>
      <c r="Y462" s="69" t="n"/>
      <c r="Z462" s="69" t="n"/>
      <c r="AA462" s="69" t="n"/>
      <c r="AB462" s="69" t="n"/>
      <c r="AC462" s="69" t="n"/>
      <c r="AD462" s="69" t="n"/>
      <c r="AE462" s="69" t="n"/>
      <c r="AF462" s="69" t="n"/>
      <c r="AG462" s="69" t="n"/>
      <c r="AH462" s="69" t="n"/>
      <c r="AI462" s="69" t="n"/>
      <c r="AJ462" s="69" t="n"/>
      <c r="AK462" s="69" t="n"/>
      <c r="AL462" s="69" t="n"/>
      <c r="AM462" s="69" t="n"/>
      <c r="AN462" s="69" t="n"/>
      <c r="AO462" s="6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  <c r="AA463" s="59" t="n"/>
      <c r="AB463" s="59" t="n"/>
      <c r="AC463" s="59" t="n"/>
      <c r="AD463" s="59" t="n"/>
      <c r="AE463" s="59" t="n"/>
      <c r="AF463" s="59" t="n"/>
      <c r="AG463" s="59" t="n"/>
      <c r="AH463" s="59" t="n"/>
      <c r="AI463" s="59" t="n"/>
      <c r="AJ463" s="59" t="n"/>
      <c r="AK463" s="59" t="n"/>
      <c r="AL463" s="59" t="n"/>
      <c r="AM463" s="59" t="n"/>
      <c r="AN463" s="59" t="n"/>
      <c r="AO463" s="59" t="n"/>
    </row>
    <row r="464">
      <c r="A464" s="69" t="n"/>
      <c r="B464" s="69" t="n"/>
      <c r="C464" s="69" t="n"/>
      <c r="D464" s="69" t="n"/>
      <c r="E464" s="69" t="n"/>
      <c r="F464" s="69" t="n"/>
      <c r="G464" s="69" t="n"/>
      <c r="H464" s="69" t="n"/>
      <c r="I464" s="69" t="n"/>
      <c r="J464" s="69" t="n"/>
      <c r="K464" s="69" t="n"/>
      <c r="L464" s="69" t="n"/>
      <c r="M464" s="69" t="n"/>
      <c r="N464" s="69" t="n"/>
      <c r="O464" s="69" t="n"/>
      <c r="P464" s="69" t="n"/>
      <c r="Q464" s="69" t="n"/>
      <c r="R464" s="69" t="n"/>
      <c r="S464" s="69" t="n"/>
      <c r="T464" s="69" t="n"/>
      <c r="U464" s="69" t="n"/>
      <c r="V464" s="69" t="n"/>
      <c r="W464" s="69" t="n"/>
      <c r="X464" s="69" t="n"/>
      <c r="Y464" s="69" t="n"/>
      <c r="Z464" s="69" t="n"/>
      <c r="AA464" s="69" t="n"/>
      <c r="AB464" s="69" t="n"/>
      <c r="AC464" s="69" t="n"/>
      <c r="AD464" s="69" t="n"/>
      <c r="AE464" s="69" t="n"/>
      <c r="AF464" s="69" t="n"/>
      <c r="AG464" s="69" t="n"/>
      <c r="AH464" s="69" t="n"/>
      <c r="AI464" s="69" t="n"/>
      <c r="AJ464" s="69" t="n"/>
      <c r="AK464" s="69" t="n"/>
      <c r="AL464" s="69" t="n"/>
      <c r="AM464" s="69" t="n"/>
      <c r="AN464" s="69" t="n"/>
      <c r="AO464" s="6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  <c r="AA465" s="59" t="n"/>
      <c r="AB465" s="59" t="n"/>
      <c r="AC465" s="59" t="n"/>
      <c r="AD465" s="59" t="n"/>
      <c r="AE465" s="59" t="n"/>
      <c r="AF465" s="59" t="n"/>
      <c r="AG465" s="59" t="n"/>
      <c r="AH465" s="59" t="n"/>
      <c r="AI465" s="59" t="n"/>
      <c r="AJ465" s="59" t="n"/>
      <c r="AK465" s="59" t="n"/>
      <c r="AL465" s="59" t="n"/>
      <c r="AM465" s="59" t="n"/>
      <c r="AN465" s="59" t="n"/>
      <c r="AO465" s="59" t="n"/>
    </row>
    <row r="466">
      <c r="A466" s="69" t="n"/>
      <c r="B466" s="69" t="n"/>
      <c r="C466" s="69" t="n"/>
      <c r="D466" s="69" t="n"/>
      <c r="E466" s="69" t="n"/>
      <c r="F466" s="69" t="n"/>
      <c r="G466" s="69" t="n"/>
      <c r="H466" s="69" t="n"/>
      <c r="I466" s="69" t="n"/>
      <c r="J466" s="69" t="n"/>
      <c r="K466" s="69" t="n"/>
      <c r="L466" s="69" t="n"/>
      <c r="M466" s="69" t="n"/>
      <c r="N466" s="69" t="n"/>
      <c r="O466" s="69" t="n"/>
      <c r="P466" s="69" t="n"/>
      <c r="Q466" s="69" t="n"/>
      <c r="R466" s="69" t="n"/>
      <c r="S466" s="69" t="n"/>
      <c r="T466" s="69" t="n"/>
      <c r="U466" s="69" t="n"/>
      <c r="V466" s="69" t="n"/>
      <c r="W466" s="69" t="n"/>
      <c r="X466" s="69" t="n"/>
      <c r="Y466" s="69" t="n"/>
      <c r="Z466" s="69" t="n"/>
      <c r="AA466" s="69" t="n"/>
      <c r="AB466" s="69" t="n"/>
      <c r="AC466" s="69" t="n"/>
      <c r="AD466" s="69" t="n"/>
      <c r="AE466" s="69" t="n"/>
      <c r="AF466" s="69" t="n"/>
      <c r="AG466" s="69" t="n"/>
      <c r="AH466" s="69" t="n"/>
      <c r="AI466" s="69" t="n"/>
      <c r="AJ466" s="69" t="n"/>
      <c r="AK466" s="69" t="n"/>
      <c r="AL466" s="69" t="n"/>
      <c r="AM466" s="69" t="n"/>
      <c r="AN466" s="69" t="n"/>
      <c r="AO466" s="6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  <c r="AA467" s="59" t="n"/>
      <c r="AB467" s="59" t="n"/>
      <c r="AC467" s="59" t="n"/>
      <c r="AD467" s="59" t="n"/>
      <c r="AE467" s="59" t="n"/>
      <c r="AF467" s="59" t="n"/>
      <c r="AG467" s="59" t="n"/>
      <c r="AH467" s="59" t="n"/>
      <c r="AI467" s="59" t="n"/>
      <c r="AJ467" s="59" t="n"/>
      <c r="AK467" s="59" t="n"/>
      <c r="AL467" s="59" t="n"/>
      <c r="AM467" s="59" t="n"/>
      <c r="AN467" s="59" t="n"/>
      <c r="AO467" s="59" t="n"/>
    </row>
    <row r="468">
      <c r="A468" s="69" t="n"/>
      <c r="B468" s="69" t="n"/>
      <c r="C468" s="69" t="n"/>
      <c r="D468" s="69" t="n"/>
      <c r="E468" s="69" t="n"/>
      <c r="F468" s="69" t="n"/>
      <c r="G468" s="69" t="n"/>
      <c r="H468" s="69" t="n"/>
      <c r="I468" s="69" t="n"/>
      <c r="J468" s="69" t="n"/>
      <c r="K468" s="69" t="n"/>
      <c r="L468" s="69" t="n"/>
      <c r="M468" s="69" t="n"/>
      <c r="N468" s="69" t="n"/>
      <c r="O468" s="69" t="n"/>
      <c r="P468" s="69" t="n"/>
      <c r="Q468" s="69" t="n"/>
      <c r="R468" s="69" t="n"/>
      <c r="S468" s="69" t="n"/>
      <c r="T468" s="69" t="n"/>
      <c r="U468" s="69" t="n"/>
      <c r="V468" s="69" t="n"/>
      <c r="W468" s="69" t="n"/>
      <c r="X468" s="69" t="n"/>
      <c r="Y468" s="69" t="n"/>
      <c r="Z468" s="69" t="n"/>
      <c r="AA468" s="69" t="n"/>
      <c r="AB468" s="69" t="n"/>
      <c r="AC468" s="69" t="n"/>
      <c r="AD468" s="69" t="n"/>
      <c r="AE468" s="69" t="n"/>
      <c r="AF468" s="69" t="n"/>
      <c r="AG468" s="69" t="n"/>
      <c r="AH468" s="69" t="n"/>
      <c r="AI468" s="69" t="n"/>
      <c r="AJ468" s="69" t="n"/>
      <c r="AK468" s="69" t="n"/>
      <c r="AL468" s="69" t="n"/>
      <c r="AM468" s="69" t="n"/>
      <c r="AN468" s="69" t="n"/>
      <c r="AO468" s="6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  <c r="AA469" s="59" t="n"/>
      <c r="AB469" s="59" t="n"/>
      <c r="AC469" s="59" t="n"/>
      <c r="AD469" s="59" t="n"/>
      <c r="AE469" s="59" t="n"/>
      <c r="AF469" s="59" t="n"/>
      <c r="AG469" s="59" t="n"/>
      <c r="AH469" s="59" t="n"/>
      <c r="AI469" s="59" t="n"/>
      <c r="AJ469" s="59" t="n"/>
      <c r="AK469" s="59" t="n"/>
      <c r="AL469" s="59" t="n"/>
      <c r="AM469" s="59" t="n"/>
      <c r="AN469" s="59" t="n"/>
      <c r="AO469" s="59" t="n"/>
    </row>
    <row r="470">
      <c r="A470" s="69" t="n"/>
      <c r="B470" s="69" t="n"/>
      <c r="C470" s="69" t="n"/>
      <c r="D470" s="69" t="n"/>
      <c r="E470" s="69" t="n"/>
      <c r="F470" s="69" t="n"/>
      <c r="G470" s="69" t="n"/>
      <c r="H470" s="69" t="n"/>
      <c r="I470" s="69" t="n"/>
      <c r="J470" s="69" t="n"/>
      <c r="K470" s="69" t="n"/>
      <c r="L470" s="69" t="n"/>
      <c r="M470" s="69" t="n"/>
      <c r="N470" s="69" t="n"/>
      <c r="O470" s="69" t="n"/>
      <c r="P470" s="69" t="n"/>
      <c r="Q470" s="69" t="n"/>
      <c r="R470" s="69" t="n"/>
      <c r="S470" s="69" t="n"/>
      <c r="T470" s="69" t="n"/>
      <c r="U470" s="69" t="n"/>
      <c r="V470" s="69" t="n"/>
      <c r="W470" s="69" t="n"/>
      <c r="X470" s="69" t="n"/>
      <c r="Y470" s="69" t="n"/>
      <c r="Z470" s="69" t="n"/>
      <c r="AA470" s="69" t="n"/>
      <c r="AB470" s="69" t="n"/>
      <c r="AC470" s="69" t="n"/>
      <c r="AD470" s="69" t="n"/>
      <c r="AE470" s="69" t="n"/>
      <c r="AF470" s="69" t="n"/>
      <c r="AG470" s="69" t="n"/>
      <c r="AH470" s="69" t="n"/>
      <c r="AI470" s="69" t="n"/>
      <c r="AJ470" s="69" t="n"/>
      <c r="AK470" s="69" t="n"/>
      <c r="AL470" s="69" t="n"/>
      <c r="AM470" s="69" t="n"/>
      <c r="AN470" s="69" t="n"/>
      <c r="AO470" s="6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  <c r="AA471" s="59" t="n"/>
      <c r="AB471" s="59" t="n"/>
      <c r="AC471" s="59" t="n"/>
      <c r="AD471" s="59" t="n"/>
      <c r="AE471" s="59" t="n"/>
      <c r="AF471" s="59" t="n"/>
      <c r="AG471" s="59" t="n"/>
      <c r="AH471" s="59" t="n"/>
      <c r="AI471" s="59" t="n"/>
      <c r="AJ471" s="59" t="n"/>
      <c r="AK471" s="59" t="n"/>
      <c r="AL471" s="59" t="n"/>
      <c r="AM471" s="59" t="n"/>
      <c r="AN471" s="59" t="n"/>
      <c r="AO471" s="59" t="n"/>
    </row>
    <row r="472">
      <c r="A472" s="69" t="n"/>
      <c r="B472" s="69" t="n"/>
      <c r="C472" s="69" t="n"/>
      <c r="D472" s="69" t="n"/>
      <c r="E472" s="69" t="n"/>
      <c r="F472" s="69" t="n"/>
      <c r="G472" s="69" t="n"/>
      <c r="H472" s="69" t="n"/>
      <c r="I472" s="69" t="n"/>
      <c r="J472" s="69" t="n"/>
      <c r="K472" s="69" t="n"/>
      <c r="L472" s="69" t="n"/>
      <c r="M472" s="69" t="n"/>
      <c r="N472" s="69" t="n"/>
      <c r="O472" s="69" t="n"/>
      <c r="P472" s="69" t="n"/>
      <c r="Q472" s="69" t="n"/>
      <c r="R472" s="69" t="n"/>
      <c r="S472" s="69" t="n"/>
      <c r="T472" s="69" t="n"/>
      <c r="U472" s="69" t="n"/>
      <c r="V472" s="69" t="n"/>
      <c r="W472" s="69" t="n"/>
      <c r="X472" s="69" t="n"/>
      <c r="Y472" s="69" t="n"/>
      <c r="Z472" s="69" t="n"/>
      <c r="AA472" s="69" t="n"/>
      <c r="AB472" s="69" t="n"/>
      <c r="AC472" s="69" t="n"/>
      <c r="AD472" s="69" t="n"/>
      <c r="AE472" s="69" t="n"/>
      <c r="AF472" s="69" t="n"/>
      <c r="AG472" s="69" t="n"/>
      <c r="AH472" s="69" t="n"/>
      <c r="AI472" s="69" t="n"/>
      <c r="AJ472" s="69" t="n"/>
      <c r="AK472" s="69" t="n"/>
      <c r="AL472" s="69" t="n"/>
      <c r="AM472" s="69" t="n"/>
      <c r="AN472" s="69" t="n"/>
      <c r="AO472" s="6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  <c r="AA473" s="59" t="n"/>
      <c r="AB473" s="59" t="n"/>
      <c r="AC473" s="59" t="n"/>
      <c r="AD473" s="59" t="n"/>
      <c r="AE473" s="59" t="n"/>
      <c r="AF473" s="59" t="n"/>
      <c r="AG473" s="59" t="n"/>
      <c r="AH473" s="59" t="n"/>
      <c r="AI473" s="59" t="n"/>
      <c r="AJ473" s="59" t="n"/>
      <c r="AK473" s="59" t="n"/>
      <c r="AL473" s="59" t="n"/>
      <c r="AM473" s="59" t="n"/>
      <c r="AN473" s="59" t="n"/>
      <c r="AO473" s="59" t="n"/>
    </row>
    <row r="474">
      <c r="A474" s="69" t="n"/>
      <c r="B474" s="69" t="n"/>
      <c r="C474" s="69" t="n"/>
      <c r="D474" s="69" t="n"/>
      <c r="E474" s="69" t="n"/>
      <c r="F474" s="69" t="n"/>
      <c r="G474" s="69" t="n"/>
      <c r="H474" s="69" t="n"/>
      <c r="I474" s="69" t="n"/>
      <c r="J474" s="69" t="n"/>
      <c r="K474" s="69" t="n"/>
      <c r="L474" s="69" t="n"/>
      <c r="M474" s="69" t="n"/>
      <c r="N474" s="69" t="n"/>
      <c r="O474" s="69" t="n"/>
      <c r="P474" s="69" t="n"/>
      <c r="Q474" s="69" t="n"/>
      <c r="R474" s="69" t="n"/>
      <c r="S474" s="69" t="n"/>
      <c r="T474" s="69" t="n"/>
      <c r="U474" s="69" t="n"/>
      <c r="V474" s="69" t="n"/>
      <c r="W474" s="69" t="n"/>
      <c r="X474" s="69" t="n"/>
      <c r="Y474" s="69" t="n"/>
      <c r="Z474" s="69" t="n"/>
      <c r="AA474" s="69" t="n"/>
      <c r="AB474" s="69" t="n"/>
      <c r="AC474" s="69" t="n"/>
      <c r="AD474" s="69" t="n"/>
      <c r="AE474" s="69" t="n"/>
      <c r="AF474" s="69" t="n"/>
      <c r="AG474" s="69" t="n"/>
      <c r="AH474" s="69" t="n"/>
      <c r="AI474" s="69" t="n"/>
      <c r="AJ474" s="69" t="n"/>
      <c r="AK474" s="69" t="n"/>
      <c r="AL474" s="69" t="n"/>
      <c r="AM474" s="69" t="n"/>
      <c r="AN474" s="69" t="n"/>
      <c r="AO474" s="6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  <c r="AA475" s="59" t="n"/>
      <c r="AB475" s="59" t="n"/>
      <c r="AC475" s="59" t="n"/>
      <c r="AD475" s="59" t="n"/>
      <c r="AE475" s="59" t="n"/>
      <c r="AF475" s="59" t="n"/>
      <c r="AG475" s="59" t="n"/>
      <c r="AH475" s="59" t="n"/>
      <c r="AI475" s="59" t="n"/>
      <c r="AJ475" s="59" t="n"/>
      <c r="AK475" s="59" t="n"/>
      <c r="AL475" s="59" t="n"/>
      <c r="AM475" s="59" t="n"/>
      <c r="AN475" s="59" t="n"/>
      <c r="AO475" s="59" t="n"/>
    </row>
    <row r="476">
      <c r="A476" s="69" t="n"/>
      <c r="B476" s="69" t="n"/>
      <c r="C476" s="69" t="n"/>
      <c r="D476" s="69" t="n"/>
      <c r="E476" s="69" t="n"/>
      <c r="F476" s="69" t="n"/>
      <c r="G476" s="69" t="n"/>
      <c r="H476" s="69" t="n"/>
      <c r="I476" s="69" t="n"/>
      <c r="J476" s="69" t="n"/>
      <c r="K476" s="69" t="n"/>
      <c r="L476" s="69" t="n"/>
      <c r="M476" s="69" t="n"/>
      <c r="N476" s="69" t="n"/>
      <c r="O476" s="69" t="n"/>
      <c r="P476" s="69" t="n"/>
      <c r="Q476" s="69" t="n"/>
      <c r="R476" s="69" t="n"/>
      <c r="S476" s="69" t="n"/>
      <c r="T476" s="69" t="n"/>
      <c r="U476" s="69" t="n"/>
      <c r="V476" s="69" t="n"/>
      <c r="W476" s="69" t="n"/>
      <c r="X476" s="69" t="n"/>
      <c r="Y476" s="69" t="n"/>
      <c r="Z476" s="69" t="n"/>
      <c r="AA476" s="69" t="n"/>
      <c r="AB476" s="69" t="n"/>
      <c r="AC476" s="69" t="n"/>
      <c r="AD476" s="69" t="n"/>
      <c r="AE476" s="69" t="n"/>
      <c r="AF476" s="69" t="n"/>
      <c r="AG476" s="69" t="n"/>
      <c r="AH476" s="69" t="n"/>
      <c r="AI476" s="69" t="n"/>
      <c r="AJ476" s="69" t="n"/>
      <c r="AK476" s="69" t="n"/>
      <c r="AL476" s="69" t="n"/>
      <c r="AM476" s="69" t="n"/>
      <c r="AN476" s="69" t="n"/>
      <c r="AO476" s="6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  <c r="AA477" s="59" t="n"/>
      <c r="AB477" s="59" t="n"/>
      <c r="AC477" s="59" t="n"/>
      <c r="AD477" s="59" t="n"/>
      <c r="AE477" s="59" t="n"/>
      <c r="AF477" s="59" t="n"/>
      <c r="AG477" s="59" t="n"/>
      <c r="AH477" s="59" t="n"/>
      <c r="AI477" s="59" t="n"/>
      <c r="AJ477" s="59" t="n"/>
      <c r="AK477" s="59" t="n"/>
      <c r="AL477" s="59" t="n"/>
      <c r="AM477" s="59" t="n"/>
      <c r="AN477" s="59" t="n"/>
      <c r="AO477" s="59" t="n"/>
    </row>
    <row r="478">
      <c r="A478" s="69" t="n"/>
      <c r="B478" s="69" t="n"/>
      <c r="C478" s="69" t="n"/>
      <c r="D478" s="69" t="n"/>
      <c r="E478" s="69" t="n"/>
      <c r="F478" s="69" t="n"/>
      <c r="G478" s="69" t="n"/>
      <c r="H478" s="69" t="n"/>
      <c r="I478" s="69" t="n"/>
      <c r="J478" s="69" t="n"/>
      <c r="K478" s="69" t="n"/>
      <c r="L478" s="69" t="n"/>
      <c r="M478" s="69" t="n"/>
      <c r="N478" s="69" t="n"/>
      <c r="O478" s="69" t="n"/>
      <c r="P478" s="69" t="n"/>
      <c r="Q478" s="69" t="n"/>
      <c r="R478" s="69" t="n"/>
      <c r="S478" s="69" t="n"/>
      <c r="T478" s="69" t="n"/>
      <c r="U478" s="69" t="n"/>
      <c r="V478" s="69" t="n"/>
      <c r="W478" s="69" t="n"/>
      <c r="X478" s="69" t="n"/>
      <c r="Y478" s="69" t="n"/>
      <c r="Z478" s="69" t="n"/>
      <c r="AA478" s="69" t="n"/>
      <c r="AB478" s="69" t="n"/>
      <c r="AC478" s="69" t="n"/>
      <c r="AD478" s="69" t="n"/>
      <c r="AE478" s="69" t="n"/>
      <c r="AF478" s="69" t="n"/>
      <c r="AG478" s="69" t="n"/>
      <c r="AH478" s="69" t="n"/>
      <c r="AI478" s="69" t="n"/>
      <c r="AJ478" s="69" t="n"/>
      <c r="AK478" s="69" t="n"/>
      <c r="AL478" s="69" t="n"/>
      <c r="AM478" s="69" t="n"/>
      <c r="AN478" s="69" t="n"/>
      <c r="AO478" s="6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  <c r="AA479" s="59" t="n"/>
      <c r="AB479" s="59" t="n"/>
      <c r="AC479" s="59" t="n"/>
      <c r="AD479" s="59" t="n"/>
      <c r="AE479" s="59" t="n"/>
      <c r="AF479" s="59" t="n"/>
      <c r="AG479" s="59" t="n"/>
      <c r="AH479" s="59" t="n"/>
      <c r="AI479" s="59" t="n"/>
      <c r="AJ479" s="59" t="n"/>
      <c r="AK479" s="59" t="n"/>
      <c r="AL479" s="59" t="n"/>
      <c r="AM479" s="59" t="n"/>
      <c r="AN479" s="59" t="n"/>
      <c r="AO479" s="59" t="n"/>
    </row>
    <row r="480">
      <c r="A480" s="69" t="n"/>
      <c r="B480" s="69" t="n"/>
      <c r="C480" s="69" t="n"/>
      <c r="D480" s="69" t="n"/>
      <c r="E480" s="69" t="n"/>
      <c r="F480" s="69" t="n"/>
      <c r="G480" s="69" t="n"/>
      <c r="H480" s="69" t="n"/>
      <c r="I480" s="69" t="n"/>
      <c r="J480" s="69" t="n"/>
      <c r="K480" s="69" t="n"/>
      <c r="L480" s="69" t="n"/>
      <c r="M480" s="69" t="n"/>
      <c r="N480" s="69" t="n"/>
      <c r="O480" s="69" t="n"/>
      <c r="P480" s="69" t="n"/>
      <c r="Q480" s="69" t="n"/>
      <c r="R480" s="69" t="n"/>
      <c r="S480" s="69" t="n"/>
      <c r="T480" s="69" t="n"/>
      <c r="U480" s="69" t="n"/>
      <c r="V480" s="69" t="n"/>
      <c r="W480" s="69" t="n"/>
      <c r="X480" s="69" t="n"/>
      <c r="Y480" s="69" t="n"/>
      <c r="Z480" s="69" t="n"/>
      <c r="AA480" s="69" t="n"/>
      <c r="AB480" s="69" t="n"/>
      <c r="AC480" s="69" t="n"/>
      <c r="AD480" s="69" t="n"/>
      <c r="AE480" s="69" t="n"/>
      <c r="AF480" s="69" t="n"/>
      <c r="AG480" s="69" t="n"/>
      <c r="AH480" s="69" t="n"/>
      <c r="AI480" s="69" t="n"/>
      <c r="AJ480" s="69" t="n"/>
      <c r="AK480" s="69" t="n"/>
      <c r="AL480" s="69" t="n"/>
      <c r="AM480" s="69" t="n"/>
      <c r="AN480" s="69" t="n"/>
      <c r="AO480" s="6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  <c r="AA481" s="59" t="n"/>
      <c r="AB481" s="59" t="n"/>
      <c r="AC481" s="59" t="n"/>
      <c r="AD481" s="59" t="n"/>
      <c r="AE481" s="59" t="n"/>
      <c r="AF481" s="59" t="n"/>
      <c r="AG481" s="59" t="n"/>
      <c r="AH481" s="59" t="n"/>
      <c r="AI481" s="59" t="n"/>
      <c r="AJ481" s="59" t="n"/>
      <c r="AK481" s="59" t="n"/>
      <c r="AL481" s="59" t="n"/>
      <c r="AM481" s="59" t="n"/>
      <c r="AN481" s="59" t="n"/>
      <c r="AO481" s="59" t="n"/>
    </row>
    <row r="482">
      <c r="A482" s="69" t="n"/>
      <c r="B482" s="69" t="n"/>
      <c r="C482" s="69" t="n"/>
      <c r="D482" s="69" t="n"/>
      <c r="E482" s="69" t="n"/>
      <c r="F482" s="69" t="n"/>
      <c r="G482" s="69" t="n"/>
      <c r="H482" s="69" t="n"/>
      <c r="I482" s="69" t="n"/>
      <c r="J482" s="69" t="n"/>
      <c r="K482" s="69" t="n"/>
      <c r="L482" s="69" t="n"/>
      <c r="M482" s="69" t="n"/>
      <c r="N482" s="69" t="n"/>
      <c r="O482" s="69" t="n"/>
      <c r="P482" s="69" t="n"/>
      <c r="Q482" s="69" t="n"/>
      <c r="R482" s="69" t="n"/>
      <c r="S482" s="69" t="n"/>
      <c r="T482" s="69" t="n"/>
      <c r="U482" s="69" t="n"/>
      <c r="V482" s="69" t="n"/>
      <c r="W482" s="69" t="n"/>
      <c r="X482" s="69" t="n"/>
      <c r="Y482" s="69" t="n"/>
      <c r="Z482" s="69" t="n"/>
      <c r="AA482" s="69" t="n"/>
      <c r="AB482" s="69" t="n"/>
      <c r="AC482" s="69" t="n"/>
      <c r="AD482" s="69" t="n"/>
      <c r="AE482" s="69" t="n"/>
      <c r="AF482" s="69" t="n"/>
      <c r="AG482" s="69" t="n"/>
      <c r="AH482" s="69" t="n"/>
      <c r="AI482" s="69" t="n"/>
      <c r="AJ482" s="69" t="n"/>
      <c r="AK482" s="69" t="n"/>
      <c r="AL482" s="69" t="n"/>
      <c r="AM482" s="69" t="n"/>
      <c r="AN482" s="69" t="n"/>
      <c r="AO482" s="6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  <c r="AA483" s="59" t="n"/>
      <c r="AB483" s="59" t="n"/>
      <c r="AC483" s="59" t="n"/>
      <c r="AD483" s="59" t="n"/>
      <c r="AE483" s="59" t="n"/>
      <c r="AF483" s="59" t="n"/>
      <c r="AG483" s="59" t="n"/>
      <c r="AH483" s="59" t="n"/>
      <c r="AI483" s="59" t="n"/>
      <c r="AJ483" s="59" t="n"/>
      <c r="AK483" s="59" t="n"/>
      <c r="AL483" s="59" t="n"/>
      <c r="AM483" s="59" t="n"/>
      <c r="AN483" s="59" t="n"/>
      <c r="AO483" s="59" t="n"/>
    </row>
    <row r="484">
      <c r="A484" s="69" t="n"/>
      <c r="B484" s="69" t="n"/>
      <c r="C484" s="69" t="n"/>
      <c r="D484" s="69" t="n"/>
      <c r="E484" s="69" t="n"/>
      <c r="F484" s="69" t="n"/>
      <c r="G484" s="69" t="n"/>
      <c r="H484" s="69" t="n"/>
      <c r="I484" s="69" t="n"/>
      <c r="J484" s="69" t="n"/>
      <c r="K484" s="69" t="n"/>
      <c r="L484" s="69" t="n"/>
      <c r="M484" s="69" t="n"/>
      <c r="N484" s="69" t="n"/>
      <c r="O484" s="69" t="n"/>
      <c r="P484" s="69" t="n"/>
      <c r="Q484" s="69" t="n"/>
      <c r="R484" s="69" t="n"/>
      <c r="S484" s="69" t="n"/>
      <c r="T484" s="69" t="n"/>
      <c r="U484" s="69" t="n"/>
      <c r="V484" s="69" t="n"/>
      <c r="W484" s="69" t="n"/>
      <c r="X484" s="69" t="n"/>
      <c r="Y484" s="69" t="n"/>
      <c r="Z484" s="69" t="n"/>
      <c r="AA484" s="69" t="n"/>
      <c r="AB484" s="69" t="n"/>
      <c r="AC484" s="69" t="n"/>
      <c r="AD484" s="69" t="n"/>
      <c r="AE484" s="69" t="n"/>
      <c r="AF484" s="69" t="n"/>
      <c r="AG484" s="69" t="n"/>
      <c r="AH484" s="69" t="n"/>
      <c r="AI484" s="69" t="n"/>
      <c r="AJ484" s="69" t="n"/>
      <c r="AK484" s="69" t="n"/>
      <c r="AL484" s="69" t="n"/>
      <c r="AM484" s="69" t="n"/>
      <c r="AN484" s="69" t="n"/>
      <c r="AO484" s="6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  <c r="AA485" s="59" t="n"/>
      <c r="AB485" s="59" t="n"/>
      <c r="AC485" s="59" t="n"/>
      <c r="AD485" s="59" t="n"/>
      <c r="AE485" s="59" t="n"/>
      <c r="AF485" s="59" t="n"/>
      <c r="AG485" s="59" t="n"/>
      <c r="AH485" s="59" t="n"/>
      <c r="AI485" s="59" t="n"/>
      <c r="AJ485" s="59" t="n"/>
      <c r="AK485" s="59" t="n"/>
      <c r="AL485" s="59" t="n"/>
      <c r="AM485" s="59" t="n"/>
      <c r="AN485" s="59" t="n"/>
      <c r="AO485" s="59" t="n"/>
    </row>
    <row r="486">
      <c r="A486" s="69" t="n"/>
      <c r="B486" s="69" t="n"/>
      <c r="C486" s="69" t="n"/>
      <c r="D486" s="69" t="n"/>
      <c r="E486" s="69" t="n"/>
      <c r="F486" s="69" t="n"/>
      <c r="G486" s="69" t="n"/>
      <c r="H486" s="69" t="n"/>
      <c r="I486" s="69" t="n"/>
      <c r="J486" s="69" t="n"/>
      <c r="K486" s="69" t="n"/>
      <c r="L486" s="69" t="n"/>
      <c r="M486" s="69" t="n"/>
      <c r="N486" s="69" t="n"/>
      <c r="O486" s="69" t="n"/>
      <c r="P486" s="69" t="n"/>
      <c r="Q486" s="69" t="n"/>
      <c r="R486" s="69" t="n"/>
      <c r="S486" s="69" t="n"/>
      <c r="T486" s="69" t="n"/>
      <c r="U486" s="69" t="n"/>
      <c r="V486" s="69" t="n"/>
      <c r="W486" s="69" t="n"/>
      <c r="X486" s="69" t="n"/>
      <c r="Y486" s="69" t="n"/>
      <c r="Z486" s="69" t="n"/>
      <c r="AA486" s="69" t="n"/>
      <c r="AB486" s="69" t="n"/>
      <c r="AC486" s="69" t="n"/>
      <c r="AD486" s="69" t="n"/>
      <c r="AE486" s="69" t="n"/>
      <c r="AF486" s="69" t="n"/>
      <c r="AG486" s="69" t="n"/>
      <c r="AH486" s="69" t="n"/>
      <c r="AI486" s="69" t="n"/>
      <c r="AJ486" s="69" t="n"/>
      <c r="AK486" s="69" t="n"/>
      <c r="AL486" s="69" t="n"/>
      <c r="AM486" s="69" t="n"/>
      <c r="AN486" s="69" t="n"/>
      <c r="AO486" s="6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  <c r="AA487" s="59" t="n"/>
      <c r="AB487" s="59" t="n"/>
      <c r="AC487" s="59" t="n"/>
      <c r="AD487" s="59" t="n"/>
      <c r="AE487" s="59" t="n"/>
      <c r="AF487" s="59" t="n"/>
      <c r="AG487" s="59" t="n"/>
      <c r="AH487" s="59" t="n"/>
      <c r="AI487" s="59" t="n"/>
      <c r="AJ487" s="59" t="n"/>
      <c r="AK487" s="59" t="n"/>
      <c r="AL487" s="59" t="n"/>
      <c r="AM487" s="59" t="n"/>
      <c r="AN487" s="59" t="n"/>
      <c r="AO487" s="59" t="n"/>
    </row>
    <row r="488">
      <c r="A488" s="69" t="n"/>
      <c r="B488" s="69" t="n"/>
      <c r="C488" s="69" t="n"/>
      <c r="D488" s="69" t="n"/>
      <c r="E488" s="69" t="n"/>
      <c r="F488" s="69" t="n"/>
      <c r="G488" s="69" t="n"/>
      <c r="H488" s="69" t="n"/>
      <c r="I488" s="69" t="n"/>
      <c r="J488" s="69" t="n"/>
      <c r="K488" s="69" t="n"/>
      <c r="L488" s="69" t="n"/>
      <c r="M488" s="69" t="n"/>
      <c r="N488" s="69" t="n"/>
      <c r="O488" s="69" t="n"/>
      <c r="P488" s="69" t="n"/>
      <c r="Q488" s="69" t="n"/>
      <c r="R488" s="69" t="n"/>
      <c r="S488" s="69" t="n"/>
      <c r="T488" s="69" t="n"/>
      <c r="U488" s="69" t="n"/>
      <c r="V488" s="69" t="n"/>
      <c r="W488" s="69" t="n"/>
      <c r="X488" s="69" t="n"/>
      <c r="Y488" s="69" t="n"/>
      <c r="Z488" s="69" t="n"/>
      <c r="AA488" s="69" t="n"/>
      <c r="AB488" s="69" t="n"/>
      <c r="AC488" s="69" t="n"/>
      <c r="AD488" s="69" t="n"/>
      <c r="AE488" s="69" t="n"/>
      <c r="AF488" s="69" t="n"/>
      <c r="AG488" s="69" t="n"/>
      <c r="AH488" s="69" t="n"/>
      <c r="AI488" s="69" t="n"/>
      <c r="AJ488" s="69" t="n"/>
      <c r="AK488" s="69" t="n"/>
      <c r="AL488" s="69" t="n"/>
      <c r="AM488" s="69" t="n"/>
      <c r="AN488" s="69" t="n"/>
      <c r="AO488" s="6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  <c r="AA489" s="59" t="n"/>
      <c r="AB489" s="59" t="n"/>
      <c r="AC489" s="59" t="n"/>
      <c r="AD489" s="59" t="n"/>
      <c r="AE489" s="59" t="n"/>
      <c r="AF489" s="59" t="n"/>
      <c r="AG489" s="59" t="n"/>
      <c r="AH489" s="59" t="n"/>
      <c r="AI489" s="59" t="n"/>
      <c r="AJ489" s="59" t="n"/>
      <c r="AK489" s="59" t="n"/>
      <c r="AL489" s="59" t="n"/>
      <c r="AM489" s="59" t="n"/>
      <c r="AN489" s="59" t="n"/>
      <c r="AO489" s="59" t="n"/>
    </row>
    <row r="490">
      <c r="A490" s="69" t="n"/>
      <c r="B490" s="69" t="n"/>
      <c r="C490" s="69" t="n"/>
      <c r="D490" s="69" t="n"/>
      <c r="E490" s="69" t="n"/>
      <c r="F490" s="69" t="n"/>
      <c r="G490" s="69" t="n"/>
      <c r="H490" s="69" t="n"/>
      <c r="I490" s="69" t="n"/>
      <c r="J490" s="69" t="n"/>
      <c r="K490" s="69" t="n"/>
      <c r="L490" s="69" t="n"/>
      <c r="M490" s="69" t="n"/>
      <c r="N490" s="69" t="n"/>
      <c r="O490" s="69" t="n"/>
      <c r="P490" s="69" t="n"/>
      <c r="Q490" s="69" t="n"/>
      <c r="R490" s="69" t="n"/>
      <c r="S490" s="69" t="n"/>
      <c r="T490" s="69" t="n"/>
      <c r="U490" s="69" t="n"/>
      <c r="V490" s="69" t="n"/>
      <c r="W490" s="69" t="n"/>
      <c r="X490" s="69" t="n"/>
      <c r="Y490" s="69" t="n"/>
      <c r="Z490" s="69" t="n"/>
      <c r="AA490" s="69" t="n"/>
      <c r="AB490" s="69" t="n"/>
      <c r="AC490" s="69" t="n"/>
      <c r="AD490" s="69" t="n"/>
      <c r="AE490" s="69" t="n"/>
      <c r="AF490" s="69" t="n"/>
      <c r="AG490" s="69" t="n"/>
      <c r="AH490" s="69" t="n"/>
      <c r="AI490" s="69" t="n"/>
      <c r="AJ490" s="69" t="n"/>
      <c r="AK490" s="69" t="n"/>
      <c r="AL490" s="69" t="n"/>
      <c r="AM490" s="69" t="n"/>
      <c r="AN490" s="69" t="n"/>
      <c r="AO490" s="6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  <c r="AA491" s="59" t="n"/>
      <c r="AB491" s="59" t="n"/>
      <c r="AC491" s="59" t="n"/>
      <c r="AD491" s="59" t="n"/>
      <c r="AE491" s="59" t="n"/>
      <c r="AF491" s="59" t="n"/>
      <c r="AG491" s="59" t="n"/>
      <c r="AH491" s="59" t="n"/>
      <c r="AI491" s="59" t="n"/>
      <c r="AJ491" s="59" t="n"/>
      <c r="AK491" s="59" t="n"/>
      <c r="AL491" s="59" t="n"/>
      <c r="AM491" s="59" t="n"/>
      <c r="AN491" s="59" t="n"/>
      <c r="AO491" s="59" t="n"/>
    </row>
    <row r="492">
      <c r="A492" s="69" t="n"/>
      <c r="B492" s="69" t="n"/>
      <c r="C492" s="69" t="n"/>
      <c r="D492" s="69" t="n"/>
      <c r="E492" s="69" t="n"/>
      <c r="F492" s="69" t="n"/>
      <c r="G492" s="69" t="n"/>
      <c r="H492" s="69" t="n"/>
      <c r="I492" s="69" t="n"/>
      <c r="J492" s="69" t="n"/>
      <c r="K492" s="69" t="n"/>
      <c r="L492" s="69" t="n"/>
      <c r="M492" s="69" t="n"/>
      <c r="N492" s="69" t="n"/>
      <c r="O492" s="69" t="n"/>
      <c r="P492" s="69" t="n"/>
      <c r="Q492" s="69" t="n"/>
      <c r="R492" s="69" t="n"/>
      <c r="S492" s="69" t="n"/>
      <c r="T492" s="69" t="n"/>
      <c r="U492" s="69" t="n"/>
      <c r="V492" s="69" t="n"/>
      <c r="W492" s="69" t="n"/>
      <c r="X492" s="69" t="n"/>
      <c r="Y492" s="69" t="n"/>
      <c r="Z492" s="69" t="n"/>
      <c r="AA492" s="69" t="n"/>
      <c r="AB492" s="69" t="n"/>
      <c r="AC492" s="69" t="n"/>
      <c r="AD492" s="69" t="n"/>
      <c r="AE492" s="69" t="n"/>
      <c r="AF492" s="69" t="n"/>
      <c r="AG492" s="69" t="n"/>
      <c r="AH492" s="69" t="n"/>
      <c r="AI492" s="69" t="n"/>
      <c r="AJ492" s="69" t="n"/>
      <c r="AK492" s="69" t="n"/>
      <c r="AL492" s="69" t="n"/>
      <c r="AM492" s="69" t="n"/>
      <c r="AN492" s="69" t="n"/>
      <c r="AO492" s="6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  <c r="AA493" s="59" t="n"/>
      <c r="AB493" s="59" t="n"/>
      <c r="AC493" s="59" t="n"/>
      <c r="AD493" s="59" t="n"/>
      <c r="AE493" s="59" t="n"/>
      <c r="AF493" s="59" t="n"/>
      <c r="AG493" s="59" t="n"/>
      <c r="AH493" s="59" t="n"/>
      <c r="AI493" s="59" t="n"/>
      <c r="AJ493" s="59" t="n"/>
      <c r="AK493" s="59" t="n"/>
      <c r="AL493" s="59" t="n"/>
      <c r="AM493" s="59" t="n"/>
      <c r="AN493" s="59" t="n"/>
      <c r="AO493" s="59" t="n"/>
    </row>
    <row r="494">
      <c r="A494" s="69" t="n"/>
      <c r="B494" s="69" t="n"/>
      <c r="C494" s="69" t="n"/>
      <c r="D494" s="69" t="n"/>
      <c r="E494" s="69" t="n"/>
      <c r="F494" s="69" t="n"/>
      <c r="G494" s="69" t="n"/>
      <c r="H494" s="69" t="n"/>
      <c r="I494" s="69" t="n"/>
      <c r="J494" s="69" t="n"/>
      <c r="K494" s="69" t="n"/>
      <c r="L494" s="69" t="n"/>
      <c r="M494" s="69" t="n"/>
      <c r="N494" s="69" t="n"/>
      <c r="O494" s="69" t="n"/>
      <c r="P494" s="69" t="n"/>
      <c r="Q494" s="69" t="n"/>
      <c r="R494" s="69" t="n"/>
      <c r="S494" s="69" t="n"/>
      <c r="T494" s="69" t="n"/>
      <c r="U494" s="69" t="n"/>
      <c r="V494" s="69" t="n"/>
      <c r="W494" s="69" t="n"/>
      <c r="X494" s="69" t="n"/>
      <c r="Y494" s="69" t="n"/>
      <c r="Z494" s="69" t="n"/>
      <c r="AA494" s="69" t="n"/>
      <c r="AB494" s="69" t="n"/>
      <c r="AC494" s="69" t="n"/>
      <c r="AD494" s="69" t="n"/>
      <c r="AE494" s="69" t="n"/>
      <c r="AF494" s="69" t="n"/>
      <c r="AG494" s="69" t="n"/>
      <c r="AH494" s="69" t="n"/>
      <c r="AI494" s="69" t="n"/>
      <c r="AJ494" s="69" t="n"/>
      <c r="AK494" s="69" t="n"/>
      <c r="AL494" s="69" t="n"/>
      <c r="AM494" s="69" t="n"/>
      <c r="AN494" s="69" t="n"/>
      <c r="AO494" s="6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  <c r="AA495" s="59" t="n"/>
      <c r="AB495" s="59" t="n"/>
      <c r="AC495" s="59" t="n"/>
      <c r="AD495" s="59" t="n"/>
      <c r="AE495" s="59" t="n"/>
      <c r="AF495" s="59" t="n"/>
      <c r="AG495" s="59" t="n"/>
      <c r="AH495" s="59" t="n"/>
      <c r="AI495" s="59" t="n"/>
      <c r="AJ495" s="59" t="n"/>
      <c r="AK495" s="59" t="n"/>
      <c r="AL495" s="59" t="n"/>
      <c r="AM495" s="59" t="n"/>
      <c r="AN495" s="59" t="n"/>
      <c r="AO495" s="59" t="n"/>
    </row>
    <row r="496">
      <c r="A496" s="69" t="n"/>
      <c r="B496" s="69" t="n"/>
      <c r="C496" s="69" t="n"/>
      <c r="D496" s="69" t="n"/>
      <c r="E496" s="69" t="n"/>
      <c r="F496" s="69" t="n"/>
      <c r="G496" s="69" t="n"/>
      <c r="H496" s="69" t="n"/>
      <c r="I496" s="69" t="n"/>
      <c r="J496" s="69" t="n"/>
      <c r="K496" s="69" t="n"/>
      <c r="L496" s="69" t="n"/>
      <c r="M496" s="69" t="n"/>
      <c r="N496" s="69" t="n"/>
      <c r="O496" s="69" t="n"/>
      <c r="P496" s="69" t="n"/>
      <c r="Q496" s="69" t="n"/>
      <c r="R496" s="69" t="n"/>
      <c r="S496" s="69" t="n"/>
      <c r="T496" s="69" t="n"/>
      <c r="U496" s="69" t="n"/>
      <c r="V496" s="69" t="n"/>
      <c r="W496" s="69" t="n"/>
      <c r="X496" s="69" t="n"/>
      <c r="Y496" s="69" t="n"/>
      <c r="Z496" s="69" t="n"/>
      <c r="AA496" s="69" t="n"/>
      <c r="AB496" s="69" t="n"/>
      <c r="AC496" s="69" t="n"/>
      <c r="AD496" s="69" t="n"/>
      <c r="AE496" s="69" t="n"/>
      <c r="AF496" s="69" t="n"/>
      <c r="AG496" s="69" t="n"/>
      <c r="AH496" s="69" t="n"/>
      <c r="AI496" s="69" t="n"/>
      <c r="AJ496" s="69" t="n"/>
      <c r="AK496" s="69" t="n"/>
      <c r="AL496" s="69" t="n"/>
      <c r="AM496" s="69" t="n"/>
      <c r="AN496" s="69" t="n"/>
      <c r="AO496" s="6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  <c r="AA497" s="59" t="n"/>
      <c r="AB497" s="59" t="n"/>
      <c r="AC497" s="59" t="n"/>
      <c r="AD497" s="59" t="n"/>
      <c r="AE497" s="59" t="n"/>
      <c r="AF497" s="59" t="n"/>
      <c r="AG497" s="59" t="n"/>
      <c r="AH497" s="59" t="n"/>
      <c r="AI497" s="59" t="n"/>
      <c r="AJ497" s="59" t="n"/>
      <c r="AK497" s="59" t="n"/>
      <c r="AL497" s="59" t="n"/>
      <c r="AM497" s="59" t="n"/>
      <c r="AN497" s="59" t="n"/>
      <c r="AO497" s="59" t="n"/>
    </row>
    <row r="498">
      <c r="A498" s="69" t="n"/>
      <c r="B498" s="69" t="n"/>
      <c r="C498" s="69" t="n"/>
      <c r="D498" s="69" t="n"/>
      <c r="E498" s="69" t="n"/>
      <c r="F498" s="69" t="n"/>
      <c r="G498" s="69" t="n"/>
      <c r="H498" s="69" t="n"/>
      <c r="I498" s="69" t="n"/>
      <c r="J498" s="69" t="n"/>
      <c r="K498" s="69" t="n"/>
      <c r="L498" s="69" t="n"/>
      <c r="M498" s="69" t="n"/>
      <c r="N498" s="69" t="n"/>
      <c r="O498" s="69" t="n"/>
      <c r="P498" s="69" t="n"/>
      <c r="Q498" s="69" t="n"/>
      <c r="R498" s="69" t="n"/>
      <c r="S498" s="69" t="n"/>
      <c r="T498" s="69" t="n"/>
      <c r="U498" s="69" t="n"/>
      <c r="V498" s="69" t="n"/>
      <c r="W498" s="69" t="n"/>
      <c r="X498" s="69" t="n"/>
      <c r="Y498" s="69" t="n"/>
      <c r="Z498" s="69" t="n"/>
      <c r="AA498" s="69" t="n"/>
      <c r="AB498" s="69" t="n"/>
      <c r="AC498" s="69" t="n"/>
      <c r="AD498" s="69" t="n"/>
      <c r="AE498" s="69" t="n"/>
      <c r="AF498" s="69" t="n"/>
      <c r="AG498" s="69" t="n"/>
      <c r="AH498" s="69" t="n"/>
      <c r="AI498" s="69" t="n"/>
      <c r="AJ498" s="69" t="n"/>
      <c r="AK498" s="69" t="n"/>
      <c r="AL498" s="69" t="n"/>
      <c r="AM498" s="69" t="n"/>
      <c r="AN498" s="69" t="n"/>
      <c r="AO498" s="6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  <c r="AA499" s="59" t="n"/>
      <c r="AB499" s="59" t="n"/>
      <c r="AC499" s="59" t="n"/>
      <c r="AD499" s="59" t="n"/>
      <c r="AE499" s="59" t="n"/>
      <c r="AF499" s="59" t="n"/>
      <c r="AG499" s="59" t="n"/>
      <c r="AH499" s="59" t="n"/>
      <c r="AI499" s="59" t="n"/>
      <c r="AJ499" s="59" t="n"/>
      <c r="AK499" s="59" t="n"/>
      <c r="AL499" s="59" t="n"/>
      <c r="AM499" s="59" t="n"/>
      <c r="AN499" s="59" t="n"/>
      <c r="AO499" s="59" t="n"/>
    </row>
    <row r="500">
      <c r="A500" s="69" t="n"/>
      <c r="B500" s="69" t="n"/>
      <c r="C500" s="69" t="n"/>
      <c r="D500" s="69" t="n"/>
      <c r="E500" s="69" t="n"/>
      <c r="F500" s="69" t="n"/>
      <c r="G500" s="69" t="n"/>
      <c r="H500" s="69" t="n"/>
      <c r="I500" s="69" t="n"/>
      <c r="J500" s="69" t="n"/>
      <c r="K500" s="69" t="n"/>
      <c r="L500" s="69" t="n"/>
      <c r="M500" s="69" t="n"/>
      <c r="N500" s="69" t="n"/>
      <c r="O500" s="69" t="n"/>
      <c r="P500" s="69" t="n"/>
      <c r="Q500" s="69" t="n"/>
      <c r="R500" s="69" t="n"/>
      <c r="S500" s="69" t="n"/>
      <c r="T500" s="69" t="n"/>
      <c r="U500" s="69" t="n"/>
      <c r="V500" s="69" t="n"/>
      <c r="W500" s="69" t="n"/>
      <c r="X500" s="69" t="n"/>
      <c r="Y500" s="69" t="n"/>
      <c r="Z500" s="69" t="n"/>
      <c r="AA500" s="69" t="n"/>
      <c r="AB500" s="69" t="n"/>
      <c r="AC500" s="69" t="n"/>
      <c r="AD500" s="69" t="n"/>
      <c r="AE500" s="69" t="n"/>
      <c r="AF500" s="69" t="n"/>
      <c r="AG500" s="69" t="n"/>
      <c r="AH500" s="69" t="n"/>
      <c r="AI500" s="69" t="n"/>
      <c r="AJ500" s="69" t="n"/>
      <c r="AK500" s="69" t="n"/>
      <c r="AL500" s="69" t="n"/>
      <c r="AM500" s="69" t="n"/>
      <c r="AN500" s="69" t="n"/>
      <c r="AO500" s="69" t="n"/>
    </row>
  </sheetData>
  <mergeCells count="7">
    <mergeCell ref="AL2:AO2"/>
    <mergeCell ref="U2:AF2"/>
    <mergeCell ref="A1:AO1"/>
    <mergeCell ref="A2:K2"/>
    <mergeCell ref="AG2:AK2"/>
    <mergeCell ref="L2:N2"/>
    <mergeCell ref="O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A1:T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108" min="1" max="1"/>
    <col width="18" customWidth="1" style="108" min="2" max="2"/>
    <col width="22" customWidth="1" style="108" min="3" max="3"/>
    <col width="18" customWidth="1" style="108" min="4" max="4"/>
    <col width="5" customWidth="1" style="108" min="5" max="5"/>
    <col width="16" customWidth="1" style="108" min="6" max="6"/>
    <col width="12" customWidth="1" style="108" min="7" max="7"/>
    <col width="10" customWidth="1" style="108" min="8" max="9"/>
    <col width="14" customWidth="1" style="108" min="10" max="10"/>
    <col width="10" customWidth="1" style="108" min="11" max="11"/>
    <col width="28" customWidth="1" style="108" min="12" max="12"/>
    <col width="22" customWidth="1" style="108" min="13" max="13"/>
    <col width="30" customWidth="1" style="108" min="14" max="14"/>
    <col width="12" customWidth="1" style="108" min="15" max="15"/>
    <col width="14" customWidth="1" style="108" min="16" max="18"/>
    <col width="10" customWidth="1" style="108" min="19" max="19"/>
    <col width="30" customWidth="1" style="108" min="20" max="20"/>
  </cols>
  <sheetData>
    <row r="1" ht="23.25" customHeight="1" s="108">
      <c r="A1" s="51" t="inlineStr">
        <is>
          <t>DATA</t>
        </is>
      </c>
      <c r="B1" s="51" t="inlineStr">
        <is>
          <t>CONSULTOR</t>
        </is>
      </c>
      <c r="C1" s="51" t="inlineStr">
        <is>
          <t>NOME FANTASIA</t>
        </is>
      </c>
      <c r="D1" s="51" t="inlineStr">
        <is>
          <t>CNPJ</t>
        </is>
      </c>
      <c r="E1" s="51" t="inlineStr">
        <is>
          <t>UF</t>
        </is>
      </c>
      <c r="F1" s="51" t="inlineStr">
        <is>
          <t>REDE / REGIONAL</t>
        </is>
      </c>
      <c r="G1" s="51" t="inlineStr">
        <is>
          <t>SITUAÇÃO</t>
        </is>
      </c>
      <c r="H1" s="52" t="inlineStr">
        <is>
          <t>WHATSAPP</t>
        </is>
      </c>
      <c r="I1" s="52" t="inlineStr">
        <is>
          <t>LIGAÇÃO</t>
        </is>
      </c>
      <c r="J1" s="52" t="inlineStr">
        <is>
          <t>LIGAÇÃO ATENDIDA</t>
        </is>
      </c>
      <c r="K1" s="52" t="inlineStr">
        <is>
          <t>TIPO AÇÃO</t>
        </is>
      </c>
      <c r="L1" s="53" t="inlineStr">
        <is>
          <t>TIPO DO CONTATO</t>
        </is>
      </c>
      <c r="M1" s="53" t="inlineStr">
        <is>
          <t>RESULTADO</t>
        </is>
      </c>
      <c r="N1" s="53" t="inlineStr">
        <is>
          <t>MOTIVO</t>
        </is>
      </c>
      <c r="O1" s="54" t="inlineStr">
        <is>
          <t>FOLLOW-UP</t>
        </is>
      </c>
      <c r="P1" s="54" t="inlineStr">
        <is>
          <t>AÇÃO</t>
        </is>
      </c>
      <c r="Q1" s="55" t="inlineStr">
        <is>
          <t>MERCOS ATUALIZADO</t>
        </is>
      </c>
      <c r="R1" s="55" t="inlineStr">
        <is>
          <t>FASE</t>
        </is>
      </c>
      <c r="S1" s="55" t="inlineStr">
        <is>
          <t>TENTATIVA</t>
        </is>
      </c>
      <c r="T1" s="55" t="inlineStr">
        <is>
          <t>NOTA DO DIA / AÇÃO</t>
        </is>
      </c>
    </row>
    <row r="2" ht="15" customHeight="1" s="108">
      <c r="A2" s="56" t="n">
        <v>46056</v>
      </c>
      <c r="B2" t="inlineStr">
        <is>
          <t>MANU DITZEL</t>
        </is>
      </c>
      <c r="C2" t="inlineStr">
        <is>
          <t>DIVINA TERRA CWB</t>
        </is>
      </c>
      <c r="D2" t="inlineStr">
        <is>
          <t>32828171000108</t>
        </is>
      </c>
      <c r="E2" t="inlineStr">
        <is>
          <t>PR</t>
        </is>
      </c>
      <c r="F2" t="inlineStr">
        <is>
          <t>DIVINA TERRA</t>
        </is>
      </c>
      <c r="G2" t="inlineStr">
        <is>
          <t>ATIVO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ATIVO</t>
        </is>
      </c>
      <c r="L2" t="inlineStr">
        <is>
          <t>ATEND. CLIENTES ATIVOS</t>
        </is>
      </c>
      <c r="M2" t="inlineStr">
        <is>
          <t>VENDA / PEDIDO</t>
        </is>
      </c>
      <c r="N2" t="inlineStr">
        <is>
          <t>PRIMEIRO CONTATO / SEM RESPOSTA</t>
        </is>
      </c>
      <c r="O2" s="57">
        <f>IF(M2="","",(IF(OR(M2="SUPORTE",M2="PERDA / FECHOU LOJA"),"SEM",A2+VLOOKUP(M2,REGRAS!$B$2:$C$13,2,FALSE()))))</f>
        <v/>
      </c>
      <c r="P2" t="inlineStr">
        <is>
          <t>RECOMPRA</t>
        </is>
      </c>
      <c r="Q2" t="inlineStr">
        <is>
          <t>SIM</t>
        </is>
      </c>
      <c r="R2" t="inlineStr">
        <is>
          <t>CS</t>
        </is>
      </c>
      <c r="S2" t="inlineStr">
        <is>
          <t>T1</t>
        </is>
      </c>
      <c r="T2" t="inlineStr">
        <is>
          <t>Pedido confirmado</t>
        </is>
      </c>
    </row>
    <row r="3" ht="15" customHeight="1" s="108">
      <c r="A3" s="56" t="n">
        <v>46056</v>
      </c>
      <c r="B3" t="inlineStr">
        <is>
          <t>LARISSA PADILHA</t>
        </is>
      </c>
      <c r="C3" t="inlineStr">
        <is>
          <t>BIO MUNDO SP</t>
        </is>
      </c>
      <c r="D3" t="inlineStr">
        <is>
          <t>41626544000140</t>
        </is>
      </c>
      <c r="E3" t="inlineStr">
        <is>
          <t>SP</t>
        </is>
      </c>
      <c r="F3" t="inlineStr">
        <is>
          <t>BIOMUNDO</t>
        </is>
      </c>
      <c r="G3" t="inlineStr">
        <is>
          <t>INAT.REC</t>
        </is>
      </c>
      <c r="H3" t="inlineStr">
        <is>
          <t>SIM</t>
        </is>
      </c>
      <c r="I3" t="inlineStr">
        <is>
          <t>NÃO</t>
        </is>
      </c>
      <c r="J3" t="inlineStr">
        <is>
          <t>N/A</t>
        </is>
      </c>
      <c r="K3" t="inlineStr">
        <is>
          <t>ATIVO</t>
        </is>
      </c>
      <c r="L3" t="inlineStr">
        <is>
          <t>ATEND. CLIENTES INATIVOS</t>
        </is>
      </c>
      <c r="M3" t="inlineStr">
        <is>
          <t>NÃO RESPONDE</t>
        </is>
      </c>
      <c r="N3" t="inlineStr">
        <is>
          <t>SEM INTERESSE NO MOMENTO</t>
        </is>
      </c>
      <c r="O3" s="57">
        <f>IF(M3="","",(IF(OR(M3="SUPORTE",M3="PERDA / FECHOU LOJA"),"SEM",A3+VLOOKUP(M3,REGRAS!$B$2:$C$13,2,FALSE()))))</f>
        <v/>
      </c>
      <c r="P3" t="inlineStr">
        <is>
          <t>SALVAMENTO</t>
        </is>
      </c>
      <c r="Q3" t="inlineStr">
        <is>
          <t>NÃO</t>
        </is>
      </c>
      <c r="R3" t="inlineStr">
        <is>
          <t>RECUPERAÇÃO</t>
        </is>
      </c>
      <c r="S3" t="inlineStr">
        <is>
          <t>T1</t>
        </is>
      </c>
      <c r="T3" t="inlineStr">
        <is>
          <t>Sem resposta WhatsApp</t>
        </is>
      </c>
    </row>
    <row r="4" ht="15" customHeight="1" s="108">
      <c r="A4" s="56" t="n">
        <v>46057</v>
      </c>
      <c r="B4" t="inlineStr">
        <is>
          <t>JULIO GADRET</t>
        </is>
      </c>
      <c r="C4" t="inlineStr">
        <is>
          <t>CIA SAUDE CURITIBA</t>
        </is>
      </c>
      <c r="D4" t="inlineStr">
        <is>
          <t>12345678000199</t>
        </is>
      </c>
      <c r="E4" t="inlineStr">
        <is>
          <t>PR</t>
        </is>
      </c>
      <c r="F4" t="inlineStr">
        <is>
          <t>CIA DA SAUDE</t>
        </is>
      </c>
      <c r="G4" t="inlineStr">
        <is>
          <t>ATIVO</t>
        </is>
      </c>
      <c r="H4" t="inlineStr">
        <is>
          <t>SIM</t>
        </is>
      </c>
      <c r="I4" t="inlineStr">
        <is>
          <t>SIM</t>
        </is>
      </c>
      <c r="J4" t="inlineStr">
        <is>
          <t>SIM</t>
        </is>
      </c>
      <c r="K4" t="inlineStr">
        <is>
          <t>RECEPTIVO</t>
        </is>
      </c>
      <c r="L4" t="inlineStr">
        <is>
          <t>NEGOCIAÇÃO</t>
        </is>
      </c>
      <c r="M4" t="inlineStr">
        <is>
          <t>ORÇAMENTO</t>
        </is>
      </c>
      <c r="N4" t="inlineStr">
        <is>
          <t>PRIMEIRO CONTATO / SEM RESPOSTA</t>
        </is>
      </c>
      <c r="O4" s="57">
        <f>IF(M4="","",(IF(OR(M4="SUPORTE",M4="PERDA / FECHOU LOJA"),"SEM",A4+VLOOKUP(M4,REGRAS!$B$2:$C$13,2,FALSE()))))</f>
        <v/>
      </c>
      <c r="P4" t="inlineStr">
        <is>
          <t>PÓS-VENDA</t>
        </is>
      </c>
      <c r="Q4" t="inlineStr">
        <is>
          <t>SIM</t>
        </is>
      </c>
      <c r="R4" t="inlineStr">
        <is>
          <t>PÓS-VENDA</t>
        </is>
      </c>
      <c r="S4" t="inlineStr">
        <is>
          <t>T1</t>
        </is>
      </c>
      <c r="T4" t="inlineStr">
        <is>
          <t>Enviou orçamento</t>
        </is>
      </c>
    </row>
    <row r="5" ht="15" customHeight="1" s="108">
      <c r="A5" s="56" t="n">
        <v>46058</v>
      </c>
      <c r="B5" t="inlineStr">
        <is>
          <t>DAIANE STAVICKI</t>
        </is>
      </c>
      <c r="C5" t="inlineStr">
        <is>
          <t>MUNDO VERDE RJ</t>
        </is>
      </c>
      <c r="D5" t="inlineStr">
        <is>
          <t>98765432000188</t>
        </is>
      </c>
      <c r="E5" t="inlineStr">
        <is>
          <t>RJ</t>
        </is>
      </c>
      <c r="F5" t="inlineStr">
        <is>
          <t>MUNDO VERDE</t>
        </is>
      </c>
      <c r="G5" t="inlineStr">
        <is>
          <t>ATIVO</t>
        </is>
      </c>
      <c r="H5" t="inlineStr">
        <is>
          <t>NÃO</t>
        </is>
      </c>
      <c r="I5" t="inlineStr">
        <is>
          <t>SIM</t>
        </is>
      </c>
      <c r="J5" t="inlineStr">
        <is>
          <t>SIM</t>
        </is>
      </c>
      <c r="K5" t="inlineStr">
        <is>
          <t>ATIVO</t>
        </is>
      </c>
      <c r="L5" t="inlineStr">
        <is>
          <t>PÓS-VENDA / RELACIONAMENTO</t>
        </is>
      </c>
      <c r="M5" t="inlineStr">
        <is>
          <t>RELACIONAMENTO</t>
        </is>
      </c>
      <c r="N5" t="inlineStr">
        <is>
          <t>AINDA TEM ESTOQUE</t>
        </is>
      </c>
      <c r="O5" s="57">
        <f>IF(M5="","",(IF(OR(M5="SUPORTE",M5="PERDA / FECHOU LOJA"),"SEM",A5+VLOOKUP(M5,REGRAS!$B$2:$C$13,2,FALSE()))))</f>
        <v/>
      </c>
      <c r="P5" t="inlineStr">
        <is>
          <t>CS</t>
        </is>
      </c>
      <c r="Q5" t="inlineStr">
        <is>
          <t>SIM</t>
        </is>
      </c>
      <c r="R5" t="inlineStr">
        <is>
          <t>CS</t>
        </is>
      </c>
      <c r="S5" t="inlineStr">
        <is>
          <t>T1</t>
        </is>
      </c>
      <c r="T5" t="inlineStr">
        <is>
          <t>Cliente satisfeito</t>
        </is>
      </c>
    </row>
    <row r="6" ht="15" customHeight="1" s="108">
      <c r="A6" s="56" t="n">
        <v>46058</v>
      </c>
      <c r="B6" t="inlineStr">
        <is>
          <t>MANU DITZEL</t>
        </is>
      </c>
      <c r="C6" t="inlineStr">
        <is>
          <t>DIVINA TERRA CWB</t>
        </is>
      </c>
      <c r="D6" t="inlineStr">
        <is>
          <t>32828171000108</t>
        </is>
      </c>
      <c r="E6" t="inlineStr">
        <is>
          <t>PR</t>
        </is>
      </c>
      <c r="F6" t="inlineStr">
        <is>
          <t>DIVINA TERRA</t>
        </is>
      </c>
      <c r="G6" t="inlineStr">
        <is>
          <t>ATIVO</t>
        </is>
      </c>
      <c r="H6" t="inlineStr">
        <is>
          <t>SIM</t>
        </is>
      </c>
      <c r="I6" t="inlineStr">
        <is>
          <t>NÃO</t>
        </is>
      </c>
      <c r="J6" t="inlineStr">
        <is>
          <t>N/A</t>
        </is>
      </c>
      <c r="K6" t="inlineStr">
        <is>
          <t>ATIVO</t>
        </is>
      </c>
      <c r="L6" t="inlineStr">
        <is>
          <t>FOLLOW UP</t>
        </is>
      </c>
      <c r="M6" t="inlineStr">
        <is>
          <t>FOLLOW UP 7</t>
        </is>
      </c>
      <c r="N6" t="inlineStr">
        <is>
          <t>PRIMEIRO CONTATO / SEM RESPOSTA</t>
        </is>
      </c>
      <c r="O6" s="57">
        <f>IF(M6="","",(IF(OR(M6="SUPORTE",M6="PERDA / FECHOU LOJA"),"SEM",A6+VLOOKUP(M6,REGRAS!$B$2:$C$13,2,FALSE()))))</f>
        <v/>
      </c>
      <c r="P6" t="inlineStr">
        <is>
          <t>RECOMPRA</t>
        </is>
      </c>
      <c r="Q6" t="inlineStr">
        <is>
          <t>SIM</t>
        </is>
      </c>
      <c r="R6" t="inlineStr">
        <is>
          <t>RECOMPRA</t>
        </is>
      </c>
      <c r="S6" t="inlineStr">
        <is>
          <t>T1</t>
        </is>
      </c>
      <c r="T6" t="inlineStr">
        <is>
          <t>Acompanhamento pós-venda</t>
        </is>
      </c>
    </row>
    <row r="7" ht="15" customHeight="1" s="108">
      <c r="A7" s="56" t="n">
        <v>46059</v>
      </c>
      <c r="B7" t="inlineStr">
        <is>
          <t>LARISSA PADILHA</t>
        </is>
      </c>
      <c r="C7" t="inlineStr">
        <is>
          <t>BIO MUNDO SP</t>
        </is>
      </c>
      <c r="D7" t="inlineStr">
        <is>
          <t>41626544000140</t>
        </is>
      </c>
      <c r="E7" t="inlineStr">
        <is>
          <t>SP</t>
        </is>
      </c>
      <c r="F7" t="inlineStr">
        <is>
          <t>BIOMUNDO</t>
        </is>
      </c>
      <c r="G7" t="inlineStr">
        <is>
          <t>INAT.REC</t>
        </is>
      </c>
      <c r="H7" t="inlineStr">
        <is>
          <t>NÃO</t>
        </is>
      </c>
      <c r="I7" t="inlineStr">
        <is>
          <t>SIM</t>
        </is>
      </c>
      <c r="J7" t="inlineStr">
        <is>
          <t>NÃO</t>
        </is>
      </c>
      <c r="K7" t="inlineStr">
        <is>
          <t>ATIVO</t>
        </is>
      </c>
      <c r="L7" t="inlineStr">
        <is>
          <t>ATEND. CLIENTES INATIVOS</t>
        </is>
      </c>
      <c r="M7" t="inlineStr">
        <is>
          <t>NÃO ATENDE</t>
        </is>
      </c>
      <c r="N7" t="inlineStr">
        <is>
          <t>SEM INTERESSE NO MOMENTO</t>
        </is>
      </c>
      <c r="O7" s="57">
        <f>IF(M7="","",(IF(OR(M7="SUPORTE",M7="PERDA / FECHOU LOJA"),"SEM",A7+VLOOKUP(M7,REGRAS!$B$2:$C$13,2,FALSE()))))</f>
        <v/>
      </c>
      <c r="P7" t="inlineStr">
        <is>
          <t>SALVAMENTO</t>
        </is>
      </c>
      <c r="Q7" t="inlineStr">
        <is>
          <t>NÃO</t>
        </is>
      </c>
      <c r="R7" t="inlineStr">
        <is>
          <t>RECUPERAÇÃO</t>
        </is>
      </c>
      <c r="S7" t="inlineStr">
        <is>
          <t>T2</t>
        </is>
      </c>
      <c r="T7" t="inlineStr">
        <is>
          <t>Ligou mas não atendeu</t>
        </is>
      </c>
    </row>
    <row r="8" ht="15" customHeight="1" s="108">
      <c r="A8" s="56" t="n">
        <v>46059</v>
      </c>
      <c r="B8" t="inlineStr">
        <is>
          <t>JULIO GADRET</t>
        </is>
      </c>
      <c r="C8" t="inlineStr">
        <is>
          <t>CIA SAUDE CURITIBA</t>
        </is>
      </c>
      <c r="D8" t="inlineStr">
        <is>
          <t>12345678000199</t>
        </is>
      </c>
      <c r="E8" t="inlineStr">
        <is>
          <t>PR</t>
        </is>
      </c>
      <c r="F8" t="inlineStr">
        <is>
          <t>CIA DA SAUDE</t>
        </is>
      </c>
      <c r="G8" t="inlineStr">
        <is>
          <t>ATIVO</t>
        </is>
      </c>
      <c r="H8" t="inlineStr">
        <is>
          <t>SIM</t>
        </is>
      </c>
      <c r="I8" t="inlineStr">
        <is>
          <t>SIM</t>
        </is>
      </c>
      <c r="J8" t="inlineStr">
        <is>
          <t>SIM</t>
        </is>
      </c>
      <c r="K8" t="inlineStr">
        <is>
          <t>ATIVO</t>
        </is>
      </c>
      <c r="L8" t="inlineStr">
        <is>
          <t>NEGOCIAÇÃO</t>
        </is>
      </c>
      <c r="M8" t="inlineStr">
        <is>
          <t>VENDA / PEDIDO</t>
        </is>
      </c>
      <c r="N8" t="inlineStr">
        <is>
          <t>PRIMEIRO CONTATO / SEM RESPOSTA</t>
        </is>
      </c>
      <c r="O8" s="57">
        <f>IF(M8="","",(IF(OR(M8="SUPORTE",M8="PERDA / FECHOU LOJA"),"SEM",A8+VLOOKUP(M8,REGRAS!$B$2:$C$13,2,FALSE()))))</f>
        <v/>
      </c>
      <c r="P8" t="inlineStr">
        <is>
          <t>PÓS-VENDA</t>
        </is>
      </c>
      <c r="Q8" t="inlineStr">
        <is>
          <t>SIM</t>
        </is>
      </c>
      <c r="R8" t="inlineStr">
        <is>
          <t>PÓS-VENDA</t>
        </is>
      </c>
      <c r="S8" t="inlineStr">
        <is>
          <t>T1</t>
        </is>
      </c>
      <c r="T8" t="inlineStr">
        <is>
          <t>Fechou pedido!</t>
        </is>
      </c>
    </row>
    <row r="9" ht="15" customHeight="1" s="108">
      <c r="A9" s="56" t="n">
        <v>46060</v>
      </c>
      <c r="B9" t="inlineStr">
        <is>
          <t>MANU DITZEL</t>
        </is>
      </c>
      <c r="C9" t="inlineStr">
        <is>
          <t>PROSPECT NOVO</t>
        </is>
      </c>
      <c r="D9" t="inlineStr">
        <is>
          <t>55566677000122</t>
        </is>
      </c>
      <c r="E9" t="inlineStr">
        <is>
          <t>MG</t>
        </is>
      </c>
      <c r="G9" t="inlineStr">
        <is>
          <t>PROSPECT</t>
        </is>
      </c>
      <c r="H9" t="inlineStr">
        <is>
          <t>SIM</t>
        </is>
      </c>
      <c r="I9" t="inlineStr">
        <is>
          <t>NÃO</t>
        </is>
      </c>
      <c r="J9" t="inlineStr">
        <is>
          <t>N/A</t>
        </is>
      </c>
      <c r="K9" t="inlineStr">
        <is>
          <t>ATIVO</t>
        </is>
      </c>
      <c r="L9" t="inlineStr">
        <is>
          <t>PROSPECÇÃO</t>
        </is>
      </c>
      <c r="M9" t="inlineStr">
        <is>
          <t>EM ATENDIMENTO</t>
        </is>
      </c>
      <c r="N9" t="inlineStr">
        <is>
          <t>PRIMEIRO CONTATO / SEM RESPOSTA</t>
        </is>
      </c>
      <c r="O9" s="57">
        <f>IF(M9="","",(IF(OR(M9="SUPORTE",M9="PERDA / FECHOU LOJA"),"SEM",A9+VLOOKUP(M9,REGRAS!$B$2:$C$13,2,FALSE()))))</f>
        <v/>
      </c>
      <c r="P9" t="inlineStr">
        <is>
          <t>PROSPECÇÃO</t>
        </is>
      </c>
      <c r="Q9" t="inlineStr">
        <is>
          <t>NÃO</t>
        </is>
      </c>
      <c r="R9" t="inlineStr">
        <is>
          <t>PROSPECÇÃO</t>
        </is>
      </c>
      <c r="S9" t="inlineStr">
        <is>
          <t>T1</t>
        </is>
      </c>
      <c r="T9" t="inlineStr">
        <is>
          <t>1º contato WhatsApp</t>
        </is>
      </c>
    </row>
    <row r="10" ht="15" customHeight="1" s="108"/>
    <row r="11" ht="15" customHeight="1" s="108"/>
    <row r="12" ht="15" customHeight="1" s="108"/>
    <row r="13" ht="15" customHeight="1" s="108"/>
    <row r="14" ht="15" customHeight="1" s="108"/>
    <row r="15" ht="15" customHeight="1" s="108"/>
    <row r="16" ht="15" customHeight="1" s="108"/>
    <row r="17" ht="15" customHeight="1" s="108"/>
    <row r="18" ht="15" customHeight="1" s="108"/>
    <row r="19" ht="15" customHeight="1" s="108"/>
    <row r="20" ht="15" customHeight="1" s="108"/>
    <row r="21" ht="15" customHeight="1" s="108"/>
    <row r="22" ht="15" customHeight="1" s="108"/>
    <row r="23" ht="15" customHeight="1" s="108"/>
    <row r="24" ht="15" customHeight="1" s="108"/>
    <row r="25" ht="15" customHeight="1" s="108"/>
    <row r="26" ht="15" customHeight="1" s="108"/>
    <row r="27" ht="15" customHeight="1" s="108"/>
    <row r="28" ht="15" customHeight="1" s="108"/>
    <row r="29" ht="15" customHeight="1" s="108"/>
    <row r="30" ht="15" customHeight="1" s="108"/>
    <row r="31" ht="15" customHeight="1" s="108"/>
    <row r="32" ht="15" customHeight="1" s="108"/>
    <row r="33" ht="15" customHeight="1" s="108"/>
    <row r="34" ht="15" customHeight="1" s="108"/>
    <row r="35" ht="15" customHeight="1" s="108"/>
    <row r="36" ht="15" customHeight="1" s="108"/>
    <row r="37" ht="15" customHeight="1" s="108"/>
    <row r="38" ht="15" customHeight="1" s="108"/>
    <row r="39" ht="15" customHeight="1" s="108"/>
    <row r="40" ht="15" customHeight="1" s="108"/>
    <row r="41" ht="15" customHeight="1" s="108"/>
    <row r="42" ht="15" customHeight="1" s="108"/>
    <row r="43" ht="15" customHeight="1" s="108"/>
    <row r="44" ht="15" customHeight="1" s="108"/>
    <row r="45" ht="15" customHeight="1" s="108"/>
    <row r="46" ht="15" customHeight="1" s="108"/>
    <row r="47" ht="15" customHeight="1" s="108"/>
    <row r="48" ht="15" customHeight="1" s="108"/>
    <row r="49" ht="15" customHeight="1" s="108"/>
    <row r="50" ht="15" customHeight="1" s="108"/>
    <row r="51" ht="15" customHeight="1" s="108"/>
    <row r="52" ht="15" customHeight="1" s="108"/>
    <row r="53" ht="15" customHeight="1" s="108"/>
    <row r="54" ht="15" customHeight="1" s="108"/>
    <row r="55" ht="15" customHeight="1" s="108"/>
    <row r="56" ht="15" customHeight="1" s="108"/>
    <row r="57" ht="15" customHeight="1" s="108"/>
    <row r="58" ht="15" customHeight="1" s="108"/>
    <row r="59" ht="15" customHeight="1" s="108"/>
    <row r="60" ht="15" customHeight="1" s="108"/>
    <row r="61" ht="15" customHeight="1" s="108"/>
    <row r="62" ht="15" customHeight="1" s="108"/>
    <row r="63" ht="15" customHeight="1" s="108"/>
    <row r="64" ht="15" customHeight="1" s="108"/>
    <row r="65" ht="15" customHeight="1" s="108"/>
    <row r="66" ht="15" customHeight="1" s="108"/>
    <row r="67" ht="15" customHeight="1" s="108"/>
    <row r="68" ht="15" customHeight="1" s="108"/>
    <row r="69" ht="15" customHeight="1" s="108"/>
    <row r="70" ht="15" customHeight="1" s="108"/>
    <row r="71" ht="15" customHeight="1" s="108"/>
    <row r="72" ht="15" customHeight="1" s="108"/>
    <row r="73" ht="15" customHeight="1" s="108"/>
    <row r="74" ht="15" customHeight="1" s="108"/>
    <row r="75" ht="15" customHeight="1" s="108"/>
    <row r="76" ht="15" customHeight="1" s="108"/>
    <row r="77" ht="15" customHeight="1" s="108"/>
    <row r="78" ht="15" customHeight="1" s="108"/>
    <row r="79" ht="15" customHeight="1" s="108"/>
    <row r="80" ht="15" customHeight="1" s="108"/>
    <row r="81" ht="15" customHeight="1" s="108"/>
    <row r="82" ht="15" customHeight="1" s="108"/>
    <row r="83" ht="15" customHeight="1" s="108"/>
    <row r="84" ht="15" customHeight="1" s="108"/>
    <row r="85" ht="15" customHeight="1" s="108"/>
    <row r="86" ht="15" customHeight="1" s="108"/>
    <row r="87" ht="15" customHeight="1" s="108"/>
    <row r="88" ht="15" customHeight="1" s="108"/>
    <row r="89" ht="15" customHeight="1" s="108"/>
    <row r="90" ht="15" customHeight="1" s="108"/>
    <row r="91" ht="15" customHeight="1" s="108"/>
    <row r="92" ht="15" customHeight="1" s="108"/>
    <row r="93" ht="15" customHeight="1" s="108"/>
    <row r="94" ht="15" customHeight="1" s="108"/>
    <row r="95" ht="15" customHeight="1" s="108"/>
    <row r="96" ht="15" customHeight="1" s="108"/>
    <row r="97" ht="15" customHeight="1" s="108"/>
    <row r="98" ht="15" customHeight="1" s="108"/>
    <row r="99" ht="15" customHeight="1" s="108"/>
    <row r="100" ht="15" customHeight="1" s="108"/>
    <row r="101" ht="15" customHeight="1" s="108"/>
    <row r="102" ht="15" customHeight="1" s="108"/>
    <row r="103" ht="15" customHeight="1" s="108"/>
    <row r="104" ht="15" customHeight="1" s="108"/>
    <row r="105" ht="15" customHeight="1" s="108"/>
    <row r="106" ht="15" customHeight="1" s="108"/>
    <row r="107" ht="15" customHeight="1" s="108"/>
    <row r="108" ht="15" customHeight="1" s="108"/>
    <row r="109" ht="15" customHeight="1" s="108"/>
    <row r="110" ht="15" customHeight="1" s="108"/>
    <row r="111" ht="15" customHeight="1" s="108"/>
    <row r="112" ht="15" customHeight="1" s="108"/>
    <row r="113" ht="15" customHeight="1" s="108"/>
    <row r="114" ht="15" customHeight="1" s="108"/>
    <row r="115" ht="15" customHeight="1" s="108"/>
    <row r="116" ht="15" customHeight="1" s="108"/>
    <row r="117" ht="15" customHeight="1" s="108"/>
    <row r="118" ht="15" customHeight="1" s="108"/>
    <row r="119" ht="15" customHeight="1" s="108"/>
    <row r="120" ht="15" customHeight="1" s="108"/>
    <row r="121" ht="15" customHeight="1" s="108"/>
    <row r="122" ht="15" customHeight="1" s="108"/>
    <row r="123" ht="15" customHeight="1" s="108"/>
    <row r="124" ht="15" customHeight="1" s="108"/>
    <row r="125" ht="15" customHeight="1" s="108"/>
    <row r="126" ht="15" customHeight="1" s="108"/>
    <row r="127" ht="15" customHeight="1" s="108"/>
    <row r="128" ht="15" customHeight="1" s="108"/>
    <row r="129" ht="15" customHeight="1" s="108"/>
    <row r="130" ht="15" customHeight="1" s="108"/>
    <row r="131" ht="15" customHeight="1" s="108"/>
    <row r="132" ht="15" customHeight="1" s="108"/>
    <row r="133" ht="15" customHeight="1" s="108"/>
    <row r="134" ht="15" customHeight="1" s="108"/>
    <row r="135" ht="15" customHeight="1" s="108"/>
    <row r="136" ht="15" customHeight="1" s="108"/>
    <row r="137" ht="15" customHeight="1" s="108"/>
    <row r="138" ht="15" customHeight="1" s="108"/>
    <row r="139" ht="15" customHeight="1" s="108"/>
    <row r="140" ht="15" customHeight="1" s="108"/>
    <row r="141" ht="15" customHeight="1" s="108"/>
    <row r="142" ht="15" customHeight="1" s="108"/>
    <row r="143" ht="15" customHeight="1" s="108"/>
    <row r="144" ht="15" customHeight="1" s="108"/>
    <row r="145" ht="15" customHeight="1" s="108"/>
    <row r="146" ht="15" customHeight="1" s="108"/>
    <row r="147" ht="15" customHeight="1" s="108"/>
    <row r="148" ht="15" customHeight="1" s="108"/>
    <row r="149" ht="15" customHeight="1" s="108"/>
    <row r="150" ht="15" customHeight="1" s="108"/>
    <row r="151" ht="15" customHeight="1" s="108"/>
    <row r="152" ht="15" customHeight="1" s="108"/>
    <row r="153" ht="15" customHeight="1" s="108"/>
    <row r="154" ht="15" customHeight="1" s="108"/>
    <row r="155" ht="15" customHeight="1" s="108"/>
    <row r="156" ht="15" customHeight="1" s="108"/>
    <row r="157" ht="15" customHeight="1" s="108"/>
    <row r="158" ht="15" customHeight="1" s="108"/>
    <row r="159" ht="15" customHeight="1" s="108"/>
    <row r="160" ht="15" customHeight="1" s="108"/>
    <row r="161" ht="15" customHeight="1" s="108"/>
    <row r="162" ht="15" customHeight="1" s="108"/>
    <row r="163" ht="15" customHeight="1" s="108"/>
    <row r="164" ht="15" customHeight="1" s="108"/>
    <row r="165" ht="15" customHeight="1" s="108"/>
    <row r="166" ht="15" customHeight="1" s="108"/>
    <row r="167" ht="15" customHeight="1" s="108"/>
    <row r="168" ht="15" customHeight="1" s="108"/>
    <row r="169" ht="15" customHeight="1" s="108"/>
    <row r="170" ht="15" customHeight="1" s="108"/>
    <row r="171" ht="15" customHeight="1" s="108"/>
    <row r="172" ht="15" customHeight="1" s="108"/>
    <row r="173" ht="15" customHeight="1" s="108"/>
    <row r="174" ht="15" customHeight="1" s="108"/>
    <row r="175" ht="15" customHeight="1" s="108"/>
    <row r="176" ht="15" customHeight="1" s="108"/>
    <row r="177" ht="15" customHeight="1" s="108"/>
    <row r="178" ht="15" customHeight="1" s="108"/>
    <row r="179" ht="15" customHeight="1" s="108"/>
    <row r="180" ht="15" customHeight="1" s="108"/>
    <row r="181" ht="15" customHeight="1" s="108"/>
    <row r="182" ht="15" customHeight="1" s="108"/>
    <row r="183" ht="15" customHeight="1" s="108"/>
    <row r="184" ht="15" customHeight="1" s="108"/>
    <row r="185" ht="15" customHeight="1" s="108"/>
    <row r="186" ht="15" customHeight="1" s="108"/>
    <row r="187" ht="15" customHeight="1" s="108"/>
    <row r="188" ht="15" customHeight="1" s="108"/>
    <row r="189" ht="15" customHeight="1" s="108"/>
    <row r="190" ht="15" customHeight="1" s="108"/>
    <row r="191" ht="15" customHeight="1" s="108"/>
    <row r="192" ht="15" customHeight="1" s="108"/>
    <row r="193" ht="15" customHeight="1" s="108"/>
    <row r="194" ht="15" customHeight="1" s="108"/>
    <row r="195" ht="15" customHeight="1" s="108"/>
    <row r="196" ht="15" customHeight="1" s="108"/>
    <row r="197" ht="15" customHeight="1" s="108"/>
    <row r="198" ht="15" customHeight="1" s="108"/>
    <row r="199" ht="15" customHeight="1" s="108"/>
    <row r="200" ht="15" customHeight="1" s="108"/>
    <row r="201" ht="15" customHeight="1" s="108"/>
    <row r="202" ht="15" customHeight="1" s="108"/>
    <row r="203" ht="15" customHeight="1" s="108"/>
    <row r="204" ht="15" customHeight="1" s="108"/>
    <row r="205" ht="15" customHeight="1" s="108"/>
    <row r="206" ht="15" customHeight="1" s="108"/>
    <row r="207" ht="15" customHeight="1" s="108"/>
    <row r="208" ht="15" customHeight="1" s="108"/>
    <row r="209" ht="15" customHeight="1" s="108"/>
    <row r="210" ht="15" customHeight="1" s="108"/>
    <row r="211" ht="15" customHeight="1" s="108"/>
    <row r="212" ht="15" customHeight="1" s="108"/>
    <row r="213" ht="15" customHeight="1" s="108"/>
    <row r="214" ht="15" customHeight="1" s="108"/>
    <row r="215" ht="15" customHeight="1" s="108"/>
    <row r="216" ht="15" customHeight="1" s="108"/>
    <row r="217" ht="15" customHeight="1" s="108"/>
    <row r="218" ht="15" customHeight="1" s="108"/>
    <row r="219" ht="15" customHeight="1" s="108"/>
    <row r="220" ht="15" customHeight="1" s="108"/>
    <row r="221" ht="15" customHeight="1" s="108"/>
    <row r="222" ht="15" customHeight="1" s="108"/>
    <row r="223" ht="15" customHeight="1" s="108"/>
    <row r="224" ht="15" customHeight="1" s="108"/>
    <row r="225" ht="15" customHeight="1" s="108"/>
    <row r="226" ht="15" customHeight="1" s="108"/>
    <row r="227" ht="15" customHeight="1" s="108"/>
    <row r="228" ht="15" customHeight="1" s="108"/>
    <row r="229" ht="15" customHeight="1" s="108"/>
    <row r="230" ht="15" customHeight="1" s="108"/>
    <row r="231" ht="15" customHeight="1" s="108"/>
    <row r="232" ht="15" customHeight="1" s="108"/>
    <row r="233" ht="15" customHeight="1" s="108"/>
    <row r="234" ht="15" customHeight="1" s="108"/>
    <row r="235" ht="15" customHeight="1" s="108"/>
    <row r="236" ht="15" customHeight="1" s="108"/>
    <row r="237" ht="15" customHeight="1" s="108"/>
    <row r="238" ht="15" customHeight="1" s="108"/>
    <row r="239" ht="15" customHeight="1" s="108"/>
    <row r="240" ht="15" customHeight="1" s="108"/>
    <row r="241" ht="15" customHeight="1" s="108"/>
    <row r="242" ht="15" customHeight="1" s="108"/>
    <row r="243" ht="15" customHeight="1" s="108"/>
    <row r="244" ht="15" customHeight="1" s="108"/>
    <row r="245" ht="15" customHeight="1" s="108"/>
    <row r="246" ht="15" customHeight="1" s="108"/>
    <row r="247" ht="15" customHeight="1" s="108"/>
    <row r="248" ht="15" customHeight="1" s="108"/>
    <row r="249" ht="15" customHeight="1" s="108"/>
    <row r="250" ht="15" customHeight="1" s="108"/>
    <row r="251" ht="15" customHeight="1" s="108"/>
    <row r="252" ht="15" customHeight="1" s="108"/>
    <row r="253" ht="15" customHeight="1" s="108"/>
    <row r="254" ht="15" customHeight="1" s="108"/>
    <row r="255" ht="15" customHeight="1" s="108"/>
    <row r="256" ht="15" customHeight="1" s="108"/>
    <row r="257" ht="15" customHeight="1" s="108"/>
    <row r="258" ht="15" customHeight="1" s="108"/>
    <row r="259" ht="15" customHeight="1" s="108"/>
    <row r="260" ht="15" customHeight="1" s="108"/>
    <row r="261" ht="15" customHeight="1" s="108"/>
    <row r="262" ht="15" customHeight="1" s="108"/>
    <row r="263" ht="15" customHeight="1" s="108"/>
    <row r="264" ht="15" customHeight="1" s="108"/>
    <row r="265" ht="15" customHeight="1" s="108"/>
    <row r="266" ht="15" customHeight="1" s="108"/>
    <row r="267" ht="15" customHeight="1" s="108"/>
    <row r="268" ht="15" customHeight="1" s="108"/>
    <row r="269" ht="15" customHeight="1" s="108"/>
    <row r="270" ht="15" customHeight="1" s="108"/>
    <row r="271" ht="15" customHeight="1" s="108"/>
    <row r="272" ht="15" customHeight="1" s="108"/>
    <row r="273" ht="15" customHeight="1" s="108"/>
    <row r="274" ht="15" customHeight="1" s="108"/>
    <row r="275" ht="15" customHeight="1" s="108"/>
    <row r="276" ht="15" customHeight="1" s="108"/>
    <row r="277" ht="15" customHeight="1" s="108"/>
    <row r="278" ht="15" customHeight="1" s="108"/>
    <row r="279" ht="15" customHeight="1" s="108"/>
    <row r="280" ht="15" customHeight="1" s="108"/>
    <row r="281" ht="15" customHeight="1" s="108"/>
    <row r="282" ht="15" customHeight="1" s="108"/>
    <row r="283" ht="15" customHeight="1" s="108"/>
    <row r="284" ht="15" customHeight="1" s="108"/>
    <row r="285" ht="15" customHeight="1" s="108"/>
    <row r="286" ht="15" customHeight="1" s="108"/>
    <row r="287" ht="15" customHeight="1" s="108"/>
    <row r="288" ht="15" customHeight="1" s="108"/>
    <row r="289" ht="15" customHeight="1" s="108"/>
    <row r="290" ht="15" customHeight="1" s="108"/>
    <row r="291" ht="15" customHeight="1" s="108"/>
    <row r="292" ht="15" customHeight="1" s="108"/>
    <row r="293" ht="15" customHeight="1" s="108"/>
    <row r="294" ht="15" customHeight="1" s="108"/>
    <row r="295" ht="15" customHeight="1" s="108"/>
    <row r="296" ht="15" customHeight="1" s="108"/>
    <row r="297" ht="15" customHeight="1" s="108"/>
    <row r="298" ht="15" customHeight="1" s="108"/>
    <row r="299" ht="15" customHeight="1" s="108"/>
    <row r="300" ht="15" customHeight="1" s="108"/>
    <row r="301" ht="15" customHeight="1" s="108"/>
    <row r="302" ht="15" customHeight="1" s="108"/>
    <row r="303" ht="15" customHeight="1" s="108"/>
    <row r="304" ht="15" customHeight="1" s="108"/>
    <row r="305" ht="15" customHeight="1" s="108"/>
    <row r="306" ht="15" customHeight="1" s="108"/>
    <row r="307" ht="15" customHeight="1" s="108"/>
    <row r="308" ht="15" customHeight="1" s="108"/>
    <row r="309" ht="15" customHeight="1" s="108"/>
    <row r="310" ht="15" customHeight="1" s="108"/>
    <row r="311" ht="15" customHeight="1" s="108"/>
    <row r="312" ht="15" customHeight="1" s="108"/>
    <row r="313" ht="15" customHeight="1" s="108"/>
    <row r="314" ht="15" customHeight="1" s="108"/>
    <row r="315" ht="15" customHeight="1" s="108"/>
    <row r="316" ht="15" customHeight="1" s="108"/>
    <row r="317" ht="15" customHeight="1" s="108"/>
    <row r="318" ht="15" customHeight="1" s="108"/>
    <row r="319" ht="15" customHeight="1" s="108"/>
    <row r="320" ht="15" customHeight="1" s="108"/>
    <row r="321" ht="15" customHeight="1" s="108"/>
    <row r="322" ht="15" customHeight="1" s="108"/>
    <row r="323" ht="15" customHeight="1" s="108"/>
    <row r="324" ht="15" customHeight="1" s="108"/>
    <row r="325" ht="15" customHeight="1" s="108"/>
    <row r="326" ht="15" customHeight="1" s="108"/>
    <row r="327" ht="15" customHeight="1" s="108"/>
    <row r="328" ht="15" customHeight="1" s="108"/>
    <row r="329" ht="15" customHeight="1" s="108"/>
    <row r="330" ht="15" customHeight="1" s="108"/>
    <row r="331" ht="15" customHeight="1" s="108"/>
    <row r="332" ht="15" customHeight="1" s="108"/>
    <row r="333" ht="15" customHeight="1" s="108"/>
    <row r="334" ht="15" customHeight="1" s="108"/>
    <row r="335" ht="15" customHeight="1" s="108"/>
    <row r="336" ht="15" customHeight="1" s="108"/>
    <row r="337" ht="15" customHeight="1" s="108"/>
    <row r="338" ht="15" customHeight="1" s="108"/>
    <row r="339" ht="15" customHeight="1" s="108"/>
    <row r="340" ht="15" customHeight="1" s="108"/>
    <row r="341" ht="15" customHeight="1" s="108"/>
    <row r="342" ht="15" customHeight="1" s="108"/>
    <row r="343" ht="15" customHeight="1" s="108"/>
    <row r="344" ht="15" customHeight="1" s="108"/>
    <row r="345" ht="15" customHeight="1" s="108"/>
    <row r="346" ht="15" customHeight="1" s="108"/>
    <row r="347" ht="15" customHeight="1" s="108"/>
    <row r="348" ht="15" customHeight="1" s="108"/>
    <row r="349" ht="15" customHeight="1" s="108"/>
    <row r="350" ht="15" customHeight="1" s="108"/>
    <row r="351" ht="15" customHeight="1" s="108"/>
    <row r="352" ht="15" customHeight="1" s="108"/>
    <row r="353" ht="15" customHeight="1" s="108"/>
    <row r="354" ht="15" customHeight="1" s="108"/>
    <row r="355" ht="15" customHeight="1" s="108"/>
    <row r="356" ht="15" customHeight="1" s="108"/>
    <row r="357" ht="15" customHeight="1" s="108"/>
    <row r="358" ht="15" customHeight="1" s="108"/>
    <row r="359" ht="15" customHeight="1" s="108"/>
    <row r="360" ht="15" customHeight="1" s="108"/>
    <row r="361" ht="15" customHeight="1" s="108"/>
    <row r="362" ht="15" customHeight="1" s="108"/>
    <row r="363" ht="15" customHeight="1" s="108"/>
    <row r="364" ht="15" customHeight="1" s="108"/>
    <row r="365" ht="15" customHeight="1" s="108"/>
    <row r="366" ht="15" customHeight="1" s="108"/>
    <row r="367" ht="15" customHeight="1" s="108"/>
    <row r="368" ht="15" customHeight="1" s="108"/>
    <row r="369" ht="15" customHeight="1" s="108"/>
    <row r="370" ht="15" customHeight="1" s="108"/>
    <row r="371" ht="15" customHeight="1" s="108"/>
    <row r="372" ht="15" customHeight="1" s="108"/>
    <row r="373" ht="15" customHeight="1" s="108"/>
    <row r="374" ht="15" customHeight="1" s="108"/>
    <row r="375" ht="15" customHeight="1" s="108"/>
    <row r="376" ht="15" customHeight="1" s="108"/>
    <row r="377" ht="15" customHeight="1" s="108"/>
    <row r="378" ht="15" customHeight="1" s="108"/>
    <row r="379" ht="15" customHeight="1" s="108"/>
    <row r="380" ht="15" customHeight="1" s="108"/>
    <row r="381" ht="15" customHeight="1" s="108"/>
    <row r="382" ht="15" customHeight="1" s="108"/>
    <row r="383" ht="15" customHeight="1" s="108"/>
    <row r="384" ht="15" customHeight="1" s="108"/>
    <row r="385" ht="15" customHeight="1" s="108"/>
    <row r="386" ht="15" customHeight="1" s="108"/>
    <row r="387" ht="15" customHeight="1" s="108"/>
    <row r="388" ht="15" customHeight="1" s="108"/>
    <row r="389" ht="15" customHeight="1" s="108"/>
    <row r="390" ht="15" customHeight="1" s="108"/>
    <row r="391" ht="15" customHeight="1" s="108"/>
    <row r="392" ht="15" customHeight="1" s="108"/>
    <row r="393" ht="15" customHeight="1" s="108"/>
    <row r="394" ht="15" customHeight="1" s="108"/>
    <row r="395" ht="15" customHeight="1" s="108"/>
    <row r="396" ht="15" customHeight="1" s="108"/>
    <row r="397" ht="15" customHeight="1" s="108"/>
    <row r="398" ht="15" customHeight="1" s="108"/>
    <row r="399" ht="15" customHeight="1" s="108"/>
    <row r="400" ht="15" customHeight="1" s="108"/>
    <row r="401" ht="15" customHeight="1" s="108"/>
    <row r="402" ht="15" customHeight="1" s="108"/>
    <row r="403" ht="15" customHeight="1" s="108"/>
    <row r="404" ht="15" customHeight="1" s="108"/>
    <row r="405" ht="15" customHeight="1" s="108"/>
    <row r="406" ht="15" customHeight="1" s="108"/>
    <row r="407" ht="15" customHeight="1" s="108"/>
    <row r="408" ht="15" customHeight="1" s="108"/>
    <row r="409" ht="15" customHeight="1" s="108"/>
    <row r="410" ht="15" customHeight="1" s="108"/>
    <row r="411" ht="15" customHeight="1" s="108"/>
    <row r="412" ht="15" customHeight="1" s="108"/>
    <row r="413" ht="15" customHeight="1" s="108"/>
    <row r="414" ht="15" customHeight="1" s="108"/>
    <row r="415" ht="15" customHeight="1" s="108"/>
    <row r="416" ht="15" customHeight="1" s="108"/>
    <row r="417" ht="15" customHeight="1" s="108"/>
    <row r="418" ht="15" customHeight="1" s="108"/>
    <row r="419" ht="15" customHeight="1" s="108"/>
    <row r="420" ht="15" customHeight="1" s="108"/>
    <row r="421" ht="15" customHeight="1" s="108"/>
    <row r="422" ht="15" customHeight="1" s="108"/>
    <row r="423" ht="15" customHeight="1" s="108"/>
    <row r="424" ht="15" customHeight="1" s="108"/>
    <row r="425" ht="15" customHeight="1" s="108"/>
    <row r="426" ht="15" customHeight="1" s="108"/>
    <row r="427" ht="15" customHeight="1" s="108"/>
    <row r="428" ht="15" customHeight="1" s="108"/>
    <row r="429" ht="15" customHeight="1" s="108"/>
    <row r="430" ht="15" customHeight="1" s="108"/>
    <row r="431" ht="15" customHeight="1" s="108"/>
    <row r="432" ht="15" customHeight="1" s="108"/>
    <row r="433" ht="15" customHeight="1" s="108"/>
    <row r="434" ht="15" customHeight="1" s="108"/>
    <row r="435" ht="15" customHeight="1" s="108"/>
    <row r="436" ht="15" customHeight="1" s="108"/>
    <row r="437" ht="15" customHeight="1" s="108"/>
    <row r="438" ht="15" customHeight="1" s="108"/>
    <row r="439" ht="15" customHeight="1" s="108"/>
    <row r="440" ht="15" customHeight="1" s="108"/>
    <row r="441" ht="15" customHeight="1" s="108"/>
    <row r="442" ht="15" customHeight="1" s="108"/>
    <row r="443" ht="15" customHeight="1" s="108"/>
    <row r="444" ht="15" customHeight="1" s="108"/>
    <row r="445" ht="15" customHeight="1" s="108"/>
    <row r="446" ht="15" customHeight="1" s="108"/>
    <row r="447" ht="15" customHeight="1" s="108"/>
    <row r="448" ht="15" customHeight="1" s="108"/>
    <row r="449" ht="15" customHeight="1" s="108"/>
    <row r="450" ht="15" customHeight="1" s="108"/>
    <row r="451" ht="15" customHeight="1" s="108"/>
    <row r="452" ht="15" customHeight="1" s="108"/>
    <row r="453" ht="15" customHeight="1" s="108"/>
    <row r="454" ht="15" customHeight="1" s="108"/>
    <row r="455" ht="15" customHeight="1" s="108"/>
    <row r="456" ht="15" customHeight="1" s="108"/>
    <row r="457" ht="15" customHeight="1" s="108"/>
    <row r="458" ht="15" customHeight="1" s="108"/>
    <row r="459" ht="15" customHeight="1" s="108"/>
    <row r="460" ht="15" customHeight="1" s="108"/>
    <row r="461" ht="15" customHeight="1" s="108"/>
    <row r="462" ht="15" customHeight="1" s="108"/>
    <row r="463" ht="15" customHeight="1" s="108"/>
    <row r="464" ht="15" customHeight="1" s="108"/>
    <row r="465" ht="15" customHeight="1" s="108"/>
    <row r="466" ht="15" customHeight="1" s="108"/>
    <row r="467" ht="15" customHeight="1" s="108"/>
    <row r="468" ht="15" customHeight="1" s="108"/>
    <row r="469" ht="15" customHeight="1" s="108"/>
    <row r="470" ht="15" customHeight="1" s="108"/>
    <row r="471" ht="15" customHeight="1" s="108"/>
    <row r="472" ht="15" customHeight="1" s="108"/>
    <row r="473" ht="15" customHeight="1" s="108"/>
    <row r="474" ht="15" customHeight="1" s="108"/>
    <row r="475" ht="15" customHeight="1" s="108"/>
    <row r="476" ht="15" customHeight="1" s="108"/>
    <row r="477" ht="15" customHeight="1" s="108"/>
    <row r="478" ht="15" customHeight="1" s="108"/>
    <row r="479" ht="15" customHeight="1" s="108"/>
    <row r="480" ht="15" customHeight="1" s="108"/>
    <row r="481" ht="15" customHeight="1" s="108"/>
    <row r="482" ht="15" customHeight="1" s="108"/>
    <row r="483" ht="15" customHeight="1" s="108"/>
    <row r="484" ht="15" customHeight="1" s="108"/>
    <row r="485" ht="15" customHeight="1" s="108"/>
    <row r="486" ht="15" customHeight="1" s="108"/>
    <row r="487" ht="15" customHeight="1" s="108"/>
    <row r="488" ht="15" customHeight="1" s="108"/>
    <row r="489" ht="15" customHeight="1" s="108"/>
    <row r="490" ht="15" customHeight="1" s="108"/>
    <row r="491" ht="15" customHeight="1" s="108"/>
    <row r="492" ht="15" customHeight="1" s="108"/>
    <row r="493" ht="15" customHeight="1" s="108"/>
    <row r="494" ht="15" customHeight="1" s="108"/>
    <row r="495" ht="15" customHeight="1" s="108"/>
    <row r="496" ht="15" customHeight="1" s="108"/>
    <row r="497" ht="15" customHeight="1" s="108"/>
    <row r="498" ht="15" customHeight="1" s="108"/>
    <row r="499" ht="15" customHeight="1" s="108"/>
    <row r="500" ht="15" customHeight="1" s="108"/>
    <row r="501" ht="15" customHeight="1" s="108"/>
    <row r="502" ht="15" customHeight="1" s="108"/>
    <row r="503" ht="15" customHeight="1" s="108"/>
    <row r="504" ht="15" customHeight="1" s="108"/>
    <row r="505" ht="15" customHeight="1" s="108"/>
    <row r="506" ht="15" customHeight="1" s="108"/>
    <row r="507" ht="15" customHeight="1" s="108"/>
    <row r="508" ht="15" customHeight="1" s="108"/>
    <row r="509" ht="15" customHeight="1" s="108"/>
    <row r="510" ht="15" customHeight="1" s="108"/>
    <row r="511" ht="15" customHeight="1" s="108"/>
    <row r="512" ht="15" customHeight="1" s="108"/>
    <row r="513" ht="15" customHeight="1" s="108"/>
    <row r="514" ht="15" customHeight="1" s="108"/>
    <row r="515" ht="15" customHeight="1" s="108"/>
    <row r="516" ht="15" customHeight="1" s="108"/>
    <row r="517" ht="15" customHeight="1" s="108"/>
    <row r="518" ht="15" customHeight="1" s="108"/>
    <row r="519" ht="15" customHeight="1" s="108"/>
    <row r="520" ht="15" customHeight="1" s="108"/>
    <row r="521" ht="15" customHeight="1" s="108"/>
    <row r="522" ht="15" customHeight="1" s="108"/>
    <row r="523" ht="15" customHeight="1" s="108"/>
    <row r="524" ht="15" customHeight="1" s="108"/>
    <row r="525" ht="15" customHeight="1" s="108"/>
    <row r="526" ht="15" customHeight="1" s="108"/>
    <row r="527" ht="15" customHeight="1" s="108"/>
    <row r="528" ht="15" customHeight="1" s="108"/>
    <row r="529" ht="15" customHeight="1" s="108"/>
    <row r="530" ht="15" customHeight="1" s="108"/>
    <row r="531" ht="15" customHeight="1" s="108"/>
    <row r="532" ht="15" customHeight="1" s="108"/>
    <row r="533" ht="15" customHeight="1" s="108"/>
    <row r="534" ht="15" customHeight="1" s="108"/>
    <row r="535" ht="15" customHeight="1" s="108"/>
    <row r="536" ht="15" customHeight="1" s="108"/>
    <row r="537" ht="15" customHeight="1" s="108"/>
    <row r="538" ht="15" customHeight="1" s="108"/>
    <row r="539" ht="15" customHeight="1" s="108"/>
    <row r="540" ht="15" customHeight="1" s="108"/>
    <row r="541" ht="15" customHeight="1" s="108"/>
    <row r="542" ht="15" customHeight="1" s="108"/>
    <row r="543" ht="15" customHeight="1" s="108"/>
    <row r="544" ht="15" customHeight="1" s="108"/>
    <row r="545" ht="15" customHeight="1" s="108"/>
    <row r="546" ht="15" customHeight="1" s="108"/>
    <row r="547" ht="15" customHeight="1" s="108"/>
    <row r="548" ht="15" customHeight="1" s="108"/>
    <row r="549" ht="15" customHeight="1" s="108"/>
    <row r="550" ht="15" customHeight="1" s="108"/>
    <row r="551" ht="15" customHeight="1" s="108"/>
    <row r="552" ht="15" customHeight="1" s="108"/>
    <row r="553" ht="15" customHeight="1" s="108"/>
    <row r="554" ht="15" customHeight="1" s="108"/>
    <row r="555" ht="15" customHeight="1" s="108"/>
    <row r="556" ht="15" customHeight="1" s="108"/>
    <row r="557" ht="15" customHeight="1" s="108"/>
    <row r="558" ht="15" customHeight="1" s="108"/>
    <row r="559" ht="15" customHeight="1" s="108"/>
    <row r="560" ht="15" customHeight="1" s="108"/>
    <row r="561" ht="15" customHeight="1" s="108"/>
    <row r="562" ht="15" customHeight="1" s="108"/>
    <row r="563" ht="15" customHeight="1" s="108"/>
    <row r="564" ht="15" customHeight="1" s="108"/>
    <row r="565" ht="15" customHeight="1" s="108"/>
    <row r="566" ht="15" customHeight="1" s="108"/>
    <row r="567" ht="15" customHeight="1" s="108"/>
    <row r="568" ht="15" customHeight="1" s="108"/>
    <row r="569" ht="15" customHeight="1" s="108"/>
    <row r="570" ht="15" customHeight="1" s="108"/>
    <row r="571" ht="15" customHeight="1" s="108"/>
    <row r="572" ht="15" customHeight="1" s="108"/>
    <row r="573" ht="15" customHeight="1" s="108"/>
    <row r="574" ht="15" customHeight="1" s="108"/>
    <row r="575" ht="15" customHeight="1" s="108"/>
    <row r="576" ht="15" customHeight="1" s="108"/>
    <row r="577" ht="15" customHeight="1" s="108"/>
    <row r="578" ht="15" customHeight="1" s="108"/>
    <row r="579" ht="15" customHeight="1" s="108"/>
    <row r="580" ht="15" customHeight="1" s="108"/>
    <row r="581" ht="15" customHeight="1" s="108"/>
    <row r="582" ht="15" customHeight="1" s="108"/>
    <row r="583" ht="15" customHeight="1" s="108"/>
    <row r="584" ht="15" customHeight="1" s="108"/>
    <row r="585" ht="15" customHeight="1" s="108"/>
    <row r="586" ht="15" customHeight="1" s="108"/>
    <row r="587" ht="15" customHeight="1" s="108"/>
    <row r="588" ht="15" customHeight="1" s="108"/>
    <row r="589" ht="15" customHeight="1" s="108"/>
    <row r="590" ht="15" customHeight="1" s="108"/>
    <row r="591" ht="15" customHeight="1" s="108"/>
    <row r="592" ht="15" customHeight="1" s="108"/>
    <row r="593" ht="15" customHeight="1" s="108"/>
    <row r="594" ht="15" customHeight="1" s="108"/>
    <row r="595" ht="15" customHeight="1" s="108"/>
    <row r="596" ht="15" customHeight="1" s="108"/>
    <row r="597" ht="15" customHeight="1" s="108"/>
    <row r="598" ht="15" customHeight="1" s="108"/>
    <row r="599" ht="15" customHeight="1" s="108"/>
    <row r="600" ht="15" customHeight="1" s="108"/>
    <row r="601" ht="15" customHeight="1" s="108"/>
    <row r="602" ht="15" customHeight="1" s="108"/>
    <row r="603" ht="15" customHeight="1" s="108"/>
    <row r="604" ht="15" customHeight="1" s="108"/>
    <row r="605" ht="15" customHeight="1" s="108"/>
    <row r="606" ht="15" customHeight="1" s="108"/>
    <row r="607" ht="15" customHeight="1" s="108"/>
    <row r="608" ht="15" customHeight="1" s="108"/>
    <row r="609" ht="15" customHeight="1" s="108"/>
    <row r="610" ht="15" customHeight="1" s="108"/>
    <row r="611" ht="15" customHeight="1" s="108"/>
    <row r="612" ht="15" customHeight="1" s="108"/>
    <row r="613" ht="15" customHeight="1" s="108"/>
    <row r="614" ht="15" customHeight="1" s="108"/>
    <row r="615" ht="15" customHeight="1" s="108"/>
    <row r="616" ht="15" customHeight="1" s="108"/>
    <row r="617" ht="15" customHeight="1" s="108"/>
    <row r="618" ht="15" customHeight="1" s="108"/>
    <row r="619" ht="15" customHeight="1" s="108"/>
    <row r="620" ht="15" customHeight="1" s="108"/>
    <row r="621" ht="15" customHeight="1" s="108"/>
    <row r="622" ht="15" customHeight="1" s="108"/>
    <row r="623" ht="15" customHeight="1" s="108"/>
    <row r="624" ht="15" customHeight="1" s="108"/>
    <row r="625" ht="15" customHeight="1" s="108"/>
    <row r="626" ht="15" customHeight="1" s="108"/>
    <row r="627" ht="15" customHeight="1" s="108"/>
    <row r="628" ht="15" customHeight="1" s="108"/>
    <row r="629" ht="15" customHeight="1" s="108"/>
    <row r="630" ht="15" customHeight="1" s="108"/>
    <row r="631" ht="15" customHeight="1" s="108"/>
    <row r="632" ht="15" customHeight="1" s="108"/>
    <row r="633" ht="15" customHeight="1" s="108"/>
    <row r="634" ht="15" customHeight="1" s="108"/>
    <row r="635" ht="15" customHeight="1" s="108"/>
    <row r="636" ht="15" customHeight="1" s="108"/>
    <row r="637" ht="15" customHeight="1" s="108"/>
    <row r="638" ht="15" customHeight="1" s="108"/>
    <row r="639" ht="15" customHeight="1" s="108"/>
    <row r="640" ht="15" customHeight="1" s="108"/>
    <row r="641" ht="15" customHeight="1" s="108"/>
    <row r="642" ht="15" customHeight="1" s="108"/>
    <row r="643" ht="15" customHeight="1" s="108"/>
    <row r="644" ht="15" customHeight="1" s="108"/>
    <row r="645" ht="15" customHeight="1" s="108"/>
    <row r="646" ht="15" customHeight="1" s="108"/>
    <row r="647" ht="15" customHeight="1" s="108"/>
    <row r="648" ht="15" customHeight="1" s="108"/>
    <row r="649" ht="15" customHeight="1" s="108"/>
    <row r="650" ht="15" customHeight="1" s="108"/>
    <row r="651" ht="15" customHeight="1" s="108"/>
    <row r="652" ht="15" customHeight="1" s="108"/>
    <row r="653" ht="15" customHeight="1" s="108"/>
    <row r="654" ht="15" customHeight="1" s="108"/>
    <row r="655" ht="15" customHeight="1" s="108"/>
    <row r="656" ht="15" customHeight="1" s="108"/>
    <row r="657" ht="15" customHeight="1" s="108"/>
    <row r="658" ht="15" customHeight="1" s="108"/>
    <row r="659" ht="15" customHeight="1" s="108"/>
    <row r="660" ht="15" customHeight="1" s="108"/>
    <row r="661" ht="15" customHeight="1" s="108"/>
    <row r="662" ht="15" customHeight="1" s="108"/>
    <row r="663" ht="15" customHeight="1" s="108"/>
    <row r="664" ht="15" customHeight="1" s="108"/>
    <row r="665" ht="15" customHeight="1" s="108"/>
    <row r="666" ht="15" customHeight="1" s="108"/>
    <row r="667" ht="15" customHeight="1" s="108"/>
    <row r="668" ht="15" customHeight="1" s="108"/>
    <row r="669" ht="15" customHeight="1" s="108"/>
    <row r="670" ht="15" customHeight="1" s="108"/>
    <row r="671" ht="15" customHeight="1" s="108"/>
    <row r="672" ht="15" customHeight="1" s="108"/>
    <row r="673" ht="15" customHeight="1" s="108"/>
    <row r="674" ht="15" customHeight="1" s="108"/>
    <row r="675" ht="15" customHeight="1" s="108"/>
    <row r="676" ht="15" customHeight="1" s="108"/>
    <row r="677" ht="15" customHeight="1" s="108"/>
    <row r="678" ht="15" customHeight="1" s="108"/>
    <row r="679" ht="15" customHeight="1" s="108"/>
    <row r="680" ht="15" customHeight="1" s="108"/>
    <row r="681" ht="15" customHeight="1" s="108"/>
    <row r="682" ht="15" customHeight="1" s="108"/>
    <row r="683" ht="15" customHeight="1" s="108"/>
    <row r="684" ht="15" customHeight="1" s="108"/>
    <row r="685" ht="15" customHeight="1" s="108"/>
    <row r="686" ht="15" customHeight="1" s="108"/>
    <row r="687" ht="15" customHeight="1" s="108"/>
    <row r="688" ht="15" customHeight="1" s="108"/>
    <row r="689" ht="15" customHeight="1" s="108"/>
    <row r="690" ht="15" customHeight="1" s="108"/>
    <row r="691" ht="15" customHeight="1" s="108"/>
    <row r="692" ht="15" customHeight="1" s="108"/>
    <row r="693" ht="15" customHeight="1" s="108"/>
    <row r="694" ht="15" customHeight="1" s="108"/>
    <row r="695" ht="15" customHeight="1" s="108"/>
    <row r="696" ht="15" customHeight="1" s="108"/>
    <row r="697" ht="15" customHeight="1" s="108"/>
    <row r="698" ht="15" customHeight="1" s="108"/>
    <row r="699" ht="15" customHeight="1" s="108"/>
    <row r="700" ht="15" customHeight="1" s="108"/>
    <row r="701" ht="15" customHeight="1" s="108"/>
    <row r="702" ht="15" customHeight="1" s="108"/>
    <row r="703" ht="15" customHeight="1" s="108"/>
    <row r="704" ht="15" customHeight="1" s="108"/>
    <row r="705" ht="15" customHeight="1" s="108"/>
    <row r="706" ht="15" customHeight="1" s="108"/>
    <row r="707" ht="15" customHeight="1" s="108"/>
    <row r="708" ht="15" customHeight="1" s="108"/>
    <row r="709" ht="15" customHeight="1" s="108"/>
    <row r="710" ht="15" customHeight="1" s="108"/>
    <row r="711" ht="15" customHeight="1" s="108"/>
    <row r="712" ht="15" customHeight="1" s="108"/>
    <row r="713" ht="15" customHeight="1" s="108"/>
    <row r="714" ht="15" customHeight="1" s="108"/>
    <row r="715" ht="15" customHeight="1" s="108"/>
    <row r="716" ht="15" customHeight="1" s="108"/>
    <row r="717" ht="15" customHeight="1" s="108"/>
    <row r="718" ht="15" customHeight="1" s="108"/>
    <row r="719" ht="15" customHeight="1" s="108"/>
    <row r="720" ht="15" customHeight="1" s="108"/>
    <row r="721" ht="15" customHeight="1" s="108"/>
    <row r="722" ht="15" customHeight="1" s="108"/>
    <row r="723" ht="15" customHeight="1" s="108"/>
    <row r="724" ht="15" customHeight="1" s="108"/>
    <row r="725" ht="15" customHeight="1" s="108"/>
    <row r="726" ht="15" customHeight="1" s="108"/>
    <row r="727" ht="15" customHeight="1" s="108"/>
    <row r="728" ht="15" customHeight="1" s="108"/>
    <row r="729" ht="15" customHeight="1" s="108"/>
    <row r="730" ht="15" customHeight="1" s="108"/>
    <row r="731" ht="15" customHeight="1" s="108"/>
    <row r="732" ht="15" customHeight="1" s="108"/>
    <row r="733" ht="15" customHeight="1" s="108"/>
    <row r="734" ht="15" customHeight="1" s="108"/>
    <row r="735" ht="15" customHeight="1" s="108"/>
    <row r="736" ht="15" customHeight="1" s="108"/>
    <row r="737" ht="15" customHeight="1" s="108"/>
    <row r="738" ht="15" customHeight="1" s="108"/>
    <row r="739" ht="15" customHeight="1" s="108"/>
    <row r="740" ht="15" customHeight="1" s="108"/>
    <row r="741" ht="15" customHeight="1" s="108"/>
    <row r="742" ht="15" customHeight="1" s="108"/>
    <row r="743" ht="15" customHeight="1" s="108"/>
    <row r="744" ht="15" customHeight="1" s="108"/>
    <row r="745" ht="15" customHeight="1" s="108"/>
    <row r="746" ht="15" customHeight="1" s="108"/>
    <row r="747" ht="15" customHeight="1" s="108"/>
    <row r="748" ht="15" customHeight="1" s="108"/>
    <row r="749" ht="15" customHeight="1" s="108"/>
    <row r="750" ht="15" customHeight="1" s="108"/>
    <row r="751" ht="15" customHeight="1" s="108"/>
    <row r="752" ht="15" customHeight="1" s="108"/>
    <row r="753" ht="15" customHeight="1" s="108"/>
    <row r="754" ht="15" customHeight="1" s="108"/>
    <row r="755" ht="15" customHeight="1" s="108"/>
    <row r="756" ht="15" customHeight="1" s="108"/>
    <row r="757" ht="15" customHeight="1" s="108"/>
    <row r="758" ht="15" customHeight="1" s="108"/>
    <row r="759" ht="15" customHeight="1" s="108"/>
    <row r="760" ht="15" customHeight="1" s="108"/>
    <row r="761" ht="15" customHeight="1" s="108"/>
    <row r="762" ht="15" customHeight="1" s="108"/>
    <row r="763" ht="15" customHeight="1" s="108"/>
    <row r="764" ht="15" customHeight="1" s="108"/>
    <row r="765" ht="15" customHeight="1" s="108"/>
    <row r="766" ht="15" customHeight="1" s="108"/>
    <row r="767" ht="15" customHeight="1" s="108"/>
    <row r="768" ht="15" customHeight="1" s="108"/>
    <row r="769" ht="15" customHeight="1" s="108"/>
    <row r="770" ht="15" customHeight="1" s="108"/>
    <row r="771" ht="15" customHeight="1" s="108"/>
    <row r="772" ht="15" customHeight="1" s="108"/>
    <row r="773" ht="15" customHeight="1" s="108"/>
    <row r="774" ht="15" customHeight="1" s="108"/>
    <row r="775" ht="15" customHeight="1" s="108"/>
    <row r="776" ht="15" customHeight="1" s="108"/>
    <row r="777" ht="15" customHeight="1" s="108"/>
    <row r="778" ht="15" customHeight="1" s="108"/>
    <row r="779" ht="15" customHeight="1" s="108"/>
    <row r="780" ht="15" customHeight="1" s="108"/>
    <row r="781" ht="15" customHeight="1" s="108"/>
    <row r="782" ht="15" customHeight="1" s="108"/>
    <row r="783" ht="15" customHeight="1" s="108"/>
    <row r="784" ht="15" customHeight="1" s="108"/>
    <row r="785" ht="15" customHeight="1" s="108"/>
    <row r="786" ht="15" customHeight="1" s="108"/>
    <row r="787" ht="15" customHeight="1" s="108"/>
    <row r="788" ht="15" customHeight="1" s="108"/>
    <row r="789" ht="15" customHeight="1" s="108"/>
    <row r="790" ht="15" customHeight="1" s="108"/>
    <row r="791" ht="15" customHeight="1" s="108"/>
    <row r="792" ht="15" customHeight="1" s="108"/>
    <row r="793" ht="15" customHeight="1" s="108"/>
    <row r="794" ht="15" customHeight="1" s="108"/>
    <row r="795" ht="15" customHeight="1" s="108"/>
    <row r="796" ht="15" customHeight="1" s="108"/>
    <row r="797" ht="15" customHeight="1" s="108"/>
    <row r="798" ht="15" customHeight="1" s="108"/>
    <row r="799" ht="15" customHeight="1" s="108"/>
    <row r="800" ht="15" customHeight="1" s="108"/>
    <row r="801" ht="15" customHeight="1" s="108"/>
    <row r="802" ht="15" customHeight="1" s="108"/>
    <row r="803" ht="15" customHeight="1" s="108"/>
    <row r="804" ht="15" customHeight="1" s="108"/>
    <row r="805" ht="15" customHeight="1" s="108"/>
    <row r="806" ht="15" customHeight="1" s="108"/>
    <row r="807" ht="15" customHeight="1" s="108"/>
    <row r="808" ht="15" customHeight="1" s="108"/>
    <row r="809" ht="15" customHeight="1" s="108"/>
    <row r="810" ht="15" customHeight="1" s="108"/>
    <row r="811" ht="15" customHeight="1" s="108"/>
    <row r="812" ht="15" customHeight="1" s="108"/>
    <row r="813" ht="15" customHeight="1" s="108"/>
    <row r="814" ht="15" customHeight="1" s="108"/>
    <row r="815" ht="15" customHeight="1" s="108"/>
    <row r="816" ht="15" customHeight="1" s="108"/>
    <row r="817" ht="15" customHeight="1" s="108"/>
    <row r="818" ht="15" customHeight="1" s="108"/>
    <row r="819" ht="15" customHeight="1" s="108"/>
    <row r="820" ht="15" customHeight="1" s="108"/>
    <row r="821" ht="15" customHeight="1" s="108"/>
    <row r="822" ht="15" customHeight="1" s="108"/>
    <row r="823" ht="15" customHeight="1" s="108"/>
    <row r="824" ht="15" customHeight="1" s="108"/>
    <row r="825" ht="15" customHeight="1" s="108"/>
    <row r="826" ht="15" customHeight="1" s="108"/>
    <row r="827" ht="15" customHeight="1" s="108"/>
    <row r="828" ht="15" customHeight="1" s="108"/>
    <row r="829" ht="15" customHeight="1" s="108"/>
    <row r="830" ht="15" customHeight="1" s="108"/>
    <row r="831" ht="15" customHeight="1" s="108"/>
    <row r="832" ht="15" customHeight="1" s="108"/>
    <row r="833" ht="15" customHeight="1" s="108"/>
    <row r="834" ht="15" customHeight="1" s="108"/>
    <row r="835" ht="15" customHeight="1" s="108"/>
    <row r="836" ht="15" customHeight="1" s="108"/>
    <row r="837" ht="15" customHeight="1" s="108"/>
    <row r="838" ht="15" customHeight="1" s="108"/>
    <row r="839" ht="15" customHeight="1" s="108"/>
    <row r="840" ht="15" customHeight="1" s="108"/>
    <row r="841" ht="15" customHeight="1" s="108"/>
    <row r="842" ht="15" customHeight="1" s="108"/>
    <row r="843" ht="15" customHeight="1" s="108"/>
    <row r="844" ht="15" customHeight="1" s="108"/>
    <row r="845" ht="15" customHeight="1" s="108"/>
    <row r="846" ht="15" customHeight="1" s="108"/>
    <row r="847" ht="15" customHeight="1" s="108"/>
    <row r="848" ht="15" customHeight="1" s="108"/>
    <row r="849" ht="15" customHeight="1" s="108"/>
    <row r="850" ht="15" customHeight="1" s="108"/>
    <row r="851" ht="15" customHeight="1" s="108"/>
    <row r="852" ht="15" customHeight="1" s="108"/>
    <row r="853" ht="15" customHeight="1" s="108"/>
    <row r="854" ht="15" customHeight="1" s="108"/>
    <row r="855" ht="15" customHeight="1" s="108"/>
    <row r="856" ht="15" customHeight="1" s="108"/>
    <row r="857" ht="15" customHeight="1" s="108"/>
    <row r="858" ht="15" customHeight="1" s="108"/>
    <row r="859" ht="15" customHeight="1" s="108"/>
    <row r="860" ht="15" customHeight="1" s="108"/>
    <row r="861" ht="15" customHeight="1" s="108"/>
    <row r="862" ht="15" customHeight="1" s="108"/>
    <row r="863" ht="15" customHeight="1" s="108"/>
    <row r="864" ht="15" customHeight="1" s="108"/>
    <row r="865" ht="15" customHeight="1" s="108"/>
    <row r="866" ht="15" customHeight="1" s="108"/>
    <row r="867" ht="15" customHeight="1" s="108"/>
    <row r="868" ht="15" customHeight="1" s="108"/>
    <row r="869" ht="15" customHeight="1" s="108"/>
    <row r="870" ht="15" customHeight="1" s="108"/>
    <row r="871" ht="15" customHeight="1" s="108"/>
    <row r="872" ht="15" customHeight="1" s="108"/>
    <row r="873" ht="15" customHeight="1" s="108"/>
    <row r="874" ht="15" customHeight="1" s="108"/>
    <row r="875" ht="15" customHeight="1" s="108"/>
    <row r="876" ht="15" customHeight="1" s="108"/>
    <row r="877" ht="15" customHeight="1" s="108"/>
    <row r="878" ht="15" customHeight="1" s="108"/>
    <row r="879" ht="15" customHeight="1" s="108"/>
    <row r="880" ht="15" customHeight="1" s="108"/>
    <row r="881" ht="15" customHeight="1" s="108"/>
    <row r="882" ht="15" customHeight="1" s="108"/>
    <row r="883" ht="15" customHeight="1" s="108"/>
    <row r="884" ht="15" customHeight="1" s="108"/>
    <row r="885" ht="15" customHeight="1" s="108"/>
    <row r="886" ht="15" customHeight="1" s="108"/>
    <row r="887" ht="15" customHeight="1" s="108"/>
    <row r="888" ht="15" customHeight="1" s="108"/>
    <row r="889" ht="15" customHeight="1" s="108"/>
    <row r="890" ht="15" customHeight="1" s="108"/>
    <row r="891" ht="15" customHeight="1" s="108"/>
    <row r="892" ht="15" customHeight="1" s="108"/>
    <row r="893" ht="15" customHeight="1" s="108"/>
    <row r="894" ht="15" customHeight="1" s="108"/>
    <row r="895" ht="15" customHeight="1" s="108"/>
    <row r="896" ht="15" customHeight="1" s="108"/>
    <row r="897" ht="15" customHeight="1" s="108"/>
    <row r="898" ht="15" customHeight="1" s="108"/>
    <row r="899" ht="15" customHeight="1" s="108"/>
    <row r="900" ht="15" customHeight="1" s="108"/>
    <row r="901" ht="15" customHeight="1" s="108"/>
    <row r="902" ht="15" customHeight="1" s="108"/>
    <row r="903" ht="15" customHeight="1" s="108"/>
    <row r="904" ht="15" customHeight="1" s="108"/>
    <row r="905" ht="15" customHeight="1" s="108"/>
    <row r="906" ht="15" customHeight="1" s="108"/>
    <row r="907" ht="15" customHeight="1" s="108"/>
    <row r="908" ht="15" customHeight="1" s="108"/>
    <row r="909" ht="15" customHeight="1" s="108"/>
    <row r="910" ht="15" customHeight="1" s="108"/>
    <row r="911" ht="15" customHeight="1" s="108"/>
    <row r="912" ht="15" customHeight="1" s="108"/>
    <row r="913" ht="15" customHeight="1" s="108"/>
    <row r="914" ht="15" customHeight="1" s="108"/>
    <row r="915" ht="15" customHeight="1" s="108"/>
    <row r="916" ht="15" customHeight="1" s="108"/>
    <row r="917" ht="15" customHeight="1" s="108"/>
    <row r="918" ht="15" customHeight="1" s="108"/>
    <row r="919" ht="15" customHeight="1" s="108"/>
    <row r="920" ht="15" customHeight="1" s="108"/>
    <row r="921" ht="15" customHeight="1" s="108"/>
    <row r="922" ht="15" customHeight="1" s="108"/>
    <row r="923" ht="15" customHeight="1" s="108"/>
    <row r="924" ht="15" customHeight="1" s="108"/>
    <row r="925" ht="15" customHeight="1" s="108"/>
    <row r="926" ht="15" customHeight="1" s="108"/>
    <row r="927" ht="15" customHeight="1" s="108"/>
    <row r="928" ht="15" customHeight="1" s="108"/>
    <row r="929" ht="15" customHeight="1" s="108"/>
    <row r="930" ht="15" customHeight="1" s="108"/>
    <row r="931" ht="15" customHeight="1" s="108"/>
    <row r="932" ht="15" customHeight="1" s="108"/>
    <row r="933" ht="15" customHeight="1" s="108"/>
    <row r="934" ht="15" customHeight="1" s="108"/>
    <row r="935" ht="15" customHeight="1" s="108"/>
    <row r="936" ht="15" customHeight="1" s="108"/>
    <row r="937" ht="15" customHeight="1" s="108"/>
    <row r="938" ht="15" customHeight="1" s="108"/>
    <row r="939" ht="15" customHeight="1" s="108"/>
    <row r="940" ht="15" customHeight="1" s="108"/>
    <row r="941" ht="15" customHeight="1" s="108"/>
    <row r="942" ht="15" customHeight="1" s="108"/>
    <row r="943" ht="15" customHeight="1" s="108"/>
    <row r="944" ht="15" customHeight="1" s="108"/>
    <row r="945" ht="15" customHeight="1" s="108"/>
    <row r="946" ht="15" customHeight="1" s="108"/>
    <row r="947" ht="15" customHeight="1" s="108"/>
    <row r="948" ht="15" customHeight="1" s="108"/>
    <row r="949" ht="15" customHeight="1" s="108"/>
    <row r="950" ht="15" customHeight="1" s="108"/>
    <row r="951" ht="15" customHeight="1" s="108"/>
    <row r="952" ht="15" customHeight="1" s="108"/>
    <row r="953" ht="15" customHeight="1" s="108"/>
    <row r="954" ht="15" customHeight="1" s="108"/>
    <row r="955" ht="15" customHeight="1" s="108"/>
    <row r="956" ht="15" customHeight="1" s="108"/>
    <row r="957" ht="15" customHeight="1" s="108"/>
    <row r="958" ht="15" customHeight="1" s="108"/>
    <row r="959" ht="15" customHeight="1" s="108"/>
    <row r="960" ht="15" customHeight="1" s="108"/>
    <row r="961" ht="15" customHeight="1" s="108"/>
    <row r="962" ht="15" customHeight="1" s="108"/>
    <row r="963" ht="15" customHeight="1" s="108"/>
    <row r="964" ht="15" customHeight="1" s="108"/>
    <row r="965" ht="15" customHeight="1" s="108"/>
    <row r="966" ht="15" customHeight="1" s="108"/>
    <row r="967" ht="15" customHeight="1" s="108"/>
    <row r="968" ht="15" customHeight="1" s="108"/>
    <row r="969" ht="15" customHeight="1" s="108"/>
    <row r="970" ht="15" customHeight="1" s="108"/>
    <row r="971" ht="15" customHeight="1" s="108"/>
    <row r="972" ht="15" customHeight="1" s="108"/>
    <row r="973" ht="15" customHeight="1" s="108"/>
    <row r="974" ht="15" customHeight="1" s="108"/>
    <row r="975" ht="15" customHeight="1" s="108"/>
    <row r="976" ht="15" customHeight="1" s="108"/>
    <row r="977" ht="15" customHeight="1" s="108"/>
    <row r="978" ht="15" customHeight="1" s="108"/>
    <row r="979" ht="15" customHeight="1" s="108"/>
    <row r="980" ht="15" customHeight="1" s="108"/>
    <row r="981" ht="15" customHeight="1" s="108"/>
    <row r="982" ht="15" customHeight="1" s="108"/>
    <row r="983" ht="15" customHeight="1" s="108"/>
    <row r="984" ht="15" customHeight="1" s="108"/>
    <row r="985" ht="15" customHeight="1" s="108"/>
    <row r="986" ht="15" customHeight="1" s="108"/>
    <row r="987" ht="15" customHeight="1" s="108"/>
    <row r="988" ht="15" customHeight="1" s="108"/>
    <row r="989" ht="15" customHeight="1" s="108"/>
    <row r="990" ht="15" customHeight="1" s="108"/>
    <row r="991" ht="15" customHeight="1" s="108"/>
    <row r="992" ht="15" customHeight="1" s="108"/>
    <row r="993" ht="15" customHeight="1" s="108"/>
    <row r="994" ht="15" customHeight="1" s="108"/>
    <row r="995" ht="15" customHeight="1" s="108"/>
    <row r="996" ht="15" customHeight="1" s="108"/>
    <row r="997" ht="15" customHeight="1" s="108"/>
    <row r="998" ht="15" customHeight="1" s="108"/>
    <row r="999" ht="15" customHeight="1" s="108"/>
    <row r="1000" ht="15" customHeight="1" s="108"/>
    <row r="1001" ht="15" customHeight="1" s="108"/>
    <row r="1002" ht="15" customHeight="1" s="108"/>
    <row r="1003" ht="15" customHeight="1" s="108"/>
    <row r="1004" ht="15" customHeight="1" s="108"/>
    <row r="1005" ht="15" customHeight="1" s="108"/>
    <row r="1006" ht="15" customHeight="1" s="108"/>
    <row r="1007" ht="15" customHeight="1" s="108"/>
    <row r="1008" ht="15" customHeight="1" s="108"/>
    <row r="1009" ht="15" customHeight="1" s="108"/>
  </sheetData>
  <dataValidations count="7">
    <dataValidation sqref="H2:I1009 Q2:Q1009" showDropDown="0" showInputMessage="0" showErrorMessage="0" allowBlank="1" type="list">
      <formula1>LISTA_SIM_NAO</formula1>
      <formula2>0</formula2>
    </dataValidation>
    <dataValidation sqref="J2:J1009" showDropDown="0" showInputMessage="0" showErrorMessage="0" allowBlank="1" type="list">
      <formula1>LISTA_SIM_NAO_NA</formula1>
      <formula2>0</formula2>
    </dataValidation>
    <dataValidation sqref="K2:K1009" showDropDown="0" showInputMessage="0" showErrorMessage="0" allowBlank="1" type="list">
      <formula1>LISTA_ATIVO_RECEPTIVO</formula1>
      <formula2>0</formula2>
    </dataValidation>
    <dataValidation sqref="L2:L1009" showDropDown="0" showInputMessage="0" showErrorMessage="0" allowBlank="1" type="list">
      <formula1>LISTA_TIPO_CONTATO</formula1>
      <formula2>0</formula2>
    </dataValidation>
    <dataValidation sqref="M2:M1009" showDropDown="0" showInputMessage="0" showErrorMessage="0" allowBlank="1" type="list">
      <formula1>LISTA_RESULTADO</formula1>
      <formula2>0</formula2>
    </dataValidation>
    <dataValidation sqref="N2:N1009" showDropDown="0" showInputMessage="0" showErrorMessage="0" allowBlank="1" type="list">
      <formula1>LISTA_MOTIVO</formula1>
      <formula2>0</formula2>
    </dataValidation>
    <dataValidation sqref="P2:P1009" showDropDown="0" showInputMessage="0" showErrorMessage="0" allowBlank="1" type="list">
      <formula1>LISTA_ACAO_FUTURA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59E0B"/>
    <outlinePr summaryBelow="1" summaryRight="1"/>
    <pageSetUpPr/>
  </sheetPr>
  <dimension ref="A1:X502"/>
  <sheetViews>
    <sheetView topLeftCell="R1" workbookViewId="0">
      <pane ySplit="2" topLeftCell="A3" activePane="bottomLeft" state="frozen"/>
      <selection pane="bottomLeft" activeCell="V7" sqref="V7"/>
    </sheetView>
  </sheetViews>
  <sheetFormatPr baseColWidth="8" defaultRowHeight="14.4"/>
  <cols>
    <col width="12" customWidth="1" style="108" min="1" max="1"/>
    <col width="18" customWidth="1" style="108" min="2" max="2"/>
    <col width="25" customWidth="1" style="108" min="3" max="3"/>
    <col width="18" customWidth="1" style="108" min="4" max="4"/>
    <col width="5" customWidth="1" style="108" min="5" max="5"/>
    <col width="18" customWidth="1" style="108" min="6" max="6"/>
    <col width="12" customWidth="1" style="108" min="7" max="7"/>
    <col width="14" customWidth="1" style="108" min="8" max="8"/>
    <col width="15" customWidth="1" style="108" min="9" max="9"/>
    <col width="14" customWidth="1" style="108" min="10" max="10"/>
    <col width="15" customWidth="1" style="108" min="11" max="11"/>
    <col width="12" customWidth="1" style="108" min="12" max="12"/>
    <col width="10" customWidth="1" style="108" min="13" max="15"/>
    <col width="14" customWidth="1" style="108" min="16" max="16"/>
    <col width="22" customWidth="1" style="108" min="17" max="18"/>
    <col width="30" customWidth="1" style="108" min="19" max="19"/>
    <col width="12" customWidth="1" style="108" min="20" max="20"/>
    <col width="25" customWidth="1" style="108" min="21" max="21"/>
    <col width="30" customWidth="1" style="108" min="22" max="22"/>
    <col width="14" customWidth="1" style="108" min="23" max="23"/>
    <col width="30" customWidth="1" style="108" min="24" max="24"/>
  </cols>
  <sheetData>
    <row r="1" ht="28.05" customHeight="1" s="108">
      <c r="A1" s="345" t="inlineStr">
        <is>
          <t>📊 DRAFT 2 — LOG DE ATENDIMENTOS (CRESCE INFINITO ↓)</t>
        </is>
      </c>
    </row>
    <row r="2" ht="28.05" customHeight="1" s="108">
      <c r="A2" s="60" t="inlineStr">
        <is>
          <t>DATA</t>
        </is>
      </c>
      <c r="B2" s="60" t="inlineStr">
        <is>
          <t>CONSULTOR</t>
        </is>
      </c>
      <c r="C2" s="60" t="inlineStr">
        <is>
          <t>NOME FANTASIA</t>
        </is>
      </c>
      <c r="D2" s="60" t="inlineStr">
        <is>
          <t>CNPJ</t>
        </is>
      </c>
      <c r="E2" s="60" t="inlineStr">
        <is>
          <t>UF</t>
        </is>
      </c>
      <c r="F2" s="60" t="inlineStr">
        <is>
          <t>REDE / REGIONAL</t>
        </is>
      </c>
      <c r="G2" s="60" t="inlineStr">
        <is>
          <t>SITUAÇÃO</t>
        </is>
      </c>
      <c r="H2" s="60" t="inlineStr">
        <is>
          <t>DIAS SEM COMPRA</t>
        </is>
      </c>
      <c r="I2" s="60" t="inlineStr">
        <is>
          <t>ESTÁGIO FUNIL</t>
        </is>
      </c>
      <c r="J2" s="60" t="inlineStr">
        <is>
          <t>TIPO CLIENTE</t>
        </is>
      </c>
      <c r="K2" s="60" t="inlineStr">
        <is>
          <t>FASE</t>
        </is>
      </c>
      <c r="L2" s="60" t="inlineStr">
        <is>
          <t>SINALEIRO</t>
        </is>
      </c>
      <c r="M2" s="60" t="inlineStr">
        <is>
          <t>TENTATIVA</t>
        </is>
      </c>
      <c r="N2" s="61" t="inlineStr">
        <is>
          <t>WHATSAPP</t>
        </is>
      </c>
      <c r="O2" s="61" t="inlineStr">
        <is>
          <t>LIGAÇÃO</t>
        </is>
      </c>
      <c r="P2" s="61" t="inlineStr">
        <is>
          <t>LIGAÇÃO ATENDIDA</t>
        </is>
      </c>
      <c r="Q2" s="61" t="inlineStr">
        <is>
          <t>TIPO DO CONTATO</t>
        </is>
      </c>
      <c r="R2" s="61" t="inlineStr">
        <is>
          <t>RESULTADO</t>
        </is>
      </c>
      <c r="S2" s="61" t="inlineStr">
        <is>
          <t>MOTIVO</t>
        </is>
      </c>
      <c r="T2" s="61" t="inlineStr">
        <is>
          <t>FOLLOW-UP</t>
        </is>
      </c>
      <c r="U2" s="61" t="inlineStr">
        <is>
          <t>AÇÃO FUTURA</t>
        </is>
      </c>
      <c r="V2" s="61" t="inlineStr">
        <is>
          <t>AÇÃO DETALHADA</t>
        </is>
      </c>
      <c r="W2" s="61" t="inlineStr">
        <is>
          <t>MERCOS ATUALIZADO</t>
        </is>
      </c>
      <c r="X2" s="61" t="inlineStr">
        <is>
          <t>NOTA DO DIA</t>
        </is>
      </c>
    </row>
    <row r="3">
      <c r="A3" s="71" t="n">
        <v>46074</v>
      </c>
      <c r="B3" s="58" t="inlineStr">
        <is>
          <t>MANU DITZEL</t>
        </is>
      </c>
      <c r="C3" s="58" t="inlineStr">
        <is>
          <t>NATUR LIFE 32</t>
        </is>
      </c>
      <c r="D3" s="58" t="inlineStr">
        <is>
          <t>38.242.854/1680-96</t>
        </is>
      </c>
      <c r="E3" s="58" t="inlineStr">
        <is>
          <t>RJ</t>
        </is>
      </c>
      <c r="F3" s="58" t="inlineStr">
        <is>
          <t>VIDA LEVE</t>
        </is>
      </c>
      <c r="G3" s="58" t="inlineStr">
        <is>
          <t>INAT.REC</t>
        </is>
      </c>
      <c r="H3" s="58" t="n">
        <v>62</v>
      </c>
      <c r="I3" s="58">
        <f>IF(R3="","",VLOOKUP(R3,REGRAS!$B$2:$D$13,3,FALSE()))</f>
        <v/>
      </c>
      <c r="J3" s="58" t="n"/>
      <c r="K3" s="58">
        <f>IF(R3="","",IF(R3="VENDA / PEDIDO","RECOMPRA",IF(R3="SUPORTE","PÓS-VENDA",IF(OR(R3="FOLLOW UP 7",R3="FOLLOW UP 15"),"SALVAMENTO",IF(R3="PERDA / FECHOU LOJA","NUTRIÇÃO",IF(R3="RELACIONAMENTO","CS",IF(OR(R3="ORÇAMENTO",R3="CADASTRO"),"PROSPECÇÃO",IF(R3="EM ATENDIMENTO","EM ATENDIMENTO",IF(OR(R3="NÃO ATENDE",R3="NÃO RESPONDE",R3="RECUSOU LIGAÇÃO"),"RECUPERAÇÃO","")))))))))</f>
        <v/>
      </c>
      <c r="L3" s="58">
        <f>IF(H3="","",IF(G3="PROSPECT","🟣",IF(G3="LEAD","🟣",IF(G3="NOVO","🟢",IF(H3&lt;=50,"🟢",IF(H3&lt;=90,"🟡","🔴"))))))</f>
        <v/>
      </c>
      <c r="M3" s="58" t="n"/>
      <c r="N3" s="58" t="inlineStr">
        <is>
          <t>SIM</t>
        </is>
      </c>
      <c r="O3" s="58" t="inlineStr">
        <is>
          <t>SIM</t>
        </is>
      </c>
      <c r="P3" s="58" t="inlineStr">
        <is>
          <t>SIM</t>
        </is>
      </c>
      <c r="Q3" s="58" t="inlineStr">
        <is>
          <t>PROSPECÇÃO</t>
        </is>
      </c>
      <c r="R3" s="58" t="inlineStr">
        <is>
          <t>EM ATENDIMENTO</t>
        </is>
      </c>
      <c r="S3" s="58" t="n"/>
      <c r="T3" s="71">
        <f>IF(R3="","",IF(OR(R3="SUPORTE",R3="PERDA / FECHOU LOJA"),"SEM",A3+VLOOKUP(R3,REGRAS!$B$2:$C$13,2,FALSE())))</f>
        <v/>
      </c>
      <c r="U3" s="58">
        <f>IF(R3="","",IF(R3="VENDA / PEDIDO","RECOMPRA",IF(R3="SUPORTE","PÓS-VENDA",IF(R3="RELACIONAMENTO","CS",IF(OR(R3="NÃO ATENDE",R3="NÃO RESPONDE",R3="RECUSOU LIGAÇÃO"),"REATIVAÇÃO",IF(R3="PERDA / FECHOU LOJA","NUTRIÇÃO",IF(OR(R3="FOLLOW UP 7",R3="FOLLOW UP 15"),"SALVAMENTO","PROSPECÇÃO")))))))</f>
        <v/>
      </c>
      <c r="V3" s="58" t="n"/>
      <c r="W3" s="58" t="inlineStr">
        <is>
          <t>SIM</t>
        </is>
      </c>
      <c r="X3" s="58" t="n"/>
    </row>
    <row r="4">
      <c r="A4" s="71" t="n">
        <v>46071</v>
      </c>
      <c r="B4" s="58" t="inlineStr">
        <is>
          <t>LARISSA PADILHA</t>
        </is>
      </c>
      <c r="C4" s="58" t="inlineStr">
        <is>
          <t>EMPÓRIO BIO 76</t>
        </is>
      </c>
      <c r="D4" s="58" t="inlineStr">
        <is>
          <t>45.928.990/0107-30</t>
        </is>
      </c>
      <c r="E4" s="58" t="inlineStr">
        <is>
          <t>SP</t>
        </is>
      </c>
      <c r="F4" s="58" t="inlineStr">
        <is>
          <t>CIA DA SAUDE</t>
        </is>
      </c>
      <c r="G4" s="58" t="inlineStr">
        <is>
          <t>ATIVO</t>
        </is>
      </c>
      <c r="H4" s="58" t="n">
        <v>26</v>
      </c>
      <c r="I4" s="58">
        <f>IF(R4="","",VLOOKUP(R4,REGRAS!$B$2:$D$13,3,FALSE()))</f>
        <v/>
      </c>
      <c r="J4" s="58" t="n"/>
      <c r="K4" s="58">
        <f>IF(R4="","",IF(R4="VENDA / PEDIDO","RECOMPRA",IF(R4="SUPORTE","PÓS-VENDA",IF(OR(R4="FOLLOW UP 7",R4="FOLLOW UP 15"),"SALVAMENTO",IF(R4="PERDA / FECHOU LOJA","NUTRIÇÃO",IF(R4="RELACIONAMENTO","CS",IF(OR(R4="ORÇAMENTO",R4="CADASTRO"),"PROSPECÇÃO",IF(R4="EM ATENDIMENTO","EM ATENDIMENTO",IF(OR(R4="NÃO ATENDE",R4="NÃO RESPONDE",R4="RECUSOU LIGAÇÃO"),"RECUPERAÇÃO","")))))))))</f>
        <v/>
      </c>
      <c r="L4" s="58">
        <f>IF(H4="","",IF(G4="PROSPECT","🟣",IF(G4="LEAD","🟣",IF(G4="NOVO","🟢",IF(H4&lt;=50,"🟢",IF(H4&lt;=90,"🟡","🔴"))))))</f>
        <v/>
      </c>
      <c r="M4" s="58" t="n"/>
      <c r="N4" s="58" t="inlineStr">
        <is>
          <t>SIM</t>
        </is>
      </c>
      <c r="O4" s="58" t="inlineStr">
        <is>
          <t>SIM</t>
        </is>
      </c>
      <c r="P4" s="58" t="inlineStr">
        <is>
          <t>SIM</t>
        </is>
      </c>
      <c r="Q4" s="58" t="inlineStr">
        <is>
          <t>PROSPECÇÃO</t>
        </is>
      </c>
      <c r="R4" s="58" t="inlineStr">
        <is>
          <t>CADASTRO</t>
        </is>
      </c>
      <c r="S4" s="58" t="n"/>
      <c r="T4" s="71">
        <f>IF(R4="","",IF(OR(R4="SUPORTE",R4="PERDA / FECHOU LOJA"),"SEM",A4+VLOOKUP(R4,REGRAS!$B$2:$C$13,2,FALSE())))</f>
        <v/>
      </c>
      <c r="U4" s="58">
        <f>IF(R4="","",IF(R4="VENDA / PEDIDO","RECOMPRA",IF(R4="SUPORTE","PÓS-VENDA",IF(R4="RELACIONAMENTO","CS",IF(OR(R4="NÃO ATENDE",R4="NÃO RESPONDE",R4="RECUSOU LIGAÇÃO"),"REATIVAÇÃO",IF(R4="PERDA / FECHOU LOJA","NUTRIÇÃO",IF(OR(R4="FOLLOW UP 7",R4="FOLLOW UP 15"),"SALVAMENTO","PROSPECÇÃO")))))))</f>
        <v/>
      </c>
      <c r="V4" s="58" t="n"/>
      <c r="W4" s="58" t="inlineStr">
        <is>
          <t>SIM</t>
        </is>
      </c>
      <c r="X4" s="58" t="n"/>
    </row>
    <row r="5">
      <c r="A5" s="71" t="n">
        <v>46068</v>
      </c>
      <c r="B5" s="58" t="inlineStr">
        <is>
          <t>LARISSA PADILHA</t>
        </is>
      </c>
      <c r="C5" s="58" t="inlineStr">
        <is>
          <t>VIDA LEVE PR 11</t>
        </is>
      </c>
      <c r="D5" s="58" t="inlineStr">
        <is>
          <t>80.400.949/5926-83</t>
        </is>
      </c>
      <c r="E5" s="58" t="inlineStr">
        <is>
          <t>PR</t>
        </is>
      </c>
      <c r="F5" s="58" t="inlineStr">
        <is>
          <t>MUNDO VERDE</t>
        </is>
      </c>
      <c r="G5" s="58" t="inlineStr">
        <is>
          <t>INAT.ANT</t>
        </is>
      </c>
      <c r="H5" s="58" t="n">
        <v>288</v>
      </c>
      <c r="I5" s="58">
        <f>IF(R5="","",VLOOKUP(R5,REGRAS!$B$2:$D$13,3,FALSE()))</f>
        <v/>
      </c>
      <c r="J5" s="58" t="n"/>
      <c r="K5" s="58">
        <f>IF(R5="","",IF(R5="VENDA / PEDIDO","RECOMPRA",IF(R5="SUPORTE","PÓS-VENDA",IF(OR(R5="FOLLOW UP 7",R5="FOLLOW UP 15"),"SALVAMENTO",IF(R5="PERDA / FECHOU LOJA","NUTRIÇÃO",IF(R5="RELACIONAMENTO","CS",IF(OR(R5="ORÇAMENTO",R5="CADASTRO"),"PROSPECÇÃO",IF(R5="EM ATENDIMENTO","EM ATENDIMENTO",IF(OR(R5="NÃO ATENDE",R5="NÃO RESPONDE",R5="RECUSOU LIGAÇÃO"),"RECUPERAÇÃO","")))))))))</f>
        <v/>
      </c>
      <c r="L5" s="58">
        <f>IF(H5="","",IF(G5="PROSPECT","🟣",IF(G5="LEAD","🟣",IF(G5="NOVO","🟢",IF(H5&lt;=50,"🟢",IF(H5&lt;=90,"🟡","🔴"))))))</f>
        <v/>
      </c>
      <c r="M5" s="58" t="n"/>
      <c r="N5" s="58" t="inlineStr">
        <is>
          <t>SIM</t>
        </is>
      </c>
      <c r="O5" s="58" t="inlineStr">
        <is>
          <t>SIM</t>
        </is>
      </c>
      <c r="P5" s="58" t="inlineStr">
        <is>
          <t>SIM</t>
        </is>
      </c>
      <c r="Q5" s="58" t="inlineStr">
        <is>
          <t>FOLLOW UP</t>
        </is>
      </c>
      <c r="R5" s="58" t="inlineStr">
        <is>
          <t>EM ATENDIMENTO</t>
        </is>
      </c>
      <c r="S5" s="58" t="n"/>
      <c r="T5" s="71">
        <f>IF(R5="","",IF(OR(R5="SUPORTE",R5="PERDA / FECHOU LOJA"),"SEM",A5+VLOOKUP(R5,REGRAS!$B$2:$C$13,2,FALSE())))</f>
        <v/>
      </c>
      <c r="U5" s="58">
        <f>IF(R5="","",IF(R5="VENDA / PEDIDO","RECOMPRA",IF(R5="SUPORTE","PÓS-VENDA",IF(R5="RELACIONAMENTO","CS",IF(OR(R5="NÃO ATENDE",R5="NÃO RESPONDE",R5="RECUSOU LIGAÇÃO"),"REATIVAÇÃO",IF(R5="PERDA / FECHOU LOJA","NUTRIÇÃO",IF(OR(R5="FOLLOW UP 7",R5="FOLLOW UP 15"),"SALVAMENTO","PROSPECÇÃO")))))))</f>
        <v/>
      </c>
      <c r="V5" s="58" t="n"/>
      <c r="W5" s="58" t="inlineStr">
        <is>
          <t>SIM</t>
        </is>
      </c>
      <c r="X5" s="58" t="n"/>
    </row>
    <row r="6">
      <c r="A6" s="71" t="n">
        <v>46065</v>
      </c>
      <c r="B6" s="58" t="inlineStr">
        <is>
          <t>MANU DITZEL</t>
        </is>
      </c>
      <c r="C6" s="58" t="inlineStr">
        <is>
          <t>MARKET FIT 27</t>
        </is>
      </c>
      <c r="D6" s="58" t="inlineStr">
        <is>
          <t>95.373.818/1170-87</t>
        </is>
      </c>
      <c r="E6" s="58" t="inlineStr">
        <is>
          <t>SP</t>
        </is>
      </c>
      <c r="F6" s="58" t="inlineStr">
        <is>
          <t>VIDA LEVE</t>
        </is>
      </c>
      <c r="G6" s="58" t="inlineStr">
        <is>
          <t>ATIVO</t>
        </is>
      </c>
      <c r="H6" s="58" t="n">
        <v>34</v>
      </c>
      <c r="I6" s="58">
        <f>IF(R6="","",VLOOKUP(R6,REGRAS!$B$2:$D$13,3,FALSE()))</f>
        <v/>
      </c>
      <c r="J6" s="58" t="n"/>
      <c r="K6" s="58">
        <f>IF(R6="","",IF(R6="VENDA / PEDIDO","RECOMPRA",IF(R6="SUPORTE","PÓS-VENDA",IF(OR(R6="FOLLOW UP 7",R6="FOLLOW UP 15"),"SALVAMENTO",IF(R6="PERDA / FECHOU LOJA","NUTRIÇÃO",IF(R6="RELACIONAMENTO","CS",IF(OR(R6="ORÇAMENTO",R6="CADASTRO"),"PROSPECÇÃO",IF(R6="EM ATENDIMENTO","EM ATENDIMENTO",IF(OR(R6="NÃO ATENDE",R6="NÃO RESPONDE",R6="RECUSOU LIGAÇÃO"),"RECUPERAÇÃO","")))))))))</f>
        <v/>
      </c>
      <c r="L6" s="58">
        <f>IF(H6="","",IF(G6="PROSPECT","🟣",IF(G6="LEAD","🟣",IF(G6="NOVO","🟢",IF(H6&lt;=50,"🟢",IF(H6&lt;=90,"🟡","🔴"))))))</f>
        <v/>
      </c>
      <c r="M6" s="58" t="n"/>
      <c r="N6" s="58" t="inlineStr">
        <is>
          <t>SIM</t>
        </is>
      </c>
      <c r="O6" s="58" t="inlineStr">
        <is>
          <t>NÃO</t>
        </is>
      </c>
      <c r="P6" s="58" t="inlineStr">
        <is>
          <t>N/A</t>
        </is>
      </c>
      <c r="Q6" s="58" t="inlineStr">
        <is>
          <t>ATEND. CLIENTES ATIVOS</t>
        </is>
      </c>
      <c r="R6" s="58" t="inlineStr">
        <is>
          <t>NÃO ATENDE</t>
        </is>
      </c>
      <c r="S6" s="58" t="inlineStr">
        <is>
          <t>PROBLEMA FINANCEIRO / CRÉDITO</t>
        </is>
      </c>
      <c r="T6" s="71">
        <f>IF(R6="","",IF(OR(R6="SUPORTE",R6="PERDA / FECHOU LOJA"),"SEM",A6+VLOOKUP(R6,REGRAS!$B$2:$C$13,2,FALSE())))</f>
        <v/>
      </c>
      <c r="U6" s="58">
        <f>IF(R6="","",IF(R6="VENDA / PEDIDO","RECOMPRA",IF(R6="SUPORTE","PÓS-VENDA",IF(R6="RELACIONAMENTO","CS",IF(OR(R6="NÃO ATENDE",R6="NÃO RESPONDE",R6="RECUSOU LIGAÇÃO"),"REATIVAÇÃO",IF(R6="PERDA / FECHOU LOJA","NUTRIÇÃO",IF(OR(R6="FOLLOW UP 7",R6="FOLLOW UP 15"),"SALVAMENTO","PROSPECÇÃO")))))))</f>
        <v/>
      </c>
      <c r="V6" s="58" t="n"/>
      <c r="W6" s="58" t="inlineStr">
        <is>
          <t>NÃO</t>
        </is>
      </c>
      <c r="X6" s="58" t="n"/>
    </row>
    <row r="7">
      <c r="A7" s="71" t="n">
        <v>46078</v>
      </c>
      <c r="B7" s="58" t="inlineStr">
        <is>
          <t>MANU DITZEL</t>
        </is>
      </c>
      <c r="C7" s="58" t="inlineStr">
        <is>
          <t>MUNDO VERDE CWB 41</t>
        </is>
      </c>
      <c r="D7" s="58" t="inlineStr">
        <is>
          <t>61.374.167/3457-82</t>
        </is>
      </c>
      <c r="E7" s="58" t="inlineStr">
        <is>
          <t>BA</t>
        </is>
      </c>
      <c r="F7" s="58" t="inlineStr">
        <is>
          <t>CIA DA SAUDE</t>
        </is>
      </c>
      <c r="G7" s="58" t="inlineStr">
        <is>
          <t>INAT.ANT</t>
        </is>
      </c>
      <c r="H7" s="58" t="n">
        <v>192</v>
      </c>
      <c r="I7" s="58">
        <f>IF(R7="","",VLOOKUP(R7,REGRAS!$B$2:$D$13,3,FALSE()))</f>
        <v/>
      </c>
      <c r="J7" s="58" t="n"/>
      <c r="K7" s="58">
        <f>IF(R7="","",IF(R7="VENDA / PEDIDO","RECOMPRA",IF(R7="SUPORTE","PÓS-VENDA",IF(OR(R7="FOLLOW UP 7",R7="FOLLOW UP 15"),"SALVAMENTO",IF(R7="PERDA / FECHOU LOJA","NUTRIÇÃO",IF(R7="RELACIONAMENTO","CS",IF(OR(R7="ORÇAMENTO",R7="CADASTRO"),"PROSPECÇÃO",IF(R7="EM ATENDIMENTO","EM ATENDIMENTO",IF(OR(R7="NÃO ATENDE",R7="NÃO RESPONDE",R7="RECUSOU LIGAÇÃO"),"RECUPERAÇÃO","")))))))))</f>
        <v/>
      </c>
      <c r="L7" s="58">
        <f>IF(H7="","",IF(G7="PROSPECT","🟣",IF(G7="LEAD","🟣",IF(G7="NOVO","🟢",IF(H7&lt;=50,"🟢",IF(H7&lt;=90,"🟡","🔴"))))))</f>
        <v/>
      </c>
      <c r="M7" s="58" t="n"/>
      <c r="N7" s="58" t="inlineStr">
        <is>
          <t>SIM</t>
        </is>
      </c>
      <c r="O7" s="58" t="inlineStr">
        <is>
          <t>SIM</t>
        </is>
      </c>
      <c r="P7" s="58" t="inlineStr">
        <is>
          <t>NÃO</t>
        </is>
      </c>
      <c r="Q7" s="58" t="inlineStr">
        <is>
          <t>PÓS-VENDA / RELACIONAMENTO</t>
        </is>
      </c>
      <c r="R7" s="58" t="inlineStr">
        <is>
          <t>SUPORTE</t>
        </is>
      </c>
      <c r="S7" s="58" t="n"/>
      <c r="T7" s="71">
        <f>IF(R7="","",IF(OR(R7="SUPORTE",R7="PERDA / FECHOU LOJA"),"SEM",A7+VLOOKUP(R7,REGRAS!$B$2:$C$13,2,FALSE())))</f>
        <v/>
      </c>
      <c r="U7" s="58">
        <f>IF(R7="","",IF(R7="VENDA / PEDIDO","RECOMPRA",IF(R7="SUPORTE","PÓS-VENDA",IF(R7="RELACIONAMENTO","CS",IF(OR(R7="NÃO ATENDE",R7="NÃO RESPONDE",R7="RECUSOU LIGAÇÃO"),"REATIVAÇÃO",IF(R7="PERDA / FECHOU LOJA","NUTRIÇÃO",IF(OR(R7="FOLLOW UP 7",R7="FOLLOW UP 15"),"SALVAMENTO","PROSPECÇÃO")))))))</f>
        <v/>
      </c>
      <c r="V7" s="58" t="n"/>
      <c r="W7" s="58" t="inlineStr">
        <is>
          <t>SIM</t>
        </is>
      </c>
      <c r="X7" s="58" t="n"/>
    </row>
    <row r="8">
      <c r="A8" s="71" t="n">
        <v>46077</v>
      </c>
      <c r="B8" s="58" t="inlineStr">
        <is>
          <t>LARISSA PADILHA</t>
        </is>
      </c>
      <c r="C8" s="58" t="inlineStr">
        <is>
          <t>VERDE ESSENCE 52</t>
        </is>
      </c>
      <c r="D8" s="58" t="inlineStr">
        <is>
          <t>56.324.241/8349-73</t>
        </is>
      </c>
      <c r="E8" s="58" t="inlineStr">
        <is>
          <t>PR</t>
        </is>
      </c>
      <c r="F8" s="58" t="inlineStr">
        <is>
          <t>MUNDO VERDE</t>
        </is>
      </c>
      <c r="G8" s="58" t="inlineStr">
        <is>
          <t>ATIVO</t>
        </is>
      </c>
      <c r="H8" s="58" t="n">
        <v>45</v>
      </c>
      <c r="I8" s="58">
        <f>IF(R8="","",VLOOKUP(R8,REGRAS!$B$2:$D$13,3,FALSE()))</f>
        <v/>
      </c>
      <c r="J8" s="58" t="n"/>
      <c r="K8" s="58">
        <f>IF(R8="","",IF(R8="VENDA / PEDIDO","RECOMPRA",IF(R8="SUPORTE","PÓS-VENDA",IF(OR(R8="FOLLOW UP 7",R8="FOLLOW UP 15"),"SALVAMENTO",IF(R8="PERDA / FECHOU LOJA","NUTRIÇÃO",IF(R8="RELACIONAMENTO","CS",IF(OR(R8="ORÇAMENTO",R8="CADASTRO"),"PROSPECÇÃO",IF(R8="EM ATENDIMENTO","EM ATENDIMENTO",IF(OR(R8="NÃO ATENDE",R8="NÃO RESPONDE",R8="RECUSOU LIGAÇÃO"),"RECUPERAÇÃO","")))))))))</f>
        <v/>
      </c>
      <c r="L8" s="58">
        <f>IF(H8="","",IF(G8="PROSPECT","🟣",IF(G8="LEAD","🟣",IF(G8="NOVO","🟢",IF(H8&lt;=50,"🟢",IF(H8&lt;=90,"🟡","🔴"))))))</f>
        <v/>
      </c>
      <c r="M8" s="58" t="n"/>
      <c r="N8" s="58" t="inlineStr">
        <is>
          <t>SIM</t>
        </is>
      </c>
      <c r="O8" s="58" t="inlineStr">
        <is>
          <t>SIM</t>
        </is>
      </c>
      <c r="P8" s="58" t="inlineStr">
        <is>
          <t>NÃO</t>
        </is>
      </c>
      <c r="Q8" s="58" t="inlineStr">
        <is>
          <t>NEGOCIAÇÃO</t>
        </is>
      </c>
      <c r="R8" s="58" t="inlineStr">
        <is>
          <t>VENDA / PEDIDO</t>
        </is>
      </c>
      <c r="S8" s="58" t="n"/>
      <c r="T8" s="71">
        <f>IF(R8="","",IF(OR(R8="SUPORTE",R8="PERDA / FECHOU LOJA"),"SEM",A8+VLOOKUP(R8,REGRAS!$B$2:$C$13,2,FALSE())))</f>
        <v/>
      </c>
      <c r="U8" s="58">
        <f>IF(R8="","",IF(R8="VENDA / PEDIDO","RECOMPRA",IF(R8="SUPORTE","PÓS-VENDA",IF(R8="RELACIONAMENTO","CS",IF(OR(R8="NÃO ATENDE",R8="NÃO RESPONDE",R8="RECUSOU LIGAÇÃO"),"REATIVAÇÃO",IF(R8="PERDA / FECHOU LOJA","NUTRIÇÃO",IF(OR(R8="FOLLOW UP 7",R8="FOLLOW UP 15"),"SALVAMENTO","PROSPECÇÃO")))))))</f>
        <v/>
      </c>
      <c r="V8" s="58" t="n"/>
      <c r="W8" s="58" t="inlineStr">
        <is>
          <t>SIM</t>
        </is>
      </c>
      <c r="X8" s="58" t="n"/>
    </row>
    <row r="9">
      <c r="A9" s="71" t="n">
        <v>46062</v>
      </c>
      <c r="B9" s="58" t="inlineStr">
        <is>
          <t>DAIANE STAVICKI</t>
        </is>
      </c>
      <c r="C9" s="58" t="inlineStr">
        <is>
          <t>NUTRI VIDA 88</t>
        </is>
      </c>
      <c r="D9" s="58" t="inlineStr">
        <is>
          <t>24.798.649/4372-92</t>
        </is>
      </c>
      <c r="E9" s="58" t="inlineStr">
        <is>
          <t>SC</t>
        </is>
      </c>
      <c r="F9" s="58" t="inlineStr">
        <is>
          <t>CIA DA SAUDE</t>
        </is>
      </c>
      <c r="G9" s="58" t="inlineStr">
        <is>
          <t>ATIVO</t>
        </is>
      </c>
      <c r="H9" s="58" t="n">
        <v>5</v>
      </c>
      <c r="I9" s="58">
        <f>IF(R9="","",VLOOKUP(R9,REGRAS!$B$2:$D$13,3,FALSE()))</f>
        <v/>
      </c>
      <c r="J9" s="58" t="n"/>
      <c r="K9" s="58">
        <f>IF(R9="","",IF(R9="VENDA / PEDIDO","RECOMPRA",IF(R9="SUPORTE","PÓS-VENDA",IF(OR(R9="FOLLOW UP 7",R9="FOLLOW UP 15"),"SALVAMENTO",IF(R9="PERDA / FECHOU LOJA","NUTRIÇÃO",IF(R9="RELACIONAMENTO","CS",IF(OR(R9="ORÇAMENTO",R9="CADASTRO"),"PROSPECÇÃO",IF(R9="EM ATENDIMENTO","EM ATENDIMENTO",IF(OR(R9="NÃO ATENDE",R9="NÃO RESPONDE",R9="RECUSOU LIGAÇÃO"),"RECUPERAÇÃO","")))))))))</f>
        <v/>
      </c>
      <c r="L9" s="58">
        <f>IF(H9="","",IF(G9="PROSPECT","🟣",IF(G9="LEAD","🟣",IF(G9="NOVO","🟢",IF(H9&lt;=50,"🟢",IF(H9&lt;=90,"🟡","🔴"))))))</f>
        <v/>
      </c>
      <c r="M9" s="58" t="n"/>
      <c r="N9" s="58" t="inlineStr">
        <is>
          <t>SIM</t>
        </is>
      </c>
      <c r="O9" s="58" t="inlineStr">
        <is>
          <t>NÃO</t>
        </is>
      </c>
      <c r="P9" s="58" t="inlineStr">
        <is>
          <t>N/A</t>
        </is>
      </c>
      <c r="Q9" s="58" t="inlineStr">
        <is>
          <t>PERDA / NUTRIÇÃO</t>
        </is>
      </c>
      <c r="R9" s="58" t="inlineStr">
        <is>
          <t>FOLLOW UP 15</t>
        </is>
      </c>
      <c r="S9" s="58" t="inlineStr">
        <is>
          <t>AINDA TEM ESTOQUE</t>
        </is>
      </c>
      <c r="T9" s="71">
        <f>IF(R9="","",IF(OR(R9="SUPORTE",R9="PERDA / FECHOU LOJA"),"SEM",A9+VLOOKUP(R9,REGRAS!$B$2:$C$13,2,FALSE())))</f>
        <v/>
      </c>
      <c r="U9" s="58">
        <f>IF(R9="","",IF(R9="VENDA / PEDIDO","RECOMPRA",IF(R9="SUPORTE","PÓS-VENDA",IF(R9="RELACIONAMENTO","CS",IF(OR(R9="NÃO ATENDE",R9="NÃO RESPONDE",R9="RECUSOU LIGAÇÃO"),"REATIVAÇÃO",IF(R9="PERDA / FECHOU LOJA","NUTRIÇÃO",IF(OR(R9="FOLLOW UP 7",R9="FOLLOW UP 15"),"SALVAMENTO","PROSPECÇÃO")))))))</f>
        <v/>
      </c>
      <c r="V9" s="58" t="n"/>
      <c r="W9" s="58" t="inlineStr">
        <is>
          <t>NÃO</t>
        </is>
      </c>
      <c r="X9" s="58" t="n"/>
    </row>
    <row r="10">
      <c r="A10" s="71" t="n">
        <v>46081</v>
      </c>
      <c r="B10" s="58" t="inlineStr">
        <is>
          <t>JULIO GADRET</t>
        </is>
      </c>
      <c r="C10" s="58" t="inlineStr">
        <is>
          <t>GRÃO FINO 78</t>
        </is>
      </c>
      <c r="D10" s="58" t="inlineStr">
        <is>
          <t>35.256.482/2647-79</t>
        </is>
      </c>
      <c r="E10" s="58" t="inlineStr">
        <is>
          <t>DF</t>
        </is>
      </c>
      <c r="F10" s="58" t="inlineStr">
        <is>
          <t>DEMAIS CLIENTES</t>
        </is>
      </c>
      <c r="G10" s="58" t="inlineStr">
        <is>
          <t>PROSPECT</t>
        </is>
      </c>
      <c r="H10" s="58" t="n"/>
      <c r="I10" s="58">
        <f>IF(R10="","",VLOOKUP(R10,REGRAS!$B$2:$D$13,3,FALSE()))</f>
        <v/>
      </c>
      <c r="J10" s="58" t="n"/>
      <c r="K10" s="58">
        <f>IF(R10="","",IF(R10="VENDA / PEDIDO","RECOMPRA",IF(R10="SUPORTE","PÓS-VENDA",IF(OR(R10="FOLLOW UP 7",R10="FOLLOW UP 15"),"SALVAMENTO",IF(R10="PERDA / FECHOU LOJA","NUTRIÇÃO",IF(R10="RELACIONAMENTO","CS",IF(OR(R10="ORÇAMENTO",R10="CADASTRO"),"PROSPECÇÃO",IF(R10="EM ATENDIMENTO","EM ATENDIMENTO",IF(OR(R10="NÃO ATENDE",R10="NÃO RESPONDE",R10="RECUSOU LIGAÇÃO"),"RECUPERAÇÃO","")))))))))</f>
        <v/>
      </c>
      <c r="L10" s="58">
        <f>IF(H10="","",IF(G10="PROSPECT","🟣",IF(G10="LEAD","🟣",IF(G10="NOVO","🟢",IF(H10&lt;=50,"🟢",IF(H10&lt;=90,"🟡","🔴"))))))</f>
        <v/>
      </c>
      <c r="M10" s="58" t="n"/>
      <c r="N10" s="58" t="inlineStr">
        <is>
          <t>SIM</t>
        </is>
      </c>
      <c r="O10" s="58" t="inlineStr">
        <is>
          <t>SIM</t>
        </is>
      </c>
      <c r="P10" s="58" t="inlineStr">
        <is>
          <t>NÃO</t>
        </is>
      </c>
      <c r="Q10" s="58" t="inlineStr">
        <is>
          <t>ATEND. CLIENTES ATIVOS</t>
        </is>
      </c>
      <c r="R10" s="58" t="inlineStr">
        <is>
          <t>RELACIONAMENTO</t>
        </is>
      </c>
      <c r="S10" s="58" t="n"/>
      <c r="T10" s="71">
        <f>IF(R10="","",IF(OR(R10="SUPORTE",R10="PERDA / FECHOU LOJA"),"SEM",A10+VLOOKUP(R10,REGRAS!$B$2:$C$13,2,FALSE())))</f>
        <v/>
      </c>
      <c r="U10" s="58">
        <f>IF(R10="","",IF(R10="VENDA / PEDIDO","RECOMPRA",IF(R10="SUPORTE","PÓS-VENDA",IF(R10="RELACIONAMENTO","CS",IF(OR(R10="NÃO ATENDE",R10="NÃO RESPONDE",R10="RECUSOU LIGAÇÃO"),"REATIVAÇÃO",IF(R10="PERDA / FECHOU LOJA","NUTRIÇÃO",IF(OR(R10="FOLLOW UP 7",R10="FOLLOW UP 15"),"SALVAMENTO","PROSPECÇÃO")))))))</f>
        <v/>
      </c>
      <c r="V10" s="58" t="n"/>
      <c r="W10" s="58" t="inlineStr">
        <is>
          <t>NÃO</t>
        </is>
      </c>
      <c r="X10" s="58" t="n"/>
    </row>
    <row r="11">
      <c r="A11" s="71" t="n">
        <v>46061</v>
      </c>
      <c r="B11" s="58" t="inlineStr">
        <is>
          <t>MANU DITZEL</t>
        </is>
      </c>
      <c r="C11" s="58" t="inlineStr">
        <is>
          <t>PURA VIDA 11</t>
        </is>
      </c>
      <c r="D11" s="58" t="inlineStr">
        <is>
          <t>20.849.597/1134-78</t>
        </is>
      </c>
      <c r="E11" s="58" t="inlineStr">
        <is>
          <t>RJ</t>
        </is>
      </c>
      <c r="F11" s="58" t="inlineStr">
        <is>
          <t>MUNDO VERDE</t>
        </is>
      </c>
      <c r="G11" s="58" t="inlineStr">
        <is>
          <t>EM RISCO</t>
        </is>
      </c>
      <c r="H11" s="58" t="n">
        <v>59</v>
      </c>
      <c r="I11" s="58">
        <f>IF(R11="","",VLOOKUP(R11,REGRAS!$B$2:$D$13,3,FALSE()))</f>
        <v/>
      </c>
      <c r="J11" s="58" t="n"/>
      <c r="K11" s="58">
        <f>IF(R11="","",IF(R11="VENDA / PEDIDO","RECOMPRA",IF(R11="SUPORTE","PÓS-VENDA",IF(OR(R11="FOLLOW UP 7",R11="FOLLOW UP 15"),"SALVAMENTO",IF(R11="PERDA / FECHOU LOJA","NUTRIÇÃO",IF(R11="RELACIONAMENTO","CS",IF(OR(R11="ORÇAMENTO",R11="CADASTRO"),"PROSPECÇÃO",IF(R11="EM ATENDIMENTO","EM ATENDIMENTO",IF(OR(R11="NÃO ATENDE",R11="NÃO RESPONDE",R11="RECUSOU LIGAÇÃO"),"RECUPERAÇÃO","")))))))))</f>
        <v/>
      </c>
      <c r="L11" s="58">
        <f>IF(H11="","",IF(G11="PROSPECT","🟣",IF(G11="LEAD","🟣",IF(G11="NOVO","🟢",IF(H11&lt;=50,"🟢",IF(H11&lt;=90,"🟡","🔴"))))))</f>
        <v/>
      </c>
      <c r="M11" s="58" t="n"/>
      <c r="N11" s="58" t="inlineStr">
        <is>
          <t>SIM</t>
        </is>
      </c>
      <c r="O11" s="58" t="inlineStr">
        <is>
          <t>NÃO</t>
        </is>
      </c>
      <c r="P11" s="58" t="inlineStr">
        <is>
          <t>N/A</t>
        </is>
      </c>
      <c r="Q11" s="58" t="inlineStr">
        <is>
          <t>NEGOCIAÇÃO</t>
        </is>
      </c>
      <c r="R11" s="58" t="inlineStr">
        <is>
          <t>CADASTRO</t>
        </is>
      </c>
      <c r="S11" s="58" t="n"/>
      <c r="T11" s="71">
        <f>IF(R11="","",IF(OR(R11="SUPORTE",R11="PERDA / FECHOU LOJA"),"SEM",A11+VLOOKUP(R11,REGRAS!$B$2:$C$13,2,FALSE())))</f>
        <v/>
      </c>
      <c r="U11" s="58">
        <f>IF(R11="","",IF(R11="VENDA / PEDIDO","RECOMPRA",IF(R11="SUPORTE","PÓS-VENDA",IF(R11="RELACIONAMENTO","CS",IF(OR(R11="NÃO ATENDE",R11="NÃO RESPONDE",R11="RECUSOU LIGAÇÃO"),"REATIVAÇÃO",IF(R11="PERDA / FECHOU LOJA","NUTRIÇÃO",IF(OR(R11="FOLLOW UP 7",R11="FOLLOW UP 15"),"SALVAMENTO","PROSPECÇÃO")))))))</f>
        <v/>
      </c>
      <c r="V11" s="58" t="n"/>
      <c r="W11" s="58" t="inlineStr">
        <is>
          <t>NÃO</t>
        </is>
      </c>
      <c r="X11" s="58" t="n"/>
    </row>
    <row r="12">
      <c r="A12" s="71" t="n">
        <v>46078</v>
      </c>
      <c r="B12" s="58" t="inlineStr">
        <is>
          <t>JULIO GADRET</t>
        </is>
      </c>
      <c r="C12" s="58" t="inlineStr">
        <is>
          <t>CIA SAUDE SP 92</t>
        </is>
      </c>
      <c r="D12" s="58" t="inlineStr">
        <is>
          <t>49.508.787/6119-66</t>
        </is>
      </c>
      <c r="E12" s="58" t="inlineStr">
        <is>
          <t>BA</t>
        </is>
      </c>
      <c r="F12" s="58" t="inlineStr">
        <is>
          <t>DIVINA TERRA</t>
        </is>
      </c>
      <c r="G12" s="58" t="inlineStr">
        <is>
          <t>ATIVO</t>
        </is>
      </c>
      <c r="H12" s="58" t="n">
        <v>9</v>
      </c>
      <c r="I12" s="58">
        <f>IF(R12="","",VLOOKUP(R12,REGRAS!$B$2:$D$13,3,FALSE()))</f>
        <v/>
      </c>
      <c r="J12" s="58" t="n"/>
      <c r="K12" s="58">
        <f>IF(R12="","",IF(R12="VENDA / PEDIDO","RECOMPRA",IF(R12="SUPORTE","PÓS-VENDA",IF(OR(R12="FOLLOW UP 7",R12="FOLLOW UP 15"),"SALVAMENTO",IF(R12="PERDA / FECHOU LOJA","NUTRIÇÃO",IF(R12="RELACIONAMENTO","CS",IF(OR(R12="ORÇAMENTO",R12="CADASTRO"),"PROSPECÇÃO",IF(R12="EM ATENDIMENTO","EM ATENDIMENTO",IF(OR(R12="NÃO ATENDE",R12="NÃO RESPONDE",R12="RECUSOU LIGAÇÃO"),"RECUPERAÇÃO","")))))))))</f>
        <v/>
      </c>
      <c r="L12" s="58">
        <f>IF(H12="","",IF(G12="PROSPECT","🟣",IF(G12="LEAD","🟣",IF(G12="NOVO","🟢",IF(H12&lt;=50,"🟢",IF(H12&lt;=90,"🟡","🔴"))))))</f>
        <v/>
      </c>
      <c r="M12" s="58" t="n"/>
      <c r="N12" s="58" t="inlineStr">
        <is>
          <t>SIM</t>
        </is>
      </c>
      <c r="O12" s="58" t="inlineStr">
        <is>
          <t>SIM</t>
        </is>
      </c>
      <c r="P12" s="58" t="inlineStr">
        <is>
          <t>SIM</t>
        </is>
      </c>
      <c r="Q12" s="58" t="inlineStr">
        <is>
          <t>FOLLOW UP</t>
        </is>
      </c>
      <c r="R12" s="58" t="inlineStr">
        <is>
          <t>FOLLOW UP 7</t>
        </is>
      </c>
      <c r="S12" s="58" t="inlineStr">
        <is>
          <t>PROBLEMA LOGÍSTICO / ENTREGA</t>
        </is>
      </c>
      <c r="T12" s="71">
        <f>IF(R12="","",IF(OR(R12="SUPORTE",R12="PERDA / FECHOU LOJA"),"SEM",A12+VLOOKUP(R12,REGRAS!$B$2:$C$13,2,FALSE())))</f>
        <v/>
      </c>
      <c r="U12" s="58">
        <f>IF(R12="","",IF(R12="VENDA / PEDIDO","RECOMPRA",IF(R12="SUPORTE","PÓS-VENDA",IF(R12="RELACIONAMENTO","CS",IF(OR(R12="NÃO ATENDE",R12="NÃO RESPONDE",R12="RECUSOU LIGAÇÃO"),"REATIVAÇÃO",IF(R12="PERDA / FECHOU LOJA","NUTRIÇÃO",IF(OR(R12="FOLLOW UP 7",R12="FOLLOW UP 15"),"SALVAMENTO","PROSPECÇÃO")))))))</f>
        <v/>
      </c>
      <c r="V12" s="58" t="n"/>
      <c r="W12" s="58" t="inlineStr">
        <is>
          <t>SIM</t>
        </is>
      </c>
      <c r="X12" s="58" t="n"/>
    </row>
    <row r="13">
      <c r="A13" s="71" t="n">
        <v>46055</v>
      </c>
      <c r="B13" s="58" t="inlineStr">
        <is>
          <t>DAIANE STAVICKI</t>
        </is>
      </c>
      <c r="C13" s="58" t="inlineStr">
        <is>
          <t>VIDA SAUDÁVEL 66</t>
        </is>
      </c>
      <c r="D13" s="58" t="inlineStr">
        <is>
          <t>40.385.785/7954-37</t>
        </is>
      </c>
      <c r="E13" s="58" t="inlineStr">
        <is>
          <t>RS</t>
        </is>
      </c>
      <c r="F13" s="58" t="inlineStr">
        <is>
          <t>DEMAIS CLIENTES</t>
        </is>
      </c>
      <c r="G13" s="58" t="inlineStr">
        <is>
          <t>NOVO</t>
        </is>
      </c>
      <c r="H13" s="58" t="n"/>
      <c r="I13" s="58">
        <f>IF(R13="","",VLOOKUP(R13,REGRAS!$B$2:$D$13,3,FALSE()))</f>
        <v/>
      </c>
      <c r="J13" s="58" t="n"/>
      <c r="K13" s="58">
        <f>IF(R13="","",IF(R13="VENDA / PEDIDO","RECOMPRA",IF(R13="SUPORTE","PÓS-VENDA",IF(OR(R13="FOLLOW UP 7",R13="FOLLOW UP 15"),"SALVAMENTO",IF(R13="PERDA / FECHOU LOJA","NUTRIÇÃO",IF(R13="RELACIONAMENTO","CS",IF(OR(R13="ORÇAMENTO",R13="CADASTRO"),"PROSPECÇÃO",IF(R13="EM ATENDIMENTO","EM ATENDIMENTO",IF(OR(R13="NÃO ATENDE",R13="NÃO RESPONDE",R13="RECUSOU LIGAÇÃO"),"RECUPERAÇÃO","")))))))))</f>
        <v/>
      </c>
      <c r="L13" s="58">
        <f>IF(H13="","",IF(G13="PROSPECT","🟣",IF(G13="LEAD","🟣",IF(G13="NOVO","🟢",IF(H13&lt;=50,"🟢",IF(H13&lt;=90,"🟡","🔴"))))))</f>
        <v/>
      </c>
      <c r="M13" s="58" t="n"/>
      <c r="N13" s="58" t="inlineStr">
        <is>
          <t>SIM</t>
        </is>
      </c>
      <c r="O13" s="58" t="inlineStr">
        <is>
          <t>SIM</t>
        </is>
      </c>
      <c r="P13" s="58" t="inlineStr">
        <is>
          <t>SIM</t>
        </is>
      </c>
      <c r="Q13" s="58" t="inlineStr">
        <is>
          <t>ATEND. CLIENTES ATIVOS</t>
        </is>
      </c>
      <c r="R13" s="58" t="inlineStr">
        <is>
          <t>ORÇAMENTO</t>
        </is>
      </c>
      <c r="S13" s="58" t="n"/>
      <c r="T13" s="71">
        <f>IF(R13="","",IF(OR(R13="SUPORTE",R13="PERDA / FECHOU LOJA"),"SEM",A13+VLOOKUP(R13,REGRAS!$B$2:$C$13,2,FALSE())))</f>
        <v/>
      </c>
      <c r="U13" s="58">
        <f>IF(R13="","",IF(R13="VENDA / PEDIDO","RECOMPRA",IF(R13="SUPORTE","PÓS-VENDA",IF(R13="RELACIONAMENTO","CS",IF(OR(R13="NÃO ATENDE",R13="NÃO RESPONDE",R13="RECUSOU LIGAÇÃO"),"REATIVAÇÃO",IF(R13="PERDA / FECHOU LOJA","NUTRIÇÃO",IF(OR(R13="FOLLOW UP 7",R13="FOLLOW UP 15"),"SALVAMENTO","PROSPECÇÃO")))))))</f>
        <v/>
      </c>
      <c r="V13" s="58" t="n"/>
      <c r="W13" s="58" t="inlineStr">
        <is>
          <t>NÃO</t>
        </is>
      </c>
      <c r="X13" s="58" t="n"/>
    </row>
    <row r="14">
      <c r="A14" s="71" t="n">
        <v>46065</v>
      </c>
      <c r="B14" s="58" t="inlineStr">
        <is>
          <t>LARISSA PADILHA</t>
        </is>
      </c>
      <c r="C14" s="58" t="inlineStr">
        <is>
          <t>NATURAL HOUSE 94</t>
        </is>
      </c>
      <c r="D14" s="58" t="inlineStr">
        <is>
          <t>16.789.769/1613-17</t>
        </is>
      </c>
      <c r="E14" s="58" t="inlineStr">
        <is>
          <t>RS</t>
        </is>
      </c>
      <c r="F14" s="58" t="inlineStr">
        <is>
          <t>CIA DA SAUDE</t>
        </is>
      </c>
      <c r="G14" s="58" t="inlineStr">
        <is>
          <t>NOVO</t>
        </is>
      </c>
      <c r="H14" s="58" t="n"/>
      <c r="I14" s="58">
        <f>IF(R14="","",VLOOKUP(R14,REGRAS!$B$2:$D$13,3,FALSE()))</f>
        <v/>
      </c>
      <c r="J14" s="58" t="n"/>
      <c r="K14" s="58">
        <f>IF(R14="","",IF(R14="VENDA / PEDIDO","RECOMPRA",IF(R14="SUPORTE","PÓS-VENDA",IF(OR(R14="FOLLOW UP 7",R14="FOLLOW UP 15"),"SALVAMENTO",IF(R14="PERDA / FECHOU LOJA","NUTRIÇÃO",IF(R14="RELACIONAMENTO","CS",IF(OR(R14="ORÇAMENTO",R14="CADASTRO"),"PROSPECÇÃO",IF(R14="EM ATENDIMENTO","EM ATENDIMENTO",IF(OR(R14="NÃO ATENDE",R14="NÃO RESPONDE",R14="RECUSOU LIGAÇÃO"),"RECUPERAÇÃO","")))))))))</f>
        <v/>
      </c>
      <c r="L14" s="58">
        <f>IF(H14="","",IF(G14="PROSPECT","🟣",IF(G14="LEAD","🟣",IF(G14="NOVO","🟢",IF(H14&lt;=50,"🟢",IF(H14&lt;=90,"🟡","🔴"))))))</f>
        <v/>
      </c>
      <c r="M14" s="58" t="n"/>
      <c r="N14" s="58" t="inlineStr">
        <is>
          <t>SIM</t>
        </is>
      </c>
      <c r="O14" s="58" t="inlineStr">
        <is>
          <t>SIM</t>
        </is>
      </c>
      <c r="P14" s="58" t="inlineStr">
        <is>
          <t>SIM</t>
        </is>
      </c>
      <c r="Q14" s="58" t="inlineStr">
        <is>
          <t>NEGOCIAÇÃO</t>
        </is>
      </c>
      <c r="R14" s="58" t="inlineStr">
        <is>
          <t>ORÇAMENTO</t>
        </is>
      </c>
      <c r="S14" s="58" t="n"/>
      <c r="T14" s="71">
        <f>IF(R14="","",IF(OR(R14="SUPORTE",R14="PERDA / FECHOU LOJA"),"SEM",A14+VLOOKUP(R14,REGRAS!$B$2:$C$13,2,FALSE())))</f>
        <v/>
      </c>
      <c r="U14" s="58">
        <f>IF(R14="","",IF(R14="VENDA / PEDIDO","RECOMPRA",IF(R14="SUPORTE","PÓS-VENDA",IF(R14="RELACIONAMENTO","CS",IF(OR(R14="NÃO ATENDE",R14="NÃO RESPONDE",R14="RECUSOU LIGAÇÃO"),"REATIVAÇÃO",IF(R14="PERDA / FECHOU LOJA","NUTRIÇÃO",IF(OR(R14="FOLLOW UP 7",R14="FOLLOW UP 15"),"SALVAMENTO","PROSPECÇÃO")))))))</f>
        <v/>
      </c>
      <c r="V14" s="58" t="n"/>
      <c r="W14" s="58" t="inlineStr">
        <is>
          <t>SIM</t>
        </is>
      </c>
      <c r="X14" s="58" t="n"/>
    </row>
    <row r="15">
      <c r="A15" s="71" t="n">
        <v>46056</v>
      </c>
      <c r="B15" s="58" t="inlineStr">
        <is>
          <t>LARISSA PADILHA</t>
        </is>
      </c>
      <c r="C15" s="58" t="inlineStr">
        <is>
          <t>ESSENCE FOOD 13</t>
        </is>
      </c>
      <c r="D15" s="58" t="inlineStr">
        <is>
          <t>16.767.653/0242-21</t>
        </is>
      </c>
      <c r="E15" s="58" t="inlineStr">
        <is>
          <t>GO</t>
        </is>
      </c>
      <c r="F15" s="58" t="inlineStr">
        <is>
          <t>DEMAIS CLIENTES</t>
        </is>
      </c>
      <c r="G15" s="58" t="inlineStr">
        <is>
          <t>ATIVO</t>
        </is>
      </c>
      <c r="H15" s="58" t="n">
        <v>36</v>
      </c>
      <c r="I15" s="58">
        <f>IF(R15="","",VLOOKUP(R15,REGRAS!$B$2:$D$13,3,FALSE()))</f>
        <v/>
      </c>
      <c r="J15" s="58" t="n"/>
      <c r="K15" s="58">
        <f>IF(R15="","",IF(R15="VENDA / PEDIDO","RECOMPRA",IF(R15="SUPORTE","PÓS-VENDA",IF(OR(R15="FOLLOW UP 7",R15="FOLLOW UP 15"),"SALVAMENTO",IF(R15="PERDA / FECHOU LOJA","NUTRIÇÃO",IF(R15="RELACIONAMENTO","CS",IF(OR(R15="ORÇAMENTO",R15="CADASTRO"),"PROSPECÇÃO",IF(R15="EM ATENDIMENTO","EM ATENDIMENTO",IF(OR(R15="NÃO ATENDE",R15="NÃO RESPONDE",R15="RECUSOU LIGAÇÃO"),"RECUPERAÇÃO","")))))))))</f>
        <v/>
      </c>
      <c r="L15" s="58">
        <f>IF(H15="","",IF(G15="PROSPECT","🟣",IF(G15="LEAD","🟣",IF(G15="NOVO","🟢",IF(H15&lt;=50,"🟢",IF(H15&lt;=90,"🟡","🔴"))))))</f>
        <v/>
      </c>
      <c r="M15" s="58" t="n"/>
      <c r="N15" s="58" t="inlineStr">
        <is>
          <t>NÃO</t>
        </is>
      </c>
      <c r="O15" s="58" t="inlineStr">
        <is>
          <t>SIM</t>
        </is>
      </c>
      <c r="P15" s="58" t="inlineStr">
        <is>
          <t>SIM</t>
        </is>
      </c>
      <c r="Q15" s="58" t="inlineStr">
        <is>
          <t>ATEND. CLIENTES ATIVOS</t>
        </is>
      </c>
      <c r="R15" s="58" t="inlineStr">
        <is>
          <t>EM ATENDIMENTO</t>
        </is>
      </c>
      <c r="S15" s="58" t="n"/>
      <c r="T15" s="71">
        <f>IF(R15="","",IF(OR(R15="SUPORTE",R15="PERDA / FECHOU LOJA"),"SEM",A15+VLOOKUP(R15,REGRAS!$B$2:$C$13,2,FALSE())))</f>
        <v/>
      </c>
      <c r="U15" s="58">
        <f>IF(R15="","",IF(R15="VENDA / PEDIDO","RECOMPRA",IF(R15="SUPORTE","PÓS-VENDA",IF(R15="RELACIONAMENTO","CS",IF(OR(R15="NÃO ATENDE",R15="NÃO RESPONDE",R15="RECUSOU LIGAÇÃO"),"REATIVAÇÃO",IF(R15="PERDA / FECHOU LOJA","NUTRIÇÃO",IF(OR(R15="FOLLOW UP 7",R15="FOLLOW UP 15"),"SALVAMENTO","PROSPECÇÃO")))))))</f>
        <v/>
      </c>
      <c r="V15" s="58" t="n"/>
      <c r="W15" s="58" t="inlineStr">
        <is>
          <t>SIM</t>
        </is>
      </c>
      <c r="X15" s="58" t="n"/>
    </row>
    <row r="16">
      <c r="A16" s="71" t="n">
        <v>46079</v>
      </c>
      <c r="B16" s="58" t="inlineStr">
        <is>
          <t>DAIANE STAVICKI</t>
        </is>
      </c>
      <c r="C16" s="58" t="inlineStr">
        <is>
          <t>ECO SAUDE 55</t>
        </is>
      </c>
      <c r="D16" s="58" t="inlineStr">
        <is>
          <t>99.848.902/9106-94</t>
        </is>
      </c>
      <c r="E16" s="58" t="inlineStr">
        <is>
          <t>RJ</t>
        </is>
      </c>
      <c r="F16" s="58" t="inlineStr">
        <is>
          <t>BIOMUNDO</t>
        </is>
      </c>
      <c r="G16" s="58" t="inlineStr">
        <is>
          <t>ATIVO</t>
        </is>
      </c>
      <c r="H16" s="58" t="n">
        <v>8</v>
      </c>
      <c r="I16" s="58">
        <f>IF(R16="","",VLOOKUP(R16,REGRAS!$B$2:$D$13,3,FALSE()))</f>
        <v/>
      </c>
      <c r="J16" s="58" t="n"/>
      <c r="K16" s="58">
        <f>IF(R16="","",IF(R16="VENDA / PEDIDO","RECOMPRA",IF(R16="SUPORTE","PÓS-VENDA",IF(OR(R16="FOLLOW UP 7",R16="FOLLOW UP 15"),"SALVAMENTO",IF(R16="PERDA / FECHOU LOJA","NUTRIÇÃO",IF(R16="RELACIONAMENTO","CS",IF(OR(R16="ORÇAMENTO",R16="CADASTRO"),"PROSPECÇÃO",IF(R16="EM ATENDIMENTO","EM ATENDIMENTO",IF(OR(R16="NÃO ATENDE",R16="NÃO RESPONDE",R16="RECUSOU LIGAÇÃO"),"RECUPERAÇÃO","")))))))))</f>
        <v/>
      </c>
      <c r="L16" s="58">
        <f>IF(H16="","",IF(G16="PROSPECT","🟣",IF(G16="LEAD","🟣",IF(G16="NOVO","🟢",IF(H16&lt;=50,"🟢",IF(H16&lt;=90,"🟡","🔴"))))))</f>
        <v/>
      </c>
      <c r="M16" s="58" t="n"/>
      <c r="N16" s="58" t="inlineStr">
        <is>
          <t>NÃO</t>
        </is>
      </c>
      <c r="O16" s="58" t="inlineStr">
        <is>
          <t>SIM</t>
        </is>
      </c>
      <c r="P16" s="58" t="inlineStr">
        <is>
          <t>NÃO</t>
        </is>
      </c>
      <c r="Q16" s="58" t="inlineStr">
        <is>
          <t>ATEND. CLIENTES ATIVOS</t>
        </is>
      </c>
      <c r="R16" s="58" t="inlineStr">
        <is>
          <t>RELACIONAMENTO</t>
        </is>
      </c>
      <c r="S16" s="58" t="n"/>
      <c r="T16" s="71">
        <f>IF(R16="","",IF(OR(R16="SUPORTE",R16="PERDA / FECHOU LOJA"),"SEM",A16+VLOOKUP(R16,REGRAS!$B$2:$C$13,2,FALSE())))</f>
        <v/>
      </c>
      <c r="U16" s="58">
        <f>IF(R16="","",IF(R16="VENDA / PEDIDO","RECOMPRA",IF(R16="SUPORTE","PÓS-VENDA",IF(R16="RELACIONAMENTO","CS",IF(OR(R16="NÃO ATENDE",R16="NÃO RESPONDE",R16="RECUSOU LIGAÇÃO"),"REATIVAÇÃO",IF(R16="PERDA / FECHOU LOJA","NUTRIÇÃO",IF(OR(R16="FOLLOW UP 7",R16="FOLLOW UP 15"),"SALVAMENTO","PROSPECÇÃO")))))))</f>
        <v/>
      </c>
      <c r="V16" s="58" t="n"/>
      <c r="W16" s="58" t="inlineStr">
        <is>
          <t>SIM</t>
        </is>
      </c>
      <c r="X16" s="58" t="n"/>
    </row>
    <row r="17">
      <c r="A17" s="71" t="n">
        <v>46081</v>
      </c>
      <c r="B17" s="58" t="inlineStr">
        <is>
          <t>LARISSA PADILHA</t>
        </is>
      </c>
      <c r="C17" s="58" t="inlineStr">
        <is>
          <t>BIOMUNDO CTB 66</t>
        </is>
      </c>
      <c r="D17" s="58" t="inlineStr">
        <is>
          <t>20.971.290/1123-86</t>
        </is>
      </c>
      <c r="E17" s="58" t="inlineStr">
        <is>
          <t>PR</t>
        </is>
      </c>
      <c r="F17" s="58" t="inlineStr">
        <is>
          <t>DEMAIS CLIENTES</t>
        </is>
      </c>
      <c r="G17" s="58" t="inlineStr">
        <is>
          <t>EM RISCO</t>
        </is>
      </c>
      <c r="H17" s="58" t="n">
        <v>60</v>
      </c>
      <c r="I17" s="58">
        <f>IF(R17="","",VLOOKUP(R17,REGRAS!$B$2:$D$13,3,FALSE()))</f>
        <v/>
      </c>
      <c r="J17" s="58" t="n"/>
      <c r="K17" s="58">
        <f>IF(R17="","",IF(R17="VENDA / PEDIDO","RECOMPRA",IF(R17="SUPORTE","PÓS-VENDA",IF(OR(R17="FOLLOW UP 7",R17="FOLLOW UP 15"),"SALVAMENTO",IF(R17="PERDA / FECHOU LOJA","NUTRIÇÃO",IF(R17="RELACIONAMENTO","CS",IF(OR(R17="ORÇAMENTO",R17="CADASTRO"),"PROSPECÇÃO",IF(R17="EM ATENDIMENTO","EM ATENDIMENTO",IF(OR(R17="NÃO ATENDE",R17="NÃO RESPONDE",R17="RECUSOU LIGAÇÃO"),"RECUPERAÇÃO","")))))))))</f>
        <v/>
      </c>
      <c r="L17" s="58">
        <f>IF(H17="","",IF(G17="PROSPECT","🟣",IF(G17="LEAD","🟣",IF(G17="NOVO","🟢",IF(H17&lt;=50,"🟢",IF(H17&lt;=90,"🟡","🔴"))))))</f>
        <v/>
      </c>
      <c r="M17" s="58" t="n"/>
      <c r="N17" s="58" t="inlineStr">
        <is>
          <t>SIM</t>
        </is>
      </c>
      <c r="O17" s="58" t="inlineStr">
        <is>
          <t>SIM</t>
        </is>
      </c>
      <c r="P17" s="58" t="inlineStr">
        <is>
          <t>NÃO</t>
        </is>
      </c>
      <c r="Q17" s="58" t="inlineStr">
        <is>
          <t>NEGOCIAÇÃO</t>
        </is>
      </c>
      <c r="R17" s="58" t="inlineStr">
        <is>
          <t>VENDA / PEDIDO</t>
        </is>
      </c>
      <c r="S17" s="58" t="n"/>
      <c r="T17" s="71">
        <f>IF(R17="","",IF(OR(R17="SUPORTE",R17="PERDA / FECHOU LOJA"),"SEM",A17+VLOOKUP(R17,REGRAS!$B$2:$C$13,2,FALSE())))</f>
        <v/>
      </c>
      <c r="U17" s="58">
        <f>IF(R17="","",IF(R17="VENDA / PEDIDO","RECOMPRA",IF(R17="SUPORTE","PÓS-VENDA",IF(R17="RELACIONAMENTO","CS",IF(OR(R17="NÃO ATENDE",R17="NÃO RESPONDE",R17="RECUSOU LIGAÇÃO"),"REATIVAÇÃO",IF(R17="PERDA / FECHOU LOJA","NUTRIÇÃO",IF(OR(R17="FOLLOW UP 7",R17="FOLLOW UP 15"),"SALVAMENTO","PROSPECÇÃO")))))))</f>
        <v/>
      </c>
      <c r="V17" s="58" t="n"/>
      <c r="W17" s="58" t="inlineStr">
        <is>
          <t>SIM</t>
        </is>
      </c>
      <c r="X17" s="58" t="n"/>
    </row>
    <row r="18">
      <c r="A18" s="71" t="n">
        <v>46062</v>
      </c>
      <c r="B18" s="58" t="inlineStr">
        <is>
          <t>MANU DITZEL</t>
        </is>
      </c>
      <c r="C18" s="58" t="inlineStr">
        <is>
          <t>BIO GRÃOS 31</t>
        </is>
      </c>
      <c r="D18" s="58" t="inlineStr">
        <is>
          <t>43.505.234/4916-68</t>
        </is>
      </c>
      <c r="E18" s="58" t="inlineStr">
        <is>
          <t>SC</t>
        </is>
      </c>
      <c r="F18" s="58" t="inlineStr">
        <is>
          <t>DEMAIS CLIENTES</t>
        </is>
      </c>
      <c r="G18" s="58" t="inlineStr">
        <is>
          <t>ATIVO</t>
        </is>
      </c>
      <c r="H18" s="58" t="n">
        <v>34</v>
      </c>
      <c r="I18" s="58">
        <f>IF(R18="","",VLOOKUP(R18,REGRAS!$B$2:$D$13,3,FALSE()))</f>
        <v/>
      </c>
      <c r="J18" s="58" t="n"/>
      <c r="K18" s="58">
        <f>IF(R18="","",IF(R18="VENDA / PEDIDO","RECOMPRA",IF(R18="SUPORTE","PÓS-VENDA",IF(OR(R18="FOLLOW UP 7",R18="FOLLOW UP 15"),"SALVAMENTO",IF(R18="PERDA / FECHOU LOJA","NUTRIÇÃO",IF(R18="RELACIONAMENTO","CS",IF(OR(R18="ORÇAMENTO",R18="CADASTRO"),"PROSPECÇÃO",IF(R18="EM ATENDIMENTO","EM ATENDIMENTO",IF(OR(R18="NÃO ATENDE",R18="NÃO RESPONDE",R18="RECUSOU LIGAÇÃO"),"RECUPERAÇÃO","")))))))))</f>
        <v/>
      </c>
      <c r="L18" s="58">
        <f>IF(H18="","",IF(G18="PROSPECT","🟣",IF(G18="LEAD","🟣",IF(G18="NOVO","🟢",IF(H18&lt;=50,"🟢",IF(H18&lt;=90,"🟡","🔴"))))))</f>
        <v/>
      </c>
      <c r="M18" s="58" t="n"/>
      <c r="N18" s="58" t="inlineStr">
        <is>
          <t>SIM</t>
        </is>
      </c>
      <c r="O18" s="58" t="inlineStr">
        <is>
          <t>NÃO</t>
        </is>
      </c>
      <c r="P18" s="58" t="inlineStr">
        <is>
          <t>N/A</t>
        </is>
      </c>
      <c r="Q18" s="58" t="inlineStr">
        <is>
          <t>ATEND. CLIENTES INATIVOS</t>
        </is>
      </c>
      <c r="R18" s="58" t="inlineStr">
        <is>
          <t>RECUSOU LIGAÇÃO</t>
        </is>
      </c>
      <c r="S18" s="58" t="inlineStr">
        <is>
          <t>SÓ QUER COMPRAR GRANEL</t>
        </is>
      </c>
      <c r="T18" s="71">
        <f>IF(R18="","",IF(OR(R18="SUPORTE",R18="PERDA / FECHOU LOJA"),"SEM",A18+VLOOKUP(R18,REGRAS!$B$2:$C$13,2,FALSE())))</f>
        <v/>
      </c>
      <c r="U18" s="58">
        <f>IF(R18="","",IF(R18="VENDA / PEDIDO","RECOMPRA",IF(R18="SUPORTE","PÓS-VENDA",IF(R18="RELACIONAMENTO","CS",IF(OR(R18="NÃO ATENDE",R18="NÃO RESPONDE",R18="RECUSOU LIGAÇÃO"),"REATIVAÇÃO",IF(R18="PERDA / FECHOU LOJA","NUTRIÇÃO",IF(OR(R18="FOLLOW UP 7",R18="FOLLOW UP 15"),"SALVAMENTO","PROSPECÇÃO")))))))</f>
        <v/>
      </c>
      <c r="V18" s="58" t="n"/>
      <c r="W18" s="58" t="inlineStr">
        <is>
          <t>SIM</t>
        </is>
      </c>
      <c r="X18" s="58" t="n"/>
    </row>
    <row r="19">
      <c r="A19" s="71" t="n">
        <v>46065</v>
      </c>
      <c r="B19" s="58" t="inlineStr">
        <is>
          <t>DAIANE STAVICKI</t>
        </is>
      </c>
      <c r="C19" s="58" t="inlineStr">
        <is>
          <t>ARMAZEM FIT 48</t>
        </is>
      </c>
      <c r="D19" s="58" t="inlineStr">
        <is>
          <t>46.261.548/8901-48</t>
        </is>
      </c>
      <c r="E19" s="58" t="inlineStr">
        <is>
          <t>SP</t>
        </is>
      </c>
      <c r="F19" s="58" t="inlineStr">
        <is>
          <t>DEMAIS CLIENTES</t>
        </is>
      </c>
      <c r="G19" s="58" t="inlineStr">
        <is>
          <t>INAT.ANT</t>
        </is>
      </c>
      <c r="H19" s="58" t="n">
        <v>93</v>
      </c>
      <c r="I19" s="58">
        <f>IF(R19="","",VLOOKUP(R19,REGRAS!$B$2:$D$13,3,FALSE()))</f>
        <v/>
      </c>
      <c r="J19" s="58" t="n"/>
      <c r="K19" s="58">
        <f>IF(R19="","",IF(R19="VENDA / PEDIDO","RECOMPRA",IF(R19="SUPORTE","PÓS-VENDA",IF(OR(R19="FOLLOW UP 7",R19="FOLLOW UP 15"),"SALVAMENTO",IF(R19="PERDA / FECHOU LOJA","NUTRIÇÃO",IF(R19="RELACIONAMENTO","CS",IF(OR(R19="ORÇAMENTO",R19="CADASTRO"),"PROSPECÇÃO",IF(R19="EM ATENDIMENTO","EM ATENDIMENTO",IF(OR(R19="NÃO ATENDE",R19="NÃO RESPONDE",R19="RECUSOU LIGAÇÃO"),"RECUPERAÇÃO","")))))))))</f>
        <v/>
      </c>
      <c r="L19" s="58">
        <f>IF(H19="","",IF(G19="PROSPECT","🟣",IF(G19="LEAD","🟣",IF(G19="NOVO","🟢",IF(H19&lt;=50,"🟢",IF(H19&lt;=90,"🟡","🔴"))))))</f>
        <v/>
      </c>
      <c r="M19" s="58" t="n"/>
      <c r="N19" s="58" t="inlineStr">
        <is>
          <t>NÃO</t>
        </is>
      </c>
      <c r="O19" s="58" t="inlineStr">
        <is>
          <t>SIM</t>
        </is>
      </c>
      <c r="P19" s="58" t="inlineStr">
        <is>
          <t>NÃO</t>
        </is>
      </c>
      <c r="Q19" s="58" t="inlineStr">
        <is>
          <t>ATEND. CLIENTES INATIVOS</t>
        </is>
      </c>
      <c r="R19" s="58" t="inlineStr">
        <is>
          <t>RECUSOU LIGAÇÃO</t>
        </is>
      </c>
      <c r="S19" s="58" t="inlineStr">
        <is>
          <t>PRODUTO NÃO VENDEU / SEM GIRO</t>
        </is>
      </c>
      <c r="T19" s="71">
        <f>IF(R19="","",IF(OR(R19="SUPORTE",R19="PERDA / FECHOU LOJA"),"SEM",A19+VLOOKUP(R19,REGRAS!$B$2:$C$13,2,FALSE())))</f>
        <v/>
      </c>
      <c r="U19" s="58">
        <f>IF(R19="","",IF(R19="VENDA / PEDIDO","RECOMPRA",IF(R19="SUPORTE","PÓS-VENDA",IF(R19="RELACIONAMENTO","CS",IF(OR(R19="NÃO ATENDE",R19="NÃO RESPONDE",R19="RECUSOU LIGAÇÃO"),"REATIVAÇÃO",IF(R19="PERDA / FECHOU LOJA","NUTRIÇÃO",IF(OR(R19="FOLLOW UP 7",R19="FOLLOW UP 15"),"SALVAMENTO","PROSPECÇÃO")))))))</f>
        <v/>
      </c>
      <c r="V19" s="58" t="n"/>
      <c r="W19" s="58" t="inlineStr">
        <is>
          <t>NÃO</t>
        </is>
      </c>
      <c r="X19" s="58" t="n"/>
    </row>
    <row r="20">
      <c r="A20" s="71" t="n">
        <v>46077</v>
      </c>
      <c r="B20" s="58" t="inlineStr">
        <is>
          <t>LARISSA PADILHA</t>
        </is>
      </c>
      <c r="C20" s="58" t="inlineStr">
        <is>
          <t>NATUR LIFE 37</t>
        </is>
      </c>
      <c r="D20" s="58" t="inlineStr">
        <is>
          <t>87.315.834/5618-36</t>
        </is>
      </c>
      <c r="E20" s="58" t="inlineStr">
        <is>
          <t>SP</t>
        </is>
      </c>
      <c r="F20" s="58" t="inlineStr">
        <is>
          <t>DEMAIS CLIENTES</t>
        </is>
      </c>
      <c r="G20" s="58" t="inlineStr">
        <is>
          <t>INAT.REC</t>
        </is>
      </c>
      <c r="H20" s="58" t="n">
        <v>69</v>
      </c>
      <c r="I20" s="58">
        <f>IF(R20="","",VLOOKUP(R20,REGRAS!$B$2:$D$13,3,FALSE()))</f>
        <v/>
      </c>
      <c r="J20" s="58" t="n"/>
      <c r="K20" s="58">
        <f>IF(R20="","",IF(R20="VENDA / PEDIDO","RECOMPRA",IF(R20="SUPORTE","PÓS-VENDA",IF(OR(R20="FOLLOW UP 7",R20="FOLLOW UP 15"),"SALVAMENTO",IF(R20="PERDA / FECHOU LOJA","NUTRIÇÃO",IF(R20="RELACIONAMENTO","CS",IF(OR(R20="ORÇAMENTO",R20="CADASTRO"),"PROSPECÇÃO",IF(R20="EM ATENDIMENTO","EM ATENDIMENTO",IF(OR(R20="NÃO ATENDE",R20="NÃO RESPONDE",R20="RECUSOU LIGAÇÃO"),"RECUPERAÇÃO","")))))))))</f>
        <v/>
      </c>
      <c r="L20" s="58">
        <f>IF(H20="","",IF(G20="PROSPECT","🟣",IF(G20="LEAD","🟣",IF(G20="NOVO","🟢",IF(H20&lt;=50,"🟢",IF(H20&lt;=90,"🟡","🔴"))))))</f>
        <v/>
      </c>
      <c r="M20" s="58" t="n"/>
      <c r="N20" s="58" t="inlineStr">
        <is>
          <t>SIM</t>
        </is>
      </c>
      <c r="O20" s="58" t="inlineStr">
        <is>
          <t>SIM</t>
        </is>
      </c>
      <c r="P20" s="58" t="inlineStr">
        <is>
          <t>SIM</t>
        </is>
      </c>
      <c r="Q20" s="58" t="inlineStr">
        <is>
          <t>PÓS-VENDA / RELACIONAMENTO</t>
        </is>
      </c>
      <c r="R20" s="58" t="inlineStr">
        <is>
          <t>VENDA / PEDIDO</t>
        </is>
      </c>
      <c r="S20" s="58" t="n"/>
      <c r="T20" s="71">
        <f>IF(R20="","",IF(OR(R20="SUPORTE",R20="PERDA / FECHOU LOJA"),"SEM",A20+VLOOKUP(R20,REGRAS!$B$2:$C$13,2,FALSE())))</f>
        <v/>
      </c>
      <c r="U20" s="58">
        <f>IF(R20="","",IF(R20="VENDA / PEDIDO","RECOMPRA",IF(R20="SUPORTE","PÓS-VENDA",IF(R20="RELACIONAMENTO","CS",IF(OR(R20="NÃO ATENDE",R20="NÃO RESPONDE",R20="RECUSOU LIGAÇÃO"),"REATIVAÇÃO",IF(R20="PERDA / FECHOU LOJA","NUTRIÇÃO",IF(OR(R20="FOLLOW UP 7",R20="FOLLOW UP 15"),"SALVAMENTO","PROSPECÇÃO")))))))</f>
        <v/>
      </c>
      <c r="V20" s="58" t="n"/>
      <c r="W20" s="58" t="inlineStr">
        <is>
          <t>SIM</t>
        </is>
      </c>
      <c r="X20" s="58" t="n"/>
    </row>
    <row r="21">
      <c r="A21" s="71" t="n">
        <v>46078</v>
      </c>
      <c r="B21" s="58" t="inlineStr">
        <is>
          <t>MANU DITZEL</t>
        </is>
      </c>
      <c r="C21" s="58" t="inlineStr">
        <is>
          <t>PONTO VERDE 21</t>
        </is>
      </c>
      <c r="D21" s="58" t="inlineStr">
        <is>
          <t>66.664.822/7008-81</t>
        </is>
      </c>
      <c r="E21" s="58" t="inlineStr">
        <is>
          <t>PR</t>
        </is>
      </c>
      <c r="F21" s="58" t="inlineStr">
        <is>
          <t>MUNDO VERDE</t>
        </is>
      </c>
      <c r="G21" s="58" t="inlineStr">
        <is>
          <t>NOVO</t>
        </is>
      </c>
      <c r="H21" s="58" t="n"/>
      <c r="I21" s="58">
        <f>IF(R21="","",VLOOKUP(R21,REGRAS!$B$2:$D$13,3,FALSE()))</f>
        <v/>
      </c>
      <c r="J21" s="58" t="n"/>
      <c r="K21" s="58">
        <f>IF(R21="","",IF(R21="VENDA / PEDIDO","RECOMPRA",IF(R21="SUPORTE","PÓS-VENDA",IF(OR(R21="FOLLOW UP 7",R21="FOLLOW UP 15"),"SALVAMENTO",IF(R21="PERDA / FECHOU LOJA","NUTRIÇÃO",IF(R21="RELACIONAMENTO","CS",IF(OR(R21="ORÇAMENTO",R21="CADASTRO"),"PROSPECÇÃO",IF(R21="EM ATENDIMENTO","EM ATENDIMENTO",IF(OR(R21="NÃO ATENDE",R21="NÃO RESPONDE",R21="RECUSOU LIGAÇÃO"),"RECUPERAÇÃO","")))))))))</f>
        <v/>
      </c>
      <c r="L21" s="58">
        <f>IF(H21="","",IF(G21="PROSPECT","🟣",IF(G21="LEAD","🟣",IF(G21="NOVO","🟢",IF(H21&lt;=50,"🟢",IF(H21&lt;=90,"🟡","🔴"))))))</f>
        <v/>
      </c>
      <c r="M21" s="58" t="n"/>
      <c r="N21" s="58" t="inlineStr">
        <is>
          <t>NÃO</t>
        </is>
      </c>
      <c r="O21" s="58" t="inlineStr">
        <is>
          <t>NÃO</t>
        </is>
      </c>
      <c r="P21" s="58" t="inlineStr">
        <is>
          <t>N/A</t>
        </is>
      </c>
      <c r="Q21" s="58" t="inlineStr">
        <is>
          <t>PÓS-VENDA / RELACIONAMENTO</t>
        </is>
      </c>
      <c r="R21" s="58" t="inlineStr">
        <is>
          <t>FOLLOW UP 15</t>
        </is>
      </c>
      <c r="S21" s="58" t="inlineStr">
        <is>
          <t>AINDA TEM ESTOQUE</t>
        </is>
      </c>
      <c r="T21" s="71">
        <f>IF(R21="","",IF(OR(R21="SUPORTE",R21="PERDA / FECHOU LOJA"),"SEM",A21+VLOOKUP(R21,REGRAS!$B$2:$C$13,2,FALSE())))</f>
        <v/>
      </c>
      <c r="U21" s="58">
        <f>IF(R21="","",IF(R21="VENDA / PEDIDO","RECOMPRA",IF(R21="SUPORTE","PÓS-VENDA",IF(R21="RELACIONAMENTO","CS",IF(OR(R21="NÃO ATENDE",R21="NÃO RESPONDE",R21="RECUSOU LIGAÇÃO"),"REATIVAÇÃO",IF(R21="PERDA / FECHOU LOJA","NUTRIÇÃO",IF(OR(R21="FOLLOW UP 7",R21="FOLLOW UP 15"),"SALVAMENTO","PROSPECÇÃO")))))))</f>
        <v/>
      </c>
      <c r="V21" s="58" t="n"/>
      <c r="W21" s="58" t="inlineStr">
        <is>
          <t>SIM</t>
        </is>
      </c>
      <c r="X21" s="58" t="n"/>
    </row>
    <row r="22">
      <c r="A22" s="71" t="n">
        <v>46063</v>
      </c>
      <c r="B22" s="58" t="inlineStr">
        <is>
          <t>LARISSA PADILHA</t>
        </is>
      </c>
      <c r="C22" s="58" t="inlineStr">
        <is>
          <t>MUNDO VERDE CWB 46</t>
        </is>
      </c>
      <c r="D22" s="58" t="inlineStr">
        <is>
          <t>36.798.355/1685-55</t>
        </is>
      </c>
      <c r="E22" s="58" t="inlineStr">
        <is>
          <t>MG</t>
        </is>
      </c>
      <c r="F22" s="58" t="inlineStr">
        <is>
          <t>DEMAIS CLIENTES</t>
        </is>
      </c>
      <c r="G22" s="58" t="inlineStr">
        <is>
          <t>EM RISCO</t>
        </is>
      </c>
      <c r="H22" s="58" t="n">
        <v>60</v>
      </c>
      <c r="I22" s="58">
        <f>IF(R22="","",VLOOKUP(R22,REGRAS!$B$2:$D$13,3,FALSE()))</f>
        <v/>
      </c>
      <c r="J22" s="58" t="n"/>
      <c r="K22" s="58">
        <f>IF(R22="","",IF(R22="VENDA / PEDIDO","RECOMPRA",IF(R22="SUPORTE","PÓS-VENDA",IF(OR(R22="FOLLOW UP 7",R22="FOLLOW UP 15"),"SALVAMENTO",IF(R22="PERDA / FECHOU LOJA","NUTRIÇÃO",IF(R22="RELACIONAMENTO","CS",IF(OR(R22="ORÇAMENTO",R22="CADASTRO"),"PROSPECÇÃO",IF(R22="EM ATENDIMENTO","EM ATENDIMENTO",IF(OR(R22="NÃO ATENDE",R22="NÃO RESPONDE",R22="RECUSOU LIGAÇÃO"),"RECUPERAÇÃO","")))))))))</f>
        <v/>
      </c>
      <c r="L22" s="58">
        <f>IF(H22="","",IF(G22="PROSPECT","🟣",IF(G22="LEAD","🟣",IF(G22="NOVO","🟢",IF(H22&lt;=50,"🟢",IF(H22&lt;=90,"🟡","🔴"))))))</f>
        <v/>
      </c>
      <c r="M22" s="58" t="n"/>
      <c r="N22" s="58" t="inlineStr">
        <is>
          <t>SIM</t>
        </is>
      </c>
      <c r="O22" s="58" t="inlineStr">
        <is>
          <t>SIM</t>
        </is>
      </c>
      <c r="P22" s="58" t="inlineStr">
        <is>
          <t>NÃO</t>
        </is>
      </c>
      <c r="Q22" s="58" t="inlineStr">
        <is>
          <t>ATEND. CLIENTES INATIVOS</t>
        </is>
      </c>
      <c r="R22" s="58" t="inlineStr">
        <is>
          <t>FOLLOW UP 7</t>
        </is>
      </c>
      <c r="S22" s="58" t="inlineStr">
        <is>
          <t>AINDA TEM ESTOQUE</t>
        </is>
      </c>
      <c r="T22" s="71">
        <f>IF(R22="","",IF(OR(R22="SUPORTE",R22="PERDA / FECHOU LOJA"),"SEM",A22+VLOOKUP(R22,REGRAS!$B$2:$C$13,2,FALSE())))</f>
        <v/>
      </c>
      <c r="U22" s="58">
        <f>IF(R22="","",IF(R22="VENDA / PEDIDO","RECOMPRA",IF(R22="SUPORTE","PÓS-VENDA",IF(R22="RELACIONAMENTO","CS",IF(OR(R22="NÃO ATENDE",R22="NÃO RESPONDE",R22="RECUSOU LIGAÇÃO"),"REATIVAÇÃO",IF(R22="PERDA / FECHOU LOJA","NUTRIÇÃO",IF(OR(R22="FOLLOW UP 7",R22="FOLLOW UP 15"),"SALVAMENTO","PROSPECÇÃO")))))))</f>
        <v/>
      </c>
      <c r="V22" s="58" t="n"/>
      <c r="W22" s="58" t="inlineStr">
        <is>
          <t>SIM</t>
        </is>
      </c>
      <c r="X22" s="58" t="n"/>
    </row>
    <row r="23">
      <c r="A23" s="71" t="n">
        <v>46059</v>
      </c>
      <c r="B23" s="58" t="inlineStr">
        <is>
          <t>JULIO GADRET</t>
        </is>
      </c>
      <c r="C23" s="58" t="inlineStr">
        <is>
          <t>SAUDE TOTAL 53</t>
        </is>
      </c>
      <c r="D23" s="58" t="inlineStr">
        <is>
          <t>95.984.852/4066-44</t>
        </is>
      </c>
      <c r="E23" s="58" t="inlineStr">
        <is>
          <t>PR</t>
        </is>
      </c>
      <c r="F23" s="58" t="inlineStr">
        <is>
          <t>DEMAIS CLIENTES</t>
        </is>
      </c>
      <c r="G23" s="58" t="inlineStr">
        <is>
          <t>EM RISCO</t>
        </is>
      </c>
      <c r="H23" s="58" t="n">
        <v>51</v>
      </c>
      <c r="I23" s="58">
        <f>IF(R23="","",VLOOKUP(R23,REGRAS!$B$2:$D$13,3,FALSE()))</f>
        <v/>
      </c>
      <c r="J23" s="58" t="n"/>
      <c r="K23" s="58">
        <f>IF(R23="","",IF(R23="VENDA / PEDIDO","RECOMPRA",IF(R23="SUPORTE","PÓS-VENDA",IF(OR(R23="FOLLOW UP 7",R23="FOLLOW UP 15"),"SALVAMENTO",IF(R23="PERDA / FECHOU LOJA","NUTRIÇÃO",IF(R23="RELACIONAMENTO","CS",IF(OR(R23="ORÇAMENTO",R23="CADASTRO"),"PROSPECÇÃO",IF(R23="EM ATENDIMENTO","EM ATENDIMENTO",IF(OR(R23="NÃO ATENDE",R23="NÃO RESPONDE",R23="RECUSOU LIGAÇÃO"),"RECUPERAÇÃO","")))))))))</f>
        <v/>
      </c>
      <c r="L23" s="58">
        <f>IF(H23="","",IF(G23="PROSPECT","🟣",IF(G23="LEAD","🟣",IF(G23="NOVO","🟢",IF(H23&lt;=50,"🟢",IF(H23&lt;=90,"🟡","🔴"))))))</f>
        <v/>
      </c>
      <c r="M23" s="58" t="n"/>
      <c r="N23" s="58" t="inlineStr">
        <is>
          <t>NÃO</t>
        </is>
      </c>
      <c r="O23" s="58" t="inlineStr">
        <is>
          <t>NÃO</t>
        </is>
      </c>
      <c r="P23" s="58" t="inlineStr">
        <is>
          <t>N/A</t>
        </is>
      </c>
      <c r="Q23" s="58" t="inlineStr">
        <is>
          <t>PÓS-VENDA / RELACIONAMENTO</t>
        </is>
      </c>
      <c r="R23" s="58" t="inlineStr">
        <is>
          <t>RELACIONAMENTO</t>
        </is>
      </c>
      <c r="S23" s="58" t="n"/>
      <c r="T23" s="71">
        <f>IF(R23="","",IF(OR(R23="SUPORTE",R23="PERDA / FECHOU LOJA"),"SEM",A23+VLOOKUP(R23,REGRAS!$B$2:$C$13,2,FALSE())))</f>
        <v/>
      </c>
      <c r="U23" s="58">
        <f>IF(R23="","",IF(R23="VENDA / PEDIDO","RECOMPRA",IF(R23="SUPORTE","PÓS-VENDA",IF(R23="RELACIONAMENTO","CS",IF(OR(R23="NÃO ATENDE",R23="NÃO RESPONDE",R23="RECUSOU LIGAÇÃO"),"REATIVAÇÃO",IF(R23="PERDA / FECHOU LOJA","NUTRIÇÃO",IF(OR(R23="FOLLOW UP 7",R23="FOLLOW UP 15"),"SALVAMENTO","PROSPECÇÃO")))))))</f>
        <v/>
      </c>
      <c r="V23" s="58" t="n"/>
      <c r="W23" s="58" t="inlineStr">
        <is>
          <t>SIM</t>
        </is>
      </c>
      <c r="X23" s="58" t="n"/>
    </row>
    <row r="24">
      <c r="A24" s="71" t="n">
        <v>46079</v>
      </c>
      <c r="B24" s="58" t="inlineStr">
        <is>
          <t>DAIANE STAVICKI</t>
        </is>
      </c>
      <c r="C24" s="58" t="inlineStr">
        <is>
          <t>FITLAND PR 04</t>
        </is>
      </c>
      <c r="D24" s="58" t="inlineStr">
        <is>
          <t>94.297.508/5379-45</t>
        </is>
      </c>
      <c r="E24" s="58" t="inlineStr">
        <is>
          <t>BA</t>
        </is>
      </c>
      <c r="F24" s="58" t="inlineStr">
        <is>
          <t>DEMAIS CLIENTES</t>
        </is>
      </c>
      <c r="G24" s="58" t="inlineStr">
        <is>
          <t>ATIVO</t>
        </is>
      </c>
      <c r="H24" s="58" t="n">
        <v>46</v>
      </c>
      <c r="I24" s="58">
        <f>IF(R24="","",VLOOKUP(R24,REGRAS!$B$2:$D$13,3,FALSE()))</f>
        <v/>
      </c>
      <c r="J24" s="58" t="n"/>
      <c r="K24" s="58">
        <f>IF(R24="","",IF(R24="VENDA / PEDIDO","RECOMPRA",IF(R24="SUPORTE","PÓS-VENDA",IF(OR(R24="FOLLOW UP 7",R24="FOLLOW UP 15"),"SALVAMENTO",IF(R24="PERDA / FECHOU LOJA","NUTRIÇÃO",IF(R24="RELACIONAMENTO","CS",IF(OR(R24="ORÇAMENTO",R24="CADASTRO"),"PROSPECÇÃO",IF(R24="EM ATENDIMENTO","EM ATENDIMENTO",IF(OR(R24="NÃO ATENDE",R24="NÃO RESPONDE",R24="RECUSOU LIGAÇÃO"),"RECUPERAÇÃO","")))))))))</f>
        <v/>
      </c>
      <c r="L24" s="58">
        <f>IF(H24="","",IF(G24="PROSPECT","🟣",IF(G24="LEAD","🟣",IF(G24="NOVO","🟢",IF(H24&lt;=50,"🟢",IF(H24&lt;=90,"🟡","🔴"))))))</f>
        <v/>
      </c>
      <c r="M24" s="58" t="n"/>
      <c r="N24" s="58" t="inlineStr">
        <is>
          <t>NÃO</t>
        </is>
      </c>
      <c r="O24" s="58" t="inlineStr">
        <is>
          <t>SIM</t>
        </is>
      </c>
      <c r="P24" s="58" t="inlineStr">
        <is>
          <t>SIM</t>
        </is>
      </c>
      <c r="Q24" s="58" t="inlineStr">
        <is>
          <t>ATEND. CLIENTES ATIVOS</t>
        </is>
      </c>
      <c r="R24" s="58" t="inlineStr">
        <is>
          <t>FOLLOW UP 15</t>
        </is>
      </c>
      <c r="S24" s="58" t="inlineStr">
        <is>
          <t>SEM INTERESSE NO MOMENTO</t>
        </is>
      </c>
      <c r="T24" s="71">
        <f>IF(R24="","",IF(OR(R24="SUPORTE",R24="PERDA / FECHOU LOJA"),"SEM",A24+VLOOKUP(R24,REGRAS!$B$2:$C$13,2,FALSE())))</f>
        <v/>
      </c>
      <c r="U24" s="58">
        <f>IF(R24="","",IF(R24="VENDA / PEDIDO","RECOMPRA",IF(R24="SUPORTE","PÓS-VENDA",IF(R24="RELACIONAMENTO","CS",IF(OR(R24="NÃO ATENDE",R24="NÃO RESPONDE",R24="RECUSOU LIGAÇÃO"),"REATIVAÇÃO",IF(R24="PERDA / FECHOU LOJA","NUTRIÇÃO",IF(OR(R24="FOLLOW UP 7",R24="FOLLOW UP 15"),"SALVAMENTO","PROSPECÇÃO")))))))</f>
        <v/>
      </c>
      <c r="V24" s="58" t="n"/>
      <c r="W24" s="58" t="inlineStr">
        <is>
          <t>SIM</t>
        </is>
      </c>
      <c r="X24" s="58" t="n"/>
    </row>
    <row r="25">
      <c r="A25" s="71" t="n">
        <v>46072</v>
      </c>
      <c r="B25" s="58" t="inlineStr">
        <is>
          <t>DAIANE STAVICKI</t>
        </is>
      </c>
      <c r="C25" s="58" t="inlineStr">
        <is>
          <t>PONTO VERDE 05</t>
        </is>
      </c>
      <c r="D25" s="58" t="inlineStr">
        <is>
          <t>23.710.544/5664-50</t>
        </is>
      </c>
      <c r="E25" s="58" t="inlineStr">
        <is>
          <t>RS</t>
        </is>
      </c>
      <c r="F25" s="58" t="inlineStr">
        <is>
          <t>DEMAIS CLIENTES</t>
        </is>
      </c>
      <c r="G25" s="58" t="inlineStr">
        <is>
          <t>ATIVO</t>
        </is>
      </c>
      <c r="H25" s="58" t="n">
        <v>41</v>
      </c>
      <c r="I25" s="58">
        <f>IF(R25="","",VLOOKUP(R25,REGRAS!$B$2:$D$13,3,FALSE()))</f>
        <v/>
      </c>
      <c r="J25" s="58" t="n"/>
      <c r="K25" s="58">
        <f>IF(R25="","",IF(R25="VENDA / PEDIDO","RECOMPRA",IF(R25="SUPORTE","PÓS-VENDA",IF(OR(R25="FOLLOW UP 7",R25="FOLLOW UP 15"),"SALVAMENTO",IF(R25="PERDA / FECHOU LOJA","NUTRIÇÃO",IF(R25="RELACIONAMENTO","CS",IF(OR(R25="ORÇAMENTO",R25="CADASTRO"),"PROSPECÇÃO",IF(R25="EM ATENDIMENTO","EM ATENDIMENTO",IF(OR(R25="NÃO ATENDE",R25="NÃO RESPONDE",R25="RECUSOU LIGAÇÃO"),"RECUPERAÇÃO","")))))))))</f>
        <v/>
      </c>
      <c r="L25" s="58">
        <f>IF(H25="","",IF(G25="PROSPECT","🟣",IF(G25="LEAD","🟣",IF(G25="NOVO","🟢",IF(H25&lt;=50,"🟢",IF(H25&lt;=90,"🟡","🔴"))))))</f>
        <v/>
      </c>
      <c r="M25" s="58" t="n"/>
      <c r="N25" s="58" t="inlineStr">
        <is>
          <t>SIM</t>
        </is>
      </c>
      <c r="O25" s="58" t="inlineStr">
        <is>
          <t>NÃO</t>
        </is>
      </c>
      <c r="P25" s="58" t="inlineStr">
        <is>
          <t>N/A</t>
        </is>
      </c>
      <c r="Q25" s="58" t="inlineStr">
        <is>
          <t>NEGOCIAÇÃO</t>
        </is>
      </c>
      <c r="R25" s="58" t="inlineStr">
        <is>
          <t>EM ATENDIMENTO</t>
        </is>
      </c>
      <c r="S25" s="58" t="n"/>
      <c r="T25" s="71">
        <f>IF(R25="","",IF(OR(R25="SUPORTE",R25="PERDA / FECHOU LOJA"),"SEM",A25+VLOOKUP(R25,REGRAS!$B$2:$C$13,2,FALSE())))</f>
        <v/>
      </c>
      <c r="U25" s="58">
        <f>IF(R25="","",IF(R25="VENDA / PEDIDO","RECOMPRA",IF(R25="SUPORTE","PÓS-VENDA",IF(R25="RELACIONAMENTO","CS",IF(OR(R25="NÃO ATENDE",R25="NÃO RESPONDE",R25="RECUSOU LIGAÇÃO"),"REATIVAÇÃO",IF(R25="PERDA / FECHOU LOJA","NUTRIÇÃO",IF(OR(R25="FOLLOW UP 7",R25="FOLLOW UP 15"),"SALVAMENTO","PROSPECÇÃO")))))))</f>
        <v/>
      </c>
      <c r="V25" s="58" t="n"/>
      <c r="W25" s="58" t="inlineStr">
        <is>
          <t>NÃO</t>
        </is>
      </c>
      <c r="X25" s="58" t="n"/>
    </row>
    <row r="26">
      <c r="A26" s="71" t="n">
        <v>46075</v>
      </c>
      <c r="B26" s="58" t="inlineStr">
        <is>
          <t>JULIO GADRET</t>
        </is>
      </c>
      <c r="C26" s="58" t="inlineStr">
        <is>
          <t>CIA SAUDE SP 47</t>
        </is>
      </c>
      <c r="D26" s="58" t="inlineStr">
        <is>
          <t>65.171.780/5410-89</t>
        </is>
      </c>
      <c r="E26" s="58" t="inlineStr">
        <is>
          <t>SC</t>
        </is>
      </c>
      <c r="F26" s="58" t="inlineStr">
        <is>
          <t>DEMAIS CLIENTES</t>
        </is>
      </c>
      <c r="G26" s="58" t="inlineStr">
        <is>
          <t>INAT.ANT</t>
        </is>
      </c>
      <c r="H26" s="58" t="n">
        <v>167</v>
      </c>
      <c r="I26" s="58">
        <f>IF(R26="","",VLOOKUP(R26,REGRAS!$B$2:$D$13,3,FALSE()))</f>
        <v/>
      </c>
      <c r="J26" s="58" t="n"/>
      <c r="K26" s="58">
        <f>IF(R26="","",IF(R26="VENDA / PEDIDO","RECOMPRA",IF(R26="SUPORTE","PÓS-VENDA",IF(OR(R26="FOLLOW UP 7",R26="FOLLOW UP 15"),"SALVAMENTO",IF(R26="PERDA / FECHOU LOJA","NUTRIÇÃO",IF(R26="RELACIONAMENTO","CS",IF(OR(R26="ORÇAMENTO",R26="CADASTRO"),"PROSPECÇÃO",IF(R26="EM ATENDIMENTO","EM ATENDIMENTO",IF(OR(R26="NÃO ATENDE",R26="NÃO RESPONDE",R26="RECUSOU LIGAÇÃO"),"RECUPERAÇÃO","")))))))))</f>
        <v/>
      </c>
      <c r="L26" s="58">
        <f>IF(H26="","",IF(G26="PROSPECT","🟣",IF(G26="LEAD","🟣",IF(G26="NOVO","🟢",IF(H26&lt;=50,"🟢",IF(H26&lt;=90,"🟡","🔴"))))))</f>
        <v/>
      </c>
      <c r="M26" s="58" t="n"/>
      <c r="N26" s="58" t="inlineStr">
        <is>
          <t>SIM</t>
        </is>
      </c>
      <c r="O26" s="58" t="inlineStr">
        <is>
          <t>NÃO</t>
        </is>
      </c>
      <c r="P26" s="58" t="inlineStr">
        <is>
          <t>N/A</t>
        </is>
      </c>
      <c r="Q26" s="58" t="inlineStr">
        <is>
          <t>ATEND. CLIENTES ATIVOS</t>
        </is>
      </c>
      <c r="R26" s="58" t="inlineStr">
        <is>
          <t>FOLLOW UP 15</t>
        </is>
      </c>
      <c r="S26" s="58" t="inlineStr">
        <is>
          <t>PROBLEMA LOGÍSTICO / ENTREGA</t>
        </is>
      </c>
      <c r="T26" s="71">
        <f>IF(R26="","",IF(OR(R26="SUPORTE",R26="PERDA / FECHOU LOJA"),"SEM",A26+VLOOKUP(R26,REGRAS!$B$2:$C$13,2,FALSE())))</f>
        <v/>
      </c>
      <c r="U26" s="58">
        <f>IF(R26="","",IF(R26="VENDA / PEDIDO","RECOMPRA",IF(R26="SUPORTE","PÓS-VENDA",IF(R26="RELACIONAMENTO","CS",IF(OR(R26="NÃO ATENDE",R26="NÃO RESPONDE",R26="RECUSOU LIGAÇÃO"),"REATIVAÇÃO",IF(R26="PERDA / FECHOU LOJA","NUTRIÇÃO",IF(OR(R26="FOLLOW UP 7",R26="FOLLOW UP 15"),"SALVAMENTO","PROSPECÇÃO")))))))</f>
        <v/>
      </c>
      <c r="V26" s="58" t="n"/>
      <c r="W26" s="58" t="inlineStr">
        <is>
          <t>SIM</t>
        </is>
      </c>
      <c r="X26" s="58" t="n"/>
    </row>
    <row r="27">
      <c r="A27" s="71" t="n">
        <v>46075</v>
      </c>
      <c r="B27" s="58" t="inlineStr">
        <is>
          <t>DAIANE STAVICKI</t>
        </is>
      </c>
      <c r="C27" s="58" t="inlineStr">
        <is>
          <t>VERDE VIDA 79</t>
        </is>
      </c>
      <c r="D27" s="58" t="inlineStr">
        <is>
          <t>82.408.515/8978-10</t>
        </is>
      </c>
      <c r="E27" s="58" t="inlineStr">
        <is>
          <t>SC</t>
        </is>
      </c>
      <c r="F27" s="58" t="inlineStr">
        <is>
          <t>BIOMUNDO</t>
        </is>
      </c>
      <c r="G27" s="58" t="inlineStr">
        <is>
          <t>INAT.ANT</t>
        </is>
      </c>
      <c r="H27" s="58" t="n">
        <v>246</v>
      </c>
      <c r="I27" s="58">
        <f>IF(R27="","",VLOOKUP(R27,REGRAS!$B$2:$D$13,3,FALSE()))</f>
        <v/>
      </c>
      <c r="J27" s="58" t="n"/>
      <c r="K27" s="58">
        <f>IF(R27="","",IF(R27="VENDA / PEDIDO","RECOMPRA",IF(R27="SUPORTE","PÓS-VENDA",IF(OR(R27="FOLLOW UP 7",R27="FOLLOW UP 15"),"SALVAMENTO",IF(R27="PERDA / FECHOU LOJA","NUTRIÇÃO",IF(R27="RELACIONAMENTO","CS",IF(OR(R27="ORÇAMENTO",R27="CADASTRO"),"PROSPECÇÃO",IF(R27="EM ATENDIMENTO","EM ATENDIMENTO",IF(OR(R27="NÃO ATENDE",R27="NÃO RESPONDE",R27="RECUSOU LIGAÇÃO"),"RECUPERAÇÃO","")))))))))</f>
        <v/>
      </c>
      <c r="L27" s="58">
        <f>IF(H27="","",IF(G27="PROSPECT","🟣",IF(G27="LEAD","🟣",IF(G27="NOVO","🟢",IF(H27&lt;=50,"🟢",IF(H27&lt;=90,"🟡","🔴"))))))</f>
        <v/>
      </c>
      <c r="M27" s="58" t="n"/>
      <c r="N27" s="58" t="inlineStr">
        <is>
          <t>SIM</t>
        </is>
      </c>
      <c r="O27" s="58" t="inlineStr">
        <is>
          <t>SIM</t>
        </is>
      </c>
      <c r="P27" s="58" t="inlineStr">
        <is>
          <t>SIM</t>
        </is>
      </c>
      <c r="Q27" s="58" t="inlineStr">
        <is>
          <t>ATEND. CLIENTES INATIVOS</t>
        </is>
      </c>
      <c r="R27" s="58" t="inlineStr">
        <is>
          <t>NÃO RESPONDE</t>
        </is>
      </c>
      <c r="S27" s="58" t="inlineStr">
        <is>
          <t>SEM INTERESSE NO MOMENTO</t>
        </is>
      </c>
      <c r="T27" s="71">
        <f>IF(R27="","",IF(OR(R27="SUPORTE",R27="PERDA / FECHOU LOJA"),"SEM",A27+VLOOKUP(R27,REGRAS!$B$2:$C$13,2,FALSE())))</f>
        <v/>
      </c>
      <c r="U27" s="58">
        <f>IF(R27="","",IF(R27="VENDA / PEDIDO","RECOMPRA",IF(R27="SUPORTE","PÓS-VENDA",IF(R27="RELACIONAMENTO","CS",IF(OR(R27="NÃO ATENDE",R27="NÃO RESPONDE",R27="RECUSOU LIGAÇÃO"),"REATIVAÇÃO",IF(R27="PERDA / FECHOU LOJA","NUTRIÇÃO",IF(OR(R27="FOLLOW UP 7",R27="FOLLOW UP 15"),"SALVAMENTO","PROSPECÇÃO")))))))</f>
        <v/>
      </c>
      <c r="V27" s="58" t="n"/>
      <c r="W27" s="58" t="inlineStr">
        <is>
          <t>NÃO</t>
        </is>
      </c>
      <c r="X27" s="58" t="n"/>
    </row>
    <row r="28">
      <c r="A28" s="71" t="n">
        <v>46059</v>
      </c>
      <c r="B28" s="58" t="inlineStr">
        <is>
          <t>JULIO GADRET</t>
        </is>
      </c>
      <c r="C28" s="58" t="inlineStr">
        <is>
          <t>ECO SAUDE 66</t>
        </is>
      </c>
      <c r="D28" s="58" t="inlineStr">
        <is>
          <t>94.748.734/5492-21</t>
        </is>
      </c>
      <c r="E28" s="58" t="inlineStr">
        <is>
          <t>MG</t>
        </is>
      </c>
      <c r="F28" s="58" t="inlineStr">
        <is>
          <t>DEMAIS CLIENTES</t>
        </is>
      </c>
      <c r="G28" s="58" t="inlineStr">
        <is>
          <t>INAT.ANT</t>
        </is>
      </c>
      <c r="H28" s="58" t="n">
        <v>148</v>
      </c>
      <c r="I28" s="58">
        <f>IF(R28="","",VLOOKUP(R28,REGRAS!$B$2:$D$13,3,FALSE()))</f>
        <v/>
      </c>
      <c r="J28" s="58" t="n"/>
      <c r="K28" s="58">
        <f>IF(R28="","",IF(R28="VENDA / PEDIDO","RECOMPRA",IF(R28="SUPORTE","PÓS-VENDA",IF(OR(R28="FOLLOW UP 7",R28="FOLLOW UP 15"),"SALVAMENTO",IF(R28="PERDA / FECHOU LOJA","NUTRIÇÃO",IF(R28="RELACIONAMENTO","CS",IF(OR(R28="ORÇAMENTO",R28="CADASTRO"),"PROSPECÇÃO",IF(R28="EM ATENDIMENTO","EM ATENDIMENTO",IF(OR(R28="NÃO ATENDE",R28="NÃO RESPONDE",R28="RECUSOU LIGAÇÃO"),"RECUPERAÇÃO","")))))))))</f>
        <v/>
      </c>
      <c r="L28" s="58">
        <f>IF(H28="","",IF(G28="PROSPECT","🟣",IF(G28="LEAD","🟣",IF(G28="NOVO","🟢",IF(H28&lt;=50,"🟢",IF(H28&lt;=90,"🟡","🔴"))))))</f>
        <v/>
      </c>
      <c r="M28" s="58" t="n"/>
      <c r="N28" s="58" t="inlineStr">
        <is>
          <t>SIM</t>
        </is>
      </c>
      <c r="O28" s="58" t="inlineStr">
        <is>
          <t>NÃO</t>
        </is>
      </c>
      <c r="P28" s="58" t="inlineStr">
        <is>
          <t>N/A</t>
        </is>
      </c>
      <c r="Q28" s="58" t="inlineStr">
        <is>
          <t>PÓS-VENDA / RELACIONAMENTO</t>
        </is>
      </c>
      <c r="R28" s="58" t="inlineStr">
        <is>
          <t>RELACIONAMENTO</t>
        </is>
      </c>
      <c r="S28" s="58" t="n"/>
      <c r="T28" s="71">
        <f>IF(R28="","",IF(OR(R28="SUPORTE",R28="PERDA / FECHOU LOJA"),"SEM",A28+VLOOKUP(R28,REGRAS!$B$2:$C$13,2,FALSE())))</f>
        <v/>
      </c>
      <c r="U28" s="58">
        <f>IF(R28="","",IF(R28="VENDA / PEDIDO","RECOMPRA",IF(R28="SUPORTE","PÓS-VENDA",IF(R28="RELACIONAMENTO","CS",IF(OR(R28="NÃO ATENDE",R28="NÃO RESPONDE",R28="RECUSOU LIGAÇÃO"),"REATIVAÇÃO",IF(R28="PERDA / FECHOU LOJA","NUTRIÇÃO",IF(OR(R28="FOLLOW UP 7",R28="FOLLOW UP 15"),"SALVAMENTO","PROSPECÇÃO")))))))</f>
        <v/>
      </c>
      <c r="V28" s="58" t="n"/>
      <c r="W28" s="58" t="inlineStr">
        <is>
          <t>SIM</t>
        </is>
      </c>
      <c r="X28" s="58" t="n"/>
    </row>
    <row r="29">
      <c r="A29" s="71" t="n">
        <v>46078</v>
      </c>
      <c r="B29" s="58" t="inlineStr">
        <is>
          <t>MANU DITZEL</t>
        </is>
      </c>
      <c r="C29" s="58" t="inlineStr">
        <is>
          <t>NUTRI SHOP 81</t>
        </is>
      </c>
      <c r="D29" s="58" t="inlineStr">
        <is>
          <t>83.299.835/6292-73</t>
        </is>
      </c>
      <c r="E29" s="58" t="inlineStr">
        <is>
          <t>SC</t>
        </is>
      </c>
      <c r="F29" s="58" t="inlineStr">
        <is>
          <t>MUNDO VERDE</t>
        </is>
      </c>
      <c r="G29" s="58" t="inlineStr">
        <is>
          <t>INAT.ANT</t>
        </is>
      </c>
      <c r="H29" s="58" t="n">
        <v>283</v>
      </c>
      <c r="I29" s="58">
        <f>IF(R29="","",VLOOKUP(R29,REGRAS!$B$2:$D$13,3,FALSE()))</f>
        <v/>
      </c>
      <c r="J29" s="58" t="n"/>
      <c r="K29" s="58">
        <f>IF(R29="","",IF(R29="VENDA / PEDIDO","RECOMPRA",IF(R29="SUPORTE","PÓS-VENDA",IF(OR(R29="FOLLOW UP 7",R29="FOLLOW UP 15"),"SALVAMENTO",IF(R29="PERDA / FECHOU LOJA","NUTRIÇÃO",IF(R29="RELACIONAMENTO","CS",IF(OR(R29="ORÇAMENTO",R29="CADASTRO"),"PROSPECÇÃO",IF(R29="EM ATENDIMENTO","EM ATENDIMENTO",IF(OR(R29="NÃO ATENDE",R29="NÃO RESPONDE",R29="RECUSOU LIGAÇÃO"),"RECUPERAÇÃO","")))))))))</f>
        <v/>
      </c>
      <c r="L29" s="58">
        <f>IF(H29="","",IF(G29="PROSPECT","🟣",IF(G29="LEAD","🟣",IF(G29="NOVO","🟢",IF(H29&lt;=50,"🟢",IF(H29&lt;=90,"🟡","🔴"))))))</f>
        <v/>
      </c>
      <c r="M29" s="58" t="n"/>
      <c r="N29" s="58" t="inlineStr">
        <is>
          <t>NÃO</t>
        </is>
      </c>
      <c r="O29" s="58" t="inlineStr">
        <is>
          <t>SIM</t>
        </is>
      </c>
      <c r="P29" s="58" t="inlineStr">
        <is>
          <t>NÃO</t>
        </is>
      </c>
      <c r="Q29" s="58" t="inlineStr">
        <is>
          <t>PÓS-VENDA / RELACIONAMENTO</t>
        </is>
      </c>
      <c r="R29" s="58" t="inlineStr">
        <is>
          <t>NÃO ATENDE</t>
        </is>
      </c>
      <c r="S29" s="58" t="inlineStr">
        <is>
          <t>PROBLEMA FINANCEIRO / CRÉDITO</t>
        </is>
      </c>
      <c r="T29" s="71">
        <f>IF(R29="","",IF(OR(R29="SUPORTE",R29="PERDA / FECHOU LOJA"),"SEM",A29+VLOOKUP(R29,REGRAS!$B$2:$C$13,2,FALSE())))</f>
        <v/>
      </c>
      <c r="U29" s="58">
        <f>IF(R29="","",IF(R29="VENDA / PEDIDO","RECOMPRA",IF(R29="SUPORTE","PÓS-VENDA",IF(R29="RELACIONAMENTO","CS",IF(OR(R29="NÃO ATENDE",R29="NÃO RESPONDE",R29="RECUSOU LIGAÇÃO"),"REATIVAÇÃO",IF(R29="PERDA / FECHOU LOJA","NUTRIÇÃO",IF(OR(R29="FOLLOW UP 7",R29="FOLLOW UP 15"),"SALVAMENTO","PROSPECÇÃO")))))))</f>
        <v/>
      </c>
      <c r="V29" s="58" t="n"/>
      <c r="W29" s="58" t="inlineStr">
        <is>
          <t>SIM</t>
        </is>
      </c>
      <c r="X29" s="58" t="n"/>
    </row>
    <row r="30">
      <c r="A30" s="71" t="n">
        <v>46071</v>
      </c>
      <c r="B30" s="58" t="inlineStr">
        <is>
          <t>MANU DITZEL</t>
        </is>
      </c>
      <c r="C30" s="58" t="inlineStr">
        <is>
          <t>CASA DO GRANEL 59</t>
        </is>
      </c>
      <c r="D30" s="58" t="inlineStr">
        <is>
          <t>27.920.575/8703-81</t>
        </is>
      </c>
      <c r="E30" s="58" t="inlineStr">
        <is>
          <t>SP</t>
        </is>
      </c>
      <c r="F30" s="58" t="inlineStr">
        <is>
          <t>DEMAIS CLIENTES</t>
        </is>
      </c>
      <c r="G30" s="58" t="inlineStr">
        <is>
          <t>NOVO</t>
        </is>
      </c>
      <c r="H30" s="58" t="n"/>
      <c r="I30" s="58">
        <f>IF(R30="","",VLOOKUP(R30,REGRAS!$B$2:$D$13,3,FALSE()))</f>
        <v/>
      </c>
      <c r="J30" s="58" t="n"/>
      <c r="K30" s="58">
        <f>IF(R30="","",IF(R30="VENDA / PEDIDO","RECOMPRA",IF(R30="SUPORTE","PÓS-VENDA",IF(OR(R30="FOLLOW UP 7",R30="FOLLOW UP 15"),"SALVAMENTO",IF(R30="PERDA / FECHOU LOJA","NUTRIÇÃO",IF(R30="RELACIONAMENTO","CS",IF(OR(R30="ORÇAMENTO",R30="CADASTRO"),"PROSPECÇÃO",IF(R30="EM ATENDIMENTO","EM ATENDIMENTO",IF(OR(R30="NÃO ATENDE",R30="NÃO RESPONDE",R30="RECUSOU LIGAÇÃO"),"RECUPERAÇÃO","")))))))))</f>
        <v/>
      </c>
      <c r="L30" s="58">
        <f>IF(H30="","",IF(G30="PROSPECT","🟣",IF(G30="LEAD","🟣",IF(G30="NOVO","🟢",IF(H30&lt;=50,"🟢",IF(H30&lt;=90,"🟡","🔴"))))))</f>
        <v/>
      </c>
      <c r="M30" s="58" t="n"/>
      <c r="N30" s="58" t="inlineStr">
        <is>
          <t>SIM</t>
        </is>
      </c>
      <c r="O30" s="58" t="inlineStr">
        <is>
          <t>NÃO</t>
        </is>
      </c>
      <c r="P30" s="58" t="inlineStr">
        <is>
          <t>N/A</t>
        </is>
      </c>
      <c r="Q30" s="58" t="inlineStr">
        <is>
          <t>ATEND. CLIENTES ATIVOS</t>
        </is>
      </c>
      <c r="R30" s="58" t="inlineStr">
        <is>
          <t>SUPORTE</t>
        </is>
      </c>
      <c r="S30" s="58" t="n"/>
      <c r="T30" s="71">
        <f>IF(R30="","",IF(OR(R30="SUPORTE",R30="PERDA / FECHOU LOJA"),"SEM",A30+VLOOKUP(R30,REGRAS!$B$2:$C$13,2,FALSE())))</f>
        <v/>
      </c>
      <c r="U30" s="58">
        <f>IF(R30="","",IF(R30="VENDA / PEDIDO","RECOMPRA",IF(R30="SUPORTE","PÓS-VENDA",IF(R30="RELACIONAMENTO","CS",IF(OR(R30="NÃO ATENDE",R30="NÃO RESPONDE",R30="RECUSOU LIGAÇÃO"),"REATIVAÇÃO",IF(R30="PERDA / FECHOU LOJA","NUTRIÇÃO",IF(OR(R30="FOLLOW UP 7",R30="FOLLOW UP 15"),"SALVAMENTO","PROSPECÇÃO")))))))</f>
        <v/>
      </c>
      <c r="V30" s="58" t="n"/>
      <c r="W30" s="58" t="inlineStr">
        <is>
          <t>SIM</t>
        </is>
      </c>
      <c r="X30" s="58" t="n"/>
    </row>
    <row r="31">
      <c r="A31" s="71" t="n">
        <v>46059</v>
      </c>
      <c r="B31" s="58" t="inlineStr">
        <is>
          <t>JULIO GADRET</t>
        </is>
      </c>
      <c r="C31" s="58" t="inlineStr">
        <is>
          <t>FEIRA VERDE 58</t>
        </is>
      </c>
      <c r="D31" s="58" t="inlineStr">
        <is>
          <t>43.869.353/4544-76</t>
        </is>
      </c>
      <c r="E31" s="58" t="inlineStr">
        <is>
          <t>RS</t>
        </is>
      </c>
      <c r="F31" s="58" t="inlineStr">
        <is>
          <t>BIOMUNDO</t>
        </is>
      </c>
      <c r="G31" s="58" t="inlineStr">
        <is>
          <t>EM RISCO</t>
        </is>
      </c>
      <c r="H31" s="58" t="n">
        <v>55</v>
      </c>
      <c r="I31" s="58">
        <f>IF(R31="","",VLOOKUP(R31,REGRAS!$B$2:$D$13,3,FALSE()))</f>
        <v/>
      </c>
      <c r="J31" s="58" t="n"/>
      <c r="K31" s="58">
        <f>IF(R31="","",IF(R31="VENDA / PEDIDO","RECOMPRA",IF(R31="SUPORTE","PÓS-VENDA",IF(OR(R31="FOLLOW UP 7",R31="FOLLOW UP 15"),"SALVAMENTO",IF(R31="PERDA / FECHOU LOJA","NUTRIÇÃO",IF(R31="RELACIONAMENTO","CS",IF(OR(R31="ORÇAMENTO",R31="CADASTRO"),"PROSPECÇÃO",IF(R31="EM ATENDIMENTO","EM ATENDIMENTO",IF(OR(R31="NÃO ATENDE",R31="NÃO RESPONDE",R31="RECUSOU LIGAÇÃO"),"RECUPERAÇÃO","")))))))))</f>
        <v/>
      </c>
      <c r="L31" s="58">
        <f>IF(H31="","",IF(G31="PROSPECT","🟣",IF(G31="LEAD","🟣",IF(G31="NOVO","🟢",IF(H31&lt;=50,"🟢",IF(H31&lt;=90,"🟡","🔴"))))))</f>
        <v/>
      </c>
      <c r="M31" s="58" t="n"/>
      <c r="N31" s="58" t="inlineStr">
        <is>
          <t>NÃO</t>
        </is>
      </c>
      <c r="O31" s="58" t="inlineStr">
        <is>
          <t>SIM</t>
        </is>
      </c>
      <c r="P31" s="58" t="inlineStr">
        <is>
          <t>SIM</t>
        </is>
      </c>
      <c r="Q31" s="58" t="inlineStr">
        <is>
          <t>NEGOCIAÇÃO</t>
        </is>
      </c>
      <c r="R31" s="58" t="inlineStr">
        <is>
          <t>ORÇAMENTO</t>
        </is>
      </c>
      <c r="S31" s="58" t="n"/>
      <c r="T31" s="71">
        <f>IF(R31="","",IF(OR(R31="SUPORTE",R31="PERDA / FECHOU LOJA"),"SEM",A31+VLOOKUP(R31,REGRAS!$B$2:$C$13,2,FALSE())))</f>
        <v/>
      </c>
      <c r="U31" s="58">
        <f>IF(R31="","",IF(R31="VENDA / PEDIDO","RECOMPRA",IF(R31="SUPORTE","PÓS-VENDA",IF(R31="RELACIONAMENTO","CS",IF(OR(R31="NÃO ATENDE",R31="NÃO RESPONDE",R31="RECUSOU LIGAÇÃO"),"REATIVAÇÃO",IF(R31="PERDA / FECHOU LOJA","NUTRIÇÃO",IF(OR(R31="FOLLOW UP 7",R31="FOLLOW UP 15"),"SALVAMENTO","PROSPECÇÃO")))))))</f>
        <v/>
      </c>
      <c r="V31" s="58" t="n"/>
      <c r="W31" s="58" t="inlineStr">
        <is>
          <t>SIM</t>
        </is>
      </c>
      <c r="X31" s="58" t="n"/>
    </row>
    <row r="32">
      <c r="A32" s="71" t="n">
        <v>46058</v>
      </c>
      <c r="B32" s="58" t="inlineStr">
        <is>
          <t>JULIO GADRET</t>
        </is>
      </c>
      <c r="C32" s="58" t="inlineStr">
        <is>
          <t>VIDA SAUDÁVEL 54</t>
        </is>
      </c>
      <c r="D32" s="58" t="inlineStr">
        <is>
          <t>62.438.655/7634-63</t>
        </is>
      </c>
      <c r="E32" s="58" t="inlineStr">
        <is>
          <t>PR</t>
        </is>
      </c>
      <c r="F32" s="58" t="inlineStr">
        <is>
          <t>DEMAIS CLIENTES</t>
        </is>
      </c>
      <c r="G32" s="58" t="inlineStr">
        <is>
          <t>EM RISCO</t>
        </is>
      </c>
      <c r="H32" s="58" t="n">
        <v>60</v>
      </c>
      <c r="I32" s="58">
        <f>IF(R32="","",VLOOKUP(R32,REGRAS!$B$2:$D$13,3,FALSE()))</f>
        <v/>
      </c>
      <c r="J32" s="58" t="n"/>
      <c r="K32" s="58">
        <f>IF(R32="","",IF(R32="VENDA / PEDIDO","RECOMPRA",IF(R32="SUPORTE","PÓS-VENDA",IF(OR(R32="FOLLOW UP 7",R32="FOLLOW UP 15"),"SALVAMENTO",IF(R32="PERDA / FECHOU LOJA","NUTRIÇÃO",IF(R32="RELACIONAMENTO","CS",IF(OR(R32="ORÇAMENTO",R32="CADASTRO"),"PROSPECÇÃO",IF(R32="EM ATENDIMENTO","EM ATENDIMENTO",IF(OR(R32="NÃO ATENDE",R32="NÃO RESPONDE",R32="RECUSOU LIGAÇÃO"),"RECUPERAÇÃO","")))))))))</f>
        <v/>
      </c>
      <c r="L32" s="58">
        <f>IF(H32="","",IF(G32="PROSPECT","🟣",IF(G32="LEAD","🟣",IF(G32="NOVO","🟢",IF(H32&lt;=50,"🟢",IF(H32&lt;=90,"🟡","🔴"))))))</f>
        <v/>
      </c>
      <c r="M32" s="58" t="n"/>
      <c r="N32" s="58" t="inlineStr">
        <is>
          <t>NÃO</t>
        </is>
      </c>
      <c r="O32" s="58" t="inlineStr">
        <is>
          <t>NÃO</t>
        </is>
      </c>
      <c r="P32" s="58" t="inlineStr">
        <is>
          <t>N/A</t>
        </is>
      </c>
      <c r="Q32" s="58" t="inlineStr">
        <is>
          <t>PERDA / NUTRIÇÃO</t>
        </is>
      </c>
      <c r="R32" s="58" t="inlineStr">
        <is>
          <t>PERDA / FECHOU LOJA</t>
        </is>
      </c>
      <c r="S32" s="58" t="inlineStr">
        <is>
          <t>SÓ QUER COMPRAR GRANEL</t>
        </is>
      </c>
      <c r="T32" s="71">
        <f>IF(R32="","",IF(OR(R32="SUPORTE",R32="PERDA / FECHOU LOJA"),"SEM",A32+VLOOKUP(R32,REGRAS!$B$2:$C$13,2,FALSE())))</f>
        <v/>
      </c>
      <c r="U32" s="58">
        <f>IF(R32="","",IF(R32="VENDA / PEDIDO","RECOMPRA",IF(R32="SUPORTE","PÓS-VENDA",IF(R32="RELACIONAMENTO","CS",IF(OR(R32="NÃO ATENDE",R32="NÃO RESPONDE",R32="RECUSOU LIGAÇÃO"),"REATIVAÇÃO",IF(R32="PERDA / FECHOU LOJA","NUTRIÇÃO",IF(OR(R32="FOLLOW UP 7",R32="FOLLOW UP 15"),"SALVAMENTO","PROSPECÇÃO")))))))</f>
        <v/>
      </c>
      <c r="V32" s="58" t="n"/>
      <c r="W32" s="58" t="inlineStr">
        <is>
          <t>NÃO</t>
        </is>
      </c>
      <c r="X32" s="58" t="n"/>
    </row>
    <row r="33">
      <c r="A33" s="71" t="n">
        <v>46063</v>
      </c>
      <c r="B33" s="58" t="inlineStr">
        <is>
          <t>DAIANE STAVICKI</t>
        </is>
      </c>
      <c r="C33" s="58" t="inlineStr">
        <is>
          <t>NUTRI SHOP 69</t>
        </is>
      </c>
      <c r="D33" s="58" t="inlineStr">
        <is>
          <t>79.919.717/3614-72</t>
        </is>
      </c>
      <c r="E33" s="58" t="inlineStr">
        <is>
          <t>PR</t>
        </is>
      </c>
      <c r="F33" s="58" t="inlineStr">
        <is>
          <t>FIT LAND</t>
        </is>
      </c>
      <c r="G33" s="58" t="inlineStr">
        <is>
          <t>ATIVO</t>
        </is>
      </c>
      <c r="H33" s="58" t="n">
        <v>26</v>
      </c>
      <c r="I33" s="58">
        <f>IF(R33="","",VLOOKUP(R33,REGRAS!$B$2:$D$13,3,FALSE()))</f>
        <v/>
      </c>
      <c r="J33" s="58" t="n"/>
      <c r="K33" s="58">
        <f>IF(R33="","",IF(R33="VENDA / PEDIDO","RECOMPRA",IF(R33="SUPORTE","PÓS-VENDA",IF(OR(R33="FOLLOW UP 7",R33="FOLLOW UP 15"),"SALVAMENTO",IF(R33="PERDA / FECHOU LOJA","NUTRIÇÃO",IF(R33="RELACIONAMENTO","CS",IF(OR(R33="ORÇAMENTO",R33="CADASTRO"),"PROSPECÇÃO",IF(R33="EM ATENDIMENTO","EM ATENDIMENTO",IF(OR(R33="NÃO ATENDE",R33="NÃO RESPONDE",R33="RECUSOU LIGAÇÃO"),"RECUPERAÇÃO","")))))))))</f>
        <v/>
      </c>
      <c r="L33" s="58">
        <f>IF(H33="","",IF(G33="PROSPECT","🟣",IF(G33="LEAD","🟣",IF(G33="NOVO","🟢",IF(H33&lt;=50,"🟢",IF(H33&lt;=90,"🟡","🔴"))))))</f>
        <v/>
      </c>
      <c r="M33" s="58" t="n"/>
      <c r="N33" s="58" t="inlineStr">
        <is>
          <t>NÃO</t>
        </is>
      </c>
      <c r="O33" s="58" t="inlineStr">
        <is>
          <t>NÃO</t>
        </is>
      </c>
      <c r="P33" s="58" t="inlineStr">
        <is>
          <t>N/A</t>
        </is>
      </c>
      <c r="Q33" s="58" t="inlineStr">
        <is>
          <t>ATEND. CLIENTES INATIVOS</t>
        </is>
      </c>
      <c r="R33" s="58" t="inlineStr">
        <is>
          <t>VENDA / PEDIDO</t>
        </is>
      </c>
      <c r="S33" s="58" t="n"/>
      <c r="T33" s="71">
        <f>IF(R33="","",IF(OR(R33="SUPORTE",R33="PERDA / FECHOU LOJA"),"SEM",A33+VLOOKUP(R33,REGRAS!$B$2:$C$13,2,FALSE())))</f>
        <v/>
      </c>
      <c r="U33" s="58">
        <f>IF(R33="","",IF(R33="VENDA / PEDIDO","RECOMPRA",IF(R33="SUPORTE","PÓS-VENDA",IF(R33="RELACIONAMENTO","CS",IF(OR(R33="NÃO ATENDE",R33="NÃO RESPONDE",R33="RECUSOU LIGAÇÃO"),"REATIVAÇÃO",IF(R33="PERDA / FECHOU LOJA","NUTRIÇÃO",IF(OR(R33="FOLLOW UP 7",R33="FOLLOW UP 15"),"SALVAMENTO","PROSPECÇÃO")))))))</f>
        <v/>
      </c>
      <c r="V33" s="58" t="n"/>
      <c r="W33" s="58" t="inlineStr">
        <is>
          <t>NÃO</t>
        </is>
      </c>
      <c r="X33" s="58" t="n"/>
    </row>
    <row r="34">
      <c r="A34" s="71" t="n">
        <v>46073</v>
      </c>
      <c r="B34" s="58" t="inlineStr">
        <is>
          <t>LARISSA PADILHA</t>
        </is>
      </c>
      <c r="C34" s="58" t="inlineStr">
        <is>
          <t>TUDO GRÃOS SC 76</t>
        </is>
      </c>
      <c r="D34" s="58" t="inlineStr">
        <is>
          <t>82.778.127/1376-92</t>
        </is>
      </c>
      <c r="E34" s="58" t="inlineStr">
        <is>
          <t>RS</t>
        </is>
      </c>
      <c r="F34" s="58" t="inlineStr">
        <is>
          <t>DEMAIS CLIENTES</t>
        </is>
      </c>
      <c r="G34" s="58" t="inlineStr">
        <is>
          <t>ATIVO</t>
        </is>
      </c>
      <c r="H34" s="58" t="n">
        <v>21</v>
      </c>
      <c r="I34" s="58">
        <f>IF(R34="","",VLOOKUP(R34,REGRAS!$B$2:$D$13,3,FALSE()))</f>
        <v/>
      </c>
      <c r="J34" s="58" t="n"/>
      <c r="K34" s="58">
        <f>IF(R34="","",IF(R34="VENDA / PEDIDO","RECOMPRA",IF(R34="SUPORTE","PÓS-VENDA",IF(OR(R34="FOLLOW UP 7",R34="FOLLOW UP 15"),"SALVAMENTO",IF(R34="PERDA / FECHOU LOJA","NUTRIÇÃO",IF(R34="RELACIONAMENTO","CS",IF(OR(R34="ORÇAMENTO",R34="CADASTRO"),"PROSPECÇÃO",IF(R34="EM ATENDIMENTO","EM ATENDIMENTO",IF(OR(R34="NÃO ATENDE",R34="NÃO RESPONDE",R34="RECUSOU LIGAÇÃO"),"RECUPERAÇÃO","")))))))))</f>
        <v/>
      </c>
      <c r="L34" s="58">
        <f>IF(H34="","",IF(G34="PROSPECT","🟣",IF(G34="LEAD","🟣",IF(G34="NOVO","🟢",IF(H34&lt;=50,"🟢",IF(H34&lt;=90,"🟡","🔴"))))))</f>
        <v/>
      </c>
      <c r="M34" s="58" t="n"/>
      <c r="N34" s="58" t="inlineStr">
        <is>
          <t>SIM</t>
        </is>
      </c>
      <c r="O34" s="58" t="inlineStr">
        <is>
          <t>NÃO</t>
        </is>
      </c>
      <c r="P34" s="58" t="inlineStr">
        <is>
          <t>N/A</t>
        </is>
      </c>
      <c r="Q34" s="58" t="inlineStr">
        <is>
          <t>ATEND. CLIENTES ATIVOS</t>
        </is>
      </c>
      <c r="R34" s="58" t="inlineStr">
        <is>
          <t>ORÇAMENTO</t>
        </is>
      </c>
      <c r="S34" s="58" t="n"/>
      <c r="T34" s="71">
        <f>IF(R34="","",IF(OR(R34="SUPORTE",R34="PERDA / FECHOU LOJA"),"SEM",A34+VLOOKUP(R34,REGRAS!$B$2:$C$13,2,FALSE())))</f>
        <v/>
      </c>
      <c r="U34" s="58">
        <f>IF(R34="","",IF(R34="VENDA / PEDIDO","RECOMPRA",IF(R34="SUPORTE","PÓS-VENDA",IF(R34="RELACIONAMENTO","CS",IF(OR(R34="NÃO ATENDE",R34="NÃO RESPONDE",R34="RECUSOU LIGAÇÃO"),"REATIVAÇÃO",IF(R34="PERDA / FECHOU LOJA","NUTRIÇÃO",IF(OR(R34="FOLLOW UP 7",R34="FOLLOW UP 15"),"SALVAMENTO","PROSPECÇÃO")))))))</f>
        <v/>
      </c>
      <c r="V34" s="58" t="n"/>
      <c r="W34" s="58" t="inlineStr">
        <is>
          <t>SIM</t>
        </is>
      </c>
      <c r="X34" s="58" t="n"/>
    </row>
    <row r="35">
      <c r="A35" s="71" t="n">
        <v>46078</v>
      </c>
      <c r="B35" s="58" t="inlineStr">
        <is>
          <t>DAIANE STAVICKI</t>
        </is>
      </c>
      <c r="C35" s="58" t="inlineStr">
        <is>
          <t>NUTRI SHOP 33</t>
        </is>
      </c>
      <c r="D35" s="58" t="inlineStr">
        <is>
          <t>20.581.119/8838-16</t>
        </is>
      </c>
      <c r="E35" s="58" t="inlineStr">
        <is>
          <t>CE</t>
        </is>
      </c>
      <c r="F35" s="58" t="inlineStr">
        <is>
          <t>CIA DA SAUDE</t>
        </is>
      </c>
      <c r="G35" s="58" t="inlineStr">
        <is>
          <t>INAT.ANT</t>
        </is>
      </c>
      <c r="H35" s="58" t="n">
        <v>290</v>
      </c>
      <c r="I35" s="58">
        <f>IF(R35="","",VLOOKUP(R35,REGRAS!$B$2:$D$13,3,FALSE()))</f>
        <v/>
      </c>
      <c r="J35" s="58" t="n"/>
      <c r="K35" s="58">
        <f>IF(R35="","",IF(R35="VENDA / PEDIDO","RECOMPRA",IF(R35="SUPORTE","PÓS-VENDA",IF(OR(R35="FOLLOW UP 7",R35="FOLLOW UP 15"),"SALVAMENTO",IF(R35="PERDA / FECHOU LOJA","NUTRIÇÃO",IF(R35="RELACIONAMENTO","CS",IF(OR(R35="ORÇAMENTO",R35="CADASTRO"),"PROSPECÇÃO",IF(R35="EM ATENDIMENTO","EM ATENDIMENTO",IF(OR(R35="NÃO ATENDE",R35="NÃO RESPONDE",R35="RECUSOU LIGAÇÃO"),"RECUPERAÇÃO","")))))))))</f>
        <v/>
      </c>
      <c r="L35" s="58">
        <f>IF(H35="","",IF(G35="PROSPECT","🟣",IF(G35="LEAD","🟣",IF(G35="NOVO","🟢",IF(H35&lt;=50,"🟢",IF(H35&lt;=90,"🟡","🔴"))))))</f>
        <v/>
      </c>
      <c r="M35" s="58" t="n"/>
      <c r="N35" s="58" t="inlineStr">
        <is>
          <t>SIM</t>
        </is>
      </c>
      <c r="O35" s="58" t="inlineStr">
        <is>
          <t>SIM</t>
        </is>
      </c>
      <c r="P35" s="58" t="inlineStr">
        <is>
          <t>NÃO</t>
        </is>
      </c>
      <c r="Q35" s="58" t="inlineStr">
        <is>
          <t>PERDA / NUTRIÇÃO</t>
        </is>
      </c>
      <c r="R35" s="58" t="inlineStr">
        <is>
          <t>PERDA / FECHOU LOJA</t>
        </is>
      </c>
      <c r="S35" s="58" t="inlineStr">
        <is>
          <t>PROBLEMA LOGÍSTICO / ENTREGA</t>
        </is>
      </c>
      <c r="T35" s="71">
        <f>IF(R35="","",IF(OR(R35="SUPORTE",R35="PERDA / FECHOU LOJA"),"SEM",A35+VLOOKUP(R35,REGRAS!$B$2:$C$13,2,FALSE())))</f>
        <v/>
      </c>
      <c r="U35" s="58">
        <f>IF(R35="","",IF(R35="VENDA / PEDIDO","RECOMPRA",IF(R35="SUPORTE","PÓS-VENDA",IF(R35="RELACIONAMENTO","CS",IF(OR(R35="NÃO ATENDE",R35="NÃO RESPONDE",R35="RECUSOU LIGAÇÃO"),"REATIVAÇÃO",IF(R35="PERDA / FECHOU LOJA","NUTRIÇÃO",IF(OR(R35="FOLLOW UP 7",R35="FOLLOW UP 15"),"SALVAMENTO","PROSPECÇÃO")))))))</f>
        <v/>
      </c>
      <c r="V35" s="58" t="n"/>
      <c r="W35" s="58" t="inlineStr">
        <is>
          <t>SIM</t>
        </is>
      </c>
      <c r="X35" s="58" t="n"/>
    </row>
    <row r="36">
      <c r="A36" s="71" t="n">
        <v>46069</v>
      </c>
      <c r="B36" s="58" t="inlineStr">
        <is>
          <t>JULIO GADRET</t>
        </is>
      </c>
      <c r="C36" s="58" t="inlineStr">
        <is>
          <t>PURA VIDA 28</t>
        </is>
      </c>
      <c r="D36" s="58" t="inlineStr">
        <is>
          <t>69.816.362/6044-31</t>
        </is>
      </c>
      <c r="E36" s="58" t="inlineStr">
        <is>
          <t>SP</t>
        </is>
      </c>
      <c r="F36" s="58" t="inlineStr">
        <is>
          <t>DEMAIS CLIENTES</t>
        </is>
      </c>
      <c r="G36" s="58" t="inlineStr">
        <is>
          <t>INAT.ANT</t>
        </is>
      </c>
      <c r="H36" s="58" t="n">
        <v>290</v>
      </c>
      <c r="I36" s="58">
        <f>IF(R36="","",VLOOKUP(R36,REGRAS!$B$2:$D$13,3,FALSE()))</f>
        <v/>
      </c>
      <c r="J36" s="58" t="n"/>
      <c r="K36" s="58">
        <f>IF(R36="","",IF(R36="VENDA / PEDIDO","RECOMPRA",IF(R36="SUPORTE","PÓS-VENDA",IF(OR(R36="FOLLOW UP 7",R36="FOLLOW UP 15"),"SALVAMENTO",IF(R36="PERDA / FECHOU LOJA","NUTRIÇÃO",IF(R36="RELACIONAMENTO","CS",IF(OR(R36="ORÇAMENTO",R36="CADASTRO"),"PROSPECÇÃO",IF(R36="EM ATENDIMENTO","EM ATENDIMENTO",IF(OR(R36="NÃO ATENDE",R36="NÃO RESPONDE",R36="RECUSOU LIGAÇÃO"),"RECUPERAÇÃO","")))))))))</f>
        <v/>
      </c>
      <c r="L36" s="58">
        <f>IF(H36="","",IF(G36="PROSPECT","🟣",IF(G36="LEAD","🟣",IF(G36="NOVO","🟢",IF(H36&lt;=50,"🟢",IF(H36&lt;=90,"🟡","🔴"))))))</f>
        <v/>
      </c>
      <c r="M36" s="58" t="n"/>
      <c r="N36" s="58" t="inlineStr">
        <is>
          <t>SIM</t>
        </is>
      </c>
      <c r="O36" s="58" t="inlineStr">
        <is>
          <t>SIM</t>
        </is>
      </c>
      <c r="P36" s="58" t="inlineStr">
        <is>
          <t>SIM</t>
        </is>
      </c>
      <c r="Q36" s="58" t="inlineStr">
        <is>
          <t>PÓS-VENDA / RELACIONAMENTO</t>
        </is>
      </c>
      <c r="R36" s="58" t="inlineStr">
        <is>
          <t>ORÇAMENTO</t>
        </is>
      </c>
      <c r="S36" s="58" t="n"/>
      <c r="T36" s="71">
        <f>IF(R36="","",IF(OR(R36="SUPORTE",R36="PERDA / FECHOU LOJA"),"SEM",A36+VLOOKUP(R36,REGRAS!$B$2:$C$13,2,FALSE())))</f>
        <v/>
      </c>
      <c r="U36" s="58">
        <f>IF(R36="","",IF(R36="VENDA / PEDIDO","RECOMPRA",IF(R36="SUPORTE","PÓS-VENDA",IF(R36="RELACIONAMENTO","CS",IF(OR(R36="NÃO ATENDE",R36="NÃO RESPONDE",R36="RECUSOU LIGAÇÃO"),"REATIVAÇÃO",IF(R36="PERDA / FECHOU LOJA","NUTRIÇÃO",IF(OR(R36="FOLLOW UP 7",R36="FOLLOW UP 15"),"SALVAMENTO","PROSPECÇÃO")))))))</f>
        <v/>
      </c>
      <c r="V36" s="58" t="n"/>
      <c r="W36" s="58" t="inlineStr">
        <is>
          <t>NÃO</t>
        </is>
      </c>
      <c r="X36" s="58" t="n"/>
    </row>
    <row r="37">
      <c r="A37" s="71" t="n">
        <v>46066</v>
      </c>
      <c r="B37" s="58" t="inlineStr">
        <is>
          <t>LARISSA PADILHA</t>
        </is>
      </c>
      <c r="C37" s="58" t="inlineStr">
        <is>
          <t>CIA SAUDE SP 10</t>
        </is>
      </c>
      <c r="D37" s="58" t="inlineStr">
        <is>
          <t>85.807.950/3979-23</t>
        </is>
      </c>
      <c r="E37" s="58" t="inlineStr">
        <is>
          <t>SP</t>
        </is>
      </c>
      <c r="F37" s="58" t="inlineStr">
        <is>
          <t>CIA DA SAUDE</t>
        </is>
      </c>
      <c r="G37" s="58" t="inlineStr">
        <is>
          <t>INAT.ANT</t>
        </is>
      </c>
      <c r="H37" s="58" t="n">
        <v>297</v>
      </c>
      <c r="I37" s="58">
        <f>IF(R37="","",VLOOKUP(R37,REGRAS!$B$2:$D$13,3,FALSE()))</f>
        <v/>
      </c>
      <c r="J37" s="58" t="n"/>
      <c r="K37" s="58">
        <f>IF(R37="","",IF(R37="VENDA / PEDIDO","RECOMPRA",IF(R37="SUPORTE","PÓS-VENDA",IF(OR(R37="FOLLOW UP 7",R37="FOLLOW UP 15"),"SALVAMENTO",IF(R37="PERDA / FECHOU LOJA","NUTRIÇÃO",IF(R37="RELACIONAMENTO","CS",IF(OR(R37="ORÇAMENTO",R37="CADASTRO"),"PROSPECÇÃO",IF(R37="EM ATENDIMENTO","EM ATENDIMENTO",IF(OR(R37="NÃO ATENDE",R37="NÃO RESPONDE",R37="RECUSOU LIGAÇÃO"),"RECUPERAÇÃO","")))))))))</f>
        <v/>
      </c>
      <c r="L37" s="58">
        <f>IF(H37="","",IF(G37="PROSPECT","🟣",IF(G37="LEAD","🟣",IF(G37="NOVO","🟢",IF(H37&lt;=50,"🟢",IF(H37&lt;=90,"🟡","🔴"))))))</f>
        <v/>
      </c>
      <c r="M37" s="58" t="n"/>
      <c r="N37" s="58" t="inlineStr">
        <is>
          <t>NÃO</t>
        </is>
      </c>
      <c r="O37" s="58" t="inlineStr">
        <is>
          <t>SIM</t>
        </is>
      </c>
      <c r="P37" s="58" t="inlineStr">
        <is>
          <t>SIM</t>
        </is>
      </c>
      <c r="Q37" s="58" t="inlineStr">
        <is>
          <t>PROSPECÇÃO</t>
        </is>
      </c>
      <c r="R37" s="58" t="inlineStr">
        <is>
          <t>RELACIONAMENTO</t>
        </is>
      </c>
      <c r="S37" s="58" t="n"/>
      <c r="T37" s="71">
        <f>IF(R37="","",IF(OR(R37="SUPORTE",R37="PERDA / FECHOU LOJA"),"SEM",A37+VLOOKUP(R37,REGRAS!$B$2:$C$13,2,FALSE())))</f>
        <v/>
      </c>
      <c r="U37" s="58">
        <f>IF(R37="","",IF(R37="VENDA / PEDIDO","RECOMPRA",IF(R37="SUPORTE","PÓS-VENDA",IF(R37="RELACIONAMENTO","CS",IF(OR(R37="NÃO ATENDE",R37="NÃO RESPONDE",R37="RECUSOU LIGAÇÃO"),"REATIVAÇÃO",IF(R37="PERDA / FECHOU LOJA","NUTRIÇÃO",IF(OR(R37="FOLLOW UP 7",R37="FOLLOW UP 15"),"SALVAMENTO","PROSPECÇÃO")))))))</f>
        <v/>
      </c>
      <c r="V37" s="58" t="n"/>
      <c r="W37" s="58" t="inlineStr">
        <is>
          <t>SIM</t>
        </is>
      </c>
      <c r="X37" s="58" t="n"/>
    </row>
    <row r="38">
      <c r="A38" s="71" t="n">
        <v>46070</v>
      </c>
      <c r="B38" s="58" t="inlineStr">
        <is>
          <t>JULIO GADRET</t>
        </is>
      </c>
      <c r="C38" s="58" t="inlineStr">
        <is>
          <t>NUTRI VIDA 54</t>
        </is>
      </c>
      <c r="D38" s="58" t="inlineStr">
        <is>
          <t>72.208.543/5935-91</t>
        </is>
      </c>
      <c r="E38" s="58" t="inlineStr">
        <is>
          <t>BA</t>
        </is>
      </c>
      <c r="F38" s="58" t="inlineStr">
        <is>
          <t>DIVINA TERRA</t>
        </is>
      </c>
      <c r="G38" s="58" t="inlineStr">
        <is>
          <t>ATIVO</t>
        </is>
      </c>
      <c r="H38" s="58" t="n">
        <v>16</v>
      </c>
      <c r="I38" s="58">
        <f>IF(R38="","",VLOOKUP(R38,REGRAS!$B$2:$D$13,3,FALSE()))</f>
        <v/>
      </c>
      <c r="J38" s="58" t="n"/>
      <c r="K38" s="58">
        <f>IF(R38="","",IF(R38="VENDA / PEDIDO","RECOMPRA",IF(R38="SUPORTE","PÓS-VENDA",IF(OR(R38="FOLLOW UP 7",R38="FOLLOW UP 15"),"SALVAMENTO",IF(R38="PERDA / FECHOU LOJA","NUTRIÇÃO",IF(R38="RELACIONAMENTO","CS",IF(OR(R38="ORÇAMENTO",R38="CADASTRO"),"PROSPECÇÃO",IF(R38="EM ATENDIMENTO","EM ATENDIMENTO",IF(OR(R38="NÃO ATENDE",R38="NÃO RESPONDE",R38="RECUSOU LIGAÇÃO"),"RECUPERAÇÃO","")))))))))</f>
        <v/>
      </c>
      <c r="L38" s="58">
        <f>IF(H38="","",IF(G38="PROSPECT","🟣",IF(G38="LEAD","🟣",IF(G38="NOVO","🟢",IF(H38&lt;=50,"🟢",IF(H38&lt;=90,"🟡","🔴"))))))</f>
        <v/>
      </c>
      <c r="M38" s="58" t="n"/>
      <c r="N38" s="58" t="inlineStr">
        <is>
          <t>SIM</t>
        </is>
      </c>
      <c r="O38" s="58" t="inlineStr">
        <is>
          <t>NÃO</t>
        </is>
      </c>
      <c r="P38" s="58" t="inlineStr">
        <is>
          <t>N/A</t>
        </is>
      </c>
      <c r="Q38" s="58" t="inlineStr">
        <is>
          <t>ATEND. CLIENTES INATIVOS</t>
        </is>
      </c>
      <c r="R38" s="58" t="inlineStr">
        <is>
          <t>FOLLOW UP 15</t>
        </is>
      </c>
      <c r="S38" s="58" t="inlineStr">
        <is>
          <t>PROBLEMA LOGÍSTICO / ENTREGA</t>
        </is>
      </c>
      <c r="T38" s="71">
        <f>IF(R38="","",IF(OR(R38="SUPORTE",R38="PERDA / FECHOU LOJA"),"SEM",A38+VLOOKUP(R38,REGRAS!$B$2:$C$13,2,FALSE())))</f>
        <v/>
      </c>
      <c r="U38" s="58">
        <f>IF(R38="","",IF(R38="VENDA / PEDIDO","RECOMPRA",IF(R38="SUPORTE","PÓS-VENDA",IF(R38="RELACIONAMENTO","CS",IF(OR(R38="NÃO ATENDE",R38="NÃO RESPONDE",R38="RECUSOU LIGAÇÃO"),"REATIVAÇÃO",IF(R38="PERDA / FECHOU LOJA","NUTRIÇÃO",IF(OR(R38="FOLLOW UP 7",R38="FOLLOW UP 15"),"SALVAMENTO","PROSPECÇÃO")))))))</f>
        <v/>
      </c>
      <c r="V38" s="58" t="n"/>
      <c r="W38" s="58" t="inlineStr">
        <is>
          <t>SIM</t>
        </is>
      </c>
      <c r="X38" s="58" t="n"/>
    </row>
    <row r="39">
      <c r="A39" s="71" t="n">
        <v>46067</v>
      </c>
      <c r="B39" s="58" t="inlineStr">
        <is>
          <t>DAIANE STAVICKI</t>
        </is>
      </c>
      <c r="C39" s="58" t="inlineStr">
        <is>
          <t>VERDE ESSENCE 35</t>
        </is>
      </c>
      <c r="D39" s="58" t="inlineStr">
        <is>
          <t>51.972.351/1420-45</t>
        </is>
      </c>
      <c r="E39" s="58" t="inlineStr">
        <is>
          <t>BA</t>
        </is>
      </c>
      <c r="F39" s="58" t="inlineStr">
        <is>
          <t>BIOMUNDO</t>
        </is>
      </c>
      <c r="G39" s="58" t="inlineStr">
        <is>
          <t>EM RISCO</t>
        </is>
      </c>
      <c r="H39" s="58" t="n">
        <v>60</v>
      </c>
      <c r="I39" s="58">
        <f>IF(R39="","",VLOOKUP(R39,REGRAS!$B$2:$D$13,3,FALSE()))</f>
        <v/>
      </c>
      <c r="J39" s="58" t="n"/>
      <c r="K39" s="58">
        <f>IF(R39="","",IF(R39="VENDA / PEDIDO","RECOMPRA",IF(R39="SUPORTE","PÓS-VENDA",IF(OR(R39="FOLLOW UP 7",R39="FOLLOW UP 15"),"SALVAMENTO",IF(R39="PERDA / FECHOU LOJA","NUTRIÇÃO",IF(R39="RELACIONAMENTO","CS",IF(OR(R39="ORÇAMENTO",R39="CADASTRO"),"PROSPECÇÃO",IF(R39="EM ATENDIMENTO","EM ATENDIMENTO",IF(OR(R39="NÃO ATENDE",R39="NÃO RESPONDE",R39="RECUSOU LIGAÇÃO"),"RECUPERAÇÃO","")))))))))</f>
        <v/>
      </c>
      <c r="L39" s="58">
        <f>IF(H39="","",IF(G39="PROSPECT","🟣",IF(G39="LEAD","🟣",IF(G39="NOVO","🟢",IF(H39&lt;=50,"🟢",IF(H39&lt;=90,"🟡","🔴"))))))</f>
        <v/>
      </c>
      <c r="M39" s="58" t="n"/>
      <c r="N39" s="58" t="inlineStr">
        <is>
          <t>SIM</t>
        </is>
      </c>
      <c r="O39" s="58" t="inlineStr">
        <is>
          <t>SIM</t>
        </is>
      </c>
      <c r="P39" s="58" t="inlineStr">
        <is>
          <t>SIM</t>
        </is>
      </c>
      <c r="Q39" s="58" t="inlineStr">
        <is>
          <t>ATEND. CLIENTES INATIVOS</t>
        </is>
      </c>
      <c r="R39" s="58" t="inlineStr">
        <is>
          <t>NÃO ATENDE</t>
        </is>
      </c>
      <c r="S39" s="58" t="inlineStr">
        <is>
          <t>PRODUTO NÃO VENDEU / SEM GIRO</t>
        </is>
      </c>
      <c r="T39" s="71">
        <f>IF(R39="","",IF(OR(R39="SUPORTE",R39="PERDA / FECHOU LOJA"),"SEM",A39+VLOOKUP(R39,REGRAS!$B$2:$C$13,2,FALSE())))</f>
        <v/>
      </c>
      <c r="U39" s="58">
        <f>IF(R39="","",IF(R39="VENDA / PEDIDO","RECOMPRA",IF(R39="SUPORTE","PÓS-VENDA",IF(R39="RELACIONAMENTO","CS",IF(OR(R39="NÃO ATENDE",R39="NÃO RESPONDE",R39="RECUSOU LIGAÇÃO"),"REATIVAÇÃO",IF(R39="PERDA / FECHOU LOJA","NUTRIÇÃO",IF(OR(R39="FOLLOW UP 7",R39="FOLLOW UP 15"),"SALVAMENTO","PROSPECÇÃO")))))))</f>
        <v/>
      </c>
      <c r="V39" s="58" t="n"/>
      <c r="W39" s="58" t="inlineStr">
        <is>
          <t>SIM</t>
        </is>
      </c>
      <c r="X39" s="58" t="n"/>
    </row>
    <row r="40">
      <c r="A40" s="71" t="n">
        <v>46062</v>
      </c>
      <c r="B40" s="58" t="inlineStr">
        <is>
          <t>DAIANE STAVICKI</t>
        </is>
      </c>
      <c r="C40" s="58" t="inlineStr">
        <is>
          <t>NATUR LIFE 72</t>
        </is>
      </c>
      <c r="D40" s="58" t="inlineStr">
        <is>
          <t>11.629.295/1403-40</t>
        </is>
      </c>
      <c r="E40" s="58" t="inlineStr">
        <is>
          <t>RJ</t>
        </is>
      </c>
      <c r="F40" s="58" t="inlineStr">
        <is>
          <t>DIVINA TERRA</t>
        </is>
      </c>
      <c r="G40" s="58" t="inlineStr">
        <is>
          <t>INAT.ANT</t>
        </is>
      </c>
      <c r="H40" s="58" t="n">
        <v>267</v>
      </c>
      <c r="I40" s="58">
        <f>IF(R40="","",VLOOKUP(R40,REGRAS!$B$2:$D$13,3,FALSE()))</f>
        <v/>
      </c>
      <c r="J40" s="58" t="n"/>
      <c r="K40" s="58">
        <f>IF(R40="","",IF(R40="VENDA / PEDIDO","RECOMPRA",IF(R40="SUPORTE","PÓS-VENDA",IF(OR(R40="FOLLOW UP 7",R40="FOLLOW UP 15"),"SALVAMENTO",IF(R40="PERDA / FECHOU LOJA","NUTRIÇÃO",IF(R40="RELACIONAMENTO","CS",IF(OR(R40="ORÇAMENTO",R40="CADASTRO"),"PROSPECÇÃO",IF(R40="EM ATENDIMENTO","EM ATENDIMENTO",IF(OR(R40="NÃO ATENDE",R40="NÃO RESPONDE",R40="RECUSOU LIGAÇÃO"),"RECUPERAÇÃO","")))))))))</f>
        <v/>
      </c>
      <c r="L40" s="58">
        <f>IF(H40="","",IF(G40="PROSPECT","🟣",IF(G40="LEAD","🟣",IF(G40="NOVO","🟢",IF(H40&lt;=50,"🟢",IF(H40&lt;=90,"🟡","🔴"))))))</f>
        <v/>
      </c>
      <c r="M40" s="58" t="n"/>
      <c r="N40" s="58" t="inlineStr">
        <is>
          <t>SIM</t>
        </is>
      </c>
      <c r="O40" s="58" t="inlineStr">
        <is>
          <t>SIM</t>
        </is>
      </c>
      <c r="P40" s="58" t="inlineStr">
        <is>
          <t>SIM</t>
        </is>
      </c>
      <c r="Q40" s="58" t="inlineStr">
        <is>
          <t>ATEND. CLIENTES ATIVOS</t>
        </is>
      </c>
      <c r="R40" s="58" t="inlineStr">
        <is>
          <t>SUPORTE</t>
        </is>
      </c>
      <c r="S40" s="58" t="n"/>
      <c r="T40" s="71">
        <f>IF(R40="","",IF(OR(R40="SUPORTE",R40="PERDA / FECHOU LOJA"),"SEM",A40+VLOOKUP(R40,REGRAS!$B$2:$C$13,2,FALSE())))</f>
        <v/>
      </c>
      <c r="U40" s="58">
        <f>IF(R40="","",IF(R40="VENDA / PEDIDO","RECOMPRA",IF(R40="SUPORTE","PÓS-VENDA",IF(R40="RELACIONAMENTO","CS",IF(OR(R40="NÃO ATENDE",R40="NÃO RESPONDE",R40="RECUSOU LIGAÇÃO"),"REATIVAÇÃO",IF(R40="PERDA / FECHOU LOJA","NUTRIÇÃO",IF(OR(R40="FOLLOW UP 7",R40="FOLLOW UP 15"),"SALVAMENTO","PROSPECÇÃO")))))))</f>
        <v/>
      </c>
      <c r="V40" s="58" t="n"/>
      <c r="W40" s="58" t="inlineStr">
        <is>
          <t>SIM</t>
        </is>
      </c>
      <c r="X40" s="58" t="n"/>
    </row>
    <row r="41">
      <c r="A41" s="71" t="n">
        <v>46061</v>
      </c>
      <c r="B41" s="58" t="inlineStr">
        <is>
          <t>MANU DITZEL</t>
        </is>
      </c>
      <c r="C41" s="58" t="inlineStr">
        <is>
          <t>VERDE ESSENCE 48</t>
        </is>
      </c>
      <c r="D41" s="58" t="inlineStr">
        <is>
          <t>70.666.643/5633-64</t>
        </is>
      </c>
      <c r="E41" s="58" t="inlineStr">
        <is>
          <t>CE</t>
        </is>
      </c>
      <c r="F41" s="58" t="inlineStr">
        <is>
          <t>VIDA LEVE</t>
        </is>
      </c>
      <c r="G41" s="58" t="inlineStr">
        <is>
          <t>EM RISCO</t>
        </is>
      </c>
      <c r="H41" s="58" t="n">
        <v>58</v>
      </c>
      <c r="I41" s="58">
        <f>IF(R41="","",VLOOKUP(R41,REGRAS!$B$2:$D$13,3,FALSE()))</f>
        <v/>
      </c>
      <c r="J41" s="58" t="n"/>
      <c r="K41" s="58">
        <f>IF(R41="","",IF(R41="VENDA / PEDIDO","RECOMPRA",IF(R41="SUPORTE","PÓS-VENDA",IF(OR(R41="FOLLOW UP 7",R41="FOLLOW UP 15"),"SALVAMENTO",IF(R41="PERDA / FECHOU LOJA","NUTRIÇÃO",IF(R41="RELACIONAMENTO","CS",IF(OR(R41="ORÇAMENTO",R41="CADASTRO"),"PROSPECÇÃO",IF(R41="EM ATENDIMENTO","EM ATENDIMENTO",IF(OR(R41="NÃO ATENDE",R41="NÃO RESPONDE",R41="RECUSOU LIGAÇÃO"),"RECUPERAÇÃO","")))))))))</f>
        <v/>
      </c>
      <c r="L41" s="58">
        <f>IF(H41="","",IF(G41="PROSPECT","🟣",IF(G41="LEAD","🟣",IF(G41="NOVO","🟢",IF(H41&lt;=50,"🟢",IF(H41&lt;=90,"🟡","🔴"))))))</f>
        <v/>
      </c>
      <c r="M41" s="58" t="n"/>
      <c r="N41" s="58" t="inlineStr">
        <is>
          <t>SIM</t>
        </is>
      </c>
      <c r="O41" s="58" t="inlineStr">
        <is>
          <t>SIM</t>
        </is>
      </c>
      <c r="P41" s="58" t="inlineStr">
        <is>
          <t>SIM</t>
        </is>
      </c>
      <c r="Q41" s="58" t="inlineStr">
        <is>
          <t>FOLLOW UP</t>
        </is>
      </c>
      <c r="R41" s="58" t="inlineStr">
        <is>
          <t>ORÇAMENTO</t>
        </is>
      </c>
      <c r="S41" s="58" t="n"/>
      <c r="T41" s="71">
        <f>IF(R41="","",IF(OR(R41="SUPORTE",R41="PERDA / FECHOU LOJA"),"SEM",A41+VLOOKUP(R41,REGRAS!$B$2:$C$13,2,FALSE())))</f>
        <v/>
      </c>
      <c r="U41" s="58">
        <f>IF(R41="","",IF(R41="VENDA / PEDIDO","RECOMPRA",IF(R41="SUPORTE","PÓS-VENDA",IF(R41="RELACIONAMENTO","CS",IF(OR(R41="NÃO ATENDE",R41="NÃO RESPONDE",R41="RECUSOU LIGAÇÃO"),"REATIVAÇÃO",IF(R41="PERDA / FECHOU LOJA","NUTRIÇÃO",IF(OR(R41="FOLLOW UP 7",R41="FOLLOW UP 15"),"SALVAMENTO","PROSPECÇÃO")))))))</f>
        <v/>
      </c>
      <c r="V41" s="58" t="n"/>
      <c r="W41" s="58" t="inlineStr">
        <is>
          <t>SIM</t>
        </is>
      </c>
      <c r="X41" s="58" t="n"/>
    </row>
    <row r="42">
      <c r="A42" s="71" t="n">
        <v>46078</v>
      </c>
      <c r="B42" s="58" t="inlineStr">
        <is>
          <t>JULIO GADRET</t>
        </is>
      </c>
      <c r="C42" s="58" t="inlineStr">
        <is>
          <t>CIA SAUDE SP 28</t>
        </is>
      </c>
      <c r="D42" s="58" t="inlineStr">
        <is>
          <t>71.383.841/9660-77</t>
        </is>
      </c>
      <c r="E42" s="58" t="inlineStr">
        <is>
          <t>SP</t>
        </is>
      </c>
      <c r="F42" s="58" t="inlineStr">
        <is>
          <t>DEMAIS CLIENTES</t>
        </is>
      </c>
      <c r="G42" s="58" t="inlineStr">
        <is>
          <t>NOVO</t>
        </is>
      </c>
      <c r="H42" s="58" t="n"/>
      <c r="I42" s="58">
        <f>IF(R42="","",VLOOKUP(R42,REGRAS!$B$2:$D$13,3,FALSE()))</f>
        <v/>
      </c>
      <c r="J42" s="58" t="n"/>
      <c r="K42" s="58">
        <f>IF(R42="","",IF(R42="VENDA / PEDIDO","RECOMPRA",IF(R42="SUPORTE","PÓS-VENDA",IF(OR(R42="FOLLOW UP 7",R42="FOLLOW UP 15"),"SALVAMENTO",IF(R42="PERDA / FECHOU LOJA","NUTRIÇÃO",IF(R42="RELACIONAMENTO","CS",IF(OR(R42="ORÇAMENTO",R42="CADASTRO"),"PROSPECÇÃO",IF(R42="EM ATENDIMENTO","EM ATENDIMENTO",IF(OR(R42="NÃO ATENDE",R42="NÃO RESPONDE",R42="RECUSOU LIGAÇÃO"),"RECUPERAÇÃO","")))))))))</f>
        <v/>
      </c>
      <c r="L42" s="58">
        <f>IF(H42="","",IF(G42="PROSPECT","🟣",IF(G42="LEAD","🟣",IF(G42="NOVO","🟢",IF(H42&lt;=50,"🟢",IF(H42&lt;=90,"🟡","🔴"))))))</f>
        <v/>
      </c>
      <c r="M42" s="58" t="n"/>
      <c r="N42" s="58" t="inlineStr">
        <is>
          <t>SIM</t>
        </is>
      </c>
      <c r="O42" s="58" t="inlineStr">
        <is>
          <t>NÃO</t>
        </is>
      </c>
      <c r="P42" s="58" t="inlineStr">
        <is>
          <t>N/A</t>
        </is>
      </c>
      <c r="Q42" s="58" t="inlineStr">
        <is>
          <t>FOLLOW UP</t>
        </is>
      </c>
      <c r="R42" s="58" t="inlineStr">
        <is>
          <t>VENDA / PEDIDO</t>
        </is>
      </c>
      <c r="S42" s="58" t="n"/>
      <c r="T42" s="71">
        <f>IF(R42="","",IF(OR(R42="SUPORTE",R42="PERDA / FECHOU LOJA"),"SEM",A42+VLOOKUP(R42,REGRAS!$B$2:$C$13,2,FALSE())))</f>
        <v/>
      </c>
      <c r="U42" s="58">
        <f>IF(R42="","",IF(R42="VENDA / PEDIDO","RECOMPRA",IF(R42="SUPORTE","PÓS-VENDA",IF(R42="RELACIONAMENTO","CS",IF(OR(R42="NÃO ATENDE",R42="NÃO RESPONDE",R42="RECUSOU LIGAÇÃO"),"REATIVAÇÃO",IF(R42="PERDA / FECHOU LOJA","NUTRIÇÃO",IF(OR(R42="FOLLOW UP 7",R42="FOLLOW UP 15"),"SALVAMENTO","PROSPECÇÃO")))))))</f>
        <v/>
      </c>
      <c r="V42" s="58" t="n"/>
      <c r="W42" s="58" t="inlineStr">
        <is>
          <t>SIM</t>
        </is>
      </c>
      <c r="X42" s="58" t="n"/>
    </row>
    <row r="43">
      <c r="A43" s="71" t="n">
        <v>46055</v>
      </c>
      <c r="B43" s="58" t="inlineStr">
        <is>
          <t>DAIANE STAVICKI</t>
        </is>
      </c>
      <c r="C43" s="58" t="inlineStr">
        <is>
          <t>ESSENCE FOOD 38</t>
        </is>
      </c>
      <c r="D43" s="58" t="inlineStr">
        <is>
          <t>99.229.753/8043-23</t>
        </is>
      </c>
      <c r="E43" s="58" t="inlineStr">
        <is>
          <t>BA</t>
        </is>
      </c>
      <c r="F43" s="58" t="inlineStr">
        <is>
          <t>VIDA LEVE</t>
        </is>
      </c>
      <c r="G43" s="58" t="inlineStr">
        <is>
          <t>EM RISCO</t>
        </is>
      </c>
      <c r="H43" s="58" t="n">
        <v>58</v>
      </c>
      <c r="I43" s="58">
        <f>IF(R43="","",VLOOKUP(R43,REGRAS!$B$2:$D$13,3,FALSE()))</f>
        <v/>
      </c>
      <c r="J43" s="58" t="n"/>
      <c r="K43" s="58">
        <f>IF(R43="","",IF(R43="VENDA / PEDIDO","RECOMPRA",IF(R43="SUPORTE","PÓS-VENDA",IF(OR(R43="FOLLOW UP 7",R43="FOLLOW UP 15"),"SALVAMENTO",IF(R43="PERDA / FECHOU LOJA","NUTRIÇÃO",IF(R43="RELACIONAMENTO","CS",IF(OR(R43="ORÇAMENTO",R43="CADASTRO"),"PROSPECÇÃO",IF(R43="EM ATENDIMENTO","EM ATENDIMENTO",IF(OR(R43="NÃO ATENDE",R43="NÃO RESPONDE",R43="RECUSOU LIGAÇÃO"),"RECUPERAÇÃO","")))))))))</f>
        <v/>
      </c>
      <c r="L43" s="58">
        <f>IF(H43="","",IF(G43="PROSPECT","🟣",IF(G43="LEAD","🟣",IF(G43="NOVO","🟢",IF(H43&lt;=50,"🟢",IF(H43&lt;=90,"🟡","🔴"))))))</f>
        <v/>
      </c>
      <c r="M43" s="58" t="n"/>
      <c r="N43" s="58" t="inlineStr">
        <is>
          <t>SIM</t>
        </is>
      </c>
      <c r="O43" s="58" t="inlineStr">
        <is>
          <t>NÃO</t>
        </is>
      </c>
      <c r="P43" s="58" t="inlineStr">
        <is>
          <t>N/A</t>
        </is>
      </c>
      <c r="Q43" s="58" t="inlineStr">
        <is>
          <t>FOLLOW UP</t>
        </is>
      </c>
      <c r="R43" s="58" t="inlineStr">
        <is>
          <t>SUPORTE</t>
        </is>
      </c>
      <c r="S43" s="58" t="n"/>
      <c r="T43" s="71">
        <f>IF(R43="","",IF(OR(R43="SUPORTE",R43="PERDA / FECHOU LOJA"),"SEM",A43+VLOOKUP(R43,REGRAS!$B$2:$C$13,2,FALSE())))</f>
        <v/>
      </c>
      <c r="U43" s="58">
        <f>IF(R43="","",IF(R43="VENDA / PEDIDO","RECOMPRA",IF(R43="SUPORTE","PÓS-VENDA",IF(R43="RELACIONAMENTO","CS",IF(OR(R43="NÃO ATENDE",R43="NÃO RESPONDE",R43="RECUSOU LIGAÇÃO"),"REATIVAÇÃO",IF(R43="PERDA / FECHOU LOJA","NUTRIÇÃO",IF(OR(R43="FOLLOW UP 7",R43="FOLLOW UP 15"),"SALVAMENTO","PROSPECÇÃO")))))))</f>
        <v/>
      </c>
      <c r="V43" s="58" t="n"/>
      <c r="W43" s="58" t="inlineStr">
        <is>
          <t>SIM</t>
        </is>
      </c>
      <c r="X43" s="58" t="n"/>
    </row>
    <row r="44">
      <c r="A44" s="71" t="n">
        <v>46056</v>
      </c>
      <c r="B44" s="58" t="inlineStr">
        <is>
          <t>LARISSA PADILHA</t>
        </is>
      </c>
      <c r="C44" s="58" t="inlineStr">
        <is>
          <t>VIDA SAUDÁVEL 74</t>
        </is>
      </c>
      <c r="D44" s="58" t="inlineStr">
        <is>
          <t>90.802.154/2486-29</t>
        </is>
      </c>
      <c r="E44" s="58" t="inlineStr">
        <is>
          <t>MG</t>
        </is>
      </c>
      <c r="F44" s="58" t="inlineStr">
        <is>
          <t>DEMAIS CLIENTES</t>
        </is>
      </c>
      <c r="G44" s="58" t="inlineStr">
        <is>
          <t>ATIVO</t>
        </is>
      </c>
      <c r="H44" s="58" t="n">
        <v>20</v>
      </c>
      <c r="I44" s="58">
        <f>IF(R44="","",VLOOKUP(R44,REGRAS!$B$2:$D$13,3,FALSE()))</f>
        <v/>
      </c>
      <c r="J44" s="58" t="n"/>
      <c r="K44" s="58">
        <f>IF(R44="","",IF(R44="VENDA / PEDIDO","RECOMPRA",IF(R44="SUPORTE","PÓS-VENDA",IF(OR(R44="FOLLOW UP 7",R44="FOLLOW UP 15"),"SALVAMENTO",IF(R44="PERDA / FECHOU LOJA","NUTRIÇÃO",IF(R44="RELACIONAMENTO","CS",IF(OR(R44="ORÇAMENTO",R44="CADASTRO"),"PROSPECÇÃO",IF(R44="EM ATENDIMENTO","EM ATENDIMENTO",IF(OR(R44="NÃO ATENDE",R44="NÃO RESPONDE",R44="RECUSOU LIGAÇÃO"),"RECUPERAÇÃO","")))))))))</f>
        <v/>
      </c>
      <c r="L44" s="58">
        <f>IF(H44="","",IF(G44="PROSPECT","🟣",IF(G44="LEAD","🟣",IF(G44="NOVO","🟢",IF(H44&lt;=50,"🟢",IF(H44&lt;=90,"🟡","🔴"))))))</f>
        <v/>
      </c>
      <c r="M44" s="58" t="n"/>
      <c r="N44" s="58" t="inlineStr">
        <is>
          <t>SIM</t>
        </is>
      </c>
      <c r="O44" s="58" t="inlineStr">
        <is>
          <t>NÃO</t>
        </is>
      </c>
      <c r="P44" s="58" t="inlineStr">
        <is>
          <t>N/A</t>
        </is>
      </c>
      <c r="Q44" s="58" t="inlineStr">
        <is>
          <t>PROSPECÇÃO</t>
        </is>
      </c>
      <c r="R44" s="58" t="inlineStr">
        <is>
          <t>NÃO RESPONDE</t>
        </is>
      </c>
      <c r="S44" s="58" t="inlineStr">
        <is>
          <t>AINDA TEM ESTOQUE</t>
        </is>
      </c>
      <c r="T44" s="71">
        <f>IF(R44="","",IF(OR(R44="SUPORTE",R44="PERDA / FECHOU LOJA"),"SEM",A44+VLOOKUP(R44,REGRAS!$B$2:$C$13,2,FALSE())))</f>
        <v/>
      </c>
      <c r="U44" s="58">
        <f>IF(R44="","",IF(R44="VENDA / PEDIDO","RECOMPRA",IF(R44="SUPORTE","PÓS-VENDA",IF(R44="RELACIONAMENTO","CS",IF(OR(R44="NÃO ATENDE",R44="NÃO RESPONDE",R44="RECUSOU LIGAÇÃO"),"REATIVAÇÃO",IF(R44="PERDA / FECHOU LOJA","NUTRIÇÃO",IF(OR(R44="FOLLOW UP 7",R44="FOLLOW UP 15"),"SALVAMENTO","PROSPECÇÃO")))))))</f>
        <v/>
      </c>
      <c r="V44" s="58" t="n"/>
      <c r="W44" s="58" t="inlineStr">
        <is>
          <t>SIM</t>
        </is>
      </c>
      <c r="X44" s="58" t="n"/>
    </row>
    <row r="45">
      <c r="A45" s="71" t="n">
        <v>46068</v>
      </c>
      <c r="B45" s="58" t="inlineStr">
        <is>
          <t>DAIANE STAVICKI</t>
        </is>
      </c>
      <c r="C45" s="58" t="inlineStr">
        <is>
          <t>EMPÓRIO DO CAMPO 76</t>
        </is>
      </c>
      <c r="D45" s="58" t="inlineStr">
        <is>
          <t>64.412.682/0987-88</t>
        </is>
      </c>
      <c r="E45" s="58" t="inlineStr">
        <is>
          <t>DF</t>
        </is>
      </c>
      <c r="F45" s="58" t="inlineStr">
        <is>
          <t>MUNDO VERDE</t>
        </is>
      </c>
      <c r="G45" s="58" t="inlineStr">
        <is>
          <t>INAT.ANT</t>
        </is>
      </c>
      <c r="H45" s="58" t="n">
        <v>251</v>
      </c>
      <c r="I45" s="58">
        <f>IF(R45="","",VLOOKUP(R45,REGRAS!$B$2:$D$13,3,FALSE()))</f>
        <v/>
      </c>
      <c r="J45" s="58" t="n"/>
      <c r="K45" s="58">
        <f>IF(R45="","",IF(R45="VENDA / PEDIDO","RECOMPRA",IF(R45="SUPORTE","PÓS-VENDA",IF(OR(R45="FOLLOW UP 7",R45="FOLLOW UP 15"),"SALVAMENTO",IF(R45="PERDA / FECHOU LOJA","NUTRIÇÃO",IF(R45="RELACIONAMENTO","CS",IF(OR(R45="ORÇAMENTO",R45="CADASTRO"),"PROSPECÇÃO",IF(R45="EM ATENDIMENTO","EM ATENDIMENTO",IF(OR(R45="NÃO ATENDE",R45="NÃO RESPONDE",R45="RECUSOU LIGAÇÃO"),"RECUPERAÇÃO","")))))))))</f>
        <v/>
      </c>
      <c r="L45" s="58">
        <f>IF(H45="","",IF(G45="PROSPECT","🟣",IF(G45="LEAD","🟣",IF(G45="NOVO","🟢",IF(H45&lt;=50,"🟢",IF(H45&lt;=90,"🟡","🔴"))))))</f>
        <v/>
      </c>
      <c r="M45" s="58" t="n"/>
      <c r="N45" s="58" t="inlineStr">
        <is>
          <t>SIM</t>
        </is>
      </c>
      <c r="O45" s="58" t="inlineStr">
        <is>
          <t>SIM</t>
        </is>
      </c>
      <c r="P45" s="58" t="inlineStr">
        <is>
          <t>SIM</t>
        </is>
      </c>
      <c r="Q45" s="58" t="inlineStr">
        <is>
          <t>NEGOCIAÇÃO</t>
        </is>
      </c>
      <c r="R45" s="58" t="inlineStr">
        <is>
          <t>VENDA / PEDIDO</t>
        </is>
      </c>
      <c r="S45" s="58" t="n"/>
      <c r="T45" s="71">
        <f>IF(R45="","",IF(OR(R45="SUPORTE",R45="PERDA / FECHOU LOJA"),"SEM",A45+VLOOKUP(R45,REGRAS!$B$2:$C$13,2,FALSE())))</f>
        <v/>
      </c>
      <c r="U45" s="58">
        <f>IF(R45="","",IF(R45="VENDA / PEDIDO","RECOMPRA",IF(R45="SUPORTE","PÓS-VENDA",IF(R45="RELACIONAMENTO","CS",IF(OR(R45="NÃO ATENDE",R45="NÃO RESPONDE",R45="RECUSOU LIGAÇÃO"),"REATIVAÇÃO",IF(R45="PERDA / FECHOU LOJA","NUTRIÇÃO",IF(OR(R45="FOLLOW UP 7",R45="FOLLOW UP 15"),"SALVAMENTO","PROSPECÇÃO")))))))</f>
        <v/>
      </c>
      <c r="V45" s="58" t="n"/>
      <c r="W45" s="58" t="inlineStr">
        <is>
          <t>SIM</t>
        </is>
      </c>
      <c r="X45" s="58" t="n"/>
    </row>
    <row r="46">
      <c r="A46" s="71" t="n">
        <v>46068</v>
      </c>
      <c r="B46" s="58" t="inlineStr">
        <is>
          <t>JULIO GADRET</t>
        </is>
      </c>
      <c r="C46" s="58" t="inlineStr">
        <is>
          <t>FEIRA VERDE 38</t>
        </is>
      </c>
      <c r="D46" s="58" t="inlineStr">
        <is>
          <t>14.337.395/4633-99</t>
        </is>
      </c>
      <c r="E46" s="58" t="inlineStr">
        <is>
          <t>BA</t>
        </is>
      </c>
      <c r="F46" s="58" t="inlineStr">
        <is>
          <t>MUNDO VERDE</t>
        </is>
      </c>
      <c r="G46" s="58" t="inlineStr">
        <is>
          <t>ATIVO</t>
        </is>
      </c>
      <c r="H46" s="58" t="n">
        <v>21</v>
      </c>
      <c r="I46" s="58">
        <f>IF(R46="","",VLOOKUP(R46,REGRAS!$B$2:$D$13,3,FALSE()))</f>
        <v/>
      </c>
      <c r="J46" s="58" t="n"/>
      <c r="K46" s="58">
        <f>IF(R46="","",IF(R46="VENDA / PEDIDO","RECOMPRA",IF(R46="SUPORTE","PÓS-VENDA",IF(OR(R46="FOLLOW UP 7",R46="FOLLOW UP 15"),"SALVAMENTO",IF(R46="PERDA / FECHOU LOJA","NUTRIÇÃO",IF(R46="RELACIONAMENTO","CS",IF(OR(R46="ORÇAMENTO",R46="CADASTRO"),"PROSPECÇÃO",IF(R46="EM ATENDIMENTO","EM ATENDIMENTO",IF(OR(R46="NÃO ATENDE",R46="NÃO RESPONDE",R46="RECUSOU LIGAÇÃO"),"RECUPERAÇÃO","")))))))))</f>
        <v/>
      </c>
      <c r="L46" s="58">
        <f>IF(H46="","",IF(G46="PROSPECT","🟣",IF(G46="LEAD","🟣",IF(G46="NOVO","🟢",IF(H46&lt;=50,"🟢",IF(H46&lt;=90,"🟡","🔴"))))))</f>
        <v/>
      </c>
      <c r="M46" s="58" t="n"/>
      <c r="N46" s="58" t="inlineStr">
        <is>
          <t>SIM</t>
        </is>
      </c>
      <c r="O46" s="58" t="inlineStr">
        <is>
          <t>NÃO</t>
        </is>
      </c>
      <c r="P46" s="58" t="inlineStr">
        <is>
          <t>N/A</t>
        </is>
      </c>
      <c r="Q46" s="58" t="inlineStr">
        <is>
          <t>PÓS-VENDA / RELACIONAMENTO</t>
        </is>
      </c>
      <c r="R46" s="58" t="inlineStr">
        <is>
          <t>SUPORTE</t>
        </is>
      </c>
      <c r="S46" s="58" t="n"/>
      <c r="T46" s="71">
        <f>IF(R46="","",IF(OR(R46="SUPORTE",R46="PERDA / FECHOU LOJA"),"SEM",A46+VLOOKUP(R46,REGRAS!$B$2:$C$13,2,FALSE())))</f>
        <v/>
      </c>
      <c r="U46" s="58">
        <f>IF(R46="","",IF(R46="VENDA / PEDIDO","RECOMPRA",IF(R46="SUPORTE","PÓS-VENDA",IF(R46="RELACIONAMENTO","CS",IF(OR(R46="NÃO ATENDE",R46="NÃO RESPONDE",R46="RECUSOU LIGAÇÃO"),"REATIVAÇÃO",IF(R46="PERDA / FECHOU LOJA","NUTRIÇÃO",IF(OR(R46="FOLLOW UP 7",R46="FOLLOW UP 15"),"SALVAMENTO","PROSPECÇÃO")))))))</f>
        <v/>
      </c>
      <c r="V46" s="58" t="n"/>
      <c r="W46" s="58" t="inlineStr">
        <is>
          <t>SIM</t>
        </is>
      </c>
      <c r="X46" s="58" t="n"/>
    </row>
    <row r="47">
      <c r="A47" s="71" t="n">
        <v>46071</v>
      </c>
      <c r="B47" s="58" t="inlineStr">
        <is>
          <t>MANU DITZEL</t>
        </is>
      </c>
      <c r="C47" s="58" t="inlineStr">
        <is>
          <t>SABOR NATURAL 35</t>
        </is>
      </c>
      <c r="D47" s="58" t="inlineStr">
        <is>
          <t>28.173.161/2719-49</t>
        </is>
      </c>
      <c r="E47" s="58" t="inlineStr">
        <is>
          <t>SP</t>
        </is>
      </c>
      <c r="F47" s="58" t="inlineStr">
        <is>
          <t>DEMAIS CLIENTES</t>
        </is>
      </c>
      <c r="G47" s="58" t="inlineStr">
        <is>
          <t>PROSPECT</t>
        </is>
      </c>
      <c r="H47" s="58" t="n"/>
      <c r="I47" s="58">
        <f>IF(R47="","",VLOOKUP(R47,REGRAS!$B$2:$D$13,3,FALSE()))</f>
        <v/>
      </c>
      <c r="J47" s="58" t="n"/>
      <c r="K47" s="58">
        <f>IF(R47="","",IF(R47="VENDA / PEDIDO","RECOMPRA",IF(R47="SUPORTE","PÓS-VENDA",IF(OR(R47="FOLLOW UP 7",R47="FOLLOW UP 15"),"SALVAMENTO",IF(R47="PERDA / FECHOU LOJA","NUTRIÇÃO",IF(R47="RELACIONAMENTO","CS",IF(OR(R47="ORÇAMENTO",R47="CADASTRO"),"PROSPECÇÃO",IF(R47="EM ATENDIMENTO","EM ATENDIMENTO",IF(OR(R47="NÃO ATENDE",R47="NÃO RESPONDE",R47="RECUSOU LIGAÇÃO"),"RECUPERAÇÃO","")))))))))</f>
        <v/>
      </c>
      <c r="L47" s="58">
        <f>IF(H47="","",IF(G47="PROSPECT","🟣",IF(G47="LEAD","🟣",IF(G47="NOVO","🟢",IF(H47&lt;=50,"🟢",IF(H47&lt;=90,"🟡","🔴"))))))</f>
        <v/>
      </c>
      <c r="M47" s="58" t="n"/>
      <c r="N47" s="58" t="inlineStr">
        <is>
          <t>SIM</t>
        </is>
      </c>
      <c r="O47" s="58" t="inlineStr">
        <is>
          <t>SIM</t>
        </is>
      </c>
      <c r="P47" s="58" t="inlineStr">
        <is>
          <t>SIM</t>
        </is>
      </c>
      <c r="Q47" s="58" t="inlineStr">
        <is>
          <t>ATEND. CLIENTES ATIVOS</t>
        </is>
      </c>
      <c r="R47" s="58" t="inlineStr">
        <is>
          <t>RELACIONAMENTO</t>
        </is>
      </c>
      <c r="S47" s="58" t="n"/>
      <c r="T47" s="71">
        <f>IF(R47="","",IF(OR(R47="SUPORTE",R47="PERDA / FECHOU LOJA"),"SEM",A47+VLOOKUP(R47,REGRAS!$B$2:$C$13,2,FALSE())))</f>
        <v/>
      </c>
      <c r="U47" s="58">
        <f>IF(R47="","",IF(R47="VENDA / PEDIDO","RECOMPRA",IF(R47="SUPORTE","PÓS-VENDA",IF(R47="RELACIONAMENTO","CS",IF(OR(R47="NÃO ATENDE",R47="NÃO RESPONDE",R47="RECUSOU LIGAÇÃO"),"REATIVAÇÃO",IF(R47="PERDA / FECHOU LOJA","NUTRIÇÃO",IF(OR(R47="FOLLOW UP 7",R47="FOLLOW UP 15"),"SALVAMENTO","PROSPECÇÃO")))))))</f>
        <v/>
      </c>
      <c r="V47" s="58" t="n"/>
      <c r="W47" s="58" t="inlineStr">
        <is>
          <t>SIM</t>
        </is>
      </c>
      <c r="X47" s="58" t="n"/>
    </row>
    <row r="48">
      <c r="A48" s="71" t="n">
        <v>46068</v>
      </c>
      <c r="B48" s="58" t="inlineStr">
        <is>
          <t>MANU DITZEL</t>
        </is>
      </c>
      <c r="C48" s="58" t="inlineStr">
        <is>
          <t>MUNDO VERDE CWB 56</t>
        </is>
      </c>
      <c r="D48" s="58" t="inlineStr">
        <is>
          <t>51.718.356/0424-21</t>
        </is>
      </c>
      <c r="E48" s="58" t="inlineStr">
        <is>
          <t>PR</t>
        </is>
      </c>
      <c r="F48" s="58" t="inlineStr">
        <is>
          <t>TUDO EM GRAOS</t>
        </is>
      </c>
      <c r="G48" s="58" t="inlineStr">
        <is>
          <t>NOVO</t>
        </is>
      </c>
      <c r="H48" s="58" t="n"/>
      <c r="I48" s="58">
        <f>IF(R48="","",VLOOKUP(R48,REGRAS!$B$2:$D$13,3,FALSE()))</f>
        <v/>
      </c>
      <c r="J48" s="58" t="n"/>
      <c r="K48" s="58">
        <f>IF(R48="","",IF(R48="VENDA / PEDIDO","RECOMPRA",IF(R48="SUPORTE","PÓS-VENDA",IF(OR(R48="FOLLOW UP 7",R48="FOLLOW UP 15"),"SALVAMENTO",IF(R48="PERDA / FECHOU LOJA","NUTRIÇÃO",IF(R48="RELACIONAMENTO","CS",IF(OR(R48="ORÇAMENTO",R48="CADASTRO"),"PROSPECÇÃO",IF(R48="EM ATENDIMENTO","EM ATENDIMENTO",IF(OR(R48="NÃO ATENDE",R48="NÃO RESPONDE",R48="RECUSOU LIGAÇÃO"),"RECUPERAÇÃO","")))))))))</f>
        <v/>
      </c>
      <c r="L48" s="58">
        <f>IF(H48="","",IF(G48="PROSPECT","🟣",IF(G48="LEAD","🟣",IF(G48="NOVO","🟢",IF(H48&lt;=50,"🟢",IF(H48&lt;=90,"🟡","🔴"))))))</f>
        <v/>
      </c>
      <c r="M48" s="58" t="n"/>
      <c r="N48" s="58" t="inlineStr">
        <is>
          <t>NÃO</t>
        </is>
      </c>
      <c r="O48" s="58" t="inlineStr">
        <is>
          <t>NÃO</t>
        </is>
      </c>
      <c r="P48" s="58" t="inlineStr">
        <is>
          <t>N/A</t>
        </is>
      </c>
      <c r="Q48" s="58" t="inlineStr">
        <is>
          <t>ATEND. CLIENTES ATIVOS</t>
        </is>
      </c>
      <c r="R48" s="58" t="inlineStr">
        <is>
          <t>VENDA / PEDIDO</t>
        </is>
      </c>
      <c r="S48" s="58" t="n"/>
      <c r="T48" s="71">
        <f>IF(R48="","",IF(OR(R48="SUPORTE",R48="PERDA / FECHOU LOJA"),"SEM",A48+VLOOKUP(R48,REGRAS!$B$2:$C$13,2,FALSE())))</f>
        <v/>
      </c>
      <c r="U48" s="58">
        <f>IF(R48="","",IF(R48="VENDA / PEDIDO","RECOMPRA",IF(R48="SUPORTE","PÓS-VENDA",IF(R48="RELACIONAMENTO","CS",IF(OR(R48="NÃO ATENDE",R48="NÃO RESPONDE",R48="RECUSOU LIGAÇÃO"),"REATIVAÇÃO",IF(R48="PERDA / FECHOU LOJA","NUTRIÇÃO",IF(OR(R48="FOLLOW UP 7",R48="FOLLOW UP 15"),"SALVAMENTO","PROSPECÇÃO")))))))</f>
        <v/>
      </c>
      <c r="V48" s="58" t="n"/>
      <c r="W48" s="58" t="inlineStr">
        <is>
          <t>SIM</t>
        </is>
      </c>
      <c r="X48" s="58" t="n"/>
    </row>
    <row r="49">
      <c r="A49" s="71" t="n">
        <v>46078</v>
      </c>
      <c r="B49" s="58" t="inlineStr">
        <is>
          <t>DAIANE STAVICKI</t>
        </is>
      </c>
      <c r="C49" s="58" t="inlineStr">
        <is>
          <t>FEIRA VERDE 67</t>
        </is>
      </c>
      <c r="D49" s="58" t="inlineStr">
        <is>
          <t>93.552.384/2974-84</t>
        </is>
      </c>
      <c r="E49" s="58" t="inlineStr">
        <is>
          <t>RS</t>
        </is>
      </c>
      <c r="F49" s="58" t="inlineStr">
        <is>
          <t>DEMAIS CLIENTES</t>
        </is>
      </c>
      <c r="G49" s="58" t="inlineStr">
        <is>
          <t>PROSPECT</t>
        </is>
      </c>
      <c r="H49" s="58" t="n"/>
      <c r="I49" s="58">
        <f>IF(R49="","",VLOOKUP(R49,REGRAS!$B$2:$D$13,3,FALSE()))</f>
        <v/>
      </c>
      <c r="J49" s="58" t="n"/>
      <c r="K49" s="58">
        <f>IF(R49="","",IF(R49="VENDA / PEDIDO","RECOMPRA",IF(R49="SUPORTE","PÓS-VENDA",IF(OR(R49="FOLLOW UP 7",R49="FOLLOW UP 15"),"SALVAMENTO",IF(R49="PERDA / FECHOU LOJA","NUTRIÇÃO",IF(R49="RELACIONAMENTO","CS",IF(OR(R49="ORÇAMENTO",R49="CADASTRO"),"PROSPECÇÃO",IF(R49="EM ATENDIMENTO","EM ATENDIMENTO",IF(OR(R49="NÃO ATENDE",R49="NÃO RESPONDE",R49="RECUSOU LIGAÇÃO"),"RECUPERAÇÃO","")))))))))</f>
        <v/>
      </c>
      <c r="L49" s="58">
        <f>IF(H49="","",IF(G49="PROSPECT","🟣",IF(G49="LEAD","🟣",IF(G49="NOVO","🟢",IF(H49&lt;=50,"🟢",IF(H49&lt;=90,"🟡","🔴"))))))</f>
        <v/>
      </c>
      <c r="M49" s="58" t="n"/>
      <c r="N49" s="58" t="inlineStr">
        <is>
          <t>SIM</t>
        </is>
      </c>
      <c r="O49" s="58" t="inlineStr">
        <is>
          <t>SIM</t>
        </is>
      </c>
      <c r="P49" s="58" t="inlineStr">
        <is>
          <t>SIM</t>
        </is>
      </c>
      <c r="Q49" s="58" t="inlineStr">
        <is>
          <t>ATEND. CLIENTES ATIVOS</t>
        </is>
      </c>
      <c r="R49" s="58" t="inlineStr">
        <is>
          <t>RELACIONAMENTO</t>
        </is>
      </c>
      <c r="S49" s="58" t="n"/>
      <c r="T49" s="71">
        <f>IF(R49="","",IF(OR(R49="SUPORTE",R49="PERDA / FECHOU LOJA"),"SEM",A49+VLOOKUP(R49,REGRAS!$B$2:$C$13,2,FALSE())))</f>
        <v/>
      </c>
      <c r="U49" s="58">
        <f>IF(R49="","",IF(R49="VENDA / PEDIDO","RECOMPRA",IF(R49="SUPORTE","PÓS-VENDA",IF(R49="RELACIONAMENTO","CS",IF(OR(R49="NÃO ATENDE",R49="NÃO RESPONDE",R49="RECUSOU LIGAÇÃO"),"REATIVAÇÃO",IF(R49="PERDA / FECHOU LOJA","NUTRIÇÃO",IF(OR(R49="FOLLOW UP 7",R49="FOLLOW UP 15"),"SALVAMENTO","PROSPECÇÃO")))))))</f>
        <v/>
      </c>
      <c r="V49" s="58" t="n"/>
      <c r="W49" s="58" t="inlineStr">
        <is>
          <t>SIM</t>
        </is>
      </c>
      <c r="X49" s="58" t="n"/>
    </row>
    <row r="50">
      <c r="A50" s="71" t="n">
        <v>46069</v>
      </c>
      <c r="B50" s="58" t="inlineStr">
        <is>
          <t>MANU DITZEL</t>
        </is>
      </c>
      <c r="C50" s="58" t="inlineStr">
        <is>
          <t>TUDO GRÃOS SC 98</t>
        </is>
      </c>
      <c r="D50" s="58" t="inlineStr">
        <is>
          <t>80.137.565/1443-50</t>
        </is>
      </c>
      <c r="E50" s="58" t="inlineStr">
        <is>
          <t>SC</t>
        </is>
      </c>
      <c r="F50" s="58" t="inlineStr">
        <is>
          <t>MUNDO VERDE</t>
        </is>
      </c>
      <c r="G50" s="58" t="inlineStr">
        <is>
          <t>INAT.ANT</t>
        </is>
      </c>
      <c r="H50" s="58" t="n">
        <v>222</v>
      </c>
      <c r="I50" s="58">
        <f>IF(R50="","",VLOOKUP(R50,REGRAS!$B$2:$D$13,3,FALSE()))</f>
        <v/>
      </c>
      <c r="J50" s="58" t="n"/>
      <c r="K50" s="58">
        <f>IF(R50="","",IF(R50="VENDA / PEDIDO","RECOMPRA",IF(R50="SUPORTE","PÓS-VENDA",IF(OR(R50="FOLLOW UP 7",R50="FOLLOW UP 15"),"SALVAMENTO",IF(R50="PERDA / FECHOU LOJA","NUTRIÇÃO",IF(R50="RELACIONAMENTO","CS",IF(OR(R50="ORÇAMENTO",R50="CADASTRO"),"PROSPECÇÃO",IF(R50="EM ATENDIMENTO","EM ATENDIMENTO",IF(OR(R50="NÃO ATENDE",R50="NÃO RESPONDE",R50="RECUSOU LIGAÇÃO"),"RECUPERAÇÃO","")))))))))</f>
        <v/>
      </c>
      <c r="L50" s="58">
        <f>IF(H50="","",IF(G50="PROSPECT","🟣",IF(G50="LEAD","🟣",IF(G50="NOVO","🟢",IF(H50&lt;=50,"🟢",IF(H50&lt;=90,"🟡","🔴"))))))</f>
        <v/>
      </c>
      <c r="M50" s="58" t="n"/>
      <c r="N50" s="58" t="inlineStr">
        <is>
          <t>NÃO</t>
        </is>
      </c>
      <c r="O50" s="58" t="inlineStr">
        <is>
          <t>NÃO</t>
        </is>
      </c>
      <c r="P50" s="58" t="inlineStr">
        <is>
          <t>N/A</t>
        </is>
      </c>
      <c r="Q50" s="58" t="inlineStr">
        <is>
          <t>PÓS-VENDA / RELACIONAMENTO</t>
        </is>
      </c>
      <c r="R50" s="58" t="inlineStr">
        <is>
          <t>RELACIONAMENTO</t>
        </is>
      </c>
      <c r="S50" s="58" t="n"/>
      <c r="T50" s="71">
        <f>IF(R50="","",IF(OR(R50="SUPORTE",R50="PERDA / FECHOU LOJA"),"SEM",A50+VLOOKUP(R50,REGRAS!$B$2:$C$13,2,FALSE())))</f>
        <v/>
      </c>
      <c r="U50" s="58">
        <f>IF(R50="","",IF(R50="VENDA / PEDIDO","RECOMPRA",IF(R50="SUPORTE","PÓS-VENDA",IF(R50="RELACIONAMENTO","CS",IF(OR(R50="NÃO ATENDE",R50="NÃO RESPONDE",R50="RECUSOU LIGAÇÃO"),"REATIVAÇÃO",IF(R50="PERDA / FECHOU LOJA","NUTRIÇÃO",IF(OR(R50="FOLLOW UP 7",R50="FOLLOW UP 15"),"SALVAMENTO","PROSPECÇÃO")))))))</f>
        <v/>
      </c>
      <c r="V50" s="58" t="n"/>
      <c r="W50" s="58" t="inlineStr">
        <is>
          <t>SIM</t>
        </is>
      </c>
      <c r="X50" s="58" t="n"/>
    </row>
    <row r="51">
      <c r="A51" s="71" t="n">
        <v>46070</v>
      </c>
      <c r="B51" s="58" t="inlineStr">
        <is>
          <t>LARISSA PADILHA</t>
        </is>
      </c>
      <c r="C51" s="58" t="inlineStr">
        <is>
          <t>POWER NATURAL 81</t>
        </is>
      </c>
      <c r="D51" s="58" t="inlineStr">
        <is>
          <t>66.878.152/3336-44</t>
        </is>
      </c>
      <c r="E51" s="58" t="inlineStr">
        <is>
          <t>RS</t>
        </is>
      </c>
      <c r="F51" s="58" t="inlineStr">
        <is>
          <t>DEMAIS CLIENTES</t>
        </is>
      </c>
      <c r="G51" s="58" t="inlineStr">
        <is>
          <t>EM RISCO</t>
        </is>
      </c>
      <c r="H51" s="58" t="n">
        <v>58</v>
      </c>
      <c r="I51" s="58">
        <f>IF(R51="","",VLOOKUP(R51,REGRAS!$B$2:$D$13,3,FALSE()))</f>
        <v/>
      </c>
      <c r="J51" s="58" t="n"/>
      <c r="K51" s="58">
        <f>IF(R51="","",IF(R51="VENDA / PEDIDO","RECOMPRA",IF(R51="SUPORTE","PÓS-VENDA",IF(OR(R51="FOLLOW UP 7",R51="FOLLOW UP 15"),"SALVAMENTO",IF(R51="PERDA / FECHOU LOJA","NUTRIÇÃO",IF(R51="RELACIONAMENTO","CS",IF(OR(R51="ORÇAMENTO",R51="CADASTRO"),"PROSPECÇÃO",IF(R51="EM ATENDIMENTO","EM ATENDIMENTO",IF(OR(R51="NÃO ATENDE",R51="NÃO RESPONDE",R51="RECUSOU LIGAÇÃO"),"RECUPERAÇÃO","")))))))))</f>
        <v/>
      </c>
      <c r="L51" s="58">
        <f>IF(H51="","",IF(G51="PROSPECT","🟣",IF(G51="LEAD","🟣",IF(G51="NOVO","🟢",IF(H51&lt;=50,"🟢",IF(H51&lt;=90,"🟡","🔴"))))))</f>
        <v/>
      </c>
      <c r="M51" s="58" t="n"/>
      <c r="N51" s="58" t="inlineStr">
        <is>
          <t>SIM</t>
        </is>
      </c>
      <c r="O51" s="58" t="inlineStr">
        <is>
          <t>SIM</t>
        </is>
      </c>
      <c r="P51" s="58" t="inlineStr">
        <is>
          <t>SIM</t>
        </is>
      </c>
      <c r="Q51" s="58" t="inlineStr">
        <is>
          <t>PROSPECÇÃO</t>
        </is>
      </c>
      <c r="R51" s="58" t="inlineStr">
        <is>
          <t>RELACIONAMENTO</t>
        </is>
      </c>
      <c r="S51" s="58" t="n"/>
      <c r="T51" s="71">
        <f>IF(R51="","",IF(OR(R51="SUPORTE",R51="PERDA / FECHOU LOJA"),"SEM",A51+VLOOKUP(R51,REGRAS!$B$2:$C$13,2,FALSE())))</f>
        <v/>
      </c>
      <c r="U51" s="58">
        <f>IF(R51="","",IF(R51="VENDA / PEDIDO","RECOMPRA",IF(R51="SUPORTE","PÓS-VENDA",IF(R51="RELACIONAMENTO","CS",IF(OR(R51="NÃO ATENDE",R51="NÃO RESPONDE",R51="RECUSOU LIGAÇÃO"),"REATIVAÇÃO",IF(R51="PERDA / FECHOU LOJA","NUTRIÇÃO",IF(OR(R51="FOLLOW UP 7",R51="FOLLOW UP 15"),"SALVAMENTO","PROSPECÇÃO")))))))</f>
        <v/>
      </c>
      <c r="V51" s="58" t="n"/>
      <c r="W51" s="58" t="inlineStr">
        <is>
          <t>SIM</t>
        </is>
      </c>
      <c r="X51" s="58" t="n"/>
    </row>
    <row r="52">
      <c r="A52" s="71" t="n">
        <v>46071</v>
      </c>
      <c r="B52" s="58" t="inlineStr">
        <is>
          <t>LARISSA PADILHA</t>
        </is>
      </c>
      <c r="C52" s="58" t="inlineStr">
        <is>
          <t>FITLAND PR 15</t>
        </is>
      </c>
      <c r="D52" s="58" t="inlineStr">
        <is>
          <t>69.220.763/2523-73</t>
        </is>
      </c>
      <c r="E52" s="58" t="inlineStr">
        <is>
          <t>GO</t>
        </is>
      </c>
      <c r="F52" s="58" t="inlineStr">
        <is>
          <t>CIA DA SAUDE</t>
        </is>
      </c>
      <c r="G52" s="58" t="inlineStr">
        <is>
          <t>INAT.ANT</t>
        </is>
      </c>
      <c r="H52" s="58" t="n">
        <v>197</v>
      </c>
      <c r="I52" s="58">
        <f>IF(R52="","",VLOOKUP(R52,REGRAS!$B$2:$D$13,3,FALSE()))</f>
        <v/>
      </c>
      <c r="J52" s="58" t="n"/>
      <c r="K52" s="58">
        <f>IF(R52="","",IF(R52="VENDA / PEDIDO","RECOMPRA",IF(R52="SUPORTE","PÓS-VENDA",IF(OR(R52="FOLLOW UP 7",R52="FOLLOW UP 15"),"SALVAMENTO",IF(R52="PERDA / FECHOU LOJA","NUTRIÇÃO",IF(R52="RELACIONAMENTO","CS",IF(OR(R52="ORÇAMENTO",R52="CADASTRO"),"PROSPECÇÃO",IF(R52="EM ATENDIMENTO","EM ATENDIMENTO",IF(OR(R52="NÃO ATENDE",R52="NÃO RESPONDE",R52="RECUSOU LIGAÇÃO"),"RECUPERAÇÃO","")))))))))</f>
        <v/>
      </c>
      <c r="L52" s="58">
        <f>IF(H52="","",IF(G52="PROSPECT","🟣",IF(G52="LEAD","🟣",IF(G52="NOVO","🟢",IF(H52&lt;=50,"🟢",IF(H52&lt;=90,"🟡","🔴"))))))</f>
        <v/>
      </c>
      <c r="M52" s="58" t="n"/>
      <c r="N52" s="58" t="inlineStr">
        <is>
          <t>SIM</t>
        </is>
      </c>
      <c r="O52" s="58" t="inlineStr">
        <is>
          <t>NÃO</t>
        </is>
      </c>
      <c r="P52" s="58" t="inlineStr">
        <is>
          <t>N/A</t>
        </is>
      </c>
      <c r="Q52" s="58" t="inlineStr">
        <is>
          <t>PÓS-VENDA / RELACIONAMENTO</t>
        </is>
      </c>
      <c r="R52" s="58" t="inlineStr">
        <is>
          <t>ORÇAMENTO</t>
        </is>
      </c>
      <c r="S52" s="58" t="n"/>
      <c r="T52" s="71">
        <f>IF(R52="","",IF(OR(R52="SUPORTE",R52="PERDA / FECHOU LOJA"),"SEM",A52+VLOOKUP(R52,REGRAS!$B$2:$C$13,2,FALSE())))</f>
        <v/>
      </c>
      <c r="U52" s="58">
        <f>IF(R52="","",IF(R52="VENDA / PEDIDO","RECOMPRA",IF(R52="SUPORTE","PÓS-VENDA",IF(R52="RELACIONAMENTO","CS",IF(OR(R52="NÃO ATENDE",R52="NÃO RESPONDE",R52="RECUSOU LIGAÇÃO"),"REATIVAÇÃO",IF(R52="PERDA / FECHOU LOJA","NUTRIÇÃO",IF(OR(R52="FOLLOW UP 7",R52="FOLLOW UP 15"),"SALVAMENTO","PROSPECÇÃO")))))))</f>
        <v/>
      </c>
      <c r="V52" s="58" t="n"/>
      <c r="W52" s="58" t="inlineStr">
        <is>
          <t>SIM</t>
        </is>
      </c>
      <c r="X52" s="58" t="n"/>
    </row>
    <row r="53">
      <c r="A53" s="71" t="n">
        <v>46073</v>
      </c>
      <c r="B53" s="58" t="inlineStr">
        <is>
          <t>LARISSA PADILHA</t>
        </is>
      </c>
      <c r="C53" s="58" t="inlineStr">
        <is>
          <t>FIT STORE 09</t>
        </is>
      </c>
      <c r="D53" s="58" t="inlineStr">
        <is>
          <t>45.891.908/6799-53</t>
        </is>
      </c>
      <c r="E53" s="58" t="inlineStr">
        <is>
          <t>GO</t>
        </is>
      </c>
      <c r="F53" s="58" t="inlineStr">
        <is>
          <t>DIVINA TERRA</t>
        </is>
      </c>
      <c r="G53" s="58" t="inlineStr">
        <is>
          <t>NOVO</t>
        </is>
      </c>
      <c r="H53" s="58" t="n"/>
      <c r="I53" s="58">
        <f>IF(R53="","",VLOOKUP(R53,REGRAS!$B$2:$D$13,3,FALSE()))</f>
        <v/>
      </c>
      <c r="J53" s="58" t="n"/>
      <c r="K53" s="58">
        <f>IF(R53="","",IF(R53="VENDA / PEDIDO","RECOMPRA",IF(R53="SUPORTE","PÓS-VENDA",IF(OR(R53="FOLLOW UP 7",R53="FOLLOW UP 15"),"SALVAMENTO",IF(R53="PERDA / FECHOU LOJA","NUTRIÇÃO",IF(R53="RELACIONAMENTO","CS",IF(OR(R53="ORÇAMENTO",R53="CADASTRO"),"PROSPECÇÃO",IF(R53="EM ATENDIMENTO","EM ATENDIMENTO",IF(OR(R53="NÃO ATENDE",R53="NÃO RESPONDE",R53="RECUSOU LIGAÇÃO"),"RECUPERAÇÃO","")))))))))</f>
        <v/>
      </c>
      <c r="L53" s="58">
        <f>IF(H53="","",IF(G53="PROSPECT","🟣",IF(G53="LEAD","🟣",IF(G53="NOVO","🟢",IF(H53&lt;=50,"🟢",IF(H53&lt;=90,"🟡","🔴"))))))</f>
        <v/>
      </c>
      <c r="M53" s="58" t="n"/>
      <c r="N53" s="58" t="inlineStr">
        <is>
          <t>SIM</t>
        </is>
      </c>
      <c r="O53" s="58" t="inlineStr">
        <is>
          <t>NÃO</t>
        </is>
      </c>
      <c r="P53" s="58" t="inlineStr">
        <is>
          <t>N/A</t>
        </is>
      </c>
      <c r="Q53" s="58" t="inlineStr">
        <is>
          <t>FOLLOW UP</t>
        </is>
      </c>
      <c r="R53" s="58" t="inlineStr">
        <is>
          <t>ORÇAMENTO</t>
        </is>
      </c>
      <c r="S53" s="58" t="n"/>
      <c r="T53" s="71">
        <f>IF(R53="","",IF(OR(R53="SUPORTE",R53="PERDA / FECHOU LOJA"),"SEM",A53+VLOOKUP(R53,REGRAS!$B$2:$C$13,2,FALSE())))</f>
        <v/>
      </c>
      <c r="U53" s="58">
        <f>IF(R53="","",IF(R53="VENDA / PEDIDO","RECOMPRA",IF(R53="SUPORTE","PÓS-VENDA",IF(R53="RELACIONAMENTO","CS",IF(OR(R53="NÃO ATENDE",R53="NÃO RESPONDE",R53="RECUSOU LIGAÇÃO"),"REATIVAÇÃO",IF(R53="PERDA / FECHOU LOJA","NUTRIÇÃO",IF(OR(R53="FOLLOW UP 7",R53="FOLLOW UP 15"),"SALVAMENTO","PROSPECÇÃO")))))))</f>
        <v/>
      </c>
      <c r="V53" s="58" t="n"/>
      <c r="W53" s="58" t="inlineStr">
        <is>
          <t>SIM</t>
        </is>
      </c>
      <c r="X53" s="58" t="n"/>
    </row>
    <row r="54">
      <c r="A54" s="71" t="n">
        <v>46058</v>
      </c>
      <c r="B54" s="58" t="inlineStr">
        <is>
          <t>LARISSA PADILHA</t>
        </is>
      </c>
      <c r="C54" s="58" t="inlineStr">
        <is>
          <t>FEIRA VERDE 45</t>
        </is>
      </c>
      <c r="D54" s="58" t="inlineStr">
        <is>
          <t>52.665.881/8904-58</t>
        </is>
      </c>
      <c r="E54" s="58" t="inlineStr">
        <is>
          <t>RS</t>
        </is>
      </c>
      <c r="F54" s="58" t="inlineStr">
        <is>
          <t>CIA DA SAUDE</t>
        </is>
      </c>
      <c r="G54" s="58" t="inlineStr">
        <is>
          <t>ATIVO</t>
        </is>
      </c>
      <c r="H54" s="58" t="n">
        <v>49</v>
      </c>
      <c r="I54" s="58">
        <f>IF(R54="","",VLOOKUP(R54,REGRAS!$B$2:$D$13,3,FALSE()))</f>
        <v/>
      </c>
      <c r="J54" s="58" t="n"/>
      <c r="K54" s="58">
        <f>IF(R54="","",IF(R54="VENDA / PEDIDO","RECOMPRA",IF(R54="SUPORTE","PÓS-VENDA",IF(OR(R54="FOLLOW UP 7",R54="FOLLOW UP 15"),"SALVAMENTO",IF(R54="PERDA / FECHOU LOJA","NUTRIÇÃO",IF(R54="RELACIONAMENTO","CS",IF(OR(R54="ORÇAMENTO",R54="CADASTRO"),"PROSPECÇÃO",IF(R54="EM ATENDIMENTO","EM ATENDIMENTO",IF(OR(R54="NÃO ATENDE",R54="NÃO RESPONDE",R54="RECUSOU LIGAÇÃO"),"RECUPERAÇÃO","")))))))))</f>
        <v/>
      </c>
      <c r="L54" s="58">
        <f>IF(H54="","",IF(G54="PROSPECT","🟣",IF(G54="LEAD","🟣",IF(G54="NOVO","🟢",IF(H54&lt;=50,"🟢",IF(H54&lt;=90,"🟡","🔴"))))))</f>
        <v/>
      </c>
      <c r="M54" s="58" t="n"/>
      <c r="N54" s="58" t="inlineStr">
        <is>
          <t>NÃO</t>
        </is>
      </c>
      <c r="O54" s="58" t="inlineStr">
        <is>
          <t>SIM</t>
        </is>
      </c>
      <c r="P54" s="58" t="inlineStr">
        <is>
          <t>SIM</t>
        </is>
      </c>
      <c r="Q54" s="58" t="inlineStr">
        <is>
          <t>NEGOCIAÇÃO</t>
        </is>
      </c>
      <c r="R54" s="58" t="inlineStr">
        <is>
          <t>ORÇAMENTO</t>
        </is>
      </c>
      <c r="S54" s="58" t="n"/>
      <c r="T54" s="71">
        <f>IF(R54="","",IF(OR(R54="SUPORTE",R54="PERDA / FECHOU LOJA"),"SEM",A54+VLOOKUP(R54,REGRAS!$B$2:$C$13,2,FALSE())))</f>
        <v/>
      </c>
      <c r="U54" s="58">
        <f>IF(R54="","",IF(R54="VENDA / PEDIDO","RECOMPRA",IF(R54="SUPORTE","PÓS-VENDA",IF(R54="RELACIONAMENTO","CS",IF(OR(R54="NÃO ATENDE",R54="NÃO RESPONDE",R54="RECUSOU LIGAÇÃO"),"REATIVAÇÃO",IF(R54="PERDA / FECHOU LOJA","NUTRIÇÃO",IF(OR(R54="FOLLOW UP 7",R54="FOLLOW UP 15"),"SALVAMENTO","PROSPECÇÃO")))))))</f>
        <v/>
      </c>
      <c r="V54" s="58" t="n"/>
      <c r="W54" s="58" t="inlineStr">
        <is>
          <t>SIM</t>
        </is>
      </c>
      <c r="X54" s="58" t="n"/>
    </row>
    <row r="55">
      <c r="A55" s="71" t="n">
        <v>46079</v>
      </c>
      <c r="B55" s="58" t="inlineStr">
        <is>
          <t>LARISSA PADILHA</t>
        </is>
      </c>
      <c r="C55" s="58" t="inlineStr">
        <is>
          <t>SABOR NATURAL 64</t>
        </is>
      </c>
      <c r="D55" s="58" t="inlineStr">
        <is>
          <t>14.229.614/9670-52</t>
        </is>
      </c>
      <c r="E55" s="58" t="inlineStr">
        <is>
          <t>BA</t>
        </is>
      </c>
      <c r="F55" s="58" t="inlineStr">
        <is>
          <t>DEMAIS CLIENTES</t>
        </is>
      </c>
      <c r="G55" s="58" t="inlineStr">
        <is>
          <t>EM RISCO</t>
        </is>
      </c>
      <c r="H55" s="58" t="n">
        <v>59</v>
      </c>
      <c r="I55" s="58">
        <f>IF(R55="","",VLOOKUP(R55,REGRAS!$B$2:$D$13,3,FALSE()))</f>
        <v/>
      </c>
      <c r="J55" s="58" t="n"/>
      <c r="K55" s="58">
        <f>IF(R55="","",IF(R55="VENDA / PEDIDO","RECOMPRA",IF(R55="SUPORTE","PÓS-VENDA",IF(OR(R55="FOLLOW UP 7",R55="FOLLOW UP 15"),"SALVAMENTO",IF(R55="PERDA / FECHOU LOJA","NUTRIÇÃO",IF(R55="RELACIONAMENTO","CS",IF(OR(R55="ORÇAMENTO",R55="CADASTRO"),"PROSPECÇÃO",IF(R55="EM ATENDIMENTO","EM ATENDIMENTO",IF(OR(R55="NÃO ATENDE",R55="NÃO RESPONDE",R55="RECUSOU LIGAÇÃO"),"RECUPERAÇÃO","")))))))))</f>
        <v/>
      </c>
      <c r="L55" s="58">
        <f>IF(H55="","",IF(G55="PROSPECT","🟣",IF(G55="LEAD","🟣",IF(G55="NOVO","🟢",IF(H55&lt;=50,"🟢",IF(H55&lt;=90,"🟡","🔴"))))))</f>
        <v/>
      </c>
      <c r="M55" s="58" t="n"/>
      <c r="N55" s="58" t="inlineStr">
        <is>
          <t>SIM</t>
        </is>
      </c>
      <c r="O55" s="58" t="inlineStr">
        <is>
          <t>NÃO</t>
        </is>
      </c>
      <c r="P55" s="58" t="inlineStr">
        <is>
          <t>N/A</t>
        </is>
      </c>
      <c r="Q55" s="58" t="inlineStr">
        <is>
          <t>PÓS-VENDA / RELACIONAMENTO</t>
        </is>
      </c>
      <c r="R55" s="58" t="inlineStr">
        <is>
          <t>RELACIONAMENTO</t>
        </is>
      </c>
      <c r="S55" s="58" t="n"/>
      <c r="T55" s="71">
        <f>IF(R55="","",IF(OR(R55="SUPORTE",R55="PERDA / FECHOU LOJA"),"SEM",A55+VLOOKUP(R55,REGRAS!$B$2:$C$13,2,FALSE())))</f>
        <v/>
      </c>
      <c r="U55" s="58">
        <f>IF(R55="","",IF(R55="VENDA / PEDIDO","RECOMPRA",IF(R55="SUPORTE","PÓS-VENDA",IF(R55="RELACIONAMENTO","CS",IF(OR(R55="NÃO ATENDE",R55="NÃO RESPONDE",R55="RECUSOU LIGAÇÃO"),"REATIVAÇÃO",IF(R55="PERDA / FECHOU LOJA","NUTRIÇÃO",IF(OR(R55="FOLLOW UP 7",R55="FOLLOW UP 15"),"SALVAMENTO","PROSPECÇÃO")))))))</f>
        <v/>
      </c>
      <c r="V55" s="58" t="n"/>
      <c r="W55" s="58" t="inlineStr">
        <is>
          <t>NÃO</t>
        </is>
      </c>
      <c r="X55" s="58" t="n"/>
    </row>
    <row r="56">
      <c r="A56" s="71" t="n">
        <v>46056</v>
      </c>
      <c r="B56" s="58" t="inlineStr">
        <is>
          <t>LARISSA PADILHA</t>
        </is>
      </c>
      <c r="C56" s="58" t="inlineStr">
        <is>
          <t>PONTO VERDE 44</t>
        </is>
      </c>
      <c r="D56" s="58" t="inlineStr">
        <is>
          <t>89.809.507/1316-52</t>
        </is>
      </c>
      <c r="E56" s="58" t="inlineStr">
        <is>
          <t>BA</t>
        </is>
      </c>
      <c r="F56" s="58" t="inlineStr">
        <is>
          <t>DEMAIS CLIENTES</t>
        </is>
      </c>
      <c r="G56" s="58" t="inlineStr">
        <is>
          <t>EM RISCO</t>
        </is>
      </c>
      <c r="H56" s="58" t="n">
        <v>56</v>
      </c>
      <c r="I56" s="58">
        <f>IF(R56="","",VLOOKUP(R56,REGRAS!$B$2:$D$13,3,FALSE()))</f>
        <v/>
      </c>
      <c r="J56" s="58" t="n"/>
      <c r="K56" s="58">
        <f>IF(R56="","",IF(R56="VENDA / PEDIDO","RECOMPRA",IF(R56="SUPORTE","PÓS-VENDA",IF(OR(R56="FOLLOW UP 7",R56="FOLLOW UP 15"),"SALVAMENTO",IF(R56="PERDA / FECHOU LOJA","NUTRIÇÃO",IF(R56="RELACIONAMENTO","CS",IF(OR(R56="ORÇAMENTO",R56="CADASTRO"),"PROSPECÇÃO",IF(R56="EM ATENDIMENTO","EM ATENDIMENTO",IF(OR(R56="NÃO ATENDE",R56="NÃO RESPONDE",R56="RECUSOU LIGAÇÃO"),"RECUPERAÇÃO","")))))))))</f>
        <v/>
      </c>
      <c r="L56" s="58">
        <f>IF(H56="","",IF(G56="PROSPECT","🟣",IF(G56="LEAD","🟣",IF(G56="NOVO","🟢",IF(H56&lt;=50,"🟢",IF(H56&lt;=90,"🟡","🔴"))))))</f>
        <v/>
      </c>
      <c r="M56" s="58" t="n"/>
      <c r="N56" s="58" t="inlineStr">
        <is>
          <t>SIM</t>
        </is>
      </c>
      <c r="O56" s="58" t="inlineStr">
        <is>
          <t>NÃO</t>
        </is>
      </c>
      <c r="P56" s="58" t="inlineStr">
        <is>
          <t>N/A</t>
        </is>
      </c>
      <c r="Q56" s="58" t="inlineStr">
        <is>
          <t>ATEND. CLIENTES INATIVOS</t>
        </is>
      </c>
      <c r="R56" s="58" t="inlineStr">
        <is>
          <t>PERDA / FECHOU LOJA</t>
        </is>
      </c>
      <c r="S56" s="58" t="inlineStr">
        <is>
          <t>PROBLEMA LOGÍSTICO / ENTREGA</t>
        </is>
      </c>
      <c r="T56" s="71">
        <f>IF(R56="","",IF(OR(R56="SUPORTE",R56="PERDA / FECHOU LOJA"),"SEM",A56+VLOOKUP(R56,REGRAS!$B$2:$C$13,2,FALSE())))</f>
        <v/>
      </c>
      <c r="U56" s="58">
        <f>IF(R56="","",IF(R56="VENDA / PEDIDO","RECOMPRA",IF(R56="SUPORTE","PÓS-VENDA",IF(R56="RELACIONAMENTO","CS",IF(OR(R56="NÃO ATENDE",R56="NÃO RESPONDE",R56="RECUSOU LIGAÇÃO"),"REATIVAÇÃO",IF(R56="PERDA / FECHOU LOJA","NUTRIÇÃO",IF(OR(R56="FOLLOW UP 7",R56="FOLLOW UP 15"),"SALVAMENTO","PROSPECÇÃO")))))))</f>
        <v/>
      </c>
      <c r="V56" s="58" t="n"/>
      <c r="W56" s="58" t="inlineStr">
        <is>
          <t>SIM</t>
        </is>
      </c>
      <c r="X56" s="58" t="n"/>
    </row>
    <row r="57">
      <c r="A57" s="71" t="n">
        <v>46075</v>
      </c>
      <c r="B57" s="58" t="inlineStr">
        <is>
          <t>DAIANE STAVICKI</t>
        </is>
      </c>
      <c r="C57" s="58" t="inlineStr">
        <is>
          <t>FITLAND PR 96</t>
        </is>
      </c>
      <c r="D57" s="58" t="inlineStr">
        <is>
          <t>21.544.200/1647-66</t>
        </is>
      </c>
      <c r="E57" s="58" t="inlineStr">
        <is>
          <t>PR</t>
        </is>
      </c>
      <c r="F57" s="58" t="inlineStr">
        <is>
          <t>CIA DA SAUDE</t>
        </is>
      </c>
      <c r="G57" s="58" t="inlineStr">
        <is>
          <t>ATIVO</t>
        </is>
      </c>
      <c r="H57" s="58" t="n">
        <v>25</v>
      </c>
      <c r="I57" s="58">
        <f>IF(R57="","",VLOOKUP(R57,REGRAS!$B$2:$D$13,3,FALSE()))</f>
        <v/>
      </c>
      <c r="J57" s="58" t="n"/>
      <c r="K57" s="58">
        <f>IF(R57="","",IF(R57="VENDA / PEDIDO","RECOMPRA",IF(R57="SUPORTE","PÓS-VENDA",IF(OR(R57="FOLLOW UP 7",R57="FOLLOW UP 15"),"SALVAMENTO",IF(R57="PERDA / FECHOU LOJA","NUTRIÇÃO",IF(R57="RELACIONAMENTO","CS",IF(OR(R57="ORÇAMENTO",R57="CADASTRO"),"PROSPECÇÃO",IF(R57="EM ATENDIMENTO","EM ATENDIMENTO",IF(OR(R57="NÃO ATENDE",R57="NÃO RESPONDE",R57="RECUSOU LIGAÇÃO"),"RECUPERAÇÃO","")))))))))</f>
        <v/>
      </c>
      <c r="L57" s="58">
        <f>IF(H57="","",IF(G57="PROSPECT","🟣",IF(G57="LEAD","🟣",IF(G57="NOVO","🟢",IF(H57&lt;=50,"🟢",IF(H57&lt;=90,"🟡","🔴"))))))</f>
        <v/>
      </c>
      <c r="M57" s="58" t="n"/>
      <c r="N57" s="58" t="inlineStr">
        <is>
          <t>SIM</t>
        </is>
      </c>
      <c r="O57" s="58" t="inlineStr">
        <is>
          <t>SIM</t>
        </is>
      </c>
      <c r="P57" s="58" t="inlineStr">
        <is>
          <t>SIM</t>
        </is>
      </c>
      <c r="Q57" s="58" t="inlineStr">
        <is>
          <t>PÓS-VENDA / RELACIONAMENTO</t>
        </is>
      </c>
      <c r="R57" s="58" t="inlineStr">
        <is>
          <t>RELACIONAMENTO</t>
        </is>
      </c>
      <c r="S57" s="58" t="n"/>
      <c r="T57" s="71">
        <f>IF(R57="","",IF(OR(R57="SUPORTE",R57="PERDA / FECHOU LOJA"),"SEM",A57+VLOOKUP(R57,REGRAS!$B$2:$C$13,2,FALSE())))</f>
        <v/>
      </c>
      <c r="U57" s="58">
        <f>IF(R57="","",IF(R57="VENDA / PEDIDO","RECOMPRA",IF(R57="SUPORTE","PÓS-VENDA",IF(R57="RELACIONAMENTO","CS",IF(OR(R57="NÃO ATENDE",R57="NÃO RESPONDE",R57="RECUSOU LIGAÇÃO"),"REATIVAÇÃO",IF(R57="PERDA / FECHOU LOJA","NUTRIÇÃO",IF(OR(R57="FOLLOW UP 7",R57="FOLLOW UP 15"),"SALVAMENTO","PROSPECÇÃO")))))))</f>
        <v/>
      </c>
      <c r="V57" s="58" t="n"/>
      <c r="W57" s="58" t="inlineStr">
        <is>
          <t>SIM</t>
        </is>
      </c>
      <c r="X57" s="58" t="n"/>
    </row>
    <row r="58">
      <c r="A58" s="71" t="n">
        <v>46079</v>
      </c>
      <c r="B58" s="58" t="inlineStr">
        <is>
          <t>MANU DITZEL</t>
        </is>
      </c>
      <c r="C58" s="58" t="inlineStr">
        <is>
          <t>VERDE VIDA 11</t>
        </is>
      </c>
      <c r="D58" s="58" t="inlineStr">
        <is>
          <t>88.991.491/3946-73</t>
        </is>
      </c>
      <c r="E58" s="58" t="inlineStr">
        <is>
          <t>GO</t>
        </is>
      </c>
      <c r="F58" s="58" t="inlineStr">
        <is>
          <t>MUNDO VERDE</t>
        </is>
      </c>
      <c r="G58" s="58" t="inlineStr">
        <is>
          <t>EM RISCO</t>
        </is>
      </c>
      <c r="H58" s="58" t="n">
        <v>55</v>
      </c>
      <c r="I58" s="58">
        <f>IF(R58="","",VLOOKUP(R58,REGRAS!$B$2:$D$13,3,FALSE()))</f>
        <v/>
      </c>
      <c r="J58" s="58" t="n"/>
      <c r="K58" s="58">
        <f>IF(R58="","",IF(R58="VENDA / PEDIDO","RECOMPRA",IF(R58="SUPORTE","PÓS-VENDA",IF(OR(R58="FOLLOW UP 7",R58="FOLLOW UP 15"),"SALVAMENTO",IF(R58="PERDA / FECHOU LOJA","NUTRIÇÃO",IF(R58="RELACIONAMENTO","CS",IF(OR(R58="ORÇAMENTO",R58="CADASTRO"),"PROSPECÇÃO",IF(R58="EM ATENDIMENTO","EM ATENDIMENTO",IF(OR(R58="NÃO ATENDE",R58="NÃO RESPONDE",R58="RECUSOU LIGAÇÃO"),"RECUPERAÇÃO","")))))))))</f>
        <v/>
      </c>
      <c r="L58" s="58">
        <f>IF(H58="","",IF(G58="PROSPECT","🟣",IF(G58="LEAD","🟣",IF(G58="NOVO","🟢",IF(H58&lt;=50,"🟢",IF(H58&lt;=90,"🟡","🔴"))))))</f>
        <v/>
      </c>
      <c r="M58" s="58" t="n"/>
      <c r="N58" s="58" t="inlineStr">
        <is>
          <t>NÃO</t>
        </is>
      </c>
      <c r="O58" s="58" t="inlineStr">
        <is>
          <t>NÃO</t>
        </is>
      </c>
      <c r="P58" s="58" t="inlineStr">
        <is>
          <t>N/A</t>
        </is>
      </c>
      <c r="Q58" s="58" t="inlineStr">
        <is>
          <t>ATEND. CLIENTES ATIVOS</t>
        </is>
      </c>
      <c r="R58" s="58" t="inlineStr">
        <is>
          <t>FOLLOW UP 15</t>
        </is>
      </c>
      <c r="S58" s="58" t="inlineStr">
        <is>
          <t>PRODUTO NÃO VENDEU / SEM GIRO</t>
        </is>
      </c>
      <c r="T58" s="71">
        <f>IF(R58="","",IF(OR(R58="SUPORTE",R58="PERDA / FECHOU LOJA"),"SEM",A58+VLOOKUP(R58,REGRAS!$B$2:$C$13,2,FALSE())))</f>
        <v/>
      </c>
      <c r="U58" s="58">
        <f>IF(R58="","",IF(R58="VENDA / PEDIDO","RECOMPRA",IF(R58="SUPORTE","PÓS-VENDA",IF(R58="RELACIONAMENTO","CS",IF(OR(R58="NÃO ATENDE",R58="NÃO RESPONDE",R58="RECUSOU LIGAÇÃO"),"REATIVAÇÃO",IF(R58="PERDA / FECHOU LOJA","NUTRIÇÃO",IF(OR(R58="FOLLOW UP 7",R58="FOLLOW UP 15"),"SALVAMENTO","PROSPECÇÃO")))))))</f>
        <v/>
      </c>
      <c r="V58" s="58" t="n"/>
      <c r="W58" s="58" t="inlineStr">
        <is>
          <t>SIM</t>
        </is>
      </c>
      <c r="X58" s="58" t="n"/>
    </row>
    <row r="59">
      <c r="A59" s="71" t="n">
        <v>46056</v>
      </c>
      <c r="B59" s="58" t="inlineStr">
        <is>
          <t>LARISSA PADILHA</t>
        </is>
      </c>
      <c r="C59" s="58" t="inlineStr">
        <is>
          <t>MARKET FIT 76</t>
        </is>
      </c>
      <c r="D59" s="58" t="inlineStr">
        <is>
          <t>48.754.534/4098-68</t>
        </is>
      </c>
      <c r="E59" s="58" t="inlineStr">
        <is>
          <t>MG</t>
        </is>
      </c>
      <c r="F59" s="58" t="inlineStr">
        <is>
          <t>BIOMUNDO</t>
        </is>
      </c>
      <c r="G59" s="58" t="inlineStr">
        <is>
          <t>EM RISCO</t>
        </is>
      </c>
      <c r="H59" s="58" t="n">
        <v>58</v>
      </c>
      <c r="I59" s="58">
        <f>IF(R59="","",VLOOKUP(R59,REGRAS!$B$2:$D$13,3,FALSE()))</f>
        <v/>
      </c>
      <c r="J59" s="58" t="n"/>
      <c r="K59" s="58">
        <f>IF(R59="","",IF(R59="VENDA / PEDIDO","RECOMPRA",IF(R59="SUPORTE","PÓS-VENDA",IF(OR(R59="FOLLOW UP 7",R59="FOLLOW UP 15"),"SALVAMENTO",IF(R59="PERDA / FECHOU LOJA","NUTRIÇÃO",IF(R59="RELACIONAMENTO","CS",IF(OR(R59="ORÇAMENTO",R59="CADASTRO"),"PROSPECÇÃO",IF(R59="EM ATENDIMENTO","EM ATENDIMENTO",IF(OR(R59="NÃO ATENDE",R59="NÃO RESPONDE",R59="RECUSOU LIGAÇÃO"),"RECUPERAÇÃO","")))))))))</f>
        <v/>
      </c>
      <c r="L59" s="58">
        <f>IF(H59="","",IF(G59="PROSPECT","🟣",IF(G59="LEAD","🟣",IF(G59="NOVO","🟢",IF(H59&lt;=50,"🟢",IF(H59&lt;=90,"🟡","🔴"))))))</f>
        <v/>
      </c>
      <c r="M59" s="58" t="n"/>
      <c r="N59" s="58" t="inlineStr">
        <is>
          <t>SIM</t>
        </is>
      </c>
      <c r="O59" s="58" t="inlineStr">
        <is>
          <t>SIM</t>
        </is>
      </c>
      <c r="P59" s="58" t="inlineStr">
        <is>
          <t>NÃO</t>
        </is>
      </c>
      <c r="Q59" s="58" t="inlineStr">
        <is>
          <t>PROSPECÇÃO</t>
        </is>
      </c>
      <c r="R59" s="58" t="inlineStr">
        <is>
          <t>CADASTRO</t>
        </is>
      </c>
      <c r="S59" s="58" t="n"/>
      <c r="T59" s="71">
        <f>IF(R59="","",IF(OR(R59="SUPORTE",R59="PERDA / FECHOU LOJA"),"SEM",A59+VLOOKUP(R59,REGRAS!$B$2:$C$13,2,FALSE())))</f>
        <v/>
      </c>
      <c r="U59" s="58">
        <f>IF(R59="","",IF(R59="VENDA / PEDIDO","RECOMPRA",IF(R59="SUPORTE","PÓS-VENDA",IF(R59="RELACIONAMENTO","CS",IF(OR(R59="NÃO ATENDE",R59="NÃO RESPONDE",R59="RECUSOU LIGAÇÃO"),"REATIVAÇÃO",IF(R59="PERDA / FECHOU LOJA","NUTRIÇÃO",IF(OR(R59="FOLLOW UP 7",R59="FOLLOW UP 15"),"SALVAMENTO","PROSPECÇÃO")))))))</f>
        <v/>
      </c>
      <c r="V59" s="58" t="n"/>
      <c r="W59" s="58" t="inlineStr">
        <is>
          <t>SIM</t>
        </is>
      </c>
      <c r="X59" s="58" t="n"/>
    </row>
    <row r="60">
      <c r="A60" s="71" t="n">
        <v>46080</v>
      </c>
      <c r="B60" s="58" t="inlineStr">
        <is>
          <t>JULIO GADRET</t>
        </is>
      </c>
      <c r="C60" s="58" t="inlineStr">
        <is>
          <t>NATUR LIFE 02</t>
        </is>
      </c>
      <c r="D60" s="58" t="inlineStr">
        <is>
          <t>82.985.802/0804-87</t>
        </is>
      </c>
      <c r="E60" s="58" t="inlineStr">
        <is>
          <t>RJ</t>
        </is>
      </c>
      <c r="F60" s="58" t="inlineStr">
        <is>
          <t>DEMAIS CLIENTES</t>
        </is>
      </c>
      <c r="G60" s="58" t="inlineStr">
        <is>
          <t>PROSPECT</t>
        </is>
      </c>
      <c r="H60" s="58" t="n"/>
      <c r="I60" s="58">
        <f>IF(R60="","",VLOOKUP(R60,REGRAS!$B$2:$D$13,3,FALSE()))</f>
        <v/>
      </c>
      <c r="J60" s="58" t="n"/>
      <c r="K60" s="58">
        <f>IF(R60="","",IF(R60="VENDA / PEDIDO","RECOMPRA",IF(R60="SUPORTE","PÓS-VENDA",IF(OR(R60="FOLLOW UP 7",R60="FOLLOW UP 15"),"SALVAMENTO",IF(R60="PERDA / FECHOU LOJA","NUTRIÇÃO",IF(R60="RELACIONAMENTO","CS",IF(OR(R60="ORÇAMENTO",R60="CADASTRO"),"PROSPECÇÃO",IF(R60="EM ATENDIMENTO","EM ATENDIMENTO",IF(OR(R60="NÃO ATENDE",R60="NÃO RESPONDE",R60="RECUSOU LIGAÇÃO"),"RECUPERAÇÃO","")))))))))</f>
        <v/>
      </c>
      <c r="L60" s="58">
        <f>IF(H60="","",IF(G60="PROSPECT","🟣",IF(G60="LEAD","🟣",IF(G60="NOVO","🟢",IF(H60&lt;=50,"🟢",IF(H60&lt;=90,"🟡","🔴"))))))</f>
        <v/>
      </c>
      <c r="M60" s="58" t="n"/>
      <c r="N60" s="58" t="inlineStr">
        <is>
          <t>NÃO</t>
        </is>
      </c>
      <c r="O60" s="58" t="inlineStr">
        <is>
          <t>SIM</t>
        </is>
      </c>
      <c r="P60" s="58" t="inlineStr">
        <is>
          <t>SIM</t>
        </is>
      </c>
      <c r="Q60" s="58" t="inlineStr">
        <is>
          <t>PÓS-VENDA / RELACIONAMENTO</t>
        </is>
      </c>
      <c r="R60" s="58" t="inlineStr">
        <is>
          <t>RELACIONAMENTO</t>
        </is>
      </c>
      <c r="S60" s="58" t="n"/>
      <c r="T60" s="71">
        <f>IF(R60="","",IF(OR(R60="SUPORTE",R60="PERDA / FECHOU LOJA"),"SEM",A60+VLOOKUP(R60,REGRAS!$B$2:$C$13,2,FALSE())))</f>
        <v/>
      </c>
      <c r="U60" s="58">
        <f>IF(R60="","",IF(R60="VENDA / PEDIDO","RECOMPRA",IF(R60="SUPORTE","PÓS-VENDA",IF(R60="RELACIONAMENTO","CS",IF(OR(R60="NÃO ATENDE",R60="NÃO RESPONDE",R60="RECUSOU LIGAÇÃO"),"REATIVAÇÃO",IF(R60="PERDA / FECHOU LOJA","NUTRIÇÃO",IF(OR(R60="FOLLOW UP 7",R60="FOLLOW UP 15"),"SALVAMENTO","PROSPECÇÃO")))))))</f>
        <v/>
      </c>
      <c r="V60" s="58" t="n"/>
      <c r="W60" s="58" t="inlineStr">
        <is>
          <t>SIM</t>
        </is>
      </c>
      <c r="X60" s="58" t="n"/>
    </row>
    <row r="61">
      <c r="A61" s="71" t="n">
        <v>46078</v>
      </c>
      <c r="B61" s="58" t="inlineStr">
        <is>
          <t>JULIO GADRET</t>
        </is>
      </c>
      <c r="C61" s="58" t="inlineStr">
        <is>
          <t>FIT STORE 81</t>
        </is>
      </c>
      <c r="D61" s="58" t="inlineStr">
        <is>
          <t>22.742.761/0646-49</t>
        </is>
      </c>
      <c r="E61" s="58" t="inlineStr">
        <is>
          <t>MG</t>
        </is>
      </c>
      <c r="F61" s="58" t="inlineStr">
        <is>
          <t>MUNDO VERDE</t>
        </is>
      </c>
      <c r="G61" s="58" t="inlineStr">
        <is>
          <t>EM RISCO</t>
        </is>
      </c>
      <c r="H61" s="58" t="n">
        <v>53</v>
      </c>
      <c r="I61" s="58">
        <f>IF(R61="","",VLOOKUP(R61,REGRAS!$B$2:$D$13,3,FALSE()))</f>
        <v/>
      </c>
      <c r="J61" s="58" t="n"/>
      <c r="K61" s="58">
        <f>IF(R61="","",IF(R61="VENDA / PEDIDO","RECOMPRA",IF(R61="SUPORTE","PÓS-VENDA",IF(OR(R61="FOLLOW UP 7",R61="FOLLOW UP 15"),"SALVAMENTO",IF(R61="PERDA / FECHOU LOJA","NUTRIÇÃO",IF(R61="RELACIONAMENTO","CS",IF(OR(R61="ORÇAMENTO",R61="CADASTRO"),"PROSPECÇÃO",IF(R61="EM ATENDIMENTO","EM ATENDIMENTO",IF(OR(R61="NÃO ATENDE",R61="NÃO RESPONDE",R61="RECUSOU LIGAÇÃO"),"RECUPERAÇÃO","")))))))))</f>
        <v/>
      </c>
      <c r="L61" s="58">
        <f>IF(H61="","",IF(G61="PROSPECT","🟣",IF(G61="LEAD","🟣",IF(G61="NOVO","🟢",IF(H61&lt;=50,"🟢",IF(H61&lt;=90,"🟡","🔴"))))))</f>
        <v/>
      </c>
      <c r="M61" s="58" t="n"/>
      <c r="N61" s="58" t="inlineStr">
        <is>
          <t>NÃO</t>
        </is>
      </c>
      <c r="O61" s="58" t="inlineStr">
        <is>
          <t>SIM</t>
        </is>
      </c>
      <c r="P61" s="58" t="inlineStr">
        <is>
          <t>SIM</t>
        </is>
      </c>
      <c r="Q61" s="58" t="inlineStr">
        <is>
          <t>PROSPECÇÃO</t>
        </is>
      </c>
      <c r="R61" s="58" t="inlineStr">
        <is>
          <t>ORÇAMENTO</t>
        </is>
      </c>
      <c r="S61" s="58" t="n"/>
      <c r="T61" s="71">
        <f>IF(R61="","",IF(OR(R61="SUPORTE",R61="PERDA / FECHOU LOJA"),"SEM",A61+VLOOKUP(R61,REGRAS!$B$2:$C$13,2,FALSE())))</f>
        <v/>
      </c>
      <c r="U61" s="58">
        <f>IF(R61="","",IF(R61="VENDA / PEDIDO","RECOMPRA",IF(R61="SUPORTE","PÓS-VENDA",IF(R61="RELACIONAMENTO","CS",IF(OR(R61="NÃO ATENDE",R61="NÃO RESPONDE",R61="RECUSOU LIGAÇÃO"),"REATIVAÇÃO",IF(R61="PERDA / FECHOU LOJA","NUTRIÇÃO",IF(OR(R61="FOLLOW UP 7",R61="FOLLOW UP 15"),"SALVAMENTO","PROSPECÇÃO")))))))</f>
        <v/>
      </c>
      <c r="V61" s="58" t="n"/>
      <c r="W61" s="58" t="inlineStr">
        <is>
          <t>SIM</t>
        </is>
      </c>
      <c r="X61" s="58" t="n"/>
    </row>
    <row r="62">
      <c r="A62" s="71" t="n">
        <v>46065</v>
      </c>
      <c r="B62" s="58" t="inlineStr">
        <is>
          <t>LARISSA PADILHA</t>
        </is>
      </c>
      <c r="C62" s="58" t="inlineStr">
        <is>
          <t>NATUR LIFE 22</t>
        </is>
      </c>
      <c r="D62" s="58" t="inlineStr">
        <is>
          <t>42.944.593/4836-53</t>
        </is>
      </c>
      <c r="E62" s="58" t="inlineStr">
        <is>
          <t>MG</t>
        </is>
      </c>
      <c r="F62" s="58" t="inlineStr">
        <is>
          <t>DIVINA TERRA</t>
        </is>
      </c>
      <c r="G62" s="58" t="inlineStr">
        <is>
          <t>ATIVO</t>
        </is>
      </c>
      <c r="H62" s="58" t="n">
        <v>19</v>
      </c>
      <c r="I62" s="58">
        <f>IF(R62="","",VLOOKUP(R62,REGRAS!$B$2:$D$13,3,FALSE()))</f>
        <v/>
      </c>
      <c r="J62" s="58" t="n"/>
      <c r="K62" s="58">
        <f>IF(R62="","",IF(R62="VENDA / PEDIDO","RECOMPRA",IF(R62="SUPORTE","PÓS-VENDA",IF(OR(R62="FOLLOW UP 7",R62="FOLLOW UP 15"),"SALVAMENTO",IF(R62="PERDA / FECHOU LOJA","NUTRIÇÃO",IF(R62="RELACIONAMENTO","CS",IF(OR(R62="ORÇAMENTO",R62="CADASTRO"),"PROSPECÇÃO",IF(R62="EM ATENDIMENTO","EM ATENDIMENTO",IF(OR(R62="NÃO ATENDE",R62="NÃO RESPONDE",R62="RECUSOU LIGAÇÃO"),"RECUPERAÇÃO","")))))))))</f>
        <v/>
      </c>
      <c r="L62" s="58">
        <f>IF(H62="","",IF(G62="PROSPECT","🟣",IF(G62="LEAD","🟣",IF(G62="NOVO","🟢",IF(H62&lt;=50,"🟢",IF(H62&lt;=90,"🟡","🔴"))))))</f>
        <v/>
      </c>
      <c r="M62" s="58" t="n"/>
      <c r="N62" s="58" t="inlineStr">
        <is>
          <t>NÃO</t>
        </is>
      </c>
      <c r="O62" s="58" t="inlineStr">
        <is>
          <t>NÃO</t>
        </is>
      </c>
      <c r="P62" s="58" t="inlineStr">
        <is>
          <t>N/A</t>
        </is>
      </c>
      <c r="Q62" s="58" t="inlineStr">
        <is>
          <t>PÓS-VENDA / RELACIONAMENTO</t>
        </is>
      </c>
      <c r="R62" s="58" t="inlineStr">
        <is>
          <t>SUPORTE</t>
        </is>
      </c>
      <c r="S62" s="58" t="n"/>
      <c r="T62" s="71">
        <f>IF(R62="","",IF(OR(R62="SUPORTE",R62="PERDA / FECHOU LOJA"),"SEM",A62+VLOOKUP(R62,REGRAS!$B$2:$C$13,2,FALSE())))</f>
        <v/>
      </c>
      <c r="U62" s="58">
        <f>IF(R62="","",IF(R62="VENDA / PEDIDO","RECOMPRA",IF(R62="SUPORTE","PÓS-VENDA",IF(R62="RELACIONAMENTO","CS",IF(OR(R62="NÃO ATENDE",R62="NÃO RESPONDE",R62="RECUSOU LIGAÇÃO"),"REATIVAÇÃO",IF(R62="PERDA / FECHOU LOJA","NUTRIÇÃO",IF(OR(R62="FOLLOW UP 7",R62="FOLLOW UP 15"),"SALVAMENTO","PROSPECÇÃO")))))))</f>
        <v/>
      </c>
      <c r="V62" s="58" t="n"/>
      <c r="W62" s="58" t="inlineStr">
        <is>
          <t>NÃO</t>
        </is>
      </c>
      <c r="X62" s="58" t="n"/>
    </row>
    <row r="63">
      <c r="A63" s="71" t="n">
        <v>46065</v>
      </c>
      <c r="B63" s="58" t="inlineStr">
        <is>
          <t>MANU DITZEL</t>
        </is>
      </c>
      <c r="C63" s="58" t="inlineStr">
        <is>
          <t>TUDO GRÃOS SC 02</t>
        </is>
      </c>
      <c r="D63" s="58" t="inlineStr">
        <is>
          <t>43.649.226/7452-57</t>
        </is>
      </c>
      <c r="E63" s="58" t="inlineStr">
        <is>
          <t>SP</t>
        </is>
      </c>
      <c r="F63" s="58" t="inlineStr">
        <is>
          <t>TUDO EM GRAOS</t>
        </is>
      </c>
      <c r="G63" s="58" t="inlineStr">
        <is>
          <t>INAT.REC</t>
        </is>
      </c>
      <c r="H63" s="58" t="n">
        <v>87</v>
      </c>
      <c r="I63" s="58">
        <f>IF(R63="","",VLOOKUP(R63,REGRAS!$B$2:$D$13,3,FALSE()))</f>
        <v/>
      </c>
      <c r="J63" s="58" t="n"/>
      <c r="K63" s="58">
        <f>IF(R63="","",IF(R63="VENDA / PEDIDO","RECOMPRA",IF(R63="SUPORTE","PÓS-VENDA",IF(OR(R63="FOLLOW UP 7",R63="FOLLOW UP 15"),"SALVAMENTO",IF(R63="PERDA / FECHOU LOJA","NUTRIÇÃO",IF(R63="RELACIONAMENTO","CS",IF(OR(R63="ORÇAMENTO",R63="CADASTRO"),"PROSPECÇÃO",IF(R63="EM ATENDIMENTO","EM ATENDIMENTO",IF(OR(R63="NÃO ATENDE",R63="NÃO RESPONDE",R63="RECUSOU LIGAÇÃO"),"RECUPERAÇÃO","")))))))))</f>
        <v/>
      </c>
      <c r="L63" s="58">
        <f>IF(H63="","",IF(G63="PROSPECT","🟣",IF(G63="LEAD","🟣",IF(G63="NOVO","🟢",IF(H63&lt;=50,"🟢",IF(H63&lt;=90,"🟡","🔴"))))))</f>
        <v/>
      </c>
      <c r="M63" s="58" t="n"/>
      <c r="N63" s="58" t="inlineStr">
        <is>
          <t>SIM</t>
        </is>
      </c>
      <c r="O63" s="58" t="inlineStr">
        <is>
          <t>NÃO</t>
        </is>
      </c>
      <c r="P63" s="58" t="inlineStr">
        <is>
          <t>N/A</t>
        </is>
      </c>
      <c r="Q63" s="58" t="inlineStr">
        <is>
          <t>ATEND. CLIENTES INATIVOS</t>
        </is>
      </c>
      <c r="R63" s="58" t="inlineStr">
        <is>
          <t>NÃO RESPONDE</t>
        </is>
      </c>
      <c r="S63" s="58" t="inlineStr">
        <is>
          <t>PROBLEMA LOGÍSTICO / ENTREGA</t>
        </is>
      </c>
      <c r="T63" s="71">
        <f>IF(R63="","",IF(OR(R63="SUPORTE",R63="PERDA / FECHOU LOJA"),"SEM",A63+VLOOKUP(R63,REGRAS!$B$2:$C$13,2,FALSE())))</f>
        <v/>
      </c>
      <c r="U63" s="58">
        <f>IF(R63="","",IF(R63="VENDA / PEDIDO","RECOMPRA",IF(R63="SUPORTE","PÓS-VENDA",IF(R63="RELACIONAMENTO","CS",IF(OR(R63="NÃO ATENDE",R63="NÃO RESPONDE",R63="RECUSOU LIGAÇÃO"),"REATIVAÇÃO",IF(R63="PERDA / FECHOU LOJA","NUTRIÇÃO",IF(OR(R63="FOLLOW UP 7",R63="FOLLOW UP 15"),"SALVAMENTO","PROSPECÇÃO")))))))</f>
        <v/>
      </c>
      <c r="V63" s="58" t="n"/>
      <c r="W63" s="58" t="inlineStr">
        <is>
          <t>NÃO</t>
        </is>
      </c>
      <c r="X63" s="58" t="n"/>
    </row>
    <row r="64">
      <c r="A64" s="71" t="n">
        <v>46064</v>
      </c>
      <c r="B64" s="58" t="inlineStr">
        <is>
          <t>DAIANE STAVICKI</t>
        </is>
      </c>
      <c r="C64" s="58" t="inlineStr">
        <is>
          <t>FITLAND PR 83</t>
        </is>
      </c>
      <c r="D64" s="58" t="inlineStr">
        <is>
          <t>18.750.943/7607-99</t>
        </is>
      </c>
      <c r="E64" s="58" t="inlineStr">
        <is>
          <t>SC</t>
        </is>
      </c>
      <c r="F64" s="58" t="inlineStr">
        <is>
          <t>FIT LAND</t>
        </is>
      </c>
      <c r="G64" s="58" t="inlineStr">
        <is>
          <t>ATIVO</t>
        </is>
      </c>
      <c r="H64" s="58" t="n">
        <v>7</v>
      </c>
      <c r="I64" s="58">
        <f>IF(R64="","",VLOOKUP(R64,REGRAS!$B$2:$D$13,3,FALSE()))</f>
        <v/>
      </c>
      <c r="J64" s="58" t="n"/>
      <c r="K64" s="58">
        <f>IF(R64="","",IF(R64="VENDA / PEDIDO","RECOMPRA",IF(R64="SUPORTE","PÓS-VENDA",IF(OR(R64="FOLLOW UP 7",R64="FOLLOW UP 15"),"SALVAMENTO",IF(R64="PERDA / FECHOU LOJA","NUTRIÇÃO",IF(R64="RELACIONAMENTO","CS",IF(OR(R64="ORÇAMENTO",R64="CADASTRO"),"PROSPECÇÃO",IF(R64="EM ATENDIMENTO","EM ATENDIMENTO",IF(OR(R64="NÃO ATENDE",R64="NÃO RESPONDE",R64="RECUSOU LIGAÇÃO"),"RECUPERAÇÃO","")))))))))</f>
        <v/>
      </c>
      <c r="L64" s="58">
        <f>IF(H64="","",IF(G64="PROSPECT","🟣",IF(G64="LEAD","🟣",IF(G64="NOVO","🟢",IF(H64&lt;=50,"🟢",IF(H64&lt;=90,"🟡","🔴"))))))</f>
        <v/>
      </c>
      <c r="M64" s="58" t="n"/>
      <c r="N64" s="58" t="inlineStr">
        <is>
          <t>SIM</t>
        </is>
      </c>
      <c r="O64" s="58" t="inlineStr">
        <is>
          <t>NÃO</t>
        </is>
      </c>
      <c r="P64" s="58" t="inlineStr">
        <is>
          <t>N/A</t>
        </is>
      </c>
      <c r="Q64" s="58" t="inlineStr">
        <is>
          <t>FOLLOW UP</t>
        </is>
      </c>
      <c r="R64" s="58" t="inlineStr">
        <is>
          <t>FOLLOW UP 7</t>
        </is>
      </c>
      <c r="S64" s="58" t="inlineStr">
        <is>
          <t>AINDA TEM ESTOQUE</t>
        </is>
      </c>
      <c r="T64" s="71">
        <f>IF(R64="","",IF(OR(R64="SUPORTE",R64="PERDA / FECHOU LOJA"),"SEM",A64+VLOOKUP(R64,REGRAS!$B$2:$C$13,2,FALSE())))</f>
        <v/>
      </c>
      <c r="U64" s="58">
        <f>IF(R64="","",IF(R64="VENDA / PEDIDO","RECOMPRA",IF(R64="SUPORTE","PÓS-VENDA",IF(R64="RELACIONAMENTO","CS",IF(OR(R64="NÃO ATENDE",R64="NÃO RESPONDE",R64="RECUSOU LIGAÇÃO"),"REATIVAÇÃO",IF(R64="PERDA / FECHOU LOJA","NUTRIÇÃO",IF(OR(R64="FOLLOW UP 7",R64="FOLLOW UP 15"),"SALVAMENTO","PROSPECÇÃO")))))))</f>
        <v/>
      </c>
      <c r="V64" s="58" t="n"/>
      <c r="W64" s="58" t="inlineStr">
        <is>
          <t>SIM</t>
        </is>
      </c>
      <c r="X64" s="58" t="n"/>
    </row>
    <row r="65">
      <c r="A65" s="71" t="n">
        <v>46075</v>
      </c>
      <c r="B65" s="58" t="inlineStr">
        <is>
          <t>DAIANE STAVICKI</t>
        </is>
      </c>
      <c r="C65" s="58" t="inlineStr">
        <is>
          <t>BIO FIT 54</t>
        </is>
      </c>
      <c r="D65" s="58" t="inlineStr">
        <is>
          <t>85.860.844/2532-63</t>
        </is>
      </c>
      <c r="E65" s="58" t="inlineStr">
        <is>
          <t>SP</t>
        </is>
      </c>
      <c r="F65" s="58" t="inlineStr">
        <is>
          <t>DEMAIS CLIENTES</t>
        </is>
      </c>
      <c r="G65" s="58" t="inlineStr">
        <is>
          <t>INAT.REC</t>
        </is>
      </c>
      <c r="H65" s="58" t="n">
        <v>69</v>
      </c>
      <c r="I65" s="58">
        <f>IF(R65="","",VLOOKUP(R65,REGRAS!$B$2:$D$13,3,FALSE()))</f>
        <v/>
      </c>
      <c r="J65" s="58" t="n"/>
      <c r="K65" s="58">
        <f>IF(R65="","",IF(R65="VENDA / PEDIDO","RECOMPRA",IF(R65="SUPORTE","PÓS-VENDA",IF(OR(R65="FOLLOW UP 7",R65="FOLLOW UP 15"),"SALVAMENTO",IF(R65="PERDA / FECHOU LOJA","NUTRIÇÃO",IF(R65="RELACIONAMENTO","CS",IF(OR(R65="ORÇAMENTO",R65="CADASTRO"),"PROSPECÇÃO",IF(R65="EM ATENDIMENTO","EM ATENDIMENTO",IF(OR(R65="NÃO ATENDE",R65="NÃO RESPONDE",R65="RECUSOU LIGAÇÃO"),"RECUPERAÇÃO","")))))))))</f>
        <v/>
      </c>
      <c r="L65" s="58">
        <f>IF(H65="","",IF(G65="PROSPECT","🟣",IF(G65="LEAD","🟣",IF(G65="NOVO","🟢",IF(H65&lt;=50,"🟢",IF(H65&lt;=90,"🟡","🔴"))))))</f>
        <v/>
      </c>
      <c r="M65" s="58" t="n"/>
      <c r="N65" s="58" t="inlineStr">
        <is>
          <t>SIM</t>
        </is>
      </c>
      <c r="O65" s="58" t="inlineStr">
        <is>
          <t>NÃO</t>
        </is>
      </c>
      <c r="P65" s="58" t="inlineStr">
        <is>
          <t>N/A</t>
        </is>
      </c>
      <c r="Q65" s="58" t="inlineStr">
        <is>
          <t>PROSPECÇÃO</t>
        </is>
      </c>
      <c r="R65" s="58" t="inlineStr">
        <is>
          <t>CADASTRO</t>
        </is>
      </c>
      <c r="S65" s="58" t="n"/>
      <c r="T65" s="71">
        <f>IF(R65="","",IF(OR(R65="SUPORTE",R65="PERDA / FECHOU LOJA"),"SEM",A65+VLOOKUP(R65,REGRAS!$B$2:$C$13,2,FALSE())))</f>
        <v/>
      </c>
      <c r="U65" s="58">
        <f>IF(R65="","",IF(R65="VENDA / PEDIDO","RECOMPRA",IF(R65="SUPORTE","PÓS-VENDA",IF(R65="RELACIONAMENTO","CS",IF(OR(R65="NÃO ATENDE",R65="NÃO RESPONDE",R65="RECUSOU LIGAÇÃO"),"REATIVAÇÃO",IF(R65="PERDA / FECHOU LOJA","NUTRIÇÃO",IF(OR(R65="FOLLOW UP 7",R65="FOLLOW UP 15"),"SALVAMENTO","PROSPECÇÃO")))))))</f>
        <v/>
      </c>
      <c r="V65" s="58" t="n"/>
      <c r="W65" s="58" t="inlineStr">
        <is>
          <t>NÃO</t>
        </is>
      </c>
      <c r="X65" s="58" t="n"/>
    </row>
    <row r="66">
      <c r="A66" s="71" t="n">
        <v>46057</v>
      </c>
      <c r="B66" s="58" t="inlineStr">
        <is>
          <t>DAIANE STAVICKI</t>
        </is>
      </c>
      <c r="C66" s="58" t="inlineStr">
        <is>
          <t>GRANEL &amp; CIA 70</t>
        </is>
      </c>
      <c r="D66" s="58" t="inlineStr">
        <is>
          <t>92.467.162/6524-45</t>
        </is>
      </c>
      <c r="E66" s="58" t="inlineStr">
        <is>
          <t>PR</t>
        </is>
      </c>
      <c r="F66" s="58" t="inlineStr">
        <is>
          <t>MUNDO VERDE</t>
        </is>
      </c>
      <c r="G66" s="58" t="inlineStr">
        <is>
          <t>NOVO</t>
        </is>
      </c>
      <c r="H66" s="58" t="n"/>
      <c r="I66" s="58">
        <f>IF(R66="","",VLOOKUP(R66,REGRAS!$B$2:$D$13,3,FALSE()))</f>
        <v/>
      </c>
      <c r="J66" s="58" t="n"/>
      <c r="K66" s="58">
        <f>IF(R66="","",IF(R66="VENDA / PEDIDO","RECOMPRA",IF(R66="SUPORTE","PÓS-VENDA",IF(OR(R66="FOLLOW UP 7",R66="FOLLOW UP 15"),"SALVAMENTO",IF(R66="PERDA / FECHOU LOJA","NUTRIÇÃO",IF(R66="RELACIONAMENTO","CS",IF(OR(R66="ORÇAMENTO",R66="CADASTRO"),"PROSPECÇÃO",IF(R66="EM ATENDIMENTO","EM ATENDIMENTO",IF(OR(R66="NÃO ATENDE",R66="NÃO RESPONDE",R66="RECUSOU LIGAÇÃO"),"RECUPERAÇÃO","")))))))))</f>
        <v/>
      </c>
      <c r="L66" s="58">
        <f>IF(H66="","",IF(G66="PROSPECT","🟣",IF(G66="LEAD","🟣",IF(G66="NOVO","🟢",IF(H66&lt;=50,"🟢",IF(H66&lt;=90,"🟡","🔴"))))))</f>
        <v/>
      </c>
      <c r="M66" s="58" t="n"/>
      <c r="N66" s="58" t="inlineStr">
        <is>
          <t>SIM</t>
        </is>
      </c>
      <c r="O66" s="58" t="inlineStr">
        <is>
          <t>NÃO</t>
        </is>
      </c>
      <c r="P66" s="58" t="inlineStr">
        <is>
          <t>N/A</t>
        </is>
      </c>
      <c r="Q66" s="58" t="inlineStr">
        <is>
          <t>ATEND. CLIENTES ATIVOS</t>
        </is>
      </c>
      <c r="R66" s="58" t="inlineStr">
        <is>
          <t>FOLLOW UP 15</t>
        </is>
      </c>
      <c r="S66" s="58" t="inlineStr">
        <is>
          <t>AINDA TEM ESTOQUE</t>
        </is>
      </c>
      <c r="T66" s="71">
        <f>IF(R66="","",IF(OR(R66="SUPORTE",R66="PERDA / FECHOU LOJA"),"SEM",A66+VLOOKUP(R66,REGRAS!$B$2:$C$13,2,FALSE())))</f>
        <v/>
      </c>
      <c r="U66" s="58">
        <f>IF(R66="","",IF(R66="VENDA / PEDIDO","RECOMPRA",IF(R66="SUPORTE","PÓS-VENDA",IF(R66="RELACIONAMENTO","CS",IF(OR(R66="NÃO ATENDE",R66="NÃO RESPONDE",R66="RECUSOU LIGAÇÃO"),"REATIVAÇÃO",IF(R66="PERDA / FECHOU LOJA","NUTRIÇÃO",IF(OR(R66="FOLLOW UP 7",R66="FOLLOW UP 15"),"SALVAMENTO","PROSPECÇÃO")))))))</f>
        <v/>
      </c>
      <c r="V66" s="58" t="n"/>
      <c r="W66" s="58" t="inlineStr">
        <is>
          <t>NÃO</t>
        </is>
      </c>
      <c r="X66" s="58" t="n"/>
    </row>
    <row r="67">
      <c r="A67" s="71" t="n">
        <v>46061</v>
      </c>
      <c r="B67" s="58" t="inlineStr">
        <is>
          <t>DAIANE STAVICKI</t>
        </is>
      </c>
      <c r="C67" s="58" t="inlineStr">
        <is>
          <t>PURA VIDA 27</t>
        </is>
      </c>
      <c r="D67" s="58" t="inlineStr">
        <is>
          <t>18.949.883/9081-36</t>
        </is>
      </c>
      <c r="E67" s="58" t="inlineStr">
        <is>
          <t>SP</t>
        </is>
      </c>
      <c r="F67" s="58" t="inlineStr">
        <is>
          <t>DEMAIS CLIENTES</t>
        </is>
      </c>
      <c r="G67" s="58" t="inlineStr">
        <is>
          <t>ATIVO</t>
        </is>
      </c>
      <c r="H67" s="58" t="n">
        <v>14</v>
      </c>
      <c r="I67" s="58">
        <f>IF(R67="","",VLOOKUP(R67,REGRAS!$B$2:$D$13,3,FALSE()))</f>
        <v/>
      </c>
      <c r="J67" s="58" t="n"/>
      <c r="K67" s="58">
        <f>IF(R67="","",IF(R67="VENDA / PEDIDO","RECOMPRA",IF(R67="SUPORTE","PÓS-VENDA",IF(OR(R67="FOLLOW UP 7",R67="FOLLOW UP 15"),"SALVAMENTO",IF(R67="PERDA / FECHOU LOJA","NUTRIÇÃO",IF(R67="RELACIONAMENTO","CS",IF(OR(R67="ORÇAMENTO",R67="CADASTRO"),"PROSPECÇÃO",IF(R67="EM ATENDIMENTO","EM ATENDIMENTO",IF(OR(R67="NÃO ATENDE",R67="NÃO RESPONDE",R67="RECUSOU LIGAÇÃO"),"RECUPERAÇÃO","")))))))))</f>
        <v/>
      </c>
      <c r="L67" s="58">
        <f>IF(H67="","",IF(G67="PROSPECT","🟣",IF(G67="LEAD","🟣",IF(G67="NOVO","🟢",IF(H67&lt;=50,"🟢",IF(H67&lt;=90,"🟡","🔴"))))))</f>
        <v/>
      </c>
      <c r="M67" s="58" t="n"/>
      <c r="N67" s="58" t="inlineStr">
        <is>
          <t>SIM</t>
        </is>
      </c>
      <c r="O67" s="58" t="inlineStr">
        <is>
          <t>NÃO</t>
        </is>
      </c>
      <c r="P67" s="58" t="inlineStr">
        <is>
          <t>N/A</t>
        </is>
      </c>
      <c r="Q67" s="58" t="inlineStr">
        <is>
          <t>PÓS-VENDA / RELACIONAMENTO</t>
        </is>
      </c>
      <c r="R67" s="58" t="inlineStr">
        <is>
          <t>SUPORTE</t>
        </is>
      </c>
      <c r="S67" s="58" t="n"/>
      <c r="T67" s="71">
        <f>IF(R67="","",IF(OR(R67="SUPORTE",R67="PERDA / FECHOU LOJA"),"SEM",A67+VLOOKUP(R67,REGRAS!$B$2:$C$13,2,FALSE())))</f>
        <v/>
      </c>
      <c r="U67" s="58">
        <f>IF(R67="","",IF(R67="VENDA / PEDIDO","RECOMPRA",IF(R67="SUPORTE","PÓS-VENDA",IF(R67="RELACIONAMENTO","CS",IF(OR(R67="NÃO ATENDE",R67="NÃO RESPONDE",R67="RECUSOU LIGAÇÃO"),"REATIVAÇÃO",IF(R67="PERDA / FECHOU LOJA","NUTRIÇÃO",IF(OR(R67="FOLLOW UP 7",R67="FOLLOW UP 15"),"SALVAMENTO","PROSPECÇÃO")))))))</f>
        <v/>
      </c>
      <c r="V67" s="58" t="n"/>
      <c r="W67" s="58" t="inlineStr">
        <is>
          <t>NÃO</t>
        </is>
      </c>
      <c r="X67" s="58" t="n"/>
    </row>
    <row r="68">
      <c r="A68" s="71" t="n">
        <v>46071</v>
      </c>
      <c r="B68" s="58" t="inlineStr">
        <is>
          <t>MANU DITZEL</t>
        </is>
      </c>
      <c r="C68" s="58" t="inlineStr">
        <is>
          <t>VERDE VIDA 15</t>
        </is>
      </c>
      <c r="D68" s="58" t="inlineStr">
        <is>
          <t>94.987.126/2160-11</t>
        </is>
      </c>
      <c r="E68" s="58" t="inlineStr">
        <is>
          <t>SC</t>
        </is>
      </c>
      <c r="F68" s="58" t="inlineStr">
        <is>
          <t>DEMAIS CLIENTES</t>
        </is>
      </c>
      <c r="G68" s="58" t="inlineStr">
        <is>
          <t>INAT.REC</t>
        </is>
      </c>
      <c r="H68" s="58" t="n">
        <v>61</v>
      </c>
      <c r="I68" s="58">
        <f>IF(R68="","",VLOOKUP(R68,REGRAS!$B$2:$D$13,3,FALSE()))</f>
        <v/>
      </c>
      <c r="J68" s="58" t="n"/>
      <c r="K68" s="58">
        <f>IF(R68="","",IF(R68="VENDA / PEDIDO","RECOMPRA",IF(R68="SUPORTE","PÓS-VENDA",IF(OR(R68="FOLLOW UP 7",R68="FOLLOW UP 15"),"SALVAMENTO",IF(R68="PERDA / FECHOU LOJA","NUTRIÇÃO",IF(R68="RELACIONAMENTO","CS",IF(OR(R68="ORÇAMENTO",R68="CADASTRO"),"PROSPECÇÃO",IF(R68="EM ATENDIMENTO","EM ATENDIMENTO",IF(OR(R68="NÃO ATENDE",R68="NÃO RESPONDE",R68="RECUSOU LIGAÇÃO"),"RECUPERAÇÃO","")))))))))</f>
        <v/>
      </c>
      <c r="L68" s="58">
        <f>IF(H68="","",IF(G68="PROSPECT","🟣",IF(G68="LEAD","🟣",IF(G68="NOVO","🟢",IF(H68&lt;=50,"🟢",IF(H68&lt;=90,"🟡","🔴"))))))</f>
        <v/>
      </c>
      <c r="M68" s="58" t="n"/>
      <c r="N68" s="58" t="inlineStr">
        <is>
          <t>NÃO</t>
        </is>
      </c>
      <c r="O68" s="58" t="inlineStr">
        <is>
          <t>NÃO</t>
        </is>
      </c>
      <c r="P68" s="58" t="inlineStr">
        <is>
          <t>N/A</t>
        </is>
      </c>
      <c r="Q68" s="58" t="inlineStr">
        <is>
          <t>NEGOCIAÇÃO</t>
        </is>
      </c>
      <c r="R68" s="58" t="inlineStr">
        <is>
          <t>EM ATENDIMENTO</t>
        </is>
      </c>
      <c r="S68" s="58" t="n"/>
      <c r="T68" s="71">
        <f>IF(R68="","",IF(OR(R68="SUPORTE",R68="PERDA / FECHOU LOJA"),"SEM",A68+VLOOKUP(R68,REGRAS!$B$2:$C$13,2,FALSE())))</f>
        <v/>
      </c>
      <c r="U68" s="58">
        <f>IF(R68="","",IF(R68="VENDA / PEDIDO","RECOMPRA",IF(R68="SUPORTE","PÓS-VENDA",IF(R68="RELACIONAMENTO","CS",IF(OR(R68="NÃO ATENDE",R68="NÃO RESPONDE",R68="RECUSOU LIGAÇÃO"),"REATIVAÇÃO",IF(R68="PERDA / FECHOU LOJA","NUTRIÇÃO",IF(OR(R68="FOLLOW UP 7",R68="FOLLOW UP 15"),"SALVAMENTO","PROSPECÇÃO")))))))</f>
        <v/>
      </c>
      <c r="V68" s="58" t="n"/>
      <c r="W68" s="58" t="inlineStr">
        <is>
          <t>NÃO</t>
        </is>
      </c>
      <c r="X68" s="58" t="n"/>
    </row>
    <row r="69">
      <c r="A69" s="71" t="n">
        <v>46069</v>
      </c>
      <c r="B69" s="58" t="inlineStr">
        <is>
          <t>LARISSA PADILHA</t>
        </is>
      </c>
      <c r="C69" s="58" t="inlineStr">
        <is>
          <t>GRANEL &amp; CIA 66</t>
        </is>
      </c>
      <c r="D69" s="58" t="inlineStr">
        <is>
          <t>85.211.562/8255-38</t>
        </is>
      </c>
      <c r="E69" s="58" t="inlineStr">
        <is>
          <t>DF</t>
        </is>
      </c>
      <c r="F69" s="58" t="inlineStr">
        <is>
          <t>MUNDO VERDE</t>
        </is>
      </c>
      <c r="G69" s="58" t="inlineStr">
        <is>
          <t>INAT.ANT</t>
        </is>
      </c>
      <c r="H69" s="58" t="n">
        <v>259</v>
      </c>
      <c r="I69" s="58">
        <f>IF(R69="","",VLOOKUP(R69,REGRAS!$B$2:$D$13,3,FALSE()))</f>
        <v/>
      </c>
      <c r="J69" s="58" t="n"/>
      <c r="K69" s="58">
        <f>IF(R69="","",IF(R69="VENDA / PEDIDO","RECOMPRA",IF(R69="SUPORTE","PÓS-VENDA",IF(OR(R69="FOLLOW UP 7",R69="FOLLOW UP 15"),"SALVAMENTO",IF(R69="PERDA / FECHOU LOJA","NUTRIÇÃO",IF(R69="RELACIONAMENTO","CS",IF(OR(R69="ORÇAMENTO",R69="CADASTRO"),"PROSPECÇÃO",IF(R69="EM ATENDIMENTO","EM ATENDIMENTO",IF(OR(R69="NÃO ATENDE",R69="NÃO RESPONDE",R69="RECUSOU LIGAÇÃO"),"RECUPERAÇÃO","")))))))))</f>
        <v/>
      </c>
      <c r="L69" s="58">
        <f>IF(H69="","",IF(G69="PROSPECT","🟣",IF(G69="LEAD","🟣",IF(G69="NOVO","🟢",IF(H69&lt;=50,"🟢",IF(H69&lt;=90,"🟡","🔴"))))))</f>
        <v/>
      </c>
      <c r="M69" s="58" t="n"/>
      <c r="N69" s="58" t="inlineStr">
        <is>
          <t>NÃO</t>
        </is>
      </c>
      <c r="O69" s="58" t="inlineStr">
        <is>
          <t>SIM</t>
        </is>
      </c>
      <c r="P69" s="58" t="inlineStr">
        <is>
          <t>SIM</t>
        </is>
      </c>
      <c r="Q69" s="58" t="inlineStr">
        <is>
          <t>ATEND. CLIENTES ATIVOS</t>
        </is>
      </c>
      <c r="R69" s="58" t="inlineStr">
        <is>
          <t>RELACIONAMENTO</t>
        </is>
      </c>
      <c r="S69" s="58" t="n"/>
      <c r="T69" s="71">
        <f>IF(R69="","",IF(OR(R69="SUPORTE",R69="PERDA / FECHOU LOJA"),"SEM",A69+VLOOKUP(R69,REGRAS!$B$2:$C$13,2,FALSE())))</f>
        <v/>
      </c>
      <c r="U69" s="58">
        <f>IF(R69="","",IF(R69="VENDA / PEDIDO","RECOMPRA",IF(R69="SUPORTE","PÓS-VENDA",IF(R69="RELACIONAMENTO","CS",IF(OR(R69="NÃO ATENDE",R69="NÃO RESPONDE",R69="RECUSOU LIGAÇÃO"),"REATIVAÇÃO",IF(R69="PERDA / FECHOU LOJA","NUTRIÇÃO",IF(OR(R69="FOLLOW UP 7",R69="FOLLOW UP 15"),"SALVAMENTO","PROSPECÇÃO")))))))</f>
        <v/>
      </c>
      <c r="V69" s="58" t="n"/>
      <c r="W69" s="58" t="inlineStr">
        <is>
          <t>SIM</t>
        </is>
      </c>
      <c r="X69" s="58" t="n"/>
    </row>
    <row r="70">
      <c r="A70" s="71" t="n">
        <v>46075</v>
      </c>
      <c r="B70" s="58" t="inlineStr">
        <is>
          <t>MANU DITZEL</t>
        </is>
      </c>
      <c r="C70" s="58" t="inlineStr">
        <is>
          <t>EMPÓRIO BIO 10</t>
        </is>
      </c>
      <c r="D70" s="58" t="inlineStr">
        <is>
          <t>20.429.722/2431-18</t>
        </is>
      </c>
      <c r="E70" s="58" t="inlineStr">
        <is>
          <t>PR</t>
        </is>
      </c>
      <c r="F70" s="58" t="inlineStr">
        <is>
          <t>VIDA LEVE</t>
        </is>
      </c>
      <c r="G70" s="58" t="inlineStr">
        <is>
          <t>INAT.REC</t>
        </is>
      </c>
      <c r="H70" s="58" t="n">
        <v>83</v>
      </c>
      <c r="I70" s="58">
        <f>IF(R70="","",VLOOKUP(R70,REGRAS!$B$2:$D$13,3,FALSE()))</f>
        <v/>
      </c>
      <c r="J70" s="58" t="n"/>
      <c r="K70" s="58">
        <f>IF(R70="","",IF(R70="VENDA / PEDIDO","RECOMPRA",IF(R70="SUPORTE","PÓS-VENDA",IF(OR(R70="FOLLOW UP 7",R70="FOLLOW UP 15"),"SALVAMENTO",IF(R70="PERDA / FECHOU LOJA","NUTRIÇÃO",IF(R70="RELACIONAMENTO","CS",IF(OR(R70="ORÇAMENTO",R70="CADASTRO"),"PROSPECÇÃO",IF(R70="EM ATENDIMENTO","EM ATENDIMENTO",IF(OR(R70="NÃO ATENDE",R70="NÃO RESPONDE",R70="RECUSOU LIGAÇÃO"),"RECUPERAÇÃO","")))))))))</f>
        <v/>
      </c>
      <c r="L70" s="58">
        <f>IF(H70="","",IF(G70="PROSPECT","🟣",IF(G70="LEAD","🟣",IF(G70="NOVO","🟢",IF(H70&lt;=50,"🟢",IF(H70&lt;=90,"🟡","🔴"))))))</f>
        <v/>
      </c>
      <c r="M70" s="58" t="n"/>
      <c r="N70" s="58" t="inlineStr">
        <is>
          <t>SIM</t>
        </is>
      </c>
      <c r="O70" s="58" t="inlineStr">
        <is>
          <t>NÃO</t>
        </is>
      </c>
      <c r="P70" s="58" t="inlineStr">
        <is>
          <t>N/A</t>
        </is>
      </c>
      <c r="Q70" s="58" t="inlineStr">
        <is>
          <t>FOLLOW UP</t>
        </is>
      </c>
      <c r="R70" s="58" t="inlineStr">
        <is>
          <t>SUPORTE</t>
        </is>
      </c>
      <c r="S70" s="58" t="n"/>
      <c r="T70" s="71">
        <f>IF(R70="","",IF(OR(R70="SUPORTE",R70="PERDA / FECHOU LOJA"),"SEM",A70+VLOOKUP(R70,REGRAS!$B$2:$C$13,2,FALSE())))</f>
        <v/>
      </c>
      <c r="U70" s="58">
        <f>IF(R70="","",IF(R70="VENDA / PEDIDO","RECOMPRA",IF(R70="SUPORTE","PÓS-VENDA",IF(R70="RELACIONAMENTO","CS",IF(OR(R70="NÃO ATENDE",R70="NÃO RESPONDE",R70="RECUSOU LIGAÇÃO"),"REATIVAÇÃO",IF(R70="PERDA / FECHOU LOJA","NUTRIÇÃO",IF(OR(R70="FOLLOW UP 7",R70="FOLLOW UP 15"),"SALVAMENTO","PROSPECÇÃO")))))))</f>
        <v/>
      </c>
      <c r="V70" s="58" t="n"/>
      <c r="W70" s="58" t="inlineStr">
        <is>
          <t>SIM</t>
        </is>
      </c>
      <c r="X70" s="58" t="n"/>
    </row>
    <row r="71">
      <c r="A71" s="71" t="n">
        <v>46057</v>
      </c>
      <c r="B71" s="58" t="inlineStr">
        <is>
          <t>DAIANE STAVICKI</t>
        </is>
      </c>
      <c r="C71" s="58" t="inlineStr">
        <is>
          <t>CASA DO GRANEL 84</t>
        </is>
      </c>
      <c r="D71" s="58" t="inlineStr">
        <is>
          <t>93.998.887/9034-37</t>
        </is>
      </c>
      <c r="E71" s="58" t="inlineStr">
        <is>
          <t>RS</t>
        </is>
      </c>
      <c r="F71" s="58" t="inlineStr">
        <is>
          <t>DEMAIS CLIENTES</t>
        </is>
      </c>
      <c r="G71" s="58" t="inlineStr">
        <is>
          <t>EM RISCO</t>
        </is>
      </c>
      <c r="H71" s="58" t="n">
        <v>58</v>
      </c>
      <c r="I71" s="58">
        <f>IF(R71="","",VLOOKUP(R71,REGRAS!$B$2:$D$13,3,FALSE()))</f>
        <v/>
      </c>
      <c r="J71" s="58" t="n"/>
      <c r="K71" s="58">
        <f>IF(R71="","",IF(R71="VENDA / PEDIDO","RECOMPRA",IF(R71="SUPORTE","PÓS-VENDA",IF(OR(R71="FOLLOW UP 7",R71="FOLLOW UP 15"),"SALVAMENTO",IF(R71="PERDA / FECHOU LOJA","NUTRIÇÃO",IF(R71="RELACIONAMENTO","CS",IF(OR(R71="ORÇAMENTO",R71="CADASTRO"),"PROSPECÇÃO",IF(R71="EM ATENDIMENTO","EM ATENDIMENTO",IF(OR(R71="NÃO ATENDE",R71="NÃO RESPONDE",R71="RECUSOU LIGAÇÃO"),"RECUPERAÇÃO","")))))))))</f>
        <v/>
      </c>
      <c r="L71" s="58">
        <f>IF(H71="","",IF(G71="PROSPECT","🟣",IF(G71="LEAD","🟣",IF(G71="NOVO","🟢",IF(H71&lt;=50,"🟢",IF(H71&lt;=90,"🟡","🔴"))))))</f>
        <v/>
      </c>
      <c r="M71" s="58" t="n"/>
      <c r="N71" s="58" t="inlineStr">
        <is>
          <t>SIM</t>
        </is>
      </c>
      <c r="O71" s="58" t="inlineStr">
        <is>
          <t>SIM</t>
        </is>
      </c>
      <c r="P71" s="58" t="inlineStr">
        <is>
          <t>SIM</t>
        </is>
      </c>
      <c r="Q71" s="58" t="inlineStr">
        <is>
          <t>ATEND. CLIENTES ATIVOS</t>
        </is>
      </c>
      <c r="R71" s="58" t="inlineStr">
        <is>
          <t>SUPORTE</t>
        </is>
      </c>
      <c r="S71" s="58" t="n"/>
      <c r="T71" s="71">
        <f>IF(R71="","",IF(OR(R71="SUPORTE",R71="PERDA / FECHOU LOJA"),"SEM",A71+VLOOKUP(R71,REGRAS!$B$2:$C$13,2,FALSE())))</f>
        <v/>
      </c>
      <c r="U71" s="58">
        <f>IF(R71="","",IF(R71="VENDA / PEDIDO","RECOMPRA",IF(R71="SUPORTE","PÓS-VENDA",IF(R71="RELACIONAMENTO","CS",IF(OR(R71="NÃO ATENDE",R71="NÃO RESPONDE",R71="RECUSOU LIGAÇÃO"),"REATIVAÇÃO",IF(R71="PERDA / FECHOU LOJA","NUTRIÇÃO",IF(OR(R71="FOLLOW UP 7",R71="FOLLOW UP 15"),"SALVAMENTO","PROSPECÇÃO")))))))</f>
        <v/>
      </c>
      <c r="V71" s="58" t="n"/>
      <c r="W71" s="58" t="inlineStr">
        <is>
          <t>NÃO</t>
        </is>
      </c>
      <c r="X71" s="58" t="n"/>
    </row>
    <row r="72">
      <c r="A72" s="71" t="n">
        <v>46075</v>
      </c>
      <c r="B72" s="58" t="inlineStr">
        <is>
          <t>DAIANE STAVICKI</t>
        </is>
      </c>
      <c r="C72" s="58" t="inlineStr">
        <is>
          <t>VIDA SAUDÁVEL 12</t>
        </is>
      </c>
      <c r="D72" s="58" t="inlineStr">
        <is>
          <t>20.195.542/1583-57</t>
        </is>
      </c>
      <c r="E72" s="58" t="inlineStr">
        <is>
          <t>MG</t>
        </is>
      </c>
      <c r="F72" s="58" t="inlineStr">
        <is>
          <t>VIDA LEVE</t>
        </is>
      </c>
      <c r="G72" s="58" t="inlineStr">
        <is>
          <t>INAT.REC</t>
        </is>
      </c>
      <c r="H72" s="58" t="n">
        <v>78</v>
      </c>
      <c r="I72" s="58">
        <f>IF(R72="","",VLOOKUP(R72,REGRAS!$B$2:$D$13,3,FALSE()))</f>
        <v/>
      </c>
      <c r="J72" s="58" t="n"/>
      <c r="K72" s="58">
        <f>IF(R72="","",IF(R72="VENDA / PEDIDO","RECOMPRA",IF(R72="SUPORTE","PÓS-VENDA",IF(OR(R72="FOLLOW UP 7",R72="FOLLOW UP 15"),"SALVAMENTO",IF(R72="PERDA / FECHOU LOJA","NUTRIÇÃO",IF(R72="RELACIONAMENTO","CS",IF(OR(R72="ORÇAMENTO",R72="CADASTRO"),"PROSPECÇÃO",IF(R72="EM ATENDIMENTO","EM ATENDIMENTO",IF(OR(R72="NÃO ATENDE",R72="NÃO RESPONDE",R72="RECUSOU LIGAÇÃO"),"RECUPERAÇÃO","")))))))))</f>
        <v/>
      </c>
      <c r="L72" s="58">
        <f>IF(H72="","",IF(G72="PROSPECT","🟣",IF(G72="LEAD","🟣",IF(G72="NOVO","🟢",IF(H72&lt;=50,"🟢",IF(H72&lt;=90,"🟡","🔴"))))))</f>
        <v/>
      </c>
      <c r="M72" s="58" t="n"/>
      <c r="N72" s="58" t="inlineStr">
        <is>
          <t>SIM</t>
        </is>
      </c>
      <c r="O72" s="58" t="inlineStr">
        <is>
          <t>NÃO</t>
        </is>
      </c>
      <c r="P72" s="58" t="inlineStr">
        <is>
          <t>N/A</t>
        </is>
      </c>
      <c r="Q72" s="58" t="inlineStr">
        <is>
          <t>ATEND. CLIENTES ATIVOS</t>
        </is>
      </c>
      <c r="R72" s="58" t="inlineStr">
        <is>
          <t>FOLLOW UP 15</t>
        </is>
      </c>
      <c r="S72" s="58" t="inlineStr">
        <is>
          <t>PRIMEIRO CONTATO / SEM RESPOSTA</t>
        </is>
      </c>
      <c r="T72" s="71">
        <f>IF(R72="","",IF(OR(R72="SUPORTE",R72="PERDA / FECHOU LOJA"),"SEM",A72+VLOOKUP(R72,REGRAS!$B$2:$C$13,2,FALSE())))</f>
        <v/>
      </c>
      <c r="U72" s="58">
        <f>IF(R72="","",IF(R72="VENDA / PEDIDO","RECOMPRA",IF(R72="SUPORTE","PÓS-VENDA",IF(R72="RELACIONAMENTO","CS",IF(OR(R72="NÃO ATENDE",R72="NÃO RESPONDE",R72="RECUSOU LIGAÇÃO"),"REATIVAÇÃO",IF(R72="PERDA / FECHOU LOJA","NUTRIÇÃO",IF(OR(R72="FOLLOW UP 7",R72="FOLLOW UP 15"),"SALVAMENTO","PROSPECÇÃO")))))))</f>
        <v/>
      </c>
      <c r="V72" s="58" t="n"/>
      <c r="W72" s="58" t="inlineStr">
        <is>
          <t>SIM</t>
        </is>
      </c>
      <c r="X72" s="58" t="n"/>
    </row>
    <row r="73">
      <c r="A73" s="71" t="n">
        <v>46077</v>
      </c>
      <c r="B73" s="58" t="inlineStr">
        <is>
          <t>MANU DITZEL</t>
        </is>
      </c>
      <c r="C73" s="58" t="inlineStr">
        <is>
          <t>ECO SAUDE 77</t>
        </is>
      </c>
      <c r="D73" s="58" t="inlineStr">
        <is>
          <t>49.460.206/9469-74</t>
        </is>
      </c>
      <c r="E73" s="58" t="inlineStr">
        <is>
          <t>PR</t>
        </is>
      </c>
      <c r="F73" s="58" t="inlineStr">
        <is>
          <t>TUDO EM GRAOS</t>
        </is>
      </c>
      <c r="G73" s="58" t="inlineStr">
        <is>
          <t>ATIVO</t>
        </is>
      </c>
      <c r="H73" s="58" t="n">
        <v>11</v>
      </c>
      <c r="I73" s="58">
        <f>IF(R73="","",VLOOKUP(R73,REGRAS!$B$2:$D$13,3,FALSE()))</f>
        <v/>
      </c>
      <c r="J73" s="58" t="n"/>
      <c r="K73" s="58">
        <f>IF(R73="","",IF(R73="VENDA / PEDIDO","RECOMPRA",IF(R73="SUPORTE","PÓS-VENDA",IF(OR(R73="FOLLOW UP 7",R73="FOLLOW UP 15"),"SALVAMENTO",IF(R73="PERDA / FECHOU LOJA","NUTRIÇÃO",IF(R73="RELACIONAMENTO","CS",IF(OR(R73="ORÇAMENTO",R73="CADASTRO"),"PROSPECÇÃO",IF(R73="EM ATENDIMENTO","EM ATENDIMENTO",IF(OR(R73="NÃO ATENDE",R73="NÃO RESPONDE",R73="RECUSOU LIGAÇÃO"),"RECUPERAÇÃO","")))))))))</f>
        <v/>
      </c>
      <c r="L73" s="58">
        <f>IF(H73="","",IF(G73="PROSPECT","🟣",IF(G73="LEAD","🟣",IF(G73="NOVO","🟢",IF(H73&lt;=50,"🟢",IF(H73&lt;=90,"🟡","🔴"))))))</f>
        <v/>
      </c>
      <c r="M73" s="58" t="n"/>
      <c r="N73" s="58" t="inlineStr">
        <is>
          <t>SIM</t>
        </is>
      </c>
      <c r="O73" s="58" t="inlineStr">
        <is>
          <t>SIM</t>
        </is>
      </c>
      <c r="P73" s="58" t="inlineStr">
        <is>
          <t>SIM</t>
        </is>
      </c>
      <c r="Q73" s="58" t="inlineStr">
        <is>
          <t>FOLLOW UP</t>
        </is>
      </c>
      <c r="R73" s="58" t="inlineStr">
        <is>
          <t>FOLLOW UP 7</t>
        </is>
      </c>
      <c r="S73" s="58" t="inlineStr">
        <is>
          <t>LOJA ANEXO/PROXIMO - SM</t>
        </is>
      </c>
      <c r="T73" s="71">
        <f>IF(R73="","",IF(OR(R73="SUPORTE",R73="PERDA / FECHOU LOJA"),"SEM",A73+VLOOKUP(R73,REGRAS!$B$2:$C$13,2,FALSE())))</f>
        <v/>
      </c>
      <c r="U73" s="58">
        <f>IF(R73="","",IF(R73="VENDA / PEDIDO","RECOMPRA",IF(R73="SUPORTE","PÓS-VENDA",IF(R73="RELACIONAMENTO","CS",IF(OR(R73="NÃO ATENDE",R73="NÃO RESPONDE",R73="RECUSOU LIGAÇÃO"),"REATIVAÇÃO",IF(R73="PERDA / FECHOU LOJA","NUTRIÇÃO",IF(OR(R73="FOLLOW UP 7",R73="FOLLOW UP 15"),"SALVAMENTO","PROSPECÇÃO")))))))</f>
        <v/>
      </c>
      <c r="V73" s="58" t="n"/>
      <c r="W73" s="58" t="inlineStr">
        <is>
          <t>SIM</t>
        </is>
      </c>
      <c r="X73" s="58" t="n"/>
    </row>
    <row r="74">
      <c r="A74" s="71" t="n">
        <v>46078</v>
      </c>
      <c r="B74" s="58" t="inlineStr">
        <is>
          <t>DAIANE STAVICKI</t>
        </is>
      </c>
      <c r="C74" s="58" t="inlineStr">
        <is>
          <t>CORPO E MENTE 87</t>
        </is>
      </c>
      <c r="D74" s="58" t="inlineStr">
        <is>
          <t>92.670.126/9978-94</t>
        </is>
      </c>
      <c r="E74" s="58" t="inlineStr">
        <is>
          <t>MG</t>
        </is>
      </c>
      <c r="F74" s="58" t="inlineStr">
        <is>
          <t>CIA DA SAUDE</t>
        </is>
      </c>
      <c r="G74" s="58" t="inlineStr">
        <is>
          <t>ATIVO</t>
        </is>
      </c>
      <c r="H74" s="58" t="n">
        <v>49</v>
      </c>
      <c r="I74" s="58">
        <f>IF(R74="","",VLOOKUP(R74,REGRAS!$B$2:$D$13,3,FALSE()))</f>
        <v/>
      </c>
      <c r="J74" s="58" t="n"/>
      <c r="K74" s="58">
        <f>IF(R74="","",IF(R74="VENDA / PEDIDO","RECOMPRA",IF(R74="SUPORTE","PÓS-VENDA",IF(OR(R74="FOLLOW UP 7",R74="FOLLOW UP 15"),"SALVAMENTO",IF(R74="PERDA / FECHOU LOJA","NUTRIÇÃO",IF(R74="RELACIONAMENTO","CS",IF(OR(R74="ORÇAMENTO",R74="CADASTRO"),"PROSPECÇÃO",IF(R74="EM ATENDIMENTO","EM ATENDIMENTO",IF(OR(R74="NÃO ATENDE",R74="NÃO RESPONDE",R74="RECUSOU LIGAÇÃO"),"RECUPERAÇÃO","")))))))))</f>
        <v/>
      </c>
      <c r="L74" s="58">
        <f>IF(H74="","",IF(G74="PROSPECT","🟣",IF(G74="LEAD","🟣",IF(G74="NOVO","🟢",IF(H74&lt;=50,"🟢",IF(H74&lt;=90,"🟡","🔴"))))))</f>
        <v/>
      </c>
      <c r="M74" s="58" t="n"/>
      <c r="N74" s="58" t="inlineStr">
        <is>
          <t>SIM</t>
        </is>
      </c>
      <c r="O74" s="58" t="inlineStr">
        <is>
          <t>SIM</t>
        </is>
      </c>
      <c r="P74" s="58" t="inlineStr">
        <is>
          <t>SIM</t>
        </is>
      </c>
      <c r="Q74" s="58" t="inlineStr">
        <is>
          <t>PÓS-VENDA / RELACIONAMENTO</t>
        </is>
      </c>
      <c r="R74" s="58" t="inlineStr">
        <is>
          <t>NÃO RESPONDE</t>
        </is>
      </c>
      <c r="S74" s="58" t="inlineStr">
        <is>
          <t>PROBLEMA FINANCEIRO / CRÉDITO</t>
        </is>
      </c>
      <c r="T74" s="71">
        <f>IF(R74="","",IF(OR(R74="SUPORTE",R74="PERDA / FECHOU LOJA"),"SEM",A74+VLOOKUP(R74,REGRAS!$B$2:$C$13,2,FALSE())))</f>
        <v/>
      </c>
      <c r="U74" s="58">
        <f>IF(R74="","",IF(R74="VENDA / PEDIDO","RECOMPRA",IF(R74="SUPORTE","PÓS-VENDA",IF(R74="RELACIONAMENTO","CS",IF(OR(R74="NÃO ATENDE",R74="NÃO RESPONDE",R74="RECUSOU LIGAÇÃO"),"REATIVAÇÃO",IF(R74="PERDA / FECHOU LOJA","NUTRIÇÃO",IF(OR(R74="FOLLOW UP 7",R74="FOLLOW UP 15"),"SALVAMENTO","PROSPECÇÃO")))))))</f>
        <v/>
      </c>
      <c r="V74" s="58" t="n"/>
      <c r="W74" s="58" t="inlineStr">
        <is>
          <t>SIM</t>
        </is>
      </c>
      <c r="X74" s="58" t="n"/>
    </row>
    <row r="75">
      <c r="A75" s="71" t="n">
        <v>46077</v>
      </c>
      <c r="B75" s="58" t="inlineStr">
        <is>
          <t>JULIO GADRET</t>
        </is>
      </c>
      <c r="C75" s="58" t="inlineStr">
        <is>
          <t>EMPÓRIO NATURAL 12</t>
        </is>
      </c>
      <c r="D75" s="58" t="inlineStr">
        <is>
          <t>77.320.485/6879-68</t>
        </is>
      </c>
      <c r="E75" s="58" t="inlineStr">
        <is>
          <t>SC</t>
        </is>
      </c>
      <c r="F75" s="58" t="inlineStr">
        <is>
          <t>FIT LAND</t>
        </is>
      </c>
      <c r="G75" s="58" t="inlineStr">
        <is>
          <t>INAT.ANT</t>
        </is>
      </c>
      <c r="H75" s="58" t="n">
        <v>289</v>
      </c>
      <c r="I75" s="58">
        <f>IF(R75="","",VLOOKUP(R75,REGRAS!$B$2:$D$13,3,FALSE()))</f>
        <v/>
      </c>
      <c r="J75" s="58" t="n"/>
      <c r="K75" s="58">
        <f>IF(R75="","",IF(R75="VENDA / PEDIDO","RECOMPRA",IF(R75="SUPORTE","PÓS-VENDA",IF(OR(R75="FOLLOW UP 7",R75="FOLLOW UP 15"),"SALVAMENTO",IF(R75="PERDA / FECHOU LOJA","NUTRIÇÃO",IF(R75="RELACIONAMENTO","CS",IF(OR(R75="ORÇAMENTO",R75="CADASTRO"),"PROSPECÇÃO",IF(R75="EM ATENDIMENTO","EM ATENDIMENTO",IF(OR(R75="NÃO ATENDE",R75="NÃO RESPONDE",R75="RECUSOU LIGAÇÃO"),"RECUPERAÇÃO","")))))))))</f>
        <v/>
      </c>
      <c r="L75" s="58">
        <f>IF(H75="","",IF(G75="PROSPECT","🟣",IF(G75="LEAD","🟣",IF(G75="NOVO","🟢",IF(H75&lt;=50,"🟢",IF(H75&lt;=90,"🟡","🔴"))))))</f>
        <v/>
      </c>
      <c r="M75" s="58" t="n"/>
      <c r="N75" s="58" t="inlineStr">
        <is>
          <t>NÃO</t>
        </is>
      </c>
      <c r="O75" s="58" t="inlineStr">
        <is>
          <t>SIM</t>
        </is>
      </c>
      <c r="P75" s="58" t="inlineStr">
        <is>
          <t>NÃO</t>
        </is>
      </c>
      <c r="Q75" s="58" t="inlineStr">
        <is>
          <t>PERDA / NUTRIÇÃO</t>
        </is>
      </c>
      <c r="R75" s="58" t="inlineStr">
        <is>
          <t>NÃO RESPONDE</t>
        </is>
      </c>
      <c r="S75" s="58" t="inlineStr">
        <is>
          <t>AINDA TEM ESTOQUE</t>
        </is>
      </c>
      <c r="T75" s="71">
        <f>IF(R75="","",IF(OR(R75="SUPORTE",R75="PERDA / FECHOU LOJA"),"SEM",A75+VLOOKUP(R75,REGRAS!$B$2:$C$13,2,FALSE())))</f>
        <v/>
      </c>
      <c r="U75" s="58">
        <f>IF(R75="","",IF(R75="VENDA / PEDIDO","RECOMPRA",IF(R75="SUPORTE","PÓS-VENDA",IF(R75="RELACIONAMENTO","CS",IF(OR(R75="NÃO ATENDE",R75="NÃO RESPONDE",R75="RECUSOU LIGAÇÃO"),"REATIVAÇÃO",IF(R75="PERDA / FECHOU LOJA","NUTRIÇÃO",IF(OR(R75="FOLLOW UP 7",R75="FOLLOW UP 15"),"SALVAMENTO","PROSPECÇÃO")))))))</f>
        <v/>
      </c>
      <c r="V75" s="58" t="n"/>
      <c r="W75" s="58" t="inlineStr">
        <is>
          <t>SIM</t>
        </is>
      </c>
      <c r="X75" s="58" t="n"/>
    </row>
    <row r="76">
      <c r="A76" s="71" t="n">
        <v>46068</v>
      </c>
      <c r="B76" s="58" t="inlineStr">
        <is>
          <t>JULIO GADRET</t>
        </is>
      </c>
      <c r="C76" s="58" t="inlineStr">
        <is>
          <t>POWER NATURAL 78</t>
        </is>
      </c>
      <c r="D76" s="58" t="inlineStr">
        <is>
          <t>66.524.379/3532-75</t>
        </is>
      </c>
      <c r="E76" s="58" t="inlineStr">
        <is>
          <t>PR</t>
        </is>
      </c>
      <c r="F76" s="58" t="inlineStr">
        <is>
          <t>FIT LAND</t>
        </is>
      </c>
      <c r="G76" s="58" t="inlineStr">
        <is>
          <t>ATIVO</t>
        </is>
      </c>
      <c r="H76" s="58" t="n">
        <v>48</v>
      </c>
      <c r="I76" s="58">
        <f>IF(R76="","",VLOOKUP(R76,REGRAS!$B$2:$D$13,3,FALSE()))</f>
        <v/>
      </c>
      <c r="J76" s="58" t="n"/>
      <c r="K76" s="58">
        <f>IF(R76="","",IF(R76="VENDA / PEDIDO","RECOMPRA",IF(R76="SUPORTE","PÓS-VENDA",IF(OR(R76="FOLLOW UP 7",R76="FOLLOW UP 15"),"SALVAMENTO",IF(R76="PERDA / FECHOU LOJA","NUTRIÇÃO",IF(R76="RELACIONAMENTO","CS",IF(OR(R76="ORÇAMENTO",R76="CADASTRO"),"PROSPECÇÃO",IF(R76="EM ATENDIMENTO","EM ATENDIMENTO",IF(OR(R76="NÃO ATENDE",R76="NÃO RESPONDE",R76="RECUSOU LIGAÇÃO"),"RECUPERAÇÃO","")))))))))</f>
        <v/>
      </c>
      <c r="L76" s="58">
        <f>IF(H76="","",IF(G76="PROSPECT","🟣",IF(G76="LEAD","🟣",IF(G76="NOVO","🟢",IF(H76&lt;=50,"🟢",IF(H76&lt;=90,"🟡","🔴"))))))</f>
        <v/>
      </c>
      <c r="M76" s="58" t="n"/>
      <c r="N76" s="58" t="inlineStr">
        <is>
          <t>SIM</t>
        </is>
      </c>
      <c r="O76" s="58" t="inlineStr">
        <is>
          <t>SIM</t>
        </is>
      </c>
      <c r="P76" s="58" t="inlineStr">
        <is>
          <t>NÃO</t>
        </is>
      </c>
      <c r="Q76" s="58" t="inlineStr">
        <is>
          <t>ATEND. CLIENTES ATIVOS</t>
        </is>
      </c>
      <c r="R76" s="58" t="inlineStr">
        <is>
          <t>RELACIONAMENTO</t>
        </is>
      </c>
      <c r="S76" s="58" t="n"/>
      <c r="T76" s="71">
        <f>IF(R76="","",IF(OR(R76="SUPORTE",R76="PERDA / FECHOU LOJA"),"SEM",A76+VLOOKUP(R76,REGRAS!$B$2:$C$13,2,FALSE())))</f>
        <v/>
      </c>
      <c r="U76" s="58">
        <f>IF(R76="","",IF(R76="VENDA / PEDIDO","RECOMPRA",IF(R76="SUPORTE","PÓS-VENDA",IF(R76="RELACIONAMENTO","CS",IF(OR(R76="NÃO ATENDE",R76="NÃO RESPONDE",R76="RECUSOU LIGAÇÃO"),"REATIVAÇÃO",IF(R76="PERDA / FECHOU LOJA","NUTRIÇÃO",IF(OR(R76="FOLLOW UP 7",R76="FOLLOW UP 15"),"SALVAMENTO","PROSPECÇÃO")))))))</f>
        <v/>
      </c>
      <c r="V76" s="58" t="n"/>
      <c r="W76" s="58" t="inlineStr">
        <is>
          <t>SIM</t>
        </is>
      </c>
      <c r="X76" s="58" t="n"/>
    </row>
    <row r="77">
      <c r="A77" s="71" t="n">
        <v>46060</v>
      </c>
      <c r="B77" s="58" t="inlineStr">
        <is>
          <t>MANU DITZEL</t>
        </is>
      </c>
      <c r="C77" s="58" t="inlineStr">
        <is>
          <t>DIVINA TERRA RJ 99</t>
        </is>
      </c>
      <c r="D77" s="58" t="inlineStr">
        <is>
          <t>27.882.361/4743-51</t>
        </is>
      </c>
      <c r="E77" s="58" t="inlineStr">
        <is>
          <t>PR</t>
        </is>
      </c>
      <c r="F77" s="58" t="inlineStr">
        <is>
          <t>DIVINA TERRA</t>
        </is>
      </c>
      <c r="G77" s="58" t="inlineStr">
        <is>
          <t>EM RISCO</t>
        </is>
      </c>
      <c r="H77" s="58" t="n">
        <v>53</v>
      </c>
      <c r="I77" s="58">
        <f>IF(R77="","",VLOOKUP(R77,REGRAS!$B$2:$D$13,3,FALSE()))</f>
        <v/>
      </c>
      <c r="J77" s="58" t="n"/>
      <c r="K77" s="58">
        <f>IF(R77="","",IF(R77="VENDA / PEDIDO","RECOMPRA",IF(R77="SUPORTE","PÓS-VENDA",IF(OR(R77="FOLLOW UP 7",R77="FOLLOW UP 15"),"SALVAMENTO",IF(R77="PERDA / FECHOU LOJA","NUTRIÇÃO",IF(R77="RELACIONAMENTO","CS",IF(OR(R77="ORÇAMENTO",R77="CADASTRO"),"PROSPECÇÃO",IF(R77="EM ATENDIMENTO","EM ATENDIMENTO",IF(OR(R77="NÃO ATENDE",R77="NÃO RESPONDE",R77="RECUSOU LIGAÇÃO"),"RECUPERAÇÃO","")))))))))</f>
        <v/>
      </c>
      <c r="L77" s="58">
        <f>IF(H77="","",IF(G77="PROSPECT","🟣",IF(G77="LEAD","🟣",IF(G77="NOVO","🟢",IF(H77&lt;=50,"🟢",IF(H77&lt;=90,"🟡","🔴"))))))</f>
        <v/>
      </c>
      <c r="M77" s="58" t="n"/>
      <c r="N77" s="58" t="inlineStr">
        <is>
          <t>SIM</t>
        </is>
      </c>
      <c r="O77" s="58" t="inlineStr">
        <is>
          <t>NÃO</t>
        </is>
      </c>
      <c r="P77" s="58" t="inlineStr">
        <is>
          <t>N/A</t>
        </is>
      </c>
      <c r="Q77" s="58" t="inlineStr">
        <is>
          <t>ATEND. CLIENTES ATIVOS</t>
        </is>
      </c>
      <c r="R77" s="58" t="inlineStr">
        <is>
          <t>SUPORTE</t>
        </is>
      </c>
      <c r="S77" s="58" t="n"/>
      <c r="T77" s="71">
        <f>IF(R77="","",IF(OR(R77="SUPORTE",R77="PERDA / FECHOU LOJA"),"SEM",A77+VLOOKUP(R77,REGRAS!$B$2:$C$13,2,FALSE())))</f>
        <v/>
      </c>
      <c r="U77" s="58">
        <f>IF(R77="","",IF(R77="VENDA / PEDIDO","RECOMPRA",IF(R77="SUPORTE","PÓS-VENDA",IF(R77="RELACIONAMENTO","CS",IF(OR(R77="NÃO ATENDE",R77="NÃO RESPONDE",R77="RECUSOU LIGAÇÃO"),"REATIVAÇÃO",IF(R77="PERDA / FECHOU LOJA","NUTRIÇÃO",IF(OR(R77="FOLLOW UP 7",R77="FOLLOW UP 15"),"SALVAMENTO","PROSPECÇÃO")))))))</f>
        <v/>
      </c>
      <c r="V77" s="58" t="n"/>
      <c r="W77" s="58" t="inlineStr">
        <is>
          <t>NÃO</t>
        </is>
      </c>
      <c r="X77" s="58" t="n"/>
    </row>
    <row r="78">
      <c r="A78" s="71" t="n">
        <v>46056</v>
      </c>
      <c r="B78" s="58" t="inlineStr">
        <is>
          <t>LARISSA PADILHA</t>
        </is>
      </c>
      <c r="C78" s="58" t="inlineStr">
        <is>
          <t>MUNDO VERDE CWB 56</t>
        </is>
      </c>
      <c r="D78" s="58" t="inlineStr">
        <is>
          <t>12.570.179/5130-83</t>
        </is>
      </c>
      <c r="E78" s="58" t="inlineStr">
        <is>
          <t>RS</t>
        </is>
      </c>
      <c r="F78" s="58" t="inlineStr">
        <is>
          <t>FIT LAND</t>
        </is>
      </c>
      <c r="G78" s="58" t="inlineStr">
        <is>
          <t>INAT.ANT</t>
        </is>
      </c>
      <c r="H78" s="58" t="n">
        <v>165</v>
      </c>
      <c r="I78" s="58">
        <f>IF(R78="","",VLOOKUP(R78,REGRAS!$B$2:$D$13,3,FALSE()))</f>
        <v/>
      </c>
      <c r="J78" s="58" t="n"/>
      <c r="K78" s="58">
        <f>IF(R78="","",IF(R78="VENDA / PEDIDO","RECOMPRA",IF(R78="SUPORTE","PÓS-VENDA",IF(OR(R78="FOLLOW UP 7",R78="FOLLOW UP 15"),"SALVAMENTO",IF(R78="PERDA / FECHOU LOJA","NUTRIÇÃO",IF(R78="RELACIONAMENTO","CS",IF(OR(R78="ORÇAMENTO",R78="CADASTRO"),"PROSPECÇÃO",IF(R78="EM ATENDIMENTO","EM ATENDIMENTO",IF(OR(R78="NÃO ATENDE",R78="NÃO RESPONDE",R78="RECUSOU LIGAÇÃO"),"RECUPERAÇÃO","")))))))))</f>
        <v/>
      </c>
      <c r="L78" s="58">
        <f>IF(H78="","",IF(G78="PROSPECT","🟣",IF(G78="LEAD","🟣",IF(G78="NOVO","🟢",IF(H78&lt;=50,"🟢",IF(H78&lt;=90,"🟡","🔴"))))))</f>
        <v/>
      </c>
      <c r="M78" s="58" t="n"/>
      <c r="N78" s="58" t="inlineStr">
        <is>
          <t>SIM</t>
        </is>
      </c>
      <c r="O78" s="58" t="inlineStr">
        <is>
          <t>NÃO</t>
        </is>
      </c>
      <c r="P78" s="58" t="inlineStr">
        <is>
          <t>N/A</t>
        </is>
      </c>
      <c r="Q78" s="58" t="inlineStr">
        <is>
          <t>PROSPECÇÃO</t>
        </is>
      </c>
      <c r="R78" s="58" t="inlineStr">
        <is>
          <t>EM ATENDIMENTO</t>
        </is>
      </c>
      <c r="S78" s="58" t="n"/>
      <c r="T78" s="71">
        <f>IF(R78="","",IF(OR(R78="SUPORTE",R78="PERDA / FECHOU LOJA"),"SEM",A78+VLOOKUP(R78,REGRAS!$B$2:$C$13,2,FALSE())))</f>
        <v/>
      </c>
      <c r="U78" s="58">
        <f>IF(R78="","",IF(R78="VENDA / PEDIDO","RECOMPRA",IF(R78="SUPORTE","PÓS-VENDA",IF(R78="RELACIONAMENTO","CS",IF(OR(R78="NÃO ATENDE",R78="NÃO RESPONDE",R78="RECUSOU LIGAÇÃO"),"REATIVAÇÃO",IF(R78="PERDA / FECHOU LOJA","NUTRIÇÃO",IF(OR(R78="FOLLOW UP 7",R78="FOLLOW UP 15"),"SALVAMENTO","PROSPECÇÃO")))))))</f>
        <v/>
      </c>
      <c r="V78" s="58" t="n"/>
      <c r="W78" s="58" t="inlineStr">
        <is>
          <t>SIM</t>
        </is>
      </c>
      <c r="X78" s="58" t="n"/>
    </row>
    <row r="79">
      <c r="A79" s="71" t="n">
        <v>46080</v>
      </c>
      <c r="B79" s="58" t="inlineStr">
        <is>
          <t>JULIO GADRET</t>
        </is>
      </c>
      <c r="C79" s="58" t="inlineStr">
        <is>
          <t>GRANEL &amp; CIA 12</t>
        </is>
      </c>
      <c r="D79" s="58" t="inlineStr">
        <is>
          <t>65.964.208/3987-65</t>
        </is>
      </c>
      <c r="E79" s="58" t="inlineStr">
        <is>
          <t>SP</t>
        </is>
      </c>
      <c r="F79" s="58" t="inlineStr">
        <is>
          <t>DIVINA TERRA</t>
        </is>
      </c>
      <c r="G79" s="58" t="inlineStr">
        <is>
          <t>EM RISCO</t>
        </is>
      </c>
      <c r="H79" s="58" t="n">
        <v>55</v>
      </c>
      <c r="I79" s="58">
        <f>IF(R79="","",VLOOKUP(R79,REGRAS!$B$2:$D$13,3,FALSE()))</f>
        <v/>
      </c>
      <c r="J79" s="58" t="n"/>
      <c r="K79" s="58">
        <f>IF(R79="","",IF(R79="VENDA / PEDIDO","RECOMPRA",IF(R79="SUPORTE","PÓS-VENDA",IF(OR(R79="FOLLOW UP 7",R79="FOLLOW UP 15"),"SALVAMENTO",IF(R79="PERDA / FECHOU LOJA","NUTRIÇÃO",IF(R79="RELACIONAMENTO","CS",IF(OR(R79="ORÇAMENTO",R79="CADASTRO"),"PROSPECÇÃO",IF(R79="EM ATENDIMENTO","EM ATENDIMENTO",IF(OR(R79="NÃO ATENDE",R79="NÃO RESPONDE",R79="RECUSOU LIGAÇÃO"),"RECUPERAÇÃO","")))))))))</f>
        <v/>
      </c>
      <c r="L79" s="58">
        <f>IF(H79="","",IF(G79="PROSPECT","🟣",IF(G79="LEAD","🟣",IF(G79="NOVO","🟢",IF(H79&lt;=50,"🟢",IF(H79&lt;=90,"🟡","🔴"))))))</f>
        <v/>
      </c>
      <c r="M79" s="58" t="n"/>
      <c r="N79" s="58" t="inlineStr">
        <is>
          <t>NÃO</t>
        </is>
      </c>
      <c r="O79" s="58" t="inlineStr">
        <is>
          <t>SIM</t>
        </is>
      </c>
      <c r="P79" s="58" t="inlineStr">
        <is>
          <t>NÃO</t>
        </is>
      </c>
      <c r="Q79" s="58" t="inlineStr">
        <is>
          <t>ATEND. CLIENTES INATIVOS</t>
        </is>
      </c>
      <c r="R79" s="58" t="inlineStr">
        <is>
          <t>NÃO ATENDE</t>
        </is>
      </c>
      <c r="S79" s="58" t="inlineStr">
        <is>
          <t>PROBLEMA LOGÍSTICO / ENTREGA</t>
        </is>
      </c>
      <c r="T79" s="71">
        <f>IF(R79="","",IF(OR(R79="SUPORTE",R79="PERDA / FECHOU LOJA"),"SEM",A79+VLOOKUP(R79,REGRAS!$B$2:$C$13,2,FALSE())))</f>
        <v/>
      </c>
      <c r="U79" s="58">
        <f>IF(R79="","",IF(R79="VENDA / PEDIDO","RECOMPRA",IF(R79="SUPORTE","PÓS-VENDA",IF(R79="RELACIONAMENTO","CS",IF(OR(R79="NÃO ATENDE",R79="NÃO RESPONDE",R79="RECUSOU LIGAÇÃO"),"REATIVAÇÃO",IF(R79="PERDA / FECHOU LOJA","NUTRIÇÃO",IF(OR(R79="FOLLOW UP 7",R79="FOLLOW UP 15"),"SALVAMENTO","PROSPECÇÃO")))))))</f>
        <v/>
      </c>
      <c r="V79" s="58" t="n"/>
      <c r="W79" s="58" t="inlineStr">
        <is>
          <t>SIM</t>
        </is>
      </c>
      <c r="X79" s="58" t="n"/>
    </row>
    <row r="80">
      <c r="A80" s="71" t="n">
        <v>46078</v>
      </c>
      <c r="B80" s="58" t="inlineStr">
        <is>
          <t>MANU DITZEL</t>
        </is>
      </c>
      <c r="C80" s="58" t="inlineStr">
        <is>
          <t>SABOR NATURAL 31</t>
        </is>
      </c>
      <c r="D80" s="58" t="inlineStr">
        <is>
          <t>23.249.362/3233-32</t>
        </is>
      </c>
      <c r="E80" s="58" t="inlineStr">
        <is>
          <t>SP</t>
        </is>
      </c>
      <c r="F80" s="58" t="inlineStr">
        <is>
          <t>DEMAIS CLIENTES</t>
        </is>
      </c>
      <c r="G80" s="58" t="inlineStr">
        <is>
          <t>INAT.ANT</t>
        </is>
      </c>
      <c r="H80" s="58" t="n">
        <v>136</v>
      </c>
      <c r="I80" s="58">
        <f>IF(R80="","",VLOOKUP(R80,REGRAS!$B$2:$D$13,3,FALSE()))</f>
        <v/>
      </c>
      <c r="J80" s="58" t="n"/>
      <c r="K80" s="58">
        <f>IF(R80="","",IF(R80="VENDA / PEDIDO","RECOMPRA",IF(R80="SUPORTE","PÓS-VENDA",IF(OR(R80="FOLLOW UP 7",R80="FOLLOW UP 15"),"SALVAMENTO",IF(R80="PERDA / FECHOU LOJA","NUTRIÇÃO",IF(R80="RELACIONAMENTO","CS",IF(OR(R80="ORÇAMENTO",R80="CADASTRO"),"PROSPECÇÃO",IF(R80="EM ATENDIMENTO","EM ATENDIMENTO",IF(OR(R80="NÃO ATENDE",R80="NÃO RESPONDE",R80="RECUSOU LIGAÇÃO"),"RECUPERAÇÃO","")))))))))</f>
        <v/>
      </c>
      <c r="L80" s="58">
        <f>IF(H80="","",IF(G80="PROSPECT","🟣",IF(G80="LEAD","🟣",IF(G80="NOVO","🟢",IF(H80&lt;=50,"🟢",IF(H80&lt;=90,"🟡","🔴"))))))</f>
        <v/>
      </c>
      <c r="M80" s="58" t="n"/>
      <c r="N80" s="58" t="inlineStr">
        <is>
          <t>SIM</t>
        </is>
      </c>
      <c r="O80" s="58" t="inlineStr">
        <is>
          <t>NÃO</t>
        </is>
      </c>
      <c r="P80" s="58" t="inlineStr">
        <is>
          <t>N/A</t>
        </is>
      </c>
      <c r="Q80" s="58" t="inlineStr">
        <is>
          <t>PERDA / NUTRIÇÃO</t>
        </is>
      </c>
      <c r="R80" s="58" t="inlineStr">
        <is>
          <t>NÃO RESPONDE</t>
        </is>
      </c>
      <c r="S80" s="58" t="inlineStr">
        <is>
          <t>PROBLEMA LOGÍSTICO / ENTREGA</t>
        </is>
      </c>
      <c r="T80" s="71">
        <f>IF(R80="","",IF(OR(R80="SUPORTE",R80="PERDA / FECHOU LOJA"),"SEM",A80+VLOOKUP(R80,REGRAS!$B$2:$C$13,2,FALSE())))</f>
        <v/>
      </c>
      <c r="U80" s="58">
        <f>IF(R80="","",IF(R80="VENDA / PEDIDO","RECOMPRA",IF(R80="SUPORTE","PÓS-VENDA",IF(R80="RELACIONAMENTO","CS",IF(OR(R80="NÃO ATENDE",R80="NÃO RESPONDE",R80="RECUSOU LIGAÇÃO"),"REATIVAÇÃO",IF(R80="PERDA / FECHOU LOJA","NUTRIÇÃO",IF(OR(R80="FOLLOW UP 7",R80="FOLLOW UP 15"),"SALVAMENTO","PROSPECÇÃO")))))))</f>
        <v/>
      </c>
      <c r="V80" s="58" t="n"/>
      <c r="W80" s="58" t="inlineStr">
        <is>
          <t>NÃO</t>
        </is>
      </c>
      <c r="X80" s="58" t="n"/>
    </row>
    <row r="81">
      <c r="A81" s="71" t="n">
        <v>46072</v>
      </c>
      <c r="B81" s="58" t="inlineStr">
        <is>
          <t>JULIO GADRET</t>
        </is>
      </c>
      <c r="C81" s="58" t="inlineStr">
        <is>
          <t>CORPO E MENTE 42</t>
        </is>
      </c>
      <c r="D81" s="58" t="inlineStr">
        <is>
          <t>90.423.254/7206-18</t>
        </is>
      </c>
      <c r="E81" s="58" t="inlineStr">
        <is>
          <t>RS</t>
        </is>
      </c>
      <c r="F81" s="58" t="inlineStr">
        <is>
          <t>TUDO EM GRAOS</t>
        </is>
      </c>
      <c r="G81" s="58" t="inlineStr">
        <is>
          <t>INAT.ANT</t>
        </is>
      </c>
      <c r="H81" s="58" t="n">
        <v>242</v>
      </c>
      <c r="I81" s="58">
        <f>IF(R81="","",VLOOKUP(R81,REGRAS!$B$2:$D$13,3,FALSE()))</f>
        <v/>
      </c>
      <c r="J81" s="58" t="n"/>
      <c r="K81" s="58">
        <f>IF(R81="","",IF(R81="VENDA / PEDIDO","RECOMPRA",IF(R81="SUPORTE","PÓS-VENDA",IF(OR(R81="FOLLOW UP 7",R81="FOLLOW UP 15"),"SALVAMENTO",IF(R81="PERDA / FECHOU LOJA","NUTRIÇÃO",IF(R81="RELACIONAMENTO","CS",IF(OR(R81="ORÇAMENTO",R81="CADASTRO"),"PROSPECÇÃO",IF(R81="EM ATENDIMENTO","EM ATENDIMENTO",IF(OR(R81="NÃO ATENDE",R81="NÃO RESPONDE",R81="RECUSOU LIGAÇÃO"),"RECUPERAÇÃO","")))))))))</f>
        <v/>
      </c>
      <c r="L81" s="58">
        <f>IF(H81="","",IF(G81="PROSPECT","🟣",IF(G81="LEAD","🟣",IF(G81="NOVO","🟢",IF(H81&lt;=50,"🟢",IF(H81&lt;=90,"🟡","🔴"))))))</f>
        <v/>
      </c>
      <c r="M81" s="58" t="n"/>
      <c r="N81" s="58" t="inlineStr">
        <is>
          <t>SIM</t>
        </is>
      </c>
      <c r="O81" s="58" t="inlineStr">
        <is>
          <t>NÃO</t>
        </is>
      </c>
      <c r="P81" s="58" t="inlineStr">
        <is>
          <t>N/A</t>
        </is>
      </c>
      <c r="Q81" s="58" t="inlineStr">
        <is>
          <t>PROSPECÇÃO</t>
        </is>
      </c>
      <c r="R81" s="58" t="inlineStr">
        <is>
          <t>NÃO ATENDE</t>
        </is>
      </c>
      <c r="S81" s="58" t="inlineStr">
        <is>
          <t>AINDA TEM ESTOQUE</t>
        </is>
      </c>
      <c r="T81" s="71">
        <f>IF(R81="","",IF(OR(R81="SUPORTE",R81="PERDA / FECHOU LOJA"),"SEM",A81+VLOOKUP(R81,REGRAS!$B$2:$C$13,2,FALSE())))</f>
        <v/>
      </c>
      <c r="U81" s="58">
        <f>IF(R81="","",IF(R81="VENDA / PEDIDO","RECOMPRA",IF(R81="SUPORTE","PÓS-VENDA",IF(R81="RELACIONAMENTO","CS",IF(OR(R81="NÃO ATENDE",R81="NÃO RESPONDE",R81="RECUSOU LIGAÇÃO"),"REATIVAÇÃO",IF(R81="PERDA / FECHOU LOJA","NUTRIÇÃO",IF(OR(R81="FOLLOW UP 7",R81="FOLLOW UP 15"),"SALVAMENTO","PROSPECÇÃO")))))))</f>
        <v/>
      </c>
      <c r="V81" s="58" t="n"/>
      <c r="W81" s="58" t="inlineStr">
        <is>
          <t>NÃO</t>
        </is>
      </c>
      <c r="X81" s="58" t="n"/>
    </row>
    <row r="82">
      <c r="A82" s="71" t="n">
        <v>46056</v>
      </c>
      <c r="B82" s="58" t="inlineStr">
        <is>
          <t>JULIO GADRET</t>
        </is>
      </c>
      <c r="C82" s="58" t="inlineStr">
        <is>
          <t>GRÃO DE OURO 79</t>
        </is>
      </c>
      <c r="D82" s="58" t="inlineStr">
        <is>
          <t>86.619.493/7582-84</t>
        </is>
      </c>
      <c r="E82" s="58" t="inlineStr">
        <is>
          <t>SP</t>
        </is>
      </c>
      <c r="F82" s="58" t="inlineStr">
        <is>
          <t>DEMAIS CLIENTES</t>
        </is>
      </c>
      <c r="G82" s="58" t="inlineStr">
        <is>
          <t>NOVO</t>
        </is>
      </c>
      <c r="H82" s="58" t="n"/>
      <c r="I82" s="58">
        <f>IF(R82="","",VLOOKUP(R82,REGRAS!$B$2:$D$13,3,FALSE()))</f>
        <v/>
      </c>
      <c r="J82" s="58" t="n"/>
      <c r="K82" s="58">
        <f>IF(R82="","",IF(R82="VENDA / PEDIDO","RECOMPRA",IF(R82="SUPORTE","PÓS-VENDA",IF(OR(R82="FOLLOW UP 7",R82="FOLLOW UP 15"),"SALVAMENTO",IF(R82="PERDA / FECHOU LOJA","NUTRIÇÃO",IF(R82="RELACIONAMENTO","CS",IF(OR(R82="ORÇAMENTO",R82="CADASTRO"),"PROSPECÇÃO",IF(R82="EM ATENDIMENTO","EM ATENDIMENTO",IF(OR(R82="NÃO ATENDE",R82="NÃO RESPONDE",R82="RECUSOU LIGAÇÃO"),"RECUPERAÇÃO","")))))))))</f>
        <v/>
      </c>
      <c r="L82" s="58">
        <f>IF(H82="","",IF(G82="PROSPECT","🟣",IF(G82="LEAD","🟣",IF(G82="NOVO","🟢",IF(H82&lt;=50,"🟢",IF(H82&lt;=90,"🟡","🔴"))))))</f>
        <v/>
      </c>
      <c r="M82" s="58" t="n"/>
      <c r="N82" s="58" t="inlineStr">
        <is>
          <t>SIM</t>
        </is>
      </c>
      <c r="O82" s="58" t="inlineStr">
        <is>
          <t>SIM</t>
        </is>
      </c>
      <c r="P82" s="58" t="inlineStr">
        <is>
          <t>SIM</t>
        </is>
      </c>
      <c r="Q82" s="58" t="inlineStr">
        <is>
          <t>ATEND. CLIENTES ATIVOS</t>
        </is>
      </c>
      <c r="R82" s="58" t="inlineStr">
        <is>
          <t>SUPORTE</t>
        </is>
      </c>
      <c r="S82" s="58" t="n"/>
      <c r="T82" s="71">
        <f>IF(R82="","",IF(OR(R82="SUPORTE",R82="PERDA / FECHOU LOJA"),"SEM",A82+VLOOKUP(R82,REGRAS!$B$2:$C$13,2,FALSE())))</f>
        <v/>
      </c>
      <c r="U82" s="58">
        <f>IF(R82="","",IF(R82="VENDA / PEDIDO","RECOMPRA",IF(R82="SUPORTE","PÓS-VENDA",IF(R82="RELACIONAMENTO","CS",IF(OR(R82="NÃO ATENDE",R82="NÃO RESPONDE",R82="RECUSOU LIGAÇÃO"),"REATIVAÇÃO",IF(R82="PERDA / FECHOU LOJA","NUTRIÇÃO",IF(OR(R82="FOLLOW UP 7",R82="FOLLOW UP 15"),"SALVAMENTO","PROSPECÇÃO")))))))</f>
        <v/>
      </c>
      <c r="V82" s="58" t="n"/>
      <c r="W82" s="58" t="inlineStr">
        <is>
          <t>SIM</t>
        </is>
      </c>
      <c r="X82" s="58" t="n"/>
    </row>
    <row r="83">
      <c r="A83" s="71" t="n">
        <v>46055</v>
      </c>
      <c r="B83" s="58" t="inlineStr">
        <is>
          <t>LARISSA PADILHA</t>
        </is>
      </c>
      <c r="C83" s="58" t="inlineStr">
        <is>
          <t>SAUDE TOTAL 92</t>
        </is>
      </c>
      <c r="D83" s="58" t="inlineStr">
        <is>
          <t>20.616.761/2828-15</t>
        </is>
      </c>
      <c r="E83" s="58" t="inlineStr">
        <is>
          <t>PR</t>
        </is>
      </c>
      <c r="F83" s="58" t="inlineStr">
        <is>
          <t>FIT LAND</t>
        </is>
      </c>
      <c r="G83" s="58" t="inlineStr">
        <is>
          <t>EM RISCO</t>
        </is>
      </c>
      <c r="H83" s="58" t="n">
        <v>59</v>
      </c>
      <c r="I83" s="58">
        <f>IF(R83="","",VLOOKUP(R83,REGRAS!$B$2:$D$13,3,FALSE()))</f>
        <v/>
      </c>
      <c r="J83" s="58" t="n"/>
      <c r="K83" s="58">
        <f>IF(R83="","",IF(R83="VENDA / PEDIDO","RECOMPRA",IF(R83="SUPORTE","PÓS-VENDA",IF(OR(R83="FOLLOW UP 7",R83="FOLLOW UP 15"),"SALVAMENTO",IF(R83="PERDA / FECHOU LOJA","NUTRIÇÃO",IF(R83="RELACIONAMENTO","CS",IF(OR(R83="ORÇAMENTO",R83="CADASTRO"),"PROSPECÇÃO",IF(R83="EM ATENDIMENTO","EM ATENDIMENTO",IF(OR(R83="NÃO ATENDE",R83="NÃO RESPONDE",R83="RECUSOU LIGAÇÃO"),"RECUPERAÇÃO","")))))))))</f>
        <v/>
      </c>
      <c r="L83" s="58">
        <f>IF(H83="","",IF(G83="PROSPECT","🟣",IF(G83="LEAD","🟣",IF(G83="NOVO","🟢",IF(H83&lt;=50,"🟢",IF(H83&lt;=90,"🟡","🔴"))))))</f>
        <v/>
      </c>
      <c r="M83" s="58" t="n"/>
      <c r="N83" s="58" t="inlineStr">
        <is>
          <t>NÃO</t>
        </is>
      </c>
      <c r="O83" s="58" t="inlineStr">
        <is>
          <t>SIM</t>
        </is>
      </c>
      <c r="P83" s="58" t="inlineStr">
        <is>
          <t>NÃO</t>
        </is>
      </c>
      <c r="Q83" s="58" t="inlineStr">
        <is>
          <t>ATEND. CLIENTES ATIVOS</t>
        </is>
      </c>
      <c r="R83" s="58" t="inlineStr">
        <is>
          <t>RELACIONAMENTO</t>
        </is>
      </c>
      <c r="S83" s="58" t="n"/>
      <c r="T83" s="71">
        <f>IF(R83="","",IF(OR(R83="SUPORTE",R83="PERDA / FECHOU LOJA"),"SEM",A83+VLOOKUP(R83,REGRAS!$B$2:$C$13,2,FALSE())))</f>
        <v/>
      </c>
      <c r="U83" s="58">
        <f>IF(R83="","",IF(R83="VENDA / PEDIDO","RECOMPRA",IF(R83="SUPORTE","PÓS-VENDA",IF(R83="RELACIONAMENTO","CS",IF(OR(R83="NÃO ATENDE",R83="NÃO RESPONDE",R83="RECUSOU LIGAÇÃO"),"REATIVAÇÃO",IF(R83="PERDA / FECHOU LOJA","NUTRIÇÃO",IF(OR(R83="FOLLOW UP 7",R83="FOLLOW UP 15"),"SALVAMENTO","PROSPECÇÃO")))))))</f>
        <v/>
      </c>
      <c r="V83" s="58" t="n"/>
      <c r="W83" s="58" t="inlineStr">
        <is>
          <t>NÃO</t>
        </is>
      </c>
      <c r="X83" s="58" t="n"/>
    </row>
    <row r="84">
      <c r="A84" s="71" t="n">
        <v>46055</v>
      </c>
      <c r="B84" s="58" t="inlineStr">
        <is>
          <t>DAIANE STAVICKI</t>
        </is>
      </c>
      <c r="C84" s="58" t="inlineStr">
        <is>
          <t>SAUDE TOTAL 09</t>
        </is>
      </c>
      <c r="D84" s="58" t="inlineStr">
        <is>
          <t>52.196.671/6334-46</t>
        </is>
      </c>
      <c r="E84" s="58" t="inlineStr">
        <is>
          <t>SC</t>
        </is>
      </c>
      <c r="F84" s="58" t="inlineStr">
        <is>
          <t>DEMAIS CLIENTES</t>
        </is>
      </c>
      <c r="G84" s="58" t="inlineStr">
        <is>
          <t>PROSPECT</t>
        </is>
      </c>
      <c r="H84" s="58" t="n"/>
      <c r="I84" s="58">
        <f>IF(R84="","",VLOOKUP(R84,REGRAS!$B$2:$D$13,3,FALSE()))</f>
        <v/>
      </c>
      <c r="J84" s="58" t="n"/>
      <c r="K84" s="58">
        <f>IF(R84="","",IF(R84="VENDA / PEDIDO","RECOMPRA",IF(R84="SUPORTE","PÓS-VENDA",IF(OR(R84="FOLLOW UP 7",R84="FOLLOW UP 15"),"SALVAMENTO",IF(R84="PERDA / FECHOU LOJA","NUTRIÇÃO",IF(R84="RELACIONAMENTO","CS",IF(OR(R84="ORÇAMENTO",R84="CADASTRO"),"PROSPECÇÃO",IF(R84="EM ATENDIMENTO","EM ATENDIMENTO",IF(OR(R84="NÃO ATENDE",R84="NÃO RESPONDE",R84="RECUSOU LIGAÇÃO"),"RECUPERAÇÃO","")))))))))</f>
        <v/>
      </c>
      <c r="L84" s="58">
        <f>IF(H84="","",IF(G84="PROSPECT","🟣",IF(G84="LEAD","🟣",IF(G84="NOVO","🟢",IF(H84&lt;=50,"🟢",IF(H84&lt;=90,"🟡","🔴"))))))</f>
        <v/>
      </c>
      <c r="M84" s="58" t="n"/>
      <c r="N84" s="58" t="inlineStr">
        <is>
          <t>SIM</t>
        </is>
      </c>
      <c r="O84" s="58" t="inlineStr">
        <is>
          <t>NÃO</t>
        </is>
      </c>
      <c r="P84" s="58" t="inlineStr">
        <is>
          <t>N/A</t>
        </is>
      </c>
      <c r="Q84" s="58" t="inlineStr">
        <is>
          <t>ATEND. CLIENTES ATIVOS</t>
        </is>
      </c>
      <c r="R84" s="58" t="inlineStr">
        <is>
          <t>VENDA / PEDIDO</t>
        </is>
      </c>
      <c r="S84" s="58" t="n"/>
      <c r="T84" s="71">
        <f>IF(R84="","",IF(OR(R84="SUPORTE",R84="PERDA / FECHOU LOJA"),"SEM",A84+VLOOKUP(R84,REGRAS!$B$2:$C$13,2,FALSE())))</f>
        <v/>
      </c>
      <c r="U84" s="58">
        <f>IF(R84="","",IF(R84="VENDA / PEDIDO","RECOMPRA",IF(R84="SUPORTE","PÓS-VENDA",IF(R84="RELACIONAMENTO","CS",IF(OR(R84="NÃO ATENDE",R84="NÃO RESPONDE",R84="RECUSOU LIGAÇÃO"),"REATIVAÇÃO",IF(R84="PERDA / FECHOU LOJA","NUTRIÇÃO",IF(OR(R84="FOLLOW UP 7",R84="FOLLOW UP 15"),"SALVAMENTO","PROSPECÇÃO")))))))</f>
        <v/>
      </c>
      <c r="V84" s="58" t="n"/>
      <c r="W84" s="58" t="inlineStr">
        <is>
          <t>NÃO</t>
        </is>
      </c>
      <c r="X84" s="58" t="n"/>
    </row>
    <row r="85">
      <c r="A85" s="71" t="n">
        <v>46063</v>
      </c>
      <c r="B85" s="58" t="inlineStr">
        <is>
          <t>DAIANE STAVICKI</t>
        </is>
      </c>
      <c r="C85" s="58" t="inlineStr">
        <is>
          <t>TUDO GRÃOS SC 17</t>
        </is>
      </c>
      <c r="D85" s="58" t="inlineStr">
        <is>
          <t>86.825.186/5073-81</t>
        </is>
      </c>
      <c r="E85" s="58" t="inlineStr">
        <is>
          <t>SC</t>
        </is>
      </c>
      <c r="F85" s="58" t="inlineStr">
        <is>
          <t>DEMAIS CLIENTES</t>
        </is>
      </c>
      <c r="G85" s="58" t="inlineStr">
        <is>
          <t>NOVO</t>
        </is>
      </c>
      <c r="H85" s="58" t="n"/>
      <c r="I85" s="58">
        <f>IF(R85="","",VLOOKUP(R85,REGRAS!$B$2:$D$13,3,FALSE()))</f>
        <v/>
      </c>
      <c r="J85" s="58" t="n"/>
      <c r="K85" s="58">
        <f>IF(R85="","",IF(R85="VENDA / PEDIDO","RECOMPRA",IF(R85="SUPORTE","PÓS-VENDA",IF(OR(R85="FOLLOW UP 7",R85="FOLLOW UP 15"),"SALVAMENTO",IF(R85="PERDA / FECHOU LOJA","NUTRIÇÃO",IF(R85="RELACIONAMENTO","CS",IF(OR(R85="ORÇAMENTO",R85="CADASTRO"),"PROSPECÇÃO",IF(R85="EM ATENDIMENTO","EM ATENDIMENTO",IF(OR(R85="NÃO ATENDE",R85="NÃO RESPONDE",R85="RECUSOU LIGAÇÃO"),"RECUPERAÇÃO","")))))))))</f>
        <v/>
      </c>
      <c r="L85" s="58">
        <f>IF(H85="","",IF(G85="PROSPECT","🟣",IF(G85="LEAD","🟣",IF(G85="NOVO","🟢",IF(H85&lt;=50,"🟢",IF(H85&lt;=90,"🟡","🔴"))))))</f>
        <v/>
      </c>
      <c r="M85" s="58" t="n"/>
      <c r="N85" s="58" t="inlineStr">
        <is>
          <t>NÃO</t>
        </is>
      </c>
      <c r="O85" s="58" t="inlineStr">
        <is>
          <t>NÃO</t>
        </is>
      </c>
      <c r="P85" s="58" t="inlineStr">
        <is>
          <t>N/A</t>
        </is>
      </c>
      <c r="Q85" s="58" t="inlineStr">
        <is>
          <t>ATEND. CLIENTES INATIVOS</t>
        </is>
      </c>
      <c r="R85" s="58" t="inlineStr">
        <is>
          <t>PERDA / FECHOU LOJA</t>
        </is>
      </c>
      <c r="S85" s="58" t="inlineStr">
        <is>
          <t>SÓ QUER COMPRAR GRANEL</t>
        </is>
      </c>
      <c r="T85" s="71">
        <f>IF(R85="","",IF(OR(R85="SUPORTE",R85="PERDA / FECHOU LOJA"),"SEM",A85+VLOOKUP(R85,REGRAS!$B$2:$C$13,2,FALSE())))</f>
        <v/>
      </c>
      <c r="U85" s="58">
        <f>IF(R85="","",IF(R85="VENDA / PEDIDO","RECOMPRA",IF(R85="SUPORTE","PÓS-VENDA",IF(R85="RELACIONAMENTO","CS",IF(OR(R85="NÃO ATENDE",R85="NÃO RESPONDE",R85="RECUSOU LIGAÇÃO"),"REATIVAÇÃO",IF(R85="PERDA / FECHOU LOJA","NUTRIÇÃO",IF(OR(R85="FOLLOW UP 7",R85="FOLLOW UP 15"),"SALVAMENTO","PROSPECÇÃO")))))))</f>
        <v/>
      </c>
      <c r="V85" s="58" t="n"/>
      <c r="W85" s="58" t="inlineStr">
        <is>
          <t>SIM</t>
        </is>
      </c>
      <c r="X85" s="58" t="n"/>
    </row>
    <row r="86">
      <c r="A86" s="71" t="n">
        <v>46067</v>
      </c>
      <c r="B86" s="58" t="inlineStr">
        <is>
          <t>LARISSA PADILHA</t>
        </is>
      </c>
      <c r="C86" s="58" t="inlineStr">
        <is>
          <t>EMPÓRIO NATURAL 47</t>
        </is>
      </c>
      <c r="D86" s="58" t="inlineStr">
        <is>
          <t>49.284.319/5599-72</t>
        </is>
      </c>
      <c r="E86" s="58" t="inlineStr">
        <is>
          <t>PR</t>
        </is>
      </c>
      <c r="F86" s="58" t="inlineStr">
        <is>
          <t>DEMAIS CLIENTES</t>
        </is>
      </c>
      <c r="G86" s="58" t="inlineStr">
        <is>
          <t>ATIVO</t>
        </is>
      </c>
      <c r="H86" s="58" t="n">
        <v>23</v>
      </c>
      <c r="I86" s="58">
        <f>IF(R86="","",VLOOKUP(R86,REGRAS!$B$2:$D$13,3,FALSE()))</f>
        <v/>
      </c>
      <c r="J86" s="58" t="n"/>
      <c r="K86" s="58">
        <f>IF(R86="","",IF(R86="VENDA / PEDIDO","RECOMPRA",IF(R86="SUPORTE","PÓS-VENDA",IF(OR(R86="FOLLOW UP 7",R86="FOLLOW UP 15"),"SALVAMENTO",IF(R86="PERDA / FECHOU LOJA","NUTRIÇÃO",IF(R86="RELACIONAMENTO","CS",IF(OR(R86="ORÇAMENTO",R86="CADASTRO"),"PROSPECÇÃO",IF(R86="EM ATENDIMENTO","EM ATENDIMENTO",IF(OR(R86="NÃO ATENDE",R86="NÃO RESPONDE",R86="RECUSOU LIGAÇÃO"),"RECUPERAÇÃO","")))))))))</f>
        <v/>
      </c>
      <c r="L86" s="58">
        <f>IF(H86="","",IF(G86="PROSPECT","🟣",IF(G86="LEAD","🟣",IF(G86="NOVO","🟢",IF(H86&lt;=50,"🟢",IF(H86&lt;=90,"🟡","🔴"))))))</f>
        <v/>
      </c>
      <c r="M86" s="58" t="n"/>
      <c r="N86" s="58" t="inlineStr">
        <is>
          <t>NÃO</t>
        </is>
      </c>
      <c r="O86" s="58" t="inlineStr">
        <is>
          <t>NÃO</t>
        </is>
      </c>
      <c r="P86" s="58" t="inlineStr">
        <is>
          <t>N/A</t>
        </is>
      </c>
      <c r="Q86" s="58" t="inlineStr">
        <is>
          <t>PÓS-VENDA / RELACIONAMENTO</t>
        </is>
      </c>
      <c r="R86" s="58" t="inlineStr">
        <is>
          <t>RELACIONAMENTO</t>
        </is>
      </c>
      <c r="S86" s="58" t="n"/>
      <c r="T86" s="71">
        <f>IF(R86="","",IF(OR(R86="SUPORTE",R86="PERDA / FECHOU LOJA"),"SEM",A86+VLOOKUP(R86,REGRAS!$B$2:$C$13,2,FALSE())))</f>
        <v/>
      </c>
      <c r="U86" s="58">
        <f>IF(R86="","",IF(R86="VENDA / PEDIDO","RECOMPRA",IF(R86="SUPORTE","PÓS-VENDA",IF(R86="RELACIONAMENTO","CS",IF(OR(R86="NÃO ATENDE",R86="NÃO RESPONDE",R86="RECUSOU LIGAÇÃO"),"REATIVAÇÃO",IF(R86="PERDA / FECHOU LOJA","NUTRIÇÃO",IF(OR(R86="FOLLOW UP 7",R86="FOLLOW UP 15"),"SALVAMENTO","PROSPECÇÃO")))))))</f>
        <v/>
      </c>
      <c r="V86" s="58" t="n"/>
      <c r="W86" s="58" t="inlineStr">
        <is>
          <t>NÃO</t>
        </is>
      </c>
      <c r="X86" s="58" t="n"/>
    </row>
    <row r="87">
      <c r="A87" s="71" t="n">
        <v>46055</v>
      </c>
      <c r="B87" s="58" t="inlineStr">
        <is>
          <t>JULIO GADRET</t>
        </is>
      </c>
      <c r="C87" s="58" t="inlineStr">
        <is>
          <t>CORPO E MENTE 17</t>
        </is>
      </c>
      <c r="D87" s="58" t="inlineStr">
        <is>
          <t>86.485.257/2659-33</t>
        </is>
      </c>
      <c r="E87" s="58" t="inlineStr">
        <is>
          <t>MG</t>
        </is>
      </c>
      <c r="F87" s="58" t="inlineStr">
        <is>
          <t>DEMAIS CLIENTES</t>
        </is>
      </c>
      <c r="G87" s="58" t="inlineStr">
        <is>
          <t>NOVO</t>
        </is>
      </c>
      <c r="H87" s="58" t="n"/>
      <c r="I87" s="58">
        <f>IF(R87="","",VLOOKUP(R87,REGRAS!$B$2:$D$13,3,FALSE()))</f>
        <v/>
      </c>
      <c r="J87" s="58" t="n"/>
      <c r="K87" s="58">
        <f>IF(R87="","",IF(R87="VENDA / PEDIDO","RECOMPRA",IF(R87="SUPORTE","PÓS-VENDA",IF(OR(R87="FOLLOW UP 7",R87="FOLLOW UP 15"),"SALVAMENTO",IF(R87="PERDA / FECHOU LOJA","NUTRIÇÃO",IF(R87="RELACIONAMENTO","CS",IF(OR(R87="ORÇAMENTO",R87="CADASTRO"),"PROSPECÇÃO",IF(R87="EM ATENDIMENTO","EM ATENDIMENTO",IF(OR(R87="NÃO ATENDE",R87="NÃO RESPONDE",R87="RECUSOU LIGAÇÃO"),"RECUPERAÇÃO","")))))))))</f>
        <v/>
      </c>
      <c r="L87" s="58">
        <f>IF(H87="","",IF(G87="PROSPECT","🟣",IF(G87="LEAD","🟣",IF(G87="NOVO","🟢",IF(H87&lt;=50,"🟢",IF(H87&lt;=90,"🟡","🔴"))))))</f>
        <v/>
      </c>
      <c r="M87" s="58" t="n"/>
      <c r="N87" s="58" t="inlineStr">
        <is>
          <t>SIM</t>
        </is>
      </c>
      <c r="O87" s="58" t="inlineStr">
        <is>
          <t>NÃO</t>
        </is>
      </c>
      <c r="P87" s="58" t="inlineStr">
        <is>
          <t>N/A</t>
        </is>
      </c>
      <c r="Q87" s="58" t="inlineStr">
        <is>
          <t>NEGOCIAÇÃO</t>
        </is>
      </c>
      <c r="R87" s="58" t="inlineStr">
        <is>
          <t>ORÇAMENTO</t>
        </is>
      </c>
      <c r="S87" s="58" t="n"/>
      <c r="T87" s="71">
        <f>IF(R87="","",IF(OR(R87="SUPORTE",R87="PERDA / FECHOU LOJA"),"SEM",A87+VLOOKUP(R87,REGRAS!$B$2:$C$13,2,FALSE())))</f>
        <v/>
      </c>
      <c r="U87" s="58">
        <f>IF(R87="","",IF(R87="VENDA / PEDIDO","RECOMPRA",IF(R87="SUPORTE","PÓS-VENDA",IF(R87="RELACIONAMENTO","CS",IF(OR(R87="NÃO ATENDE",R87="NÃO RESPONDE",R87="RECUSOU LIGAÇÃO"),"REATIVAÇÃO",IF(R87="PERDA / FECHOU LOJA","NUTRIÇÃO",IF(OR(R87="FOLLOW UP 7",R87="FOLLOW UP 15"),"SALVAMENTO","PROSPECÇÃO")))))))</f>
        <v/>
      </c>
      <c r="V87" s="58" t="n"/>
      <c r="W87" s="58" t="inlineStr">
        <is>
          <t>SIM</t>
        </is>
      </c>
      <c r="X87" s="58" t="n"/>
    </row>
    <row r="88">
      <c r="A88" s="71" t="n">
        <v>46068</v>
      </c>
      <c r="B88" s="58" t="inlineStr">
        <is>
          <t>JULIO GADRET</t>
        </is>
      </c>
      <c r="C88" s="58" t="inlineStr">
        <is>
          <t>EMPÓRIO BIO 30</t>
        </is>
      </c>
      <c r="D88" s="58" t="inlineStr">
        <is>
          <t>78.344.416/7685-34</t>
        </is>
      </c>
      <c r="E88" s="58" t="inlineStr">
        <is>
          <t>SC</t>
        </is>
      </c>
      <c r="F88" s="58" t="inlineStr">
        <is>
          <t>DEMAIS CLIENTES</t>
        </is>
      </c>
      <c r="G88" s="58" t="inlineStr">
        <is>
          <t>PROSPECT</t>
        </is>
      </c>
      <c r="H88" s="58" t="n"/>
      <c r="I88" s="58">
        <f>IF(R88="","",VLOOKUP(R88,REGRAS!$B$2:$D$13,3,FALSE()))</f>
        <v/>
      </c>
      <c r="J88" s="58" t="n"/>
      <c r="K88" s="58">
        <f>IF(R88="","",IF(R88="VENDA / PEDIDO","RECOMPRA",IF(R88="SUPORTE","PÓS-VENDA",IF(OR(R88="FOLLOW UP 7",R88="FOLLOW UP 15"),"SALVAMENTO",IF(R88="PERDA / FECHOU LOJA","NUTRIÇÃO",IF(R88="RELACIONAMENTO","CS",IF(OR(R88="ORÇAMENTO",R88="CADASTRO"),"PROSPECÇÃO",IF(R88="EM ATENDIMENTO","EM ATENDIMENTO",IF(OR(R88="NÃO ATENDE",R88="NÃO RESPONDE",R88="RECUSOU LIGAÇÃO"),"RECUPERAÇÃO","")))))))))</f>
        <v/>
      </c>
      <c r="L88" s="58">
        <f>IF(H88="","",IF(G88="PROSPECT","🟣",IF(G88="LEAD","🟣",IF(G88="NOVO","🟢",IF(H88&lt;=50,"🟢",IF(H88&lt;=90,"🟡","🔴"))))))</f>
        <v/>
      </c>
      <c r="M88" s="58" t="n"/>
      <c r="N88" s="58" t="inlineStr">
        <is>
          <t>SIM</t>
        </is>
      </c>
      <c r="O88" s="58" t="inlineStr">
        <is>
          <t>NÃO</t>
        </is>
      </c>
      <c r="P88" s="58" t="inlineStr">
        <is>
          <t>N/A</t>
        </is>
      </c>
      <c r="Q88" s="58" t="inlineStr">
        <is>
          <t>ATEND. CLIENTES ATIVOS</t>
        </is>
      </c>
      <c r="R88" s="58" t="inlineStr">
        <is>
          <t>ORÇAMENTO</t>
        </is>
      </c>
      <c r="S88" s="58" t="n"/>
      <c r="T88" s="71">
        <f>IF(R88="","",IF(OR(R88="SUPORTE",R88="PERDA / FECHOU LOJA"),"SEM",A88+VLOOKUP(R88,REGRAS!$B$2:$C$13,2,FALSE())))</f>
        <v/>
      </c>
      <c r="U88" s="58">
        <f>IF(R88="","",IF(R88="VENDA / PEDIDO","RECOMPRA",IF(R88="SUPORTE","PÓS-VENDA",IF(R88="RELACIONAMENTO","CS",IF(OR(R88="NÃO ATENDE",R88="NÃO RESPONDE",R88="RECUSOU LIGAÇÃO"),"REATIVAÇÃO",IF(R88="PERDA / FECHOU LOJA","NUTRIÇÃO",IF(OR(R88="FOLLOW UP 7",R88="FOLLOW UP 15"),"SALVAMENTO","PROSPECÇÃO")))))))</f>
        <v/>
      </c>
      <c r="V88" s="58" t="n"/>
      <c r="W88" s="58" t="inlineStr">
        <is>
          <t>NÃO</t>
        </is>
      </c>
      <c r="X88" s="58" t="n"/>
    </row>
    <row r="89">
      <c r="A89" s="71" t="n">
        <v>46080</v>
      </c>
      <c r="B89" s="58" t="inlineStr">
        <is>
          <t>MANU DITZEL</t>
        </is>
      </c>
      <c r="C89" s="58" t="inlineStr">
        <is>
          <t>MUNDO BIO 18</t>
        </is>
      </c>
      <c r="D89" s="58" t="inlineStr">
        <is>
          <t>42.153.756/7874-57</t>
        </is>
      </c>
      <c r="E89" s="58" t="inlineStr">
        <is>
          <t>SP</t>
        </is>
      </c>
      <c r="F89" s="58" t="inlineStr">
        <is>
          <t>MUNDO VERDE</t>
        </is>
      </c>
      <c r="G89" s="58" t="inlineStr">
        <is>
          <t>NOVO</t>
        </is>
      </c>
      <c r="H89" s="58" t="n"/>
      <c r="I89" s="58">
        <f>IF(R89="","",VLOOKUP(R89,REGRAS!$B$2:$D$13,3,FALSE()))</f>
        <v/>
      </c>
      <c r="J89" s="58" t="n"/>
      <c r="K89" s="58">
        <f>IF(R89="","",IF(R89="VENDA / PEDIDO","RECOMPRA",IF(R89="SUPORTE","PÓS-VENDA",IF(OR(R89="FOLLOW UP 7",R89="FOLLOW UP 15"),"SALVAMENTO",IF(R89="PERDA / FECHOU LOJA","NUTRIÇÃO",IF(R89="RELACIONAMENTO","CS",IF(OR(R89="ORÇAMENTO",R89="CADASTRO"),"PROSPECÇÃO",IF(R89="EM ATENDIMENTO","EM ATENDIMENTO",IF(OR(R89="NÃO ATENDE",R89="NÃO RESPONDE",R89="RECUSOU LIGAÇÃO"),"RECUPERAÇÃO","")))))))))</f>
        <v/>
      </c>
      <c r="L89" s="58">
        <f>IF(H89="","",IF(G89="PROSPECT","🟣",IF(G89="LEAD","🟣",IF(G89="NOVO","🟢",IF(H89&lt;=50,"🟢",IF(H89&lt;=90,"🟡","🔴"))))))</f>
        <v/>
      </c>
      <c r="M89" s="58" t="n"/>
      <c r="N89" s="58" t="inlineStr">
        <is>
          <t>NÃO</t>
        </is>
      </c>
      <c r="O89" s="58" t="inlineStr">
        <is>
          <t>SIM</t>
        </is>
      </c>
      <c r="P89" s="58" t="inlineStr">
        <is>
          <t>NÃO</t>
        </is>
      </c>
      <c r="Q89" s="58" t="inlineStr">
        <is>
          <t>PÓS-VENDA / RELACIONAMENTO</t>
        </is>
      </c>
      <c r="R89" s="58" t="inlineStr">
        <is>
          <t>RELACIONAMENTO</t>
        </is>
      </c>
      <c r="S89" s="58" t="n"/>
      <c r="T89" s="71">
        <f>IF(R89="","",IF(OR(R89="SUPORTE",R89="PERDA / FECHOU LOJA"),"SEM",A89+VLOOKUP(R89,REGRAS!$B$2:$C$13,2,FALSE())))</f>
        <v/>
      </c>
      <c r="U89" s="58">
        <f>IF(R89="","",IF(R89="VENDA / PEDIDO","RECOMPRA",IF(R89="SUPORTE","PÓS-VENDA",IF(R89="RELACIONAMENTO","CS",IF(OR(R89="NÃO ATENDE",R89="NÃO RESPONDE",R89="RECUSOU LIGAÇÃO"),"REATIVAÇÃO",IF(R89="PERDA / FECHOU LOJA","NUTRIÇÃO",IF(OR(R89="FOLLOW UP 7",R89="FOLLOW UP 15"),"SALVAMENTO","PROSPECÇÃO")))))))</f>
        <v/>
      </c>
      <c r="V89" s="58" t="n"/>
      <c r="W89" s="58" t="inlineStr">
        <is>
          <t>SIM</t>
        </is>
      </c>
      <c r="X89" s="58" t="n"/>
    </row>
    <row r="90">
      <c r="A90" s="71" t="n">
        <v>46067</v>
      </c>
      <c r="B90" s="58" t="inlineStr">
        <is>
          <t>MANU DITZEL</t>
        </is>
      </c>
      <c r="C90" s="58" t="inlineStr">
        <is>
          <t>FITLAND PR 58</t>
        </is>
      </c>
      <c r="D90" s="58" t="inlineStr">
        <is>
          <t>54.127.524/0873-60</t>
        </is>
      </c>
      <c r="E90" s="58" t="inlineStr">
        <is>
          <t>RS</t>
        </is>
      </c>
      <c r="F90" s="58" t="inlineStr">
        <is>
          <t>BIOMUNDO</t>
        </is>
      </c>
      <c r="G90" s="58" t="inlineStr">
        <is>
          <t>PROSPECT</t>
        </is>
      </c>
      <c r="H90" s="58" t="n"/>
      <c r="I90" s="58">
        <f>IF(R90="","",VLOOKUP(R90,REGRAS!$B$2:$D$13,3,FALSE()))</f>
        <v/>
      </c>
      <c r="J90" s="58" t="n"/>
      <c r="K90" s="58">
        <f>IF(R90="","",IF(R90="VENDA / PEDIDO","RECOMPRA",IF(R90="SUPORTE","PÓS-VENDA",IF(OR(R90="FOLLOW UP 7",R90="FOLLOW UP 15"),"SALVAMENTO",IF(R90="PERDA / FECHOU LOJA","NUTRIÇÃO",IF(R90="RELACIONAMENTO","CS",IF(OR(R90="ORÇAMENTO",R90="CADASTRO"),"PROSPECÇÃO",IF(R90="EM ATENDIMENTO","EM ATENDIMENTO",IF(OR(R90="NÃO ATENDE",R90="NÃO RESPONDE",R90="RECUSOU LIGAÇÃO"),"RECUPERAÇÃO","")))))))))</f>
        <v/>
      </c>
      <c r="L90" s="58">
        <f>IF(H90="","",IF(G90="PROSPECT","🟣",IF(G90="LEAD","🟣",IF(G90="NOVO","🟢",IF(H90&lt;=50,"🟢",IF(H90&lt;=90,"🟡","🔴"))))))</f>
        <v/>
      </c>
      <c r="M90" s="58" t="n"/>
      <c r="N90" s="58" t="inlineStr">
        <is>
          <t>NÃO</t>
        </is>
      </c>
      <c r="O90" s="58" t="inlineStr">
        <is>
          <t>NÃO</t>
        </is>
      </c>
      <c r="P90" s="58" t="inlineStr">
        <is>
          <t>N/A</t>
        </is>
      </c>
      <c r="Q90" s="58" t="inlineStr">
        <is>
          <t>ATEND. CLIENTES ATIVOS</t>
        </is>
      </c>
      <c r="R90" s="58" t="inlineStr">
        <is>
          <t>VENDA / PEDIDO</t>
        </is>
      </c>
      <c r="S90" s="58" t="n"/>
      <c r="T90" s="71">
        <f>IF(R90="","",IF(OR(R90="SUPORTE",R90="PERDA / FECHOU LOJA"),"SEM",A90+VLOOKUP(R90,REGRAS!$B$2:$C$13,2,FALSE())))</f>
        <v/>
      </c>
      <c r="U90" s="58">
        <f>IF(R90="","",IF(R90="VENDA / PEDIDO","RECOMPRA",IF(R90="SUPORTE","PÓS-VENDA",IF(R90="RELACIONAMENTO","CS",IF(OR(R90="NÃO ATENDE",R90="NÃO RESPONDE",R90="RECUSOU LIGAÇÃO"),"REATIVAÇÃO",IF(R90="PERDA / FECHOU LOJA","NUTRIÇÃO",IF(OR(R90="FOLLOW UP 7",R90="FOLLOW UP 15"),"SALVAMENTO","PROSPECÇÃO")))))))</f>
        <v/>
      </c>
      <c r="V90" s="58" t="n"/>
      <c r="W90" s="58" t="inlineStr">
        <is>
          <t>SIM</t>
        </is>
      </c>
      <c r="X90" s="58" t="n"/>
    </row>
    <row r="91">
      <c r="A91" s="71" t="n">
        <v>46079</v>
      </c>
      <c r="B91" s="58" t="inlineStr">
        <is>
          <t>MANU DITZEL</t>
        </is>
      </c>
      <c r="C91" s="58" t="inlineStr">
        <is>
          <t>MUNDO VERDE CWB 37</t>
        </is>
      </c>
      <c r="D91" s="58" t="inlineStr">
        <is>
          <t>70.812.951/2274-70</t>
        </is>
      </c>
      <c r="E91" s="58" t="inlineStr">
        <is>
          <t>RS</t>
        </is>
      </c>
      <c r="F91" s="58" t="inlineStr">
        <is>
          <t>MUNDO VERDE</t>
        </is>
      </c>
      <c r="G91" s="58" t="inlineStr">
        <is>
          <t>ATIVO</t>
        </is>
      </c>
      <c r="H91" s="58" t="n">
        <v>21</v>
      </c>
      <c r="I91" s="58">
        <f>IF(R91="","",VLOOKUP(R91,REGRAS!$B$2:$D$13,3,FALSE()))</f>
        <v/>
      </c>
      <c r="J91" s="58" t="n"/>
      <c r="K91" s="58">
        <f>IF(R91="","",IF(R91="VENDA / PEDIDO","RECOMPRA",IF(R91="SUPORTE","PÓS-VENDA",IF(OR(R91="FOLLOW UP 7",R91="FOLLOW UP 15"),"SALVAMENTO",IF(R91="PERDA / FECHOU LOJA","NUTRIÇÃO",IF(R91="RELACIONAMENTO","CS",IF(OR(R91="ORÇAMENTO",R91="CADASTRO"),"PROSPECÇÃO",IF(R91="EM ATENDIMENTO","EM ATENDIMENTO",IF(OR(R91="NÃO ATENDE",R91="NÃO RESPONDE",R91="RECUSOU LIGAÇÃO"),"RECUPERAÇÃO","")))))))))</f>
        <v/>
      </c>
      <c r="L91" s="58">
        <f>IF(H91="","",IF(G91="PROSPECT","🟣",IF(G91="LEAD","🟣",IF(G91="NOVO","🟢",IF(H91&lt;=50,"🟢",IF(H91&lt;=90,"🟡","🔴"))))))</f>
        <v/>
      </c>
      <c r="M91" s="58" t="n"/>
      <c r="N91" s="58" t="inlineStr">
        <is>
          <t>NÃO</t>
        </is>
      </c>
      <c r="O91" s="58" t="inlineStr">
        <is>
          <t>NÃO</t>
        </is>
      </c>
      <c r="P91" s="58" t="inlineStr">
        <is>
          <t>N/A</t>
        </is>
      </c>
      <c r="Q91" s="58" t="inlineStr">
        <is>
          <t>NEGOCIAÇÃO</t>
        </is>
      </c>
      <c r="R91" s="58" t="inlineStr">
        <is>
          <t>EM ATENDIMENTO</t>
        </is>
      </c>
      <c r="S91" s="58" t="n"/>
      <c r="T91" s="71">
        <f>IF(R91="","",IF(OR(R91="SUPORTE",R91="PERDA / FECHOU LOJA"),"SEM",A91+VLOOKUP(R91,REGRAS!$B$2:$C$13,2,FALSE())))</f>
        <v/>
      </c>
      <c r="U91" s="58">
        <f>IF(R91="","",IF(R91="VENDA / PEDIDO","RECOMPRA",IF(R91="SUPORTE","PÓS-VENDA",IF(R91="RELACIONAMENTO","CS",IF(OR(R91="NÃO ATENDE",R91="NÃO RESPONDE",R91="RECUSOU LIGAÇÃO"),"REATIVAÇÃO",IF(R91="PERDA / FECHOU LOJA","NUTRIÇÃO",IF(OR(R91="FOLLOW UP 7",R91="FOLLOW UP 15"),"SALVAMENTO","PROSPECÇÃO")))))))</f>
        <v/>
      </c>
      <c r="V91" s="58" t="n"/>
      <c r="W91" s="58" t="inlineStr">
        <is>
          <t>SIM</t>
        </is>
      </c>
      <c r="X91" s="58" t="n"/>
    </row>
    <row r="92">
      <c r="A92" s="71" t="n">
        <v>46078</v>
      </c>
      <c r="B92" s="58" t="inlineStr">
        <is>
          <t>MANU DITZEL</t>
        </is>
      </c>
      <c r="C92" s="58" t="inlineStr">
        <is>
          <t>EMPÓRIO DO CAMPO 16</t>
        </is>
      </c>
      <c r="D92" s="58" t="inlineStr">
        <is>
          <t>16.344.529/7490-18</t>
        </is>
      </c>
      <c r="E92" s="58" t="inlineStr">
        <is>
          <t>PR</t>
        </is>
      </c>
      <c r="F92" s="58" t="inlineStr">
        <is>
          <t>DEMAIS CLIENTES</t>
        </is>
      </c>
      <c r="G92" s="58" t="inlineStr">
        <is>
          <t>INAT.REC</t>
        </is>
      </c>
      <c r="H92" s="58" t="n">
        <v>61</v>
      </c>
      <c r="I92" s="58">
        <f>IF(R92="","",VLOOKUP(R92,REGRAS!$B$2:$D$13,3,FALSE()))</f>
        <v/>
      </c>
      <c r="J92" s="58" t="n"/>
      <c r="K92" s="58">
        <f>IF(R92="","",IF(R92="VENDA / PEDIDO","RECOMPRA",IF(R92="SUPORTE","PÓS-VENDA",IF(OR(R92="FOLLOW UP 7",R92="FOLLOW UP 15"),"SALVAMENTO",IF(R92="PERDA / FECHOU LOJA","NUTRIÇÃO",IF(R92="RELACIONAMENTO","CS",IF(OR(R92="ORÇAMENTO",R92="CADASTRO"),"PROSPECÇÃO",IF(R92="EM ATENDIMENTO","EM ATENDIMENTO",IF(OR(R92="NÃO ATENDE",R92="NÃO RESPONDE",R92="RECUSOU LIGAÇÃO"),"RECUPERAÇÃO","")))))))))</f>
        <v/>
      </c>
      <c r="L92" s="58">
        <f>IF(H92="","",IF(G92="PROSPECT","🟣",IF(G92="LEAD","🟣",IF(G92="NOVO","🟢",IF(H92&lt;=50,"🟢",IF(H92&lt;=90,"🟡","🔴"))))))</f>
        <v/>
      </c>
      <c r="M92" s="58" t="n"/>
      <c r="N92" s="58" t="inlineStr">
        <is>
          <t>NÃO</t>
        </is>
      </c>
      <c r="O92" s="58" t="inlineStr">
        <is>
          <t>SIM</t>
        </is>
      </c>
      <c r="P92" s="58" t="inlineStr">
        <is>
          <t>SIM</t>
        </is>
      </c>
      <c r="Q92" s="58" t="inlineStr">
        <is>
          <t>ATEND. CLIENTES INATIVOS</t>
        </is>
      </c>
      <c r="R92" s="58" t="inlineStr">
        <is>
          <t>RECUSOU LIGAÇÃO</t>
        </is>
      </c>
      <c r="S92" s="58" t="inlineStr">
        <is>
          <t>PRODUTO NÃO VENDEU / SEM GIRO</t>
        </is>
      </c>
      <c r="T92" s="71">
        <f>IF(R92="","",IF(OR(R92="SUPORTE",R92="PERDA / FECHOU LOJA"),"SEM",A92+VLOOKUP(R92,REGRAS!$B$2:$C$13,2,FALSE())))</f>
        <v/>
      </c>
      <c r="U92" s="58">
        <f>IF(R92="","",IF(R92="VENDA / PEDIDO","RECOMPRA",IF(R92="SUPORTE","PÓS-VENDA",IF(R92="RELACIONAMENTO","CS",IF(OR(R92="NÃO ATENDE",R92="NÃO RESPONDE",R92="RECUSOU LIGAÇÃO"),"REATIVAÇÃO",IF(R92="PERDA / FECHOU LOJA","NUTRIÇÃO",IF(OR(R92="FOLLOW UP 7",R92="FOLLOW UP 15"),"SALVAMENTO","PROSPECÇÃO")))))))</f>
        <v/>
      </c>
      <c r="V92" s="58" t="n"/>
      <c r="W92" s="58" t="inlineStr">
        <is>
          <t>SIM</t>
        </is>
      </c>
      <c r="X92" s="58" t="n"/>
    </row>
    <row r="93">
      <c r="A93" s="71" t="n">
        <v>46059</v>
      </c>
      <c r="B93" s="58" t="inlineStr">
        <is>
          <t>JULIO GADRET</t>
        </is>
      </c>
      <c r="C93" s="58" t="inlineStr">
        <is>
          <t>GRÃO DE OURO 68</t>
        </is>
      </c>
      <c r="D93" s="58" t="inlineStr">
        <is>
          <t>56.169.638/8915-74</t>
        </is>
      </c>
      <c r="E93" s="58" t="inlineStr">
        <is>
          <t>MG</t>
        </is>
      </c>
      <c r="F93" s="58" t="inlineStr">
        <is>
          <t>DIVINA TERRA</t>
        </is>
      </c>
      <c r="G93" s="58" t="inlineStr">
        <is>
          <t>ATIVO</t>
        </is>
      </c>
      <c r="H93" s="58" t="n">
        <v>35</v>
      </c>
      <c r="I93" s="58">
        <f>IF(R93="","",VLOOKUP(R93,REGRAS!$B$2:$D$13,3,FALSE()))</f>
        <v/>
      </c>
      <c r="J93" s="58" t="n"/>
      <c r="K93" s="58">
        <f>IF(R93="","",IF(R93="VENDA / PEDIDO","RECOMPRA",IF(R93="SUPORTE","PÓS-VENDA",IF(OR(R93="FOLLOW UP 7",R93="FOLLOW UP 15"),"SALVAMENTO",IF(R93="PERDA / FECHOU LOJA","NUTRIÇÃO",IF(R93="RELACIONAMENTO","CS",IF(OR(R93="ORÇAMENTO",R93="CADASTRO"),"PROSPECÇÃO",IF(R93="EM ATENDIMENTO","EM ATENDIMENTO",IF(OR(R93="NÃO ATENDE",R93="NÃO RESPONDE",R93="RECUSOU LIGAÇÃO"),"RECUPERAÇÃO","")))))))))</f>
        <v/>
      </c>
      <c r="L93" s="58">
        <f>IF(H93="","",IF(G93="PROSPECT","🟣",IF(G93="LEAD","🟣",IF(G93="NOVO","🟢",IF(H93&lt;=50,"🟢",IF(H93&lt;=90,"🟡","🔴"))))))</f>
        <v/>
      </c>
      <c r="M93" s="58" t="n"/>
      <c r="N93" s="58" t="inlineStr">
        <is>
          <t>SIM</t>
        </is>
      </c>
      <c r="O93" s="58" t="inlineStr">
        <is>
          <t>NÃO</t>
        </is>
      </c>
      <c r="P93" s="58" t="inlineStr">
        <is>
          <t>N/A</t>
        </is>
      </c>
      <c r="Q93" s="58" t="inlineStr">
        <is>
          <t>PROSPECÇÃO</t>
        </is>
      </c>
      <c r="R93" s="58" t="inlineStr">
        <is>
          <t>CADASTRO</t>
        </is>
      </c>
      <c r="S93" s="58" t="n"/>
      <c r="T93" s="71">
        <f>IF(R93="","",IF(OR(R93="SUPORTE",R93="PERDA / FECHOU LOJA"),"SEM",A93+VLOOKUP(R93,REGRAS!$B$2:$C$13,2,FALSE())))</f>
        <v/>
      </c>
      <c r="U93" s="58">
        <f>IF(R93="","",IF(R93="VENDA / PEDIDO","RECOMPRA",IF(R93="SUPORTE","PÓS-VENDA",IF(R93="RELACIONAMENTO","CS",IF(OR(R93="NÃO ATENDE",R93="NÃO RESPONDE",R93="RECUSOU LIGAÇÃO"),"REATIVAÇÃO",IF(R93="PERDA / FECHOU LOJA","NUTRIÇÃO",IF(OR(R93="FOLLOW UP 7",R93="FOLLOW UP 15"),"SALVAMENTO","PROSPECÇÃO")))))))</f>
        <v/>
      </c>
      <c r="V93" s="58" t="n"/>
      <c r="W93" s="58" t="inlineStr">
        <is>
          <t>SIM</t>
        </is>
      </c>
      <c r="X93" s="58" t="n"/>
    </row>
    <row r="94">
      <c r="A94" s="71" t="n">
        <v>46056</v>
      </c>
      <c r="B94" s="58" t="inlineStr">
        <is>
          <t>MANU DITZEL</t>
        </is>
      </c>
      <c r="C94" s="58" t="inlineStr">
        <is>
          <t>NATURAL POINT 99</t>
        </is>
      </c>
      <c r="D94" s="58" t="inlineStr">
        <is>
          <t>84.852.874/5448-27</t>
        </is>
      </c>
      <c r="E94" s="58" t="inlineStr">
        <is>
          <t>PR</t>
        </is>
      </c>
      <c r="F94" s="58" t="inlineStr">
        <is>
          <t>VIDA LEVE</t>
        </is>
      </c>
      <c r="G94" s="58" t="inlineStr">
        <is>
          <t>NOVO</t>
        </is>
      </c>
      <c r="H94" s="58" t="n"/>
      <c r="I94" s="58">
        <f>IF(R94="","",VLOOKUP(R94,REGRAS!$B$2:$D$13,3,FALSE()))</f>
        <v/>
      </c>
      <c r="J94" s="58" t="n"/>
      <c r="K94" s="58">
        <f>IF(R94="","",IF(R94="VENDA / PEDIDO","RECOMPRA",IF(R94="SUPORTE","PÓS-VENDA",IF(OR(R94="FOLLOW UP 7",R94="FOLLOW UP 15"),"SALVAMENTO",IF(R94="PERDA / FECHOU LOJA","NUTRIÇÃO",IF(R94="RELACIONAMENTO","CS",IF(OR(R94="ORÇAMENTO",R94="CADASTRO"),"PROSPECÇÃO",IF(R94="EM ATENDIMENTO","EM ATENDIMENTO",IF(OR(R94="NÃO ATENDE",R94="NÃO RESPONDE",R94="RECUSOU LIGAÇÃO"),"RECUPERAÇÃO","")))))))))</f>
        <v/>
      </c>
      <c r="L94" s="58">
        <f>IF(H94="","",IF(G94="PROSPECT","🟣",IF(G94="LEAD","🟣",IF(G94="NOVO","🟢",IF(H94&lt;=50,"🟢",IF(H94&lt;=90,"🟡","🔴"))))))</f>
        <v/>
      </c>
      <c r="M94" s="58" t="n"/>
      <c r="N94" s="58" t="inlineStr">
        <is>
          <t>SIM</t>
        </is>
      </c>
      <c r="O94" s="58" t="inlineStr">
        <is>
          <t>NÃO</t>
        </is>
      </c>
      <c r="P94" s="58" t="inlineStr">
        <is>
          <t>N/A</t>
        </is>
      </c>
      <c r="Q94" s="58" t="inlineStr">
        <is>
          <t>NEGOCIAÇÃO</t>
        </is>
      </c>
      <c r="R94" s="58" t="inlineStr">
        <is>
          <t>NÃO ATENDE</t>
        </is>
      </c>
      <c r="S94" s="58" t="inlineStr">
        <is>
          <t>PROBLEMA LOGÍSTICO / ENTREGA</t>
        </is>
      </c>
      <c r="T94" s="71">
        <f>IF(R94="","",IF(OR(R94="SUPORTE",R94="PERDA / FECHOU LOJA"),"SEM",A94+VLOOKUP(R94,REGRAS!$B$2:$C$13,2,FALSE())))</f>
        <v/>
      </c>
      <c r="U94" s="58">
        <f>IF(R94="","",IF(R94="VENDA / PEDIDO","RECOMPRA",IF(R94="SUPORTE","PÓS-VENDA",IF(R94="RELACIONAMENTO","CS",IF(OR(R94="NÃO ATENDE",R94="NÃO RESPONDE",R94="RECUSOU LIGAÇÃO"),"REATIVAÇÃO",IF(R94="PERDA / FECHOU LOJA","NUTRIÇÃO",IF(OR(R94="FOLLOW UP 7",R94="FOLLOW UP 15"),"SALVAMENTO","PROSPECÇÃO")))))))</f>
        <v/>
      </c>
      <c r="V94" s="58" t="n"/>
      <c r="W94" s="58" t="inlineStr">
        <is>
          <t>NÃO</t>
        </is>
      </c>
      <c r="X94" s="58" t="n"/>
    </row>
    <row r="95">
      <c r="A95" s="71" t="n">
        <v>46056</v>
      </c>
      <c r="B95" s="58" t="inlineStr">
        <is>
          <t>JULIO GADRET</t>
        </is>
      </c>
      <c r="C95" s="58" t="inlineStr">
        <is>
          <t>NATURAL HOUSE 05</t>
        </is>
      </c>
      <c r="D95" s="58" t="inlineStr">
        <is>
          <t>47.306.144/3269-15</t>
        </is>
      </c>
      <c r="E95" s="58" t="inlineStr">
        <is>
          <t>SC</t>
        </is>
      </c>
      <c r="F95" s="58" t="inlineStr">
        <is>
          <t>CIA DA SAUDE</t>
        </is>
      </c>
      <c r="G95" s="58" t="inlineStr">
        <is>
          <t>EM RISCO</t>
        </is>
      </c>
      <c r="H95" s="58" t="n">
        <v>59</v>
      </c>
      <c r="I95" s="58">
        <f>IF(R95="","",VLOOKUP(R95,REGRAS!$B$2:$D$13,3,FALSE()))</f>
        <v/>
      </c>
      <c r="J95" s="58" t="n"/>
      <c r="K95" s="58">
        <f>IF(R95="","",IF(R95="VENDA / PEDIDO","RECOMPRA",IF(R95="SUPORTE","PÓS-VENDA",IF(OR(R95="FOLLOW UP 7",R95="FOLLOW UP 15"),"SALVAMENTO",IF(R95="PERDA / FECHOU LOJA","NUTRIÇÃO",IF(R95="RELACIONAMENTO","CS",IF(OR(R95="ORÇAMENTO",R95="CADASTRO"),"PROSPECÇÃO",IF(R95="EM ATENDIMENTO","EM ATENDIMENTO",IF(OR(R95="NÃO ATENDE",R95="NÃO RESPONDE",R95="RECUSOU LIGAÇÃO"),"RECUPERAÇÃO","")))))))))</f>
        <v/>
      </c>
      <c r="L95" s="58">
        <f>IF(H95="","",IF(G95="PROSPECT","🟣",IF(G95="LEAD","🟣",IF(G95="NOVO","🟢",IF(H95&lt;=50,"🟢",IF(H95&lt;=90,"🟡","🔴"))))))</f>
        <v/>
      </c>
      <c r="M95" s="58" t="n"/>
      <c r="N95" s="58" t="inlineStr">
        <is>
          <t>SIM</t>
        </is>
      </c>
      <c r="O95" s="58" t="inlineStr">
        <is>
          <t>SIM</t>
        </is>
      </c>
      <c r="P95" s="58" t="inlineStr">
        <is>
          <t>NÃO</t>
        </is>
      </c>
      <c r="Q95" s="58" t="inlineStr">
        <is>
          <t>ATEND. CLIENTES ATIVOS</t>
        </is>
      </c>
      <c r="R95" s="58" t="inlineStr">
        <is>
          <t>VENDA / PEDIDO</t>
        </is>
      </c>
      <c r="S95" s="58" t="n"/>
      <c r="T95" s="71">
        <f>IF(R95="","",IF(OR(R95="SUPORTE",R95="PERDA / FECHOU LOJA"),"SEM",A95+VLOOKUP(R95,REGRAS!$B$2:$C$13,2,FALSE())))</f>
        <v/>
      </c>
      <c r="U95" s="58">
        <f>IF(R95="","",IF(R95="VENDA / PEDIDO","RECOMPRA",IF(R95="SUPORTE","PÓS-VENDA",IF(R95="RELACIONAMENTO","CS",IF(OR(R95="NÃO ATENDE",R95="NÃO RESPONDE",R95="RECUSOU LIGAÇÃO"),"REATIVAÇÃO",IF(R95="PERDA / FECHOU LOJA","NUTRIÇÃO",IF(OR(R95="FOLLOW UP 7",R95="FOLLOW UP 15"),"SALVAMENTO","PROSPECÇÃO")))))))</f>
        <v/>
      </c>
      <c r="V95" s="58" t="n"/>
      <c r="W95" s="58" t="inlineStr">
        <is>
          <t>SIM</t>
        </is>
      </c>
      <c r="X95" s="58" t="n"/>
    </row>
    <row r="96">
      <c r="A96" s="71" t="n">
        <v>46074</v>
      </c>
      <c r="B96" s="58" t="inlineStr">
        <is>
          <t>MANU DITZEL</t>
        </is>
      </c>
      <c r="C96" s="58" t="inlineStr">
        <is>
          <t>CASA DO GRANEL 48</t>
        </is>
      </c>
      <c r="D96" s="58" t="inlineStr">
        <is>
          <t>65.509.861/7205-59</t>
        </is>
      </c>
      <c r="E96" s="58" t="inlineStr">
        <is>
          <t>SC</t>
        </is>
      </c>
      <c r="F96" s="58" t="inlineStr">
        <is>
          <t>BIOMUNDO</t>
        </is>
      </c>
      <c r="G96" s="58" t="inlineStr">
        <is>
          <t>INAT.ANT</t>
        </is>
      </c>
      <c r="H96" s="58" t="n">
        <v>185</v>
      </c>
      <c r="I96" s="58">
        <f>IF(R96="","",VLOOKUP(R96,REGRAS!$B$2:$D$13,3,FALSE()))</f>
        <v/>
      </c>
      <c r="J96" s="58" t="n"/>
      <c r="K96" s="58">
        <f>IF(R96="","",IF(R96="VENDA / PEDIDO","RECOMPRA",IF(R96="SUPORTE","PÓS-VENDA",IF(OR(R96="FOLLOW UP 7",R96="FOLLOW UP 15"),"SALVAMENTO",IF(R96="PERDA / FECHOU LOJA","NUTRIÇÃO",IF(R96="RELACIONAMENTO","CS",IF(OR(R96="ORÇAMENTO",R96="CADASTRO"),"PROSPECÇÃO",IF(R96="EM ATENDIMENTO","EM ATENDIMENTO",IF(OR(R96="NÃO ATENDE",R96="NÃO RESPONDE",R96="RECUSOU LIGAÇÃO"),"RECUPERAÇÃO","")))))))))</f>
        <v/>
      </c>
      <c r="L96" s="58">
        <f>IF(H96="","",IF(G96="PROSPECT","🟣",IF(G96="LEAD","🟣",IF(G96="NOVO","🟢",IF(H96&lt;=50,"🟢",IF(H96&lt;=90,"🟡","🔴"))))))</f>
        <v/>
      </c>
      <c r="M96" s="58" t="n"/>
      <c r="N96" s="58" t="inlineStr">
        <is>
          <t>NÃO</t>
        </is>
      </c>
      <c r="O96" s="58" t="inlineStr">
        <is>
          <t>NÃO</t>
        </is>
      </c>
      <c r="P96" s="58" t="inlineStr">
        <is>
          <t>N/A</t>
        </is>
      </c>
      <c r="Q96" s="58" t="inlineStr">
        <is>
          <t>PÓS-VENDA / RELACIONAMENTO</t>
        </is>
      </c>
      <c r="R96" s="58" t="inlineStr">
        <is>
          <t>FOLLOW UP 15</t>
        </is>
      </c>
      <c r="S96" s="58" t="inlineStr">
        <is>
          <t>AINDA TEM ESTOQUE</t>
        </is>
      </c>
      <c r="T96" s="71">
        <f>IF(R96="","",IF(OR(R96="SUPORTE",R96="PERDA / FECHOU LOJA"),"SEM",A96+VLOOKUP(R96,REGRAS!$B$2:$C$13,2,FALSE())))</f>
        <v/>
      </c>
      <c r="U96" s="58">
        <f>IF(R96="","",IF(R96="VENDA / PEDIDO","RECOMPRA",IF(R96="SUPORTE","PÓS-VENDA",IF(R96="RELACIONAMENTO","CS",IF(OR(R96="NÃO ATENDE",R96="NÃO RESPONDE",R96="RECUSOU LIGAÇÃO"),"REATIVAÇÃO",IF(R96="PERDA / FECHOU LOJA","NUTRIÇÃO",IF(OR(R96="FOLLOW UP 7",R96="FOLLOW UP 15"),"SALVAMENTO","PROSPECÇÃO")))))))</f>
        <v/>
      </c>
      <c r="V96" s="58" t="n"/>
      <c r="W96" s="58" t="inlineStr">
        <is>
          <t>SIM</t>
        </is>
      </c>
      <c r="X96" s="58" t="n"/>
    </row>
    <row r="97">
      <c r="A97" s="71" t="n">
        <v>46080</v>
      </c>
      <c r="B97" s="58" t="inlineStr">
        <is>
          <t>MANU DITZEL</t>
        </is>
      </c>
      <c r="C97" s="58" t="inlineStr">
        <is>
          <t>ECO SAUDE 42</t>
        </is>
      </c>
      <c r="D97" s="58" t="inlineStr">
        <is>
          <t>23.181.435/4844-49</t>
        </is>
      </c>
      <c r="E97" s="58" t="inlineStr">
        <is>
          <t>RS</t>
        </is>
      </c>
      <c r="F97" s="58" t="inlineStr">
        <is>
          <t>DEMAIS CLIENTES</t>
        </is>
      </c>
      <c r="G97" s="58" t="inlineStr">
        <is>
          <t>ATIVO</t>
        </is>
      </c>
      <c r="H97" s="58" t="n">
        <v>33</v>
      </c>
      <c r="I97" s="58">
        <f>IF(R97="","",VLOOKUP(R97,REGRAS!$B$2:$D$13,3,FALSE()))</f>
        <v/>
      </c>
      <c r="J97" s="58" t="n"/>
      <c r="K97" s="58">
        <f>IF(R97="","",IF(R97="VENDA / PEDIDO","RECOMPRA",IF(R97="SUPORTE","PÓS-VENDA",IF(OR(R97="FOLLOW UP 7",R97="FOLLOW UP 15"),"SALVAMENTO",IF(R97="PERDA / FECHOU LOJA","NUTRIÇÃO",IF(R97="RELACIONAMENTO","CS",IF(OR(R97="ORÇAMENTO",R97="CADASTRO"),"PROSPECÇÃO",IF(R97="EM ATENDIMENTO","EM ATENDIMENTO",IF(OR(R97="NÃO ATENDE",R97="NÃO RESPONDE",R97="RECUSOU LIGAÇÃO"),"RECUPERAÇÃO","")))))))))</f>
        <v/>
      </c>
      <c r="L97" s="58">
        <f>IF(H97="","",IF(G97="PROSPECT","🟣",IF(G97="LEAD","🟣",IF(G97="NOVO","🟢",IF(H97&lt;=50,"🟢",IF(H97&lt;=90,"🟡","🔴"))))))</f>
        <v/>
      </c>
      <c r="M97" s="58" t="n"/>
      <c r="N97" s="58" t="inlineStr">
        <is>
          <t>NÃO</t>
        </is>
      </c>
      <c r="O97" s="58" t="inlineStr">
        <is>
          <t>SIM</t>
        </is>
      </c>
      <c r="P97" s="58" t="inlineStr">
        <is>
          <t>NÃO</t>
        </is>
      </c>
      <c r="Q97" s="58" t="inlineStr">
        <is>
          <t>FOLLOW UP</t>
        </is>
      </c>
      <c r="R97" s="58" t="inlineStr">
        <is>
          <t>EM ATENDIMENTO</t>
        </is>
      </c>
      <c r="S97" s="58" t="n"/>
      <c r="T97" s="71">
        <f>IF(R97="","",IF(OR(R97="SUPORTE",R97="PERDA / FECHOU LOJA"),"SEM",A97+VLOOKUP(R97,REGRAS!$B$2:$C$13,2,FALSE())))</f>
        <v/>
      </c>
      <c r="U97" s="58">
        <f>IF(R97="","",IF(R97="VENDA / PEDIDO","RECOMPRA",IF(R97="SUPORTE","PÓS-VENDA",IF(R97="RELACIONAMENTO","CS",IF(OR(R97="NÃO ATENDE",R97="NÃO RESPONDE",R97="RECUSOU LIGAÇÃO"),"REATIVAÇÃO",IF(R97="PERDA / FECHOU LOJA","NUTRIÇÃO",IF(OR(R97="FOLLOW UP 7",R97="FOLLOW UP 15"),"SALVAMENTO","PROSPECÇÃO")))))))</f>
        <v/>
      </c>
      <c r="V97" s="58" t="n"/>
      <c r="W97" s="58" t="inlineStr">
        <is>
          <t>SIM</t>
        </is>
      </c>
      <c r="X97" s="58" t="n"/>
    </row>
    <row r="98">
      <c r="A98" s="71" t="n">
        <v>46079</v>
      </c>
      <c r="B98" s="58" t="inlineStr">
        <is>
          <t>DAIANE STAVICKI</t>
        </is>
      </c>
      <c r="C98" s="58" t="inlineStr">
        <is>
          <t>VIDA SAUDÁVEL 86</t>
        </is>
      </c>
      <c r="D98" s="58" t="inlineStr">
        <is>
          <t>91.515.472/8407-96</t>
        </is>
      </c>
      <c r="E98" s="58" t="inlineStr">
        <is>
          <t>PR</t>
        </is>
      </c>
      <c r="F98" s="58" t="inlineStr">
        <is>
          <t>MUNDO VERDE</t>
        </is>
      </c>
      <c r="G98" s="58" t="inlineStr">
        <is>
          <t>NOVO</t>
        </is>
      </c>
      <c r="H98" s="58" t="n"/>
      <c r="I98" s="58">
        <f>IF(R98="","",VLOOKUP(R98,REGRAS!$B$2:$D$13,3,FALSE()))</f>
        <v/>
      </c>
      <c r="J98" s="58" t="n"/>
      <c r="K98" s="58">
        <f>IF(R98="","",IF(R98="VENDA / PEDIDO","RECOMPRA",IF(R98="SUPORTE","PÓS-VENDA",IF(OR(R98="FOLLOW UP 7",R98="FOLLOW UP 15"),"SALVAMENTO",IF(R98="PERDA / FECHOU LOJA","NUTRIÇÃO",IF(R98="RELACIONAMENTO","CS",IF(OR(R98="ORÇAMENTO",R98="CADASTRO"),"PROSPECÇÃO",IF(R98="EM ATENDIMENTO","EM ATENDIMENTO",IF(OR(R98="NÃO ATENDE",R98="NÃO RESPONDE",R98="RECUSOU LIGAÇÃO"),"RECUPERAÇÃO","")))))))))</f>
        <v/>
      </c>
      <c r="L98" s="58">
        <f>IF(H98="","",IF(G98="PROSPECT","🟣",IF(G98="LEAD","🟣",IF(G98="NOVO","🟢",IF(H98&lt;=50,"🟢",IF(H98&lt;=90,"🟡","🔴"))))))</f>
        <v/>
      </c>
      <c r="M98" s="58" t="n"/>
      <c r="N98" s="58" t="inlineStr">
        <is>
          <t>SIM</t>
        </is>
      </c>
      <c r="O98" s="58" t="inlineStr">
        <is>
          <t>SIM</t>
        </is>
      </c>
      <c r="P98" s="58" t="inlineStr">
        <is>
          <t>NÃO</t>
        </is>
      </c>
      <c r="Q98" s="58" t="inlineStr">
        <is>
          <t>ATEND. CLIENTES INATIVOS</t>
        </is>
      </c>
      <c r="R98" s="58" t="inlineStr">
        <is>
          <t>NÃO RESPONDE</t>
        </is>
      </c>
      <c r="S98" s="58" t="inlineStr">
        <is>
          <t>PRODUTO NÃO VENDEU / SEM GIRO</t>
        </is>
      </c>
      <c r="T98" s="71">
        <f>IF(R98="","",IF(OR(R98="SUPORTE",R98="PERDA / FECHOU LOJA"),"SEM",A98+VLOOKUP(R98,REGRAS!$B$2:$C$13,2,FALSE())))</f>
        <v/>
      </c>
      <c r="U98" s="58">
        <f>IF(R98="","",IF(R98="VENDA / PEDIDO","RECOMPRA",IF(R98="SUPORTE","PÓS-VENDA",IF(R98="RELACIONAMENTO","CS",IF(OR(R98="NÃO ATENDE",R98="NÃO RESPONDE",R98="RECUSOU LIGAÇÃO"),"REATIVAÇÃO",IF(R98="PERDA / FECHOU LOJA","NUTRIÇÃO",IF(OR(R98="FOLLOW UP 7",R98="FOLLOW UP 15"),"SALVAMENTO","PROSPECÇÃO")))))))</f>
        <v/>
      </c>
      <c r="V98" s="58" t="n"/>
      <c r="W98" s="58" t="inlineStr">
        <is>
          <t>NÃO</t>
        </is>
      </c>
      <c r="X98" s="58" t="n"/>
    </row>
    <row r="99">
      <c r="A99" s="71" t="n">
        <v>46055</v>
      </c>
      <c r="B99" s="58" t="inlineStr">
        <is>
          <t>JULIO GADRET</t>
        </is>
      </c>
      <c r="C99" s="58" t="inlineStr">
        <is>
          <t>EMPÓRIO BIO 48</t>
        </is>
      </c>
      <c r="D99" s="58" t="inlineStr">
        <is>
          <t>57.554.881/1260-83</t>
        </is>
      </c>
      <c r="E99" s="58" t="inlineStr">
        <is>
          <t>PR</t>
        </is>
      </c>
      <c r="F99" s="58" t="inlineStr">
        <is>
          <t>CIA DA SAUDE</t>
        </is>
      </c>
      <c r="G99" s="58" t="inlineStr">
        <is>
          <t>ATIVO</t>
        </is>
      </c>
      <c r="H99" s="58" t="n">
        <v>22</v>
      </c>
      <c r="I99" s="58">
        <f>IF(R99="","",VLOOKUP(R99,REGRAS!$B$2:$D$13,3,FALSE()))</f>
        <v/>
      </c>
      <c r="J99" s="58" t="n"/>
      <c r="K99" s="58">
        <f>IF(R99="","",IF(R99="VENDA / PEDIDO","RECOMPRA",IF(R99="SUPORTE","PÓS-VENDA",IF(OR(R99="FOLLOW UP 7",R99="FOLLOW UP 15"),"SALVAMENTO",IF(R99="PERDA / FECHOU LOJA","NUTRIÇÃO",IF(R99="RELACIONAMENTO","CS",IF(OR(R99="ORÇAMENTO",R99="CADASTRO"),"PROSPECÇÃO",IF(R99="EM ATENDIMENTO","EM ATENDIMENTO",IF(OR(R99="NÃO ATENDE",R99="NÃO RESPONDE",R99="RECUSOU LIGAÇÃO"),"RECUPERAÇÃO","")))))))))</f>
        <v/>
      </c>
      <c r="L99" s="58">
        <f>IF(H99="","",IF(G99="PROSPECT","🟣",IF(G99="LEAD","🟣",IF(G99="NOVO","🟢",IF(H99&lt;=50,"🟢",IF(H99&lt;=90,"🟡","🔴"))))))</f>
        <v/>
      </c>
      <c r="M99" s="58" t="n"/>
      <c r="N99" s="58" t="inlineStr">
        <is>
          <t>NÃO</t>
        </is>
      </c>
      <c r="O99" s="58" t="inlineStr">
        <is>
          <t>NÃO</t>
        </is>
      </c>
      <c r="P99" s="58" t="inlineStr">
        <is>
          <t>N/A</t>
        </is>
      </c>
      <c r="Q99" s="58" t="inlineStr">
        <is>
          <t>NEGOCIAÇÃO</t>
        </is>
      </c>
      <c r="R99" s="58" t="inlineStr">
        <is>
          <t>EM ATENDIMENTO</t>
        </is>
      </c>
      <c r="S99" s="58" t="n"/>
      <c r="T99" s="71">
        <f>IF(R99="","",IF(OR(R99="SUPORTE",R99="PERDA / FECHOU LOJA"),"SEM",A99+VLOOKUP(R99,REGRAS!$B$2:$C$13,2,FALSE())))</f>
        <v/>
      </c>
      <c r="U99" s="58">
        <f>IF(R99="","",IF(R99="VENDA / PEDIDO","RECOMPRA",IF(R99="SUPORTE","PÓS-VENDA",IF(R99="RELACIONAMENTO","CS",IF(OR(R99="NÃO ATENDE",R99="NÃO RESPONDE",R99="RECUSOU LIGAÇÃO"),"REATIVAÇÃO",IF(R99="PERDA / FECHOU LOJA","NUTRIÇÃO",IF(OR(R99="FOLLOW UP 7",R99="FOLLOW UP 15"),"SALVAMENTO","PROSPECÇÃO")))))))</f>
        <v/>
      </c>
      <c r="V99" s="58" t="n"/>
      <c r="W99" s="58" t="inlineStr">
        <is>
          <t>SIM</t>
        </is>
      </c>
      <c r="X99" s="58" t="n"/>
    </row>
    <row r="100">
      <c r="A100" s="71" t="n">
        <v>46071</v>
      </c>
      <c r="B100" s="58" t="inlineStr">
        <is>
          <t>MANU DITZEL</t>
        </is>
      </c>
      <c r="C100" s="58" t="inlineStr">
        <is>
          <t>PONTO VERDE 91</t>
        </is>
      </c>
      <c r="D100" s="58" t="inlineStr">
        <is>
          <t>67.319.726/4679-98</t>
        </is>
      </c>
      <c r="E100" s="58" t="inlineStr">
        <is>
          <t>GO</t>
        </is>
      </c>
      <c r="F100" s="58" t="inlineStr">
        <is>
          <t>DIVINA TERRA</t>
        </is>
      </c>
      <c r="G100" s="58" t="inlineStr">
        <is>
          <t>ATIVO</t>
        </is>
      </c>
      <c r="H100" s="58" t="n">
        <v>9</v>
      </c>
      <c r="I100" s="58">
        <f>IF(R100="","",VLOOKUP(R100,REGRAS!$B$2:$D$13,3,FALSE()))</f>
        <v/>
      </c>
      <c r="J100" s="58" t="n"/>
      <c r="K100" s="58">
        <f>IF(R100="","",IF(R100="VENDA / PEDIDO","RECOMPRA",IF(R100="SUPORTE","PÓS-VENDA",IF(OR(R100="FOLLOW UP 7",R100="FOLLOW UP 15"),"SALVAMENTO",IF(R100="PERDA / FECHOU LOJA","NUTRIÇÃO",IF(R100="RELACIONAMENTO","CS",IF(OR(R100="ORÇAMENTO",R100="CADASTRO"),"PROSPECÇÃO",IF(R100="EM ATENDIMENTO","EM ATENDIMENTO",IF(OR(R100="NÃO ATENDE",R100="NÃO RESPONDE",R100="RECUSOU LIGAÇÃO"),"RECUPERAÇÃO","")))))))))</f>
        <v/>
      </c>
      <c r="L100" s="58">
        <f>IF(H100="","",IF(G100="PROSPECT","🟣",IF(G100="LEAD","🟣",IF(G100="NOVO","🟢",IF(H100&lt;=50,"🟢",IF(H100&lt;=90,"🟡","🔴"))))))</f>
        <v/>
      </c>
      <c r="M100" s="58" t="n"/>
      <c r="N100" s="58" t="inlineStr">
        <is>
          <t>SIM</t>
        </is>
      </c>
      <c r="O100" s="58" t="inlineStr">
        <is>
          <t>SIM</t>
        </is>
      </c>
      <c r="P100" s="58" t="inlineStr">
        <is>
          <t>NÃO</t>
        </is>
      </c>
      <c r="Q100" s="58" t="inlineStr">
        <is>
          <t>ATEND. CLIENTES ATIVOS</t>
        </is>
      </c>
      <c r="R100" s="58" t="inlineStr">
        <is>
          <t>EM ATENDIMENTO</t>
        </is>
      </c>
      <c r="S100" s="58" t="n"/>
      <c r="T100" s="71">
        <f>IF(R100="","",IF(OR(R100="SUPORTE",R100="PERDA / FECHOU LOJA"),"SEM",A100+VLOOKUP(R100,REGRAS!$B$2:$C$13,2,FALSE())))</f>
        <v/>
      </c>
      <c r="U100" s="58">
        <f>IF(R100="","",IF(R100="VENDA / PEDIDO","RECOMPRA",IF(R100="SUPORTE","PÓS-VENDA",IF(R100="RELACIONAMENTO","CS",IF(OR(R100="NÃO ATENDE",R100="NÃO RESPONDE",R100="RECUSOU LIGAÇÃO"),"REATIVAÇÃO",IF(R100="PERDA / FECHOU LOJA","NUTRIÇÃO",IF(OR(R100="FOLLOW UP 7",R100="FOLLOW UP 15"),"SALVAMENTO","PROSPECÇÃO")))))))</f>
        <v/>
      </c>
      <c r="V100" s="58" t="n"/>
      <c r="W100" s="58" t="inlineStr">
        <is>
          <t>NÃO</t>
        </is>
      </c>
      <c r="X100" s="58" t="n"/>
    </row>
    <row r="101">
      <c r="A101" s="71" t="n">
        <v>46064</v>
      </c>
      <c r="B101" s="58" t="inlineStr">
        <is>
          <t>JULIO GADRET</t>
        </is>
      </c>
      <c r="C101" s="58" t="inlineStr">
        <is>
          <t>VIDA SAUDÁVEL 71</t>
        </is>
      </c>
      <c r="D101" s="58" t="inlineStr">
        <is>
          <t>79.397.407/2581-99</t>
        </is>
      </c>
      <c r="E101" s="58" t="inlineStr">
        <is>
          <t>SP</t>
        </is>
      </c>
      <c r="F101" s="58" t="inlineStr">
        <is>
          <t>DEMAIS CLIENTES</t>
        </is>
      </c>
      <c r="G101" s="58" t="inlineStr">
        <is>
          <t>INAT.REC</t>
        </is>
      </c>
      <c r="H101" s="58" t="n">
        <v>64</v>
      </c>
      <c r="I101" s="58">
        <f>IF(R101="","",VLOOKUP(R101,REGRAS!$B$2:$D$13,3,FALSE()))</f>
        <v/>
      </c>
      <c r="J101" s="58" t="n"/>
      <c r="K101" s="58">
        <f>IF(R101="","",IF(R101="VENDA / PEDIDO","RECOMPRA",IF(R101="SUPORTE","PÓS-VENDA",IF(OR(R101="FOLLOW UP 7",R101="FOLLOW UP 15"),"SALVAMENTO",IF(R101="PERDA / FECHOU LOJA","NUTRIÇÃO",IF(R101="RELACIONAMENTO","CS",IF(OR(R101="ORÇAMENTO",R101="CADASTRO"),"PROSPECÇÃO",IF(R101="EM ATENDIMENTO","EM ATENDIMENTO",IF(OR(R101="NÃO ATENDE",R101="NÃO RESPONDE",R101="RECUSOU LIGAÇÃO"),"RECUPERAÇÃO","")))))))))</f>
        <v/>
      </c>
      <c r="L101" s="58">
        <f>IF(H101="","",IF(G101="PROSPECT","🟣",IF(G101="LEAD","🟣",IF(G101="NOVO","🟢",IF(H101&lt;=50,"🟢",IF(H101&lt;=90,"🟡","🔴"))))))</f>
        <v/>
      </c>
      <c r="M101" s="58" t="n"/>
      <c r="N101" s="58" t="inlineStr">
        <is>
          <t>SIM</t>
        </is>
      </c>
      <c r="O101" s="58" t="inlineStr">
        <is>
          <t>NÃO</t>
        </is>
      </c>
      <c r="P101" s="58" t="inlineStr">
        <is>
          <t>N/A</t>
        </is>
      </c>
      <c r="Q101" s="58" t="inlineStr">
        <is>
          <t>PERDA / NUTRIÇÃO</t>
        </is>
      </c>
      <c r="R101" s="58" t="inlineStr">
        <is>
          <t>RECUSOU LIGAÇÃO</t>
        </is>
      </c>
      <c r="S101" s="58" t="inlineStr">
        <is>
          <t>PRODUTO NÃO VENDEU / SEM GIRO</t>
        </is>
      </c>
      <c r="T101" s="71">
        <f>IF(R101="","",IF(OR(R101="SUPORTE",R101="PERDA / FECHOU LOJA"),"SEM",A101+VLOOKUP(R101,REGRAS!$B$2:$C$13,2,FALSE())))</f>
        <v/>
      </c>
      <c r="U101" s="58">
        <f>IF(R101="","",IF(R101="VENDA / PEDIDO","RECOMPRA",IF(R101="SUPORTE","PÓS-VENDA",IF(R101="RELACIONAMENTO","CS",IF(OR(R101="NÃO ATENDE",R101="NÃO RESPONDE",R101="RECUSOU LIGAÇÃO"),"REATIVAÇÃO",IF(R101="PERDA / FECHOU LOJA","NUTRIÇÃO",IF(OR(R101="FOLLOW UP 7",R101="FOLLOW UP 15"),"SALVAMENTO","PROSPECÇÃO")))))))</f>
        <v/>
      </c>
      <c r="V101" s="58" t="n"/>
      <c r="W101" s="58" t="inlineStr">
        <is>
          <t>SIM</t>
        </is>
      </c>
      <c r="X101" s="58" t="n"/>
    </row>
    <row r="102">
      <c r="A102" s="71" t="n">
        <v>46068</v>
      </c>
      <c r="B102" s="58" t="inlineStr">
        <is>
          <t>DAIANE STAVICKI</t>
        </is>
      </c>
      <c r="C102" s="58" t="inlineStr">
        <is>
          <t>ESSENCE FOOD 17</t>
        </is>
      </c>
      <c r="D102" s="58" t="inlineStr">
        <is>
          <t>88.188.167/5068-60</t>
        </is>
      </c>
      <c r="E102" s="58" t="inlineStr">
        <is>
          <t>CE</t>
        </is>
      </c>
      <c r="F102" s="58" t="inlineStr">
        <is>
          <t>DEMAIS CLIENTES</t>
        </is>
      </c>
      <c r="G102" s="58" t="inlineStr">
        <is>
          <t>INAT.REC</t>
        </is>
      </c>
      <c r="H102" s="58" t="n">
        <v>85</v>
      </c>
      <c r="I102" s="58">
        <f>IF(R102="","",VLOOKUP(R102,REGRAS!$B$2:$D$13,3,FALSE()))</f>
        <v/>
      </c>
      <c r="J102" s="58" t="n"/>
      <c r="K102" s="58">
        <f>IF(R102="","",IF(R102="VENDA / PEDIDO","RECOMPRA",IF(R102="SUPORTE","PÓS-VENDA",IF(OR(R102="FOLLOW UP 7",R102="FOLLOW UP 15"),"SALVAMENTO",IF(R102="PERDA / FECHOU LOJA","NUTRIÇÃO",IF(R102="RELACIONAMENTO","CS",IF(OR(R102="ORÇAMENTO",R102="CADASTRO"),"PROSPECÇÃO",IF(R102="EM ATENDIMENTO","EM ATENDIMENTO",IF(OR(R102="NÃO ATENDE",R102="NÃO RESPONDE",R102="RECUSOU LIGAÇÃO"),"RECUPERAÇÃO","")))))))))</f>
        <v/>
      </c>
      <c r="L102" s="58">
        <f>IF(H102="","",IF(G102="PROSPECT","🟣",IF(G102="LEAD","🟣",IF(G102="NOVO","🟢",IF(H102&lt;=50,"🟢",IF(H102&lt;=90,"🟡","🔴"))))))</f>
        <v/>
      </c>
      <c r="M102" s="58" t="n"/>
      <c r="N102" s="58" t="inlineStr">
        <is>
          <t>SIM</t>
        </is>
      </c>
      <c r="O102" s="58" t="inlineStr">
        <is>
          <t>SIM</t>
        </is>
      </c>
      <c r="P102" s="58" t="inlineStr">
        <is>
          <t>SIM</t>
        </is>
      </c>
      <c r="Q102" s="58" t="inlineStr">
        <is>
          <t>ATEND. CLIENTES ATIVOS</t>
        </is>
      </c>
      <c r="R102" s="58" t="inlineStr">
        <is>
          <t>FOLLOW UP 7</t>
        </is>
      </c>
      <c r="S102" s="58" t="inlineStr">
        <is>
          <t>SÓ QUER COMPRAR GRANEL</t>
        </is>
      </c>
      <c r="T102" s="71">
        <f>IF(R102="","",IF(OR(R102="SUPORTE",R102="PERDA / FECHOU LOJA"),"SEM",A102+VLOOKUP(R102,REGRAS!$B$2:$C$13,2,FALSE())))</f>
        <v/>
      </c>
      <c r="U102" s="58">
        <f>IF(R102="","",IF(R102="VENDA / PEDIDO","RECOMPRA",IF(R102="SUPORTE","PÓS-VENDA",IF(R102="RELACIONAMENTO","CS",IF(OR(R102="NÃO ATENDE",R102="NÃO RESPONDE",R102="RECUSOU LIGAÇÃO"),"REATIVAÇÃO",IF(R102="PERDA / FECHOU LOJA","NUTRIÇÃO",IF(OR(R102="FOLLOW UP 7",R102="FOLLOW UP 15"),"SALVAMENTO","PROSPECÇÃO")))))))</f>
        <v/>
      </c>
      <c r="V102" s="58" t="n"/>
      <c r="W102" s="58" t="inlineStr">
        <is>
          <t>SIM</t>
        </is>
      </c>
      <c r="X102" s="58" t="n"/>
    </row>
    <row r="103">
      <c r="A103" s="71" t="n">
        <v>46058</v>
      </c>
      <c r="B103" s="58" t="inlineStr">
        <is>
          <t>DAIANE STAVICKI</t>
        </is>
      </c>
      <c r="C103" s="58" t="inlineStr">
        <is>
          <t>ESSENCE FOOD 82</t>
        </is>
      </c>
      <c r="D103" s="58" t="inlineStr">
        <is>
          <t>85.286.886/2115-65</t>
        </is>
      </c>
      <c r="E103" s="58" t="inlineStr">
        <is>
          <t>RS</t>
        </is>
      </c>
      <c r="F103" s="58" t="inlineStr">
        <is>
          <t>DEMAIS CLIENTES</t>
        </is>
      </c>
      <c r="G103" s="58" t="inlineStr">
        <is>
          <t>NOVO</t>
        </is>
      </c>
      <c r="H103" s="58" t="n"/>
      <c r="I103" s="58">
        <f>IF(R103="","",VLOOKUP(R103,REGRAS!$B$2:$D$13,3,FALSE()))</f>
        <v/>
      </c>
      <c r="J103" s="58" t="n"/>
      <c r="K103" s="58">
        <f>IF(R103="","",IF(R103="VENDA / PEDIDO","RECOMPRA",IF(R103="SUPORTE","PÓS-VENDA",IF(OR(R103="FOLLOW UP 7",R103="FOLLOW UP 15"),"SALVAMENTO",IF(R103="PERDA / FECHOU LOJA","NUTRIÇÃO",IF(R103="RELACIONAMENTO","CS",IF(OR(R103="ORÇAMENTO",R103="CADASTRO"),"PROSPECÇÃO",IF(R103="EM ATENDIMENTO","EM ATENDIMENTO",IF(OR(R103="NÃO ATENDE",R103="NÃO RESPONDE",R103="RECUSOU LIGAÇÃO"),"RECUPERAÇÃO","")))))))))</f>
        <v/>
      </c>
      <c r="L103" s="58">
        <f>IF(H103="","",IF(G103="PROSPECT","🟣",IF(G103="LEAD","🟣",IF(G103="NOVO","🟢",IF(H103&lt;=50,"🟢",IF(H103&lt;=90,"🟡","🔴"))))))</f>
        <v/>
      </c>
      <c r="M103" s="58" t="n"/>
      <c r="N103" s="58" t="inlineStr">
        <is>
          <t>SIM</t>
        </is>
      </c>
      <c r="O103" s="58" t="inlineStr">
        <is>
          <t>NÃO</t>
        </is>
      </c>
      <c r="P103" s="58" t="inlineStr">
        <is>
          <t>N/A</t>
        </is>
      </c>
      <c r="Q103" s="58" t="inlineStr">
        <is>
          <t>ATEND. CLIENTES ATIVOS</t>
        </is>
      </c>
      <c r="R103" s="58" t="inlineStr">
        <is>
          <t>ORÇAMENTO</t>
        </is>
      </c>
      <c r="S103" s="58" t="n"/>
      <c r="T103" s="71">
        <f>IF(R103="","",IF(OR(R103="SUPORTE",R103="PERDA / FECHOU LOJA"),"SEM",A103+VLOOKUP(R103,REGRAS!$B$2:$C$13,2,FALSE())))</f>
        <v/>
      </c>
      <c r="U103" s="58">
        <f>IF(R103="","",IF(R103="VENDA / PEDIDO","RECOMPRA",IF(R103="SUPORTE","PÓS-VENDA",IF(R103="RELACIONAMENTO","CS",IF(OR(R103="NÃO ATENDE",R103="NÃO RESPONDE",R103="RECUSOU LIGAÇÃO"),"REATIVAÇÃO",IF(R103="PERDA / FECHOU LOJA","NUTRIÇÃO",IF(OR(R103="FOLLOW UP 7",R103="FOLLOW UP 15"),"SALVAMENTO","PROSPECÇÃO")))))))</f>
        <v/>
      </c>
      <c r="V103" s="58" t="n"/>
      <c r="W103" s="58" t="inlineStr">
        <is>
          <t>SIM</t>
        </is>
      </c>
      <c r="X103" s="58" t="n"/>
    </row>
    <row r="104">
      <c r="A104" s="71" t="n">
        <v>46070</v>
      </c>
      <c r="B104" s="58" t="inlineStr">
        <is>
          <t>DAIANE STAVICKI</t>
        </is>
      </c>
      <c r="C104" s="58" t="inlineStr">
        <is>
          <t>GRÃO DE OURO 33</t>
        </is>
      </c>
      <c r="D104" s="58" t="inlineStr">
        <is>
          <t>35.750.664/4497-26</t>
        </is>
      </c>
      <c r="E104" s="58" t="inlineStr">
        <is>
          <t>SP</t>
        </is>
      </c>
      <c r="F104" s="58" t="inlineStr">
        <is>
          <t>VIDA LEVE</t>
        </is>
      </c>
      <c r="G104" s="58" t="inlineStr">
        <is>
          <t>ATIVO</t>
        </is>
      </c>
      <c r="H104" s="58" t="n">
        <v>46</v>
      </c>
      <c r="I104" s="58">
        <f>IF(R104="","",VLOOKUP(R104,REGRAS!$B$2:$D$13,3,FALSE()))</f>
        <v/>
      </c>
      <c r="J104" s="58" t="n"/>
      <c r="K104" s="58">
        <f>IF(R104="","",IF(R104="VENDA / PEDIDO","RECOMPRA",IF(R104="SUPORTE","PÓS-VENDA",IF(OR(R104="FOLLOW UP 7",R104="FOLLOW UP 15"),"SALVAMENTO",IF(R104="PERDA / FECHOU LOJA","NUTRIÇÃO",IF(R104="RELACIONAMENTO","CS",IF(OR(R104="ORÇAMENTO",R104="CADASTRO"),"PROSPECÇÃO",IF(R104="EM ATENDIMENTO","EM ATENDIMENTO",IF(OR(R104="NÃO ATENDE",R104="NÃO RESPONDE",R104="RECUSOU LIGAÇÃO"),"RECUPERAÇÃO","")))))))))</f>
        <v/>
      </c>
      <c r="L104" s="58">
        <f>IF(H104="","",IF(G104="PROSPECT","🟣",IF(G104="LEAD","🟣",IF(G104="NOVO","🟢",IF(H104&lt;=50,"🟢",IF(H104&lt;=90,"🟡","🔴"))))))</f>
        <v/>
      </c>
      <c r="M104" s="58" t="n"/>
      <c r="N104" s="58" t="inlineStr">
        <is>
          <t>SIM</t>
        </is>
      </c>
      <c r="O104" s="58" t="inlineStr">
        <is>
          <t>NÃO</t>
        </is>
      </c>
      <c r="P104" s="58" t="inlineStr">
        <is>
          <t>N/A</t>
        </is>
      </c>
      <c r="Q104" s="58" t="inlineStr">
        <is>
          <t>NEGOCIAÇÃO</t>
        </is>
      </c>
      <c r="R104" s="58" t="inlineStr">
        <is>
          <t>FOLLOW UP 7</t>
        </is>
      </c>
      <c r="S104" s="58" t="inlineStr">
        <is>
          <t>PROBLEMA FINANCEIRO / CRÉDITO</t>
        </is>
      </c>
      <c r="T104" s="71">
        <f>IF(R104="","",IF(OR(R104="SUPORTE",R104="PERDA / FECHOU LOJA"),"SEM",A104+VLOOKUP(R104,REGRAS!$B$2:$C$13,2,FALSE())))</f>
        <v/>
      </c>
      <c r="U104" s="58">
        <f>IF(R104="","",IF(R104="VENDA / PEDIDO","RECOMPRA",IF(R104="SUPORTE","PÓS-VENDA",IF(R104="RELACIONAMENTO","CS",IF(OR(R104="NÃO ATENDE",R104="NÃO RESPONDE",R104="RECUSOU LIGAÇÃO"),"REATIVAÇÃO",IF(R104="PERDA / FECHOU LOJA","NUTRIÇÃO",IF(OR(R104="FOLLOW UP 7",R104="FOLLOW UP 15"),"SALVAMENTO","PROSPECÇÃO")))))))</f>
        <v/>
      </c>
      <c r="V104" s="58" t="n"/>
      <c r="W104" s="58" t="inlineStr">
        <is>
          <t>SIM</t>
        </is>
      </c>
      <c r="X104" s="58" t="n"/>
    </row>
    <row r="105">
      <c r="A105" s="71" t="n">
        <v>46080</v>
      </c>
      <c r="B105" s="58" t="inlineStr">
        <is>
          <t>DAIANE STAVICKI</t>
        </is>
      </c>
      <c r="C105" s="58" t="inlineStr">
        <is>
          <t>MUNDO VERDE CWB 04</t>
        </is>
      </c>
      <c r="D105" s="58" t="inlineStr">
        <is>
          <t>20.146.756/9450-43</t>
        </is>
      </c>
      <c r="E105" s="58" t="inlineStr">
        <is>
          <t>SP</t>
        </is>
      </c>
      <c r="F105" s="58" t="inlineStr">
        <is>
          <t>DEMAIS CLIENTES</t>
        </is>
      </c>
      <c r="G105" s="58" t="inlineStr">
        <is>
          <t>EM RISCO</t>
        </is>
      </c>
      <c r="H105" s="58" t="n">
        <v>51</v>
      </c>
      <c r="I105" s="58">
        <f>IF(R105="","",VLOOKUP(R105,REGRAS!$B$2:$D$13,3,FALSE()))</f>
        <v/>
      </c>
      <c r="J105" s="58" t="n"/>
      <c r="K105" s="58">
        <f>IF(R105="","",IF(R105="VENDA / PEDIDO","RECOMPRA",IF(R105="SUPORTE","PÓS-VENDA",IF(OR(R105="FOLLOW UP 7",R105="FOLLOW UP 15"),"SALVAMENTO",IF(R105="PERDA / FECHOU LOJA","NUTRIÇÃO",IF(R105="RELACIONAMENTO","CS",IF(OR(R105="ORÇAMENTO",R105="CADASTRO"),"PROSPECÇÃO",IF(R105="EM ATENDIMENTO","EM ATENDIMENTO",IF(OR(R105="NÃO ATENDE",R105="NÃO RESPONDE",R105="RECUSOU LIGAÇÃO"),"RECUPERAÇÃO","")))))))))</f>
        <v/>
      </c>
      <c r="L105" s="58">
        <f>IF(H105="","",IF(G105="PROSPECT","🟣",IF(G105="LEAD","🟣",IF(G105="NOVO","🟢",IF(H105&lt;=50,"🟢",IF(H105&lt;=90,"🟡","🔴"))))))</f>
        <v/>
      </c>
      <c r="M105" s="58" t="n"/>
      <c r="N105" s="58" t="inlineStr">
        <is>
          <t>SIM</t>
        </is>
      </c>
      <c r="O105" s="58" t="inlineStr">
        <is>
          <t>NÃO</t>
        </is>
      </c>
      <c r="P105" s="58" t="inlineStr">
        <is>
          <t>N/A</t>
        </is>
      </c>
      <c r="Q105" s="58" t="inlineStr">
        <is>
          <t>ATEND. CLIENTES ATIVOS</t>
        </is>
      </c>
      <c r="R105" s="58" t="inlineStr">
        <is>
          <t>FOLLOW UP 7</t>
        </is>
      </c>
      <c r="S105" s="58" t="inlineStr">
        <is>
          <t>SÓ QUER COMPRAR GRANEL</t>
        </is>
      </c>
      <c r="T105" s="71">
        <f>IF(R105="","",IF(OR(R105="SUPORTE",R105="PERDA / FECHOU LOJA"),"SEM",A105+VLOOKUP(R105,REGRAS!$B$2:$C$13,2,FALSE())))</f>
        <v/>
      </c>
      <c r="U105" s="58">
        <f>IF(R105="","",IF(R105="VENDA / PEDIDO","RECOMPRA",IF(R105="SUPORTE","PÓS-VENDA",IF(R105="RELACIONAMENTO","CS",IF(OR(R105="NÃO ATENDE",R105="NÃO RESPONDE",R105="RECUSOU LIGAÇÃO"),"REATIVAÇÃO",IF(R105="PERDA / FECHOU LOJA","NUTRIÇÃO",IF(OR(R105="FOLLOW UP 7",R105="FOLLOW UP 15"),"SALVAMENTO","PROSPECÇÃO")))))))</f>
        <v/>
      </c>
      <c r="V105" s="58" t="n"/>
      <c r="W105" s="58" t="inlineStr">
        <is>
          <t>NÃO</t>
        </is>
      </c>
      <c r="X105" s="58" t="n"/>
    </row>
    <row r="106">
      <c r="A106" s="71" t="n">
        <v>46075</v>
      </c>
      <c r="B106" s="58" t="inlineStr">
        <is>
          <t>LARISSA PADILHA</t>
        </is>
      </c>
      <c r="C106" s="58" t="inlineStr">
        <is>
          <t>NATURAL HOUSE 10</t>
        </is>
      </c>
      <c r="D106" s="58" t="inlineStr">
        <is>
          <t>98.161.261/7203-63</t>
        </is>
      </c>
      <c r="E106" s="58" t="inlineStr">
        <is>
          <t>RS</t>
        </is>
      </c>
      <c r="F106" s="58" t="inlineStr">
        <is>
          <t>BIOMUNDO</t>
        </is>
      </c>
      <c r="G106" s="58" t="inlineStr">
        <is>
          <t>INAT.REC</t>
        </is>
      </c>
      <c r="H106" s="58" t="n">
        <v>71</v>
      </c>
      <c r="I106" s="58">
        <f>IF(R106="","",VLOOKUP(R106,REGRAS!$B$2:$D$13,3,FALSE()))</f>
        <v/>
      </c>
      <c r="J106" s="58" t="n"/>
      <c r="K106" s="58">
        <f>IF(R106="","",IF(R106="VENDA / PEDIDO","RECOMPRA",IF(R106="SUPORTE","PÓS-VENDA",IF(OR(R106="FOLLOW UP 7",R106="FOLLOW UP 15"),"SALVAMENTO",IF(R106="PERDA / FECHOU LOJA","NUTRIÇÃO",IF(R106="RELACIONAMENTO","CS",IF(OR(R106="ORÇAMENTO",R106="CADASTRO"),"PROSPECÇÃO",IF(R106="EM ATENDIMENTO","EM ATENDIMENTO",IF(OR(R106="NÃO ATENDE",R106="NÃO RESPONDE",R106="RECUSOU LIGAÇÃO"),"RECUPERAÇÃO","")))))))))</f>
        <v/>
      </c>
      <c r="L106" s="58">
        <f>IF(H106="","",IF(G106="PROSPECT","🟣",IF(G106="LEAD","🟣",IF(G106="NOVO","🟢",IF(H106&lt;=50,"🟢",IF(H106&lt;=90,"🟡","🔴"))))))</f>
        <v/>
      </c>
      <c r="M106" s="58" t="n"/>
      <c r="N106" s="58" t="inlineStr">
        <is>
          <t>NÃO</t>
        </is>
      </c>
      <c r="O106" s="58" t="inlineStr">
        <is>
          <t>SIM</t>
        </is>
      </c>
      <c r="P106" s="58" t="inlineStr">
        <is>
          <t>SIM</t>
        </is>
      </c>
      <c r="Q106" s="58" t="inlineStr">
        <is>
          <t>PÓS-VENDA / RELACIONAMENTO</t>
        </is>
      </c>
      <c r="R106" s="58" t="inlineStr">
        <is>
          <t>FOLLOW UP 7</t>
        </is>
      </c>
      <c r="S106" s="58" t="inlineStr">
        <is>
          <t>PROPRIETARIO / INDISPONÍVEL</t>
        </is>
      </c>
      <c r="T106" s="71">
        <f>IF(R106="","",IF(OR(R106="SUPORTE",R106="PERDA / FECHOU LOJA"),"SEM",A106+VLOOKUP(R106,REGRAS!$B$2:$C$13,2,FALSE())))</f>
        <v/>
      </c>
      <c r="U106" s="58">
        <f>IF(R106="","",IF(R106="VENDA / PEDIDO","RECOMPRA",IF(R106="SUPORTE","PÓS-VENDA",IF(R106="RELACIONAMENTO","CS",IF(OR(R106="NÃO ATENDE",R106="NÃO RESPONDE",R106="RECUSOU LIGAÇÃO"),"REATIVAÇÃO",IF(R106="PERDA / FECHOU LOJA","NUTRIÇÃO",IF(OR(R106="FOLLOW UP 7",R106="FOLLOW UP 15"),"SALVAMENTO","PROSPECÇÃO")))))))</f>
        <v/>
      </c>
      <c r="V106" s="58" t="n"/>
      <c r="W106" s="58" t="inlineStr">
        <is>
          <t>SIM</t>
        </is>
      </c>
      <c r="X106" s="58" t="n"/>
    </row>
    <row r="107">
      <c r="A107" s="71" t="n">
        <v>46057</v>
      </c>
      <c r="B107" s="58" t="inlineStr">
        <is>
          <t>MANU DITZEL</t>
        </is>
      </c>
      <c r="C107" s="58" t="inlineStr">
        <is>
          <t>NATURAL HOUSE 16</t>
        </is>
      </c>
      <c r="D107" s="58" t="inlineStr">
        <is>
          <t>44.560.353/2309-22</t>
        </is>
      </c>
      <c r="E107" s="58" t="inlineStr">
        <is>
          <t>PR</t>
        </is>
      </c>
      <c r="F107" s="58" t="inlineStr">
        <is>
          <t>DEMAIS CLIENTES</t>
        </is>
      </c>
      <c r="G107" s="58" t="inlineStr">
        <is>
          <t>NOVO</t>
        </is>
      </c>
      <c r="H107" s="58" t="n"/>
      <c r="I107" s="58">
        <f>IF(R107="","",VLOOKUP(R107,REGRAS!$B$2:$D$13,3,FALSE()))</f>
        <v/>
      </c>
      <c r="J107" s="58" t="n"/>
      <c r="K107" s="58">
        <f>IF(R107="","",IF(R107="VENDA / PEDIDO","RECOMPRA",IF(R107="SUPORTE","PÓS-VENDA",IF(OR(R107="FOLLOW UP 7",R107="FOLLOW UP 15"),"SALVAMENTO",IF(R107="PERDA / FECHOU LOJA","NUTRIÇÃO",IF(R107="RELACIONAMENTO","CS",IF(OR(R107="ORÇAMENTO",R107="CADASTRO"),"PROSPECÇÃO",IF(R107="EM ATENDIMENTO","EM ATENDIMENTO",IF(OR(R107="NÃO ATENDE",R107="NÃO RESPONDE",R107="RECUSOU LIGAÇÃO"),"RECUPERAÇÃO","")))))))))</f>
        <v/>
      </c>
      <c r="L107" s="58">
        <f>IF(H107="","",IF(G107="PROSPECT","🟣",IF(G107="LEAD","🟣",IF(G107="NOVO","🟢",IF(H107&lt;=50,"🟢",IF(H107&lt;=90,"🟡","🔴"))))))</f>
        <v/>
      </c>
      <c r="M107" s="58" t="n"/>
      <c r="N107" s="58" t="inlineStr">
        <is>
          <t>NÃO</t>
        </is>
      </c>
      <c r="O107" s="58" t="inlineStr">
        <is>
          <t>NÃO</t>
        </is>
      </c>
      <c r="P107" s="58" t="inlineStr">
        <is>
          <t>N/A</t>
        </is>
      </c>
      <c r="Q107" s="58" t="inlineStr">
        <is>
          <t>ATEND. CLIENTES ATIVOS</t>
        </is>
      </c>
      <c r="R107" s="58" t="inlineStr">
        <is>
          <t>NÃO ATENDE</t>
        </is>
      </c>
      <c r="S107" s="58" t="inlineStr">
        <is>
          <t>PRIMEIRO CONTATO / SEM RESPOSTA</t>
        </is>
      </c>
      <c r="T107" s="71">
        <f>IF(R107="","",IF(OR(R107="SUPORTE",R107="PERDA / FECHOU LOJA"),"SEM",A107+VLOOKUP(R107,REGRAS!$B$2:$C$13,2,FALSE())))</f>
        <v/>
      </c>
      <c r="U107" s="58">
        <f>IF(R107="","",IF(R107="VENDA / PEDIDO","RECOMPRA",IF(R107="SUPORTE","PÓS-VENDA",IF(R107="RELACIONAMENTO","CS",IF(OR(R107="NÃO ATENDE",R107="NÃO RESPONDE",R107="RECUSOU LIGAÇÃO"),"REATIVAÇÃO",IF(R107="PERDA / FECHOU LOJA","NUTRIÇÃO",IF(OR(R107="FOLLOW UP 7",R107="FOLLOW UP 15"),"SALVAMENTO","PROSPECÇÃO")))))))</f>
        <v/>
      </c>
      <c r="V107" s="58" t="n"/>
      <c r="W107" s="58" t="inlineStr">
        <is>
          <t>NÃO</t>
        </is>
      </c>
      <c r="X107" s="58" t="n"/>
    </row>
    <row r="108">
      <c r="A108" s="71" t="n">
        <v>46060</v>
      </c>
      <c r="B108" s="58" t="inlineStr">
        <is>
          <t>DAIANE STAVICKI</t>
        </is>
      </c>
      <c r="C108" s="58" t="inlineStr">
        <is>
          <t>POWER NATURAL 66</t>
        </is>
      </c>
      <c r="D108" s="58" t="inlineStr">
        <is>
          <t>69.610.415/8149-12</t>
        </is>
      </c>
      <c r="E108" s="58" t="inlineStr">
        <is>
          <t>PR</t>
        </is>
      </c>
      <c r="F108" s="58" t="inlineStr">
        <is>
          <t>FIT LAND</t>
        </is>
      </c>
      <c r="G108" s="58" t="inlineStr">
        <is>
          <t>EM RISCO</t>
        </is>
      </c>
      <c r="H108" s="58" t="n">
        <v>54</v>
      </c>
      <c r="I108" s="58">
        <f>IF(R108="","",VLOOKUP(R108,REGRAS!$B$2:$D$13,3,FALSE()))</f>
        <v/>
      </c>
      <c r="J108" s="58" t="n"/>
      <c r="K108" s="58">
        <f>IF(R108="","",IF(R108="VENDA / PEDIDO","RECOMPRA",IF(R108="SUPORTE","PÓS-VENDA",IF(OR(R108="FOLLOW UP 7",R108="FOLLOW UP 15"),"SALVAMENTO",IF(R108="PERDA / FECHOU LOJA","NUTRIÇÃO",IF(R108="RELACIONAMENTO","CS",IF(OR(R108="ORÇAMENTO",R108="CADASTRO"),"PROSPECÇÃO",IF(R108="EM ATENDIMENTO","EM ATENDIMENTO",IF(OR(R108="NÃO ATENDE",R108="NÃO RESPONDE",R108="RECUSOU LIGAÇÃO"),"RECUPERAÇÃO","")))))))))</f>
        <v/>
      </c>
      <c r="L108" s="58">
        <f>IF(H108="","",IF(G108="PROSPECT","🟣",IF(G108="LEAD","🟣",IF(G108="NOVO","🟢",IF(H108&lt;=50,"🟢",IF(H108&lt;=90,"🟡","🔴"))))))</f>
        <v/>
      </c>
      <c r="M108" s="58" t="n"/>
      <c r="N108" s="58" t="inlineStr">
        <is>
          <t>SIM</t>
        </is>
      </c>
      <c r="O108" s="58" t="inlineStr">
        <is>
          <t>NÃO</t>
        </is>
      </c>
      <c r="P108" s="58" t="inlineStr">
        <is>
          <t>N/A</t>
        </is>
      </c>
      <c r="Q108" s="58" t="inlineStr">
        <is>
          <t>NEGOCIAÇÃO</t>
        </is>
      </c>
      <c r="R108" s="58" t="inlineStr">
        <is>
          <t>ORÇAMENTO</t>
        </is>
      </c>
      <c r="S108" s="58" t="n"/>
      <c r="T108" s="71">
        <f>IF(R108="","",IF(OR(R108="SUPORTE",R108="PERDA / FECHOU LOJA"),"SEM",A108+VLOOKUP(R108,REGRAS!$B$2:$C$13,2,FALSE())))</f>
        <v/>
      </c>
      <c r="U108" s="58">
        <f>IF(R108="","",IF(R108="VENDA / PEDIDO","RECOMPRA",IF(R108="SUPORTE","PÓS-VENDA",IF(R108="RELACIONAMENTO","CS",IF(OR(R108="NÃO ATENDE",R108="NÃO RESPONDE",R108="RECUSOU LIGAÇÃO"),"REATIVAÇÃO",IF(R108="PERDA / FECHOU LOJA","NUTRIÇÃO",IF(OR(R108="FOLLOW UP 7",R108="FOLLOW UP 15"),"SALVAMENTO","PROSPECÇÃO")))))))</f>
        <v/>
      </c>
      <c r="V108" s="58" t="n"/>
      <c r="W108" s="58" t="inlineStr">
        <is>
          <t>NÃO</t>
        </is>
      </c>
      <c r="X108" s="58" t="n"/>
    </row>
    <row r="109">
      <c r="A109" s="71" t="n">
        <v>46074</v>
      </c>
      <c r="B109" s="58" t="inlineStr">
        <is>
          <t>JULIO GADRET</t>
        </is>
      </c>
      <c r="C109" s="58" t="inlineStr">
        <is>
          <t>ECO SAUDE 69</t>
        </is>
      </c>
      <c r="D109" s="58" t="inlineStr">
        <is>
          <t>11.967.210/7061-27</t>
        </is>
      </c>
      <c r="E109" s="58" t="inlineStr">
        <is>
          <t>BA</t>
        </is>
      </c>
      <c r="F109" s="58" t="inlineStr">
        <is>
          <t>DEMAIS CLIENTES</t>
        </is>
      </c>
      <c r="G109" s="58" t="inlineStr">
        <is>
          <t>INAT.ANT</t>
        </is>
      </c>
      <c r="H109" s="58" t="n">
        <v>184</v>
      </c>
      <c r="I109" s="58">
        <f>IF(R109="","",VLOOKUP(R109,REGRAS!$B$2:$D$13,3,FALSE()))</f>
        <v/>
      </c>
      <c r="J109" s="58" t="n"/>
      <c r="K109" s="58">
        <f>IF(R109="","",IF(R109="VENDA / PEDIDO","RECOMPRA",IF(R109="SUPORTE","PÓS-VENDA",IF(OR(R109="FOLLOW UP 7",R109="FOLLOW UP 15"),"SALVAMENTO",IF(R109="PERDA / FECHOU LOJA","NUTRIÇÃO",IF(R109="RELACIONAMENTO","CS",IF(OR(R109="ORÇAMENTO",R109="CADASTRO"),"PROSPECÇÃO",IF(R109="EM ATENDIMENTO","EM ATENDIMENTO",IF(OR(R109="NÃO ATENDE",R109="NÃO RESPONDE",R109="RECUSOU LIGAÇÃO"),"RECUPERAÇÃO","")))))))))</f>
        <v/>
      </c>
      <c r="L109" s="58">
        <f>IF(H109="","",IF(G109="PROSPECT","🟣",IF(G109="LEAD","🟣",IF(G109="NOVO","🟢",IF(H109&lt;=50,"🟢",IF(H109&lt;=90,"🟡","🔴"))))))</f>
        <v/>
      </c>
      <c r="M109" s="58" t="n"/>
      <c r="N109" s="58" t="inlineStr">
        <is>
          <t>SIM</t>
        </is>
      </c>
      <c r="O109" s="58" t="inlineStr">
        <is>
          <t>SIM</t>
        </is>
      </c>
      <c r="P109" s="58" t="inlineStr">
        <is>
          <t>SIM</t>
        </is>
      </c>
      <c r="Q109" s="58" t="inlineStr">
        <is>
          <t>PROSPECÇÃO</t>
        </is>
      </c>
      <c r="R109" s="58" t="inlineStr">
        <is>
          <t>EM ATENDIMENTO</t>
        </is>
      </c>
      <c r="S109" s="58" t="n"/>
      <c r="T109" s="71">
        <f>IF(R109="","",IF(OR(R109="SUPORTE",R109="PERDA / FECHOU LOJA"),"SEM",A109+VLOOKUP(R109,REGRAS!$B$2:$C$13,2,FALSE())))</f>
        <v/>
      </c>
      <c r="U109" s="58">
        <f>IF(R109="","",IF(R109="VENDA / PEDIDO","RECOMPRA",IF(R109="SUPORTE","PÓS-VENDA",IF(R109="RELACIONAMENTO","CS",IF(OR(R109="NÃO ATENDE",R109="NÃO RESPONDE",R109="RECUSOU LIGAÇÃO"),"REATIVAÇÃO",IF(R109="PERDA / FECHOU LOJA","NUTRIÇÃO",IF(OR(R109="FOLLOW UP 7",R109="FOLLOW UP 15"),"SALVAMENTO","PROSPECÇÃO")))))))</f>
        <v/>
      </c>
      <c r="V109" s="58" t="n"/>
      <c r="W109" s="58" t="inlineStr">
        <is>
          <t>SIM</t>
        </is>
      </c>
      <c r="X109" s="58" t="n"/>
    </row>
    <row r="110">
      <c r="A110" s="71" t="n">
        <v>46068</v>
      </c>
      <c r="B110" s="58" t="inlineStr">
        <is>
          <t>DAIANE STAVICKI</t>
        </is>
      </c>
      <c r="C110" s="58" t="inlineStr">
        <is>
          <t>NATUR LIFE 80</t>
        </is>
      </c>
      <c r="D110" s="58" t="inlineStr">
        <is>
          <t>97.725.221/2109-22</t>
        </is>
      </c>
      <c r="E110" s="58" t="inlineStr">
        <is>
          <t>SC</t>
        </is>
      </c>
      <c r="F110" s="58" t="inlineStr">
        <is>
          <t>DEMAIS CLIENTES</t>
        </is>
      </c>
      <c r="G110" s="58" t="inlineStr">
        <is>
          <t>ATIVO</t>
        </is>
      </c>
      <c r="H110" s="58" t="n">
        <v>28</v>
      </c>
      <c r="I110" s="58">
        <f>IF(R110="","",VLOOKUP(R110,REGRAS!$B$2:$D$13,3,FALSE()))</f>
        <v/>
      </c>
      <c r="J110" s="58" t="n"/>
      <c r="K110" s="58">
        <f>IF(R110="","",IF(R110="VENDA / PEDIDO","RECOMPRA",IF(R110="SUPORTE","PÓS-VENDA",IF(OR(R110="FOLLOW UP 7",R110="FOLLOW UP 15"),"SALVAMENTO",IF(R110="PERDA / FECHOU LOJA","NUTRIÇÃO",IF(R110="RELACIONAMENTO","CS",IF(OR(R110="ORÇAMENTO",R110="CADASTRO"),"PROSPECÇÃO",IF(R110="EM ATENDIMENTO","EM ATENDIMENTO",IF(OR(R110="NÃO ATENDE",R110="NÃO RESPONDE",R110="RECUSOU LIGAÇÃO"),"RECUPERAÇÃO","")))))))))</f>
        <v/>
      </c>
      <c r="L110" s="58">
        <f>IF(H110="","",IF(G110="PROSPECT","🟣",IF(G110="LEAD","🟣",IF(G110="NOVO","🟢",IF(H110&lt;=50,"🟢",IF(H110&lt;=90,"🟡","🔴"))))))</f>
        <v/>
      </c>
      <c r="M110" s="58" t="n"/>
      <c r="N110" s="58" t="inlineStr">
        <is>
          <t>SIM</t>
        </is>
      </c>
      <c r="O110" s="58" t="inlineStr">
        <is>
          <t>NÃO</t>
        </is>
      </c>
      <c r="P110" s="58" t="inlineStr">
        <is>
          <t>N/A</t>
        </is>
      </c>
      <c r="Q110" s="58" t="inlineStr">
        <is>
          <t>PÓS-VENDA / RELACIONAMENTO</t>
        </is>
      </c>
      <c r="R110" s="58" t="inlineStr">
        <is>
          <t>RELACIONAMENTO</t>
        </is>
      </c>
      <c r="S110" s="58" t="n"/>
      <c r="T110" s="71">
        <f>IF(R110="","",IF(OR(R110="SUPORTE",R110="PERDA / FECHOU LOJA"),"SEM",A110+VLOOKUP(R110,REGRAS!$B$2:$C$13,2,FALSE())))</f>
        <v/>
      </c>
      <c r="U110" s="58">
        <f>IF(R110="","",IF(R110="VENDA / PEDIDO","RECOMPRA",IF(R110="SUPORTE","PÓS-VENDA",IF(R110="RELACIONAMENTO","CS",IF(OR(R110="NÃO ATENDE",R110="NÃO RESPONDE",R110="RECUSOU LIGAÇÃO"),"REATIVAÇÃO",IF(R110="PERDA / FECHOU LOJA","NUTRIÇÃO",IF(OR(R110="FOLLOW UP 7",R110="FOLLOW UP 15"),"SALVAMENTO","PROSPECÇÃO")))))))</f>
        <v/>
      </c>
      <c r="V110" s="58" t="n"/>
      <c r="W110" s="58" t="inlineStr">
        <is>
          <t>SIM</t>
        </is>
      </c>
      <c r="X110" s="58" t="n"/>
    </row>
    <row r="111">
      <c r="A111" s="71" t="n">
        <v>46058</v>
      </c>
      <c r="B111" s="58" t="inlineStr">
        <is>
          <t>JULIO GADRET</t>
        </is>
      </c>
      <c r="C111" s="58" t="inlineStr">
        <is>
          <t>FEIRA VERDE 67</t>
        </is>
      </c>
      <c r="D111" s="58" t="inlineStr">
        <is>
          <t>68.252.720/8447-27</t>
        </is>
      </c>
      <c r="E111" s="58" t="inlineStr">
        <is>
          <t>SC</t>
        </is>
      </c>
      <c r="F111" s="58" t="inlineStr">
        <is>
          <t>VIDA LEVE</t>
        </is>
      </c>
      <c r="G111" s="58" t="inlineStr">
        <is>
          <t>ATIVO</t>
        </is>
      </c>
      <c r="H111" s="58" t="n">
        <v>44</v>
      </c>
      <c r="I111" s="58">
        <f>IF(R111="","",VLOOKUP(R111,REGRAS!$B$2:$D$13,3,FALSE()))</f>
        <v/>
      </c>
      <c r="J111" s="58" t="n"/>
      <c r="K111" s="58">
        <f>IF(R111="","",IF(R111="VENDA / PEDIDO","RECOMPRA",IF(R111="SUPORTE","PÓS-VENDA",IF(OR(R111="FOLLOW UP 7",R111="FOLLOW UP 15"),"SALVAMENTO",IF(R111="PERDA / FECHOU LOJA","NUTRIÇÃO",IF(R111="RELACIONAMENTO","CS",IF(OR(R111="ORÇAMENTO",R111="CADASTRO"),"PROSPECÇÃO",IF(R111="EM ATENDIMENTO","EM ATENDIMENTO",IF(OR(R111="NÃO ATENDE",R111="NÃO RESPONDE",R111="RECUSOU LIGAÇÃO"),"RECUPERAÇÃO","")))))))))</f>
        <v/>
      </c>
      <c r="L111" s="58">
        <f>IF(H111="","",IF(G111="PROSPECT","🟣",IF(G111="LEAD","🟣",IF(G111="NOVO","🟢",IF(H111&lt;=50,"🟢",IF(H111&lt;=90,"🟡","🔴"))))))</f>
        <v/>
      </c>
      <c r="M111" s="58" t="n"/>
      <c r="N111" s="58" t="inlineStr">
        <is>
          <t>SIM</t>
        </is>
      </c>
      <c r="O111" s="58" t="inlineStr">
        <is>
          <t>NÃO</t>
        </is>
      </c>
      <c r="P111" s="58" t="inlineStr">
        <is>
          <t>N/A</t>
        </is>
      </c>
      <c r="Q111" s="58" t="inlineStr">
        <is>
          <t>ATEND. CLIENTES INATIVOS</t>
        </is>
      </c>
      <c r="R111" s="58" t="inlineStr">
        <is>
          <t>NÃO ATENDE</t>
        </is>
      </c>
      <c r="S111" s="58" t="inlineStr">
        <is>
          <t>PROBLEMA LOGÍSTICO / ENTREGA</t>
        </is>
      </c>
      <c r="T111" s="71">
        <f>IF(R111="","",IF(OR(R111="SUPORTE",R111="PERDA / FECHOU LOJA"),"SEM",A111+VLOOKUP(R111,REGRAS!$B$2:$C$13,2,FALSE())))</f>
        <v/>
      </c>
      <c r="U111" s="58">
        <f>IF(R111="","",IF(R111="VENDA / PEDIDO","RECOMPRA",IF(R111="SUPORTE","PÓS-VENDA",IF(R111="RELACIONAMENTO","CS",IF(OR(R111="NÃO ATENDE",R111="NÃO RESPONDE",R111="RECUSOU LIGAÇÃO"),"REATIVAÇÃO",IF(R111="PERDA / FECHOU LOJA","NUTRIÇÃO",IF(OR(R111="FOLLOW UP 7",R111="FOLLOW UP 15"),"SALVAMENTO","PROSPECÇÃO")))))))</f>
        <v/>
      </c>
      <c r="V111" s="58" t="n"/>
      <c r="W111" s="58" t="inlineStr">
        <is>
          <t>NÃO</t>
        </is>
      </c>
      <c r="X111" s="58" t="n"/>
    </row>
    <row r="112">
      <c r="A112" s="71" t="n">
        <v>46063</v>
      </c>
      <c r="B112" s="58" t="inlineStr">
        <is>
          <t>LARISSA PADILHA</t>
        </is>
      </c>
      <c r="C112" s="58" t="inlineStr">
        <is>
          <t>EMPÓRIO NATURAL 48</t>
        </is>
      </c>
      <c r="D112" s="58" t="inlineStr">
        <is>
          <t>52.789.212/6825-84</t>
        </is>
      </c>
      <c r="E112" s="58" t="inlineStr">
        <is>
          <t>SC</t>
        </is>
      </c>
      <c r="F112" s="58" t="inlineStr">
        <is>
          <t>DEMAIS CLIENTES</t>
        </is>
      </c>
      <c r="G112" s="58" t="inlineStr">
        <is>
          <t>NOVO</t>
        </is>
      </c>
      <c r="H112" s="58" t="n"/>
      <c r="I112" s="58">
        <f>IF(R112="","",VLOOKUP(R112,REGRAS!$B$2:$D$13,3,FALSE()))</f>
        <v/>
      </c>
      <c r="J112" s="58" t="n"/>
      <c r="K112" s="58">
        <f>IF(R112="","",IF(R112="VENDA / PEDIDO","RECOMPRA",IF(R112="SUPORTE","PÓS-VENDA",IF(OR(R112="FOLLOW UP 7",R112="FOLLOW UP 15"),"SALVAMENTO",IF(R112="PERDA / FECHOU LOJA","NUTRIÇÃO",IF(R112="RELACIONAMENTO","CS",IF(OR(R112="ORÇAMENTO",R112="CADASTRO"),"PROSPECÇÃO",IF(R112="EM ATENDIMENTO","EM ATENDIMENTO",IF(OR(R112="NÃO ATENDE",R112="NÃO RESPONDE",R112="RECUSOU LIGAÇÃO"),"RECUPERAÇÃO","")))))))))</f>
        <v/>
      </c>
      <c r="L112" s="58">
        <f>IF(H112="","",IF(G112="PROSPECT","🟣",IF(G112="LEAD","🟣",IF(G112="NOVO","🟢",IF(H112&lt;=50,"🟢",IF(H112&lt;=90,"🟡","🔴"))))))</f>
        <v/>
      </c>
      <c r="M112" s="58" t="n"/>
      <c r="N112" s="58" t="inlineStr">
        <is>
          <t>SIM</t>
        </is>
      </c>
      <c r="O112" s="58" t="inlineStr">
        <is>
          <t>NÃO</t>
        </is>
      </c>
      <c r="P112" s="58" t="inlineStr">
        <is>
          <t>N/A</t>
        </is>
      </c>
      <c r="Q112" s="58" t="inlineStr">
        <is>
          <t>ATEND. CLIENTES INATIVOS</t>
        </is>
      </c>
      <c r="R112" s="58" t="inlineStr">
        <is>
          <t>RECUSOU LIGAÇÃO</t>
        </is>
      </c>
      <c r="S112" s="58" t="inlineStr">
        <is>
          <t>PRIMEIRO CONTATO / SEM RESPOSTA</t>
        </is>
      </c>
      <c r="T112" s="71">
        <f>IF(R112="","",IF(OR(R112="SUPORTE",R112="PERDA / FECHOU LOJA"),"SEM",A112+VLOOKUP(R112,REGRAS!$B$2:$C$13,2,FALSE())))</f>
        <v/>
      </c>
      <c r="U112" s="58">
        <f>IF(R112="","",IF(R112="VENDA / PEDIDO","RECOMPRA",IF(R112="SUPORTE","PÓS-VENDA",IF(R112="RELACIONAMENTO","CS",IF(OR(R112="NÃO ATENDE",R112="NÃO RESPONDE",R112="RECUSOU LIGAÇÃO"),"REATIVAÇÃO",IF(R112="PERDA / FECHOU LOJA","NUTRIÇÃO",IF(OR(R112="FOLLOW UP 7",R112="FOLLOW UP 15"),"SALVAMENTO","PROSPECÇÃO")))))))</f>
        <v/>
      </c>
      <c r="V112" s="58" t="n"/>
      <c r="W112" s="58" t="inlineStr">
        <is>
          <t>SIM</t>
        </is>
      </c>
      <c r="X112" s="58" t="n"/>
    </row>
    <row r="113">
      <c r="A113" s="71" t="n">
        <v>46061</v>
      </c>
      <c r="B113" s="58" t="inlineStr">
        <is>
          <t>JULIO GADRET</t>
        </is>
      </c>
      <c r="C113" s="58" t="inlineStr">
        <is>
          <t>VERDE ESSENCE 62</t>
        </is>
      </c>
      <c r="D113" s="58" t="inlineStr">
        <is>
          <t>31.636.744/6230-28</t>
        </is>
      </c>
      <c r="E113" s="58" t="inlineStr">
        <is>
          <t>MG</t>
        </is>
      </c>
      <c r="F113" s="58" t="inlineStr">
        <is>
          <t>BIOMUNDO</t>
        </is>
      </c>
      <c r="G113" s="58" t="inlineStr">
        <is>
          <t>INAT.REC</t>
        </is>
      </c>
      <c r="H113" s="58" t="n">
        <v>83</v>
      </c>
      <c r="I113" s="58">
        <f>IF(R113="","",VLOOKUP(R113,REGRAS!$B$2:$D$13,3,FALSE()))</f>
        <v/>
      </c>
      <c r="J113" s="58" t="n"/>
      <c r="K113" s="58">
        <f>IF(R113="","",IF(R113="VENDA / PEDIDO","RECOMPRA",IF(R113="SUPORTE","PÓS-VENDA",IF(OR(R113="FOLLOW UP 7",R113="FOLLOW UP 15"),"SALVAMENTO",IF(R113="PERDA / FECHOU LOJA","NUTRIÇÃO",IF(R113="RELACIONAMENTO","CS",IF(OR(R113="ORÇAMENTO",R113="CADASTRO"),"PROSPECÇÃO",IF(R113="EM ATENDIMENTO","EM ATENDIMENTO",IF(OR(R113="NÃO ATENDE",R113="NÃO RESPONDE",R113="RECUSOU LIGAÇÃO"),"RECUPERAÇÃO","")))))))))</f>
        <v/>
      </c>
      <c r="L113" s="58">
        <f>IF(H113="","",IF(G113="PROSPECT","🟣",IF(G113="LEAD","🟣",IF(G113="NOVO","🟢",IF(H113&lt;=50,"🟢",IF(H113&lt;=90,"🟡","🔴"))))))</f>
        <v/>
      </c>
      <c r="M113" s="58" t="n"/>
      <c r="N113" s="58" t="inlineStr">
        <is>
          <t>SIM</t>
        </is>
      </c>
      <c r="O113" s="58" t="inlineStr">
        <is>
          <t>SIM</t>
        </is>
      </c>
      <c r="P113" s="58" t="inlineStr">
        <is>
          <t>NÃO</t>
        </is>
      </c>
      <c r="Q113" s="58" t="inlineStr">
        <is>
          <t>PROSPECÇÃO</t>
        </is>
      </c>
      <c r="R113" s="58" t="inlineStr">
        <is>
          <t>EM ATENDIMENTO</t>
        </is>
      </c>
      <c r="S113" s="58" t="n"/>
      <c r="T113" s="71">
        <f>IF(R113="","",IF(OR(R113="SUPORTE",R113="PERDA / FECHOU LOJA"),"SEM",A113+VLOOKUP(R113,REGRAS!$B$2:$C$13,2,FALSE())))</f>
        <v/>
      </c>
      <c r="U113" s="58">
        <f>IF(R113="","",IF(R113="VENDA / PEDIDO","RECOMPRA",IF(R113="SUPORTE","PÓS-VENDA",IF(R113="RELACIONAMENTO","CS",IF(OR(R113="NÃO ATENDE",R113="NÃO RESPONDE",R113="RECUSOU LIGAÇÃO"),"REATIVAÇÃO",IF(R113="PERDA / FECHOU LOJA","NUTRIÇÃO",IF(OR(R113="FOLLOW UP 7",R113="FOLLOW UP 15"),"SALVAMENTO","PROSPECÇÃO")))))))</f>
        <v/>
      </c>
      <c r="V113" s="58" t="n"/>
      <c r="W113" s="58" t="inlineStr">
        <is>
          <t>SIM</t>
        </is>
      </c>
      <c r="X113" s="58" t="n"/>
    </row>
    <row r="114">
      <c r="A114" s="71" t="n">
        <v>46078</v>
      </c>
      <c r="B114" s="58" t="inlineStr">
        <is>
          <t>JULIO GADRET</t>
        </is>
      </c>
      <c r="C114" s="58" t="inlineStr">
        <is>
          <t>FEIRA VERDE 95</t>
        </is>
      </c>
      <c r="D114" s="58" t="inlineStr">
        <is>
          <t>17.822.241/8499-36</t>
        </is>
      </c>
      <c r="E114" s="58" t="inlineStr">
        <is>
          <t>SP</t>
        </is>
      </c>
      <c r="F114" s="58" t="inlineStr">
        <is>
          <t>DEMAIS CLIENTES</t>
        </is>
      </c>
      <c r="G114" s="58" t="inlineStr">
        <is>
          <t>EM RISCO</t>
        </is>
      </c>
      <c r="H114" s="58" t="n">
        <v>57</v>
      </c>
      <c r="I114" s="58">
        <f>IF(R114="","",VLOOKUP(R114,REGRAS!$B$2:$D$13,3,FALSE()))</f>
        <v/>
      </c>
      <c r="J114" s="58" t="n"/>
      <c r="K114" s="58">
        <f>IF(R114="","",IF(R114="VENDA / PEDIDO","RECOMPRA",IF(R114="SUPORTE","PÓS-VENDA",IF(OR(R114="FOLLOW UP 7",R114="FOLLOW UP 15"),"SALVAMENTO",IF(R114="PERDA / FECHOU LOJA","NUTRIÇÃO",IF(R114="RELACIONAMENTO","CS",IF(OR(R114="ORÇAMENTO",R114="CADASTRO"),"PROSPECÇÃO",IF(R114="EM ATENDIMENTO","EM ATENDIMENTO",IF(OR(R114="NÃO ATENDE",R114="NÃO RESPONDE",R114="RECUSOU LIGAÇÃO"),"RECUPERAÇÃO","")))))))))</f>
        <v/>
      </c>
      <c r="L114" s="58">
        <f>IF(H114="","",IF(G114="PROSPECT","🟣",IF(G114="LEAD","🟣",IF(G114="NOVO","🟢",IF(H114&lt;=50,"🟢",IF(H114&lt;=90,"🟡","🔴"))))))</f>
        <v/>
      </c>
      <c r="M114" s="58" t="n"/>
      <c r="N114" s="58" t="inlineStr">
        <is>
          <t>NÃO</t>
        </is>
      </c>
      <c r="O114" s="58" t="inlineStr">
        <is>
          <t>SIM</t>
        </is>
      </c>
      <c r="P114" s="58" t="inlineStr">
        <is>
          <t>SIM</t>
        </is>
      </c>
      <c r="Q114" s="58" t="inlineStr">
        <is>
          <t>FOLLOW UP</t>
        </is>
      </c>
      <c r="R114" s="58" t="inlineStr">
        <is>
          <t>ORÇAMENTO</t>
        </is>
      </c>
      <c r="S114" s="58" t="n"/>
      <c r="T114" s="71">
        <f>IF(R114="","",IF(OR(R114="SUPORTE",R114="PERDA / FECHOU LOJA"),"SEM",A114+VLOOKUP(R114,REGRAS!$B$2:$C$13,2,FALSE())))</f>
        <v/>
      </c>
      <c r="U114" s="58">
        <f>IF(R114="","",IF(R114="VENDA / PEDIDO","RECOMPRA",IF(R114="SUPORTE","PÓS-VENDA",IF(R114="RELACIONAMENTO","CS",IF(OR(R114="NÃO ATENDE",R114="NÃO RESPONDE",R114="RECUSOU LIGAÇÃO"),"REATIVAÇÃO",IF(R114="PERDA / FECHOU LOJA","NUTRIÇÃO",IF(OR(R114="FOLLOW UP 7",R114="FOLLOW UP 15"),"SALVAMENTO","PROSPECÇÃO")))))))</f>
        <v/>
      </c>
      <c r="V114" s="58" t="n"/>
      <c r="W114" s="58" t="inlineStr">
        <is>
          <t>NÃO</t>
        </is>
      </c>
      <c r="X114" s="58" t="n"/>
    </row>
    <row r="115">
      <c r="A115" s="71" t="n">
        <v>46077</v>
      </c>
      <c r="B115" s="58" t="inlineStr">
        <is>
          <t>JULIO GADRET</t>
        </is>
      </c>
      <c r="C115" s="58" t="inlineStr">
        <is>
          <t>PONTO VERDE 79</t>
        </is>
      </c>
      <c r="D115" s="58" t="inlineStr">
        <is>
          <t>71.296.352/4572-81</t>
        </is>
      </c>
      <c r="E115" s="58" t="inlineStr">
        <is>
          <t>SC</t>
        </is>
      </c>
      <c r="F115" s="58" t="inlineStr">
        <is>
          <t>DEMAIS CLIENTES</t>
        </is>
      </c>
      <c r="G115" s="58" t="inlineStr">
        <is>
          <t>PROSPECT</t>
        </is>
      </c>
      <c r="H115" s="58" t="n"/>
      <c r="I115" s="58">
        <f>IF(R115="","",VLOOKUP(R115,REGRAS!$B$2:$D$13,3,FALSE()))</f>
        <v/>
      </c>
      <c r="J115" s="58" t="n"/>
      <c r="K115" s="58">
        <f>IF(R115="","",IF(R115="VENDA / PEDIDO","RECOMPRA",IF(R115="SUPORTE","PÓS-VENDA",IF(OR(R115="FOLLOW UP 7",R115="FOLLOW UP 15"),"SALVAMENTO",IF(R115="PERDA / FECHOU LOJA","NUTRIÇÃO",IF(R115="RELACIONAMENTO","CS",IF(OR(R115="ORÇAMENTO",R115="CADASTRO"),"PROSPECÇÃO",IF(R115="EM ATENDIMENTO","EM ATENDIMENTO",IF(OR(R115="NÃO ATENDE",R115="NÃO RESPONDE",R115="RECUSOU LIGAÇÃO"),"RECUPERAÇÃO","")))))))))</f>
        <v/>
      </c>
      <c r="L115" s="58">
        <f>IF(H115="","",IF(G115="PROSPECT","🟣",IF(G115="LEAD","🟣",IF(G115="NOVO","🟢",IF(H115&lt;=50,"🟢",IF(H115&lt;=90,"🟡","🔴"))))))</f>
        <v/>
      </c>
      <c r="M115" s="58" t="n"/>
      <c r="N115" s="58" t="inlineStr">
        <is>
          <t>SIM</t>
        </is>
      </c>
      <c r="O115" s="58" t="inlineStr">
        <is>
          <t>NÃO</t>
        </is>
      </c>
      <c r="P115" s="58" t="inlineStr">
        <is>
          <t>N/A</t>
        </is>
      </c>
      <c r="Q115" s="58" t="inlineStr">
        <is>
          <t>PÓS-VENDA / RELACIONAMENTO</t>
        </is>
      </c>
      <c r="R115" s="58" t="inlineStr">
        <is>
          <t>SUPORTE</t>
        </is>
      </c>
      <c r="S115" s="58" t="n"/>
      <c r="T115" s="71">
        <f>IF(R115="","",IF(OR(R115="SUPORTE",R115="PERDA / FECHOU LOJA"),"SEM",A115+VLOOKUP(R115,REGRAS!$B$2:$C$13,2,FALSE())))</f>
        <v/>
      </c>
      <c r="U115" s="58">
        <f>IF(R115="","",IF(R115="VENDA / PEDIDO","RECOMPRA",IF(R115="SUPORTE","PÓS-VENDA",IF(R115="RELACIONAMENTO","CS",IF(OR(R115="NÃO ATENDE",R115="NÃO RESPONDE",R115="RECUSOU LIGAÇÃO"),"REATIVAÇÃO",IF(R115="PERDA / FECHOU LOJA","NUTRIÇÃO",IF(OR(R115="FOLLOW UP 7",R115="FOLLOW UP 15"),"SALVAMENTO","PROSPECÇÃO")))))))</f>
        <v/>
      </c>
      <c r="V115" s="58" t="n"/>
      <c r="W115" s="58" t="inlineStr">
        <is>
          <t>SIM</t>
        </is>
      </c>
      <c r="X115" s="58" t="n"/>
    </row>
    <row r="116">
      <c r="A116" s="71" t="n">
        <v>46071</v>
      </c>
      <c r="B116" s="58" t="inlineStr">
        <is>
          <t>DAIANE STAVICKI</t>
        </is>
      </c>
      <c r="C116" s="58" t="inlineStr">
        <is>
          <t>NATUR LIFE 37</t>
        </is>
      </c>
      <c r="D116" s="58" t="inlineStr">
        <is>
          <t>25.687.792/8900-58</t>
        </is>
      </c>
      <c r="E116" s="58" t="inlineStr">
        <is>
          <t>BA</t>
        </is>
      </c>
      <c r="F116" s="58" t="inlineStr">
        <is>
          <t>FIT LAND</t>
        </is>
      </c>
      <c r="G116" s="58" t="inlineStr">
        <is>
          <t>ATIVO</t>
        </is>
      </c>
      <c r="H116" s="58" t="n">
        <v>14</v>
      </c>
      <c r="I116" s="58">
        <f>IF(R116="","",VLOOKUP(R116,REGRAS!$B$2:$D$13,3,FALSE()))</f>
        <v/>
      </c>
      <c r="J116" s="58" t="n"/>
      <c r="K116" s="58">
        <f>IF(R116="","",IF(R116="VENDA / PEDIDO","RECOMPRA",IF(R116="SUPORTE","PÓS-VENDA",IF(OR(R116="FOLLOW UP 7",R116="FOLLOW UP 15"),"SALVAMENTO",IF(R116="PERDA / FECHOU LOJA","NUTRIÇÃO",IF(R116="RELACIONAMENTO","CS",IF(OR(R116="ORÇAMENTO",R116="CADASTRO"),"PROSPECÇÃO",IF(R116="EM ATENDIMENTO","EM ATENDIMENTO",IF(OR(R116="NÃO ATENDE",R116="NÃO RESPONDE",R116="RECUSOU LIGAÇÃO"),"RECUPERAÇÃO","")))))))))</f>
        <v/>
      </c>
      <c r="L116" s="58">
        <f>IF(H116="","",IF(G116="PROSPECT","🟣",IF(G116="LEAD","🟣",IF(G116="NOVO","🟢",IF(H116&lt;=50,"🟢",IF(H116&lt;=90,"🟡","🔴"))))))</f>
        <v/>
      </c>
      <c r="M116" s="58" t="n"/>
      <c r="N116" s="58" t="inlineStr">
        <is>
          <t>NÃO</t>
        </is>
      </c>
      <c r="O116" s="58" t="inlineStr">
        <is>
          <t>SIM</t>
        </is>
      </c>
      <c r="P116" s="58" t="inlineStr">
        <is>
          <t>SIM</t>
        </is>
      </c>
      <c r="Q116" s="58" t="inlineStr">
        <is>
          <t>FOLLOW UP</t>
        </is>
      </c>
      <c r="R116" s="58" t="inlineStr">
        <is>
          <t>ORÇAMENTO</t>
        </is>
      </c>
      <c r="S116" s="58" t="n"/>
      <c r="T116" s="71">
        <f>IF(R116="","",IF(OR(R116="SUPORTE",R116="PERDA / FECHOU LOJA"),"SEM",A116+VLOOKUP(R116,REGRAS!$B$2:$C$13,2,FALSE())))</f>
        <v/>
      </c>
      <c r="U116" s="58">
        <f>IF(R116="","",IF(R116="VENDA / PEDIDO","RECOMPRA",IF(R116="SUPORTE","PÓS-VENDA",IF(R116="RELACIONAMENTO","CS",IF(OR(R116="NÃO ATENDE",R116="NÃO RESPONDE",R116="RECUSOU LIGAÇÃO"),"REATIVAÇÃO",IF(R116="PERDA / FECHOU LOJA","NUTRIÇÃO",IF(OR(R116="FOLLOW UP 7",R116="FOLLOW UP 15"),"SALVAMENTO","PROSPECÇÃO")))))))</f>
        <v/>
      </c>
      <c r="V116" s="58" t="n"/>
      <c r="W116" s="58" t="inlineStr">
        <is>
          <t>SIM</t>
        </is>
      </c>
      <c r="X116" s="58" t="n"/>
    </row>
    <row r="117">
      <c r="A117" s="71" t="n">
        <v>46069</v>
      </c>
      <c r="B117" s="58" t="inlineStr">
        <is>
          <t>MANU DITZEL</t>
        </is>
      </c>
      <c r="C117" s="58" t="inlineStr">
        <is>
          <t>BIO FIT 35</t>
        </is>
      </c>
      <c r="D117" s="58" t="inlineStr">
        <is>
          <t>81.812.378/2250-23</t>
        </is>
      </c>
      <c r="E117" s="58" t="inlineStr">
        <is>
          <t>SP</t>
        </is>
      </c>
      <c r="F117" s="58" t="inlineStr">
        <is>
          <t>VIDA LEVE</t>
        </is>
      </c>
      <c r="G117" s="58" t="inlineStr">
        <is>
          <t>ATIVO</t>
        </is>
      </c>
      <c r="H117" s="58" t="n">
        <v>47</v>
      </c>
      <c r="I117" s="58">
        <f>IF(R117="","",VLOOKUP(R117,REGRAS!$B$2:$D$13,3,FALSE()))</f>
        <v/>
      </c>
      <c r="J117" s="58" t="n"/>
      <c r="K117" s="58">
        <f>IF(R117="","",IF(R117="VENDA / PEDIDO","RECOMPRA",IF(R117="SUPORTE","PÓS-VENDA",IF(OR(R117="FOLLOW UP 7",R117="FOLLOW UP 15"),"SALVAMENTO",IF(R117="PERDA / FECHOU LOJA","NUTRIÇÃO",IF(R117="RELACIONAMENTO","CS",IF(OR(R117="ORÇAMENTO",R117="CADASTRO"),"PROSPECÇÃO",IF(R117="EM ATENDIMENTO","EM ATENDIMENTO",IF(OR(R117="NÃO ATENDE",R117="NÃO RESPONDE",R117="RECUSOU LIGAÇÃO"),"RECUPERAÇÃO","")))))))))</f>
        <v/>
      </c>
      <c r="L117" s="58">
        <f>IF(H117="","",IF(G117="PROSPECT","🟣",IF(G117="LEAD","🟣",IF(G117="NOVO","🟢",IF(H117&lt;=50,"🟢",IF(H117&lt;=90,"🟡","🔴"))))))</f>
        <v/>
      </c>
      <c r="M117" s="58" t="n"/>
      <c r="N117" s="58" t="inlineStr">
        <is>
          <t>SIM</t>
        </is>
      </c>
      <c r="O117" s="58" t="inlineStr">
        <is>
          <t>SIM</t>
        </is>
      </c>
      <c r="P117" s="58" t="inlineStr">
        <is>
          <t>SIM</t>
        </is>
      </c>
      <c r="Q117" s="58" t="inlineStr">
        <is>
          <t>PÓS-VENDA / RELACIONAMENTO</t>
        </is>
      </c>
      <c r="R117" s="58" t="inlineStr">
        <is>
          <t>RELACIONAMENTO</t>
        </is>
      </c>
      <c r="S117" s="58" t="n"/>
      <c r="T117" s="71">
        <f>IF(R117="","",IF(OR(R117="SUPORTE",R117="PERDA / FECHOU LOJA"),"SEM",A117+VLOOKUP(R117,REGRAS!$B$2:$C$13,2,FALSE())))</f>
        <v/>
      </c>
      <c r="U117" s="58">
        <f>IF(R117="","",IF(R117="VENDA / PEDIDO","RECOMPRA",IF(R117="SUPORTE","PÓS-VENDA",IF(R117="RELACIONAMENTO","CS",IF(OR(R117="NÃO ATENDE",R117="NÃO RESPONDE",R117="RECUSOU LIGAÇÃO"),"REATIVAÇÃO",IF(R117="PERDA / FECHOU LOJA","NUTRIÇÃO",IF(OR(R117="FOLLOW UP 7",R117="FOLLOW UP 15"),"SALVAMENTO","PROSPECÇÃO")))))))</f>
        <v/>
      </c>
      <c r="V117" s="58" t="n"/>
      <c r="W117" s="58" t="inlineStr">
        <is>
          <t>SIM</t>
        </is>
      </c>
      <c r="X117" s="58" t="n"/>
    </row>
    <row r="118">
      <c r="A118" s="71" t="n">
        <v>46075</v>
      </c>
      <c r="B118" s="58" t="inlineStr">
        <is>
          <t>DAIANE STAVICKI</t>
        </is>
      </c>
      <c r="C118" s="58" t="inlineStr">
        <is>
          <t>NUTRI VIDA 71</t>
        </is>
      </c>
      <c r="D118" s="58" t="inlineStr">
        <is>
          <t>30.516.768/7794-71</t>
        </is>
      </c>
      <c r="E118" s="58" t="inlineStr">
        <is>
          <t>SP</t>
        </is>
      </c>
      <c r="F118" s="58" t="inlineStr">
        <is>
          <t>DEMAIS CLIENTES</t>
        </is>
      </c>
      <c r="G118" s="58" t="inlineStr">
        <is>
          <t>ATIVO</t>
        </is>
      </c>
      <c r="H118" s="58" t="n">
        <v>23</v>
      </c>
      <c r="I118" s="58">
        <f>IF(R118="","",VLOOKUP(R118,REGRAS!$B$2:$D$13,3,FALSE()))</f>
        <v/>
      </c>
      <c r="J118" s="58" t="n"/>
      <c r="K118" s="58">
        <f>IF(R118="","",IF(R118="VENDA / PEDIDO","RECOMPRA",IF(R118="SUPORTE","PÓS-VENDA",IF(OR(R118="FOLLOW UP 7",R118="FOLLOW UP 15"),"SALVAMENTO",IF(R118="PERDA / FECHOU LOJA","NUTRIÇÃO",IF(R118="RELACIONAMENTO","CS",IF(OR(R118="ORÇAMENTO",R118="CADASTRO"),"PROSPECÇÃO",IF(R118="EM ATENDIMENTO","EM ATENDIMENTO",IF(OR(R118="NÃO ATENDE",R118="NÃO RESPONDE",R118="RECUSOU LIGAÇÃO"),"RECUPERAÇÃO","")))))))))</f>
        <v/>
      </c>
      <c r="L118" s="58">
        <f>IF(H118="","",IF(G118="PROSPECT","🟣",IF(G118="LEAD","🟣",IF(G118="NOVO","🟢",IF(H118&lt;=50,"🟢",IF(H118&lt;=90,"🟡","🔴"))))))</f>
        <v/>
      </c>
      <c r="M118" s="58" t="n"/>
      <c r="N118" s="58" t="inlineStr">
        <is>
          <t>SIM</t>
        </is>
      </c>
      <c r="O118" s="58" t="inlineStr">
        <is>
          <t>NÃO</t>
        </is>
      </c>
      <c r="P118" s="58" t="inlineStr">
        <is>
          <t>N/A</t>
        </is>
      </c>
      <c r="Q118" s="58" t="inlineStr">
        <is>
          <t>ATEND. CLIENTES INATIVOS</t>
        </is>
      </c>
      <c r="R118" s="58" t="inlineStr">
        <is>
          <t>FOLLOW UP 7</t>
        </is>
      </c>
      <c r="S118" s="58" t="inlineStr">
        <is>
          <t>PROBLEMA LOGÍSTICO / ENTREGA</t>
        </is>
      </c>
      <c r="T118" s="71">
        <f>IF(R118="","",IF(OR(R118="SUPORTE",R118="PERDA / FECHOU LOJA"),"SEM",A118+VLOOKUP(R118,REGRAS!$B$2:$C$13,2,FALSE())))</f>
        <v/>
      </c>
      <c r="U118" s="58">
        <f>IF(R118="","",IF(R118="VENDA / PEDIDO","RECOMPRA",IF(R118="SUPORTE","PÓS-VENDA",IF(R118="RELACIONAMENTO","CS",IF(OR(R118="NÃO ATENDE",R118="NÃO RESPONDE",R118="RECUSOU LIGAÇÃO"),"REATIVAÇÃO",IF(R118="PERDA / FECHOU LOJA","NUTRIÇÃO",IF(OR(R118="FOLLOW UP 7",R118="FOLLOW UP 15"),"SALVAMENTO","PROSPECÇÃO")))))))</f>
        <v/>
      </c>
      <c r="V118" s="58" t="n"/>
      <c r="W118" s="58" t="inlineStr">
        <is>
          <t>NÃO</t>
        </is>
      </c>
      <c r="X118" s="58" t="n"/>
    </row>
    <row r="119">
      <c r="A119" s="71" t="n">
        <v>46055</v>
      </c>
      <c r="B119" s="58" t="inlineStr">
        <is>
          <t>DAIANE STAVICKI</t>
        </is>
      </c>
      <c r="C119" s="58" t="inlineStr">
        <is>
          <t>VERDE VIDA 54</t>
        </is>
      </c>
      <c r="D119" s="58" t="inlineStr">
        <is>
          <t>32.137.956/6505-73</t>
        </is>
      </c>
      <c r="E119" s="58" t="inlineStr">
        <is>
          <t>PR</t>
        </is>
      </c>
      <c r="F119" s="58" t="inlineStr">
        <is>
          <t>DEMAIS CLIENTES</t>
        </is>
      </c>
      <c r="G119" s="58" t="inlineStr">
        <is>
          <t>NOVO</t>
        </is>
      </c>
      <c r="H119" s="58" t="n"/>
      <c r="I119" s="58">
        <f>IF(R119="","",VLOOKUP(R119,REGRAS!$B$2:$D$13,3,FALSE()))</f>
        <v/>
      </c>
      <c r="J119" s="58" t="n"/>
      <c r="K119" s="58">
        <f>IF(R119="","",IF(R119="VENDA / PEDIDO","RECOMPRA",IF(R119="SUPORTE","PÓS-VENDA",IF(OR(R119="FOLLOW UP 7",R119="FOLLOW UP 15"),"SALVAMENTO",IF(R119="PERDA / FECHOU LOJA","NUTRIÇÃO",IF(R119="RELACIONAMENTO","CS",IF(OR(R119="ORÇAMENTO",R119="CADASTRO"),"PROSPECÇÃO",IF(R119="EM ATENDIMENTO","EM ATENDIMENTO",IF(OR(R119="NÃO ATENDE",R119="NÃO RESPONDE",R119="RECUSOU LIGAÇÃO"),"RECUPERAÇÃO","")))))))))</f>
        <v/>
      </c>
      <c r="L119" s="58">
        <f>IF(H119="","",IF(G119="PROSPECT","🟣",IF(G119="LEAD","🟣",IF(G119="NOVO","🟢",IF(H119&lt;=50,"🟢",IF(H119&lt;=90,"🟡","🔴"))))))</f>
        <v/>
      </c>
      <c r="M119" s="58" t="n"/>
      <c r="N119" s="58" t="inlineStr">
        <is>
          <t>SIM</t>
        </is>
      </c>
      <c r="O119" s="58" t="inlineStr">
        <is>
          <t>NÃO</t>
        </is>
      </c>
      <c r="P119" s="58" t="inlineStr">
        <is>
          <t>N/A</t>
        </is>
      </c>
      <c r="Q119" s="58" t="inlineStr">
        <is>
          <t>FOLLOW UP</t>
        </is>
      </c>
      <c r="R119" s="58" t="inlineStr">
        <is>
          <t>EM ATENDIMENTO</t>
        </is>
      </c>
      <c r="S119" s="58" t="n"/>
      <c r="T119" s="71">
        <f>IF(R119="","",IF(OR(R119="SUPORTE",R119="PERDA / FECHOU LOJA"),"SEM",A119+VLOOKUP(R119,REGRAS!$B$2:$C$13,2,FALSE())))</f>
        <v/>
      </c>
      <c r="U119" s="58">
        <f>IF(R119="","",IF(R119="VENDA / PEDIDO","RECOMPRA",IF(R119="SUPORTE","PÓS-VENDA",IF(R119="RELACIONAMENTO","CS",IF(OR(R119="NÃO ATENDE",R119="NÃO RESPONDE",R119="RECUSOU LIGAÇÃO"),"REATIVAÇÃO",IF(R119="PERDA / FECHOU LOJA","NUTRIÇÃO",IF(OR(R119="FOLLOW UP 7",R119="FOLLOW UP 15"),"SALVAMENTO","PROSPECÇÃO")))))))</f>
        <v/>
      </c>
      <c r="V119" s="58" t="n"/>
      <c r="W119" s="58" t="inlineStr">
        <is>
          <t>NÃO</t>
        </is>
      </c>
      <c r="X119" s="58" t="n"/>
    </row>
    <row r="120">
      <c r="A120" s="71" t="n">
        <v>46064</v>
      </c>
      <c r="B120" s="58" t="inlineStr">
        <is>
          <t>MANU DITZEL</t>
        </is>
      </c>
      <c r="C120" s="58" t="inlineStr">
        <is>
          <t>BIO FIT 68</t>
        </is>
      </c>
      <c r="D120" s="58" t="inlineStr">
        <is>
          <t>73.237.971/8262-69</t>
        </is>
      </c>
      <c r="E120" s="58" t="inlineStr">
        <is>
          <t>SC</t>
        </is>
      </c>
      <c r="F120" s="58" t="inlineStr">
        <is>
          <t>DEMAIS CLIENTES</t>
        </is>
      </c>
      <c r="G120" s="58" t="inlineStr">
        <is>
          <t>ATIVO</t>
        </is>
      </c>
      <c r="H120" s="58" t="n">
        <v>34</v>
      </c>
      <c r="I120" s="58">
        <f>IF(R120="","",VLOOKUP(R120,REGRAS!$B$2:$D$13,3,FALSE()))</f>
        <v/>
      </c>
      <c r="J120" s="58" t="n"/>
      <c r="K120" s="58">
        <f>IF(R120="","",IF(R120="VENDA / PEDIDO","RECOMPRA",IF(R120="SUPORTE","PÓS-VENDA",IF(OR(R120="FOLLOW UP 7",R120="FOLLOW UP 15"),"SALVAMENTO",IF(R120="PERDA / FECHOU LOJA","NUTRIÇÃO",IF(R120="RELACIONAMENTO","CS",IF(OR(R120="ORÇAMENTO",R120="CADASTRO"),"PROSPECÇÃO",IF(R120="EM ATENDIMENTO","EM ATENDIMENTO",IF(OR(R120="NÃO ATENDE",R120="NÃO RESPONDE",R120="RECUSOU LIGAÇÃO"),"RECUPERAÇÃO","")))))))))</f>
        <v/>
      </c>
      <c r="L120" s="58">
        <f>IF(H120="","",IF(G120="PROSPECT","🟣",IF(G120="LEAD","🟣",IF(G120="NOVO","🟢",IF(H120&lt;=50,"🟢",IF(H120&lt;=90,"🟡","🔴"))))))</f>
        <v/>
      </c>
      <c r="M120" s="58" t="n"/>
      <c r="N120" s="58" t="inlineStr">
        <is>
          <t>SIM</t>
        </is>
      </c>
      <c r="O120" s="58" t="inlineStr">
        <is>
          <t>SIM</t>
        </is>
      </c>
      <c r="P120" s="58" t="inlineStr">
        <is>
          <t>SIM</t>
        </is>
      </c>
      <c r="Q120" s="58" t="inlineStr">
        <is>
          <t>ATEND. CLIENTES INATIVOS</t>
        </is>
      </c>
      <c r="R120" s="58" t="inlineStr">
        <is>
          <t>CADASTRO</t>
        </is>
      </c>
      <c r="S120" s="58" t="n"/>
      <c r="T120" s="71">
        <f>IF(R120="","",IF(OR(R120="SUPORTE",R120="PERDA / FECHOU LOJA"),"SEM",A120+VLOOKUP(R120,REGRAS!$B$2:$C$13,2,FALSE())))</f>
        <v/>
      </c>
      <c r="U120" s="58">
        <f>IF(R120="","",IF(R120="VENDA / PEDIDO","RECOMPRA",IF(R120="SUPORTE","PÓS-VENDA",IF(R120="RELACIONAMENTO","CS",IF(OR(R120="NÃO ATENDE",R120="NÃO RESPONDE",R120="RECUSOU LIGAÇÃO"),"REATIVAÇÃO",IF(R120="PERDA / FECHOU LOJA","NUTRIÇÃO",IF(OR(R120="FOLLOW UP 7",R120="FOLLOW UP 15"),"SALVAMENTO","PROSPECÇÃO")))))))</f>
        <v/>
      </c>
      <c r="V120" s="58" t="n"/>
      <c r="W120" s="58" t="inlineStr">
        <is>
          <t>NÃO</t>
        </is>
      </c>
      <c r="X120" s="58" t="n"/>
    </row>
    <row r="121">
      <c r="A121" s="71" t="n">
        <v>46060</v>
      </c>
      <c r="B121" s="58" t="inlineStr">
        <is>
          <t>MANU DITZEL</t>
        </is>
      </c>
      <c r="C121" s="58" t="inlineStr">
        <is>
          <t>TUDO GRÃOS SC 55</t>
        </is>
      </c>
      <c r="D121" s="58" t="inlineStr">
        <is>
          <t>75.435.188/6568-95</t>
        </is>
      </c>
      <c r="E121" s="58" t="inlineStr">
        <is>
          <t>PR</t>
        </is>
      </c>
      <c r="F121" s="58" t="inlineStr">
        <is>
          <t>DEMAIS CLIENTES</t>
        </is>
      </c>
      <c r="G121" s="58" t="inlineStr">
        <is>
          <t>EM RISCO</t>
        </is>
      </c>
      <c r="H121" s="58" t="n">
        <v>54</v>
      </c>
      <c r="I121" s="58">
        <f>IF(R121="","",VLOOKUP(R121,REGRAS!$B$2:$D$13,3,FALSE()))</f>
        <v/>
      </c>
      <c r="J121" s="58" t="n"/>
      <c r="K121" s="58">
        <f>IF(R121="","",IF(R121="VENDA / PEDIDO","RECOMPRA",IF(R121="SUPORTE","PÓS-VENDA",IF(OR(R121="FOLLOW UP 7",R121="FOLLOW UP 15"),"SALVAMENTO",IF(R121="PERDA / FECHOU LOJA","NUTRIÇÃO",IF(R121="RELACIONAMENTO","CS",IF(OR(R121="ORÇAMENTO",R121="CADASTRO"),"PROSPECÇÃO",IF(R121="EM ATENDIMENTO","EM ATENDIMENTO",IF(OR(R121="NÃO ATENDE",R121="NÃO RESPONDE",R121="RECUSOU LIGAÇÃO"),"RECUPERAÇÃO","")))))))))</f>
        <v/>
      </c>
      <c r="L121" s="58">
        <f>IF(H121="","",IF(G121="PROSPECT","🟣",IF(G121="LEAD","🟣",IF(G121="NOVO","🟢",IF(H121&lt;=50,"🟢",IF(H121&lt;=90,"🟡","🔴"))))))</f>
        <v/>
      </c>
      <c r="M121" s="58" t="n"/>
      <c r="N121" s="58" t="inlineStr">
        <is>
          <t>SIM</t>
        </is>
      </c>
      <c r="O121" s="58" t="inlineStr">
        <is>
          <t>SIM</t>
        </is>
      </c>
      <c r="P121" s="58" t="inlineStr">
        <is>
          <t>SIM</t>
        </is>
      </c>
      <c r="Q121" s="58" t="inlineStr">
        <is>
          <t>PROSPECÇÃO</t>
        </is>
      </c>
      <c r="R121" s="58" t="inlineStr">
        <is>
          <t>CADASTRO</t>
        </is>
      </c>
      <c r="S121" s="58" t="n"/>
      <c r="T121" s="71">
        <f>IF(R121="","",IF(OR(R121="SUPORTE",R121="PERDA / FECHOU LOJA"),"SEM",A121+VLOOKUP(R121,REGRAS!$B$2:$C$13,2,FALSE())))</f>
        <v/>
      </c>
      <c r="U121" s="58">
        <f>IF(R121="","",IF(R121="VENDA / PEDIDO","RECOMPRA",IF(R121="SUPORTE","PÓS-VENDA",IF(R121="RELACIONAMENTO","CS",IF(OR(R121="NÃO ATENDE",R121="NÃO RESPONDE",R121="RECUSOU LIGAÇÃO"),"REATIVAÇÃO",IF(R121="PERDA / FECHOU LOJA","NUTRIÇÃO",IF(OR(R121="FOLLOW UP 7",R121="FOLLOW UP 15"),"SALVAMENTO","PROSPECÇÃO")))))))</f>
        <v/>
      </c>
      <c r="V121" s="58" t="n"/>
      <c r="W121" s="58" t="inlineStr">
        <is>
          <t>SIM</t>
        </is>
      </c>
      <c r="X121" s="58" t="n"/>
    </row>
    <row r="122">
      <c r="A122" s="71" t="n">
        <v>46072</v>
      </c>
      <c r="B122" s="58" t="inlineStr">
        <is>
          <t>MANU DITZEL</t>
        </is>
      </c>
      <c r="C122" s="58" t="inlineStr">
        <is>
          <t>GRANEL &amp; CIA 89</t>
        </is>
      </c>
      <c r="D122" s="58" t="inlineStr">
        <is>
          <t>40.163.783/1937-69</t>
        </is>
      </c>
      <c r="E122" s="58" t="inlineStr">
        <is>
          <t>SC</t>
        </is>
      </c>
      <c r="F122" s="58" t="inlineStr">
        <is>
          <t>FIT LAND</t>
        </is>
      </c>
      <c r="G122" s="58" t="inlineStr">
        <is>
          <t>INAT.REC</t>
        </is>
      </c>
      <c r="H122" s="58" t="n">
        <v>89</v>
      </c>
      <c r="I122" s="58">
        <f>IF(R122="","",VLOOKUP(R122,REGRAS!$B$2:$D$13,3,FALSE()))</f>
        <v/>
      </c>
      <c r="J122" s="58" t="n"/>
      <c r="K122" s="58">
        <f>IF(R122="","",IF(R122="VENDA / PEDIDO","RECOMPRA",IF(R122="SUPORTE","PÓS-VENDA",IF(OR(R122="FOLLOW UP 7",R122="FOLLOW UP 15"),"SALVAMENTO",IF(R122="PERDA / FECHOU LOJA","NUTRIÇÃO",IF(R122="RELACIONAMENTO","CS",IF(OR(R122="ORÇAMENTO",R122="CADASTRO"),"PROSPECÇÃO",IF(R122="EM ATENDIMENTO","EM ATENDIMENTO",IF(OR(R122="NÃO ATENDE",R122="NÃO RESPONDE",R122="RECUSOU LIGAÇÃO"),"RECUPERAÇÃO","")))))))))</f>
        <v/>
      </c>
      <c r="L122" s="58">
        <f>IF(H122="","",IF(G122="PROSPECT","🟣",IF(G122="LEAD","🟣",IF(G122="NOVO","🟢",IF(H122&lt;=50,"🟢",IF(H122&lt;=90,"🟡","🔴"))))))</f>
        <v/>
      </c>
      <c r="M122" s="58" t="n"/>
      <c r="N122" s="58" t="inlineStr">
        <is>
          <t>SIM</t>
        </is>
      </c>
      <c r="O122" s="58" t="inlineStr">
        <is>
          <t>NÃO</t>
        </is>
      </c>
      <c r="P122" s="58" t="inlineStr">
        <is>
          <t>N/A</t>
        </is>
      </c>
      <c r="Q122" s="58" t="inlineStr">
        <is>
          <t>PÓS-VENDA / RELACIONAMENTO</t>
        </is>
      </c>
      <c r="R122" s="58" t="inlineStr">
        <is>
          <t>VENDA / PEDIDO</t>
        </is>
      </c>
      <c r="S122" s="58" t="n"/>
      <c r="T122" s="71">
        <f>IF(R122="","",IF(OR(R122="SUPORTE",R122="PERDA / FECHOU LOJA"),"SEM",A122+VLOOKUP(R122,REGRAS!$B$2:$C$13,2,FALSE())))</f>
        <v/>
      </c>
      <c r="U122" s="58">
        <f>IF(R122="","",IF(R122="VENDA / PEDIDO","RECOMPRA",IF(R122="SUPORTE","PÓS-VENDA",IF(R122="RELACIONAMENTO","CS",IF(OR(R122="NÃO ATENDE",R122="NÃO RESPONDE",R122="RECUSOU LIGAÇÃO"),"REATIVAÇÃO",IF(R122="PERDA / FECHOU LOJA","NUTRIÇÃO",IF(OR(R122="FOLLOW UP 7",R122="FOLLOW UP 15"),"SALVAMENTO","PROSPECÇÃO")))))))</f>
        <v/>
      </c>
      <c r="V122" s="58" t="n"/>
      <c r="W122" s="58" t="inlineStr">
        <is>
          <t>NÃO</t>
        </is>
      </c>
      <c r="X122" s="58" t="n"/>
    </row>
    <row r="123">
      <c r="A123" s="71" t="n">
        <v>46065</v>
      </c>
      <c r="B123" s="58" t="inlineStr">
        <is>
          <t>JULIO GADRET</t>
        </is>
      </c>
      <c r="C123" s="58" t="inlineStr">
        <is>
          <t>FITLAND PR 18</t>
        </is>
      </c>
      <c r="D123" s="58" t="inlineStr">
        <is>
          <t>71.256.565/9925-57</t>
        </is>
      </c>
      <c r="E123" s="58" t="inlineStr">
        <is>
          <t>RS</t>
        </is>
      </c>
      <c r="F123" s="58" t="inlineStr">
        <is>
          <t>VIDA LEVE</t>
        </is>
      </c>
      <c r="G123" s="58" t="inlineStr">
        <is>
          <t>EM RISCO</t>
        </is>
      </c>
      <c r="H123" s="58" t="n">
        <v>59</v>
      </c>
      <c r="I123" s="58">
        <f>IF(R123="","",VLOOKUP(R123,REGRAS!$B$2:$D$13,3,FALSE()))</f>
        <v/>
      </c>
      <c r="J123" s="58" t="n"/>
      <c r="K123" s="58">
        <f>IF(R123="","",IF(R123="VENDA / PEDIDO","RECOMPRA",IF(R123="SUPORTE","PÓS-VENDA",IF(OR(R123="FOLLOW UP 7",R123="FOLLOW UP 15"),"SALVAMENTO",IF(R123="PERDA / FECHOU LOJA","NUTRIÇÃO",IF(R123="RELACIONAMENTO","CS",IF(OR(R123="ORÇAMENTO",R123="CADASTRO"),"PROSPECÇÃO",IF(R123="EM ATENDIMENTO","EM ATENDIMENTO",IF(OR(R123="NÃO ATENDE",R123="NÃO RESPONDE",R123="RECUSOU LIGAÇÃO"),"RECUPERAÇÃO","")))))))))</f>
        <v/>
      </c>
      <c r="L123" s="58">
        <f>IF(H123="","",IF(G123="PROSPECT","🟣",IF(G123="LEAD","🟣",IF(G123="NOVO","🟢",IF(H123&lt;=50,"🟢",IF(H123&lt;=90,"🟡","🔴"))))))</f>
        <v/>
      </c>
      <c r="M123" s="58" t="n"/>
      <c r="N123" s="58" t="inlineStr">
        <is>
          <t>NÃO</t>
        </is>
      </c>
      <c r="O123" s="58" t="inlineStr">
        <is>
          <t>NÃO</t>
        </is>
      </c>
      <c r="P123" s="58" t="inlineStr">
        <is>
          <t>N/A</t>
        </is>
      </c>
      <c r="Q123" s="58" t="inlineStr">
        <is>
          <t>PÓS-VENDA / RELACIONAMENTO</t>
        </is>
      </c>
      <c r="R123" s="58" t="inlineStr">
        <is>
          <t>VENDA / PEDIDO</t>
        </is>
      </c>
      <c r="S123" s="58" t="n"/>
      <c r="T123" s="71">
        <f>IF(R123="","",IF(OR(R123="SUPORTE",R123="PERDA / FECHOU LOJA"),"SEM",A123+VLOOKUP(R123,REGRAS!$B$2:$C$13,2,FALSE())))</f>
        <v/>
      </c>
      <c r="U123" s="58">
        <f>IF(R123="","",IF(R123="VENDA / PEDIDO","RECOMPRA",IF(R123="SUPORTE","PÓS-VENDA",IF(R123="RELACIONAMENTO","CS",IF(OR(R123="NÃO ATENDE",R123="NÃO RESPONDE",R123="RECUSOU LIGAÇÃO"),"REATIVAÇÃO",IF(R123="PERDA / FECHOU LOJA","NUTRIÇÃO",IF(OR(R123="FOLLOW UP 7",R123="FOLLOW UP 15"),"SALVAMENTO","PROSPECÇÃO")))))))</f>
        <v/>
      </c>
      <c r="V123" s="58" t="n"/>
      <c r="W123" s="58" t="inlineStr">
        <is>
          <t>SIM</t>
        </is>
      </c>
      <c r="X123" s="58" t="n"/>
    </row>
    <row r="124">
      <c r="A124" s="71" t="n">
        <v>46079</v>
      </c>
      <c r="B124" s="58" t="inlineStr">
        <is>
          <t>MANU DITZEL</t>
        </is>
      </c>
      <c r="C124" s="58" t="inlineStr">
        <is>
          <t>EMPÓRIO BIO 68</t>
        </is>
      </c>
      <c r="D124" s="58" t="inlineStr">
        <is>
          <t>56.179.677/1839-17</t>
        </is>
      </c>
      <c r="E124" s="58" t="inlineStr">
        <is>
          <t>MG</t>
        </is>
      </c>
      <c r="F124" s="58" t="inlineStr">
        <is>
          <t>DEMAIS CLIENTES</t>
        </is>
      </c>
      <c r="G124" s="58" t="inlineStr">
        <is>
          <t>ATIVO</t>
        </is>
      </c>
      <c r="H124" s="58" t="n">
        <v>39</v>
      </c>
      <c r="I124" s="58">
        <f>IF(R124="","",VLOOKUP(R124,REGRAS!$B$2:$D$13,3,FALSE()))</f>
        <v/>
      </c>
      <c r="J124" s="58" t="n"/>
      <c r="K124" s="58">
        <f>IF(R124="","",IF(R124="VENDA / PEDIDO","RECOMPRA",IF(R124="SUPORTE","PÓS-VENDA",IF(OR(R124="FOLLOW UP 7",R124="FOLLOW UP 15"),"SALVAMENTO",IF(R124="PERDA / FECHOU LOJA","NUTRIÇÃO",IF(R124="RELACIONAMENTO","CS",IF(OR(R124="ORÇAMENTO",R124="CADASTRO"),"PROSPECÇÃO",IF(R124="EM ATENDIMENTO","EM ATENDIMENTO",IF(OR(R124="NÃO ATENDE",R124="NÃO RESPONDE",R124="RECUSOU LIGAÇÃO"),"RECUPERAÇÃO","")))))))))</f>
        <v/>
      </c>
      <c r="L124" s="58">
        <f>IF(H124="","",IF(G124="PROSPECT","🟣",IF(G124="LEAD","🟣",IF(G124="NOVO","🟢",IF(H124&lt;=50,"🟢",IF(H124&lt;=90,"🟡","🔴"))))))</f>
        <v/>
      </c>
      <c r="M124" s="58" t="n"/>
      <c r="N124" s="58" t="inlineStr">
        <is>
          <t>SIM</t>
        </is>
      </c>
      <c r="O124" s="58" t="inlineStr">
        <is>
          <t>SIM</t>
        </is>
      </c>
      <c r="P124" s="58" t="inlineStr">
        <is>
          <t>SIM</t>
        </is>
      </c>
      <c r="Q124" s="58" t="inlineStr">
        <is>
          <t>PROSPECÇÃO</t>
        </is>
      </c>
      <c r="R124" s="58" t="inlineStr">
        <is>
          <t>ORÇAMENTO</t>
        </is>
      </c>
      <c r="S124" s="58" t="n"/>
      <c r="T124" s="71">
        <f>IF(R124="","",IF(OR(R124="SUPORTE",R124="PERDA / FECHOU LOJA"),"SEM",A124+VLOOKUP(R124,REGRAS!$B$2:$C$13,2,FALSE())))</f>
        <v/>
      </c>
      <c r="U124" s="58">
        <f>IF(R124="","",IF(R124="VENDA / PEDIDO","RECOMPRA",IF(R124="SUPORTE","PÓS-VENDA",IF(R124="RELACIONAMENTO","CS",IF(OR(R124="NÃO ATENDE",R124="NÃO RESPONDE",R124="RECUSOU LIGAÇÃO"),"REATIVAÇÃO",IF(R124="PERDA / FECHOU LOJA","NUTRIÇÃO",IF(OR(R124="FOLLOW UP 7",R124="FOLLOW UP 15"),"SALVAMENTO","PROSPECÇÃO")))))))</f>
        <v/>
      </c>
      <c r="V124" s="58" t="n"/>
      <c r="W124" s="58" t="inlineStr">
        <is>
          <t>SIM</t>
        </is>
      </c>
      <c r="X124" s="58" t="n"/>
    </row>
    <row r="125">
      <c r="A125" s="71" t="n">
        <v>46056</v>
      </c>
      <c r="B125" s="58" t="inlineStr">
        <is>
          <t>DAIANE STAVICKI</t>
        </is>
      </c>
      <c r="C125" s="58" t="inlineStr">
        <is>
          <t>EMPÓRIO BIO 08</t>
        </is>
      </c>
      <c r="D125" s="58" t="inlineStr">
        <is>
          <t>68.235.625/6807-68</t>
        </is>
      </c>
      <c r="E125" s="58" t="inlineStr">
        <is>
          <t>SP</t>
        </is>
      </c>
      <c r="F125" s="58" t="inlineStr">
        <is>
          <t>VIDA LEVE</t>
        </is>
      </c>
      <c r="G125" s="58" t="inlineStr">
        <is>
          <t>INAT.ANT</t>
        </is>
      </c>
      <c r="H125" s="58" t="n">
        <v>169</v>
      </c>
      <c r="I125" s="58">
        <f>IF(R125="","",VLOOKUP(R125,REGRAS!$B$2:$D$13,3,FALSE()))</f>
        <v/>
      </c>
      <c r="J125" s="58" t="n"/>
      <c r="K125" s="58">
        <f>IF(R125="","",IF(R125="VENDA / PEDIDO","RECOMPRA",IF(R125="SUPORTE","PÓS-VENDA",IF(OR(R125="FOLLOW UP 7",R125="FOLLOW UP 15"),"SALVAMENTO",IF(R125="PERDA / FECHOU LOJA","NUTRIÇÃO",IF(R125="RELACIONAMENTO","CS",IF(OR(R125="ORÇAMENTO",R125="CADASTRO"),"PROSPECÇÃO",IF(R125="EM ATENDIMENTO","EM ATENDIMENTO",IF(OR(R125="NÃO ATENDE",R125="NÃO RESPONDE",R125="RECUSOU LIGAÇÃO"),"RECUPERAÇÃO","")))))))))</f>
        <v/>
      </c>
      <c r="L125" s="58">
        <f>IF(H125="","",IF(G125="PROSPECT","🟣",IF(G125="LEAD","🟣",IF(G125="NOVO","🟢",IF(H125&lt;=50,"🟢",IF(H125&lt;=90,"🟡","🔴"))))))</f>
        <v/>
      </c>
      <c r="M125" s="58" t="n"/>
      <c r="N125" s="58" t="inlineStr">
        <is>
          <t>NÃO</t>
        </is>
      </c>
      <c r="O125" s="58" t="inlineStr">
        <is>
          <t>NÃO</t>
        </is>
      </c>
      <c r="P125" s="58" t="inlineStr">
        <is>
          <t>N/A</t>
        </is>
      </c>
      <c r="Q125" s="58" t="inlineStr">
        <is>
          <t>ATEND. CLIENTES INATIVOS</t>
        </is>
      </c>
      <c r="R125" s="58" t="inlineStr">
        <is>
          <t>NÃO RESPONDE</t>
        </is>
      </c>
      <c r="S125" s="58" t="inlineStr">
        <is>
          <t>PROBLEMA LOGÍSTICO / ENTREGA</t>
        </is>
      </c>
      <c r="T125" s="71">
        <f>IF(R125="","",IF(OR(R125="SUPORTE",R125="PERDA / FECHOU LOJA"),"SEM",A125+VLOOKUP(R125,REGRAS!$B$2:$C$13,2,FALSE())))</f>
        <v/>
      </c>
      <c r="U125" s="58">
        <f>IF(R125="","",IF(R125="VENDA / PEDIDO","RECOMPRA",IF(R125="SUPORTE","PÓS-VENDA",IF(R125="RELACIONAMENTO","CS",IF(OR(R125="NÃO ATENDE",R125="NÃO RESPONDE",R125="RECUSOU LIGAÇÃO"),"REATIVAÇÃO",IF(R125="PERDA / FECHOU LOJA","NUTRIÇÃO",IF(OR(R125="FOLLOW UP 7",R125="FOLLOW UP 15"),"SALVAMENTO","PROSPECÇÃO")))))))</f>
        <v/>
      </c>
      <c r="V125" s="58" t="n"/>
      <c r="W125" s="58" t="inlineStr">
        <is>
          <t>SIM</t>
        </is>
      </c>
      <c r="X125" s="58" t="n"/>
    </row>
    <row r="126">
      <c r="A126" s="71" t="n">
        <v>46065</v>
      </c>
      <c r="B126" s="58" t="inlineStr">
        <is>
          <t>JULIO GADRET</t>
        </is>
      </c>
      <c r="C126" s="58" t="inlineStr">
        <is>
          <t>BIO FIT 08</t>
        </is>
      </c>
      <c r="D126" s="58" t="inlineStr">
        <is>
          <t>18.583.132/4704-62</t>
        </is>
      </c>
      <c r="E126" s="58" t="inlineStr">
        <is>
          <t>PR</t>
        </is>
      </c>
      <c r="F126" s="58" t="inlineStr">
        <is>
          <t>MUNDO VERDE</t>
        </is>
      </c>
      <c r="G126" s="58" t="inlineStr">
        <is>
          <t>INAT.ANT</t>
        </is>
      </c>
      <c r="H126" s="58" t="n">
        <v>277</v>
      </c>
      <c r="I126" s="58">
        <f>IF(R126="","",VLOOKUP(R126,REGRAS!$B$2:$D$13,3,FALSE()))</f>
        <v/>
      </c>
      <c r="J126" s="58" t="n"/>
      <c r="K126" s="58">
        <f>IF(R126="","",IF(R126="VENDA / PEDIDO","RECOMPRA",IF(R126="SUPORTE","PÓS-VENDA",IF(OR(R126="FOLLOW UP 7",R126="FOLLOW UP 15"),"SALVAMENTO",IF(R126="PERDA / FECHOU LOJA","NUTRIÇÃO",IF(R126="RELACIONAMENTO","CS",IF(OR(R126="ORÇAMENTO",R126="CADASTRO"),"PROSPECÇÃO",IF(R126="EM ATENDIMENTO","EM ATENDIMENTO",IF(OR(R126="NÃO ATENDE",R126="NÃO RESPONDE",R126="RECUSOU LIGAÇÃO"),"RECUPERAÇÃO","")))))))))</f>
        <v/>
      </c>
      <c r="L126" s="58">
        <f>IF(H126="","",IF(G126="PROSPECT","🟣",IF(G126="LEAD","🟣",IF(G126="NOVO","🟢",IF(H126&lt;=50,"🟢",IF(H126&lt;=90,"🟡","🔴"))))))</f>
        <v/>
      </c>
      <c r="M126" s="58" t="n"/>
      <c r="N126" s="58" t="inlineStr">
        <is>
          <t>NÃO</t>
        </is>
      </c>
      <c r="O126" s="58" t="inlineStr">
        <is>
          <t>SIM</t>
        </is>
      </c>
      <c r="P126" s="58" t="inlineStr">
        <is>
          <t>NÃO</t>
        </is>
      </c>
      <c r="Q126" s="58" t="inlineStr">
        <is>
          <t>ATEND. CLIENTES INATIVOS</t>
        </is>
      </c>
      <c r="R126" s="58" t="inlineStr">
        <is>
          <t>NÃO RESPONDE</t>
        </is>
      </c>
      <c r="S126" s="58" t="inlineStr">
        <is>
          <t>SEM INTERESSE NO MOMENTO</t>
        </is>
      </c>
      <c r="T126" s="71">
        <f>IF(R126="","",IF(OR(R126="SUPORTE",R126="PERDA / FECHOU LOJA"),"SEM",A126+VLOOKUP(R126,REGRAS!$B$2:$C$13,2,FALSE())))</f>
        <v/>
      </c>
      <c r="U126" s="58">
        <f>IF(R126="","",IF(R126="VENDA / PEDIDO","RECOMPRA",IF(R126="SUPORTE","PÓS-VENDA",IF(R126="RELACIONAMENTO","CS",IF(OR(R126="NÃO ATENDE",R126="NÃO RESPONDE",R126="RECUSOU LIGAÇÃO"),"REATIVAÇÃO",IF(R126="PERDA / FECHOU LOJA","NUTRIÇÃO",IF(OR(R126="FOLLOW UP 7",R126="FOLLOW UP 15"),"SALVAMENTO","PROSPECÇÃO")))))))</f>
        <v/>
      </c>
      <c r="V126" s="58" t="n"/>
      <c r="W126" s="58" t="inlineStr">
        <is>
          <t>SIM</t>
        </is>
      </c>
      <c r="X126" s="58" t="n"/>
    </row>
    <row r="127">
      <c r="A127" s="71" t="n">
        <v>46075</v>
      </c>
      <c r="B127" s="58" t="inlineStr">
        <is>
          <t>DAIANE STAVICKI</t>
        </is>
      </c>
      <c r="C127" s="58" t="inlineStr">
        <is>
          <t>BIO FIT 18</t>
        </is>
      </c>
      <c r="D127" s="58" t="inlineStr">
        <is>
          <t>93.980.456/1944-32</t>
        </is>
      </c>
      <c r="E127" s="58" t="inlineStr">
        <is>
          <t>CE</t>
        </is>
      </c>
      <c r="F127" s="58" t="inlineStr">
        <is>
          <t>FIT LAND</t>
        </is>
      </c>
      <c r="G127" s="58" t="inlineStr">
        <is>
          <t>ATIVO</t>
        </is>
      </c>
      <c r="H127" s="58" t="n">
        <v>19</v>
      </c>
      <c r="I127" s="58">
        <f>IF(R127="","",VLOOKUP(R127,REGRAS!$B$2:$D$13,3,FALSE()))</f>
        <v/>
      </c>
      <c r="J127" s="58" t="n"/>
      <c r="K127" s="58">
        <f>IF(R127="","",IF(R127="VENDA / PEDIDO","RECOMPRA",IF(R127="SUPORTE","PÓS-VENDA",IF(OR(R127="FOLLOW UP 7",R127="FOLLOW UP 15"),"SALVAMENTO",IF(R127="PERDA / FECHOU LOJA","NUTRIÇÃO",IF(R127="RELACIONAMENTO","CS",IF(OR(R127="ORÇAMENTO",R127="CADASTRO"),"PROSPECÇÃO",IF(R127="EM ATENDIMENTO","EM ATENDIMENTO",IF(OR(R127="NÃO ATENDE",R127="NÃO RESPONDE",R127="RECUSOU LIGAÇÃO"),"RECUPERAÇÃO","")))))))))</f>
        <v/>
      </c>
      <c r="L127" s="58">
        <f>IF(H127="","",IF(G127="PROSPECT","🟣",IF(G127="LEAD","🟣",IF(G127="NOVO","🟢",IF(H127&lt;=50,"🟢",IF(H127&lt;=90,"🟡","🔴"))))))</f>
        <v/>
      </c>
      <c r="M127" s="58" t="n"/>
      <c r="N127" s="58" t="inlineStr">
        <is>
          <t>NÃO</t>
        </is>
      </c>
      <c r="O127" s="58" t="inlineStr">
        <is>
          <t>NÃO</t>
        </is>
      </c>
      <c r="P127" s="58" t="inlineStr">
        <is>
          <t>N/A</t>
        </is>
      </c>
      <c r="Q127" s="58" t="inlineStr">
        <is>
          <t>PÓS-VENDA / RELACIONAMENTO</t>
        </is>
      </c>
      <c r="R127" s="58" t="inlineStr">
        <is>
          <t>VENDA / PEDIDO</t>
        </is>
      </c>
      <c r="S127" s="58" t="n"/>
      <c r="T127" s="71">
        <f>IF(R127="","",IF(OR(R127="SUPORTE",R127="PERDA / FECHOU LOJA"),"SEM",A127+VLOOKUP(R127,REGRAS!$B$2:$C$13,2,FALSE())))</f>
        <v/>
      </c>
      <c r="U127" s="58">
        <f>IF(R127="","",IF(R127="VENDA / PEDIDO","RECOMPRA",IF(R127="SUPORTE","PÓS-VENDA",IF(R127="RELACIONAMENTO","CS",IF(OR(R127="NÃO ATENDE",R127="NÃO RESPONDE",R127="RECUSOU LIGAÇÃO"),"REATIVAÇÃO",IF(R127="PERDA / FECHOU LOJA","NUTRIÇÃO",IF(OR(R127="FOLLOW UP 7",R127="FOLLOW UP 15"),"SALVAMENTO","PROSPECÇÃO")))))))</f>
        <v/>
      </c>
      <c r="V127" s="58" t="n"/>
      <c r="W127" s="58" t="inlineStr">
        <is>
          <t>NÃO</t>
        </is>
      </c>
      <c r="X127" s="58" t="n"/>
    </row>
    <row r="128">
      <c r="A128" s="71" t="n">
        <v>46067</v>
      </c>
      <c r="B128" s="58" t="inlineStr">
        <is>
          <t>LARISSA PADILHA</t>
        </is>
      </c>
      <c r="C128" s="58" t="inlineStr">
        <is>
          <t>FITLAND PR 32</t>
        </is>
      </c>
      <c r="D128" s="58" t="inlineStr">
        <is>
          <t>68.454.258/4517-34</t>
        </is>
      </c>
      <c r="E128" s="58" t="inlineStr">
        <is>
          <t>GO</t>
        </is>
      </c>
      <c r="F128" s="58" t="inlineStr">
        <is>
          <t>DEMAIS CLIENTES</t>
        </is>
      </c>
      <c r="G128" s="58" t="inlineStr">
        <is>
          <t>ATIVO</t>
        </is>
      </c>
      <c r="H128" s="58" t="n">
        <v>47</v>
      </c>
      <c r="I128" s="58">
        <f>IF(R128="","",VLOOKUP(R128,REGRAS!$B$2:$D$13,3,FALSE()))</f>
        <v/>
      </c>
      <c r="J128" s="58" t="n"/>
      <c r="K128" s="58">
        <f>IF(R128="","",IF(R128="VENDA / PEDIDO","RECOMPRA",IF(R128="SUPORTE","PÓS-VENDA",IF(OR(R128="FOLLOW UP 7",R128="FOLLOW UP 15"),"SALVAMENTO",IF(R128="PERDA / FECHOU LOJA","NUTRIÇÃO",IF(R128="RELACIONAMENTO","CS",IF(OR(R128="ORÇAMENTO",R128="CADASTRO"),"PROSPECÇÃO",IF(R128="EM ATENDIMENTO","EM ATENDIMENTO",IF(OR(R128="NÃO ATENDE",R128="NÃO RESPONDE",R128="RECUSOU LIGAÇÃO"),"RECUPERAÇÃO","")))))))))</f>
        <v/>
      </c>
      <c r="L128" s="58">
        <f>IF(H128="","",IF(G128="PROSPECT","🟣",IF(G128="LEAD","🟣",IF(G128="NOVO","🟢",IF(H128&lt;=50,"🟢",IF(H128&lt;=90,"🟡","🔴"))))))</f>
        <v/>
      </c>
      <c r="M128" s="58" t="n"/>
      <c r="N128" s="58" t="inlineStr">
        <is>
          <t>NÃO</t>
        </is>
      </c>
      <c r="O128" s="58" t="inlineStr">
        <is>
          <t>SIM</t>
        </is>
      </c>
      <c r="P128" s="58" t="inlineStr">
        <is>
          <t>SIM</t>
        </is>
      </c>
      <c r="Q128" s="58" t="inlineStr">
        <is>
          <t>ATEND. CLIENTES ATIVOS</t>
        </is>
      </c>
      <c r="R128" s="58" t="inlineStr">
        <is>
          <t>SUPORTE</t>
        </is>
      </c>
      <c r="S128" s="58" t="n"/>
      <c r="T128" s="71">
        <f>IF(R128="","",IF(OR(R128="SUPORTE",R128="PERDA / FECHOU LOJA"),"SEM",A128+VLOOKUP(R128,REGRAS!$B$2:$C$13,2,FALSE())))</f>
        <v/>
      </c>
      <c r="U128" s="58">
        <f>IF(R128="","",IF(R128="VENDA / PEDIDO","RECOMPRA",IF(R128="SUPORTE","PÓS-VENDA",IF(R128="RELACIONAMENTO","CS",IF(OR(R128="NÃO ATENDE",R128="NÃO RESPONDE",R128="RECUSOU LIGAÇÃO"),"REATIVAÇÃO",IF(R128="PERDA / FECHOU LOJA","NUTRIÇÃO",IF(OR(R128="FOLLOW UP 7",R128="FOLLOW UP 15"),"SALVAMENTO","PROSPECÇÃO")))))))</f>
        <v/>
      </c>
      <c r="V128" s="58" t="n"/>
      <c r="W128" s="58" t="inlineStr">
        <is>
          <t>SIM</t>
        </is>
      </c>
      <c r="X128" s="58" t="n"/>
    </row>
    <row r="129">
      <c r="A129" s="71" t="n">
        <v>46055</v>
      </c>
      <c r="B129" s="58" t="inlineStr">
        <is>
          <t>LARISSA PADILHA</t>
        </is>
      </c>
      <c r="C129" s="58" t="inlineStr">
        <is>
          <t>BIOMUNDO CTB 32</t>
        </is>
      </c>
      <c r="D129" s="58" t="inlineStr">
        <is>
          <t>15.511.549/3840-79</t>
        </is>
      </c>
      <c r="E129" s="58" t="inlineStr">
        <is>
          <t>PR</t>
        </is>
      </c>
      <c r="F129" s="58" t="inlineStr">
        <is>
          <t>DEMAIS CLIENTES</t>
        </is>
      </c>
      <c r="G129" s="58" t="inlineStr">
        <is>
          <t>ATIVO</t>
        </is>
      </c>
      <c r="H129" s="58" t="n">
        <v>37</v>
      </c>
      <c r="I129" s="58">
        <f>IF(R129="","",VLOOKUP(R129,REGRAS!$B$2:$D$13,3,FALSE()))</f>
        <v/>
      </c>
      <c r="J129" s="58" t="n"/>
      <c r="K129" s="58">
        <f>IF(R129="","",IF(R129="VENDA / PEDIDO","RECOMPRA",IF(R129="SUPORTE","PÓS-VENDA",IF(OR(R129="FOLLOW UP 7",R129="FOLLOW UP 15"),"SALVAMENTO",IF(R129="PERDA / FECHOU LOJA","NUTRIÇÃO",IF(R129="RELACIONAMENTO","CS",IF(OR(R129="ORÇAMENTO",R129="CADASTRO"),"PROSPECÇÃO",IF(R129="EM ATENDIMENTO","EM ATENDIMENTO",IF(OR(R129="NÃO ATENDE",R129="NÃO RESPONDE",R129="RECUSOU LIGAÇÃO"),"RECUPERAÇÃO","")))))))))</f>
        <v/>
      </c>
      <c r="L129" s="58">
        <f>IF(H129="","",IF(G129="PROSPECT","🟣",IF(G129="LEAD","🟣",IF(G129="NOVO","🟢",IF(H129&lt;=50,"🟢",IF(H129&lt;=90,"🟡","🔴"))))))</f>
        <v/>
      </c>
      <c r="M129" s="58" t="n"/>
      <c r="N129" s="58" t="inlineStr">
        <is>
          <t>NÃO</t>
        </is>
      </c>
      <c r="O129" s="58" t="inlineStr">
        <is>
          <t>NÃO</t>
        </is>
      </c>
      <c r="P129" s="58" t="inlineStr">
        <is>
          <t>N/A</t>
        </is>
      </c>
      <c r="Q129" s="58" t="inlineStr">
        <is>
          <t>PERDA / NUTRIÇÃO</t>
        </is>
      </c>
      <c r="R129" s="58" t="inlineStr">
        <is>
          <t>PERDA / FECHOU LOJA</t>
        </is>
      </c>
      <c r="S129" s="58" t="inlineStr">
        <is>
          <t>PROBLEMA LOGÍSTICO / ENTREGA</t>
        </is>
      </c>
      <c r="T129" s="71">
        <f>IF(R129="","",IF(OR(R129="SUPORTE",R129="PERDA / FECHOU LOJA"),"SEM",A129+VLOOKUP(R129,REGRAS!$B$2:$C$13,2,FALSE())))</f>
        <v/>
      </c>
      <c r="U129" s="58">
        <f>IF(R129="","",IF(R129="VENDA / PEDIDO","RECOMPRA",IF(R129="SUPORTE","PÓS-VENDA",IF(R129="RELACIONAMENTO","CS",IF(OR(R129="NÃO ATENDE",R129="NÃO RESPONDE",R129="RECUSOU LIGAÇÃO"),"REATIVAÇÃO",IF(R129="PERDA / FECHOU LOJA","NUTRIÇÃO",IF(OR(R129="FOLLOW UP 7",R129="FOLLOW UP 15"),"SALVAMENTO","PROSPECÇÃO")))))))</f>
        <v/>
      </c>
      <c r="V129" s="58" t="n"/>
      <c r="W129" s="58" t="inlineStr">
        <is>
          <t>NÃO</t>
        </is>
      </c>
      <c r="X129" s="58" t="n"/>
    </row>
    <row r="130">
      <c r="A130" s="71" t="n">
        <v>46080</v>
      </c>
      <c r="B130" s="58" t="inlineStr">
        <is>
          <t>MANU DITZEL</t>
        </is>
      </c>
      <c r="C130" s="58" t="inlineStr">
        <is>
          <t>EMPÓRIO DO CAMPO 19</t>
        </is>
      </c>
      <c r="D130" s="58" t="inlineStr">
        <is>
          <t>94.633.326/6776-48</t>
        </is>
      </c>
      <c r="E130" s="58" t="inlineStr">
        <is>
          <t>SC</t>
        </is>
      </c>
      <c r="F130" s="58" t="inlineStr">
        <is>
          <t>VIDA LEVE</t>
        </is>
      </c>
      <c r="G130" s="58" t="inlineStr">
        <is>
          <t>INAT.REC</t>
        </is>
      </c>
      <c r="H130" s="58" t="n">
        <v>84</v>
      </c>
      <c r="I130" s="58">
        <f>IF(R130="","",VLOOKUP(R130,REGRAS!$B$2:$D$13,3,FALSE()))</f>
        <v/>
      </c>
      <c r="J130" s="58" t="n"/>
      <c r="K130" s="58">
        <f>IF(R130="","",IF(R130="VENDA / PEDIDO","RECOMPRA",IF(R130="SUPORTE","PÓS-VENDA",IF(OR(R130="FOLLOW UP 7",R130="FOLLOW UP 15"),"SALVAMENTO",IF(R130="PERDA / FECHOU LOJA","NUTRIÇÃO",IF(R130="RELACIONAMENTO","CS",IF(OR(R130="ORÇAMENTO",R130="CADASTRO"),"PROSPECÇÃO",IF(R130="EM ATENDIMENTO","EM ATENDIMENTO",IF(OR(R130="NÃO ATENDE",R130="NÃO RESPONDE",R130="RECUSOU LIGAÇÃO"),"RECUPERAÇÃO","")))))))))</f>
        <v/>
      </c>
      <c r="L130" s="58">
        <f>IF(H130="","",IF(G130="PROSPECT","🟣",IF(G130="LEAD","🟣",IF(G130="NOVO","🟢",IF(H130&lt;=50,"🟢",IF(H130&lt;=90,"🟡","🔴"))))))</f>
        <v/>
      </c>
      <c r="M130" s="58" t="n"/>
      <c r="N130" s="58" t="inlineStr">
        <is>
          <t>SIM</t>
        </is>
      </c>
      <c r="O130" s="58" t="inlineStr">
        <is>
          <t>NÃO</t>
        </is>
      </c>
      <c r="P130" s="58" t="inlineStr">
        <is>
          <t>N/A</t>
        </is>
      </c>
      <c r="Q130" s="58" t="inlineStr">
        <is>
          <t>PÓS-VENDA / RELACIONAMENTO</t>
        </is>
      </c>
      <c r="R130" s="58" t="inlineStr">
        <is>
          <t>SUPORTE</t>
        </is>
      </c>
      <c r="S130" s="58" t="n"/>
      <c r="T130" s="71">
        <f>IF(R130="","",IF(OR(R130="SUPORTE",R130="PERDA / FECHOU LOJA"),"SEM",A130+VLOOKUP(R130,REGRAS!$B$2:$C$13,2,FALSE())))</f>
        <v/>
      </c>
      <c r="U130" s="58">
        <f>IF(R130="","",IF(R130="VENDA / PEDIDO","RECOMPRA",IF(R130="SUPORTE","PÓS-VENDA",IF(R130="RELACIONAMENTO","CS",IF(OR(R130="NÃO ATENDE",R130="NÃO RESPONDE",R130="RECUSOU LIGAÇÃO"),"REATIVAÇÃO",IF(R130="PERDA / FECHOU LOJA","NUTRIÇÃO",IF(OR(R130="FOLLOW UP 7",R130="FOLLOW UP 15"),"SALVAMENTO","PROSPECÇÃO")))))))</f>
        <v/>
      </c>
      <c r="V130" s="58" t="n"/>
      <c r="W130" s="58" t="inlineStr">
        <is>
          <t>NÃO</t>
        </is>
      </c>
      <c r="X130" s="58" t="n"/>
    </row>
    <row r="131">
      <c r="A131" s="71" t="n">
        <v>46074</v>
      </c>
      <c r="B131" s="58" t="inlineStr">
        <is>
          <t>JULIO GADRET</t>
        </is>
      </c>
      <c r="C131" s="58" t="inlineStr">
        <is>
          <t>LOJA NATURAL 41</t>
        </is>
      </c>
      <c r="D131" s="58" t="inlineStr">
        <is>
          <t>99.526.518/2445-48</t>
        </is>
      </c>
      <c r="E131" s="58" t="inlineStr">
        <is>
          <t>SC</t>
        </is>
      </c>
      <c r="F131" s="58" t="inlineStr">
        <is>
          <t>DEMAIS CLIENTES</t>
        </is>
      </c>
      <c r="G131" s="58" t="inlineStr">
        <is>
          <t>EM RISCO</t>
        </is>
      </c>
      <c r="H131" s="58" t="n">
        <v>54</v>
      </c>
      <c r="I131" s="58">
        <f>IF(R131="","",VLOOKUP(R131,REGRAS!$B$2:$D$13,3,FALSE()))</f>
        <v/>
      </c>
      <c r="J131" s="58" t="n"/>
      <c r="K131" s="58">
        <f>IF(R131="","",IF(R131="VENDA / PEDIDO","RECOMPRA",IF(R131="SUPORTE","PÓS-VENDA",IF(OR(R131="FOLLOW UP 7",R131="FOLLOW UP 15"),"SALVAMENTO",IF(R131="PERDA / FECHOU LOJA","NUTRIÇÃO",IF(R131="RELACIONAMENTO","CS",IF(OR(R131="ORÇAMENTO",R131="CADASTRO"),"PROSPECÇÃO",IF(R131="EM ATENDIMENTO","EM ATENDIMENTO",IF(OR(R131="NÃO ATENDE",R131="NÃO RESPONDE",R131="RECUSOU LIGAÇÃO"),"RECUPERAÇÃO","")))))))))</f>
        <v/>
      </c>
      <c r="L131" s="58">
        <f>IF(H131="","",IF(G131="PROSPECT","🟣",IF(G131="LEAD","🟣",IF(G131="NOVO","🟢",IF(H131&lt;=50,"🟢",IF(H131&lt;=90,"🟡","🔴"))))))</f>
        <v/>
      </c>
      <c r="M131" s="58" t="n"/>
      <c r="N131" s="58" t="inlineStr">
        <is>
          <t>NÃO</t>
        </is>
      </c>
      <c r="O131" s="58" t="inlineStr">
        <is>
          <t>NÃO</t>
        </is>
      </c>
      <c r="P131" s="58" t="inlineStr">
        <is>
          <t>N/A</t>
        </is>
      </c>
      <c r="Q131" s="58" t="inlineStr">
        <is>
          <t>FOLLOW UP</t>
        </is>
      </c>
      <c r="R131" s="58" t="inlineStr">
        <is>
          <t>NÃO ATENDE</t>
        </is>
      </c>
      <c r="S131" s="58" t="inlineStr">
        <is>
          <t>PROBLEMA LOGÍSTICO / ENTREGA</t>
        </is>
      </c>
      <c r="T131" s="71">
        <f>IF(R131="","",IF(OR(R131="SUPORTE",R131="PERDA / FECHOU LOJA"),"SEM",A131+VLOOKUP(R131,REGRAS!$B$2:$C$13,2,FALSE())))</f>
        <v/>
      </c>
      <c r="U131" s="58">
        <f>IF(R131="","",IF(R131="VENDA / PEDIDO","RECOMPRA",IF(R131="SUPORTE","PÓS-VENDA",IF(R131="RELACIONAMENTO","CS",IF(OR(R131="NÃO ATENDE",R131="NÃO RESPONDE",R131="RECUSOU LIGAÇÃO"),"REATIVAÇÃO",IF(R131="PERDA / FECHOU LOJA","NUTRIÇÃO",IF(OR(R131="FOLLOW UP 7",R131="FOLLOW UP 15"),"SALVAMENTO","PROSPECÇÃO")))))))</f>
        <v/>
      </c>
      <c r="V131" s="58" t="n"/>
      <c r="W131" s="58" t="inlineStr">
        <is>
          <t>NÃO</t>
        </is>
      </c>
      <c r="X131" s="58" t="n"/>
    </row>
    <row r="132">
      <c r="A132" s="71" t="n">
        <v>46071</v>
      </c>
      <c r="B132" s="58" t="inlineStr">
        <is>
          <t>LARISSA PADILHA</t>
        </is>
      </c>
      <c r="C132" s="58" t="inlineStr">
        <is>
          <t>VIDA LEVE PR 32</t>
        </is>
      </c>
      <c r="D132" s="58" t="inlineStr">
        <is>
          <t>42.308.438/1296-67</t>
        </is>
      </c>
      <c r="E132" s="58" t="inlineStr">
        <is>
          <t>MG</t>
        </is>
      </c>
      <c r="F132" s="58" t="inlineStr">
        <is>
          <t>MUNDO VERDE</t>
        </is>
      </c>
      <c r="G132" s="58" t="inlineStr">
        <is>
          <t>INAT.ANT</t>
        </is>
      </c>
      <c r="H132" s="58" t="n">
        <v>139</v>
      </c>
      <c r="I132" s="58">
        <f>IF(R132="","",VLOOKUP(R132,REGRAS!$B$2:$D$13,3,FALSE()))</f>
        <v/>
      </c>
      <c r="J132" s="58" t="n"/>
      <c r="K132" s="58">
        <f>IF(R132="","",IF(R132="VENDA / PEDIDO","RECOMPRA",IF(R132="SUPORTE","PÓS-VENDA",IF(OR(R132="FOLLOW UP 7",R132="FOLLOW UP 15"),"SALVAMENTO",IF(R132="PERDA / FECHOU LOJA","NUTRIÇÃO",IF(R132="RELACIONAMENTO","CS",IF(OR(R132="ORÇAMENTO",R132="CADASTRO"),"PROSPECÇÃO",IF(R132="EM ATENDIMENTO","EM ATENDIMENTO",IF(OR(R132="NÃO ATENDE",R132="NÃO RESPONDE",R132="RECUSOU LIGAÇÃO"),"RECUPERAÇÃO","")))))))))</f>
        <v/>
      </c>
      <c r="L132" s="58">
        <f>IF(H132="","",IF(G132="PROSPECT","🟣",IF(G132="LEAD","🟣",IF(G132="NOVO","🟢",IF(H132&lt;=50,"🟢",IF(H132&lt;=90,"🟡","🔴"))))))</f>
        <v/>
      </c>
      <c r="M132" s="58" t="n"/>
      <c r="N132" s="58" t="inlineStr">
        <is>
          <t>SIM</t>
        </is>
      </c>
      <c r="O132" s="58" t="inlineStr">
        <is>
          <t>SIM</t>
        </is>
      </c>
      <c r="P132" s="58" t="inlineStr">
        <is>
          <t>SIM</t>
        </is>
      </c>
      <c r="Q132" s="58" t="inlineStr">
        <is>
          <t>PROSPECÇÃO</t>
        </is>
      </c>
      <c r="R132" s="58" t="inlineStr">
        <is>
          <t>CADASTRO</t>
        </is>
      </c>
      <c r="S132" s="58" t="n"/>
      <c r="T132" s="71">
        <f>IF(R132="","",IF(OR(R132="SUPORTE",R132="PERDA / FECHOU LOJA"),"SEM",A132+VLOOKUP(R132,REGRAS!$B$2:$C$13,2,FALSE())))</f>
        <v/>
      </c>
      <c r="U132" s="58">
        <f>IF(R132="","",IF(R132="VENDA / PEDIDO","RECOMPRA",IF(R132="SUPORTE","PÓS-VENDA",IF(R132="RELACIONAMENTO","CS",IF(OR(R132="NÃO ATENDE",R132="NÃO RESPONDE",R132="RECUSOU LIGAÇÃO"),"REATIVAÇÃO",IF(R132="PERDA / FECHOU LOJA","NUTRIÇÃO",IF(OR(R132="FOLLOW UP 7",R132="FOLLOW UP 15"),"SALVAMENTO","PROSPECÇÃO")))))))</f>
        <v/>
      </c>
      <c r="V132" s="58" t="n"/>
      <c r="W132" s="58" t="inlineStr">
        <is>
          <t>NÃO</t>
        </is>
      </c>
      <c r="X132" s="58" t="n"/>
    </row>
    <row r="133">
      <c r="A133" s="71" t="n">
        <v>46072</v>
      </c>
      <c r="B133" s="58" t="inlineStr">
        <is>
          <t>JULIO GADRET</t>
        </is>
      </c>
      <c r="C133" s="58" t="inlineStr">
        <is>
          <t>ESSENCE FOOD 28</t>
        </is>
      </c>
      <c r="D133" s="58" t="inlineStr">
        <is>
          <t>71.313.990/5456-48</t>
        </is>
      </c>
      <c r="E133" s="58" t="inlineStr">
        <is>
          <t>DF</t>
        </is>
      </c>
      <c r="F133" s="58" t="inlineStr">
        <is>
          <t>MUNDO VERDE</t>
        </is>
      </c>
      <c r="G133" s="58" t="inlineStr">
        <is>
          <t>PROSPECT</t>
        </is>
      </c>
      <c r="H133" s="58" t="n"/>
      <c r="I133" s="58">
        <f>IF(R133="","",VLOOKUP(R133,REGRAS!$B$2:$D$13,3,FALSE()))</f>
        <v/>
      </c>
      <c r="J133" s="58" t="n"/>
      <c r="K133" s="58">
        <f>IF(R133="","",IF(R133="VENDA / PEDIDO","RECOMPRA",IF(R133="SUPORTE","PÓS-VENDA",IF(OR(R133="FOLLOW UP 7",R133="FOLLOW UP 15"),"SALVAMENTO",IF(R133="PERDA / FECHOU LOJA","NUTRIÇÃO",IF(R133="RELACIONAMENTO","CS",IF(OR(R133="ORÇAMENTO",R133="CADASTRO"),"PROSPECÇÃO",IF(R133="EM ATENDIMENTO","EM ATENDIMENTO",IF(OR(R133="NÃO ATENDE",R133="NÃO RESPONDE",R133="RECUSOU LIGAÇÃO"),"RECUPERAÇÃO","")))))))))</f>
        <v/>
      </c>
      <c r="L133" s="58">
        <f>IF(H133="","",IF(G133="PROSPECT","🟣",IF(G133="LEAD","🟣",IF(G133="NOVO","🟢",IF(H133&lt;=50,"🟢",IF(H133&lt;=90,"🟡","🔴"))))))</f>
        <v/>
      </c>
      <c r="M133" s="58" t="n"/>
      <c r="N133" s="58" t="inlineStr">
        <is>
          <t>NÃO</t>
        </is>
      </c>
      <c r="O133" s="58" t="inlineStr">
        <is>
          <t>NÃO</t>
        </is>
      </c>
      <c r="P133" s="58" t="inlineStr">
        <is>
          <t>N/A</t>
        </is>
      </c>
      <c r="Q133" s="58" t="inlineStr">
        <is>
          <t>PERDA / NUTRIÇÃO</t>
        </is>
      </c>
      <c r="R133" s="58" t="inlineStr">
        <is>
          <t>PERDA / FECHOU LOJA</t>
        </is>
      </c>
      <c r="S133" s="58" t="inlineStr">
        <is>
          <t>AINDA TEM ESTOQUE</t>
        </is>
      </c>
      <c r="T133" s="71">
        <f>IF(R133="","",IF(OR(R133="SUPORTE",R133="PERDA / FECHOU LOJA"),"SEM",A133+VLOOKUP(R133,REGRAS!$B$2:$C$13,2,FALSE())))</f>
        <v/>
      </c>
      <c r="U133" s="58">
        <f>IF(R133="","",IF(R133="VENDA / PEDIDO","RECOMPRA",IF(R133="SUPORTE","PÓS-VENDA",IF(R133="RELACIONAMENTO","CS",IF(OR(R133="NÃO ATENDE",R133="NÃO RESPONDE",R133="RECUSOU LIGAÇÃO"),"REATIVAÇÃO",IF(R133="PERDA / FECHOU LOJA","NUTRIÇÃO",IF(OR(R133="FOLLOW UP 7",R133="FOLLOW UP 15"),"SALVAMENTO","PROSPECÇÃO")))))))</f>
        <v/>
      </c>
      <c r="V133" s="58" t="n"/>
      <c r="W133" s="58" t="inlineStr">
        <is>
          <t>SIM</t>
        </is>
      </c>
      <c r="X133" s="58" t="n"/>
    </row>
    <row r="134">
      <c r="A134" s="71" t="n">
        <v>46060</v>
      </c>
      <c r="B134" s="58" t="inlineStr">
        <is>
          <t>LARISSA PADILHA</t>
        </is>
      </c>
      <c r="C134" s="58" t="inlineStr">
        <is>
          <t>ARMAZEM FIT 71</t>
        </is>
      </c>
      <c r="D134" s="58" t="inlineStr">
        <is>
          <t>51.894.389/6237-69</t>
        </is>
      </c>
      <c r="E134" s="58" t="inlineStr">
        <is>
          <t>RS</t>
        </is>
      </c>
      <c r="F134" s="58" t="inlineStr">
        <is>
          <t>CIA DA SAUDE</t>
        </is>
      </c>
      <c r="G134" s="58" t="inlineStr">
        <is>
          <t>ATIVO</t>
        </is>
      </c>
      <c r="H134" s="58" t="n">
        <v>37</v>
      </c>
      <c r="I134" s="58">
        <f>IF(R134="","",VLOOKUP(R134,REGRAS!$B$2:$D$13,3,FALSE()))</f>
        <v/>
      </c>
      <c r="J134" s="58" t="n"/>
      <c r="K134" s="58">
        <f>IF(R134="","",IF(R134="VENDA / PEDIDO","RECOMPRA",IF(R134="SUPORTE","PÓS-VENDA",IF(OR(R134="FOLLOW UP 7",R134="FOLLOW UP 15"),"SALVAMENTO",IF(R134="PERDA / FECHOU LOJA","NUTRIÇÃO",IF(R134="RELACIONAMENTO","CS",IF(OR(R134="ORÇAMENTO",R134="CADASTRO"),"PROSPECÇÃO",IF(R134="EM ATENDIMENTO","EM ATENDIMENTO",IF(OR(R134="NÃO ATENDE",R134="NÃO RESPONDE",R134="RECUSOU LIGAÇÃO"),"RECUPERAÇÃO","")))))))))</f>
        <v/>
      </c>
      <c r="L134" s="58">
        <f>IF(H134="","",IF(G134="PROSPECT","🟣",IF(G134="LEAD","🟣",IF(G134="NOVO","🟢",IF(H134&lt;=50,"🟢",IF(H134&lt;=90,"🟡","🔴"))))))</f>
        <v/>
      </c>
      <c r="M134" s="58" t="n"/>
      <c r="N134" s="58" t="inlineStr">
        <is>
          <t>NÃO</t>
        </is>
      </c>
      <c r="O134" s="58" t="inlineStr">
        <is>
          <t>NÃO</t>
        </is>
      </c>
      <c r="P134" s="58" t="inlineStr">
        <is>
          <t>N/A</t>
        </is>
      </c>
      <c r="Q134" s="58" t="inlineStr">
        <is>
          <t>PÓS-VENDA / RELACIONAMENTO</t>
        </is>
      </c>
      <c r="R134" s="58" t="inlineStr">
        <is>
          <t>FOLLOW UP 15</t>
        </is>
      </c>
      <c r="S134" s="58" t="inlineStr">
        <is>
          <t>PROPRIETARIO / INDISPONÍVEL</t>
        </is>
      </c>
      <c r="T134" s="71">
        <f>IF(R134="","",IF(OR(R134="SUPORTE",R134="PERDA / FECHOU LOJA"),"SEM",A134+VLOOKUP(R134,REGRAS!$B$2:$C$13,2,FALSE())))</f>
        <v/>
      </c>
      <c r="U134" s="58">
        <f>IF(R134="","",IF(R134="VENDA / PEDIDO","RECOMPRA",IF(R134="SUPORTE","PÓS-VENDA",IF(R134="RELACIONAMENTO","CS",IF(OR(R134="NÃO ATENDE",R134="NÃO RESPONDE",R134="RECUSOU LIGAÇÃO"),"REATIVAÇÃO",IF(R134="PERDA / FECHOU LOJA","NUTRIÇÃO",IF(OR(R134="FOLLOW UP 7",R134="FOLLOW UP 15"),"SALVAMENTO","PROSPECÇÃO")))))))</f>
        <v/>
      </c>
      <c r="V134" s="58" t="n"/>
      <c r="W134" s="58" t="inlineStr">
        <is>
          <t>SIM</t>
        </is>
      </c>
      <c r="X134" s="58" t="n"/>
    </row>
    <row r="135">
      <c r="A135" s="71" t="n">
        <v>46060</v>
      </c>
      <c r="B135" s="58" t="inlineStr">
        <is>
          <t>LARISSA PADILHA</t>
        </is>
      </c>
      <c r="C135" s="58" t="inlineStr">
        <is>
          <t>NUTRI SHOP 06</t>
        </is>
      </c>
      <c r="D135" s="58" t="inlineStr">
        <is>
          <t>82.984.326/2391-12</t>
        </is>
      </c>
      <c r="E135" s="58" t="inlineStr">
        <is>
          <t>SC</t>
        </is>
      </c>
      <c r="F135" s="58" t="inlineStr">
        <is>
          <t>DEMAIS CLIENTES</t>
        </is>
      </c>
      <c r="G135" s="58" t="inlineStr">
        <is>
          <t>INAT.REC</t>
        </is>
      </c>
      <c r="H135" s="58" t="n">
        <v>74</v>
      </c>
      <c r="I135" s="58">
        <f>IF(R135="","",VLOOKUP(R135,REGRAS!$B$2:$D$13,3,FALSE()))</f>
        <v/>
      </c>
      <c r="J135" s="58" t="n"/>
      <c r="K135" s="58">
        <f>IF(R135="","",IF(R135="VENDA / PEDIDO","RECOMPRA",IF(R135="SUPORTE","PÓS-VENDA",IF(OR(R135="FOLLOW UP 7",R135="FOLLOW UP 15"),"SALVAMENTO",IF(R135="PERDA / FECHOU LOJA","NUTRIÇÃO",IF(R135="RELACIONAMENTO","CS",IF(OR(R135="ORÇAMENTO",R135="CADASTRO"),"PROSPECÇÃO",IF(R135="EM ATENDIMENTO","EM ATENDIMENTO",IF(OR(R135="NÃO ATENDE",R135="NÃO RESPONDE",R135="RECUSOU LIGAÇÃO"),"RECUPERAÇÃO","")))))))))</f>
        <v/>
      </c>
      <c r="L135" s="58">
        <f>IF(H135="","",IF(G135="PROSPECT","🟣",IF(G135="LEAD","🟣",IF(G135="NOVO","🟢",IF(H135&lt;=50,"🟢",IF(H135&lt;=90,"🟡","🔴"))))))</f>
        <v/>
      </c>
      <c r="M135" s="58" t="n"/>
      <c r="N135" s="58" t="inlineStr">
        <is>
          <t>SIM</t>
        </is>
      </c>
      <c r="O135" s="58" t="inlineStr">
        <is>
          <t>NÃO</t>
        </is>
      </c>
      <c r="P135" s="58" t="inlineStr">
        <is>
          <t>N/A</t>
        </is>
      </c>
      <c r="Q135" s="58" t="inlineStr">
        <is>
          <t>FOLLOW UP</t>
        </is>
      </c>
      <c r="R135" s="58" t="inlineStr">
        <is>
          <t>ORÇAMENTO</t>
        </is>
      </c>
      <c r="S135" s="58" t="n"/>
      <c r="T135" s="71">
        <f>IF(R135="","",IF(OR(R135="SUPORTE",R135="PERDA / FECHOU LOJA"),"SEM",A135+VLOOKUP(R135,REGRAS!$B$2:$C$13,2,FALSE())))</f>
        <v/>
      </c>
      <c r="U135" s="58">
        <f>IF(R135="","",IF(R135="VENDA / PEDIDO","RECOMPRA",IF(R135="SUPORTE","PÓS-VENDA",IF(R135="RELACIONAMENTO","CS",IF(OR(R135="NÃO ATENDE",R135="NÃO RESPONDE",R135="RECUSOU LIGAÇÃO"),"REATIVAÇÃO",IF(R135="PERDA / FECHOU LOJA","NUTRIÇÃO",IF(OR(R135="FOLLOW UP 7",R135="FOLLOW UP 15"),"SALVAMENTO","PROSPECÇÃO")))))))</f>
        <v/>
      </c>
      <c r="V135" s="58" t="n"/>
      <c r="W135" s="58" t="inlineStr">
        <is>
          <t>SIM</t>
        </is>
      </c>
      <c r="X135" s="58" t="n"/>
    </row>
    <row r="136">
      <c r="A136" s="71" t="n">
        <v>46071</v>
      </c>
      <c r="B136" s="58" t="inlineStr">
        <is>
          <t>JULIO GADRET</t>
        </is>
      </c>
      <c r="C136" s="58" t="inlineStr">
        <is>
          <t>SAUDE TOTAL 33</t>
        </is>
      </c>
      <c r="D136" s="58" t="inlineStr">
        <is>
          <t>72.840.757/8038-68</t>
        </is>
      </c>
      <c r="E136" s="58" t="inlineStr">
        <is>
          <t>PR</t>
        </is>
      </c>
      <c r="F136" s="58" t="inlineStr">
        <is>
          <t>DEMAIS CLIENTES</t>
        </is>
      </c>
      <c r="G136" s="58" t="inlineStr">
        <is>
          <t>ATIVO</t>
        </is>
      </c>
      <c r="H136" s="58" t="n">
        <v>39</v>
      </c>
      <c r="I136" s="58">
        <f>IF(R136="","",VLOOKUP(R136,REGRAS!$B$2:$D$13,3,FALSE()))</f>
        <v/>
      </c>
      <c r="J136" s="58" t="n"/>
      <c r="K136" s="58">
        <f>IF(R136="","",IF(R136="VENDA / PEDIDO","RECOMPRA",IF(R136="SUPORTE","PÓS-VENDA",IF(OR(R136="FOLLOW UP 7",R136="FOLLOW UP 15"),"SALVAMENTO",IF(R136="PERDA / FECHOU LOJA","NUTRIÇÃO",IF(R136="RELACIONAMENTO","CS",IF(OR(R136="ORÇAMENTO",R136="CADASTRO"),"PROSPECÇÃO",IF(R136="EM ATENDIMENTO","EM ATENDIMENTO",IF(OR(R136="NÃO ATENDE",R136="NÃO RESPONDE",R136="RECUSOU LIGAÇÃO"),"RECUPERAÇÃO","")))))))))</f>
        <v/>
      </c>
      <c r="L136" s="58">
        <f>IF(H136="","",IF(G136="PROSPECT","🟣",IF(G136="LEAD","🟣",IF(G136="NOVO","🟢",IF(H136&lt;=50,"🟢",IF(H136&lt;=90,"🟡","🔴"))))))</f>
        <v/>
      </c>
      <c r="M136" s="58" t="n"/>
      <c r="N136" s="58" t="inlineStr">
        <is>
          <t>SIM</t>
        </is>
      </c>
      <c r="O136" s="58" t="inlineStr">
        <is>
          <t>NÃO</t>
        </is>
      </c>
      <c r="P136" s="58" t="inlineStr">
        <is>
          <t>N/A</t>
        </is>
      </c>
      <c r="Q136" s="58" t="inlineStr">
        <is>
          <t>ATEND. CLIENTES ATIVOS</t>
        </is>
      </c>
      <c r="R136" s="58" t="inlineStr">
        <is>
          <t>EM ATENDIMENTO</t>
        </is>
      </c>
      <c r="S136" s="58" t="n"/>
      <c r="T136" s="71">
        <f>IF(R136="","",IF(OR(R136="SUPORTE",R136="PERDA / FECHOU LOJA"),"SEM",A136+VLOOKUP(R136,REGRAS!$B$2:$C$13,2,FALSE())))</f>
        <v/>
      </c>
      <c r="U136" s="58">
        <f>IF(R136="","",IF(R136="VENDA / PEDIDO","RECOMPRA",IF(R136="SUPORTE","PÓS-VENDA",IF(R136="RELACIONAMENTO","CS",IF(OR(R136="NÃO ATENDE",R136="NÃO RESPONDE",R136="RECUSOU LIGAÇÃO"),"REATIVAÇÃO",IF(R136="PERDA / FECHOU LOJA","NUTRIÇÃO",IF(OR(R136="FOLLOW UP 7",R136="FOLLOW UP 15"),"SALVAMENTO","PROSPECÇÃO")))))))</f>
        <v/>
      </c>
      <c r="V136" s="58" t="n"/>
      <c r="W136" s="58" t="inlineStr">
        <is>
          <t>SIM</t>
        </is>
      </c>
      <c r="X136" s="58" t="n"/>
    </row>
    <row r="137">
      <c r="A137" s="71" t="n">
        <v>46055</v>
      </c>
      <c r="B137" s="58" t="inlineStr">
        <is>
          <t>DAIANE STAVICKI</t>
        </is>
      </c>
      <c r="C137" s="58" t="inlineStr">
        <is>
          <t>VIDA SAUDÁVEL 86</t>
        </is>
      </c>
      <c r="D137" s="58" t="inlineStr">
        <is>
          <t>16.882.106/6757-27</t>
        </is>
      </c>
      <c r="E137" s="58" t="inlineStr">
        <is>
          <t>MG</t>
        </is>
      </c>
      <c r="F137" s="58" t="inlineStr">
        <is>
          <t>BIOMUNDO</t>
        </is>
      </c>
      <c r="G137" s="58" t="inlineStr">
        <is>
          <t>INAT.ANT</t>
        </is>
      </c>
      <c r="H137" s="58" t="n">
        <v>93</v>
      </c>
      <c r="I137" s="58">
        <f>IF(R137="","",VLOOKUP(R137,REGRAS!$B$2:$D$13,3,FALSE()))</f>
        <v/>
      </c>
      <c r="J137" s="58" t="n"/>
      <c r="K137" s="58">
        <f>IF(R137="","",IF(R137="VENDA / PEDIDO","RECOMPRA",IF(R137="SUPORTE","PÓS-VENDA",IF(OR(R137="FOLLOW UP 7",R137="FOLLOW UP 15"),"SALVAMENTO",IF(R137="PERDA / FECHOU LOJA","NUTRIÇÃO",IF(R137="RELACIONAMENTO","CS",IF(OR(R137="ORÇAMENTO",R137="CADASTRO"),"PROSPECÇÃO",IF(R137="EM ATENDIMENTO","EM ATENDIMENTO",IF(OR(R137="NÃO ATENDE",R137="NÃO RESPONDE",R137="RECUSOU LIGAÇÃO"),"RECUPERAÇÃO","")))))))))</f>
        <v/>
      </c>
      <c r="L137" s="58">
        <f>IF(H137="","",IF(G137="PROSPECT","🟣",IF(G137="LEAD","🟣",IF(G137="NOVO","🟢",IF(H137&lt;=50,"🟢",IF(H137&lt;=90,"🟡","🔴"))))))</f>
        <v/>
      </c>
      <c r="M137" s="58" t="n"/>
      <c r="N137" s="58" t="inlineStr">
        <is>
          <t>SIM</t>
        </is>
      </c>
      <c r="O137" s="58" t="inlineStr">
        <is>
          <t>NÃO</t>
        </is>
      </c>
      <c r="P137" s="58" t="inlineStr">
        <is>
          <t>N/A</t>
        </is>
      </c>
      <c r="Q137" s="58" t="inlineStr">
        <is>
          <t>NEGOCIAÇÃO</t>
        </is>
      </c>
      <c r="R137" s="58" t="inlineStr">
        <is>
          <t>CADASTRO</t>
        </is>
      </c>
      <c r="S137" s="58" t="n"/>
      <c r="T137" s="71">
        <f>IF(R137="","",IF(OR(R137="SUPORTE",R137="PERDA / FECHOU LOJA"),"SEM",A137+VLOOKUP(R137,REGRAS!$B$2:$C$13,2,FALSE())))</f>
        <v/>
      </c>
      <c r="U137" s="58">
        <f>IF(R137="","",IF(R137="VENDA / PEDIDO","RECOMPRA",IF(R137="SUPORTE","PÓS-VENDA",IF(R137="RELACIONAMENTO","CS",IF(OR(R137="NÃO ATENDE",R137="NÃO RESPONDE",R137="RECUSOU LIGAÇÃO"),"REATIVAÇÃO",IF(R137="PERDA / FECHOU LOJA","NUTRIÇÃO",IF(OR(R137="FOLLOW UP 7",R137="FOLLOW UP 15"),"SALVAMENTO","PROSPECÇÃO")))))))</f>
        <v/>
      </c>
      <c r="V137" s="58" t="n"/>
      <c r="W137" s="58" t="inlineStr">
        <is>
          <t>NÃO</t>
        </is>
      </c>
      <c r="X137" s="58" t="n"/>
    </row>
    <row r="138">
      <c r="A138" s="71" t="n">
        <v>46069</v>
      </c>
      <c r="B138" s="58" t="inlineStr">
        <is>
          <t>JULIO GADRET</t>
        </is>
      </c>
      <c r="C138" s="58" t="inlineStr">
        <is>
          <t>EMPÓRIO NATURAL 01</t>
        </is>
      </c>
      <c r="D138" s="58" t="inlineStr">
        <is>
          <t>78.664.521/0195-12</t>
        </is>
      </c>
      <c r="E138" s="58" t="inlineStr">
        <is>
          <t>RS</t>
        </is>
      </c>
      <c r="F138" s="58" t="inlineStr">
        <is>
          <t>CIA DA SAUDE</t>
        </is>
      </c>
      <c r="G138" s="58" t="inlineStr">
        <is>
          <t>PROSPECT</t>
        </is>
      </c>
      <c r="H138" s="58" t="n"/>
      <c r="I138" s="58">
        <f>IF(R138="","",VLOOKUP(R138,REGRAS!$B$2:$D$13,3,FALSE()))</f>
        <v/>
      </c>
      <c r="J138" s="58" t="n"/>
      <c r="K138" s="58">
        <f>IF(R138="","",IF(R138="VENDA / PEDIDO","RECOMPRA",IF(R138="SUPORTE","PÓS-VENDA",IF(OR(R138="FOLLOW UP 7",R138="FOLLOW UP 15"),"SALVAMENTO",IF(R138="PERDA / FECHOU LOJA","NUTRIÇÃO",IF(R138="RELACIONAMENTO","CS",IF(OR(R138="ORÇAMENTO",R138="CADASTRO"),"PROSPECÇÃO",IF(R138="EM ATENDIMENTO","EM ATENDIMENTO",IF(OR(R138="NÃO ATENDE",R138="NÃO RESPONDE",R138="RECUSOU LIGAÇÃO"),"RECUPERAÇÃO","")))))))))</f>
        <v/>
      </c>
      <c r="L138" s="58">
        <f>IF(H138="","",IF(G138="PROSPECT","🟣",IF(G138="LEAD","🟣",IF(G138="NOVO","🟢",IF(H138&lt;=50,"🟢",IF(H138&lt;=90,"🟡","🔴"))))))</f>
        <v/>
      </c>
      <c r="M138" s="58" t="n"/>
      <c r="N138" s="58" t="inlineStr">
        <is>
          <t>SIM</t>
        </is>
      </c>
      <c r="O138" s="58" t="inlineStr">
        <is>
          <t>NÃO</t>
        </is>
      </c>
      <c r="P138" s="58" t="inlineStr">
        <is>
          <t>N/A</t>
        </is>
      </c>
      <c r="Q138" s="58" t="inlineStr">
        <is>
          <t>PROSPECÇÃO</t>
        </is>
      </c>
      <c r="R138" s="58" t="inlineStr">
        <is>
          <t>NÃO RESPONDE</t>
        </is>
      </c>
      <c r="S138" s="58" t="inlineStr">
        <is>
          <t>SEM INTERESSE NO MOMENTO</t>
        </is>
      </c>
      <c r="T138" s="71">
        <f>IF(R138="","",IF(OR(R138="SUPORTE",R138="PERDA / FECHOU LOJA"),"SEM",A138+VLOOKUP(R138,REGRAS!$B$2:$C$13,2,FALSE())))</f>
        <v/>
      </c>
      <c r="U138" s="58">
        <f>IF(R138="","",IF(R138="VENDA / PEDIDO","RECOMPRA",IF(R138="SUPORTE","PÓS-VENDA",IF(R138="RELACIONAMENTO","CS",IF(OR(R138="NÃO ATENDE",R138="NÃO RESPONDE",R138="RECUSOU LIGAÇÃO"),"REATIVAÇÃO",IF(R138="PERDA / FECHOU LOJA","NUTRIÇÃO",IF(OR(R138="FOLLOW UP 7",R138="FOLLOW UP 15"),"SALVAMENTO","PROSPECÇÃO")))))))</f>
        <v/>
      </c>
      <c r="V138" s="58" t="n"/>
      <c r="W138" s="58" t="inlineStr">
        <is>
          <t>SIM</t>
        </is>
      </c>
      <c r="X138" s="58" t="n"/>
    </row>
    <row r="139">
      <c r="A139" s="71" t="n">
        <v>46057</v>
      </c>
      <c r="B139" s="58" t="inlineStr">
        <is>
          <t>LARISSA PADILHA</t>
        </is>
      </c>
      <c r="C139" s="58" t="inlineStr">
        <is>
          <t>ARMAZEM FIT 25</t>
        </is>
      </c>
      <c r="D139" s="58" t="inlineStr">
        <is>
          <t>89.639.358/5808-44</t>
        </is>
      </c>
      <c r="E139" s="58" t="inlineStr">
        <is>
          <t>MG</t>
        </is>
      </c>
      <c r="F139" s="58" t="inlineStr">
        <is>
          <t>MUNDO VERDE</t>
        </is>
      </c>
      <c r="G139" s="58" t="inlineStr">
        <is>
          <t>PROSPECT</t>
        </is>
      </c>
      <c r="H139" s="58" t="n"/>
      <c r="I139" s="58">
        <f>IF(R139="","",VLOOKUP(R139,REGRAS!$B$2:$D$13,3,FALSE()))</f>
        <v/>
      </c>
      <c r="J139" s="58" t="n"/>
      <c r="K139" s="58">
        <f>IF(R139="","",IF(R139="VENDA / PEDIDO","RECOMPRA",IF(R139="SUPORTE","PÓS-VENDA",IF(OR(R139="FOLLOW UP 7",R139="FOLLOW UP 15"),"SALVAMENTO",IF(R139="PERDA / FECHOU LOJA","NUTRIÇÃO",IF(R139="RELACIONAMENTO","CS",IF(OR(R139="ORÇAMENTO",R139="CADASTRO"),"PROSPECÇÃO",IF(R139="EM ATENDIMENTO","EM ATENDIMENTO",IF(OR(R139="NÃO ATENDE",R139="NÃO RESPONDE",R139="RECUSOU LIGAÇÃO"),"RECUPERAÇÃO","")))))))))</f>
        <v/>
      </c>
      <c r="L139" s="58">
        <f>IF(H139="","",IF(G139="PROSPECT","🟣",IF(G139="LEAD","🟣",IF(G139="NOVO","🟢",IF(H139&lt;=50,"🟢",IF(H139&lt;=90,"🟡","🔴"))))))</f>
        <v/>
      </c>
      <c r="M139" s="58" t="n"/>
      <c r="N139" s="58" t="inlineStr">
        <is>
          <t>SIM</t>
        </is>
      </c>
      <c r="O139" s="58" t="inlineStr">
        <is>
          <t>SIM</t>
        </is>
      </c>
      <c r="P139" s="58" t="inlineStr">
        <is>
          <t>NÃO</t>
        </is>
      </c>
      <c r="Q139" s="58" t="inlineStr">
        <is>
          <t>ATEND. CLIENTES ATIVOS</t>
        </is>
      </c>
      <c r="R139" s="58" t="inlineStr">
        <is>
          <t>ORÇAMENTO</t>
        </is>
      </c>
      <c r="S139" s="58" t="n"/>
      <c r="T139" s="71">
        <f>IF(R139="","",IF(OR(R139="SUPORTE",R139="PERDA / FECHOU LOJA"),"SEM",A139+VLOOKUP(R139,REGRAS!$B$2:$C$13,2,FALSE())))</f>
        <v/>
      </c>
      <c r="U139" s="58">
        <f>IF(R139="","",IF(R139="VENDA / PEDIDO","RECOMPRA",IF(R139="SUPORTE","PÓS-VENDA",IF(R139="RELACIONAMENTO","CS",IF(OR(R139="NÃO ATENDE",R139="NÃO RESPONDE",R139="RECUSOU LIGAÇÃO"),"REATIVAÇÃO",IF(R139="PERDA / FECHOU LOJA","NUTRIÇÃO",IF(OR(R139="FOLLOW UP 7",R139="FOLLOW UP 15"),"SALVAMENTO","PROSPECÇÃO")))))))</f>
        <v/>
      </c>
      <c r="V139" s="58" t="n"/>
      <c r="W139" s="58" t="inlineStr">
        <is>
          <t>SIM</t>
        </is>
      </c>
      <c r="X139" s="58" t="n"/>
    </row>
    <row r="140">
      <c r="A140" s="71" t="n">
        <v>46081</v>
      </c>
      <c r="B140" s="58" t="inlineStr">
        <is>
          <t>JULIO GADRET</t>
        </is>
      </c>
      <c r="C140" s="58" t="inlineStr">
        <is>
          <t>MUNDO VERDE CWB 12</t>
        </is>
      </c>
      <c r="D140" s="58" t="inlineStr">
        <is>
          <t>61.488.486/9056-70</t>
        </is>
      </c>
      <c r="E140" s="58" t="inlineStr">
        <is>
          <t>PR</t>
        </is>
      </c>
      <c r="F140" s="58" t="inlineStr">
        <is>
          <t>MUNDO VERDE</t>
        </is>
      </c>
      <c r="G140" s="58" t="inlineStr">
        <is>
          <t>ATIVO</t>
        </is>
      </c>
      <c r="H140" s="58" t="n">
        <v>36</v>
      </c>
      <c r="I140" s="58">
        <f>IF(R140="","",VLOOKUP(R140,REGRAS!$B$2:$D$13,3,FALSE()))</f>
        <v/>
      </c>
      <c r="J140" s="58" t="n"/>
      <c r="K140" s="58">
        <f>IF(R140="","",IF(R140="VENDA / PEDIDO","RECOMPRA",IF(R140="SUPORTE","PÓS-VENDA",IF(OR(R140="FOLLOW UP 7",R140="FOLLOW UP 15"),"SALVAMENTO",IF(R140="PERDA / FECHOU LOJA","NUTRIÇÃO",IF(R140="RELACIONAMENTO","CS",IF(OR(R140="ORÇAMENTO",R140="CADASTRO"),"PROSPECÇÃO",IF(R140="EM ATENDIMENTO","EM ATENDIMENTO",IF(OR(R140="NÃO ATENDE",R140="NÃO RESPONDE",R140="RECUSOU LIGAÇÃO"),"RECUPERAÇÃO","")))))))))</f>
        <v/>
      </c>
      <c r="L140" s="58">
        <f>IF(H140="","",IF(G140="PROSPECT","🟣",IF(G140="LEAD","🟣",IF(G140="NOVO","🟢",IF(H140&lt;=50,"🟢",IF(H140&lt;=90,"🟡","🔴"))))))</f>
        <v/>
      </c>
      <c r="M140" s="58" t="n"/>
      <c r="N140" s="58" t="inlineStr">
        <is>
          <t>SIM</t>
        </is>
      </c>
      <c r="O140" s="58" t="inlineStr">
        <is>
          <t>NÃO</t>
        </is>
      </c>
      <c r="P140" s="58" t="inlineStr">
        <is>
          <t>N/A</t>
        </is>
      </c>
      <c r="Q140" s="58" t="inlineStr">
        <is>
          <t>PÓS-VENDA / RELACIONAMENTO</t>
        </is>
      </c>
      <c r="R140" s="58" t="inlineStr">
        <is>
          <t>SUPORTE</t>
        </is>
      </c>
      <c r="S140" s="58" t="n"/>
      <c r="T140" s="71">
        <f>IF(R140="","",IF(OR(R140="SUPORTE",R140="PERDA / FECHOU LOJA"),"SEM",A140+VLOOKUP(R140,REGRAS!$B$2:$C$13,2,FALSE())))</f>
        <v/>
      </c>
      <c r="U140" s="58">
        <f>IF(R140="","",IF(R140="VENDA / PEDIDO","RECOMPRA",IF(R140="SUPORTE","PÓS-VENDA",IF(R140="RELACIONAMENTO","CS",IF(OR(R140="NÃO ATENDE",R140="NÃO RESPONDE",R140="RECUSOU LIGAÇÃO"),"REATIVAÇÃO",IF(R140="PERDA / FECHOU LOJA","NUTRIÇÃO",IF(OR(R140="FOLLOW UP 7",R140="FOLLOW UP 15"),"SALVAMENTO","PROSPECÇÃO")))))))</f>
        <v/>
      </c>
      <c r="V140" s="58" t="n"/>
      <c r="W140" s="58" t="inlineStr">
        <is>
          <t>NÃO</t>
        </is>
      </c>
      <c r="X140" s="58" t="n"/>
    </row>
    <row r="141">
      <c r="A141" s="71" t="n">
        <v>46070</v>
      </c>
      <c r="B141" s="58" t="inlineStr">
        <is>
          <t>DAIANE STAVICKI</t>
        </is>
      </c>
      <c r="C141" s="58" t="inlineStr">
        <is>
          <t>FITLAND PR 28</t>
        </is>
      </c>
      <c r="D141" s="58" t="inlineStr">
        <is>
          <t>98.680.586/4442-15</t>
        </is>
      </c>
      <c r="E141" s="58" t="inlineStr">
        <is>
          <t>GO</t>
        </is>
      </c>
      <c r="F141" s="58" t="inlineStr">
        <is>
          <t>TUDO EM GRAOS</t>
        </is>
      </c>
      <c r="G141" s="58" t="inlineStr">
        <is>
          <t>ATIVO</t>
        </is>
      </c>
      <c r="H141" s="58" t="n">
        <v>39</v>
      </c>
      <c r="I141" s="58">
        <f>IF(R141="","",VLOOKUP(R141,REGRAS!$B$2:$D$13,3,FALSE()))</f>
        <v/>
      </c>
      <c r="J141" s="58" t="n"/>
      <c r="K141" s="58">
        <f>IF(R141="","",IF(R141="VENDA / PEDIDO","RECOMPRA",IF(R141="SUPORTE","PÓS-VENDA",IF(OR(R141="FOLLOW UP 7",R141="FOLLOW UP 15"),"SALVAMENTO",IF(R141="PERDA / FECHOU LOJA","NUTRIÇÃO",IF(R141="RELACIONAMENTO","CS",IF(OR(R141="ORÇAMENTO",R141="CADASTRO"),"PROSPECÇÃO",IF(R141="EM ATENDIMENTO","EM ATENDIMENTO",IF(OR(R141="NÃO ATENDE",R141="NÃO RESPONDE",R141="RECUSOU LIGAÇÃO"),"RECUPERAÇÃO","")))))))))</f>
        <v/>
      </c>
      <c r="L141" s="58">
        <f>IF(H141="","",IF(G141="PROSPECT","🟣",IF(G141="LEAD","🟣",IF(G141="NOVO","🟢",IF(H141&lt;=50,"🟢",IF(H141&lt;=90,"🟡","🔴"))))))</f>
        <v/>
      </c>
      <c r="M141" s="58" t="n"/>
      <c r="N141" s="58" t="inlineStr">
        <is>
          <t>NÃO</t>
        </is>
      </c>
      <c r="O141" s="58" t="inlineStr">
        <is>
          <t>SIM</t>
        </is>
      </c>
      <c r="P141" s="58" t="inlineStr">
        <is>
          <t>NÃO</t>
        </is>
      </c>
      <c r="Q141" s="58" t="inlineStr">
        <is>
          <t>ATEND. CLIENTES ATIVOS</t>
        </is>
      </c>
      <c r="R141" s="58" t="inlineStr">
        <is>
          <t>VENDA / PEDIDO</t>
        </is>
      </c>
      <c r="S141" s="58" t="n"/>
      <c r="T141" s="71">
        <f>IF(R141="","",IF(OR(R141="SUPORTE",R141="PERDA / FECHOU LOJA"),"SEM",A141+VLOOKUP(R141,REGRAS!$B$2:$C$13,2,FALSE())))</f>
        <v/>
      </c>
      <c r="U141" s="58">
        <f>IF(R141="","",IF(R141="VENDA / PEDIDO","RECOMPRA",IF(R141="SUPORTE","PÓS-VENDA",IF(R141="RELACIONAMENTO","CS",IF(OR(R141="NÃO ATENDE",R141="NÃO RESPONDE",R141="RECUSOU LIGAÇÃO"),"REATIVAÇÃO",IF(R141="PERDA / FECHOU LOJA","NUTRIÇÃO",IF(OR(R141="FOLLOW UP 7",R141="FOLLOW UP 15"),"SALVAMENTO","PROSPECÇÃO")))))))</f>
        <v/>
      </c>
      <c r="V141" s="58" t="n"/>
      <c r="W141" s="58" t="inlineStr">
        <is>
          <t>SIM</t>
        </is>
      </c>
      <c r="X141" s="58" t="n"/>
    </row>
    <row r="142">
      <c r="A142" s="71" t="n">
        <v>46078</v>
      </c>
      <c r="B142" s="58" t="inlineStr">
        <is>
          <t>DAIANE STAVICKI</t>
        </is>
      </c>
      <c r="C142" s="58" t="inlineStr">
        <is>
          <t>TUDO GRÃOS SC 10</t>
        </is>
      </c>
      <c r="D142" s="58" t="inlineStr">
        <is>
          <t>48.266.677/3940-82</t>
        </is>
      </c>
      <c r="E142" s="58" t="inlineStr">
        <is>
          <t>MG</t>
        </is>
      </c>
      <c r="F142" s="58" t="inlineStr">
        <is>
          <t>FIT LAND</t>
        </is>
      </c>
      <c r="G142" s="58" t="inlineStr">
        <is>
          <t>NOVO</t>
        </is>
      </c>
      <c r="H142" s="58" t="n"/>
      <c r="I142" s="58">
        <f>IF(R142="","",VLOOKUP(R142,REGRAS!$B$2:$D$13,3,FALSE()))</f>
        <v/>
      </c>
      <c r="J142" s="58" t="n"/>
      <c r="K142" s="58">
        <f>IF(R142="","",IF(R142="VENDA / PEDIDO","RECOMPRA",IF(R142="SUPORTE","PÓS-VENDA",IF(OR(R142="FOLLOW UP 7",R142="FOLLOW UP 15"),"SALVAMENTO",IF(R142="PERDA / FECHOU LOJA","NUTRIÇÃO",IF(R142="RELACIONAMENTO","CS",IF(OR(R142="ORÇAMENTO",R142="CADASTRO"),"PROSPECÇÃO",IF(R142="EM ATENDIMENTO","EM ATENDIMENTO",IF(OR(R142="NÃO ATENDE",R142="NÃO RESPONDE",R142="RECUSOU LIGAÇÃO"),"RECUPERAÇÃO","")))))))))</f>
        <v/>
      </c>
      <c r="L142" s="58">
        <f>IF(H142="","",IF(G142="PROSPECT","🟣",IF(G142="LEAD","🟣",IF(G142="NOVO","🟢",IF(H142&lt;=50,"🟢",IF(H142&lt;=90,"🟡","🔴"))))))</f>
        <v/>
      </c>
      <c r="M142" s="58" t="n"/>
      <c r="N142" s="58" t="inlineStr">
        <is>
          <t>SIM</t>
        </is>
      </c>
      <c r="O142" s="58" t="inlineStr">
        <is>
          <t>NÃO</t>
        </is>
      </c>
      <c r="P142" s="58" t="inlineStr">
        <is>
          <t>N/A</t>
        </is>
      </c>
      <c r="Q142" s="58" t="inlineStr">
        <is>
          <t>FOLLOW UP</t>
        </is>
      </c>
      <c r="R142" s="58" t="inlineStr">
        <is>
          <t>NÃO ATENDE</t>
        </is>
      </c>
      <c r="S142" s="58" t="inlineStr">
        <is>
          <t>PROBLEMA FINANCEIRO / CRÉDITO</t>
        </is>
      </c>
      <c r="T142" s="71">
        <f>IF(R142="","",IF(OR(R142="SUPORTE",R142="PERDA / FECHOU LOJA"),"SEM",A142+VLOOKUP(R142,REGRAS!$B$2:$C$13,2,FALSE())))</f>
        <v/>
      </c>
      <c r="U142" s="58">
        <f>IF(R142="","",IF(R142="VENDA / PEDIDO","RECOMPRA",IF(R142="SUPORTE","PÓS-VENDA",IF(R142="RELACIONAMENTO","CS",IF(OR(R142="NÃO ATENDE",R142="NÃO RESPONDE",R142="RECUSOU LIGAÇÃO"),"REATIVAÇÃO",IF(R142="PERDA / FECHOU LOJA","NUTRIÇÃO",IF(OR(R142="FOLLOW UP 7",R142="FOLLOW UP 15"),"SALVAMENTO","PROSPECÇÃO")))))))</f>
        <v/>
      </c>
      <c r="V142" s="58" t="n"/>
      <c r="W142" s="58" t="inlineStr">
        <is>
          <t>SIM</t>
        </is>
      </c>
      <c r="X142" s="58" t="n"/>
    </row>
    <row r="143">
      <c r="A143" s="71" t="n">
        <v>46065</v>
      </c>
      <c r="B143" s="58" t="inlineStr">
        <is>
          <t>MANU DITZEL</t>
        </is>
      </c>
      <c r="C143" s="58" t="inlineStr">
        <is>
          <t>SAUDE NA MESA 30</t>
        </is>
      </c>
      <c r="D143" s="58" t="inlineStr">
        <is>
          <t>19.448.719/9759-60</t>
        </is>
      </c>
      <c r="E143" s="58" t="inlineStr">
        <is>
          <t>DF</t>
        </is>
      </c>
      <c r="F143" s="58" t="inlineStr">
        <is>
          <t>CIA DA SAUDE</t>
        </is>
      </c>
      <c r="G143" s="58" t="inlineStr">
        <is>
          <t>INAT.ANT</t>
        </is>
      </c>
      <c r="H143" s="58" t="n">
        <v>291</v>
      </c>
      <c r="I143" s="58">
        <f>IF(R143="","",VLOOKUP(R143,REGRAS!$B$2:$D$13,3,FALSE()))</f>
        <v/>
      </c>
      <c r="J143" s="58" t="n"/>
      <c r="K143" s="58">
        <f>IF(R143="","",IF(R143="VENDA / PEDIDO","RECOMPRA",IF(R143="SUPORTE","PÓS-VENDA",IF(OR(R143="FOLLOW UP 7",R143="FOLLOW UP 15"),"SALVAMENTO",IF(R143="PERDA / FECHOU LOJA","NUTRIÇÃO",IF(R143="RELACIONAMENTO","CS",IF(OR(R143="ORÇAMENTO",R143="CADASTRO"),"PROSPECÇÃO",IF(R143="EM ATENDIMENTO","EM ATENDIMENTO",IF(OR(R143="NÃO ATENDE",R143="NÃO RESPONDE",R143="RECUSOU LIGAÇÃO"),"RECUPERAÇÃO","")))))))))</f>
        <v/>
      </c>
      <c r="L143" s="58">
        <f>IF(H143="","",IF(G143="PROSPECT","🟣",IF(G143="LEAD","🟣",IF(G143="NOVO","🟢",IF(H143&lt;=50,"🟢",IF(H143&lt;=90,"🟡","🔴"))))))</f>
        <v/>
      </c>
      <c r="M143" s="58" t="n"/>
      <c r="N143" s="58" t="inlineStr">
        <is>
          <t>SIM</t>
        </is>
      </c>
      <c r="O143" s="58" t="inlineStr">
        <is>
          <t>NÃO</t>
        </is>
      </c>
      <c r="P143" s="58" t="inlineStr">
        <is>
          <t>N/A</t>
        </is>
      </c>
      <c r="Q143" s="58" t="inlineStr">
        <is>
          <t>PERDA / NUTRIÇÃO</t>
        </is>
      </c>
      <c r="R143" s="58" t="inlineStr">
        <is>
          <t>NÃO ATENDE</t>
        </is>
      </c>
      <c r="S143" s="58" t="inlineStr">
        <is>
          <t>LOJA ANEXO/PROXIMO - SM</t>
        </is>
      </c>
      <c r="T143" s="71">
        <f>IF(R143="","",IF(OR(R143="SUPORTE",R143="PERDA / FECHOU LOJA"),"SEM",A143+VLOOKUP(R143,REGRAS!$B$2:$C$13,2,FALSE())))</f>
        <v/>
      </c>
      <c r="U143" s="58">
        <f>IF(R143="","",IF(R143="VENDA / PEDIDO","RECOMPRA",IF(R143="SUPORTE","PÓS-VENDA",IF(R143="RELACIONAMENTO","CS",IF(OR(R143="NÃO ATENDE",R143="NÃO RESPONDE",R143="RECUSOU LIGAÇÃO"),"REATIVAÇÃO",IF(R143="PERDA / FECHOU LOJA","NUTRIÇÃO",IF(OR(R143="FOLLOW UP 7",R143="FOLLOW UP 15"),"SALVAMENTO","PROSPECÇÃO")))))))</f>
        <v/>
      </c>
      <c r="V143" s="58" t="n"/>
      <c r="W143" s="58" t="inlineStr">
        <is>
          <t>NÃO</t>
        </is>
      </c>
      <c r="X143" s="58" t="n"/>
    </row>
    <row r="144">
      <c r="A144" s="71" t="n">
        <v>46075</v>
      </c>
      <c r="B144" s="58" t="inlineStr">
        <is>
          <t>LARISSA PADILHA</t>
        </is>
      </c>
      <c r="C144" s="58" t="inlineStr">
        <is>
          <t>CORPO E MENTE 38</t>
        </is>
      </c>
      <c r="D144" s="58" t="inlineStr">
        <is>
          <t>41.830.175/1345-44</t>
        </is>
      </c>
      <c r="E144" s="58" t="inlineStr">
        <is>
          <t>PR</t>
        </is>
      </c>
      <c r="F144" s="58" t="inlineStr">
        <is>
          <t>DEMAIS CLIENTES</t>
        </is>
      </c>
      <c r="G144" s="58" t="inlineStr">
        <is>
          <t>INAT.ANT</t>
        </is>
      </c>
      <c r="H144" s="58" t="n">
        <v>280</v>
      </c>
      <c r="I144" s="58">
        <f>IF(R144="","",VLOOKUP(R144,REGRAS!$B$2:$D$13,3,FALSE()))</f>
        <v/>
      </c>
      <c r="J144" s="58" t="n"/>
      <c r="K144" s="58">
        <f>IF(R144="","",IF(R144="VENDA / PEDIDO","RECOMPRA",IF(R144="SUPORTE","PÓS-VENDA",IF(OR(R144="FOLLOW UP 7",R144="FOLLOW UP 15"),"SALVAMENTO",IF(R144="PERDA / FECHOU LOJA","NUTRIÇÃO",IF(R144="RELACIONAMENTO","CS",IF(OR(R144="ORÇAMENTO",R144="CADASTRO"),"PROSPECÇÃO",IF(R144="EM ATENDIMENTO","EM ATENDIMENTO",IF(OR(R144="NÃO ATENDE",R144="NÃO RESPONDE",R144="RECUSOU LIGAÇÃO"),"RECUPERAÇÃO","")))))))))</f>
        <v/>
      </c>
      <c r="L144" s="58">
        <f>IF(H144="","",IF(G144="PROSPECT","🟣",IF(G144="LEAD","🟣",IF(G144="NOVO","🟢",IF(H144&lt;=50,"🟢",IF(H144&lt;=90,"🟡","🔴"))))))</f>
        <v/>
      </c>
      <c r="M144" s="58" t="n"/>
      <c r="N144" s="58" t="inlineStr">
        <is>
          <t>SIM</t>
        </is>
      </c>
      <c r="O144" s="58" t="inlineStr">
        <is>
          <t>NÃO</t>
        </is>
      </c>
      <c r="P144" s="58" t="inlineStr">
        <is>
          <t>N/A</t>
        </is>
      </c>
      <c r="Q144" s="58" t="inlineStr">
        <is>
          <t>ATEND. CLIENTES ATIVOS</t>
        </is>
      </c>
      <c r="R144" s="58" t="inlineStr">
        <is>
          <t>RELACIONAMENTO</t>
        </is>
      </c>
      <c r="S144" s="58" t="n"/>
      <c r="T144" s="71">
        <f>IF(R144="","",IF(OR(R144="SUPORTE",R144="PERDA / FECHOU LOJA"),"SEM",A144+VLOOKUP(R144,REGRAS!$B$2:$C$13,2,FALSE())))</f>
        <v/>
      </c>
      <c r="U144" s="58">
        <f>IF(R144="","",IF(R144="VENDA / PEDIDO","RECOMPRA",IF(R144="SUPORTE","PÓS-VENDA",IF(R144="RELACIONAMENTO","CS",IF(OR(R144="NÃO ATENDE",R144="NÃO RESPONDE",R144="RECUSOU LIGAÇÃO"),"REATIVAÇÃO",IF(R144="PERDA / FECHOU LOJA","NUTRIÇÃO",IF(OR(R144="FOLLOW UP 7",R144="FOLLOW UP 15"),"SALVAMENTO","PROSPECÇÃO")))))))</f>
        <v/>
      </c>
      <c r="V144" s="58" t="n"/>
      <c r="W144" s="58" t="inlineStr">
        <is>
          <t>SIM</t>
        </is>
      </c>
      <c r="X144" s="58" t="n"/>
    </row>
    <row r="145">
      <c r="A145" s="71" t="n">
        <v>46078</v>
      </c>
      <c r="B145" s="58" t="inlineStr">
        <is>
          <t>MANU DITZEL</t>
        </is>
      </c>
      <c r="C145" s="58" t="inlineStr">
        <is>
          <t>FIT STORE 12</t>
        </is>
      </c>
      <c r="D145" s="58" t="inlineStr">
        <is>
          <t>33.541.559/9126-81</t>
        </is>
      </c>
      <c r="E145" s="58" t="inlineStr">
        <is>
          <t>RS</t>
        </is>
      </c>
      <c r="F145" s="58" t="inlineStr">
        <is>
          <t>MUNDO VERDE</t>
        </is>
      </c>
      <c r="G145" s="58" t="inlineStr">
        <is>
          <t>ATIVO</t>
        </is>
      </c>
      <c r="H145" s="58" t="n">
        <v>40</v>
      </c>
      <c r="I145" s="58">
        <f>IF(R145="","",VLOOKUP(R145,REGRAS!$B$2:$D$13,3,FALSE()))</f>
        <v/>
      </c>
      <c r="J145" s="58" t="n"/>
      <c r="K145" s="58">
        <f>IF(R145="","",IF(R145="VENDA / PEDIDO","RECOMPRA",IF(R145="SUPORTE","PÓS-VENDA",IF(OR(R145="FOLLOW UP 7",R145="FOLLOW UP 15"),"SALVAMENTO",IF(R145="PERDA / FECHOU LOJA","NUTRIÇÃO",IF(R145="RELACIONAMENTO","CS",IF(OR(R145="ORÇAMENTO",R145="CADASTRO"),"PROSPECÇÃO",IF(R145="EM ATENDIMENTO","EM ATENDIMENTO",IF(OR(R145="NÃO ATENDE",R145="NÃO RESPONDE",R145="RECUSOU LIGAÇÃO"),"RECUPERAÇÃO","")))))))))</f>
        <v/>
      </c>
      <c r="L145" s="58">
        <f>IF(H145="","",IF(G145="PROSPECT","🟣",IF(G145="LEAD","🟣",IF(G145="NOVO","🟢",IF(H145&lt;=50,"🟢",IF(H145&lt;=90,"🟡","🔴"))))))</f>
        <v/>
      </c>
      <c r="M145" s="58" t="n"/>
      <c r="N145" s="58" t="inlineStr">
        <is>
          <t>SIM</t>
        </is>
      </c>
      <c r="O145" s="58" t="inlineStr">
        <is>
          <t>SIM</t>
        </is>
      </c>
      <c r="P145" s="58" t="inlineStr">
        <is>
          <t>SIM</t>
        </is>
      </c>
      <c r="Q145" s="58" t="inlineStr">
        <is>
          <t>PROSPECÇÃO</t>
        </is>
      </c>
      <c r="R145" s="58" t="inlineStr">
        <is>
          <t>NÃO ATENDE</t>
        </is>
      </c>
      <c r="S145" s="58" t="inlineStr">
        <is>
          <t>PRODUTO NÃO VENDEU / SEM GIRO</t>
        </is>
      </c>
      <c r="T145" s="71">
        <f>IF(R145="","",IF(OR(R145="SUPORTE",R145="PERDA / FECHOU LOJA"),"SEM",A145+VLOOKUP(R145,REGRAS!$B$2:$C$13,2,FALSE())))</f>
        <v/>
      </c>
      <c r="U145" s="58">
        <f>IF(R145="","",IF(R145="VENDA / PEDIDO","RECOMPRA",IF(R145="SUPORTE","PÓS-VENDA",IF(R145="RELACIONAMENTO","CS",IF(OR(R145="NÃO ATENDE",R145="NÃO RESPONDE",R145="RECUSOU LIGAÇÃO"),"REATIVAÇÃO",IF(R145="PERDA / FECHOU LOJA","NUTRIÇÃO",IF(OR(R145="FOLLOW UP 7",R145="FOLLOW UP 15"),"SALVAMENTO","PROSPECÇÃO")))))))</f>
        <v/>
      </c>
      <c r="V145" s="58" t="n"/>
      <c r="W145" s="58" t="inlineStr">
        <is>
          <t>SIM</t>
        </is>
      </c>
      <c r="X145" s="58" t="n"/>
    </row>
    <row r="146">
      <c r="A146" s="71" t="n">
        <v>46071</v>
      </c>
      <c r="B146" s="58" t="inlineStr">
        <is>
          <t>DAIANE STAVICKI</t>
        </is>
      </c>
      <c r="C146" s="58" t="inlineStr">
        <is>
          <t>ARMAZEM FIT 74</t>
        </is>
      </c>
      <c r="D146" s="58" t="inlineStr">
        <is>
          <t>76.273.801/6238-31</t>
        </is>
      </c>
      <c r="E146" s="58" t="inlineStr">
        <is>
          <t>PR</t>
        </is>
      </c>
      <c r="F146" s="58" t="inlineStr">
        <is>
          <t>CIA DA SAUDE</t>
        </is>
      </c>
      <c r="G146" s="58" t="inlineStr">
        <is>
          <t>EM RISCO</t>
        </is>
      </c>
      <c r="H146" s="58" t="n">
        <v>52</v>
      </c>
      <c r="I146" s="58">
        <f>IF(R146="","",VLOOKUP(R146,REGRAS!$B$2:$D$13,3,FALSE()))</f>
        <v/>
      </c>
      <c r="J146" s="58" t="n"/>
      <c r="K146" s="58">
        <f>IF(R146="","",IF(R146="VENDA / PEDIDO","RECOMPRA",IF(R146="SUPORTE","PÓS-VENDA",IF(OR(R146="FOLLOW UP 7",R146="FOLLOW UP 15"),"SALVAMENTO",IF(R146="PERDA / FECHOU LOJA","NUTRIÇÃO",IF(R146="RELACIONAMENTO","CS",IF(OR(R146="ORÇAMENTO",R146="CADASTRO"),"PROSPECÇÃO",IF(R146="EM ATENDIMENTO","EM ATENDIMENTO",IF(OR(R146="NÃO ATENDE",R146="NÃO RESPONDE",R146="RECUSOU LIGAÇÃO"),"RECUPERAÇÃO","")))))))))</f>
        <v/>
      </c>
      <c r="L146" s="58">
        <f>IF(H146="","",IF(G146="PROSPECT","🟣",IF(G146="LEAD","🟣",IF(G146="NOVO","🟢",IF(H146&lt;=50,"🟢",IF(H146&lt;=90,"🟡","🔴"))))))</f>
        <v/>
      </c>
      <c r="M146" s="58" t="n"/>
      <c r="N146" s="58" t="inlineStr">
        <is>
          <t>SIM</t>
        </is>
      </c>
      <c r="O146" s="58" t="inlineStr">
        <is>
          <t>NÃO</t>
        </is>
      </c>
      <c r="P146" s="58" t="inlineStr">
        <is>
          <t>N/A</t>
        </is>
      </c>
      <c r="Q146" s="58" t="inlineStr">
        <is>
          <t>NEGOCIAÇÃO</t>
        </is>
      </c>
      <c r="R146" s="58" t="inlineStr">
        <is>
          <t>ORÇAMENTO</t>
        </is>
      </c>
      <c r="S146" s="58" t="n"/>
      <c r="T146" s="71">
        <f>IF(R146="","",IF(OR(R146="SUPORTE",R146="PERDA / FECHOU LOJA"),"SEM",A146+VLOOKUP(R146,REGRAS!$B$2:$C$13,2,FALSE())))</f>
        <v/>
      </c>
      <c r="U146" s="58">
        <f>IF(R146="","",IF(R146="VENDA / PEDIDO","RECOMPRA",IF(R146="SUPORTE","PÓS-VENDA",IF(R146="RELACIONAMENTO","CS",IF(OR(R146="NÃO ATENDE",R146="NÃO RESPONDE",R146="RECUSOU LIGAÇÃO"),"REATIVAÇÃO",IF(R146="PERDA / FECHOU LOJA","NUTRIÇÃO",IF(OR(R146="FOLLOW UP 7",R146="FOLLOW UP 15"),"SALVAMENTO","PROSPECÇÃO")))))))</f>
        <v/>
      </c>
      <c r="V146" s="58" t="n"/>
      <c r="W146" s="58" t="inlineStr">
        <is>
          <t>SIM</t>
        </is>
      </c>
      <c r="X146" s="58" t="n"/>
    </row>
    <row r="147">
      <c r="A147" s="71" t="n">
        <v>46061</v>
      </c>
      <c r="B147" s="58" t="inlineStr">
        <is>
          <t>JULIO GADRET</t>
        </is>
      </c>
      <c r="C147" s="58" t="inlineStr">
        <is>
          <t>POWER NATURAL 77</t>
        </is>
      </c>
      <c r="D147" s="58" t="inlineStr">
        <is>
          <t>88.300.568/1753-27</t>
        </is>
      </c>
      <c r="E147" s="58" t="inlineStr">
        <is>
          <t>SC</t>
        </is>
      </c>
      <c r="F147" s="58" t="inlineStr">
        <is>
          <t>DEMAIS CLIENTES</t>
        </is>
      </c>
      <c r="G147" s="58" t="inlineStr">
        <is>
          <t>ATIVO</t>
        </is>
      </c>
      <c r="H147" s="58" t="n">
        <v>44</v>
      </c>
      <c r="I147" s="58">
        <f>IF(R147="","",VLOOKUP(R147,REGRAS!$B$2:$D$13,3,FALSE()))</f>
        <v/>
      </c>
      <c r="J147" s="58" t="n"/>
      <c r="K147" s="58">
        <f>IF(R147="","",IF(R147="VENDA / PEDIDO","RECOMPRA",IF(R147="SUPORTE","PÓS-VENDA",IF(OR(R147="FOLLOW UP 7",R147="FOLLOW UP 15"),"SALVAMENTO",IF(R147="PERDA / FECHOU LOJA","NUTRIÇÃO",IF(R147="RELACIONAMENTO","CS",IF(OR(R147="ORÇAMENTO",R147="CADASTRO"),"PROSPECÇÃO",IF(R147="EM ATENDIMENTO","EM ATENDIMENTO",IF(OR(R147="NÃO ATENDE",R147="NÃO RESPONDE",R147="RECUSOU LIGAÇÃO"),"RECUPERAÇÃO","")))))))))</f>
        <v/>
      </c>
      <c r="L147" s="58">
        <f>IF(H147="","",IF(G147="PROSPECT","🟣",IF(G147="LEAD","🟣",IF(G147="NOVO","🟢",IF(H147&lt;=50,"🟢",IF(H147&lt;=90,"🟡","🔴"))))))</f>
        <v/>
      </c>
      <c r="M147" s="58" t="n"/>
      <c r="N147" s="58" t="inlineStr">
        <is>
          <t>SIM</t>
        </is>
      </c>
      <c r="O147" s="58" t="inlineStr">
        <is>
          <t>SIM</t>
        </is>
      </c>
      <c r="P147" s="58" t="inlineStr">
        <is>
          <t>NÃO</t>
        </is>
      </c>
      <c r="Q147" s="58" t="inlineStr">
        <is>
          <t>ATEND. CLIENTES ATIVOS</t>
        </is>
      </c>
      <c r="R147" s="58" t="inlineStr">
        <is>
          <t>EM ATENDIMENTO</t>
        </is>
      </c>
      <c r="S147" s="58" t="n"/>
      <c r="T147" s="71">
        <f>IF(R147="","",IF(OR(R147="SUPORTE",R147="PERDA / FECHOU LOJA"),"SEM",A147+VLOOKUP(R147,REGRAS!$B$2:$C$13,2,FALSE())))</f>
        <v/>
      </c>
      <c r="U147" s="58">
        <f>IF(R147="","",IF(R147="VENDA / PEDIDO","RECOMPRA",IF(R147="SUPORTE","PÓS-VENDA",IF(R147="RELACIONAMENTO","CS",IF(OR(R147="NÃO ATENDE",R147="NÃO RESPONDE",R147="RECUSOU LIGAÇÃO"),"REATIVAÇÃO",IF(R147="PERDA / FECHOU LOJA","NUTRIÇÃO",IF(OR(R147="FOLLOW UP 7",R147="FOLLOW UP 15"),"SALVAMENTO","PROSPECÇÃO")))))))</f>
        <v/>
      </c>
      <c r="V147" s="58" t="n"/>
      <c r="W147" s="58" t="inlineStr">
        <is>
          <t>NÃO</t>
        </is>
      </c>
      <c r="X147" s="58" t="n"/>
    </row>
    <row r="148">
      <c r="A148" s="71" t="n">
        <v>46073</v>
      </c>
      <c r="B148" s="58" t="inlineStr">
        <is>
          <t>MANU DITZEL</t>
        </is>
      </c>
      <c r="C148" s="58" t="inlineStr">
        <is>
          <t>BIO GRÃOS 78</t>
        </is>
      </c>
      <c r="D148" s="58" t="inlineStr">
        <is>
          <t>98.305.590/5148-32</t>
        </is>
      </c>
      <c r="E148" s="58" t="inlineStr">
        <is>
          <t>DF</t>
        </is>
      </c>
      <c r="F148" s="58" t="inlineStr">
        <is>
          <t>DEMAIS CLIENTES</t>
        </is>
      </c>
      <c r="G148" s="58" t="inlineStr">
        <is>
          <t>ATIVO</t>
        </is>
      </c>
      <c r="H148" s="58" t="n">
        <v>49</v>
      </c>
      <c r="I148" s="58">
        <f>IF(R148="","",VLOOKUP(R148,REGRAS!$B$2:$D$13,3,FALSE()))</f>
        <v/>
      </c>
      <c r="J148" s="58" t="n"/>
      <c r="K148" s="58">
        <f>IF(R148="","",IF(R148="VENDA / PEDIDO","RECOMPRA",IF(R148="SUPORTE","PÓS-VENDA",IF(OR(R148="FOLLOW UP 7",R148="FOLLOW UP 15"),"SALVAMENTO",IF(R148="PERDA / FECHOU LOJA","NUTRIÇÃO",IF(R148="RELACIONAMENTO","CS",IF(OR(R148="ORÇAMENTO",R148="CADASTRO"),"PROSPECÇÃO",IF(R148="EM ATENDIMENTO","EM ATENDIMENTO",IF(OR(R148="NÃO ATENDE",R148="NÃO RESPONDE",R148="RECUSOU LIGAÇÃO"),"RECUPERAÇÃO","")))))))))</f>
        <v/>
      </c>
      <c r="L148" s="58">
        <f>IF(H148="","",IF(G148="PROSPECT","🟣",IF(G148="LEAD","🟣",IF(G148="NOVO","🟢",IF(H148&lt;=50,"🟢",IF(H148&lt;=90,"🟡","🔴"))))))</f>
        <v/>
      </c>
      <c r="M148" s="58" t="n"/>
      <c r="N148" s="58" t="inlineStr">
        <is>
          <t>NÃO</t>
        </is>
      </c>
      <c r="O148" s="58" t="inlineStr">
        <is>
          <t>SIM</t>
        </is>
      </c>
      <c r="P148" s="58" t="inlineStr">
        <is>
          <t>SIM</t>
        </is>
      </c>
      <c r="Q148" s="58" t="inlineStr">
        <is>
          <t>ATEND. CLIENTES INATIVOS</t>
        </is>
      </c>
      <c r="R148" s="58" t="inlineStr">
        <is>
          <t>FOLLOW UP 15</t>
        </is>
      </c>
      <c r="S148" s="58" t="inlineStr">
        <is>
          <t>PROPRIETARIO / INDISPONÍVEL</t>
        </is>
      </c>
      <c r="T148" s="71">
        <f>IF(R148="","",IF(OR(R148="SUPORTE",R148="PERDA / FECHOU LOJA"),"SEM",A148+VLOOKUP(R148,REGRAS!$B$2:$C$13,2,FALSE())))</f>
        <v/>
      </c>
      <c r="U148" s="58">
        <f>IF(R148="","",IF(R148="VENDA / PEDIDO","RECOMPRA",IF(R148="SUPORTE","PÓS-VENDA",IF(R148="RELACIONAMENTO","CS",IF(OR(R148="NÃO ATENDE",R148="NÃO RESPONDE",R148="RECUSOU LIGAÇÃO"),"REATIVAÇÃO",IF(R148="PERDA / FECHOU LOJA","NUTRIÇÃO",IF(OR(R148="FOLLOW UP 7",R148="FOLLOW UP 15"),"SALVAMENTO","PROSPECÇÃO")))))))</f>
        <v/>
      </c>
      <c r="V148" s="58" t="n"/>
      <c r="W148" s="58" t="inlineStr">
        <is>
          <t>SIM</t>
        </is>
      </c>
      <c r="X148" s="58" t="n"/>
    </row>
    <row r="149">
      <c r="A149" s="71" t="n">
        <v>46072</v>
      </c>
      <c r="B149" s="58" t="inlineStr">
        <is>
          <t>MANU DITZEL</t>
        </is>
      </c>
      <c r="C149" s="58" t="inlineStr">
        <is>
          <t>BIO FIT 24</t>
        </is>
      </c>
      <c r="D149" s="58" t="inlineStr">
        <is>
          <t>97.886.663/0441-69</t>
        </is>
      </c>
      <c r="E149" s="58" t="inlineStr">
        <is>
          <t>DF</t>
        </is>
      </c>
      <c r="F149" s="58" t="inlineStr">
        <is>
          <t>BIOMUNDO</t>
        </is>
      </c>
      <c r="G149" s="58" t="inlineStr">
        <is>
          <t>INAT.ANT</t>
        </is>
      </c>
      <c r="H149" s="58" t="n">
        <v>268</v>
      </c>
      <c r="I149" s="58">
        <f>IF(R149="","",VLOOKUP(R149,REGRAS!$B$2:$D$13,3,FALSE()))</f>
        <v/>
      </c>
      <c r="J149" s="58" t="n"/>
      <c r="K149" s="58">
        <f>IF(R149="","",IF(R149="VENDA / PEDIDO","RECOMPRA",IF(R149="SUPORTE","PÓS-VENDA",IF(OR(R149="FOLLOW UP 7",R149="FOLLOW UP 15"),"SALVAMENTO",IF(R149="PERDA / FECHOU LOJA","NUTRIÇÃO",IF(R149="RELACIONAMENTO","CS",IF(OR(R149="ORÇAMENTO",R149="CADASTRO"),"PROSPECÇÃO",IF(R149="EM ATENDIMENTO","EM ATENDIMENTO",IF(OR(R149="NÃO ATENDE",R149="NÃO RESPONDE",R149="RECUSOU LIGAÇÃO"),"RECUPERAÇÃO","")))))))))</f>
        <v/>
      </c>
      <c r="L149" s="58">
        <f>IF(H149="","",IF(G149="PROSPECT","🟣",IF(G149="LEAD","🟣",IF(G149="NOVO","🟢",IF(H149&lt;=50,"🟢",IF(H149&lt;=90,"🟡","🔴"))))))</f>
        <v/>
      </c>
      <c r="M149" s="58" t="n"/>
      <c r="N149" s="58" t="inlineStr">
        <is>
          <t>NÃO</t>
        </is>
      </c>
      <c r="O149" s="58" t="inlineStr">
        <is>
          <t>NÃO</t>
        </is>
      </c>
      <c r="P149" s="58" t="inlineStr">
        <is>
          <t>N/A</t>
        </is>
      </c>
      <c r="Q149" s="58" t="inlineStr">
        <is>
          <t>PROSPECÇÃO</t>
        </is>
      </c>
      <c r="R149" s="58" t="inlineStr">
        <is>
          <t>NÃO RESPONDE</t>
        </is>
      </c>
      <c r="S149" s="58" t="inlineStr">
        <is>
          <t>AINDA TEM ESTOQUE</t>
        </is>
      </c>
      <c r="T149" s="71">
        <f>IF(R149="","",IF(OR(R149="SUPORTE",R149="PERDA / FECHOU LOJA"),"SEM",A149+VLOOKUP(R149,REGRAS!$B$2:$C$13,2,FALSE())))</f>
        <v/>
      </c>
      <c r="U149" s="58">
        <f>IF(R149="","",IF(R149="VENDA / PEDIDO","RECOMPRA",IF(R149="SUPORTE","PÓS-VENDA",IF(R149="RELACIONAMENTO","CS",IF(OR(R149="NÃO ATENDE",R149="NÃO RESPONDE",R149="RECUSOU LIGAÇÃO"),"REATIVAÇÃO",IF(R149="PERDA / FECHOU LOJA","NUTRIÇÃO",IF(OR(R149="FOLLOW UP 7",R149="FOLLOW UP 15"),"SALVAMENTO","PROSPECÇÃO")))))))</f>
        <v/>
      </c>
      <c r="V149" s="58" t="n"/>
      <c r="W149" s="58" t="inlineStr">
        <is>
          <t>SIM</t>
        </is>
      </c>
      <c r="X149" s="58" t="n"/>
    </row>
    <row r="150">
      <c r="A150" s="71" t="n">
        <v>46062</v>
      </c>
      <c r="B150" s="58" t="inlineStr">
        <is>
          <t>JULIO GADRET</t>
        </is>
      </c>
      <c r="C150" s="58" t="inlineStr">
        <is>
          <t>SAUDE NA MESA 49</t>
        </is>
      </c>
      <c r="D150" s="58" t="inlineStr">
        <is>
          <t>19.559.712/7852-84</t>
        </is>
      </c>
      <c r="E150" s="58" t="inlineStr">
        <is>
          <t>RS</t>
        </is>
      </c>
      <c r="F150" s="58" t="inlineStr">
        <is>
          <t>DIVINA TERRA</t>
        </is>
      </c>
      <c r="G150" s="58" t="inlineStr">
        <is>
          <t>PROSPECT</t>
        </is>
      </c>
      <c r="H150" s="58" t="n"/>
      <c r="I150" s="58">
        <f>IF(R150="","",VLOOKUP(R150,REGRAS!$B$2:$D$13,3,FALSE()))</f>
        <v/>
      </c>
      <c r="J150" s="58" t="n"/>
      <c r="K150" s="58">
        <f>IF(R150="","",IF(R150="VENDA / PEDIDO","RECOMPRA",IF(R150="SUPORTE","PÓS-VENDA",IF(OR(R150="FOLLOW UP 7",R150="FOLLOW UP 15"),"SALVAMENTO",IF(R150="PERDA / FECHOU LOJA","NUTRIÇÃO",IF(R150="RELACIONAMENTO","CS",IF(OR(R150="ORÇAMENTO",R150="CADASTRO"),"PROSPECÇÃO",IF(R150="EM ATENDIMENTO","EM ATENDIMENTO",IF(OR(R150="NÃO ATENDE",R150="NÃO RESPONDE",R150="RECUSOU LIGAÇÃO"),"RECUPERAÇÃO","")))))))))</f>
        <v/>
      </c>
      <c r="L150" s="58">
        <f>IF(H150="","",IF(G150="PROSPECT","🟣",IF(G150="LEAD","🟣",IF(G150="NOVO","🟢",IF(H150&lt;=50,"🟢",IF(H150&lt;=90,"🟡","🔴"))))))</f>
        <v/>
      </c>
      <c r="M150" s="58" t="n"/>
      <c r="N150" s="58" t="inlineStr">
        <is>
          <t>NÃO</t>
        </is>
      </c>
      <c r="O150" s="58" t="inlineStr">
        <is>
          <t>SIM</t>
        </is>
      </c>
      <c r="P150" s="58" t="inlineStr">
        <is>
          <t>NÃO</t>
        </is>
      </c>
      <c r="Q150" s="58" t="inlineStr">
        <is>
          <t>ATEND. CLIENTES INATIVOS</t>
        </is>
      </c>
      <c r="R150" s="58" t="inlineStr">
        <is>
          <t>RECUSOU LIGAÇÃO</t>
        </is>
      </c>
      <c r="S150" s="58" t="inlineStr">
        <is>
          <t>PROBLEMA LOGÍSTICO / ENTREGA</t>
        </is>
      </c>
      <c r="T150" s="71">
        <f>IF(R150="","",IF(OR(R150="SUPORTE",R150="PERDA / FECHOU LOJA"),"SEM",A150+VLOOKUP(R150,REGRAS!$B$2:$C$13,2,FALSE())))</f>
        <v/>
      </c>
      <c r="U150" s="58">
        <f>IF(R150="","",IF(R150="VENDA / PEDIDO","RECOMPRA",IF(R150="SUPORTE","PÓS-VENDA",IF(R150="RELACIONAMENTO","CS",IF(OR(R150="NÃO ATENDE",R150="NÃO RESPONDE",R150="RECUSOU LIGAÇÃO"),"REATIVAÇÃO",IF(R150="PERDA / FECHOU LOJA","NUTRIÇÃO",IF(OR(R150="FOLLOW UP 7",R150="FOLLOW UP 15"),"SALVAMENTO","PROSPECÇÃO")))))))</f>
        <v/>
      </c>
      <c r="V150" s="58" t="n"/>
      <c r="W150" s="58" t="inlineStr">
        <is>
          <t>SIM</t>
        </is>
      </c>
      <c r="X150" s="58" t="n"/>
    </row>
    <row r="151">
      <c r="A151" s="71" t="n">
        <v>46056</v>
      </c>
      <c r="B151" s="58" t="inlineStr">
        <is>
          <t>MANU DITZEL</t>
        </is>
      </c>
      <c r="C151" s="58" t="inlineStr">
        <is>
          <t>ARMAZEM FIT 85</t>
        </is>
      </c>
      <c r="D151" s="58" t="inlineStr">
        <is>
          <t>95.463.270/0726-82</t>
        </is>
      </c>
      <c r="E151" s="58" t="inlineStr">
        <is>
          <t>CE</t>
        </is>
      </c>
      <c r="F151" s="58" t="inlineStr">
        <is>
          <t>TUDO EM GRAOS</t>
        </is>
      </c>
      <c r="G151" s="58" t="inlineStr">
        <is>
          <t>EM RISCO</t>
        </is>
      </c>
      <c r="H151" s="58" t="n">
        <v>56</v>
      </c>
      <c r="I151" s="58">
        <f>IF(R151="","",VLOOKUP(R151,REGRAS!$B$2:$D$13,3,FALSE()))</f>
        <v/>
      </c>
      <c r="J151" s="58" t="n"/>
      <c r="K151" s="58">
        <f>IF(R151="","",IF(R151="VENDA / PEDIDO","RECOMPRA",IF(R151="SUPORTE","PÓS-VENDA",IF(OR(R151="FOLLOW UP 7",R151="FOLLOW UP 15"),"SALVAMENTO",IF(R151="PERDA / FECHOU LOJA","NUTRIÇÃO",IF(R151="RELACIONAMENTO","CS",IF(OR(R151="ORÇAMENTO",R151="CADASTRO"),"PROSPECÇÃO",IF(R151="EM ATENDIMENTO","EM ATENDIMENTO",IF(OR(R151="NÃO ATENDE",R151="NÃO RESPONDE",R151="RECUSOU LIGAÇÃO"),"RECUPERAÇÃO","")))))))))</f>
        <v/>
      </c>
      <c r="L151" s="58">
        <f>IF(H151="","",IF(G151="PROSPECT","🟣",IF(G151="LEAD","🟣",IF(G151="NOVO","🟢",IF(H151&lt;=50,"🟢",IF(H151&lt;=90,"🟡","🔴"))))))</f>
        <v/>
      </c>
      <c r="M151" s="58" t="n"/>
      <c r="N151" s="58" t="inlineStr">
        <is>
          <t>SIM</t>
        </is>
      </c>
      <c r="O151" s="58" t="inlineStr">
        <is>
          <t>SIM</t>
        </is>
      </c>
      <c r="P151" s="58" t="inlineStr">
        <is>
          <t>SIM</t>
        </is>
      </c>
      <c r="Q151" s="58" t="inlineStr">
        <is>
          <t>PERDA / NUTRIÇÃO</t>
        </is>
      </c>
      <c r="R151" s="58" t="inlineStr">
        <is>
          <t>NÃO ATENDE</t>
        </is>
      </c>
      <c r="S151" s="58" t="inlineStr">
        <is>
          <t>SÓ QUER COMPRAR GRANEL</t>
        </is>
      </c>
      <c r="T151" s="71">
        <f>IF(R151="","",IF(OR(R151="SUPORTE",R151="PERDA / FECHOU LOJA"),"SEM",A151+VLOOKUP(R151,REGRAS!$B$2:$C$13,2,FALSE())))</f>
        <v/>
      </c>
      <c r="U151" s="58">
        <f>IF(R151="","",IF(R151="VENDA / PEDIDO","RECOMPRA",IF(R151="SUPORTE","PÓS-VENDA",IF(R151="RELACIONAMENTO","CS",IF(OR(R151="NÃO ATENDE",R151="NÃO RESPONDE",R151="RECUSOU LIGAÇÃO"),"REATIVAÇÃO",IF(R151="PERDA / FECHOU LOJA","NUTRIÇÃO",IF(OR(R151="FOLLOW UP 7",R151="FOLLOW UP 15"),"SALVAMENTO","PROSPECÇÃO")))))))</f>
        <v/>
      </c>
      <c r="V151" s="58" t="n"/>
      <c r="W151" s="58" t="inlineStr">
        <is>
          <t>SIM</t>
        </is>
      </c>
      <c r="X151" s="58" t="n"/>
    </row>
    <row r="152">
      <c r="A152" s="71" t="n">
        <v>46072</v>
      </c>
      <c r="B152" s="58" t="inlineStr">
        <is>
          <t>MANU DITZEL</t>
        </is>
      </c>
      <c r="C152" s="58" t="inlineStr">
        <is>
          <t>GRANEL &amp; CIA 51</t>
        </is>
      </c>
      <c r="D152" s="58" t="inlineStr">
        <is>
          <t>69.890.795/9644-98</t>
        </is>
      </c>
      <c r="E152" s="58" t="inlineStr">
        <is>
          <t>RS</t>
        </is>
      </c>
      <c r="F152" s="58" t="inlineStr">
        <is>
          <t>CIA DA SAUDE</t>
        </is>
      </c>
      <c r="G152" s="58" t="inlineStr">
        <is>
          <t>ATIVO</t>
        </is>
      </c>
      <c r="H152" s="58" t="n">
        <v>11</v>
      </c>
      <c r="I152" s="58">
        <f>IF(R152="","",VLOOKUP(R152,REGRAS!$B$2:$D$13,3,FALSE()))</f>
        <v/>
      </c>
      <c r="J152" s="58" t="n"/>
      <c r="K152" s="58">
        <f>IF(R152="","",IF(R152="VENDA / PEDIDO","RECOMPRA",IF(R152="SUPORTE","PÓS-VENDA",IF(OR(R152="FOLLOW UP 7",R152="FOLLOW UP 15"),"SALVAMENTO",IF(R152="PERDA / FECHOU LOJA","NUTRIÇÃO",IF(R152="RELACIONAMENTO","CS",IF(OR(R152="ORÇAMENTO",R152="CADASTRO"),"PROSPECÇÃO",IF(R152="EM ATENDIMENTO","EM ATENDIMENTO",IF(OR(R152="NÃO ATENDE",R152="NÃO RESPONDE",R152="RECUSOU LIGAÇÃO"),"RECUPERAÇÃO","")))))))))</f>
        <v/>
      </c>
      <c r="L152" s="58">
        <f>IF(H152="","",IF(G152="PROSPECT","🟣",IF(G152="LEAD","🟣",IF(G152="NOVO","🟢",IF(H152&lt;=50,"🟢",IF(H152&lt;=90,"🟡","🔴"))))))</f>
        <v/>
      </c>
      <c r="M152" s="58" t="n"/>
      <c r="N152" s="58" t="inlineStr">
        <is>
          <t>SIM</t>
        </is>
      </c>
      <c r="O152" s="58" t="inlineStr">
        <is>
          <t>NÃO</t>
        </is>
      </c>
      <c r="P152" s="58" t="inlineStr">
        <is>
          <t>N/A</t>
        </is>
      </c>
      <c r="Q152" s="58" t="inlineStr">
        <is>
          <t>FOLLOW UP</t>
        </is>
      </c>
      <c r="R152" s="58" t="inlineStr">
        <is>
          <t>RELACIONAMENTO</t>
        </is>
      </c>
      <c r="S152" s="58" t="n"/>
      <c r="T152" s="71">
        <f>IF(R152="","",IF(OR(R152="SUPORTE",R152="PERDA / FECHOU LOJA"),"SEM",A152+VLOOKUP(R152,REGRAS!$B$2:$C$13,2,FALSE())))</f>
        <v/>
      </c>
      <c r="U152" s="58">
        <f>IF(R152="","",IF(R152="VENDA / PEDIDO","RECOMPRA",IF(R152="SUPORTE","PÓS-VENDA",IF(R152="RELACIONAMENTO","CS",IF(OR(R152="NÃO ATENDE",R152="NÃO RESPONDE",R152="RECUSOU LIGAÇÃO"),"REATIVAÇÃO",IF(R152="PERDA / FECHOU LOJA","NUTRIÇÃO",IF(OR(R152="FOLLOW UP 7",R152="FOLLOW UP 15"),"SALVAMENTO","PROSPECÇÃO")))))))</f>
        <v/>
      </c>
      <c r="V152" s="58" t="n"/>
      <c r="W152" s="58" t="inlineStr">
        <is>
          <t>NÃO</t>
        </is>
      </c>
      <c r="X152" s="58" t="n"/>
    </row>
    <row r="153">
      <c r="A153" s="71" t="n">
        <v>46065</v>
      </c>
      <c r="B153" s="58" t="inlineStr">
        <is>
          <t>MANU DITZEL</t>
        </is>
      </c>
      <c r="C153" s="58" t="inlineStr">
        <is>
          <t>NATURAL HOUSE 27</t>
        </is>
      </c>
      <c r="D153" s="58" t="inlineStr">
        <is>
          <t>76.594.456/7802-22</t>
        </is>
      </c>
      <c r="E153" s="58" t="inlineStr">
        <is>
          <t>RS</t>
        </is>
      </c>
      <c r="F153" s="58" t="inlineStr">
        <is>
          <t>TUDO EM GRAOS</t>
        </is>
      </c>
      <c r="G153" s="58" t="inlineStr">
        <is>
          <t>ATIVO</t>
        </is>
      </c>
      <c r="H153" s="58" t="n">
        <v>24</v>
      </c>
      <c r="I153" s="58">
        <f>IF(R153="","",VLOOKUP(R153,REGRAS!$B$2:$D$13,3,FALSE()))</f>
        <v/>
      </c>
      <c r="J153" s="58" t="n"/>
      <c r="K153" s="58">
        <f>IF(R153="","",IF(R153="VENDA / PEDIDO","RECOMPRA",IF(R153="SUPORTE","PÓS-VENDA",IF(OR(R153="FOLLOW UP 7",R153="FOLLOW UP 15"),"SALVAMENTO",IF(R153="PERDA / FECHOU LOJA","NUTRIÇÃO",IF(R153="RELACIONAMENTO","CS",IF(OR(R153="ORÇAMENTO",R153="CADASTRO"),"PROSPECÇÃO",IF(R153="EM ATENDIMENTO","EM ATENDIMENTO",IF(OR(R153="NÃO ATENDE",R153="NÃO RESPONDE",R153="RECUSOU LIGAÇÃO"),"RECUPERAÇÃO","")))))))))</f>
        <v/>
      </c>
      <c r="L153" s="58">
        <f>IF(H153="","",IF(G153="PROSPECT","🟣",IF(G153="LEAD","🟣",IF(G153="NOVO","🟢",IF(H153&lt;=50,"🟢",IF(H153&lt;=90,"🟡","🔴"))))))</f>
        <v/>
      </c>
      <c r="M153" s="58" t="n"/>
      <c r="N153" s="58" t="inlineStr">
        <is>
          <t>SIM</t>
        </is>
      </c>
      <c r="O153" s="58" t="inlineStr">
        <is>
          <t>SIM</t>
        </is>
      </c>
      <c r="P153" s="58" t="inlineStr">
        <is>
          <t>SIM</t>
        </is>
      </c>
      <c r="Q153" s="58" t="inlineStr">
        <is>
          <t>PROSPECÇÃO</t>
        </is>
      </c>
      <c r="R153" s="58" t="inlineStr">
        <is>
          <t>NÃO RESPONDE</t>
        </is>
      </c>
      <c r="S153" s="58" t="inlineStr">
        <is>
          <t>FECHANDO / FECHOU LOJA</t>
        </is>
      </c>
      <c r="T153" s="71">
        <f>IF(R153="","",IF(OR(R153="SUPORTE",R153="PERDA / FECHOU LOJA"),"SEM",A153+VLOOKUP(R153,REGRAS!$B$2:$C$13,2,FALSE())))</f>
        <v/>
      </c>
      <c r="U153" s="58">
        <f>IF(R153="","",IF(R153="VENDA / PEDIDO","RECOMPRA",IF(R153="SUPORTE","PÓS-VENDA",IF(R153="RELACIONAMENTO","CS",IF(OR(R153="NÃO ATENDE",R153="NÃO RESPONDE",R153="RECUSOU LIGAÇÃO"),"REATIVAÇÃO",IF(R153="PERDA / FECHOU LOJA","NUTRIÇÃO",IF(OR(R153="FOLLOW UP 7",R153="FOLLOW UP 15"),"SALVAMENTO","PROSPECÇÃO")))))))</f>
        <v/>
      </c>
      <c r="V153" s="58" t="n"/>
      <c r="W153" s="58" t="inlineStr">
        <is>
          <t>NÃO</t>
        </is>
      </c>
      <c r="X153" s="58" t="n"/>
    </row>
    <row r="154">
      <c r="A154" s="71" t="n">
        <v>46077</v>
      </c>
      <c r="B154" s="58" t="inlineStr">
        <is>
          <t>MANU DITZEL</t>
        </is>
      </c>
      <c r="C154" s="58" t="inlineStr">
        <is>
          <t>VERDE VIDA 71</t>
        </is>
      </c>
      <c r="D154" s="58" t="inlineStr">
        <is>
          <t>30.438.673/6986-69</t>
        </is>
      </c>
      <c r="E154" s="58" t="inlineStr">
        <is>
          <t>PR</t>
        </is>
      </c>
      <c r="F154" s="58" t="inlineStr">
        <is>
          <t>FIT LAND</t>
        </is>
      </c>
      <c r="G154" s="58" t="inlineStr">
        <is>
          <t>ATIVO</t>
        </is>
      </c>
      <c r="H154" s="58" t="n">
        <v>45</v>
      </c>
      <c r="I154" s="58">
        <f>IF(R154="","",VLOOKUP(R154,REGRAS!$B$2:$D$13,3,FALSE()))</f>
        <v/>
      </c>
      <c r="J154" s="58" t="n"/>
      <c r="K154" s="58">
        <f>IF(R154="","",IF(R154="VENDA / PEDIDO","RECOMPRA",IF(R154="SUPORTE","PÓS-VENDA",IF(OR(R154="FOLLOW UP 7",R154="FOLLOW UP 15"),"SALVAMENTO",IF(R154="PERDA / FECHOU LOJA","NUTRIÇÃO",IF(R154="RELACIONAMENTO","CS",IF(OR(R154="ORÇAMENTO",R154="CADASTRO"),"PROSPECÇÃO",IF(R154="EM ATENDIMENTO","EM ATENDIMENTO",IF(OR(R154="NÃO ATENDE",R154="NÃO RESPONDE",R154="RECUSOU LIGAÇÃO"),"RECUPERAÇÃO","")))))))))</f>
        <v/>
      </c>
      <c r="L154" s="58">
        <f>IF(H154="","",IF(G154="PROSPECT","🟣",IF(G154="LEAD","🟣",IF(G154="NOVO","🟢",IF(H154&lt;=50,"🟢",IF(H154&lt;=90,"🟡","🔴"))))))</f>
        <v/>
      </c>
      <c r="M154" s="58" t="n"/>
      <c r="N154" s="58" t="inlineStr">
        <is>
          <t>NÃO</t>
        </is>
      </c>
      <c r="O154" s="58" t="inlineStr">
        <is>
          <t>NÃO</t>
        </is>
      </c>
      <c r="P154" s="58" t="inlineStr">
        <is>
          <t>N/A</t>
        </is>
      </c>
      <c r="Q154" s="58" t="inlineStr">
        <is>
          <t>ATEND. CLIENTES INATIVOS</t>
        </is>
      </c>
      <c r="R154" s="58" t="inlineStr">
        <is>
          <t>NÃO RESPONDE</t>
        </is>
      </c>
      <c r="S154" s="58" t="inlineStr">
        <is>
          <t>LOJA ANEXO/PROXIMO - SM</t>
        </is>
      </c>
      <c r="T154" s="71">
        <f>IF(R154="","",IF(OR(R154="SUPORTE",R154="PERDA / FECHOU LOJA"),"SEM",A154+VLOOKUP(R154,REGRAS!$B$2:$C$13,2,FALSE())))</f>
        <v/>
      </c>
      <c r="U154" s="58">
        <f>IF(R154="","",IF(R154="VENDA / PEDIDO","RECOMPRA",IF(R154="SUPORTE","PÓS-VENDA",IF(R154="RELACIONAMENTO","CS",IF(OR(R154="NÃO ATENDE",R154="NÃO RESPONDE",R154="RECUSOU LIGAÇÃO"),"REATIVAÇÃO",IF(R154="PERDA / FECHOU LOJA","NUTRIÇÃO",IF(OR(R154="FOLLOW UP 7",R154="FOLLOW UP 15"),"SALVAMENTO","PROSPECÇÃO")))))))</f>
        <v/>
      </c>
      <c r="V154" s="58" t="n"/>
      <c r="W154" s="58" t="inlineStr">
        <is>
          <t>SIM</t>
        </is>
      </c>
      <c r="X154" s="58" t="n"/>
    </row>
    <row r="155">
      <c r="A155" s="71" t="n">
        <v>46054</v>
      </c>
      <c r="B155" s="58" t="inlineStr">
        <is>
          <t>JULIO GADRET</t>
        </is>
      </c>
      <c r="C155" s="58" t="inlineStr">
        <is>
          <t>DIVINA TERRA RJ 36</t>
        </is>
      </c>
      <c r="D155" s="58" t="inlineStr">
        <is>
          <t>18.691.204/8797-33</t>
        </is>
      </c>
      <c r="E155" s="58" t="inlineStr">
        <is>
          <t>SC</t>
        </is>
      </c>
      <c r="F155" s="58" t="inlineStr">
        <is>
          <t>BIOMUNDO</t>
        </is>
      </c>
      <c r="G155" s="58" t="inlineStr">
        <is>
          <t>ATIVO</t>
        </is>
      </c>
      <c r="H155" s="58" t="n">
        <v>47</v>
      </c>
      <c r="I155" s="58">
        <f>IF(R155="","",VLOOKUP(R155,REGRAS!$B$2:$D$13,3,FALSE()))</f>
        <v/>
      </c>
      <c r="J155" s="58" t="n"/>
      <c r="K155" s="58">
        <f>IF(R155="","",IF(R155="VENDA / PEDIDO","RECOMPRA",IF(R155="SUPORTE","PÓS-VENDA",IF(OR(R155="FOLLOW UP 7",R155="FOLLOW UP 15"),"SALVAMENTO",IF(R155="PERDA / FECHOU LOJA","NUTRIÇÃO",IF(R155="RELACIONAMENTO","CS",IF(OR(R155="ORÇAMENTO",R155="CADASTRO"),"PROSPECÇÃO",IF(R155="EM ATENDIMENTO","EM ATENDIMENTO",IF(OR(R155="NÃO ATENDE",R155="NÃO RESPONDE",R155="RECUSOU LIGAÇÃO"),"RECUPERAÇÃO","")))))))))</f>
        <v/>
      </c>
      <c r="L155" s="58">
        <f>IF(H155="","",IF(G155="PROSPECT","🟣",IF(G155="LEAD","🟣",IF(G155="NOVO","🟢",IF(H155&lt;=50,"🟢",IF(H155&lt;=90,"🟡","🔴"))))))</f>
        <v/>
      </c>
      <c r="M155" s="58" t="n"/>
      <c r="N155" s="58" t="inlineStr">
        <is>
          <t>SIM</t>
        </is>
      </c>
      <c r="O155" s="58" t="inlineStr">
        <is>
          <t>NÃO</t>
        </is>
      </c>
      <c r="P155" s="58" t="inlineStr">
        <is>
          <t>N/A</t>
        </is>
      </c>
      <c r="Q155" s="58" t="inlineStr">
        <is>
          <t>PÓS-VENDA / RELACIONAMENTO</t>
        </is>
      </c>
      <c r="R155" s="58" t="inlineStr">
        <is>
          <t>FOLLOW UP 15</t>
        </is>
      </c>
      <c r="S155" s="58" t="inlineStr">
        <is>
          <t>PROBLEMA LOGÍSTICO / ENTREGA</t>
        </is>
      </c>
      <c r="T155" s="71">
        <f>IF(R155="","",IF(OR(R155="SUPORTE",R155="PERDA / FECHOU LOJA"),"SEM",A155+VLOOKUP(R155,REGRAS!$B$2:$C$13,2,FALSE())))</f>
        <v/>
      </c>
      <c r="U155" s="58">
        <f>IF(R155="","",IF(R155="VENDA / PEDIDO","RECOMPRA",IF(R155="SUPORTE","PÓS-VENDA",IF(R155="RELACIONAMENTO","CS",IF(OR(R155="NÃO ATENDE",R155="NÃO RESPONDE",R155="RECUSOU LIGAÇÃO"),"REATIVAÇÃO",IF(R155="PERDA / FECHOU LOJA","NUTRIÇÃO",IF(OR(R155="FOLLOW UP 7",R155="FOLLOW UP 15"),"SALVAMENTO","PROSPECÇÃO")))))))</f>
        <v/>
      </c>
      <c r="V155" s="58" t="n"/>
      <c r="W155" s="58" t="inlineStr">
        <is>
          <t>SIM</t>
        </is>
      </c>
      <c r="X155" s="58" t="n"/>
    </row>
    <row r="156">
      <c r="A156" s="71" t="n">
        <v>46065</v>
      </c>
      <c r="B156" s="58" t="inlineStr">
        <is>
          <t>LARISSA PADILHA</t>
        </is>
      </c>
      <c r="C156" s="58" t="inlineStr">
        <is>
          <t>NATURAL HOUSE 80</t>
        </is>
      </c>
      <c r="D156" s="58" t="inlineStr">
        <is>
          <t>32.933.789/4874-88</t>
        </is>
      </c>
      <c r="E156" s="58" t="inlineStr">
        <is>
          <t>SP</t>
        </is>
      </c>
      <c r="F156" s="58" t="inlineStr">
        <is>
          <t>TUDO EM GRAOS</t>
        </is>
      </c>
      <c r="G156" s="58" t="inlineStr">
        <is>
          <t>ATIVO</t>
        </is>
      </c>
      <c r="H156" s="58" t="n">
        <v>20</v>
      </c>
      <c r="I156" s="58">
        <f>IF(R156="","",VLOOKUP(R156,REGRAS!$B$2:$D$13,3,FALSE()))</f>
        <v/>
      </c>
      <c r="J156" s="58" t="n"/>
      <c r="K156" s="58">
        <f>IF(R156="","",IF(R156="VENDA / PEDIDO","RECOMPRA",IF(R156="SUPORTE","PÓS-VENDA",IF(OR(R156="FOLLOW UP 7",R156="FOLLOW UP 15"),"SALVAMENTO",IF(R156="PERDA / FECHOU LOJA","NUTRIÇÃO",IF(R156="RELACIONAMENTO","CS",IF(OR(R156="ORÇAMENTO",R156="CADASTRO"),"PROSPECÇÃO",IF(R156="EM ATENDIMENTO","EM ATENDIMENTO",IF(OR(R156="NÃO ATENDE",R156="NÃO RESPONDE",R156="RECUSOU LIGAÇÃO"),"RECUPERAÇÃO","")))))))))</f>
        <v/>
      </c>
      <c r="L156" s="58">
        <f>IF(H156="","",IF(G156="PROSPECT","🟣",IF(G156="LEAD","🟣",IF(G156="NOVO","🟢",IF(H156&lt;=50,"🟢",IF(H156&lt;=90,"🟡","🔴"))))))</f>
        <v/>
      </c>
      <c r="M156" s="58" t="n"/>
      <c r="N156" s="58" t="inlineStr">
        <is>
          <t>SIM</t>
        </is>
      </c>
      <c r="O156" s="58" t="inlineStr">
        <is>
          <t>NÃO</t>
        </is>
      </c>
      <c r="P156" s="58" t="inlineStr">
        <is>
          <t>N/A</t>
        </is>
      </c>
      <c r="Q156" s="58" t="inlineStr">
        <is>
          <t>FOLLOW UP</t>
        </is>
      </c>
      <c r="R156" s="58" t="inlineStr">
        <is>
          <t>ORÇAMENTO</t>
        </is>
      </c>
      <c r="S156" s="58" t="n"/>
      <c r="T156" s="71">
        <f>IF(R156="","",IF(OR(R156="SUPORTE",R156="PERDA / FECHOU LOJA"),"SEM",A156+VLOOKUP(R156,REGRAS!$B$2:$C$13,2,FALSE())))</f>
        <v/>
      </c>
      <c r="U156" s="58">
        <f>IF(R156="","",IF(R156="VENDA / PEDIDO","RECOMPRA",IF(R156="SUPORTE","PÓS-VENDA",IF(R156="RELACIONAMENTO","CS",IF(OR(R156="NÃO ATENDE",R156="NÃO RESPONDE",R156="RECUSOU LIGAÇÃO"),"REATIVAÇÃO",IF(R156="PERDA / FECHOU LOJA","NUTRIÇÃO",IF(OR(R156="FOLLOW UP 7",R156="FOLLOW UP 15"),"SALVAMENTO","PROSPECÇÃO")))))))</f>
        <v/>
      </c>
      <c r="V156" s="58" t="n"/>
      <c r="W156" s="58" t="inlineStr">
        <is>
          <t>SIM</t>
        </is>
      </c>
      <c r="X156" s="58" t="n"/>
    </row>
    <row r="157">
      <c r="A157" s="71" t="n">
        <v>46058</v>
      </c>
      <c r="B157" s="58" t="inlineStr">
        <is>
          <t>LARISSA PADILHA</t>
        </is>
      </c>
      <c r="C157" s="58" t="inlineStr">
        <is>
          <t>SAUDE NA MESA 24</t>
        </is>
      </c>
      <c r="D157" s="58" t="inlineStr">
        <is>
          <t>72.750.650/2839-81</t>
        </is>
      </c>
      <c r="E157" s="58" t="inlineStr">
        <is>
          <t>PR</t>
        </is>
      </c>
      <c r="F157" s="58" t="inlineStr">
        <is>
          <t>CIA DA SAUDE</t>
        </is>
      </c>
      <c r="G157" s="58" t="inlineStr">
        <is>
          <t>ATIVO</t>
        </is>
      </c>
      <c r="H157" s="58" t="n">
        <v>33</v>
      </c>
      <c r="I157" s="58">
        <f>IF(R157="","",VLOOKUP(R157,REGRAS!$B$2:$D$13,3,FALSE()))</f>
        <v/>
      </c>
      <c r="J157" s="58" t="n"/>
      <c r="K157" s="58">
        <f>IF(R157="","",IF(R157="VENDA / PEDIDO","RECOMPRA",IF(R157="SUPORTE","PÓS-VENDA",IF(OR(R157="FOLLOW UP 7",R157="FOLLOW UP 15"),"SALVAMENTO",IF(R157="PERDA / FECHOU LOJA","NUTRIÇÃO",IF(R157="RELACIONAMENTO","CS",IF(OR(R157="ORÇAMENTO",R157="CADASTRO"),"PROSPECÇÃO",IF(R157="EM ATENDIMENTO","EM ATENDIMENTO",IF(OR(R157="NÃO ATENDE",R157="NÃO RESPONDE",R157="RECUSOU LIGAÇÃO"),"RECUPERAÇÃO","")))))))))</f>
        <v/>
      </c>
      <c r="L157" s="58">
        <f>IF(H157="","",IF(G157="PROSPECT","🟣",IF(G157="LEAD","🟣",IF(G157="NOVO","🟢",IF(H157&lt;=50,"🟢",IF(H157&lt;=90,"🟡","🔴"))))))</f>
        <v/>
      </c>
      <c r="M157" s="58" t="n"/>
      <c r="N157" s="58" t="inlineStr">
        <is>
          <t>NÃO</t>
        </is>
      </c>
      <c r="O157" s="58" t="inlineStr">
        <is>
          <t>NÃO</t>
        </is>
      </c>
      <c r="P157" s="58" t="inlineStr">
        <is>
          <t>N/A</t>
        </is>
      </c>
      <c r="Q157" s="58" t="inlineStr">
        <is>
          <t>ATEND. CLIENTES ATIVOS</t>
        </is>
      </c>
      <c r="R157" s="58" t="inlineStr">
        <is>
          <t>EM ATENDIMENTO</t>
        </is>
      </c>
      <c r="S157" s="58" t="n"/>
      <c r="T157" s="71">
        <f>IF(R157="","",IF(OR(R157="SUPORTE",R157="PERDA / FECHOU LOJA"),"SEM",A157+VLOOKUP(R157,REGRAS!$B$2:$C$13,2,FALSE())))</f>
        <v/>
      </c>
      <c r="U157" s="58">
        <f>IF(R157="","",IF(R157="VENDA / PEDIDO","RECOMPRA",IF(R157="SUPORTE","PÓS-VENDA",IF(R157="RELACIONAMENTO","CS",IF(OR(R157="NÃO ATENDE",R157="NÃO RESPONDE",R157="RECUSOU LIGAÇÃO"),"REATIVAÇÃO",IF(R157="PERDA / FECHOU LOJA","NUTRIÇÃO",IF(OR(R157="FOLLOW UP 7",R157="FOLLOW UP 15"),"SALVAMENTO","PROSPECÇÃO")))))))</f>
        <v/>
      </c>
      <c r="V157" s="58" t="n"/>
      <c r="W157" s="58" t="inlineStr">
        <is>
          <t>SIM</t>
        </is>
      </c>
      <c r="X157" s="58" t="n"/>
    </row>
    <row r="158">
      <c r="A158" s="71" t="n">
        <v>46066</v>
      </c>
      <c r="B158" s="58" t="inlineStr">
        <is>
          <t>DAIANE STAVICKI</t>
        </is>
      </c>
      <c r="C158" s="58" t="inlineStr">
        <is>
          <t>GRÃO FINO 84</t>
        </is>
      </c>
      <c r="D158" s="58" t="inlineStr">
        <is>
          <t>73.518.801/8057-63</t>
        </is>
      </c>
      <c r="E158" s="58" t="inlineStr">
        <is>
          <t>RJ</t>
        </is>
      </c>
      <c r="F158" s="58" t="inlineStr">
        <is>
          <t>FIT LAND</t>
        </is>
      </c>
      <c r="G158" s="58" t="inlineStr">
        <is>
          <t>ATIVO</t>
        </is>
      </c>
      <c r="H158" s="58" t="n">
        <v>41</v>
      </c>
      <c r="I158" s="58">
        <f>IF(R158="","",VLOOKUP(R158,REGRAS!$B$2:$D$13,3,FALSE()))</f>
        <v/>
      </c>
      <c r="J158" s="58" t="n"/>
      <c r="K158" s="58">
        <f>IF(R158="","",IF(R158="VENDA / PEDIDO","RECOMPRA",IF(R158="SUPORTE","PÓS-VENDA",IF(OR(R158="FOLLOW UP 7",R158="FOLLOW UP 15"),"SALVAMENTO",IF(R158="PERDA / FECHOU LOJA","NUTRIÇÃO",IF(R158="RELACIONAMENTO","CS",IF(OR(R158="ORÇAMENTO",R158="CADASTRO"),"PROSPECÇÃO",IF(R158="EM ATENDIMENTO","EM ATENDIMENTO",IF(OR(R158="NÃO ATENDE",R158="NÃO RESPONDE",R158="RECUSOU LIGAÇÃO"),"RECUPERAÇÃO","")))))))))</f>
        <v/>
      </c>
      <c r="L158" s="58">
        <f>IF(H158="","",IF(G158="PROSPECT","🟣",IF(G158="LEAD","🟣",IF(G158="NOVO","🟢",IF(H158&lt;=50,"🟢",IF(H158&lt;=90,"🟡","🔴"))))))</f>
        <v/>
      </c>
      <c r="M158" s="58" t="n"/>
      <c r="N158" s="58" t="inlineStr">
        <is>
          <t>SIM</t>
        </is>
      </c>
      <c r="O158" s="58" t="inlineStr">
        <is>
          <t>SIM</t>
        </is>
      </c>
      <c r="P158" s="58" t="inlineStr">
        <is>
          <t>SIM</t>
        </is>
      </c>
      <c r="Q158" s="58" t="inlineStr">
        <is>
          <t>PROSPECÇÃO</t>
        </is>
      </c>
      <c r="R158" s="58" t="inlineStr">
        <is>
          <t>NÃO RESPONDE</t>
        </is>
      </c>
      <c r="S158" s="58" t="inlineStr">
        <is>
          <t>AINDA TEM ESTOQUE</t>
        </is>
      </c>
      <c r="T158" s="71">
        <f>IF(R158="","",IF(OR(R158="SUPORTE",R158="PERDA / FECHOU LOJA"),"SEM",A158+VLOOKUP(R158,REGRAS!$B$2:$C$13,2,FALSE())))</f>
        <v/>
      </c>
      <c r="U158" s="58">
        <f>IF(R158="","",IF(R158="VENDA / PEDIDO","RECOMPRA",IF(R158="SUPORTE","PÓS-VENDA",IF(R158="RELACIONAMENTO","CS",IF(OR(R158="NÃO ATENDE",R158="NÃO RESPONDE",R158="RECUSOU LIGAÇÃO"),"REATIVAÇÃO",IF(R158="PERDA / FECHOU LOJA","NUTRIÇÃO",IF(OR(R158="FOLLOW UP 7",R158="FOLLOW UP 15"),"SALVAMENTO","PROSPECÇÃO")))))))</f>
        <v/>
      </c>
      <c r="V158" s="58" t="n"/>
      <c r="W158" s="58" t="inlineStr">
        <is>
          <t>SIM</t>
        </is>
      </c>
      <c r="X158" s="58" t="n"/>
    </row>
    <row r="159">
      <c r="A159" s="71" t="n">
        <v>46077</v>
      </c>
      <c r="B159" s="58" t="inlineStr">
        <is>
          <t>DAIANE STAVICKI</t>
        </is>
      </c>
      <c r="C159" s="58" t="inlineStr">
        <is>
          <t>POWER NATURAL 71</t>
        </is>
      </c>
      <c r="D159" s="58" t="inlineStr">
        <is>
          <t>75.215.686/1872-44</t>
        </is>
      </c>
      <c r="E159" s="58" t="inlineStr">
        <is>
          <t>RJ</t>
        </is>
      </c>
      <c r="F159" s="58" t="inlineStr">
        <is>
          <t>DEMAIS CLIENTES</t>
        </is>
      </c>
      <c r="G159" s="58" t="inlineStr">
        <is>
          <t>EM RISCO</t>
        </is>
      </c>
      <c r="H159" s="58" t="n">
        <v>51</v>
      </c>
      <c r="I159" s="58">
        <f>IF(R159="","",VLOOKUP(R159,REGRAS!$B$2:$D$13,3,FALSE()))</f>
        <v/>
      </c>
      <c r="J159" s="58" t="n"/>
      <c r="K159" s="58">
        <f>IF(R159="","",IF(R159="VENDA / PEDIDO","RECOMPRA",IF(R159="SUPORTE","PÓS-VENDA",IF(OR(R159="FOLLOW UP 7",R159="FOLLOW UP 15"),"SALVAMENTO",IF(R159="PERDA / FECHOU LOJA","NUTRIÇÃO",IF(R159="RELACIONAMENTO","CS",IF(OR(R159="ORÇAMENTO",R159="CADASTRO"),"PROSPECÇÃO",IF(R159="EM ATENDIMENTO","EM ATENDIMENTO",IF(OR(R159="NÃO ATENDE",R159="NÃO RESPONDE",R159="RECUSOU LIGAÇÃO"),"RECUPERAÇÃO","")))))))))</f>
        <v/>
      </c>
      <c r="L159" s="58">
        <f>IF(H159="","",IF(G159="PROSPECT","🟣",IF(G159="LEAD","🟣",IF(G159="NOVO","🟢",IF(H159&lt;=50,"🟢",IF(H159&lt;=90,"🟡","🔴"))))))</f>
        <v/>
      </c>
      <c r="M159" s="58" t="n"/>
      <c r="N159" s="58" t="inlineStr">
        <is>
          <t>SIM</t>
        </is>
      </c>
      <c r="O159" s="58" t="inlineStr">
        <is>
          <t>SIM</t>
        </is>
      </c>
      <c r="P159" s="58" t="inlineStr">
        <is>
          <t>NÃO</t>
        </is>
      </c>
      <c r="Q159" s="58" t="inlineStr">
        <is>
          <t>PÓS-VENDA / RELACIONAMENTO</t>
        </is>
      </c>
      <c r="R159" s="58" t="inlineStr">
        <is>
          <t>FOLLOW UP 7</t>
        </is>
      </c>
      <c r="S159" s="58" t="inlineStr">
        <is>
          <t>PROBLEMA FINANCEIRO / CRÉDITO</t>
        </is>
      </c>
      <c r="T159" s="71">
        <f>IF(R159="","",IF(OR(R159="SUPORTE",R159="PERDA / FECHOU LOJA"),"SEM",A159+VLOOKUP(R159,REGRAS!$B$2:$C$13,2,FALSE())))</f>
        <v/>
      </c>
      <c r="U159" s="58">
        <f>IF(R159="","",IF(R159="VENDA / PEDIDO","RECOMPRA",IF(R159="SUPORTE","PÓS-VENDA",IF(R159="RELACIONAMENTO","CS",IF(OR(R159="NÃO ATENDE",R159="NÃO RESPONDE",R159="RECUSOU LIGAÇÃO"),"REATIVAÇÃO",IF(R159="PERDA / FECHOU LOJA","NUTRIÇÃO",IF(OR(R159="FOLLOW UP 7",R159="FOLLOW UP 15"),"SALVAMENTO","PROSPECÇÃO")))))))</f>
        <v/>
      </c>
      <c r="V159" s="58" t="n"/>
      <c r="W159" s="58" t="inlineStr">
        <is>
          <t>SIM</t>
        </is>
      </c>
      <c r="X159" s="58" t="n"/>
    </row>
    <row r="160">
      <c r="A160" s="71" t="n">
        <v>46081</v>
      </c>
      <c r="B160" s="58" t="inlineStr">
        <is>
          <t>DAIANE STAVICKI</t>
        </is>
      </c>
      <c r="C160" s="58" t="inlineStr">
        <is>
          <t>EMPÓRIO BIO 34</t>
        </is>
      </c>
      <c r="D160" s="58" t="inlineStr">
        <is>
          <t>54.982.936/1426-66</t>
        </is>
      </c>
      <c r="E160" s="58" t="inlineStr">
        <is>
          <t>BA</t>
        </is>
      </c>
      <c r="F160" s="58" t="inlineStr">
        <is>
          <t>MUNDO VERDE</t>
        </is>
      </c>
      <c r="G160" s="58" t="inlineStr">
        <is>
          <t>NOVO</t>
        </is>
      </c>
      <c r="H160" s="58" t="n"/>
      <c r="I160" s="58">
        <f>IF(R160="","",VLOOKUP(R160,REGRAS!$B$2:$D$13,3,FALSE()))</f>
        <v/>
      </c>
      <c r="J160" s="58" t="n"/>
      <c r="K160" s="58">
        <f>IF(R160="","",IF(R160="VENDA / PEDIDO","RECOMPRA",IF(R160="SUPORTE","PÓS-VENDA",IF(OR(R160="FOLLOW UP 7",R160="FOLLOW UP 15"),"SALVAMENTO",IF(R160="PERDA / FECHOU LOJA","NUTRIÇÃO",IF(R160="RELACIONAMENTO","CS",IF(OR(R160="ORÇAMENTO",R160="CADASTRO"),"PROSPECÇÃO",IF(R160="EM ATENDIMENTO","EM ATENDIMENTO",IF(OR(R160="NÃO ATENDE",R160="NÃO RESPONDE",R160="RECUSOU LIGAÇÃO"),"RECUPERAÇÃO","")))))))))</f>
        <v/>
      </c>
      <c r="L160" s="58">
        <f>IF(H160="","",IF(G160="PROSPECT","🟣",IF(G160="LEAD","🟣",IF(G160="NOVO","🟢",IF(H160&lt;=50,"🟢",IF(H160&lt;=90,"🟡","🔴"))))))</f>
        <v/>
      </c>
      <c r="M160" s="58" t="n"/>
      <c r="N160" s="58" t="inlineStr">
        <is>
          <t>SIM</t>
        </is>
      </c>
      <c r="O160" s="58" t="inlineStr">
        <is>
          <t>NÃO</t>
        </is>
      </c>
      <c r="P160" s="58" t="inlineStr">
        <is>
          <t>N/A</t>
        </is>
      </c>
      <c r="Q160" s="58" t="inlineStr">
        <is>
          <t>NEGOCIAÇÃO</t>
        </is>
      </c>
      <c r="R160" s="58" t="inlineStr">
        <is>
          <t>VENDA / PEDIDO</t>
        </is>
      </c>
      <c r="S160" s="58" t="n"/>
      <c r="T160" s="71">
        <f>IF(R160="","",IF(OR(R160="SUPORTE",R160="PERDA / FECHOU LOJA"),"SEM",A160+VLOOKUP(R160,REGRAS!$B$2:$C$13,2,FALSE())))</f>
        <v/>
      </c>
      <c r="U160" s="58">
        <f>IF(R160="","",IF(R160="VENDA / PEDIDO","RECOMPRA",IF(R160="SUPORTE","PÓS-VENDA",IF(R160="RELACIONAMENTO","CS",IF(OR(R160="NÃO ATENDE",R160="NÃO RESPONDE",R160="RECUSOU LIGAÇÃO"),"REATIVAÇÃO",IF(R160="PERDA / FECHOU LOJA","NUTRIÇÃO",IF(OR(R160="FOLLOW UP 7",R160="FOLLOW UP 15"),"SALVAMENTO","PROSPECÇÃO")))))))</f>
        <v/>
      </c>
      <c r="V160" s="58" t="n"/>
      <c r="W160" s="58" t="inlineStr">
        <is>
          <t>SIM</t>
        </is>
      </c>
      <c r="X160" s="58" t="n"/>
    </row>
    <row r="161">
      <c r="A161" s="71" t="n">
        <v>46067</v>
      </c>
      <c r="B161" s="58" t="inlineStr">
        <is>
          <t>MANU DITZEL</t>
        </is>
      </c>
      <c r="C161" s="58" t="inlineStr">
        <is>
          <t>FIT STORE 27</t>
        </is>
      </c>
      <c r="D161" s="58" t="inlineStr">
        <is>
          <t>36.924.160/9341-54</t>
        </is>
      </c>
      <c r="E161" s="58" t="inlineStr">
        <is>
          <t>RS</t>
        </is>
      </c>
      <c r="F161" s="58" t="inlineStr">
        <is>
          <t>VIDA LEVE</t>
        </is>
      </c>
      <c r="G161" s="58" t="inlineStr">
        <is>
          <t>ATIVO</t>
        </is>
      </c>
      <c r="H161" s="58" t="n">
        <v>50</v>
      </c>
      <c r="I161" s="58">
        <f>IF(R161="","",VLOOKUP(R161,REGRAS!$B$2:$D$13,3,FALSE()))</f>
        <v/>
      </c>
      <c r="J161" s="58" t="n"/>
      <c r="K161" s="58">
        <f>IF(R161="","",IF(R161="VENDA / PEDIDO","RECOMPRA",IF(R161="SUPORTE","PÓS-VENDA",IF(OR(R161="FOLLOW UP 7",R161="FOLLOW UP 15"),"SALVAMENTO",IF(R161="PERDA / FECHOU LOJA","NUTRIÇÃO",IF(R161="RELACIONAMENTO","CS",IF(OR(R161="ORÇAMENTO",R161="CADASTRO"),"PROSPECÇÃO",IF(R161="EM ATENDIMENTO","EM ATENDIMENTO",IF(OR(R161="NÃO ATENDE",R161="NÃO RESPONDE",R161="RECUSOU LIGAÇÃO"),"RECUPERAÇÃO","")))))))))</f>
        <v/>
      </c>
      <c r="L161" s="58">
        <f>IF(H161="","",IF(G161="PROSPECT","🟣",IF(G161="LEAD","🟣",IF(G161="NOVO","🟢",IF(H161&lt;=50,"🟢",IF(H161&lt;=90,"🟡","🔴"))))))</f>
        <v/>
      </c>
      <c r="M161" s="58" t="n"/>
      <c r="N161" s="58" t="inlineStr">
        <is>
          <t>NÃO</t>
        </is>
      </c>
      <c r="O161" s="58" t="inlineStr">
        <is>
          <t>NÃO</t>
        </is>
      </c>
      <c r="P161" s="58" t="inlineStr">
        <is>
          <t>N/A</t>
        </is>
      </c>
      <c r="Q161" s="58" t="inlineStr">
        <is>
          <t>FOLLOW UP</t>
        </is>
      </c>
      <c r="R161" s="58" t="inlineStr">
        <is>
          <t>FOLLOW UP 7</t>
        </is>
      </c>
      <c r="S161" s="58" t="inlineStr">
        <is>
          <t>SEM INTERESSE NO MOMENTO</t>
        </is>
      </c>
      <c r="T161" s="71">
        <f>IF(R161="","",IF(OR(R161="SUPORTE",R161="PERDA / FECHOU LOJA"),"SEM",A161+VLOOKUP(R161,REGRAS!$B$2:$C$13,2,FALSE())))</f>
        <v/>
      </c>
      <c r="U161" s="58">
        <f>IF(R161="","",IF(R161="VENDA / PEDIDO","RECOMPRA",IF(R161="SUPORTE","PÓS-VENDA",IF(R161="RELACIONAMENTO","CS",IF(OR(R161="NÃO ATENDE",R161="NÃO RESPONDE",R161="RECUSOU LIGAÇÃO"),"REATIVAÇÃO",IF(R161="PERDA / FECHOU LOJA","NUTRIÇÃO",IF(OR(R161="FOLLOW UP 7",R161="FOLLOW UP 15"),"SALVAMENTO","PROSPECÇÃO")))))))</f>
        <v/>
      </c>
      <c r="V161" s="58" t="n"/>
      <c r="W161" s="58" t="inlineStr">
        <is>
          <t>NÃO</t>
        </is>
      </c>
      <c r="X161" s="58" t="n"/>
    </row>
    <row r="162">
      <c r="A162" s="71" t="n">
        <v>46058</v>
      </c>
      <c r="B162" s="58" t="inlineStr">
        <is>
          <t>DAIANE STAVICKI</t>
        </is>
      </c>
      <c r="C162" s="58" t="inlineStr">
        <is>
          <t>NUTRI SHOP 08</t>
        </is>
      </c>
      <c r="D162" s="58" t="inlineStr">
        <is>
          <t>45.987.771/2079-99</t>
        </is>
      </c>
      <c r="E162" s="58" t="inlineStr">
        <is>
          <t>BA</t>
        </is>
      </c>
      <c r="F162" s="58" t="inlineStr">
        <is>
          <t>BIOMUNDO</t>
        </is>
      </c>
      <c r="G162" s="58" t="inlineStr">
        <is>
          <t>INAT.ANT</t>
        </is>
      </c>
      <c r="H162" s="58" t="n">
        <v>154</v>
      </c>
      <c r="I162" s="58">
        <f>IF(R162="","",VLOOKUP(R162,REGRAS!$B$2:$D$13,3,FALSE()))</f>
        <v/>
      </c>
      <c r="J162" s="58" t="n"/>
      <c r="K162" s="58">
        <f>IF(R162="","",IF(R162="VENDA / PEDIDO","RECOMPRA",IF(R162="SUPORTE","PÓS-VENDA",IF(OR(R162="FOLLOW UP 7",R162="FOLLOW UP 15"),"SALVAMENTO",IF(R162="PERDA / FECHOU LOJA","NUTRIÇÃO",IF(R162="RELACIONAMENTO","CS",IF(OR(R162="ORÇAMENTO",R162="CADASTRO"),"PROSPECÇÃO",IF(R162="EM ATENDIMENTO","EM ATENDIMENTO",IF(OR(R162="NÃO ATENDE",R162="NÃO RESPONDE",R162="RECUSOU LIGAÇÃO"),"RECUPERAÇÃO","")))))))))</f>
        <v/>
      </c>
      <c r="L162" s="58">
        <f>IF(H162="","",IF(G162="PROSPECT","🟣",IF(G162="LEAD","🟣",IF(G162="NOVO","🟢",IF(H162&lt;=50,"🟢",IF(H162&lt;=90,"🟡","🔴"))))))</f>
        <v/>
      </c>
      <c r="M162" s="58" t="n"/>
      <c r="N162" s="58" t="inlineStr">
        <is>
          <t>SIM</t>
        </is>
      </c>
      <c r="O162" s="58" t="inlineStr">
        <is>
          <t>NÃO</t>
        </is>
      </c>
      <c r="P162" s="58" t="inlineStr">
        <is>
          <t>N/A</t>
        </is>
      </c>
      <c r="Q162" s="58" t="inlineStr">
        <is>
          <t>PÓS-VENDA / RELACIONAMENTO</t>
        </is>
      </c>
      <c r="R162" s="58" t="inlineStr">
        <is>
          <t>SUPORTE</t>
        </is>
      </c>
      <c r="S162" s="58" t="n"/>
      <c r="T162" s="71">
        <f>IF(R162="","",IF(OR(R162="SUPORTE",R162="PERDA / FECHOU LOJA"),"SEM",A162+VLOOKUP(R162,REGRAS!$B$2:$C$13,2,FALSE())))</f>
        <v/>
      </c>
      <c r="U162" s="58">
        <f>IF(R162="","",IF(R162="VENDA / PEDIDO","RECOMPRA",IF(R162="SUPORTE","PÓS-VENDA",IF(R162="RELACIONAMENTO","CS",IF(OR(R162="NÃO ATENDE",R162="NÃO RESPONDE",R162="RECUSOU LIGAÇÃO"),"REATIVAÇÃO",IF(R162="PERDA / FECHOU LOJA","NUTRIÇÃO",IF(OR(R162="FOLLOW UP 7",R162="FOLLOW UP 15"),"SALVAMENTO","PROSPECÇÃO")))))))</f>
        <v/>
      </c>
      <c r="V162" s="58" t="n"/>
      <c r="W162" s="58" t="inlineStr">
        <is>
          <t>SIM</t>
        </is>
      </c>
      <c r="X162" s="58" t="n"/>
    </row>
    <row r="163">
      <c r="A163" s="71" t="n">
        <v>46067</v>
      </c>
      <c r="B163" s="58" t="inlineStr">
        <is>
          <t>LARISSA PADILHA</t>
        </is>
      </c>
      <c r="C163" s="58" t="inlineStr">
        <is>
          <t>VIDA SAUDÁVEL 82</t>
        </is>
      </c>
      <c r="D163" s="58" t="inlineStr">
        <is>
          <t>21.512.627/4559-98</t>
        </is>
      </c>
      <c r="E163" s="58" t="inlineStr">
        <is>
          <t>GO</t>
        </is>
      </c>
      <c r="F163" s="58" t="inlineStr">
        <is>
          <t>CIA DA SAUDE</t>
        </is>
      </c>
      <c r="G163" s="58" t="inlineStr">
        <is>
          <t>PROSPECT</t>
        </is>
      </c>
      <c r="H163" s="58" t="n"/>
      <c r="I163" s="58">
        <f>IF(R163="","",VLOOKUP(R163,REGRAS!$B$2:$D$13,3,FALSE()))</f>
        <v/>
      </c>
      <c r="J163" s="58" t="n"/>
      <c r="K163" s="58">
        <f>IF(R163="","",IF(R163="VENDA / PEDIDO","RECOMPRA",IF(R163="SUPORTE","PÓS-VENDA",IF(OR(R163="FOLLOW UP 7",R163="FOLLOW UP 15"),"SALVAMENTO",IF(R163="PERDA / FECHOU LOJA","NUTRIÇÃO",IF(R163="RELACIONAMENTO","CS",IF(OR(R163="ORÇAMENTO",R163="CADASTRO"),"PROSPECÇÃO",IF(R163="EM ATENDIMENTO","EM ATENDIMENTO",IF(OR(R163="NÃO ATENDE",R163="NÃO RESPONDE",R163="RECUSOU LIGAÇÃO"),"RECUPERAÇÃO","")))))))))</f>
        <v/>
      </c>
      <c r="L163" s="58">
        <f>IF(H163="","",IF(G163="PROSPECT","🟣",IF(G163="LEAD","🟣",IF(G163="NOVO","🟢",IF(H163&lt;=50,"🟢",IF(H163&lt;=90,"🟡","🔴"))))))</f>
        <v/>
      </c>
      <c r="M163" s="58" t="n"/>
      <c r="N163" s="58" t="inlineStr">
        <is>
          <t>NÃO</t>
        </is>
      </c>
      <c r="O163" s="58" t="inlineStr">
        <is>
          <t>NÃO</t>
        </is>
      </c>
      <c r="P163" s="58" t="inlineStr">
        <is>
          <t>N/A</t>
        </is>
      </c>
      <c r="Q163" s="58" t="inlineStr">
        <is>
          <t>FOLLOW UP</t>
        </is>
      </c>
      <c r="R163" s="58" t="inlineStr">
        <is>
          <t>EM ATENDIMENTO</t>
        </is>
      </c>
      <c r="S163" s="58" t="n"/>
      <c r="T163" s="71">
        <f>IF(R163="","",IF(OR(R163="SUPORTE",R163="PERDA / FECHOU LOJA"),"SEM",A163+VLOOKUP(R163,REGRAS!$B$2:$C$13,2,FALSE())))</f>
        <v/>
      </c>
      <c r="U163" s="58">
        <f>IF(R163="","",IF(R163="VENDA / PEDIDO","RECOMPRA",IF(R163="SUPORTE","PÓS-VENDA",IF(R163="RELACIONAMENTO","CS",IF(OR(R163="NÃO ATENDE",R163="NÃO RESPONDE",R163="RECUSOU LIGAÇÃO"),"REATIVAÇÃO",IF(R163="PERDA / FECHOU LOJA","NUTRIÇÃO",IF(OR(R163="FOLLOW UP 7",R163="FOLLOW UP 15"),"SALVAMENTO","PROSPECÇÃO")))))))</f>
        <v/>
      </c>
      <c r="V163" s="58" t="n"/>
      <c r="W163" s="58" t="inlineStr">
        <is>
          <t>NÃO</t>
        </is>
      </c>
      <c r="X163" s="58" t="n"/>
    </row>
    <row r="164">
      <c r="A164" s="71" t="n">
        <v>46068</v>
      </c>
      <c r="B164" s="58" t="inlineStr">
        <is>
          <t>JULIO GADRET</t>
        </is>
      </c>
      <c r="C164" s="58" t="inlineStr">
        <is>
          <t>MARKET FIT 09</t>
        </is>
      </c>
      <c r="D164" s="58" t="inlineStr">
        <is>
          <t>78.507.323/7040-37</t>
        </is>
      </c>
      <c r="E164" s="58" t="inlineStr">
        <is>
          <t>RS</t>
        </is>
      </c>
      <c r="F164" s="58" t="inlineStr">
        <is>
          <t>CIA DA SAUDE</t>
        </is>
      </c>
      <c r="G164" s="58" t="inlineStr">
        <is>
          <t>ATIVO</t>
        </is>
      </c>
      <c r="H164" s="58" t="n">
        <v>40</v>
      </c>
      <c r="I164" s="58">
        <f>IF(R164="","",VLOOKUP(R164,REGRAS!$B$2:$D$13,3,FALSE()))</f>
        <v/>
      </c>
      <c r="J164" s="58" t="n"/>
      <c r="K164" s="58">
        <f>IF(R164="","",IF(R164="VENDA / PEDIDO","RECOMPRA",IF(R164="SUPORTE","PÓS-VENDA",IF(OR(R164="FOLLOW UP 7",R164="FOLLOW UP 15"),"SALVAMENTO",IF(R164="PERDA / FECHOU LOJA","NUTRIÇÃO",IF(R164="RELACIONAMENTO","CS",IF(OR(R164="ORÇAMENTO",R164="CADASTRO"),"PROSPECÇÃO",IF(R164="EM ATENDIMENTO","EM ATENDIMENTO",IF(OR(R164="NÃO ATENDE",R164="NÃO RESPONDE",R164="RECUSOU LIGAÇÃO"),"RECUPERAÇÃO","")))))))))</f>
        <v/>
      </c>
      <c r="L164" s="58">
        <f>IF(H164="","",IF(G164="PROSPECT","🟣",IF(G164="LEAD","🟣",IF(G164="NOVO","🟢",IF(H164&lt;=50,"🟢",IF(H164&lt;=90,"🟡","🔴"))))))</f>
        <v/>
      </c>
      <c r="M164" s="58" t="n"/>
      <c r="N164" s="58" t="inlineStr">
        <is>
          <t>SIM</t>
        </is>
      </c>
      <c r="O164" s="58" t="inlineStr">
        <is>
          <t>SIM</t>
        </is>
      </c>
      <c r="P164" s="58" t="inlineStr">
        <is>
          <t>NÃO</t>
        </is>
      </c>
      <c r="Q164" s="58" t="inlineStr">
        <is>
          <t>ATEND. CLIENTES ATIVOS</t>
        </is>
      </c>
      <c r="R164" s="58" t="inlineStr">
        <is>
          <t>FOLLOW UP 7</t>
        </is>
      </c>
      <c r="S164" s="58" t="inlineStr">
        <is>
          <t>AINDA TEM ESTOQUE</t>
        </is>
      </c>
      <c r="T164" s="71">
        <f>IF(R164="","",IF(OR(R164="SUPORTE",R164="PERDA / FECHOU LOJA"),"SEM",A164+VLOOKUP(R164,REGRAS!$B$2:$C$13,2,FALSE())))</f>
        <v/>
      </c>
      <c r="U164" s="58">
        <f>IF(R164="","",IF(R164="VENDA / PEDIDO","RECOMPRA",IF(R164="SUPORTE","PÓS-VENDA",IF(R164="RELACIONAMENTO","CS",IF(OR(R164="NÃO ATENDE",R164="NÃO RESPONDE",R164="RECUSOU LIGAÇÃO"),"REATIVAÇÃO",IF(R164="PERDA / FECHOU LOJA","NUTRIÇÃO",IF(OR(R164="FOLLOW UP 7",R164="FOLLOW UP 15"),"SALVAMENTO","PROSPECÇÃO")))))))</f>
        <v/>
      </c>
      <c r="V164" s="58" t="n"/>
      <c r="W164" s="58" t="inlineStr">
        <is>
          <t>SIM</t>
        </is>
      </c>
      <c r="X164" s="58" t="n"/>
    </row>
    <row r="165">
      <c r="A165" s="71" t="n">
        <v>46079</v>
      </c>
      <c r="B165" s="58" t="inlineStr">
        <is>
          <t>DAIANE STAVICKI</t>
        </is>
      </c>
      <c r="C165" s="58" t="inlineStr">
        <is>
          <t>EMPÓRIO NATURAL 16</t>
        </is>
      </c>
      <c r="D165" s="58" t="inlineStr">
        <is>
          <t>30.551.567/0012-64</t>
        </is>
      </c>
      <c r="E165" s="58" t="inlineStr">
        <is>
          <t>PR</t>
        </is>
      </c>
      <c r="F165" s="58" t="inlineStr">
        <is>
          <t>TUDO EM GRAOS</t>
        </is>
      </c>
      <c r="G165" s="58" t="inlineStr">
        <is>
          <t>ATIVO</t>
        </is>
      </c>
      <c r="H165" s="58" t="n">
        <v>46</v>
      </c>
      <c r="I165" s="58">
        <f>IF(R165="","",VLOOKUP(R165,REGRAS!$B$2:$D$13,3,FALSE()))</f>
        <v/>
      </c>
      <c r="J165" s="58" t="n"/>
      <c r="K165" s="58">
        <f>IF(R165="","",IF(R165="VENDA / PEDIDO","RECOMPRA",IF(R165="SUPORTE","PÓS-VENDA",IF(OR(R165="FOLLOW UP 7",R165="FOLLOW UP 15"),"SALVAMENTO",IF(R165="PERDA / FECHOU LOJA","NUTRIÇÃO",IF(R165="RELACIONAMENTO","CS",IF(OR(R165="ORÇAMENTO",R165="CADASTRO"),"PROSPECÇÃO",IF(R165="EM ATENDIMENTO","EM ATENDIMENTO",IF(OR(R165="NÃO ATENDE",R165="NÃO RESPONDE",R165="RECUSOU LIGAÇÃO"),"RECUPERAÇÃO","")))))))))</f>
        <v/>
      </c>
      <c r="L165" s="58">
        <f>IF(H165="","",IF(G165="PROSPECT","🟣",IF(G165="LEAD","🟣",IF(G165="NOVO","🟢",IF(H165&lt;=50,"🟢",IF(H165&lt;=90,"🟡","🔴"))))))</f>
        <v/>
      </c>
      <c r="M165" s="58" t="n"/>
      <c r="N165" s="58" t="inlineStr">
        <is>
          <t>NÃO</t>
        </is>
      </c>
      <c r="O165" s="58" t="inlineStr">
        <is>
          <t>SIM</t>
        </is>
      </c>
      <c r="P165" s="58" t="inlineStr">
        <is>
          <t>SIM</t>
        </is>
      </c>
      <c r="Q165" s="58" t="inlineStr">
        <is>
          <t>FOLLOW UP</t>
        </is>
      </c>
      <c r="R165" s="58" t="inlineStr">
        <is>
          <t>NÃO RESPONDE</t>
        </is>
      </c>
      <c r="S165" s="58" t="inlineStr">
        <is>
          <t>AINDA TEM ESTOQUE</t>
        </is>
      </c>
      <c r="T165" s="71">
        <f>IF(R165="","",IF(OR(R165="SUPORTE",R165="PERDA / FECHOU LOJA"),"SEM",A165+VLOOKUP(R165,REGRAS!$B$2:$C$13,2,FALSE())))</f>
        <v/>
      </c>
      <c r="U165" s="58">
        <f>IF(R165="","",IF(R165="VENDA / PEDIDO","RECOMPRA",IF(R165="SUPORTE","PÓS-VENDA",IF(R165="RELACIONAMENTO","CS",IF(OR(R165="NÃO ATENDE",R165="NÃO RESPONDE",R165="RECUSOU LIGAÇÃO"),"REATIVAÇÃO",IF(R165="PERDA / FECHOU LOJA","NUTRIÇÃO",IF(OR(R165="FOLLOW UP 7",R165="FOLLOW UP 15"),"SALVAMENTO","PROSPECÇÃO")))))))</f>
        <v/>
      </c>
      <c r="V165" s="58" t="n"/>
      <c r="W165" s="58" t="inlineStr">
        <is>
          <t>NÃO</t>
        </is>
      </c>
      <c r="X165" s="58" t="n"/>
    </row>
    <row r="166">
      <c r="A166" s="71" t="n">
        <v>46074</v>
      </c>
      <c r="B166" s="58" t="inlineStr">
        <is>
          <t>MANU DITZEL</t>
        </is>
      </c>
      <c r="C166" s="58" t="inlineStr">
        <is>
          <t>TUDO GRÃOS SC 81</t>
        </is>
      </c>
      <c r="D166" s="58" t="inlineStr">
        <is>
          <t>49.843.816/3837-64</t>
        </is>
      </c>
      <c r="E166" s="58" t="inlineStr">
        <is>
          <t>SP</t>
        </is>
      </c>
      <c r="F166" s="58" t="inlineStr">
        <is>
          <t>DEMAIS CLIENTES</t>
        </is>
      </c>
      <c r="G166" s="58" t="inlineStr">
        <is>
          <t>ATIVO</t>
        </is>
      </c>
      <c r="H166" s="58" t="n">
        <v>35</v>
      </c>
      <c r="I166" s="58">
        <f>IF(R166="","",VLOOKUP(R166,REGRAS!$B$2:$D$13,3,FALSE()))</f>
        <v/>
      </c>
      <c r="J166" s="58" t="n"/>
      <c r="K166" s="58">
        <f>IF(R166="","",IF(R166="VENDA / PEDIDO","RECOMPRA",IF(R166="SUPORTE","PÓS-VENDA",IF(OR(R166="FOLLOW UP 7",R166="FOLLOW UP 15"),"SALVAMENTO",IF(R166="PERDA / FECHOU LOJA","NUTRIÇÃO",IF(R166="RELACIONAMENTO","CS",IF(OR(R166="ORÇAMENTO",R166="CADASTRO"),"PROSPECÇÃO",IF(R166="EM ATENDIMENTO","EM ATENDIMENTO",IF(OR(R166="NÃO ATENDE",R166="NÃO RESPONDE",R166="RECUSOU LIGAÇÃO"),"RECUPERAÇÃO","")))))))))</f>
        <v/>
      </c>
      <c r="L166" s="58">
        <f>IF(H166="","",IF(G166="PROSPECT","🟣",IF(G166="LEAD","🟣",IF(G166="NOVO","🟢",IF(H166&lt;=50,"🟢",IF(H166&lt;=90,"🟡","🔴"))))))</f>
        <v/>
      </c>
      <c r="M166" s="58" t="n"/>
      <c r="N166" s="58" t="inlineStr">
        <is>
          <t>SIM</t>
        </is>
      </c>
      <c r="O166" s="58" t="inlineStr">
        <is>
          <t>SIM</t>
        </is>
      </c>
      <c r="P166" s="58" t="inlineStr">
        <is>
          <t>SIM</t>
        </is>
      </c>
      <c r="Q166" s="58" t="inlineStr">
        <is>
          <t>PROSPECÇÃO</t>
        </is>
      </c>
      <c r="R166" s="58" t="inlineStr">
        <is>
          <t>NÃO ATENDE</t>
        </is>
      </c>
      <c r="S166" s="58" t="inlineStr">
        <is>
          <t>PRODUTO NÃO VENDEU / SEM GIRO</t>
        </is>
      </c>
      <c r="T166" s="71">
        <f>IF(R166="","",IF(OR(R166="SUPORTE",R166="PERDA / FECHOU LOJA"),"SEM",A166+VLOOKUP(R166,REGRAS!$B$2:$C$13,2,FALSE())))</f>
        <v/>
      </c>
      <c r="U166" s="58">
        <f>IF(R166="","",IF(R166="VENDA / PEDIDO","RECOMPRA",IF(R166="SUPORTE","PÓS-VENDA",IF(R166="RELACIONAMENTO","CS",IF(OR(R166="NÃO ATENDE",R166="NÃO RESPONDE",R166="RECUSOU LIGAÇÃO"),"REATIVAÇÃO",IF(R166="PERDA / FECHOU LOJA","NUTRIÇÃO",IF(OR(R166="FOLLOW UP 7",R166="FOLLOW UP 15"),"SALVAMENTO","PROSPECÇÃO")))))))</f>
        <v/>
      </c>
      <c r="V166" s="58" t="n"/>
      <c r="W166" s="58" t="inlineStr">
        <is>
          <t>SIM</t>
        </is>
      </c>
      <c r="X166" s="58" t="n"/>
    </row>
    <row r="167">
      <c r="A167" s="71" t="n">
        <v>46081</v>
      </c>
      <c r="B167" s="58" t="inlineStr">
        <is>
          <t>LARISSA PADILHA</t>
        </is>
      </c>
      <c r="C167" s="58" t="inlineStr">
        <is>
          <t>FIT STORE 62</t>
        </is>
      </c>
      <c r="D167" s="58" t="inlineStr">
        <is>
          <t>19.334.492/1464-23</t>
        </is>
      </c>
      <c r="E167" s="58" t="inlineStr">
        <is>
          <t>PR</t>
        </is>
      </c>
      <c r="F167" s="58" t="inlineStr">
        <is>
          <t>CIA DA SAUDE</t>
        </is>
      </c>
      <c r="G167" s="58" t="inlineStr">
        <is>
          <t>ATIVO</t>
        </is>
      </c>
      <c r="H167" s="58" t="n">
        <v>29</v>
      </c>
      <c r="I167" s="58">
        <f>IF(R167="","",VLOOKUP(R167,REGRAS!$B$2:$D$13,3,FALSE()))</f>
        <v/>
      </c>
      <c r="J167" s="58" t="n"/>
      <c r="K167" s="58">
        <f>IF(R167="","",IF(R167="VENDA / PEDIDO","RECOMPRA",IF(R167="SUPORTE","PÓS-VENDA",IF(OR(R167="FOLLOW UP 7",R167="FOLLOW UP 15"),"SALVAMENTO",IF(R167="PERDA / FECHOU LOJA","NUTRIÇÃO",IF(R167="RELACIONAMENTO","CS",IF(OR(R167="ORÇAMENTO",R167="CADASTRO"),"PROSPECÇÃO",IF(R167="EM ATENDIMENTO","EM ATENDIMENTO",IF(OR(R167="NÃO ATENDE",R167="NÃO RESPONDE",R167="RECUSOU LIGAÇÃO"),"RECUPERAÇÃO","")))))))))</f>
        <v/>
      </c>
      <c r="L167" s="58">
        <f>IF(H167="","",IF(G167="PROSPECT","🟣",IF(G167="LEAD","🟣",IF(G167="NOVO","🟢",IF(H167&lt;=50,"🟢",IF(H167&lt;=90,"🟡","🔴"))))))</f>
        <v/>
      </c>
      <c r="M167" s="58" t="n"/>
      <c r="N167" s="58" t="inlineStr">
        <is>
          <t>SIM</t>
        </is>
      </c>
      <c r="O167" s="58" t="inlineStr">
        <is>
          <t>NÃO</t>
        </is>
      </c>
      <c r="P167" s="58" t="inlineStr">
        <is>
          <t>N/A</t>
        </is>
      </c>
      <c r="Q167" s="58" t="inlineStr">
        <is>
          <t>PÓS-VENDA / RELACIONAMENTO</t>
        </is>
      </c>
      <c r="R167" s="58" t="inlineStr">
        <is>
          <t>VENDA / PEDIDO</t>
        </is>
      </c>
      <c r="S167" s="58" t="n"/>
      <c r="T167" s="71">
        <f>IF(R167="","",IF(OR(R167="SUPORTE",R167="PERDA / FECHOU LOJA"),"SEM",A167+VLOOKUP(R167,REGRAS!$B$2:$C$13,2,FALSE())))</f>
        <v/>
      </c>
      <c r="U167" s="58">
        <f>IF(R167="","",IF(R167="VENDA / PEDIDO","RECOMPRA",IF(R167="SUPORTE","PÓS-VENDA",IF(R167="RELACIONAMENTO","CS",IF(OR(R167="NÃO ATENDE",R167="NÃO RESPONDE",R167="RECUSOU LIGAÇÃO"),"REATIVAÇÃO",IF(R167="PERDA / FECHOU LOJA","NUTRIÇÃO",IF(OR(R167="FOLLOW UP 7",R167="FOLLOW UP 15"),"SALVAMENTO","PROSPECÇÃO")))))))</f>
        <v/>
      </c>
      <c r="V167" s="58" t="n"/>
      <c r="W167" s="58" t="inlineStr">
        <is>
          <t>SIM</t>
        </is>
      </c>
      <c r="X167" s="58" t="n"/>
    </row>
    <row r="168">
      <c r="A168" s="71" t="n">
        <v>46070</v>
      </c>
      <c r="B168" s="58" t="inlineStr">
        <is>
          <t>LARISSA PADILHA</t>
        </is>
      </c>
      <c r="C168" s="58" t="inlineStr">
        <is>
          <t>CORPO E MENTE 84</t>
        </is>
      </c>
      <c r="D168" s="58" t="inlineStr">
        <is>
          <t>31.550.459/3491-90</t>
        </is>
      </c>
      <c r="E168" s="58" t="inlineStr">
        <is>
          <t>RJ</t>
        </is>
      </c>
      <c r="F168" s="58" t="inlineStr">
        <is>
          <t>DEMAIS CLIENTES</t>
        </is>
      </c>
      <c r="G168" s="58" t="inlineStr">
        <is>
          <t>INAT.REC</t>
        </is>
      </c>
      <c r="H168" s="58" t="n">
        <v>75</v>
      </c>
      <c r="I168" s="58">
        <f>IF(R168="","",VLOOKUP(R168,REGRAS!$B$2:$D$13,3,FALSE()))</f>
        <v/>
      </c>
      <c r="J168" s="58" t="n"/>
      <c r="K168" s="58">
        <f>IF(R168="","",IF(R168="VENDA / PEDIDO","RECOMPRA",IF(R168="SUPORTE","PÓS-VENDA",IF(OR(R168="FOLLOW UP 7",R168="FOLLOW UP 15"),"SALVAMENTO",IF(R168="PERDA / FECHOU LOJA","NUTRIÇÃO",IF(R168="RELACIONAMENTO","CS",IF(OR(R168="ORÇAMENTO",R168="CADASTRO"),"PROSPECÇÃO",IF(R168="EM ATENDIMENTO","EM ATENDIMENTO",IF(OR(R168="NÃO ATENDE",R168="NÃO RESPONDE",R168="RECUSOU LIGAÇÃO"),"RECUPERAÇÃO","")))))))))</f>
        <v/>
      </c>
      <c r="L168" s="58">
        <f>IF(H168="","",IF(G168="PROSPECT","🟣",IF(G168="LEAD","🟣",IF(G168="NOVO","🟢",IF(H168&lt;=50,"🟢",IF(H168&lt;=90,"🟡","🔴"))))))</f>
        <v/>
      </c>
      <c r="M168" s="58" t="n"/>
      <c r="N168" s="58" t="inlineStr">
        <is>
          <t>SIM</t>
        </is>
      </c>
      <c r="O168" s="58" t="inlineStr">
        <is>
          <t>NÃO</t>
        </is>
      </c>
      <c r="P168" s="58" t="inlineStr">
        <is>
          <t>N/A</t>
        </is>
      </c>
      <c r="Q168" s="58" t="inlineStr">
        <is>
          <t>PÓS-VENDA / RELACIONAMENTO</t>
        </is>
      </c>
      <c r="R168" s="58" t="inlineStr">
        <is>
          <t>RELACIONAMENTO</t>
        </is>
      </c>
      <c r="S168" s="58" t="n"/>
      <c r="T168" s="71">
        <f>IF(R168="","",IF(OR(R168="SUPORTE",R168="PERDA / FECHOU LOJA"),"SEM",A168+VLOOKUP(R168,REGRAS!$B$2:$C$13,2,FALSE())))</f>
        <v/>
      </c>
      <c r="U168" s="58">
        <f>IF(R168="","",IF(R168="VENDA / PEDIDO","RECOMPRA",IF(R168="SUPORTE","PÓS-VENDA",IF(R168="RELACIONAMENTO","CS",IF(OR(R168="NÃO ATENDE",R168="NÃO RESPONDE",R168="RECUSOU LIGAÇÃO"),"REATIVAÇÃO",IF(R168="PERDA / FECHOU LOJA","NUTRIÇÃO",IF(OR(R168="FOLLOW UP 7",R168="FOLLOW UP 15"),"SALVAMENTO","PROSPECÇÃO")))))))</f>
        <v/>
      </c>
      <c r="V168" s="58" t="n"/>
      <c r="W168" s="58" t="inlineStr">
        <is>
          <t>SIM</t>
        </is>
      </c>
      <c r="X168" s="58" t="n"/>
    </row>
    <row r="169">
      <c r="A169" s="71" t="n">
        <v>46066</v>
      </c>
      <c r="B169" s="58" t="inlineStr">
        <is>
          <t>LARISSA PADILHA</t>
        </is>
      </c>
      <c r="C169" s="58" t="inlineStr">
        <is>
          <t>SAUDE NA MESA 41</t>
        </is>
      </c>
      <c r="D169" s="58" t="inlineStr">
        <is>
          <t>27.353.383/1381-41</t>
        </is>
      </c>
      <c r="E169" s="58" t="inlineStr">
        <is>
          <t>SP</t>
        </is>
      </c>
      <c r="F169" s="58" t="inlineStr">
        <is>
          <t>VIDA LEVE</t>
        </is>
      </c>
      <c r="G169" s="58" t="inlineStr">
        <is>
          <t>INAT.REC</t>
        </is>
      </c>
      <c r="H169" s="58" t="n">
        <v>85</v>
      </c>
      <c r="I169" s="58">
        <f>IF(R169="","",VLOOKUP(R169,REGRAS!$B$2:$D$13,3,FALSE()))</f>
        <v/>
      </c>
      <c r="J169" s="58" t="n"/>
      <c r="K169" s="58">
        <f>IF(R169="","",IF(R169="VENDA / PEDIDO","RECOMPRA",IF(R169="SUPORTE","PÓS-VENDA",IF(OR(R169="FOLLOW UP 7",R169="FOLLOW UP 15"),"SALVAMENTO",IF(R169="PERDA / FECHOU LOJA","NUTRIÇÃO",IF(R169="RELACIONAMENTO","CS",IF(OR(R169="ORÇAMENTO",R169="CADASTRO"),"PROSPECÇÃO",IF(R169="EM ATENDIMENTO","EM ATENDIMENTO",IF(OR(R169="NÃO ATENDE",R169="NÃO RESPONDE",R169="RECUSOU LIGAÇÃO"),"RECUPERAÇÃO","")))))))))</f>
        <v/>
      </c>
      <c r="L169" s="58">
        <f>IF(H169="","",IF(G169="PROSPECT","🟣",IF(G169="LEAD","🟣",IF(G169="NOVO","🟢",IF(H169&lt;=50,"🟢",IF(H169&lt;=90,"🟡","🔴"))))))</f>
        <v/>
      </c>
      <c r="M169" s="58" t="n"/>
      <c r="N169" s="58" t="inlineStr">
        <is>
          <t>NÃO</t>
        </is>
      </c>
      <c r="O169" s="58" t="inlineStr">
        <is>
          <t>NÃO</t>
        </is>
      </c>
      <c r="P169" s="58" t="inlineStr">
        <is>
          <t>N/A</t>
        </is>
      </c>
      <c r="Q169" s="58" t="inlineStr">
        <is>
          <t>PERDA / NUTRIÇÃO</t>
        </is>
      </c>
      <c r="R169" s="58" t="inlineStr">
        <is>
          <t>PERDA / FECHOU LOJA</t>
        </is>
      </c>
      <c r="S169" s="58" t="inlineStr">
        <is>
          <t>AINDA TEM ESTOQUE</t>
        </is>
      </c>
      <c r="T169" s="71">
        <f>IF(R169="","",IF(OR(R169="SUPORTE",R169="PERDA / FECHOU LOJA"),"SEM",A169+VLOOKUP(R169,REGRAS!$B$2:$C$13,2,FALSE())))</f>
        <v/>
      </c>
      <c r="U169" s="58">
        <f>IF(R169="","",IF(R169="VENDA / PEDIDO","RECOMPRA",IF(R169="SUPORTE","PÓS-VENDA",IF(R169="RELACIONAMENTO","CS",IF(OR(R169="NÃO ATENDE",R169="NÃO RESPONDE",R169="RECUSOU LIGAÇÃO"),"REATIVAÇÃO",IF(R169="PERDA / FECHOU LOJA","NUTRIÇÃO",IF(OR(R169="FOLLOW UP 7",R169="FOLLOW UP 15"),"SALVAMENTO","PROSPECÇÃO")))))))</f>
        <v/>
      </c>
      <c r="V169" s="58" t="n"/>
      <c r="W169" s="58" t="inlineStr">
        <is>
          <t>SIM</t>
        </is>
      </c>
      <c r="X169" s="58" t="n"/>
    </row>
    <row r="170">
      <c r="A170" s="71" t="n">
        <v>46060</v>
      </c>
      <c r="B170" s="58" t="inlineStr">
        <is>
          <t>JULIO GADRET</t>
        </is>
      </c>
      <c r="C170" s="58" t="inlineStr">
        <is>
          <t>ECO SAUDE 83</t>
        </is>
      </c>
      <c r="D170" s="58" t="inlineStr">
        <is>
          <t>16.902.912/3922-73</t>
        </is>
      </c>
      <c r="E170" s="58" t="inlineStr">
        <is>
          <t>SC</t>
        </is>
      </c>
      <c r="F170" s="58" t="inlineStr">
        <is>
          <t>BIOMUNDO</t>
        </is>
      </c>
      <c r="G170" s="58" t="inlineStr">
        <is>
          <t>INAT.ANT</t>
        </is>
      </c>
      <c r="H170" s="58" t="n">
        <v>109</v>
      </c>
      <c r="I170" s="58">
        <f>IF(R170="","",VLOOKUP(R170,REGRAS!$B$2:$D$13,3,FALSE()))</f>
        <v/>
      </c>
      <c r="J170" s="58" t="n"/>
      <c r="K170" s="58">
        <f>IF(R170="","",IF(R170="VENDA / PEDIDO","RECOMPRA",IF(R170="SUPORTE","PÓS-VENDA",IF(OR(R170="FOLLOW UP 7",R170="FOLLOW UP 15"),"SALVAMENTO",IF(R170="PERDA / FECHOU LOJA","NUTRIÇÃO",IF(R170="RELACIONAMENTO","CS",IF(OR(R170="ORÇAMENTO",R170="CADASTRO"),"PROSPECÇÃO",IF(R170="EM ATENDIMENTO","EM ATENDIMENTO",IF(OR(R170="NÃO ATENDE",R170="NÃO RESPONDE",R170="RECUSOU LIGAÇÃO"),"RECUPERAÇÃO","")))))))))</f>
        <v/>
      </c>
      <c r="L170" s="58">
        <f>IF(H170="","",IF(G170="PROSPECT","🟣",IF(G170="LEAD","🟣",IF(G170="NOVO","🟢",IF(H170&lt;=50,"🟢",IF(H170&lt;=90,"🟡","🔴"))))))</f>
        <v/>
      </c>
      <c r="M170" s="58" t="n"/>
      <c r="N170" s="58" t="inlineStr">
        <is>
          <t>NÃO</t>
        </is>
      </c>
      <c r="O170" s="58" t="inlineStr">
        <is>
          <t>NÃO</t>
        </is>
      </c>
      <c r="P170" s="58" t="inlineStr">
        <is>
          <t>N/A</t>
        </is>
      </c>
      <c r="Q170" s="58" t="inlineStr">
        <is>
          <t>ATEND. CLIENTES ATIVOS</t>
        </is>
      </c>
      <c r="R170" s="58" t="inlineStr">
        <is>
          <t>NÃO ATENDE</t>
        </is>
      </c>
      <c r="S170" s="58" t="inlineStr">
        <is>
          <t>AINDA TEM ESTOQUE</t>
        </is>
      </c>
      <c r="T170" s="71">
        <f>IF(R170="","",IF(OR(R170="SUPORTE",R170="PERDA / FECHOU LOJA"),"SEM",A170+VLOOKUP(R170,REGRAS!$B$2:$C$13,2,FALSE())))</f>
        <v/>
      </c>
      <c r="U170" s="58">
        <f>IF(R170="","",IF(R170="VENDA / PEDIDO","RECOMPRA",IF(R170="SUPORTE","PÓS-VENDA",IF(R170="RELACIONAMENTO","CS",IF(OR(R170="NÃO ATENDE",R170="NÃO RESPONDE",R170="RECUSOU LIGAÇÃO"),"REATIVAÇÃO",IF(R170="PERDA / FECHOU LOJA","NUTRIÇÃO",IF(OR(R170="FOLLOW UP 7",R170="FOLLOW UP 15"),"SALVAMENTO","PROSPECÇÃO")))))))</f>
        <v/>
      </c>
      <c r="V170" s="58" t="n"/>
      <c r="W170" s="58" t="inlineStr">
        <is>
          <t>NÃO</t>
        </is>
      </c>
      <c r="X170" s="58" t="n"/>
    </row>
    <row r="171">
      <c r="A171" s="71" t="n">
        <v>46072</v>
      </c>
      <c r="B171" s="58" t="inlineStr">
        <is>
          <t>LARISSA PADILHA</t>
        </is>
      </c>
      <c r="C171" s="58" t="inlineStr">
        <is>
          <t>BIO FIT 88</t>
        </is>
      </c>
      <c r="D171" s="58" t="inlineStr">
        <is>
          <t>32.881.582/1196-12</t>
        </is>
      </c>
      <c r="E171" s="58" t="inlineStr">
        <is>
          <t>SP</t>
        </is>
      </c>
      <c r="F171" s="58" t="inlineStr">
        <is>
          <t>MUNDO VERDE</t>
        </is>
      </c>
      <c r="G171" s="58" t="inlineStr">
        <is>
          <t>ATIVO</t>
        </is>
      </c>
      <c r="H171" s="58" t="n">
        <v>8</v>
      </c>
      <c r="I171" s="58">
        <f>IF(R171="","",VLOOKUP(R171,REGRAS!$B$2:$D$13,3,FALSE()))</f>
        <v/>
      </c>
      <c r="J171" s="58" t="n"/>
      <c r="K171" s="58">
        <f>IF(R171="","",IF(R171="VENDA / PEDIDO","RECOMPRA",IF(R171="SUPORTE","PÓS-VENDA",IF(OR(R171="FOLLOW UP 7",R171="FOLLOW UP 15"),"SALVAMENTO",IF(R171="PERDA / FECHOU LOJA","NUTRIÇÃO",IF(R171="RELACIONAMENTO","CS",IF(OR(R171="ORÇAMENTO",R171="CADASTRO"),"PROSPECÇÃO",IF(R171="EM ATENDIMENTO","EM ATENDIMENTO",IF(OR(R171="NÃO ATENDE",R171="NÃO RESPONDE",R171="RECUSOU LIGAÇÃO"),"RECUPERAÇÃO","")))))))))</f>
        <v/>
      </c>
      <c r="L171" s="58">
        <f>IF(H171="","",IF(G171="PROSPECT","🟣",IF(G171="LEAD","🟣",IF(G171="NOVO","🟢",IF(H171&lt;=50,"🟢",IF(H171&lt;=90,"🟡","🔴"))))))</f>
        <v/>
      </c>
      <c r="M171" s="58" t="n"/>
      <c r="N171" s="58" t="inlineStr">
        <is>
          <t>SIM</t>
        </is>
      </c>
      <c r="O171" s="58" t="inlineStr">
        <is>
          <t>NÃO</t>
        </is>
      </c>
      <c r="P171" s="58" t="inlineStr">
        <is>
          <t>N/A</t>
        </is>
      </c>
      <c r="Q171" s="58" t="inlineStr">
        <is>
          <t>PERDA / NUTRIÇÃO</t>
        </is>
      </c>
      <c r="R171" s="58" t="inlineStr">
        <is>
          <t>NÃO ATENDE</t>
        </is>
      </c>
      <c r="S171" s="58" t="inlineStr">
        <is>
          <t>PROPRIETARIO / INDISPONÍVEL</t>
        </is>
      </c>
      <c r="T171" s="71">
        <f>IF(R171="","",IF(OR(R171="SUPORTE",R171="PERDA / FECHOU LOJA"),"SEM",A171+VLOOKUP(R171,REGRAS!$B$2:$C$13,2,FALSE())))</f>
        <v/>
      </c>
      <c r="U171" s="58">
        <f>IF(R171="","",IF(R171="VENDA / PEDIDO","RECOMPRA",IF(R171="SUPORTE","PÓS-VENDA",IF(R171="RELACIONAMENTO","CS",IF(OR(R171="NÃO ATENDE",R171="NÃO RESPONDE",R171="RECUSOU LIGAÇÃO"),"REATIVAÇÃO",IF(R171="PERDA / FECHOU LOJA","NUTRIÇÃO",IF(OR(R171="FOLLOW UP 7",R171="FOLLOW UP 15"),"SALVAMENTO","PROSPECÇÃO")))))))</f>
        <v/>
      </c>
      <c r="V171" s="58" t="n"/>
      <c r="W171" s="58" t="inlineStr">
        <is>
          <t>SIM</t>
        </is>
      </c>
      <c r="X171" s="58" t="n"/>
    </row>
    <row r="172">
      <c r="A172" s="71" t="n">
        <v>46066</v>
      </c>
      <c r="B172" s="58" t="inlineStr">
        <is>
          <t>MANU DITZEL</t>
        </is>
      </c>
      <c r="C172" s="58" t="inlineStr">
        <is>
          <t>BIO FIT 69</t>
        </is>
      </c>
      <c r="D172" s="58" t="inlineStr">
        <is>
          <t>88.256.384/1370-49</t>
        </is>
      </c>
      <c r="E172" s="58" t="inlineStr">
        <is>
          <t>PR</t>
        </is>
      </c>
      <c r="F172" s="58" t="inlineStr">
        <is>
          <t>DEMAIS CLIENTES</t>
        </is>
      </c>
      <c r="G172" s="58" t="inlineStr">
        <is>
          <t>PROSPECT</t>
        </is>
      </c>
      <c r="H172" s="58" t="n"/>
      <c r="I172" s="58">
        <f>IF(R172="","",VLOOKUP(R172,REGRAS!$B$2:$D$13,3,FALSE()))</f>
        <v/>
      </c>
      <c r="J172" s="58" t="n"/>
      <c r="K172" s="58">
        <f>IF(R172="","",IF(R172="VENDA / PEDIDO","RECOMPRA",IF(R172="SUPORTE","PÓS-VENDA",IF(OR(R172="FOLLOW UP 7",R172="FOLLOW UP 15"),"SALVAMENTO",IF(R172="PERDA / FECHOU LOJA","NUTRIÇÃO",IF(R172="RELACIONAMENTO","CS",IF(OR(R172="ORÇAMENTO",R172="CADASTRO"),"PROSPECÇÃO",IF(R172="EM ATENDIMENTO","EM ATENDIMENTO",IF(OR(R172="NÃO ATENDE",R172="NÃO RESPONDE",R172="RECUSOU LIGAÇÃO"),"RECUPERAÇÃO","")))))))))</f>
        <v/>
      </c>
      <c r="L172" s="58">
        <f>IF(H172="","",IF(G172="PROSPECT","🟣",IF(G172="LEAD","🟣",IF(G172="NOVO","🟢",IF(H172&lt;=50,"🟢",IF(H172&lt;=90,"🟡","🔴"))))))</f>
        <v/>
      </c>
      <c r="M172" s="58" t="n"/>
      <c r="N172" s="58" t="inlineStr">
        <is>
          <t>SIM</t>
        </is>
      </c>
      <c r="O172" s="58" t="inlineStr">
        <is>
          <t>NÃO</t>
        </is>
      </c>
      <c r="P172" s="58" t="inlineStr">
        <is>
          <t>N/A</t>
        </is>
      </c>
      <c r="Q172" s="58" t="inlineStr">
        <is>
          <t>NEGOCIAÇÃO</t>
        </is>
      </c>
      <c r="R172" s="58" t="inlineStr">
        <is>
          <t>ORÇAMENTO</t>
        </is>
      </c>
      <c r="S172" s="58" t="n"/>
      <c r="T172" s="71">
        <f>IF(R172="","",IF(OR(R172="SUPORTE",R172="PERDA / FECHOU LOJA"),"SEM",A172+VLOOKUP(R172,REGRAS!$B$2:$C$13,2,FALSE())))</f>
        <v/>
      </c>
      <c r="U172" s="58">
        <f>IF(R172="","",IF(R172="VENDA / PEDIDO","RECOMPRA",IF(R172="SUPORTE","PÓS-VENDA",IF(R172="RELACIONAMENTO","CS",IF(OR(R172="NÃO ATENDE",R172="NÃO RESPONDE",R172="RECUSOU LIGAÇÃO"),"REATIVAÇÃO",IF(R172="PERDA / FECHOU LOJA","NUTRIÇÃO",IF(OR(R172="FOLLOW UP 7",R172="FOLLOW UP 15"),"SALVAMENTO","PROSPECÇÃO")))))))</f>
        <v/>
      </c>
      <c r="V172" s="58" t="n"/>
      <c r="W172" s="58" t="inlineStr">
        <is>
          <t>SIM</t>
        </is>
      </c>
      <c r="X172" s="58" t="n"/>
    </row>
    <row r="173">
      <c r="A173" s="71" t="n">
        <v>46074</v>
      </c>
      <c r="B173" s="58" t="inlineStr">
        <is>
          <t>MANU DITZEL</t>
        </is>
      </c>
      <c r="C173" s="58" t="inlineStr">
        <is>
          <t>SAUDE NA MESA 94</t>
        </is>
      </c>
      <c r="D173" s="58" t="inlineStr">
        <is>
          <t>40.159.350/1413-65</t>
        </is>
      </c>
      <c r="E173" s="58" t="inlineStr">
        <is>
          <t>PR</t>
        </is>
      </c>
      <c r="F173" s="58" t="inlineStr">
        <is>
          <t>VIDA LEVE</t>
        </is>
      </c>
      <c r="G173" s="58" t="inlineStr">
        <is>
          <t>ATIVO</t>
        </is>
      </c>
      <c r="H173" s="58" t="n">
        <v>47</v>
      </c>
      <c r="I173" s="58">
        <f>IF(R173="","",VLOOKUP(R173,REGRAS!$B$2:$D$13,3,FALSE()))</f>
        <v/>
      </c>
      <c r="J173" s="58" t="n"/>
      <c r="K173" s="58">
        <f>IF(R173="","",IF(R173="VENDA / PEDIDO","RECOMPRA",IF(R173="SUPORTE","PÓS-VENDA",IF(OR(R173="FOLLOW UP 7",R173="FOLLOW UP 15"),"SALVAMENTO",IF(R173="PERDA / FECHOU LOJA","NUTRIÇÃO",IF(R173="RELACIONAMENTO","CS",IF(OR(R173="ORÇAMENTO",R173="CADASTRO"),"PROSPECÇÃO",IF(R173="EM ATENDIMENTO","EM ATENDIMENTO",IF(OR(R173="NÃO ATENDE",R173="NÃO RESPONDE",R173="RECUSOU LIGAÇÃO"),"RECUPERAÇÃO","")))))))))</f>
        <v/>
      </c>
      <c r="L173" s="58">
        <f>IF(H173="","",IF(G173="PROSPECT","🟣",IF(G173="LEAD","🟣",IF(G173="NOVO","🟢",IF(H173&lt;=50,"🟢",IF(H173&lt;=90,"🟡","🔴"))))))</f>
        <v/>
      </c>
      <c r="M173" s="58" t="n"/>
      <c r="N173" s="58" t="inlineStr">
        <is>
          <t>SIM</t>
        </is>
      </c>
      <c r="O173" s="58" t="inlineStr">
        <is>
          <t>NÃO</t>
        </is>
      </c>
      <c r="P173" s="58" t="inlineStr">
        <is>
          <t>N/A</t>
        </is>
      </c>
      <c r="Q173" s="58" t="inlineStr">
        <is>
          <t>ATEND. CLIENTES INATIVOS</t>
        </is>
      </c>
      <c r="R173" s="58" t="inlineStr">
        <is>
          <t>CADASTRO</t>
        </is>
      </c>
      <c r="S173" s="58" t="n"/>
      <c r="T173" s="71">
        <f>IF(R173="","",IF(OR(R173="SUPORTE",R173="PERDA / FECHOU LOJA"),"SEM",A173+VLOOKUP(R173,REGRAS!$B$2:$C$13,2,FALSE())))</f>
        <v/>
      </c>
      <c r="U173" s="58">
        <f>IF(R173="","",IF(R173="VENDA / PEDIDO","RECOMPRA",IF(R173="SUPORTE","PÓS-VENDA",IF(R173="RELACIONAMENTO","CS",IF(OR(R173="NÃO ATENDE",R173="NÃO RESPONDE",R173="RECUSOU LIGAÇÃO"),"REATIVAÇÃO",IF(R173="PERDA / FECHOU LOJA","NUTRIÇÃO",IF(OR(R173="FOLLOW UP 7",R173="FOLLOW UP 15"),"SALVAMENTO","PROSPECÇÃO")))))))</f>
        <v/>
      </c>
      <c r="V173" s="58" t="n"/>
      <c r="W173" s="58" t="inlineStr">
        <is>
          <t>NÃO</t>
        </is>
      </c>
      <c r="X173" s="58" t="n"/>
    </row>
    <row r="174">
      <c r="A174" s="71" t="n">
        <v>46059</v>
      </c>
      <c r="B174" s="58" t="inlineStr">
        <is>
          <t>LARISSA PADILHA</t>
        </is>
      </c>
      <c r="C174" s="58" t="inlineStr">
        <is>
          <t>MARKET FIT 67</t>
        </is>
      </c>
      <c r="D174" s="58" t="inlineStr">
        <is>
          <t>76.901.942/4248-31</t>
        </is>
      </c>
      <c r="E174" s="58" t="inlineStr">
        <is>
          <t>SC</t>
        </is>
      </c>
      <c r="F174" s="58" t="inlineStr">
        <is>
          <t>DEMAIS CLIENTES</t>
        </is>
      </c>
      <c r="G174" s="58" t="inlineStr">
        <is>
          <t>NOVO</t>
        </is>
      </c>
      <c r="H174" s="58" t="n"/>
      <c r="I174" s="58">
        <f>IF(R174="","",VLOOKUP(R174,REGRAS!$B$2:$D$13,3,FALSE()))</f>
        <v/>
      </c>
      <c r="J174" s="58" t="n"/>
      <c r="K174" s="58">
        <f>IF(R174="","",IF(R174="VENDA / PEDIDO","RECOMPRA",IF(R174="SUPORTE","PÓS-VENDA",IF(OR(R174="FOLLOW UP 7",R174="FOLLOW UP 15"),"SALVAMENTO",IF(R174="PERDA / FECHOU LOJA","NUTRIÇÃO",IF(R174="RELACIONAMENTO","CS",IF(OR(R174="ORÇAMENTO",R174="CADASTRO"),"PROSPECÇÃO",IF(R174="EM ATENDIMENTO","EM ATENDIMENTO",IF(OR(R174="NÃO ATENDE",R174="NÃO RESPONDE",R174="RECUSOU LIGAÇÃO"),"RECUPERAÇÃO","")))))))))</f>
        <v/>
      </c>
      <c r="L174" s="58">
        <f>IF(H174="","",IF(G174="PROSPECT","🟣",IF(G174="LEAD","🟣",IF(G174="NOVO","🟢",IF(H174&lt;=50,"🟢",IF(H174&lt;=90,"🟡","🔴"))))))</f>
        <v/>
      </c>
      <c r="M174" s="58" t="n"/>
      <c r="N174" s="58" t="inlineStr">
        <is>
          <t>NÃO</t>
        </is>
      </c>
      <c r="O174" s="58" t="inlineStr">
        <is>
          <t>SIM</t>
        </is>
      </c>
      <c r="P174" s="58" t="inlineStr">
        <is>
          <t>SIM</t>
        </is>
      </c>
      <c r="Q174" s="58" t="inlineStr">
        <is>
          <t>ATEND. CLIENTES INATIVOS</t>
        </is>
      </c>
      <c r="R174" s="58" t="inlineStr">
        <is>
          <t>EM ATENDIMENTO</t>
        </is>
      </c>
      <c r="S174" s="58" t="n"/>
      <c r="T174" s="71">
        <f>IF(R174="","",IF(OR(R174="SUPORTE",R174="PERDA / FECHOU LOJA"),"SEM",A174+VLOOKUP(R174,REGRAS!$B$2:$C$13,2,FALSE())))</f>
        <v/>
      </c>
      <c r="U174" s="58">
        <f>IF(R174="","",IF(R174="VENDA / PEDIDO","RECOMPRA",IF(R174="SUPORTE","PÓS-VENDA",IF(R174="RELACIONAMENTO","CS",IF(OR(R174="NÃO ATENDE",R174="NÃO RESPONDE",R174="RECUSOU LIGAÇÃO"),"REATIVAÇÃO",IF(R174="PERDA / FECHOU LOJA","NUTRIÇÃO",IF(OR(R174="FOLLOW UP 7",R174="FOLLOW UP 15"),"SALVAMENTO","PROSPECÇÃO")))))))</f>
        <v/>
      </c>
      <c r="V174" s="58" t="n"/>
      <c r="W174" s="58" t="inlineStr">
        <is>
          <t>SIM</t>
        </is>
      </c>
      <c r="X174" s="58" t="n"/>
    </row>
    <row r="175">
      <c r="A175" s="71" t="n">
        <v>46062</v>
      </c>
      <c r="B175" s="58" t="inlineStr">
        <is>
          <t>JULIO GADRET</t>
        </is>
      </c>
      <c r="C175" s="58" t="inlineStr">
        <is>
          <t>PURA VIDA 81</t>
        </is>
      </c>
      <c r="D175" s="58" t="inlineStr">
        <is>
          <t>19.608.566/8369-56</t>
        </is>
      </c>
      <c r="E175" s="58" t="inlineStr">
        <is>
          <t>PR</t>
        </is>
      </c>
      <c r="F175" s="58" t="inlineStr">
        <is>
          <t>DEMAIS CLIENTES</t>
        </is>
      </c>
      <c r="G175" s="58" t="inlineStr">
        <is>
          <t>ATIVO</t>
        </is>
      </c>
      <c r="H175" s="58" t="n">
        <v>15</v>
      </c>
      <c r="I175" s="58">
        <f>IF(R175="","",VLOOKUP(R175,REGRAS!$B$2:$D$13,3,FALSE()))</f>
        <v/>
      </c>
      <c r="J175" s="58" t="n"/>
      <c r="K175" s="58">
        <f>IF(R175="","",IF(R175="VENDA / PEDIDO","RECOMPRA",IF(R175="SUPORTE","PÓS-VENDA",IF(OR(R175="FOLLOW UP 7",R175="FOLLOW UP 15"),"SALVAMENTO",IF(R175="PERDA / FECHOU LOJA","NUTRIÇÃO",IF(R175="RELACIONAMENTO","CS",IF(OR(R175="ORÇAMENTO",R175="CADASTRO"),"PROSPECÇÃO",IF(R175="EM ATENDIMENTO","EM ATENDIMENTO",IF(OR(R175="NÃO ATENDE",R175="NÃO RESPONDE",R175="RECUSOU LIGAÇÃO"),"RECUPERAÇÃO","")))))))))</f>
        <v/>
      </c>
      <c r="L175" s="58">
        <f>IF(H175="","",IF(G175="PROSPECT","🟣",IF(G175="LEAD","🟣",IF(G175="NOVO","🟢",IF(H175&lt;=50,"🟢",IF(H175&lt;=90,"🟡","🔴"))))))</f>
        <v/>
      </c>
      <c r="M175" s="58" t="n"/>
      <c r="N175" s="58" t="inlineStr">
        <is>
          <t>SIM</t>
        </is>
      </c>
      <c r="O175" s="58" t="inlineStr">
        <is>
          <t>NÃO</t>
        </is>
      </c>
      <c r="P175" s="58" t="inlineStr">
        <is>
          <t>N/A</t>
        </is>
      </c>
      <c r="Q175" s="58" t="inlineStr">
        <is>
          <t>FOLLOW UP</t>
        </is>
      </c>
      <c r="R175" s="58" t="inlineStr">
        <is>
          <t>EM ATENDIMENTO</t>
        </is>
      </c>
      <c r="S175" s="58" t="n"/>
      <c r="T175" s="71">
        <f>IF(R175="","",IF(OR(R175="SUPORTE",R175="PERDA / FECHOU LOJA"),"SEM",A175+VLOOKUP(R175,REGRAS!$B$2:$C$13,2,FALSE())))</f>
        <v/>
      </c>
      <c r="U175" s="58">
        <f>IF(R175="","",IF(R175="VENDA / PEDIDO","RECOMPRA",IF(R175="SUPORTE","PÓS-VENDA",IF(R175="RELACIONAMENTO","CS",IF(OR(R175="NÃO ATENDE",R175="NÃO RESPONDE",R175="RECUSOU LIGAÇÃO"),"REATIVAÇÃO",IF(R175="PERDA / FECHOU LOJA","NUTRIÇÃO",IF(OR(R175="FOLLOW UP 7",R175="FOLLOW UP 15"),"SALVAMENTO","PROSPECÇÃO")))))))</f>
        <v/>
      </c>
      <c r="V175" s="58" t="n"/>
      <c r="W175" s="58" t="inlineStr">
        <is>
          <t>SIM</t>
        </is>
      </c>
      <c r="X175" s="58" t="n"/>
    </row>
    <row r="176">
      <c r="A176" s="71" t="n">
        <v>46070</v>
      </c>
      <c r="B176" s="58" t="inlineStr">
        <is>
          <t>MANU DITZEL</t>
        </is>
      </c>
      <c r="C176" s="58" t="inlineStr">
        <is>
          <t>NUTRI VIDA 32</t>
        </is>
      </c>
      <c r="D176" s="58" t="inlineStr">
        <is>
          <t>15.583.472/6275-29</t>
        </is>
      </c>
      <c r="E176" s="58" t="inlineStr">
        <is>
          <t>PR</t>
        </is>
      </c>
      <c r="F176" s="58" t="inlineStr">
        <is>
          <t>DEMAIS CLIENTES</t>
        </is>
      </c>
      <c r="G176" s="58" t="inlineStr">
        <is>
          <t>ATIVO</t>
        </is>
      </c>
      <c r="H176" s="58" t="n">
        <v>50</v>
      </c>
      <c r="I176" s="58">
        <f>IF(R176="","",VLOOKUP(R176,REGRAS!$B$2:$D$13,3,FALSE()))</f>
        <v/>
      </c>
      <c r="J176" s="58" t="n"/>
      <c r="K176" s="58">
        <f>IF(R176="","",IF(R176="VENDA / PEDIDO","RECOMPRA",IF(R176="SUPORTE","PÓS-VENDA",IF(OR(R176="FOLLOW UP 7",R176="FOLLOW UP 15"),"SALVAMENTO",IF(R176="PERDA / FECHOU LOJA","NUTRIÇÃO",IF(R176="RELACIONAMENTO","CS",IF(OR(R176="ORÇAMENTO",R176="CADASTRO"),"PROSPECÇÃO",IF(R176="EM ATENDIMENTO","EM ATENDIMENTO",IF(OR(R176="NÃO ATENDE",R176="NÃO RESPONDE",R176="RECUSOU LIGAÇÃO"),"RECUPERAÇÃO","")))))))))</f>
        <v/>
      </c>
      <c r="L176" s="58">
        <f>IF(H176="","",IF(G176="PROSPECT","🟣",IF(G176="LEAD","🟣",IF(G176="NOVO","🟢",IF(H176&lt;=50,"🟢",IF(H176&lt;=90,"🟡","🔴"))))))</f>
        <v/>
      </c>
      <c r="M176" s="58" t="n"/>
      <c r="N176" s="58" t="inlineStr">
        <is>
          <t>SIM</t>
        </is>
      </c>
      <c r="O176" s="58" t="inlineStr">
        <is>
          <t>SIM</t>
        </is>
      </c>
      <c r="P176" s="58" t="inlineStr">
        <is>
          <t>NÃO</t>
        </is>
      </c>
      <c r="Q176" s="58" t="inlineStr">
        <is>
          <t>ATEND. CLIENTES INATIVOS</t>
        </is>
      </c>
      <c r="R176" s="58" t="inlineStr">
        <is>
          <t>NÃO RESPONDE</t>
        </is>
      </c>
      <c r="S176" s="58" t="inlineStr">
        <is>
          <t>PRODUTO NÃO VENDEU / SEM GIRO</t>
        </is>
      </c>
      <c r="T176" s="71">
        <f>IF(R176="","",IF(OR(R176="SUPORTE",R176="PERDA / FECHOU LOJA"),"SEM",A176+VLOOKUP(R176,REGRAS!$B$2:$C$13,2,FALSE())))</f>
        <v/>
      </c>
      <c r="U176" s="58">
        <f>IF(R176="","",IF(R176="VENDA / PEDIDO","RECOMPRA",IF(R176="SUPORTE","PÓS-VENDA",IF(R176="RELACIONAMENTO","CS",IF(OR(R176="NÃO ATENDE",R176="NÃO RESPONDE",R176="RECUSOU LIGAÇÃO"),"REATIVAÇÃO",IF(R176="PERDA / FECHOU LOJA","NUTRIÇÃO",IF(OR(R176="FOLLOW UP 7",R176="FOLLOW UP 15"),"SALVAMENTO","PROSPECÇÃO")))))))</f>
        <v/>
      </c>
      <c r="V176" s="58" t="n"/>
      <c r="W176" s="58" t="inlineStr">
        <is>
          <t>SIM</t>
        </is>
      </c>
      <c r="X176" s="58" t="n"/>
    </row>
    <row r="177">
      <c r="A177" s="71" t="n">
        <v>46065</v>
      </c>
      <c r="B177" s="58" t="inlineStr">
        <is>
          <t>MANU DITZEL</t>
        </is>
      </c>
      <c r="C177" s="58" t="inlineStr">
        <is>
          <t>BIOMUNDO CTB 23</t>
        </is>
      </c>
      <c r="D177" s="58" t="inlineStr">
        <is>
          <t>38.923.628/0753-61</t>
        </is>
      </c>
      <c r="E177" s="58" t="inlineStr">
        <is>
          <t>PR</t>
        </is>
      </c>
      <c r="F177" s="58" t="inlineStr">
        <is>
          <t>DIVINA TERRA</t>
        </is>
      </c>
      <c r="G177" s="58" t="inlineStr">
        <is>
          <t>ATIVO</t>
        </is>
      </c>
      <c r="H177" s="58" t="n">
        <v>24</v>
      </c>
      <c r="I177" s="58">
        <f>IF(R177="","",VLOOKUP(R177,REGRAS!$B$2:$D$13,3,FALSE()))</f>
        <v/>
      </c>
      <c r="J177" s="58" t="n"/>
      <c r="K177" s="58">
        <f>IF(R177="","",IF(R177="VENDA / PEDIDO","RECOMPRA",IF(R177="SUPORTE","PÓS-VENDA",IF(OR(R177="FOLLOW UP 7",R177="FOLLOW UP 15"),"SALVAMENTO",IF(R177="PERDA / FECHOU LOJA","NUTRIÇÃO",IF(R177="RELACIONAMENTO","CS",IF(OR(R177="ORÇAMENTO",R177="CADASTRO"),"PROSPECÇÃO",IF(R177="EM ATENDIMENTO","EM ATENDIMENTO",IF(OR(R177="NÃO ATENDE",R177="NÃO RESPONDE",R177="RECUSOU LIGAÇÃO"),"RECUPERAÇÃO","")))))))))</f>
        <v/>
      </c>
      <c r="L177" s="58">
        <f>IF(H177="","",IF(G177="PROSPECT","🟣",IF(G177="LEAD","🟣",IF(G177="NOVO","🟢",IF(H177&lt;=50,"🟢",IF(H177&lt;=90,"🟡","🔴"))))))</f>
        <v/>
      </c>
      <c r="M177" s="58" t="n"/>
      <c r="N177" s="58" t="inlineStr">
        <is>
          <t>SIM</t>
        </is>
      </c>
      <c r="O177" s="58" t="inlineStr">
        <is>
          <t>SIM</t>
        </is>
      </c>
      <c r="P177" s="58" t="inlineStr">
        <is>
          <t>NÃO</t>
        </is>
      </c>
      <c r="Q177" s="58" t="inlineStr">
        <is>
          <t>FOLLOW UP</t>
        </is>
      </c>
      <c r="R177" s="58" t="inlineStr">
        <is>
          <t>FOLLOW UP 7</t>
        </is>
      </c>
      <c r="S177" s="58" t="inlineStr">
        <is>
          <t>PRODUTO NÃO VENDEU / SEM GIRO</t>
        </is>
      </c>
      <c r="T177" s="71">
        <f>IF(R177="","",IF(OR(R177="SUPORTE",R177="PERDA / FECHOU LOJA"),"SEM",A177+VLOOKUP(R177,REGRAS!$B$2:$C$13,2,FALSE())))</f>
        <v/>
      </c>
      <c r="U177" s="58">
        <f>IF(R177="","",IF(R177="VENDA / PEDIDO","RECOMPRA",IF(R177="SUPORTE","PÓS-VENDA",IF(R177="RELACIONAMENTO","CS",IF(OR(R177="NÃO ATENDE",R177="NÃO RESPONDE",R177="RECUSOU LIGAÇÃO"),"REATIVAÇÃO",IF(R177="PERDA / FECHOU LOJA","NUTRIÇÃO",IF(OR(R177="FOLLOW UP 7",R177="FOLLOW UP 15"),"SALVAMENTO","PROSPECÇÃO")))))))</f>
        <v/>
      </c>
      <c r="V177" s="58" t="n"/>
      <c r="W177" s="58" t="inlineStr">
        <is>
          <t>SIM</t>
        </is>
      </c>
      <c r="X177" s="58" t="n"/>
    </row>
    <row r="178">
      <c r="A178" s="71" t="n">
        <v>46068</v>
      </c>
      <c r="B178" s="58" t="inlineStr">
        <is>
          <t>LARISSA PADILHA</t>
        </is>
      </c>
      <c r="C178" s="58" t="inlineStr">
        <is>
          <t>POWER NATURAL 99</t>
        </is>
      </c>
      <c r="D178" s="58" t="inlineStr">
        <is>
          <t>35.850.659/4017-29</t>
        </is>
      </c>
      <c r="E178" s="58" t="inlineStr">
        <is>
          <t>PR</t>
        </is>
      </c>
      <c r="F178" s="58" t="inlineStr">
        <is>
          <t>FIT LAND</t>
        </is>
      </c>
      <c r="G178" s="58" t="inlineStr">
        <is>
          <t>ATIVO</t>
        </is>
      </c>
      <c r="H178" s="58" t="n">
        <v>27</v>
      </c>
      <c r="I178" s="58">
        <f>IF(R178="","",VLOOKUP(R178,REGRAS!$B$2:$D$13,3,FALSE()))</f>
        <v/>
      </c>
      <c r="J178" s="58" t="n"/>
      <c r="K178" s="58">
        <f>IF(R178="","",IF(R178="VENDA / PEDIDO","RECOMPRA",IF(R178="SUPORTE","PÓS-VENDA",IF(OR(R178="FOLLOW UP 7",R178="FOLLOW UP 15"),"SALVAMENTO",IF(R178="PERDA / FECHOU LOJA","NUTRIÇÃO",IF(R178="RELACIONAMENTO","CS",IF(OR(R178="ORÇAMENTO",R178="CADASTRO"),"PROSPECÇÃO",IF(R178="EM ATENDIMENTO","EM ATENDIMENTO",IF(OR(R178="NÃO ATENDE",R178="NÃO RESPONDE",R178="RECUSOU LIGAÇÃO"),"RECUPERAÇÃO","")))))))))</f>
        <v/>
      </c>
      <c r="L178" s="58">
        <f>IF(H178="","",IF(G178="PROSPECT","🟣",IF(G178="LEAD","🟣",IF(G178="NOVO","🟢",IF(H178&lt;=50,"🟢",IF(H178&lt;=90,"🟡","🔴"))))))</f>
        <v/>
      </c>
      <c r="M178" s="58" t="n"/>
      <c r="N178" s="58" t="inlineStr">
        <is>
          <t>SIM</t>
        </is>
      </c>
      <c r="O178" s="58" t="inlineStr">
        <is>
          <t>SIM</t>
        </is>
      </c>
      <c r="P178" s="58" t="inlineStr">
        <is>
          <t>NÃO</t>
        </is>
      </c>
      <c r="Q178" s="58" t="inlineStr">
        <is>
          <t>ATEND. CLIENTES INATIVOS</t>
        </is>
      </c>
      <c r="R178" s="58" t="inlineStr">
        <is>
          <t>ORÇAMENTO</t>
        </is>
      </c>
      <c r="S178" s="58" t="n"/>
      <c r="T178" s="71">
        <f>IF(R178="","",IF(OR(R178="SUPORTE",R178="PERDA / FECHOU LOJA"),"SEM",A178+VLOOKUP(R178,REGRAS!$B$2:$C$13,2,FALSE())))</f>
        <v/>
      </c>
      <c r="U178" s="58">
        <f>IF(R178="","",IF(R178="VENDA / PEDIDO","RECOMPRA",IF(R178="SUPORTE","PÓS-VENDA",IF(R178="RELACIONAMENTO","CS",IF(OR(R178="NÃO ATENDE",R178="NÃO RESPONDE",R178="RECUSOU LIGAÇÃO"),"REATIVAÇÃO",IF(R178="PERDA / FECHOU LOJA","NUTRIÇÃO",IF(OR(R178="FOLLOW UP 7",R178="FOLLOW UP 15"),"SALVAMENTO","PROSPECÇÃO")))))))</f>
        <v/>
      </c>
      <c r="V178" s="58" t="n"/>
      <c r="W178" s="58" t="inlineStr">
        <is>
          <t>SIM</t>
        </is>
      </c>
      <c r="X178" s="58" t="n"/>
    </row>
    <row r="179">
      <c r="A179" s="71" t="n">
        <v>46077</v>
      </c>
      <c r="B179" s="58" t="inlineStr">
        <is>
          <t>JULIO GADRET</t>
        </is>
      </c>
      <c r="C179" s="58" t="inlineStr">
        <is>
          <t>NATURAL POINT 27</t>
        </is>
      </c>
      <c r="D179" s="58" t="inlineStr">
        <is>
          <t>77.343.529/8062-17</t>
        </is>
      </c>
      <c r="E179" s="58" t="inlineStr">
        <is>
          <t>CE</t>
        </is>
      </c>
      <c r="F179" s="58" t="inlineStr">
        <is>
          <t>MUNDO VERDE</t>
        </is>
      </c>
      <c r="G179" s="58" t="inlineStr">
        <is>
          <t>ATIVO</t>
        </is>
      </c>
      <c r="H179" s="58" t="n">
        <v>7</v>
      </c>
      <c r="I179" s="58">
        <f>IF(R179="","",VLOOKUP(R179,REGRAS!$B$2:$D$13,3,FALSE()))</f>
        <v/>
      </c>
      <c r="J179" s="58" t="n"/>
      <c r="K179" s="58">
        <f>IF(R179="","",IF(R179="VENDA / PEDIDO","RECOMPRA",IF(R179="SUPORTE","PÓS-VENDA",IF(OR(R179="FOLLOW UP 7",R179="FOLLOW UP 15"),"SALVAMENTO",IF(R179="PERDA / FECHOU LOJA","NUTRIÇÃO",IF(R179="RELACIONAMENTO","CS",IF(OR(R179="ORÇAMENTO",R179="CADASTRO"),"PROSPECÇÃO",IF(R179="EM ATENDIMENTO","EM ATENDIMENTO",IF(OR(R179="NÃO ATENDE",R179="NÃO RESPONDE",R179="RECUSOU LIGAÇÃO"),"RECUPERAÇÃO","")))))))))</f>
        <v/>
      </c>
      <c r="L179" s="58">
        <f>IF(H179="","",IF(G179="PROSPECT","🟣",IF(G179="LEAD","🟣",IF(G179="NOVO","🟢",IF(H179&lt;=50,"🟢",IF(H179&lt;=90,"🟡","🔴"))))))</f>
        <v/>
      </c>
      <c r="M179" s="58" t="n"/>
      <c r="N179" s="58" t="inlineStr">
        <is>
          <t>SIM</t>
        </is>
      </c>
      <c r="O179" s="58" t="inlineStr">
        <is>
          <t>NÃO</t>
        </is>
      </c>
      <c r="P179" s="58" t="inlineStr">
        <is>
          <t>N/A</t>
        </is>
      </c>
      <c r="Q179" s="58" t="inlineStr">
        <is>
          <t>PÓS-VENDA / RELACIONAMENTO</t>
        </is>
      </c>
      <c r="R179" s="58" t="inlineStr">
        <is>
          <t>NÃO ATENDE</t>
        </is>
      </c>
      <c r="S179" s="58" t="inlineStr">
        <is>
          <t>PRODUTO NÃO VENDEU / SEM GIRO</t>
        </is>
      </c>
      <c r="T179" s="71">
        <f>IF(R179="","",IF(OR(R179="SUPORTE",R179="PERDA / FECHOU LOJA"),"SEM",A179+VLOOKUP(R179,REGRAS!$B$2:$C$13,2,FALSE())))</f>
        <v/>
      </c>
      <c r="U179" s="58">
        <f>IF(R179="","",IF(R179="VENDA / PEDIDO","RECOMPRA",IF(R179="SUPORTE","PÓS-VENDA",IF(R179="RELACIONAMENTO","CS",IF(OR(R179="NÃO ATENDE",R179="NÃO RESPONDE",R179="RECUSOU LIGAÇÃO"),"REATIVAÇÃO",IF(R179="PERDA / FECHOU LOJA","NUTRIÇÃO",IF(OR(R179="FOLLOW UP 7",R179="FOLLOW UP 15"),"SALVAMENTO","PROSPECÇÃO")))))))</f>
        <v/>
      </c>
      <c r="V179" s="58" t="n"/>
      <c r="W179" s="58" t="inlineStr">
        <is>
          <t>NÃO</t>
        </is>
      </c>
      <c r="X179" s="58" t="n"/>
    </row>
    <row r="180">
      <c r="A180" s="71" t="n">
        <v>46056</v>
      </c>
      <c r="B180" s="58" t="inlineStr">
        <is>
          <t>LARISSA PADILHA</t>
        </is>
      </c>
      <c r="C180" s="58" t="inlineStr">
        <is>
          <t>GRÃO FINO 18</t>
        </is>
      </c>
      <c r="D180" s="58" t="inlineStr">
        <is>
          <t>91.939.503/1227-85</t>
        </is>
      </c>
      <c r="E180" s="58" t="inlineStr">
        <is>
          <t>SP</t>
        </is>
      </c>
      <c r="F180" s="58" t="inlineStr">
        <is>
          <t>FIT LAND</t>
        </is>
      </c>
      <c r="G180" s="58" t="inlineStr">
        <is>
          <t>PROSPECT</t>
        </is>
      </c>
      <c r="H180" s="58" t="n"/>
      <c r="I180" s="58">
        <f>IF(R180="","",VLOOKUP(R180,REGRAS!$B$2:$D$13,3,FALSE()))</f>
        <v/>
      </c>
      <c r="J180" s="58" t="n"/>
      <c r="K180" s="58">
        <f>IF(R180="","",IF(R180="VENDA / PEDIDO","RECOMPRA",IF(R180="SUPORTE","PÓS-VENDA",IF(OR(R180="FOLLOW UP 7",R180="FOLLOW UP 15"),"SALVAMENTO",IF(R180="PERDA / FECHOU LOJA","NUTRIÇÃO",IF(R180="RELACIONAMENTO","CS",IF(OR(R180="ORÇAMENTO",R180="CADASTRO"),"PROSPECÇÃO",IF(R180="EM ATENDIMENTO","EM ATENDIMENTO",IF(OR(R180="NÃO ATENDE",R180="NÃO RESPONDE",R180="RECUSOU LIGAÇÃO"),"RECUPERAÇÃO","")))))))))</f>
        <v/>
      </c>
      <c r="L180" s="58">
        <f>IF(H180="","",IF(G180="PROSPECT","🟣",IF(G180="LEAD","🟣",IF(G180="NOVO","🟢",IF(H180&lt;=50,"🟢",IF(H180&lt;=90,"🟡","🔴"))))))</f>
        <v/>
      </c>
      <c r="M180" s="58" t="n"/>
      <c r="N180" s="58" t="inlineStr">
        <is>
          <t>SIM</t>
        </is>
      </c>
      <c r="O180" s="58" t="inlineStr">
        <is>
          <t>NÃO</t>
        </is>
      </c>
      <c r="P180" s="58" t="inlineStr">
        <is>
          <t>N/A</t>
        </is>
      </c>
      <c r="Q180" s="58" t="inlineStr">
        <is>
          <t>NEGOCIAÇÃO</t>
        </is>
      </c>
      <c r="R180" s="58" t="inlineStr">
        <is>
          <t>ORÇAMENTO</t>
        </is>
      </c>
      <c r="S180" s="58" t="n"/>
      <c r="T180" s="71">
        <f>IF(R180="","",IF(OR(R180="SUPORTE",R180="PERDA / FECHOU LOJA"),"SEM",A180+VLOOKUP(R180,REGRAS!$B$2:$C$13,2,FALSE())))</f>
        <v/>
      </c>
      <c r="U180" s="58">
        <f>IF(R180="","",IF(R180="VENDA / PEDIDO","RECOMPRA",IF(R180="SUPORTE","PÓS-VENDA",IF(R180="RELACIONAMENTO","CS",IF(OR(R180="NÃO ATENDE",R180="NÃO RESPONDE",R180="RECUSOU LIGAÇÃO"),"REATIVAÇÃO",IF(R180="PERDA / FECHOU LOJA","NUTRIÇÃO",IF(OR(R180="FOLLOW UP 7",R180="FOLLOW UP 15"),"SALVAMENTO","PROSPECÇÃO")))))))</f>
        <v/>
      </c>
      <c r="V180" s="58" t="n"/>
      <c r="W180" s="58" t="inlineStr">
        <is>
          <t>NÃO</t>
        </is>
      </c>
      <c r="X180" s="58" t="n"/>
    </row>
    <row r="181">
      <c r="A181" s="71" t="n">
        <v>46077</v>
      </c>
      <c r="B181" s="58" t="inlineStr">
        <is>
          <t>MANU DITZEL</t>
        </is>
      </c>
      <c r="C181" s="58" t="inlineStr">
        <is>
          <t>EMPÓRIO BIO 35</t>
        </is>
      </c>
      <c r="D181" s="58" t="inlineStr">
        <is>
          <t>39.176.307/2231-84</t>
        </is>
      </c>
      <c r="E181" s="58" t="inlineStr">
        <is>
          <t>PR</t>
        </is>
      </c>
      <c r="F181" s="58" t="inlineStr">
        <is>
          <t>MUNDO VERDE</t>
        </is>
      </c>
      <c r="G181" s="58" t="inlineStr">
        <is>
          <t>EM RISCO</t>
        </is>
      </c>
      <c r="H181" s="58" t="n">
        <v>56</v>
      </c>
      <c r="I181" s="58">
        <f>IF(R181="","",VLOOKUP(R181,REGRAS!$B$2:$D$13,3,FALSE()))</f>
        <v/>
      </c>
      <c r="J181" s="58" t="n"/>
      <c r="K181" s="58">
        <f>IF(R181="","",IF(R181="VENDA / PEDIDO","RECOMPRA",IF(R181="SUPORTE","PÓS-VENDA",IF(OR(R181="FOLLOW UP 7",R181="FOLLOW UP 15"),"SALVAMENTO",IF(R181="PERDA / FECHOU LOJA","NUTRIÇÃO",IF(R181="RELACIONAMENTO","CS",IF(OR(R181="ORÇAMENTO",R181="CADASTRO"),"PROSPECÇÃO",IF(R181="EM ATENDIMENTO","EM ATENDIMENTO",IF(OR(R181="NÃO ATENDE",R181="NÃO RESPONDE",R181="RECUSOU LIGAÇÃO"),"RECUPERAÇÃO","")))))))))</f>
        <v/>
      </c>
      <c r="L181" s="58">
        <f>IF(H181="","",IF(G181="PROSPECT","🟣",IF(G181="LEAD","🟣",IF(G181="NOVO","🟢",IF(H181&lt;=50,"🟢",IF(H181&lt;=90,"🟡","🔴"))))))</f>
        <v/>
      </c>
      <c r="M181" s="58" t="n"/>
      <c r="N181" s="58" t="inlineStr">
        <is>
          <t>NÃO</t>
        </is>
      </c>
      <c r="O181" s="58" t="inlineStr">
        <is>
          <t>SIM</t>
        </is>
      </c>
      <c r="P181" s="58" t="inlineStr">
        <is>
          <t>SIM</t>
        </is>
      </c>
      <c r="Q181" s="58" t="inlineStr">
        <is>
          <t>ATEND. CLIENTES ATIVOS</t>
        </is>
      </c>
      <c r="R181" s="58" t="inlineStr">
        <is>
          <t>RELACIONAMENTO</t>
        </is>
      </c>
      <c r="S181" s="58" t="n"/>
      <c r="T181" s="71">
        <f>IF(R181="","",IF(OR(R181="SUPORTE",R181="PERDA / FECHOU LOJA"),"SEM",A181+VLOOKUP(R181,REGRAS!$B$2:$C$13,2,FALSE())))</f>
        <v/>
      </c>
      <c r="U181" s="58">
        <f>IF(R181="","",IF(R181="VENDA / PEDIDO","RECOMPRA",IF(R181="SUPORTE","PÓS-VENDA",IF(R181="RELACIONAMENTO","CS",IF(OR(R181="NÃO ATENDE",R181="NÃO RESPONDE",R181="RECUSOU LIGAÇÃO"),"REATIVAÇÃO",IF(R181="PERDA / FECHOU LOJA","NUTRIÇÃO",IF(OR(R181="FOLLOW UP 7",R181="FOLLOW UP 15"),"SALVAMENTO","PROSPECÇÃO")))))))</f>
        <v/>
      </c>
      <c r="V181" s="58" t="n"/>
      <c r="W181" s="58" t="inlineStr">
        <is>
          <t>SIM</t>
        </is>
      </c>
      <c r="X181" s="58" t="n"/>
    </row>
    <row r="182">
      <c r="A182" s="71" t="n">
        <v>46057</v>
      </c>
      <c r="B182" s="58" t="inlineStr">
        <is>
          <t>MANU DITZEL</t>
        </is>
      </c>
      <c r="C182" s="58" t="inlineStr">
        <is>
          <t>EMPÓRIO DO CAMPO 91</t>
        </is>
      </c>
      <c r="D182" s="58" t="inlineStr">
        <is>
          <t>99.717.141/3523-51</t>
        </is>
      </c>
      <c r="E182" s="58" t="inlineStr">
        <is>
          <t>PR</t>
        </is>
      </c>
      <c r="F182" s="58" t="inlineStr">
        <is>
          <t>DEMAIS CLIENTES</t>
        </is>
      </c>
      <c r="G182" s="58" t="inlineStr">
        <is>
          <t>PROSPECT</t>
        </is>
      </c>
      <c r="H182" s="58" t="n"/>
      <c r="I182" s="58">
        <f>IF(R182="","",VLOOKUP(R182,REGRAS!$B$2:$D$13,3,FALSE()))</f>
        <v/>
      </c>
      <c r="J182" s="58" t="n"/>
      <c r="K182" s="58">
        <f>IF(R182="","",IF(R182="VENDA / PEDIDO","RECOMPRA",IF(R182="SUPORTE","PÓS-VENDA",IF(OR(R182="FOLLOW UP 7",R182="FOLLOW UP 15"),"SALVAMENTO",IF(R182="PERDA / FECHOU LOJA","NUTRIÇÃO",IF(R182="RELACIONAMENTO","CS",IF(OR(R182="ORÇAMENTO",R182="CADASTRO"),"PROSPECÇÃO",IF(R182="EM ATENDIMENTO","EM ATENDIMENTO",IF(OR(R182="NÃO ATENDE",R182="NÃO RESPONDE",R182="RECUSOU LIGAÇÃO"),"RECUPERAÇÃO","")))))))))</f>
        <v/>
      </c>
      <c r="L182" s="58">
        <f>IF(H182="","",IF(G182="PROSPECT","🟣",IF(G182="LEAD","🟣",IF(G182="NOVO","🟢",IF(H182&lt;=50,"🟢",IF(H182&lt;=90,"🟡","🔴"))))))</f>
        <v/>
      </c>
      <c r="M182" s="58" t="n"/>
      <c r="N182" s="58" t="inlineStr">
        <is>
          <t>SIM</t>
        </is>
      </c>
      <c r="O182" s="58" t="inlineStr">
        <is>
          <t>NÃO</t>
        </is>
      </c>
      <c r="P182" s="58" t="inlineStr">
        <is>
          <t>N/A</t>
        </is>
      </c>
      <c r="Q182" s="58" t="inlineStr">
        <is>
          <t>ATEND. CLIENTES ATIVOS</t>
        </is>
      </c>
      <c r="R182" s="58" t="inlineStr">
        <is>
          <t>VENDA / PEDIDO</t>
        </is>
      </c>
      <c r="S182" s="58" t="n"/>
      <c r="T182" s="71">
        <f>IF(R182="","",IF(OR(R182="SUPORTE",R182="PERDA / FECHOU LOJA"),"SEM",A182+VLOOKUP(R182,REGRAS!$B$2:$C$13,2,FALSE())))</f>
        <v/>
      </c>
      <c r="U182" s="58">
        <f>IF(R182="","",IF(R182="VENDA / PEDIDO","RECOMPRA",IF(R182="SUPORTE","PÓS-VENDA",IF(R182="RELACIONAMENTO","CS",IF(OR(R182="NÃO ATENDE",R182="NÃO RESPONDE",R182="RECUSOU LIGAÇÃO"),"REATIVAÇÃO",IF(R182="PERDA / FECHOU LOJA","NUTRIÇÃO",IF(OR(R182="FOLLOW UP 7",R182="FOLLOW UP 15"),"SALVAMENTO","PROSPECÇÃO")))))))</f>
        <v/>
      </c>
      <c r="V182" s="58" t="n"/>
      <c r="W182" s="58" t="inlineStr">
        <is>
          <t>SIM</t>
        </is>
      </c>
      <c r="X182" s="58" t="n"/>
    </row>
    <row r="183">
      <c r="A183" s="71" t="n">
        <v>46066</v>
      </c>
      <c r="B183" s="58" t="inlineStr">
        <is>
          <t>DAIANE STAVICKI</t>
        </is>
      </c>
      <c r="C183" s="58" t="inlineStr">
        <is>
          <t>ESSENCE FOOD 96</t>
        </is>
      </c>
      <c r="D183" s="58" t="inlineStr">
        <is>
          <t>80.355.196/7571-23</t>
        </is>
      </c>
      <c r="E183" s="58" t="inlineStr">
        <is>
          <t>MG</t>
        </is>
      </c>
      <c r="F183" s="58" t="inlineStr">
        <is>
          <t>MUNDO VERDE</t>
        </is>
      </c>
      <c r="G183" s="58" t="inlineStr">
        <is>
          <t>ATIVO</t>
        </is>
      </c>
      <c r="H183" s="58" t="n">
        <v>19</v>
      </c>
      <c r="I183" s="58">
        <f>IF(R183="","",VLOOKUP(R183,REGRAS!$B$2:$D$13,3,FALSE()))</f>
        <v/>
      </c>
      <c r="J183" s="58" t="n"/>
      <c r="K183" s="58">
        <f>IF(R183="","",IF(R183="VENDA / PEDIDO","RECOMPRA",IF(R183="SUPORTE","PÓS-VENDA",IF(OR(R183="FOLLOW UP 7",R183="FOLLOW UP 15"),"SALVAMENTO",IF(R183="PERDA / FECHOU LOJA","NUTRIÇÃO",IF(R183="RELACIONAMENTO","CS",IF(OR(R183="ORÇAMENTO",R183="CADASTRO"),"PROSPECÇÃO",IF(R183="EM ATENDIMENTO","EM ATENDIMENTO",IF(OR(R183="NÃO ATENDE",R183="NÃO RESPONDE",R183="RECUSOU LIGAÇÃO"),"RECUPERAÇÃO","")))))))))</f>
        <v/>
      </c>
      <c r="L183" s="58">
        <f>IF(H183="","",IF(G183="PROSPECT","🟣",IF(G183="LEAD","🟣",IF(G183="NOVO","🟢",IF(H183&lt;=50,"🟢",IF(H183&lt;=90,"🟡","🔴"))))))</f>
        <v/>
      </c>
      <c r="M183" s="58" t="n"/>
      <c r="N183" s="58" t="inlineStr">
        <is>
          <t>SIM</t>
        </is>
      </c>
      <c r="O183" s="58" t="inlineStr">
        <is>
          <t>NÃO</t>
        </is>
      </c>
      <c r="P183" s="58" t="inlineStr">
        <is>
          <t>N/A</t>
        </is>
      </c>
      <c r="Q183" s="58" t="inlineStr">
        <is>
          <t>PROSPECÇÃO</t>
        </is>
      </c>
      <c r="R183" s="58" t="inlineStr">
        <is>
          <t>NÃO RESPONDE</t>
        </is>
      </c>
      <c r="S183" s="58" t="inlineStr">
        <is>
          <t>PROBLEMA LOGÍSTICO / ENTREGA</t>
        </is>
      </c>
      <c r="T183" s="71">
        <f>IF(R183="","",IF(OR(R183="SUPORTE",R183="PERDA / FECHOU LOJA"),"SEM",A183+VLOOKUP(R183,REGRAS!$B$2:$C$13,2,FALSE())))</f>
        <v/>
      </c>
      <c r="U183" s="58">
        <f>IF(R183="","",IF(R183="VENDA / PEDIDO","RECOMPRA",IF(R183="SUPORTE","PÓS-VENDA",IF(R183="RELACIONAMENTO","CS",IF(OR(R183="NÃO ATENDE",R183="NÃO RESPONDE",R183="RECUSOU LIGAÇÃO"),"REATIVAÇÃO",IF(R183="PERDA / FECHOU LOJA","NUTRIÇÃO",IF(OR(R183="FOLLOW UP 7",R183="FOLLOW UP 15"),"SALVAMENTO","PROSPECÇÃO")))))))</f>
        <v/>
      </c>
      <c r="V183" s="58" t="n"/>
      <c r="W183" s="58" t="inlineStr">
        <is>
          <t>SIM</t>
        </is>
      </c>
      <c r="X183" s="58" t="n"/>
    </row>
    <row r="184">
      <c r="A184" s="71" t="n">
        <v>46062</v>
      </c>
      <c r="B184" s="58" t="inlineStr">
        <is>
          <t>DAIANE STAVICKI</t>
        </is>
      </c>
      <c r="C184" s="58" t="inlineStr">
        <is>
          <t>VIDA SAUDÁVEL 03</t>
        </is>
      </c>
      <c r="D184" s="58" t="inlineStr">
        <is>
          <t>18.302.761/7266-26</t>
        </is>
      </c>
      <c r="E184" s="58" t="inlineStr">
        <is>
          <t>PR</t>
        </is>
      </c>
      <c r="F184" s="58" t="inlineStr">
        <is>
          <t>DEMAIS CLIENTES</t>
        </is>
      </c>
      <c r="G184" s="58" t="inlineStr">
        <is>
          <t>NOVO</t>
        </is>
      </c>
      <c r="H184" s="58" t="n"/>
      <c r="I184" s="58">
        <f>IF(R184="","",VLOOKUP(R184,REGRAS!$B$2:$D$13,3,FALSE()))</f>
        <v/>
      </c>
      <c r="J184" s="58" t="n"/>
      <c r="K184" s="58">
        <f>IF(R184="","",IF(R184="VENDA / PEDIDO","RECOMPRA",IF(R184="SUPORTE","PÓS-VENDA",IF(OR(R184="FOLLOW UP 7",R184="FOLLOW UP 15"),"SALVAMENTO",IF(R184="PERDA / FECHOU LOJA","NUTRIÇÃO",IF(R184="RELACIONAMENTO","CS",IF(OR(R184="ORÇAMENTO",R184="CADASTRO"),"PROSPECÇÃO",IF(R184="EM ATENDIMENTO","EM ATENDIMENTO",IF(OR(R184="NÃO ATENDE",R184="NÃO RESPONDE",R184="RECUSOU LIGAÇÃO"),"RECUPERAÇÃO","")))))))))</f>
        <v/>
      </c>
      <c r="L184" s="58">
        <f>IF(H184="","",IF(G184="PROSPECT","🟣",IF(G184="LEAD","🟣",IF(G184="NOVO","🟢",IF(H184&lt;=50,"🟢",IF(H184&lt;=90,"🟡","🔴"))))))</f>
        <v/>
      </c>
      <c r="M184" s="58" t="n"/>
      <c r="N184" s="58" t="inlineStr">
        <is>
          <t>SIM</t>
        </is>
      </c>
      <c r="O184" s="58" t="inlineStr">
        <is>
          <t>NÃO</t>
        </is>
      </c>
      <c r="P184" s="58" t="inlineStr">
        <is>
          <t>N/A</t>
        </is>
      </c>
      <c r="Q184" s="58" t="inlineStr">
        <is>
          <t>PROSPECÇÃO</t>
        </is>
      </c>
      <c r="R184" s="58" t="inlineStr">
        <is>
          <t>VENDA / PEDIDO</t>
        </is>
      </c>
      <c r="S184" s="58" t="n"/>
      <c r="T184" s="71">
        <f>IF(R184="","",IF(OR(R184="SUPORTE",R184="PERDA / FECHOU LOJA"),"SEM",A184+VLOOKUP(R184,REGRAS!$B$2:$C$13,2,FALSE())))</f>
        <v/>
      </c>
      <c r="U184" s="58">
        <f>IF(R184="","",IF(R184="VENDA / PEDIDO","RECOMPRA",IF(R184="SUPORTE","PÓS-VENDA",IF(R184="RELACIONAMENTO","CS",IF(OR(R184="NÃO ATENDE",R184="NÃO RESPONDE",R184="RECUSOU LIGAÇÃO"),"REATIVAÇÃO",IF(R184="PERDA / FECHOU LOJA","NUTRIÇÃO",IF(OR(R184="FOLLOW UP 7",R184="FOLLOW UP 15"),"SALVAMENTO","PROSPECÇÃO")))))))</f>
        <v/>
      </c>
      <c r="V184" s="58" t="n"/>
      <c r="W184" s="58" t="inlineStr">
        <is>
          <t>SIM</t>
        </is>
      </c>
      <c r="X184" s="58" t="n"/>
    </row>
    <row r="185">
      <c r="A185" s="71" t="n">
        <v>46077</v>
      </c>
      <c r="B185" s="58" t="inlineStr">
        <is>
          <t>LARISSA PADILHA</t>
        </is>
      </c>
      <c r="C185" s="58" t="inlineStr">
        <is>
          <t>EMPÓRIO NATURAL 49</t>
        </is>
      </c>
      <c r="D185" s="58" t="inlineStr">
        <is>
          <t>97.536.276/5800-37</t>
        </is>
      </c>
      <c r="E185" s="58" t="inlineStr">
        <is>
          <t>GO</t>
        </is>
      </c>
      <c r="F185" s="58" t="inlineStr">
        <is>
          <t>CIA DA SAUDE</t>
        </is>
      </c>
      <c r="G185" s="58" t="inlineStr">
        <is>
          <t>EM RISCO</t>
        </is>
      </c>
      <c r="H185" s="58" t="n">
        <v>53</v>
      </c>
      <c r="I185" s="58">
        <f>IF(R185="","",VLOOKUP(R185,REGRAS!$B$2:$D$13,3,FALSE()))</f>
        <v/>
      </c>
      <c r="J185" s="58" t="n"/>
      <c r="K185" s="58">
        <f>IF(R185="","",IF(R185="VENDA / PEDIDO","RECOMPRA",IF(R185="SUPORTE","PÓS-VENDA",IF(OR(R185="FOLLOW UP 7",R185="FOLLOW UP 15"),"SALVAMENTO",IF(R185="PERDA / FECHOU LOJA","NUTRIÇÃO",IF(R185="RELACIONAMENTO","CS",IF(OR(R185="ORÇAMENTO",R185="CADASTRO"),"PROSPECÇÃO",IF(R185="EM ATENDIMENTO","EM ATENDIMENTO",IF(OR(R185="NÃO ATENDE",R185="NÃO RESPONDE",R185="RECUSOU LIGAÇÃO"),"RECUPERAÇÃO","")))))))))</f>
        <v/>
      </c>
      <c r="L185" s="58">
        <f>IF(H185="","",IF(G185="PROSPECT","🟣",IF(G185="LEAD","🟣",IF(G185="NOVO","🟢",IF(H185&lt;=50,"🟢",IF(H185&lt;=90,"🟡","🔴"))))))</f>
        <v/>
      </c>
      <c r="M185" s="58" t="n"/>
      <c r="N185" s="58" t="inlineStr">
        <is>
          <t>SIM</t>
        </is>
      </c>
      <c r="O185" s="58" t="inlineStr">
        <is>
          <t>SIM</t>
        </is>
      </c>
      <c r="P185" s="58" t="inlineStr">
        <is>
          <t>SIM</t>
        </is>
      </c>
      <c r="Q185" s="58" t="inlineStr">
        <is>
          <t>PROSPECÇÃO</t>
        </is>
      </c>
      <c r="R185" s="58" t="inlineStr">
        <is>
          <t>NÃO ATENDE</t>
        </is>
      </c>
      <c r="S185" s="58" t="inlineStr">
        <is>
          <t>PROBLEMA LOGÍSTICO / ENTREGA</t>
        </is>
      </c>
      <c r="T185" s="71">
        <f>IF(R185="","",IF(OR(R185="SUPORTE",R185="PERDA / FECHOU LOJA"),"SEM",A185+VLOOKUP(R185,REGRAS!$B$2:$C$13,2,FALSE())))</f>
        <v/>
      </c>
      <c r="U185" s="58">
        <f>IF(R185="","",IF(R185="VENDA / PEDIDO","RECOMPRA",IF(R185="SUPORTE","PÓS-VENDA",IF(R185="RELACIONAMENTO","CS",IF(OR(R185="NÃO ATENDE",R185="NÃO RESPONDE",R185="RECUSOU LIGAÇÃO"),"REATIVAÇÃO",IF(R185="PERDA / FECHOU LOJA","NUTRIÇÃO",IF(OR(R185="FOLLOW UP 7",R185="FOLLOW UP 15"),"SALVAMENTO","PROSPECÇÃO")))))))</f>
        <v/>
      </c>
      <c r="V185" s="58" t="n"/>
      <c r="W185" s="58" t="inlineStr">
        <is>
          <t>SIM</t>
        </is>
      </c>
      <c r="X185" s="58" t="n"/>
    </row>
    <row r="186">
      <c r="A186" s="71" t="n">
        <v>46062</v>
      </c>
      <c r="B186" s="58" t="inlineStr">
        <is>
          <t>LARISSA PADILHA</t>
        </is>
      </c>
      <c r="C186" s="58" t="inlineStr">
        <is>
          <t>NUTRI SHOP 26</t>
        </is>
      </c>
      <c r="D186" s="58" t="inlineStr">
        <is>
          <t>92.916.638/4083-90</t>
        </is>
      </c>
      <c r="E186" s="58" t="inlineStr">
        <is>
          <t>CE</t>
        </is>
      </c>
      <c r="F186" s="58" t="inlineStr">
        <is>
          <t>VIDA LEVE</t>
        </is>
      </c>
      <c r="G186" s="58" t="inlineStr">
        <is>
          <t>ATIVO</t>
        </is>
      </c>
      <c r="H186" s="58" t="n">
        <v>29</v>
      </c>
      <c r="I186" s="58">
        <f>IF(R186="","",VLOOKUP(R186,REGRAS!$B$2:$D$13,3,FALSE()))</f>
        <v/>
      </c>
      <c r="J186" s="58" t="n"/>
      <c r="K186" s="58">
        <f>IF(R186="","",IF(R186="VENDA / PEDIDO","RECOMPRA",IF(R186="SUPORTE","PÓS-VENDA",IF(OR(R186="FOLLOW UP 7",R186="FOLLOW UP 15"),"SALVAMENTO",IF(R186="PERDA / FECHOU LOJA","NUTRIÇÃO",IF(R186="RELACIONAMENTO","CS",IF(OR(R186="ORÇAMENTO",R186="CADASTRO"),"PROSPECÇÃO",IF(R186="EM ATENDIMENTO","EM ATENDIMENTO",IF(OR(R186="NÃO ATENDE",R186="NÃO RESPONDE",R186="RECUSOU LIGAÇÃO"),"RECUPERAÇÃO","")))))))))</f>
        <v/>
      </c>
      <c r="L186" s="58">
        <f>IF(H186="","",IF(G186="PROSPECT","🟣",IF(G186="LEAD","🟣",IF(G186="NOVO","🟢",IF(H186&lt;=50,"🟢",IF(H186&lt;=90,"🟡","🔴"))))))</f>
        <v/>
      </c>
      <c r="M186" s="58" t="n"/>
      <c r="N186" s="58" t="inlineStr">
        <is>
          <t>SIM</t>
        </is>
      </c>
      <c r="O186" s="58" t="inlineStr">
        <is>
          <t>NÃO</t>
        </is>
      </c>
      <c r="P186" s="58" t="inlineStr">
        <is>
          <t>N/A</t>
        </is>
      </c>
      <c r="Q186" s="58" t="inlineStr">
        <is>
          <t>PÓS-VENDA / RELACIONAMENTO</t>
        </is>
      </c>
      <c r="R186" s="58" t="inlineStr">
        <is>
          <t>FOLLOW UP 7</t>
        </is>
      </c>
      <c r="S186" s="58" t="inlineStr">
        <is>
          <t>SEM INTERESSE NO MOMENTO</t>
        </is>
      </c>
      <c r="T186" s="71">
        <f>IF(R186="","",IF(OR(R186="SUPORTE",R186="PERDA / FECHOU LOJA"),"SEM",A186+VLOOKUP(R186,REGRAS!$B$2:$C$13,2,FALSE())))</f>
        <v/>
      </c>
      <c r="U186" s="58">
        <f>IF(R186="","",IF(R186="VENDA / PEDIDO","RECOMPRA",IF(R186="SUPORTE","PÓS-VENDA",IF(R186="RELACIONAMENTO","CS",IF(OR(R186="NÃO ATENDE",R186="NÃO RESPONDE",R186="RECUSOU LIGAÇÃO"),"REATIVAÇÃO",IF(R186="PERDA / FECHOU LOJA","NUTRIÇÃO",IF(OR(R186="FOLLOW UP 7",R186="FOLLOW UP 15"),"SALVAMENTO","PROSPECÇÃO")))))))</f>
        <v/>
      </c>
      <c r="V186" s="58" t="n"/>
      <c r="W186" s="58" t="inlineStr">
        <is>
          <t>SIM</t>
        </is>
      </c>
      <c r="X186" s="58" t="n"/>
    </row>
    <row r="187">
      <c r="A187" s="71" t="n">
        <v>46066</v>
      </c>
      <c r="B187" s="58" t="inlineStr">
        <is>
          <t>MANU DITZEL</t>
        </is>
      </c>
      <c r="C187" s="58" t="inlineStr">
        <is>
          <t>EMPÓRIO NATURAL 41</t>
        </is>
      </c>
      <c r="D187" s="58" t="inlineStr">
        <is>
          <t>86.324.130/4603-17</t>
        </is>
      </c>
      <c r="E187" s="58" t="inlineStr">
        <is>
          <t>MG</t>
        </is>
      </c>
      <c r="F187" s="58" t="inlineStr">
        <is>
          <t>DIVINA TERRA</t>
        </is>
      </c>
      <c r="G187" s="58" t="inlineStr">
        <is>
          <t>EM RISCO</t>
        </is>
      </c>
      <c r="H187" s="58" t="n">
        <v>60</v>
      </c>
      <c r="I187" s="58">
        <f>IF(R187="","",VLOOKUP(R187,REGRAS!$B$2:$D$13,3,FALSE()))</f>
        <v/>
      </c>
      <c r="J187" s="58" t="n"/>
      <c r="K187" s="58">
        <f>IF(R187="","",IF(R187="VENDA / PEDIDO","RECOMPRA",IF(R187="SUPORTE","PÓS-VENDA",IF(OR(R187="FOLLOW UP 7",R187="FOLLOW UP 15"),"SALVAMENTO",IF(R187="PERDA / FECHOU LOJA","NUTRIÇÃO",IF(R187="RELACIONAMENTO","CS",IF(OR(R187="ORÇAMENTO",R187="CADASTRO"),"PROSPECÇÃO",IF(R187="EM ATENDIMENTO","EM ATENDIMENTO",IF(OR(R187="NÃO ATENDE",R187="NÃO RESPONDE",R187="RECUSOU LIGAÇÃO"),"RECUPERAÇÃO","")))))))))</f>
        <v/>
      </c>
      <c r="L187" s="58">
        <f>IF(H187="","",IF(G187="PROSPECT","🟣",IF(G187="LEAD","🟣",IF(G187="NOVO","🟢",IF(H187&lt;=50,"🟢",IF(H187&lt;=90,"🟡","🔴"))))))</f>
        <v/>
      </c>
      <c r="M187" s="58" t="n"/>
      <c r="N187" s="58" t="inlineStr">
        <is>
          <t>SIM</t>
        </is>
      </c>
      <c r="O187" s="58" t="inlineStr">
        <is>
          <t>NÃO</t>
        </is>
      </c>
      <c r="P187" s="58" t="inlineStr">
        <is>
          <t>N/A</t>
        </is>
      </c>
      <c r="Q187" s="58" t="inlineStr">
        <is>
          <t>PERDA / NUTRIÇÃO</t>
        </is>
      </c>
      <c r="R187" s="58" t="inlineStr">
        <is>
          <t>SUPORTE</t>
        </is>
      </c>
      <c r="S187" s="58" t="n"/>
      <c r="T187" s="71">
        <f>IF(R187="","",IF(OR(R187="SUPORTE",R187="PERDA / FECHOU LOJA"),"SEM",A187+VLOOKUP(R187,REGRAS!$B$2:$C$13,2,FALSE())))</f>
        <v/>
      </c>
      <c r="U187" s="58">
        <f>IF(R187="","",IF(R187="VENDA / PEDIDO","RECOMPRA",IF(R187="SUPORTE","PÓS-VENDA",IF(R187="RELACIONAMENTO","CS",IF(OR(R187="NÃO ATENDE",R187="NÃO RESPONDE",R187="RECUSOU LIGAÇÃO"),"REATIVAÇÃO",IF(R187="PERDA / FECHOU LOJA","NUTRIÇÃO",IF(OR(R187="FOLLOW UP 7",R187="FOLLOW UP 15"),"SALVAMENTO","PROSPECÇÃO")))))))</f>
        <v/>
      </c>
      <c r="V187" s="58" t="n"/>
      <c r="W187" s="58" t="inlineStr">
        <is>
          <t>SIM</t>
        </is>
      </c>
      <c r="X187" s="58" t="n"/>
    </row>
    <row r="188">
      <c r="A188" s="71" t="n">
        <v>46080</v>
      </c>
      <c r="B188" s="58" t="inlineStr">
        <is>
          <t>DAIANE STAVICKI</t>
        </is>
      </c>
      <c r="C188" s="58" t="inlineStr">
        <is>
          <t>BIOMUNDO CTB 98</t>
        </is>
      </c>
      <c r="D188" s="58" t="inlineStr">
        <is>
          <t>38.689.966/6364-55</t>
        </is>
      </c>
      <c r="E188" s="58" t="inlineStr">
        <is>
          <t>GO</t>
        </is>
      </c>
      <c r="F188" s="58" t="inlineStr">
        <is>
          <t>DEMAIS CLIENTES</t>
        </is>
      </c>
      <c r="G188" s="58" t="inlineStr">
        <is>
          <t>ATIVO</t>
        </is>
      </c>
      <c r="H188" s="58" t="n">
        <v>20</v>
      </c>
      <c r="I188" s="58">
        <f>IF(R188="","",VLOOKUP(R188,REGRAS!$B$2:$D$13,3,FALSE()))</f>
        <v/>
      </c>
      <c r="J188" s="58" t="n"/>
      <c r="K188" s="58">
        <f>IF(R188="","",IF(R188="VENDA / PEDIDO","RECOMPRA",IF(R188="SUPORTE","PÓS-VENDA",IF(OR(R188="FOLLOW UP 7",R188="FOLLOW UP 15"),"SALVAMENTO",IF(R188="PERDA / FECHOU LOJA","NUTRIÇÃO",IF(R188="RELACIONAMENTO","CS",IF(OR(R188="ORÇAMENTO",R188="CADASTRO"),"PROSPECÇÃO",IF(R188="EM ATENDIMENTO","EM ATENDIMENTO",IF(OR(R188="NÃO ATENDE",R188="NÃO RESPONDE",R188="RECUSOU LIGAÇÃO"),"RECUPERAÇÃO","")))))))))</f>
        <v/>
      </c>
      <c r="L188" s="58">
        <f>IF(H188="","",IF(G188="PROSPECT","🟣",IF(G188="LEAD","🟣",IF(G188="NOVO","🟢",IF(H188&lt;=50,"🟢",IF(H188&lt;=90,"🟡","🔴"))))))</f>
        <v/>
      </c>
      <c r="M188" s="58" t="n"/>
      <c r="N188" s="58" t="inlineStr">
        <is>
          <t>SIM</t>
        </is>
      </c>
      <c r="O188" s="58" t="inlineStr">
        <is>
          <t>NÃO</t>
        </is>
      </c>
      <c r="P188" s="58" t="inlineStr">
        <is>
          <t>N/A</t>
        </is>
      </c>
      <c r="Q188" s="58" t="inlineStr">
        <is>
          <t>ATEND. CLIENTES ATIVOS</t>
        </is>
      </c>
      <c r="R188" s="58" t="inlineStr">
        <is>
          <t>SUPORTE</t>
        </is>
      </c>
      <c r="S188" s="58" t="n"/>
      <c r="T188" s="71">
        <f>IF(R188="","",IF(OR(R188="SUPORTE",R188="PERDA / FECHOU LOJA"),"SEM",A188+VLOOKUP(R188,REGRAS!$B$2:$C$13,2,FALSE())))</f>
        <v/>
      </c>
      <c r="U188" s="58">
        <f>IF(R188="","",IF(R188="VENDA / PEDIDO","RECOMPRA",IF(R188="SUPORTE","PÓS-VENDA",IF(R188="RELACIONAMENTO","CS",IF(OR(R188="NÃO ATENDE",R188="NÃO RESPONDE",R188="RECUSOU LIGAÇÃO"),"REATIVAÇÃO",IF(R188="PERDA / FECHOU LOJA","NUTRIÇÃO",IF(OR(R188="FOLLOW UP 7",R188="FOLLOW UP 15"),"SALVAMENTO","PROSPECÇÃO")))))))</f>
        <v/>
      </c>
      <c r="V188" s="58" t="n"/>
      <c r="W188" s="58" t="inlineStr">
        <is>
          <t>SIM</t>
        </is>
      </c>
      <c r="X188" s="58" t="n"/>
    </row>
    <row r="189">
      <c r="A189" s="71" t="n">
        <v>46076</v>
      </c>
      <c r="B189" s="58" t="inlineStr">
        <is>
          <t>LARISSA PADILHA</t>
        </is>
      </c>
      <c r="C189" s="58" t="inlineStr">
        <is>
          <t>PURA VIDA 73</t>
        </is>
      </c>
      <c r="D189" s="58" t="inlineStr">
        <is>
          <t>28.676.292/8065-79</t>
        </is>
      </c>
      <c r="E189" s="58" t="inlineStr">
        <is>
          <t>SC</t>
        </is>
      </c>
      <c r="F189" s="58" t="inlineStr">
        <is>
          <t>DIVINA TERRA</t>
        </is>
      </c>
      <c r="G189" s="58" t="inlineStr">
        <is>
          <t>ATIVO</t>
        </is>
      </c>
      <c r="H189" s="58" t="n">
        <v>19</v>
      </c>
      <c r="I189" s="58">
        <f>IF(R189="","",VLOOKUP(R189,REGRAS!$B$2:$D$13,3,FALSE()))</f>
        <v/>
      </c>
      <c r="J189" s="58" t="n"/>
      <c r="K189" s="58">
        <f>IF(R189="","",IF(R189="VENDA / PEDIDO","RECOMPRA",IF(R189="SUPORTE","PÓS-VENDA",IF(OR(R189="FOLLOW UP 7",R189="FOLLOW UP 15"),"SALVAMENTO",IF(R189="PERDA / FECHOU LOJA","NUTRIÇÃO",IF(R189="RELACIONAMENTO","CS",IF(OR(R189="ORÇAMENTO",R189="CADASTRO"),"PROSPECÇÃO",IF(R189="EM ATENDIMENTO","EM ATENDIMENTO",IF(OR(R189="NÃO ATENDE",R189="NÃO RESPONDE",R189="RECUSOU LIGAÇÃO"),"RECUPERAÇÃO","")))))))))</f>
        <v/>
      </c>
      <c r="L189" s="58">
        <f>IF(H189="","",IF(G189="PROSPECT","🟣",IF(G189="LEAD","🟣",IF(G189="NOVO","🟢",IF(H189&lt;=50,"🟢",IF(H189&lt;=90,"🟡","🔴"))))))</f>
        <v/>
      </c>
      <c r="M189" s="58" t="n"/>
      <c r="N189" s="58" t="inlineStr">
        <is>
          <t>SIM</t>
        </is>
      </c>
      <c r="O189" s="58" t="inlineStr">
        <is>
          <t>SIM</t>
        </is>
      </c>
      <c r="P189" s="58" t="inlineStr">
        <is>
          <t>NÃO</t>
        </is>
      </c>
      <c r="Q189" s="58" t="inlineStr">
        <is>
          <t>ATEND. CLIENTES ATIVOS</t>
        </is>
      </c>
      <c r="R189" s="58" t="inlineStr">
        <is>
          <t>VENDA / PEDIDO</t>
        </is>
      </c>
      <c r="S189" s="58" t="n"/>
      <c r="T189" s="71">
        <f>IF(R189="","",IF(OR(R189="SUPORTE",R189="PERDA / FECHOU LOJA"),"SEM",A189+VLOOKUP(R189,REGRAS!$B$2:$C$13,2,FALSE())))</f>
        <v/>
      </c>
      <c r="U189" s="58">
        <f>IF(R189="","",IF(R189="VENDA / PEDIDO","RECOMPRA",IF(R189="SUPORTE","PÓS-VENDA",IF(R189="RELACIONAMENTO","CS",IF(OR(R189="NÃO ATENDE",R189="NÃO RESPONDE",R189="RECUSOU LIGAÇÃO"),"REATIVAÇÃO",IF(R189="PERDA / FECHOU LOJA","NUTRIÇÃO",IF(OR(R189="FOLLOW UP 7",R189="FOLLOW UP 15"),"SALVAMENTO","PROSPECÇÃO")))))))</f>
        <v/>
      </c>
      <c r="V189" s="58" t="n"/>
      <c r="W189" s="58" t="inlineStr">
        <is>
          <t>NÃO</t>
        </is>
      </c>
      <c r="X189" s="58" t="n"/>
    </row>
    <row r="190">
      <c r="A190" s="71" t="n">
        <v>46064</v>
      </c>
      <c r="B190" s="58" t="inlineStr">
        <is>
          <t>JULIO GADRET</t>
        </is>
      </c>
      <c r="C190" s="58" t="inlineStr">
        <is>
          <t>BIO GRÃOS 08</t>
        </is>
      </c>
      <c r="D190" s="58" t="inlineStr">
        <is>
          <t>12.251.700/2321-24</t>
        </is>
      </c>
      <c r="E190" s="58" t="inlineStr">
        <is>
          <t>MG</t>
        </is>
      </c>
      <c r="F190" s="58" t="inlineStr">
        <is>
          <t>DEMAIS CLIENTES</t>
        </is>
      </c>
      <c r="G190" s="58" t="inlineStr">
        <is>
          <t>PROSPECT</t>
        </is>
      </c>
      <c r="H190" s="58" t="n"/>
      <c r="I190" s="58">
        <f>IF(R190="","",VLOOKUP(R190,REGRAS!$B$2:$D$13,3,FALSE()))</f>
        <v/>
      </c>
      <c r="J190" s="58" t="n"/>
      <c r="K190" s="58">
        <f>IF(R190="","",IF(R190="VENDA / PEDIDO","RECOMPRA",IF(R190="SUPORTE","PÓS-VENDA",IF(OR(R190="FOLLOW UP 7",R190="FOLLOW UP 15"),"SALVAMENTO",IF(R190="PERDA / FECHOU LOJA","NUTRIÇÃO",IF(R190="RELACIONAMENTO","CS",IF(OR(R190="ORÇAMENTO",R190="CADASTRO"),"PROSPECÇÃO",IF(R190="EM ATENDIMENTO","EM ATENDIMENTO",IF(OR(R190="NÃO ATENDE",R190="NÃO RESPONDE",R190="RECUSOU LIGAÇÃO"),"RECUPERAÇÃO","")))))))))</f>
        <v/>
      </c>
      <c r="L190" s="58">
        <f>IF(H190="","",IF(G190="PROSPECT","🟣",IF(G190="LEAD","🟣",IF(G190="NOVO","🟢",IF(H190&lt;=50,"🟢",IF(H190&lt;=90,"🟡","🔴"))))))</f>
        <v/>
      </c>
      <c r="M190" s="58" t="n"/>
      <c r="N190" s="58" t="inlineStr">
        <is>
          <t>SIM</t>
        </is>
      </c>
      <c r="O190" s="58" t="inlineStr">
        <is>
          <t>SIM</t>
        </is>
      </c>
      <c r="P190" s="58" t="inlineStr">
        <is>
          <t>SIM</t>
        </is>
      </c>
      <c r="Q190" s="58" t="inlineStr">
        <is>
          <t>ATEND. CLIENTES ATIVOS</t>
        </is>
      </c>
      <c r="R190" s="58" t="inlineStr">
        <is>
          <t>EM ATENDIMENTO</t>
        </is>
      </c>
      <c r="S190" s="58" t="n"/>
      <c r="T190" s="71">
        <f>IF(R190="","",IF(OR(R190="SUPORTE",R190="PERDA / FECHOU LOJA"),"SEM",A190+VLOOKUP(R190,REGRAS!$B$2:$C$13,2,FALSE())))</f>
        <v/>
      </c>
      <c r="U190" s="58">
        <f>IF(R190="","",IF(R190="VENDA / PEDIDO","RECOMPRA",IF(R190="SUPORTE","PÓS-VENDA",IF(R190="RELACIONAMENTO","CS",IF(OR(R190="NÃO ATENDE",R190="NÃO RESPONDE",R190="RECUSOU LIGAÇÃO"),"REATIVAÇÃO",IF(R190="PERDA / FECHOU LOJA","NUTRIÇÃO",IF(OR(R190="FOLLOW UP 7",R190="FOLLOW UP 15"),"SALVAMENTO","PROSPECÇÃO")))))))</f>
        <v/>
      </c>
      <c r="V190" s="58" t="n"/>
      <c r="W190" s="58" t="inlineStr">
        <is>
          <t>SIM</t>
        </is>
      </c>
      <c r="X190" s="58" t="n"/>
    </row>
    <row r="191">
      <c r="A191" s="71" t="n">
        <v>46059</v>
      </c>
      <c r="B191" s="58" t="inlineStr">
        <is>
          <t>JULIO GADRET</t>
        </is>
      </c>
      <c r="C191" s="58" t="inlineStr">
        <is>
          <t>SAUDE NA MESA 82</t>
        </is>
      </c>
      <c r="D191" s="58" t="inlineStr">
        <is>
          <t>72.764.424/2855-81</t>
        </is>
      </c>
      <c r="E191" s="58" t="inlineStr">
        <is>
          <t>SP</t>
        </is>
      </c>
      <c r="F191" s="58" t="inlineStr">
        <is>
          <t>DEMAIS CLIENTES</t>
        </is>
      </c>
      <c r="G191" s="58" t="inlineStr">
        <is>
          <t>INAT.ANT</t>
        </is>
      </c>
      <c r="H191" s="58" t="n">
        <v>148</v>
      </c>
      <c r="I191" s="58">
        <f>IF(R191="","",VLOOKUP(R191,REGRAS!$B$2:$D$13,3,FALSE()))</f>
        <v/>
      </c>
      <c r="J191" s="58" t="n"/>
      <c r="K191" s="58">
        <f>IF(R191="","",IF(R191="VENDA / PEDIDO","RECOMPRA",IF(R191="SUPORTE","PÓS-VENDA",IF(OR(R191="FOLLOW UP 7",R191="FOLLOW UP 15"),"SALVAMENTO",IF(R191="PERDA / FECHOU LOJA","NUTRIÇÃO",IF(R191="RELACIONAMENTO","CS",IF(OR(R191="ORÇAMENTO",R191="CADASTRO"),"PROSPECÇÃO",IF(R191="EM ATENDIMENTO","EM ATENDIMENTO",IF(OR(R191="NÃO ATENDE",R191="NÃO RESPONDE",R191="RECUSOU LIGAÇÃO"),"RECUPERAÇÃO","")))))))))</f>
        <v/>
      </c>
      <c r="L191" s="58">
        <f>IF(H191="","",IF(G191="PROSPECT","🟣",IF(G191="LEAD","🟣",IF(G191="NOVO","🟢",IF(H191&lt;=50,"🟢",IF(H191&lt;=90,"🟡","🔴"))))))</f>
        <v/>
      </c>
      <c r="M191" s="58" t="n"/>
      <c r="N191" s="58" t="inlineStr">
        <is>
          <t>SIM</t>
        </is>
      </c>
      <c r="O191" s="58" t="inlineStr">
        <is>
          <t>NÃO</t>
        </is>
      </c>
      <c r="P191" s="58" t="inlineStr">
        <is>
          <t>N/A</t>
        </is>
      </c>
      <c r="Q191" s="58" t="inlineStr">
        <is>
          <t>ATEND. CLIENTES INATIVOS</t>
        </is>
      </c>
      <c r="R191" s="58" t="inlineStr">
        <is>
          <t>PERDA / FECHOU LOJA</t>
        </is>
      </c>
      <c r="S191" s="58" t="inlineStr">
        <is>
          <t>PRODUTO NÃO VENDEU / SEM GIRO</t>
        </is>
      </c>
      <c r="T191" s="71">
        <f>IF(R191="","",IF(OR(R191="SUPORTE",R191="PERDA / FECHOU LOJA"),"SEM",A191+VLOOKUP(R191,REGRAS!$B$2:$C$13,2,FALSE())))</f>
        <v/>
      </c>
      <c r="U191" s="58">
        <f>IF(R191="","",IF(R191="VENDA / PEDIDO","RECOMPRA",IF(R191="SUPORTE","PÓS-VENDA",IF(R191="RELACIONAMENTO","CS",IF(OR(R191="NÃO ATENDE",R191="NÃO RESPONDE",R191="RECUSOU LIGAÇÃO"),"REATIVAÇÃO",IF(R191="PERDA / FECHOU LOJA","NUTRIÇÃO",IF(OR(R191="FOLLOW UP 7",R191="FOLLOW UP 15"),"SALVAMENTO","PROSPECÇÃO")))))))</f>
        <v/>
      </c>
      <c r="V191" s="58" t="n"/>
      <c r="W191" s="58" t="inlineStr">
        <is>
          <t>SIM</t>
        </is>
      </c>
      <c r="X191" s="58" t="n"/>
    </row>
    <row r="192">
      <c r="A192" s="71" t="n">
        <v>46054</v>
      </c>
      <c r="B192" s="58" t="inlineStr">
        <is>
          <t>DAIANE STAVICKI</t>
        </is>
      </c>
      <c r="C192" s="58" t="inlineStr">
        <is>
          <t>PURA VIDA 51</t>
        </is>
      </c>
      <c r="D192" s="58" t="inlineStr">
        <is>
          <t>82.133.286/9870-50</t>
        </is>
      </c>
      <c r="E192" s="58" t="inlineStr">
        <is>
          <t>GO</t>
        </is>
      </c>
      <c r="F192" s="58" t="inlineStr">
        <is>
          <t>DEMAIS CLIENTES</t>
        </is>
      </c>
      <c r="G192" s="58" t="inlineStr">
        <is>
          <t>ATIVO</t>
        </is>
      </c>
      <c r="H192" s="58" t="n">
        <v>41</v>
      </c>
      <c r="I192" s="58">
        <f>IF(R192="","",VLOOKUP(R192,REGRAS!$B$2:$D$13,3,FALSE()))</f>
        <v/>
      </c>
      <c r="J192" s="58" t="n"/>
      <c r="K192" s="58">
        <f>IF(R192="","",IF(R192="VENDA / PEDIDO","RECOMPRA",IF(R192="SUPORTE","PÓS-VENDA",IF(OR(R192="FOLLOW UP 7",R192="FOLLOW UP 15"),"SALVAMENTO",IF(R192="PERDA / FECHOU LOJA","NUTRIÇÃO",IF(R192="RELACIONAMENTO","CS",IF(OR(R192="ORÇAMENTO",R192="CADASTRO"),"PROSPECÇÃO",IF(R192="EM ATENDIMENTO","EM ATENDIMENTO",IF(OR(R192="NÃO ATENDE",R192="NÃO RESPONDE",R192="RECUSOU LIGAÇÃO"),"RECUPERAÇÃO","")))))))))</f>
        <v/>
      </c>
      <c r="L192" s="58">
        <f>IF(H192="","",IF(G192="PROSPECT","🟣",IF(G192="LEAD","🟣",IF(G192="NOVO","🟢",IF(H192&lt;=50,"🟢",IF(H192&lt;=90,"🟡","🔴"))))))</f>
        <v/>
      </c>
      <c r="M192" s="58" t="n"/>
      <c r="N192" s="58" t="inlineStr">
        <is>
          <t>SIM</t>
        </is>
      </c>
      <c r="O192" s="58" t="inlineStr">
        <is>
          <t>SIM</t>
        </is>
      </c>
      <c r="P192" s="58" t="inlineStr">
        <is>
          <t>SIM</t>
        </is>
      </c>
      <c r="Q192" s="58" t="inlineStr">
        <is>
          <t>PROSPECÇÃO</t>
        </is>
      </c>
      <c r="R192" s="58" t="inlineStr">
        <is>
          <t>CADASTRO</t>
        </is>
      </c>
      <c r="S192" s="58" t="n"/>
      <c r="T192" s="71">
        <f>IF(R192="","",IF(OR(R192="SUPORTE",R192="PERDA / FECHOU LOJA"),"SEM",A192+VLOOKUP(R192,REGRAS!$B$2:$C$13,2,FALSE())))</f>
        <v/>
      </c>
      <c r="U192" s="58">
        <f>IF(R192="","",IF(R192="VENDA / PEDIDO","RECOMPRA",IF(R192="SUPORTE","PÓS-VENDA",IF(R192="RELACIONAMENTO","CS",IF(OR(R192="NÃO ATENDE",R192="NÃO RESPONDE",R192="RECUSOU LIGAÇÃO"),"REATIVAÇÃO",IF(R192="PERDA / FECHOU LOJA","NUTRIÇÃO",IF(OR(R192="FOLLOW UP 7",R192="FOLLOW UP 15"),"SALVAMENTO","PROSPECÇÃO")))))))</f>
        <v/>
      </c>
      <c r="V192" s="58" t="n"/>
      <c r="W192" s="58" t="inlineStr">
        <is>
          <t>SIM</t>
        </is>
      </c>
      <c r="X192" s="58" t="n"/>
    </row>
    <row r="193">
      <c r="A193" s="71" t="n">
        <v>46074</v>
      </c>
      <c r="B193" s="58" t="inlineStr">
        <is>
          <t>DAIANE STAVICKI</t>
        </is>
      </c>
      <c r="C193" s="58" t="inlineStr">
        <is>
          <t>GRÃO DE OURO 91</t>
        </is>
      </c>
      <c r="D193" s="58" t="inlineStr">
        <is>
          <t>95.754.846/5501-67</t>
        </is>
      </c>
      <c r="E193" s="58" t="inlineStr">
        <is>
          <t>PR</t>
        </is>
      </c>
      <c r="F193" s="58" t="inlineStr">
        <is>
          <t>BIOMUNDO</t>
        </is>
      </c>
      <c r="G193" s="58" t="inlineStr">
        <is>
          <t>INAT.ANT</t>
        </is>
      </c>
      <c r="H193" s="58" t="n">
        <v>180</v>
      </c>
      <c r="I193" s="58">
        <f>IF(R193="","",VLOOKUP(R193,REGRAS!$B$2:$D$13,3,FALSE()))</f>
        <v/>
      </c>
      <c r="J193" s="58" t="n"/>
      <c r="K193" s="58">
        <f>IF(R193="","",IF(R193="VENDA / PEDIDO","RECOMPRA",IF(R193="SUPORTE","PÓS-VENDA",IF(OR(R193="FOLLOW UP 7",R193="FOLLOW UP 15"),"SALVAMENTO",IF(R193="PERDA / FECHOU LOJA","NUTRIÇÃO",IF(R193="RELACIONAMENTO","CS",IF(OR(R193="ORÇAMENTO",R193="CADASTRO"),"PROSPECÇÃO",IF(R193="EM ATENDIMENTO","EM ATENDIMENTO",IF(OR(R193="NÃO ATENDE",R193="NÃO RESPONDE",R193="RECUSOU LIGAÇÃO"),"RECUPERAÇÃO","")))))))))</f>
        <v/>
      </c>
      <c r="L193" s="58">
        <f>IF(H193="","",IF(G193="PROSPECT","🟣",IF(G193="LEAD","🟣",IF(G193="NOVO","🟢",IF(H193&lt;=50,"🟢",IF(H193&lt;=90,"🟡","🔴"))))))</f>
        <v/>
      </c>
      <c r="M193" s="58" t="n"/>
      <c r="N193" s="58" t="inlineStr">
        <is>
          <t>SIM</t>
        </is>
      </c>
      <c r="O193" s="58" t="inlineStr">
        <is>
          <t>SIM</t>
        </is>
      </c>
      <c r="P193" s="58" t="inlineStr">
        <is>
          <t>NÃO</t>
        </is>
      </c>
      <c r="Q193" s="58" t="inlineStr">
        <is>
          <t>FOLLOW UP</t>
        </is>
      </c>
      <c r="R193" s="58" t="inlineStr">
        <is>
          <t>EM ATENDIMENTO</t>
        </is>
      </c>
      <c r="S193" s="58" t="n"/>
      <c r="T193" s="71">
        <f>IF(R193="","",IF(OR(R193="SUPORTE",R193="PERDA / FECHOU LOJA"),"SEM",A193+VLOOKUP(R193,REGRAS!$B$2:$C$13,2,FALSE())))</f>
        <v/>
      </c>
      <c r="U193" s="58">
        <f>IF(R193="","",IF(R193="VENDA / PEDIDO","RECOMPRA",IF(R193="SUPORTE","PÓS-VENDA",IF(R193="RELACIONAMENTO","CS",IF(OR(R193="NÃO ATENDE",R193="NÃO RESPONDE",R193="RECUSOU LIGAÇÃO"),"REATIVAÇÃO",IF(R193="PERDA / FECHOU LOJA","NUTRIÇÃO",IF(OR(R193="FOLLOW UP 7",R193="FOLLOW UP 15"),"SALVAMENTO","PROSPECÇÃO")))))))</f>
        <v/>
      </c>
      <c r="V193" s="58" t="n"/>
      <c r="W193" s="58" t="inlineStr">
        <is>
          <t>NÃO</t>
        </is>
      </c>
      <c r="X193" s="58" t="n"/>
    </row>
    <row r="194">
      <c r="A194" s="71" t="n">
        <v>46067</v>
      </c>
      <c r="B194" s="58" t="inlineStr">
        <is>
          <t>LARISSA PADILHA</t>
        </is>
      </c>
      <c r="C194" s="58" t="inlineStr">
        <is>
          <t>VIDA LEVE PR 45</t>
        </is>
      </c>
      <c r="D194" s="58" t="inlineStr">
        <is>
          <t>79.484.203/7856-83</t>
        </is>
      </c>
      <c r="E194" s="58" t="inlineStr">
        <is>
          <t>SP</t>
        </is>
      </c>
      <c r="F194" s="58" t="inlineStr">
        <is>
          <t>TUDO EM GRAOS</t>
        </is>
      </c>
      <c r="G194" s="58" t="inlineStr">
        <is>
          <t>ATIVO</t>
        </is>
      </c>
      <c r="H194" s="58" t="n">
        <v>9</v>
      </c>
      <c r="I194" s="58">
        <f>IF(R194="","",VLOOKUP(R194,REGRAS!$B$2:$D$13,3,FALSE()))</f>
        <v/>
      </c>
      <c r="J194" s="58" t="n"/>
      <c r="K194" s="58">
        <f>IF(R194="","",IF(R194="VENDA / PEDIDO","RECOMPRA",IF(R194="SUPORTE","PÓS-VENDA",IF(OR(R194="FOLLOW UP 7",R194="FOLLOW UP 15"),"SALVAMENTO",IF(R194="PERDA / FECHOU LOJA","NUTRIÇÃO",IF(R194="RELACIONAMENTO","CS",IF(OR(R194="ORÇAMENTO",R194="CADASTRO"),"PROSPECÇÃO",IF(R194="EM ATENDIMENTO","EM ATENDIMENTO",IF(OR(R194="NÃO ATENDE",R194="NÃO RESPONDE",R194="RECUSOU LIGAÇÃO"),"RECUPERAÇÃO","")))))))))</f>
        <v/>
      </c>
      <c r="L194" s="58">
        <f>IF(H194="","",IF(G194="PROSPECT","🟣",IF(G194="LEAD","🟣",IF(G194="NOVO","🟢",IF(H194&lt;=50,"🟢",IF(H194&lt;=90,"🟡","🔴"))))))</f>
        <v/>
      </c>
      <c r="M194" s="58" t="n"/>
      <c r="N194" s="58" t="inlineStr">
        <is>
          <t>SIM</t>
        </is>
      </c>
      <c r="O194" s="58" t="inlineStr">
        <is>
          <t>SIM</t>
        </is>
      </c>
      <c r="P194" s="58" t="inlineStr">
        <is>
          <t>SIM</t>
        </is>
      </c>
      <c r="Q194" s="58" t="inlineStr">
        <is>
          <t>PÓS-VENDA / RELACIONAMENTO</t>
        </is>
      </c>
      <c r="R194" s="58" t="inlineStr">
        <is>
          <t>RELACIONAMENTO</t>
        </is>
      </c>
      <c r="S194" s="58" t="n"/>
      <c r="T194" s="71">
        <f>IF(R194="","",IF(OR(R194="SUPORTE",R194="PERDA / FECHOU LOJA"),"SEM",A194+VLOOKUP(R194,REGRAS!$B$2:$C$13,2,FALSE())))</f>
        <v/>
      </c>
      <c r="U194" s="58">
        <f>IF(R194="","",IF(R194="VENDA / PEDIDO","RECOMPRA",IF(R194="SUPORTE","PÓS-VENDA",IF(R194="RELACIONAMENTO","CS",IF(OR(R194="NÃO ATENDE",R194="NÃO RESPONDE",R194="RECUSOU LIGAÇÃO"),"REATIVAÇÃO",IF(R194="PERDA / FECHOU LOJA","NUTRIÇÃO",IF(OR(R194="FOLLOW UP 7",R194="FOLLOW UP 15"),"SALVAMENTO","PROSPECÇÃO")))))))</f>
        <v/>
      </c>
      <c r="V194" s="58" t="n"/>
      <c r="W194" s="58" t="inlineStr">
        <is>
          <t>SIM</t>
        </is>
      </c>
      <c r="X194" s="58" t="n"/>
    </row>
    <row r="195">
      <c r="A195" s="71" t="n">
        <v>46066</v>
      </c>
      <c r="B195" s="58" t="inlineStr">
        <is>
          <t>MANU DITZEL</t>
        </is>
      </c>
      <c r="C195" s="58" t="inlineStr">
        <is>
          <t>VIDA SAUDÁVEL 71</t>
        </is>
      </c>
      <c r="D195" s="58" t="inlineStr">
        <is>
          <t>21.446.708/7910-13</t>
        </is>
      </c>
      <c r="E195" s="58" t="inlineStr">
        <is>
          <t>RS</t>
        </is>
      </c>
      <c r="F195" s="58" t="inlineStr">
        <is>
          <t>TUDO EM GRAOS</t>
        </is>
      </c>
      <c r="G195" s="58" t="inlineStr">
        <is>
          <t>INAT.REC</t>
        </is>
      </c>
      <c r="H195" s="58" t="n">
        <v>74</v>
      </c>
      <c r="I195" s="58">
        <f>IF(R195="","",VLOOKUP(R195,REGRAS!$B$2:$D$13,3,FALSE()))</f>
        <v/>
      </c>
      <c r="J195" s="58" t="n"/>
      <c r="K195" s="58">
        <f>IF(R195="","",IF(R195="VENDA / PEDIDO","RECOMPRA",IF(R195="SUPORTE","PÓS-VENDA",IF(OR(R195="FOLLOW UP 7",R195="FOLLOW UP 15"),"SALVAMENTO",IF(R195="PERDA / FECHOU LOJA","NUTRIÇÃO",IF(R195="RELACIONAMENTO","CS",IF(OR(R195="ORÇAMENTO",R195="CADASTRO"),"PROSPECÇÃO",IF(R195="EM ATENDIMENTO","EM ATENDIMENTO",IF(OR(R195="NÃO ATENDE",R195="NÃO RESPONDE",R195="RECUSOU LIGAÇÃO"),"RECUPERAÇÃO","")))))))))</f>
        <v/>
      </c>
      <c r="L195" s="58">
        <f>IF(H195="","",IF(G195="PROSPECT","🟣",IF(G195="LEAD","🟣",IF(G195="NOVO","🟢",IF(H195&lt;=50,"🟢",IF(H195&lt;=90,"🟡","🔴"))))))</f>
        <v/>
      </c>
      <c r="M195" s="58" t="n"/>
      <c r="N195" s="58" t="inlineStr">
        <is>
          <t>SIM</t>
        </is>
      </c>
      <c r="O195" s="58" t="inlineStr">
        <is>
          <t>SIM</t>
        </is>
      </c>
      <c r="P195" s="58" t="inlineStr">
        <is>
          <t>NÃO</t>
        </is>
      </c>
      <c r="Q195" s="58" t="inlineStr">
        <is>
          <t>NEGOCIAÇÃO</t>
        </is>
      </c>
      <c r="R195" s="58" t="inlineStr">
        <is>
          <t>EM ATENDIMENTO</t>
        </is>
      </c>
      <c r="S195" s="58" t="n"/>
      <c r="T195" s="71">
        <f>IF(R195="","",IF(OR(R195="SUPORTE",R195="PERDA / FECHOU LOJA"),"SEM",A195+VLOOKUP(R195,REGRAS!$B$2:$C$13,2,FALSE())))</f>
        <v/>
      </c>
      <c r="U195" s="58">
        <f>IF(R195="","",IF(R195="VENDA / PEDIDO","RECOMPRA",IF(R195="SUPORTE","PÓS-VENDA",IF(R195="RELACIONAMENTO","CS",IF(OR(R195="NÃO ATENDE",R195="NÃO RESPONDE",R195="RECUSOU LIGAÇÃO"),"REATIVAÇÃO",IF(R195="PERDA / FECHOU LOJA","NUTRIÇÃO",IF(OR(R195="FOLLOW UP 7",R195="FOLLOW UP 15"),"SALVAMENTO","PROSPECÇÃO")))))))</f>
        <v/>
      </c>
      <c r="V195" s="58" t="n"/>
      <c r="W195" s="58" t="inlineStr">
        <is>
          <t>NÃO</t>
        </is>
      </c>
      <c r="X195" s="58" t="n"/>
    </row>
    <row r="196">
      <c r="A196" s="71" t="n">
        <v>46077</v>
      </c>
      <c r="B196" s="58" t="inlineStr">
        <is>
          <t>LARISSA PADILHA</t>
        </is>
      </c>
      <c r="C196" s="58" t="inlineStr">
        <is>
          <t>ECO SAUDE 39</t>
        </is>
      </c>
      <c r="D196" s="58" t="inlineStr">
        <is>
          <t>40.198.150/6438-83</t>
        </is>
      </c>
      <c r="E196" s="58" t="inlineStr">
        <is>
          <t>RS</t>
        </is>
      </c>
      <c r="F196" s="58" t="inlineStr">
        <is>
          <t>DIVINA TERRA</t>
        </is>
      </c>
      <c r="G196" s="58" t="inlineStr">
        <is>
          <t>ATIVO</t>
        </is>
      </c>
      <c r="H196" s="58" t="n">
        <v>5</v>
      </c>
      <c r="I196" s="58">
        <f>IF(R196="","",VLOOKUP(R196,REGRAS!$B$2:$D$13,3,FALSE()))</f>
        <v/>
      </c>
      <c r="J196" s="58" t="n"/>
      <c r="K196" s="58">
        <f>IF(R196="","",IF(R196="VENDA / PEDIDO","RECOMPRA",IF(R196="SUPORTE","PÓS-VENDA",IF(OR(R196="FOLLOW UP 7",R196="FOLLOW UP 15"),"SALVAMENTO",IF(R196="PERDA / FECHOU LOJA","NUTRIÇÃO",IF(R196="RELACIONAMENTO","CS",IF(OR(R196="ORÇAMENTO",R196="CADASTRO"),"PROSPECÇÃO",IF(R196="EM ATENDIMENTO","EM ATENDIMENTO",IF(OR(R196="NÃO ATENDE",R196="NÃO RESPONDE",R196="RECUSOU LIGAÇÃO"),"RECUPERAÇÃO","")))))))))</f>
        <v/>
      </c>
      <c r="L196" s="58">
        <f>IF(H196="","",IF(G196="PROSPECT","🟣",IF(G196="LEAD","🟣",IF(G196="NOVO","🟢",IF(H196&lt;=50,"🟢",IF(H196&lt;=90,"🟡","🔴"))))))</f>
        <v/>
      </c>
      <c r="M196" s="58" t="n"/>
      <c r="N196" s="58" t="inlineStr">
        <is>
          <t>SIM</t>
        </is>
      </c>
      <c r="O196" s="58" t="inlineStr">
        <is>
          <t>NÃO</t>
        </is>
      </c>
      <c r="P196" s="58" t="inlineStr">
        <is>
          <t>N/A</t>
        </is>
      </c>
      <c r="Q196" s="58" t="inlineStr">
        <is>
          <t>ATEND. CLIENTES ATIVOS</t>
        </is>
      </c>
      <c r="R196" s="58" t="inlineStr">
        <is>
          <t>ORÇAMENTO</t>
        </is>
      </c>
      <c r="S196" s="58" t="n"/>
      <c r="T196" s="71">
        <f>IF(R196="","",IF(OR(R196="SUPORTE",R196="PERDA / FECHOU LOJA"),"SEM",A196+VLOOKUP(R196,REGRAS!$B$2:$C$13,2,FALSE())))</f>
        <v/>
      </c>
      <c r="U196" s="58">
        <f>IF(R196="","",IF(R196="VENDA / PEDIDO","RECOMPRA",IF(R196="SUPORTE","PÓS-VENDA",IF(R196="RELACIONAMENTO","CS",IF(OR(R196="NÃO ATENDE",R196="NÃO RESPONDE",R196="RECUSOU LIGAÇÃO"),"REATIVAÇÃO",IF(R196="PERDA / FECHOU LOJA","NUTRIÇÃO",IF(OR(R196="FOLLOW UP 7",R196="FOLLOW UP 15"),"SALVAMENTO","PROSPECÇÃO")))))))</f>
        <v/>
      </c>
      <c r="V196" s="58" t="n"/>
      <c r="W196" s="58" t="inlineStr">
        <is>
          <t>SIM</t>
        </is>
      </c>
      <c r="X196" s="58" t="n"/>
    </row>
    <row r="197">
      <c r="A197" s="71" t="n">
        <v>46054</v>
      </c>
      <c r="B197" s="58" t="inlineStr">
        <is>
          <t>MANU DITZEL</t>
        </is>
      </c>
      <c r="C197" s="58" t="inlineStr">
        <is>
          <t>ECO SAUDE 11</t>
        </is>
      </c>
      <c r="D197" s="58" t="inlineStr">
        <is>
          <t>70.964.218/5053-60</t>
        </is>
      </c>
      <c r="E197" s="58" t="inlineStr">
        <is>
          <t>RS</t>
        </is>
      </c>
      <c r="F197" s="58" t="inlineStr">
        <is>
          <t>DEMAIS CLIENTES</t>
        </is>
      </c>
      <c r="G197" s="58" t="inlineStr">
        <is>
          <t>ATIVO</t>
        </is>
      </c>
      <c r="H197" s="58" t="n">
        <v>46</v>
      </c>
      <c r="I197" s="58">
        <f>IF(R197="","",VLOOKUP(R197,REGRAS!$B$2:$D$13,3,FALSE()))</f>
        <v/>
      </c>
      <c r="J197" s="58" t="n"/>
      <c r="K197" s="58">
        <f>IF(R197="","",IF(R197="VENDA / PEDIDO","RECOMPRA",IF(R197="SUPORTE","PÓS-VENDA",IF(OR(R197="FOLLOW UP 7",R197="FOLLOW UP 15"),"SALVAMENTO",IF(R197="PERDA / FECHOU LOJA","NUTRIÇÃO",IF(R197="RELACIONAMENTO","CS",IF(OR(R197="ORÇAMENTO",R197="CADASTRO"),"PROSPECÇÃO",IF(R197="EM ATENDIMENTO","EM ATENDIMENTO",IF(OR(R197="NÃO ATENDE",R197="NÃO RESPONDE",R197="RECUSOU LIGAÇÃO"),"RECUPERAÇÃO","")))))))))</f>
        <v/>
      </c>
      <c r="L197" s="58">
        <f>IF(H197="","",IF(G197="PROSPECT","🟣",IF(G197="LEAD","🟣",IF(G197="NOVO","🟢",IF(H197&lt;=50,"🟢",IF(H197&lt;=90,"🟡","🔴"))))))</f>
        <v/>
      </c>
      <c r="M197" s="58" t="n"/>
      <c r="N197" s="58" t="inlineStr">
        <is>
          <t>NÃO</t>
        </is>
      </c>
      <c r="O197" s="58" t="inlineStr">
        <is>
          <t>SIM</t>
        </is>
      </c>
      <c r="P197" s="58" t="inlineStr">
        <is>
          <t>SIM</t>
        </is>
      </c>
      <c r="Q197" s="58" t="inlineStr">
        <is>
          <t>ATEND. CLIENTES ATIVOS</t>
        </is>
      </c>
      <c r="R197" s="58" t="inlineStr">
        <is>
          <t>VENDA / PEDIDO</t>
        </is>
      </c>
      <c r="S197" s="58" t="n"/>
      <c r="T197" s="71">
        <f>IF(R197="","",IF(OR(R197="SUPORTE",R197="PERDA / FECHOU LOJA"),"SEM",A197+VLOOKUP(R197,REGRAS!$B$2:$C$13,2,FALSE())))</f>
        <v/>
      </c>
      <c r="U197" s="58">
        <f>IF(R197="","",IF(R197="VENDA / PEDIDO","RECOMPRA",IF(R197="SUPORTE","PÓS-VENDA",IF(R197="RELACIONAMENTO","CS",IF(OR(R197="NÃO ATENDE",R197="NÃO RESPONDE",R197="RECUSOU LIGAÇÃO"),"REATIVAÇÃO",IF(R197="PERDA / FECHOU LOJA","NUTRIÇÃO",IF(OR(R197="FOLLOW UP 7",R197="FOLLOW UP 15"),"SALVAMENTO","PROSPECÇÃO")))))))</f>
        <v/>
      </c>
      <c r="V197" s="58" t="n"/>
      <c r="W197" s="58" t="inlineStr">
        <is>
          <t>SIM</t>
        </is>
      </c>
      <c r="X197" s="58" t="n"/>
    </row>
    <row r="198">
      <c r="A198" s="71" t="n">
        <v>46068</v>
      </c>
      <c r="B198" s="58" t="inlineStr">
        <is>
          <t>MANU DITZEL</t>
        </is>
      </c>
      <c r="C198" s="58" t="inlineStr">
        <is>
          <t>NATUR LIFE 73</t>
        </is>
      </c>
      <c r="D198" s="58" t="inlineStr">
        <is>
          <t>17.254.870/1585-20</t>
        </is>
      </c>
      <c r="E198" s="58" t="inlineStr">
        <is>
          <t>SP</t>
        </is>
      </c>
      <c r="F198" s="58" t="inlineStr">
        <is>
          <t>DEMAIS CLIENTES</t>
        </is>
      </c>
      <c r="G198" s="58" t="inlineStr">
        <is>
          <t>EM RISCO</t>
        </is>
      </c>
      <c r="H198" s="58" t="n">
        <v>60</v>
      </c>
      <c r="I198" s="58">
        <f>IF(R198="","",VLOOKUP(R198,REGRAS!$B$2:$D$13,3,FALSE()))</f>
        <v/>
      </c>
      <c r="J198" s="58" t="n"/>
      <c r="K198" s="58">
        <f>IF(R198="","",IF(R198="VENDA / PEDIDO","RECOMPRA",IF(R198="SUPORTE","PÓS-VENDA",IF(OR(R198="FOLLOW UP 7",R198="FOLLOW UP 15"),"SALVAMENTO",IF(R198="PERDA / FECHOU LOJA","NUTRIÇÃO",IF(R198="RELACIONAMENTO","CS",IF(OR(R198="ORÇAMENTO",R198="CADASTRO"),"PROSPECÇÃO",IF(R198="EM ATENDIMENTO","EM ATENDIMENTO",IF(OR(R198="NÃO ATENDE",R198="NÃO RESPONDE",R198="RECUSOU LIGAÇÃO"),"RECUPERAÇÃO","")))))))))</f>
        <v/>
      </c>
      <c r="L198" s="58">
        <f>IF(H198="","",IF(G198="PROSPECT","🟣",IF(G198="LEAD","🟣",IF(G198="NOVO","🟢",IF(H198&lt;=50,"🟢",IF(H198&lt;=90,"🟡","🔴"))))))</f>
        <v/>
      </c>
      <c r="M198" s="58" t="n"/>
      <c r="N198" s="58" t="inlineStr">
        <is>
          <t>SIM</t>
        </is>
      </c>
      <c r="O198" s="58" t="inlineStr">
        <is>
          <t>NÃO</t>
        </is>
      </c>
      <c r="P198" s="58" t="inlineStr">
        <is>
          <t>N/A</t>
        </is>
      </c>
      <c r="Q198" s="58" t="inlineStr">
        <is>
          <t>NEGOCIAÇÃO</t>
        </is>
      </c>
      <c r="R198" s="58" t="inlineStr">
        <is>
          <t>EM ATENDIMENTO</t>
        </is>
      </c>
      <c r="S198" s="58" t="n"/>
      <c r="T198" s="71">
        <f>IF(R198="","",IF(OR(R198="SUPORTE",R198="PERDA / FECHOU LOJA"),"SEM",A198+VLOOKUP(R198,REGRAS!$B$2:$C$13,2,FALSE())))</f>
        <v/>
      </c>
      <c r="U198" s="58">
        <f>IF(R198="","",IF(R198="VENDA / PEDIDO","RECOMPRA",IF(R198="SUPORTE","PÓS-VENDA",IF(R198="RELACIONAMENTO","CS",IF(OR(R198="NÃO ATENDE",R198="NÃO RESPONDE",R198="RECUSOU LIGAÇÃO"),"REATIVAÇÃO",IF(R198="PERDA / FECHOU LOJA","NUTRIÇÃO",IF(OR(R198="FOLLOW UP 7",R198="FOLLOW UP 15"),"SALVAMENTO","PROSPECÇÃO")))))))</f>
        <v/>
      </c>
      <c r="V198" s="58" t="n"/>
      <c r="W198" s="58" t="inlineStr">
        <is>
          <t>NÃO</t>
        </is>
      </c>
      <c r="X198" s="58" t="n"/>
    </row>
    <row r="199">
      <c r="A199" s="71" t="n">
        <v>46075</v>
      </c>
      <c r="B199" s="58" t="inlineStr">
        <is>
          <t>DAIANE STAVICKI</t>
        </is>
      </c>
      <c r="C199" s="58" t="inlineStr">
        <is>
          <t>FEIRA VERDE 74</t>
        </is>
      </c>
      <c r="D199" s="58" t="inlineStr">
        <is>
          <t>40.587.406/1294-60</t>
        </is>
      </c>
      <c r="E199" s="58" t="inlineStr">
        <is>
          <t>GO</t>
        </is>
      </c>
      <c r="F199" s="58" t="inlineStr">
        <is>
          <t>DEMAIS CLIENTES</t>
        </is>
      </c>
      <c r="G199" s="58" t="inlineStr">
        <is>
          <t>INAT.REC</t>
        </is>
      </c>
      <c r="H199" s="58" t="n">
        <v>89</v>
      </c>
      <c r="I199" s="58">
        <f>IF(R199="","",VLOOKUP(R199,REGRAS!$B$2:$D$13,3,FALSE()))</f>
        <v/>
      </c>
      <c r="J199" s="58" t="n"/>
      <c r="K199" s="58">
        <f>IF(R199="","",IF(R199="VENDA / PEDIDO","RECOMPRA",IF(R199="SUPORTE","PÓS-VENDA",IF(OR(R199="FOLLOW UP 7",R199="FOLLOW UP 15"),"SALVAMENTO",IF(R199="PERDA / FECHOU LOJA","NUTRIÇÃO",IF(R199="RELACIONAMENTO","CS",IF(OR(R199="ORÇAMENTO",R199="CADASTRO"),"PROSPECÇÃO",IF(R199="EM ATENDIMENTO","EM ATENDIMENTO",IF(OR(R199="NÃO ATENDE",R199="NÃO RESPONDE",R199="RECUSOU LIGAÇÃO"),"RECUPERAÇÃO","")))))))))</f>
        <v/>
      </c>
      <c r="L199" s="58">
        <f>IF(H199="","",IF(G199="PROSPECT","🟣",IF(G199="LEAD","🟣",IF(G199="NOVO","🟢",IF(H199&lt;=50,"🟢",IF(H199&lt;=90,"🟡","🔴"))))))</f>
        <v/>
      </c>
      <c r="M199" s="58" t="n"/>
      <c r="N199" s="58" t="inlineStr">
        <is>
          <t>NÃO</t>
        </is>
      </c>
      <c r="O199" s="58" t="inlineStr">
        <is>
          <t>SIM</t>
        </is>
      </c>
      <c r="P199" s="58" t="inlineStr">
        <is>
          <t>NÃO</t>
        </is>
      </c>
      <c r="Q199" s="58" t="inlineStr">
        <is>
          <t>ATEND. CLIENTES ATIVOS</t>
        </is>
      </c>
      <c r="R199" s="58" t="inlineStr">
        <is>
          <t>FOLLOW UP 7</t>
        </is>
      </c>
      <c r="S199" s="58" t="inlineStr">
        <is>
          <t>LOJA ANEXO/PROXIMO - SM</t>
        </is>
      </c>
      <c r="T199" s="71">
        <f>IF(R199="","",IF(OR(R199="SUPORTE",R199="PERDA / FECHOU LOJA"),"SEM",A199+VLOOKUP(R199,REGRAS!$B$2:$C$13,2,FALSE())))</f>
        <v/>
      </c>
      <c r="U199" s="58">
        <f>IF(R199="","",IF(R199="VENDA / PEDIDO","RECOMPRA",IF(R199="SUPORTE","PÓS-VENDA",IF(R199="RELACIONAMENTO","CS",IF(OR(R199="NÃO ATENDE",R199="NÃO RESPONDE",R199="RECUSOU LIGAÇÃO"),"REATIVAÇÃO",IF(R199="PERDA / FECHOU LOJA","NUTRIÇÃO",IF(OR(R199="FOLLOW UP 7",R199="FOLLOW UP 15"),"SALVAMENTO","PROSPECÇÃO")))))))</f>
        <v/>
      </c>
      <c r="V199" s="58" t="n"/>
      <c r="W199" s="58" t="inlineStr">
        <is>
          <t>NÃO</t>
        </is>
      </c>
      <c r="X199" s="58" t="n"/>
    </row>
    <row r="200">
      <c r="A200" s="71" t="n">
        <v>46059</v>
      </c>
      <c r="B200" s="58" t="inlineStr">
        <is>
          <t>DAIANE STAVICKI</t>
        </is>
      </c>
      <c r="C200" s="58" t="inlineStr">
        <is>
          <t>CIA SAUDE SP 17</t>
        </is>
      </c>
      <c r="D200" s="58" t="inlineStr">
        <is>
          <t>15.533.180/7134-35</t>
        </is>
      </c>
      <c r="E200" s="58" t="inlineStr">
        <is>
          <t>CE</t>
        </is>
      </c>
      <c r="F200" s="58" t="inlineStr">
        <is>
          <t>VIDA LEVE</t>
        </is>
      </c>
      <c r="G200" s="58" t="inlineStr">
        <is>
          <t>NOVO</t>
        </is>
      </c>
      <c r="H200" s="58" t="n"/>
      <c r="I200" s="58">
        <f>IF(R200="","",VLOOKUP(R200,REGRAS!$B$2:$D$13,3,FALSE()))</f>
        <v/>
      </c>
      <c r="J200" s="58" t="n"/>
      <c r="K200" s="58">
        <f>IF(R200="","",IF(R200="VENDA / PEDIDO","RECOMPRA",IF(R200="SUPORTE","PÓS-VENDA",IF(OR(R200="FOLLOW UP 7",R200="FOLLOW UP 15"),"SALVAMENTO",IF(R200="PERDA / FECHOU LOJA","NUTRIÇÃO",IF(R200="RELACIONAMENTO","CS",IF(OR(R200="ORÇAMENTO",R200="CADASTRO"),"PROSPECÇÃO",IF(R200="EM ATENDIMENTO","EM ATENDIMENTO",IF(OR(R200="NÃO ATENDE",R200="NÃO RESPONDE",R200="RECUSOU LIGAÇÃO"),"RECUPERAÇÃO","")))))))))</f>
        <v/>
      </c>
      <c r="L200" s="58">
        <f>IF(H200="","",IF(G200="PROSPECT","🟣",IF(G200="LEAD","🟣",IF(G200="NOVO","🟢",IF(H200&lt;=50,"🟢",IF(H200&lt;=90,"🟡","🔴"))))))</f>
        <v/>
      </c>
      <c r="M200" s="58" t="n"/>
      <c r="N200" s="58" t="inlineStr">
        <is>
          <t>NÃO</t>
        </is>
      </c>
      <c r="O200" s="58" t="inlineStr">
        <is>
          <t>SIM</t>
        </is>
      </c>
      <c r="P200" s="58" t="inlineStr">
        <is>
          <t>SIM</t>
        </is>
      </c>
      <c r="Q200" s="58" t="inlineStr">
        <is>
          <t>FOLLOW UP</t>
        </is>
      </c>
      <c r="R200" s="58" t="inlineStr">
        <is>
          <t>RELACIONAMENTO</t>
        </is>
      </c>
      <c r="S200" s="58" t="n"/>
      <c r="T200" s="71">
        <f>IF(R200="","",IF(OR(R200="SUPORTE",R200="PERDA / FECHOU LOJA"),"SEM",A200+VLOOKUP(R200,REGRAS!$B$2:$C$13,2,FALSE())))</f>
        <v/>
      </c>
      <c r="U200" s="58">
        <f>IF(R200="","",IF(R200="VENDA / PEDIDO","RECOMPRA",IF(R200="SUPORTE","PÓS-VENDA",IF(R200="RELACIONAMENTO","CS",IF(OR(R200="NÃO ATENDE",R200="NÃO RESPONDE",R200="RECUSOU LIGAÇÃO"),"REATIVAÇÃO",IF(R200="PERDA / FECHOU LOJA","NUTRIÇÃO",IF(OR(R200="FOLLOW UP 7",R200="FOLLOW UP 15"),"SALVAMENTO","PROSPECÇÃO")))))))</f>
        <v/>
      </c>
      <c r="V200" s="58" t="n"/>
      <c r="W200" s="58" t="inlineStr">
        <is>
          <t>SIM</t>
        </is>
      </c>
      <c r="X200" s="58" t="n"/>
    </row>
    <row r="201">
      <c r="A201" s="71" t="n">
        <v>46064</v>
      </c>
      <c r="B201" s="58" t="inlineStr">
        <is>
          <t>DAIANE STAVICKI</t>
        </is>
      </c>
      <c r="C201" s="58" t="inlineStr">
        <is>
          <t>LOJA NATURAL 59</t>
        </is>
      </c>
      <c r="D201" s="58" t="inlineStr">
        <is>
          <t>11.905.817/9627-76</t>
        </is>
      </c>
      <c r="E201" s="58" t="inlineStr">
        <is>
          <t>MG</t>
        </is>
      </c>
      <c r="F201" s="58" t="inlineStr">
        <is>
          <t>MUNDO VERDE</t>
        </is>
      </c>
      <c r="G201" s="58" t="inlineStr">
        <is>
          <t>ATIVO</t>
        </is>
      </c>
      <c r="H201" s="58" t="n">
        <v>41</v>
      </c>
      <c r="I201" s="58">
        <f>IF(R201="","",VLOOKUP(R201,REGRAS!$B$2:$D$13,3,FALSE()))</f>
        <v/>
      </c>
      <c r="J201" s="58" t="n"/>
      <c r="K201" s="58">
        <f>IF(R201="","",IF(R201="VENDA / PEDIDO","RECOMPRA",IF(R201="SUPORTE","PÓS-VENDA",IF(OR(R201="FOLLOW UP 7",R201="FOLLOW UP 15"),"SALVAMENTO",IF(R201="PERDA / FECHOU LOJA","NUTRIÇÃO",IF(R201="RELACIONAMENTO","CS",IF(OR(R201="ORÇAMENTO",R201="CADASTRO"),"PROSPECÇÃO",IF(R201="EM ATENDIMENTO","EM ATENDIMENTO",IF(OR(R201="NÃO ATENDE",R201="NÃO RESPONDE",R201="RECUSOU LIGAÇÃO"),"RECUPERAÇÃO","")))))))))</f>
        <v/>
      </c>
      <c r="L201" s="58">
        <f>IF(H201="","",IF(G201="PROSPECT","🟣",IF(G201="LEAD","🟣",IF(G201="NOVO","🟢",IF(H201&lt;=50,"🟢",IF(H201&lt;=90,"🟡","🔴"))))))</f>
        <v/>
      </c>
      <c r="M201" s="58" t="n"/>
      <c r="N201" s="58" t="inlineStr">
        <is>
          <t>NÃO</t>
        </is>
      </c>
      <c r="O201" s="58" t="inlineStr">
        <is>
          <t>NÃO</t>
        </is>
      </c>
      <c r="P201" s="58" t="inlineStr">
        <is>
          <t>N/A</t>
        </is>
      </c>
      <c r="Q201" s="58" t="inlineStr">
        <is>
          <t>ATEND. CLIENTES ATIVOS</t>
        </is>
      </c>
      <c r="R201" s="58" t="inlineStr">
        <is>
          <t>SUPORTE</t>
        </is>
      </c>
      <c r="S201" s="58" t="n"/>
      <c r="T201" s="71">
        <f>IF(R201="","",IF(OR(R201="SUPORTE",R201="PERDA / FECHOU LOJA"),"SEM",A201+VLOOKUP(R201,REGRAS!$B$2:$C$13,2,FALSE())))</f>
        <v/>
      </c>
      <c r="U201" s="58">
        <f>IF(R201="","",IF(R201="VENDA / PEDIDO","RECOMPRA",IF(R201="SUPORTE","PÓS-VENDA",IF(R201="RELACIONAMENTO","CS",IF(OR(R201="NÃO ATENDE",R201="NÃO RESPONDE",R201="RECUSOU LIGAÇÃO"),"REATIVAÇÃO",IF(R201="PERDA / FECHOU LOJA","NUTRIÇÃO",IF(OR(R201="FOLLOW UP 7",R201="FOLLOW UP 15"),"SALVAMENTO","PROSPECÇÃO")))))))</f>
        <v/>
      </c>
      <c r="V201" s="58" t="n"/>
      <c r="W201" s="58" t="inlineStr">
        <is>
          <t>SIM</t>
        </is>
      </c>
      <c r="X201" s="58" t="n"/>
    </row>
    <row r="202">
      <c r="A202" s="71" t="n">
        <v>46057</v>
      </c>
      <c r="B202" s="58" t="inlineStr">
        <is>
          <t>DAIANE STAVICKI</t>
        </is>
      </c>
      <c r="C202" s="58" t="inlineStr">
        <is>
          <t>BIO FIT 45</t>
        </is>
      </c>
      <c r="D202" s="58" t="inlineStr">
        <is>
          <t>62.370.492/7956-83</t>
        </is>
      </c>
      <c r="E202" s="58" t="inlineStr">
        <is>
          <t>SP</t>
        </is>
      </c>
      <c r="F202" s="58" t="inlineStr">
        <is>
          <t>MUNDO VERDE</t>
        </is>
      </c>
      <c r="G202" s="58" t="inlineStr">
        <is>
          <t>ATIVO</t>
        </is>
      </c>
      <c r="H202" s="58" t="n">
        <v>14</v>
      </c>
      <c r="I202" s="58">
        <f>IF(R202="","",VLOOKUP(R202,REGRAS!$B$2:$D$13,3,FALSE()))</f>
        <v/>
      </c>
      <c r="J202" s="58" t="n"/>
      <c r="K202" s="58">
        <f>IF(R202="","",IF(R202="VENDA / PEDIDO","RECOMPRA",IF(R202="SUPORTE","PÓS-VENDA",IF(OR(R202="FOLLOW UP 7",R202="FOLLOW UP 15"),"SALVAMENTO",IF(R202="PERDA / FECHOU LOJA","NUTRIÇÃO",IF(R202="RELACIONAMENTO","CS",IF(OR(R202="ORÇAMENTO",R202="CADASTRO"),"PROSPECÇÃO",IF(R202="EM ATENDIMENTO","EM ATENDIMENTO",IF(OR(R202="NÃO ATENDE",R202="NÃO RESPONDE",R202="RECUSOU LIGAÇÃO"),"RECUPERAÇÃO","")))))))))</f>
        <v/>
      </c>
      <c r="L202" s="58">
        <f>IF(H202="","",IF(G202="PROSPECT","🟣",IF(G202="LEAD","🟣",IF(G202="NOVO","🟢",IF(H202&lt;=50,"🟢",IF(H202&lt;=90,"🟡","🔴"))))))</f>
        <v/>
      </c>
      <c r="M202" s="58" t="n"/>
      <c r="N202" s="58" t="inlineStr">
        <is>
          <t>SIM</t>
        </is>
      </c>
      <c r="O202" s="58" t="inlineStr">
        <is>
          <t>SIM</t>
        </is>
      </c>
      <c r="P202" s="58" t="inlineStr">
        <is>
          <t>NÃO</t>
        </is>
      </c>
      <c r="Q202" s="58" t="inlineStr">
        <is>
          <t>ATEND. CLIENTES ATIVOS</t>
        </is>
      </c>
      <c r="R202" s="58" t="inlineStr">
        <is>
          <t>FOLLOW UP 15</t>
        </is>
      </c>
      <c r="S202" s="58" t="inlineStr">
        <is>
          <t>PROBLEMA FINANCEIRO / CRÉDITO</t>
        </is>
      </c>
      <c r="T202" s="71">
        <f>IF(R202="","",IF(OR(R202="SUPORTE",R202="PERDA / FECHOU LOJA"),"SEM",A202+VLOOKUP(R202,REGRAS!$B$2:$C$13,2,FALSE())))</f>
        <v/>
      </c>
      <c r="U202" s="58">
        <f>IF(R202="","",IF(R202="VENDA / PEDIDO","RECOMPRA",IF(R202="SUPORTE","PÓS-VENDA",IF(R202="RELACIONAMENTO","CS",IF(OR(R202="NÃO ATENDE",R202="NÃO RESPONDE",R202="RECUSOU LIGAÇÃO"),"REATIVAÇÃO",IF(R202="PERDA / FECHOU LOJA","NUTRIÇÃO",IF(OR(R202="FOLLOW UP 7",R202="FOLLOW UP 15"),"SALVAMENTO","PROSPECÇÃO")))))))</f>
        <v/>
      </c>
      <c r="V202" s="58" t="n"/>
      <c r="W202" s="58" t="inlineStr">
        <is>
          <t>SIM</t>
        </is>
      </c>
      <c r="X202" s="58" t="n"/>
    </row>
    <row r="203">
      <c r="A203" s="71" t="n">
        <v>46069</v>
      </c>
      <c r="B203" s="58" t="inlineStr">
        <is>
          <t>DAIANE STAVICKI</t>
        </is>
      </c>
      <c r="C203" s="58" t="inlineStr">
        <is>
          <t>GRANEL &amp; CIA 03</t>
        </is>
      </c>
      <c r="D203" s="58" t="inlineStr">
        <is>
          <t>53.937.912/4966-49</t>
        </is>
      </c>
      <c r="E203" s="58" t="inlineStr">
        <is>
          <t>SC</t>
        </is>
      </c>
      <c r="F203" s="58" t="inlineStr">
        <is>
          <t>DIVINA TERRA</t>
        </is>
      </c>
      <c r="G203" s="58" t="inlineStr">
        <is>
          <t>INAT.ANT</t>
        </is>
      </c>
      <c r="H203" s="58" t="n">
        <v>116</v>
      </c>
      <c r="I203" s="58">
        <f>IF(R203="","",VLOOKUP(R203,REGRAS!$B$2:$D$13,3,FALSE()))</f>
        <v/>
      </c>
      <c r="J203" s="58" t="n"/>
      <c r="K203" s="58">
        <f>IF(R203="","",IF(R203="VENDA / PEDIDO","RECOMPRA",IF(R203="SUPORTE","PÓS-VENDA",IF(OR(R203="FOLLOW UP 7",R203="FOLLOW UP 15"),"SALVAMENTO",IF(R203="PERDA / FECHOU LOJA","NUTRIÇÃO",IF(R203="RELACIONAMENTO","CS",IF(OR(R203="ORÇAMENTO",R203="CADASTRO"),"PROSPECÇÃO",IF(R203="EM ATENDIMENTO","EM ATENDIMENTO",IF(OR(R203="NÃO ATENDE",R203="NÃO RESPONDE",R203="RECUSOU LIGAÇÃO"),"RECUPERAÇÃO","")))))))))</f>
        <v/>
      </c>
      <c r="L203" s="58">
        <f>IF(H203="","",IF(G203="PROSPECT","🟣",IF(G203="LEAD","🟣",IF(G203="NOVO","🟢",IF(H203&lt;=50,"🟢",IF(H203&lt;=90,"🟡","🔴"))))))</f>
        <v/>
      </c>
      <c r="M203" s="58" t="n"/>
      <c r="N203" s="58" t="inlineStr">
        <is>
          <t>SIM</t>
        </is>
      </c>
      <c r="O203" s="58" t="inlineStr">
        <is>
          <t>NÃO</t>
        </is>
      </c>
      <c r="P203" s="58" t="inlineStr">
        <is>
          <t>N/A</t>
        </is>
      </c>
      <c r="Q203" s="58" t="inlineStr">
        <is>
          <t>PERDA / NUTRIÇÃO</t>
        </is>
      </c>
      <c r="R203" s="58" t="inlineStr">
        <is>
          <t>PERDA / FECHOU LOJA</t>
        </is>
      </c>
      <c r="S203" s="58" t="inlineStr">
        <is>
          <t>PROPRIETARIO / INDISPONÍVEL</t>
        </is>
      </c>
      <c r="T203" s="71">
        <f>IF(R203="","",IF(OR(R203="SUPORTE",R203="PERDA / FECHOU LOJA"),"SEM",A203+VLOOKUP(R203,REGRAS!$B$2:$C$13,2,FALSE())))</f>
        <v/>
      </c>
      <c r="U203" s="58">
        <f>IF(R203="","",IF(R203="VENDA / PEDIDO","RECOMPRA",IF(R203="SUPORTE","PÓS-VENDA",IF(R203="RELACIONAMENTO","CS",IF(OR(R203="NÃO ATENDE",R203="NÃO RESPONDE",R203="RECUSOU LIGAÇÃO"),"REATIVAÇÃO",IF(R203="PERDA / FECHOU LOJA","NUTRIÇÃO",IF(OR(R203="FOLLOW UP 7",R203="FOLLOW UP 15"),"SALVAMENTO","PROSPECÇÃO")))))))</f>
        <v/>
      </c>
      <c r="V203" s="58" t="n"/>
      <c r="W203" s="58" t="inlineStr">
        <is>
          <t>SIM</t>
        </is>
      </c>
      <c r="X203" s="58" t="n"/>
    </row>
    <row r="204">
      <c r="A204" s="71" t="n">
        <v>46077</v>
      </c>
      <c r="B204" s="58" t="inlineStr">
        <is>
          <t>LARISSA PADILHA</t>
        </is>
      </c>
      <c r="C204" s="58" t="inlineStr">
        <is>
          <t>GRÃO DE OURO 25</t>
        </is>
      </c>
      <c r="D204" s="58" t="inlineStr">
        <is>
          <t>66.316.943/6672-72</t>
        </is>
      </c>
      <c r="E204" s="58" t="inlineStr">
        <is>
          <t>RJ</t>
        </is>
      </c>
      <c r="F204" s="58" t="inlineStr">
        <is>
          <t>DEMAIS CLIENTES</t>
        </is>
      </c>
      <c r="G204" s="58" t="inlineStr">
        <is>
          <t>NOVO</t>
        </is>
      </c>
      <c r="H204" s="58" t="n"/>
      <c r="I204" s="58">
        <f>IF(R204="","",VLOOKUP(R204,REGRAS!$B$2:$D$13,3,FALSE()))</f>
        <v/>
      </c>
      <c r="J204" s="58" t="n"/>
      <c r="K204" s="58">
        <f>IF(R204="","",IF(R204="VENDA / PEDIDO","RECOMPRA",IF(R204="SUPORTE","PÓS-VENDA",IF(OR(R204="FOLLOW UP 7",R204="FOLLOW UP 15"),"SALVAMENTO",IF(R204="PERDA / FECHOU LOJA","NUTRIÇÃO",IF(R204="RELACIONAMENTO","CS",IF(OR(R204="ORÇAMENTO",R204="CADASTRO"),"PROSPECÇÃO",IF(R204="EM ATENDIMENTO","EM ATENDIMENTO",IF(OR(R204="NÃO ATENDE",R204="NÃO RESPONDE",R204="RECUSOU LIGAÇÃO"),"RECUPERAÇÃO","")))))))))</f>
        <v/>
      </c>
      <c r="L204" s="58">
        <f>IF(H204="","",IF(G204="PROSPECT","🟣",IF(G204="LEAD","🟣",IF(G204="NOVO","🟢",IF(H204&lt;=50,"🟢",IF(H204&lt;=90,"🟡","🔴"))))))</f>
        <v/>
      </c>
      <c r="M204" s="58" t="n"/>
      <c r="N204" s="58" t="inlineStr">
        <is>
          <t>SIM</t>
        </is>
      </c>
      <c r="O204" s="58" t="inlineStr">
        <is>
          <t>NÃO</t>
        </is>
      </c>
      <c r="P204" s="58" t="inlineStr">
        <is>
          <t>N/A</t>
        </is>
      </c>
      <c r="Q204" s="58" t="inlineStr">
        <is>
          <t>ATEND. CLIENTES ATIVOS</t>
        </is>
      </c>
      <c r="R204" s="58" t="inlineStr">
        <is>
          <t>VENDA / PEDIDO</t>
        </is>
      </c>
      <c r="S204" s="58" t="n"/>
      <c r="T204" s="71">
        <f>IF(R204="","",IF(OR(R204="SUPORTE",R204="PERDA / FECHOU LOJA"),"SEM",A204+VLOOKUP(R204,REGRAS!$B$2:$C$13,2,FALSE())))</f>
        <v/>
      </c>
      <c r="U204" s="58">
        <f>IF(R204="","",IF(R204="VENDA / PEDIDO","RECOMPRA",IF(R204="SUPORTE","PÓS-VENDA",IF(R204="RELACIONAMENTO","CS",IF(OR(R204="NÃO ATENDE",R204="NÃO RESPONDE",R204="RECUSOU LIGAÇÃO"),"REATIVAÇÃO",IF(R204="PERDA / FECHOU LOJA","NUTRIÇÃO",IF(OR(R204="FOLLOW UP 7",R204="FOLLOW UP 15"),"SALVAMENTO","PROSPECÇÃO")))))))</f>
        <v/>
      </c>
      <c r="V204" s="58" t="n"/>
      <c r="W204" s="58" t="inlineStr">
        <is>
          <t>SIM</t>
        </is>
      </c>
      <c r="X204" s="58" t="n"/>
    </row>
    <row r="205">
      <c r="A205" s="71" t="n">
        <v>46081</v>
      </c>
      <c r="B205" s="58" t="inlineStr">
        <is>
          <t>LARISSA PADILHA</t>
        </is>
      </c>
      <c r="C205" s="58" t="inlineStr">
        <is>
          <t>PURA VIDA 04</t>
        </is>
      </c>
      <c r="D205" s="58" t="inlineStr">
        <is>
          <t>32.297.996/3289-17</t>
        </is>
      </c>
      <c r="E205" s="58" t="inlineStr">
        <is>
          <t>PR</t>
        </is>
      </c>
      <c r="F205" s="58" t="inlineStr">
        <is>
          <t>DIVINA TERRA</t>
        </is>
      </c>
      <c r="G205" s="58" t="inlineStr">
        <is>
          <t>PROSPECT</t>
        </is>
      </c>
      <c r="H205" s="58" t="n"/>
      <c r="I205" s="58">
        <f>IF(R205="","",VLOOKUP(R205,REGRAS!$B$2:$D$13,3,FALSE()))</f>
        <v/>
      </c>
      <c r="J205" s="58" t="n"/>
      <c r="K205" s="58">
        <f>IF(R205="","",IF(R205="VENDA / PEDIDO","RECOMPRA",IF(R205="SUPORTE","PÓS-VENDA",IF(OR(R205="FOLLOW UP 7",R205="FOLLOW UP 15"),"SALVAMENTO",IF(R205="PERDA / FECHOU LOJA","NUTRIÇÃO",IF(R205="RELACIONAMENTO","CS",IF(OR(R205="ORÇAMENTO",R205="CADASTRO"),"PROSPECÇÃO",IF(R205="EM ATENDIMENTO","EM ATENDIMENTO",IF(OR(R205="NÃO ATENDE",R205="NÃO RESPONDE",R205="RECUSOU LIGAÇÃO"),"RECUPERAÇÃO","")))))))))</f>
        <v/>
      </c>
      <c r="L205" s="58">
        <f>IF(H205="","",IF(G205="PROSPECT","🟣",IF(G205="LEAD","🟣",IF(G205="NOVO","🟢",IF(H205&lt;=50,"🟢",IF(H205&lt;=90,"🟡","🔴"))))))</f>
        <v/>
      </c>
      <c r="M205" s="58" t="n"/>
      <c r="N205" s="58" t="inlineStr">
        <is>
          <t>NÃO</t>
        </is>
      </c>
      <c r="O205" s="58" t="inlineStr">
        <is>
          <t>NÃO</t>
        </is>
      </c>
      <c r="P205" s="58" t="inlineStr">
        <is>
          <t>N/A</t>
        </is>
      </c>
      <c r="Q205" s="58" t="inlineStr">
        <is>
          <t>ATEND. CLIENTES INATIVOS</t>
        </is>
      </c>
      <c r="R205" s="58" t="inlineStr">
        <is>
          <t>NÃO ATENDE</t>
        </is>
      </c>
      <c r="S205" s="58" t="inlineStr">
        <is>
          <t>PROBLEMA LOGÍSTICO / ENTREGA</t>
        </is>
      </c>
      <c r="T205" s="71">
        <f>IF(R205="","",IF(OR(R205="SUPORTE",R205="PERDA / FECHOU LOJA"),"SEM",A205+VLOOKUP(R205,REGRAS!$B$2:$C$13,2,FALSE())))</f>
        <v/>
      </c>
      <c r="U205" s="58">
        <f>IF(R205="","",IF(R205="VENDA / PEDIDO","RECOMPRA",IF(R205="SUPORTE","PÓS-VENDA",IF(R205="RELACIONAMENTO","CS",IF(OR(R205="NÃO ATENDE",R205="NÃO RESPONDE",R205="RECUSOU LIGAÇÃO"),"REATIVAÇÃO",IF(R205="PERDA / FECHOU LOJA","NUTRIÇÃO",IF(OR(R205="FOLLOW UP 7",R205="FOLLOW UP 15"),"SALVAMENTO","PROSPECÇÃO")))))))</f>
        <v/>
      </c>
      <c r="V205" s="58" t="n"/>
      <c r="W205" s="58" t="inlineStr">
        <is>
          <t>SIM</t>
        </is>
      </c>
      <c r="X205" s="58" t="n"/>
    </row>
    <row r="206">
      <c r="A206" s="71" t="n">
        <v>46054</v>
      </c>
      <c r="B206" s="58" t="inlineStr">
        <is>
          <t>MANU DITZEL</t>
        </is>
      </c>
      <c r="C206" s="58" t="inlineStr">
        <is>
          <t>POWER NATURAL 77</t>
        </is>
      </c>
      <c r="D206" s="58" t="inlineStr">
        <is>
          <t>67.281.991/7776-85</t>
        </is>
      </c>
      <c r="E206" s="58" t="inlineStr">
        <is>
          <t>SP</t>
        </is>
      </c>
      <c r="F206" s="58" t="inlineStr">
        <is>
          <t>CIA DA SAUDE</t>
        </is>
      </c>
      <c r="G206" s="58" t="inlineStr">
        <is>
          <t>NOVO</t>
        </is>
      </c>
      <c r="H206" s="58" t="n"/>
      <c r="I206" s="58">
        <f>IF(R206="","",VLOOKUP(R206,REGRAS!$B$2:$D$13,3,FALSE()))</f>
        <v/>
      </c>
      <c r="J206" s="58" t="n"/>
      <c r="K206" s="58">
        <f>IF(R206="","",IF(R206="VENDA / PEDIDO","RECOMPRA",IF(R206="SUPORTE","PÓS-VENDA",IF(OR(R206="FOLLOW UP 7",R206="FOLLOW UP 15"),"SALVAMENTO",IF(R206="PERDA / FECHOU LOJA","NUTRIÇÃO",IF(R206="RELACIONAMENTO","CS",IF(OR(R206="ORÇAMENTO",R206="CADASTRO"),"PROSPECÇÃO",IF(R206="EM ATENDIMENTO","EM ATENDIMENTO",IF(OR(R206="NÃO ATENDE",R206="NÃO RESPONDE",R206="RECUSOU LIGAÇÃO"),"RECUPERAÇÃO","")))))))))</f>
        <v/>
      </c>
      <c r="L206" s="58">
        <f>IF(H206="","",IF(G206="PROSPECT","🟣",IF(G206="LEAD","🟣",IF(G206="NOVO","🟢",IF(H206&lt;=50,"🟢",IF(H206&lt;=90,"🟡","🔴"))))))</f>
        <v/>
      </c>
      <c r="M206" s="58" t="n"/>
      <c r="N206" s="58" t="inlineStr">
        <is>
          <t>SIM</t>
        </is>
      </c>
      <c r="O206" s="58" t="inlineStr">
        <is>
          <t>SIM</t>
        </is>
      </c>
      <c r="P206" s="58" t="inlineStr">
        <is>
          <t>SIM</t>
        </is>
      </c>
      <c r="Q206" s="58" t="inlineStr">
        <is>
          <t>FOLLOW UP</t>
        </is>
      </c>
      <c r="R206" s="58" t="inlineStr">
        <is>
          <t>NÃO RESPONDE</t>
        </is>
      </c>
      <c r="S206" s="58" t="inlineStr">
        <is>
          <t>SEM INTERESSE NO MOMENTO</t>
        </is>
      </c>
      <c r="T206" s="71">
        <f>IF(R206="","",IF(OR(R206="SUPORTE",R206="PERDA / FECHOU LOJA"),"SEM",A206+VLOOKUP(R206,REGRAS!$B$2:$C$13,2,FALSE())))</f>
        <v/>
      </c>
      <c r="U206" s="58">
        <f>IF(R206="","",IF(R206="VENDA / PEDIDO","RECOMPRA",IF(R206="SUPORTE","PÓS-VENDA",IF(R206="RELACIONAMENTO","CS",IF(OR(R206="NÃO ATENDE",R206="NÃO RESPONDE",R206="RECUSOU LIGAÇÃO"),"REATIVAÇÃO",IF(R206="PERDA / FECHOU LOJA","NUTRIÇÃO",IF(OR(R206="FOLLOW UP 7",R206="FOLLOW UP 15"),"SALVAMENTO","PROSPECÇÃO")))))))</f>
        <v/>
      </c>
      <c r="V206" s="58" t="n"/>
      <c r="W206" s="58" t="inlineStr">
        <is>
          <t>NÃO</t>
        </is>
      </c>
      <c r="X206" s="58" t="n"/>
    </row>
    <row r="207">
      <c r="A207" s="71" t="n">
        <v>46060</v>
      </c>
      <c r="B207" s="58" t="inlineStr">
        <is>
          <t>DAIANE STAVICKI</t>
        </is>
      </c>
      <c r="C207" s="58" t="inlineStr">
        <is>
          <t>FITLAND PR 87</t>
        </is>
      </c>
      <c r="D207" s="58" t="inlineStr">
        <is>
          <t>36.375.767/6710-75</t>
        </is>
      </c>
      <c r="E207" s="58" t="inlineStr">
        <is>
          <t>PR</t>
        </is>
      </c>
      <c r="F207" s="58" t="inlineStr">
        <is>
          <t>DEMAIS CLIENTES</t>
        </is>
      </c>
      <c r="G207" s="58" t="inlineStr">
        <is>
          <t>INAT.ANT</t>
        </is>
      </c>
      <c r="H207" s="58" t="n">
        <v>93</v>
      </c>
      <c r="I207" s="58">
        <f>IF(R207="","",VLOOKUP(R207,REGRAS!$B$2:$D$13,3,FALSE()))</f>
        <v/>
      </c>
      <c r="J207" s="58" t="n"/>
      <c r="K207" s="58">
        <f>IF(R207="","",IF(R207="VENDA / PEDIDO","RECOMPRA",IF(R207="SUPORTE","PÓS-VENDA",IF(OR(R207="FOLLOW UP 7",R207="FOLLOW UP 15"),"SALVAMENTO",IF(R207="PERDA / FECHOU LOJA","NUTRIÇÃO",IF(R207="RELACIONAMENTO","CS",IF(OR(R207="ORÇAMENTO",R207="CADASTRO"),"PROSPECÇÃO",IF(R207="EM ATENDIMENTO","EM ATENDIMENTO",IF(OR(R207="NÃO ATENDE",R207="NÃO RESPONDE",R207="RECUSOU LIGAÇÃO"),"RECUPERAÇÃO","")))))))))</f>
        <v/>
      </c>
      <c r="L207" s="58">
        <f>IF(H207="","",IF(G207="PROSPECT","🟣",IF(G207="LEAD","🟣",IF(G207="NOVO","🟢",IF(H207&lt;=50,"🟢",IF(H207&lt;=90,"🟡","🔴"))))))</f>
        <v/>
      </c>
      <c r="M207" s="58" t="n"/>
      <c r="N207" s="58" t="inlineStr">
        <is>
          <t>SIM</t>
        </is>
      </c>
      <c r="O207" s="58" t="inlineStr">
        <is>
          <t>NÃO</t>
        </is>
      </c>
      <c r="P207" s="58" t="inlineStr">
        <is>
          <t>N/A</t>
        </is>
      </c>
      <c r="Q207" s="58" t="inlineStr">
        <is>
          <t>ATEND. CLIENTES ATIVOS</t>
        </is>
      </c>
      <c r="R207" s="58" t="inlineStr">
        <is>
          <t>VENDA / PEDIDO</t>
        </is>
      </c>
      <c r="S207" s="58" t="n"/>
      <c r="T207" s="71">
        <f>IF(R207="","",IF(OR(R207="SUPORTE",R207="PERDA / FECHOU LOJA"),"SEM",A207+VLOOKUP(R207,REGRAS!$B$2:$C$13,2,FALSE())))</f>
        <v/>
      </c>
      <c r="U207" s="58">
        <f>IF(R207="","",IF(R207="VENDA / PEDIDO","RECOMPRA",IF(R207="SUPORTE","PÓS-VENDA",IF(R207="RELACIONAMENTO","CS",IF(OR(R207="NÃO ATENDE",R207="NÃO RESPONDE",R207="RECUSOU LIGAÇÃO"),"REATIVAÇÃO",IF(R207="PERDA / FECHOU LOJA","NUTRIÇÃO",IF(OR(R207="FOLLOW UP 7",R207="FOLLOW UP 15"),"SALVAMENTO","PROSPECÇÃO")))))))</f>
        <v/>
      </c>
      <c r="V207" s="58" t="n"/>
      <c r="W207" s="58" t="inlineStr">
        <is>
          <t>SIM</t>
        </is>
      </c>
      <c r="X207" s="58" t="n"/>
    </row>
    <row r="208">
      <c r="A208" s="71" t="n">
        <v>46073</v>
      </c>
      <c r="B208" s="58" t="inlineStr">
        <is>
          <t>DAIANE STAVICKI</t>
        </is>
      </c>
      <c r="C208" s="58" t="inlineStr">
        <is>
          <t>EMPÓRIO DO CAMPO 92</t>
        </is>
      </c>
      <c r="D208" s="58" t="inlineStr">
        <is>
          <t>92.381.533/6169-54</t>
        </is>
      </c>
      <c r="E208" s="58" t="inlineStr">
        <is>
          <t>RS</t>
        </is>
      </c>
      <c r="F208" s="58" t="inlineStr">
        <is>
          <t>BIOMUNDO</t>
        </is>
      </c>
      <c r="G208" s="58" t="inlineStr">
        <is>
          <t>ATIVO</t>
        </is>
      </c>
      <c r="H208" s="58" t="n">
        <v>38</v>
      </c>
      <c r="I208" s="58">
        <f>IF(R208="","",VLOOKUP(R208,REGRAS!$B$2:$D$13,3,FALSE()))</f>
        <v/>
      </c>
      <c r="J208" s="58" t="n"/>
      <c r="K208" s="58">
        <f>IF(R208="","",IF(R208="VENDA / PEDIDO","RECOMPRA",IF(R208="SUPORTE","PÓS-VENDA",IF(OR(R208="FOLLOW UP 7",R208="FOLLOW UP 15"),"SALVAMENTO",IF(R208="PERDA / FECHOU LOJA","NUTRIÇÃO",IF(R208="RELACIONAMENTO","CS",IF(OR(R208="ORÇAMENTO",R208="CADASTRO"),"PROSPECÇÃO",IF(R208="EM ATENDIMENTO","EM ATENDIMENTO",IF(OR(R208="NÃO ATENDE",R208="NÃO RESPONDE",R208="RECUSOU LIGAÇÃO"),"RECUPERAÇÃO","")))))))))</f>
        <v/>
      </c>
      <c r="L208" s="58">
        <f>IF(H208="","",IF(G208="PROSPECT","🟣",IF(G208="LEAD","🟣",IF(G208="NOVO","🟢",IF(H208&lt;=50,"🟢",IF(H208&lt;=90,"🟡","🔴"))))))</f>
        <v/>
      </c>
      <c r="M208" s="58" t="n"/>
      <c r="N208" s="58" t="inlineStr">
        <is>
          <t>SIM</t>
        </is>
      </c>
      <c r="O208" s="58" t="inlineStr">
        <is>
          <t>NÃO</t>
        </is>
      </c>
      <c r="P208" s="58" t="inlineStr">
        <is>
          <t>N/A</t>
        </is>
      </c>
      <c r="Q208" s="58" t="inlineStr">
        <is>
          <t>PÓS-VENDA / RELACIONAMENTO</t>
        </is>
      </c>
      <c r="R208" s="58" t="inlineStr">
        <is>
          <t>FOLLOW UP 7</t>
        </is>
      </c>
      <c r="S208" s="58" t="inlineStr">
        <is>
          <t>PROBLEMA FINANCEIRO / CRÉDITO</t>
        </is>
      </c>
      <c r="T208" s="71">
        <f>IF(R208="","",IF(OR(R208="SUPORTE",R208="PERDA / FECHOU LOJA"),"SEM",A208+VLOOKUP(R208,REGRAS!$B$2:$C$13,2,FALSE())))</f>
        <v/>
      </c>
      <c r="U208" s="58">
        <f>IF(R208="","",IF(R208="VENDA / PEDIDO","RECOMPRA",IF(R208="SUPORTE","PÓS-VENDA",IF(R208="RELACIONAMENTO","CS",IF(OR(R208="NÃO ATENDE",R208="NÃO RESPONDE",R208="RECUSOU LIGAÇÃO"),"REATIVAÇÃO",IF(R208="PERDA / FECHOU LOJA","NUTRIÇÃO",IF(OR(R208="FOLLOW UP 7",R208="FOLLOW UP 15"),"SALVAMENTO","PROSPECÇÃO")))))))</f>
        <v/>
      </c>
      <c r="V208" s="58" t="n"/>
      <c r="W208" s="58" t="inlineStr">
        <is>
          <t>NÃO</t>
        </is>
      </c>
      <c r="X208" s="58" t="n"/>
    </row>
    <row r="209">
      <c r="A209" s="71" t="n">
        <v>46065</v>
      </c>
      <c r="B209" s="58" t="inlineStr">
        <is>
          <t>LARISSA PADILHA</t>
        </is>
      </c>
      <c r="C209" s="58" t="inlineStr">
        <is>
          <t>MUNDO BIO 78</t>
        </is>
      </c>
      <c r="D209" s="58" t="inlineStr">
        <is>
          <t>46.405.800/1772-71</t>
        </is>
      </c>
      <c r="E209" s="58" t="inlineStr">
        <is>
          <t>PR</t>
        </is>
      </c>
      <c r="F209" s="58" t="inlineStr">
        <is>
          <t>DEMAIS CLIENTES</t>
        </is>
      </c>
      <c r="G209" s="58" t="inlineStr">
        <is>
          <t>INAT.ANT</t>
        </is>
      </c>
      <c r="H209" s="58" t="n">
        <v>161</v>
      </c>
      <c r="I209" s="58">
        <f>IF(R209="","",VLOOKUP(R209,REGRAS!$B$2:$D$13,3,FALSE()))</f>
        <v/>
      </c>
      <c r="J209" s="58" t="n"/>
      <c r="K209" s="58">
        <f>IF(R209="","",IF(R209="VENDA / PEDIDO","RECOMPRA",IF(R209="SUPORTE","PÓS-VENDA",IF(OR(R209="FOLLOW UP 7",R209="FOLLOW UP 15"),"SALVAMENTO",IF(R209="PERDA / FECHOU LOJA","NUTRIÇÃO",IF(R209="RELACIONAMENTO","CS",IF(OR(R209="ORÇAMENTO",R209="CADASTRO"),"PROSPECÇÃO",IF(R209="EM ATENDIMENTO","EM ATENDIMENTO",IF(OR(R209="NÃO ATENDE",R209="NÃO RESPONDE",R209="RECUSOU LIGAÇÃO"),"RECUPERAÇÃO","")))))))))</f>
        <v/>
      </c>
      <c r="L209" s="58">
        <f>IF(H209="","",IF(G209="PROSPECT","🟣",IF(G209="LEAD","🟣",IF(G209="NOVO","🟢",IF(H209&lt;=50,"🟢",IF(H209&lt;=90,"🟡","🔴"))))))</f>
        <v/>
      </c>
      <c r="M209" s="58" t="n"/>
      <c r="N209" s="58" t="inlineStr">
        <is>
          <t>NÃO</t>
        </is>
      </c>
      <c r="O209" s="58" t="inlineStr">
        <is>
          <t>SIM</t>
        </is>
      </c>
      <c r="P209" s="58" t="inlineStr">
        <is>
          <t>SIM</t>
        </is>
      </c>
      <c r="Q209" s="58" t="inlineStr">
        <is>
          <t>FOLLOW UP</t>
        </is>
      </c>
      <c r="R209" s="58" t="inlineStr">
        <is>
          <t>NÃO ATENDE</t>
        </is>
      </c>
      <c r="S209" s="58" t="inlineStr">
        <is>
          <t>PROPRIETARIO / INDISPONÍVEL</t>
        </is>
      </c>
      <c r="T209" s="71">
        <f>IF(R209="","",IF(OR(R209="SUPORTE",R209="PERDA / FECHOU LOJA"),"SEM",A209+VLOOKUP(R209,REGRAS!$B$2:$C$13,2,FALSE())))</f>
        <v/>
      </c>
      <c r="U209" s="58">
        <f>IF(R209="","",IF(R209="VENDA / PEDIDO","RECOMPRA",IF(R209="SUPORTE","PÓS-VENDA",IF(R209="RELACIONAMENTO","CS",IF(OR(R209="NÃO ATENDE",R209="NÃO RESPONDE",R209="RECUSOU LIGAÇÃO"),"REATIVAÇÃO",IF(R209="PERDA / FECHOU LOJA","NUTRIÇÃO",IF(OR(R209="FOLLOW UP 7",R209="FOLLOW UP 15"),"SALVAMENTO","PROSPECÇÃO")))))))</f>
        <v/>
      </c>
      <c r="V209" s="58" t="n"/>
      <c r="W209" s="58" t="inlineStr">
        <is>
          <t>NÃO</t>
        </is>
      </c>
      <c r="X209" s="58" t="n"/>
    </row>
    <row r="210">
      <c r="A210" s="71" t="n">
        <v>46079</v>
      </c>
      <c r="B210" s="58" t="inlineStr">
        <is>
          <t>DAIANE STAVICKI</t>
        </is>
      </c>
      <c r="C210" s="58" t="inlineStr">
        <is>
          <t>MUNDO BIO 52</t>
        </is>
      </c>
      <c r="D210" s="58" t="inlineStr">
        <is>
          <t>94.427.797/2293-13</t>
        </is>
      </c>
      <c r="E210" s="58" t="inlineStr">
        <is>
          <t>SP</t>
        </is>
      </c>
      <c r="F210" s="58" t="inlineStr">
        <is>
          <t>DEMAIS CLIENTES</t>
        </is>
      </c>
      <c r="G210" s="58" t="inlineStr">
        <is>
          <t>ATIVO</t>
        </is>
      </c>
      <c r="H210" s="58" t="n">
        <v>31</v>
      </c>
      <c r="I210" s="58">
        <f>IF(R210="","",VLOOKUP(R210,REGRAS!$B$2:$D$13,3,FALSE()))</f>
        <v/>
      </c>
      <c r="J210" s="58" t="n"/>
      <c r="K210" s="58">
        <f>IF(R210="","",IF(R210="VENDA / PEDIDO","RECOMPRA",IF(R210="SUPORTE","PÓS-VENDA",IF(OR(R210="FOLLOW UP 7",R210="FOLLOW UP 15"),"SALVAMENTO",IF(R210="PERDA / FECHOU LOJA","NUTRIÇÃO",IF(R210="RELACIONAMENTO","CS",IF(OR(R210="ORÇAMENTO",R210="CADASTRO"),"PROSPECÇÃO",IF(R210="EM ATENDIMENTO","EM ATENDIMENTO",IF(OR(R210="NÃO ATENDE",R210="NÃO RESPONDE",R210="RECUSOU LIGAÇÃO"),"RECUPERAÇÃO","")))))))))</f>
        <v/>
      </c>
      <c r="L210" s="58">
        <f>IF(H210="","",IF(G210="PROSPECT","🟣",IF(G210="LEAD","🟣",IF(G210="NOVO","🟢",IF(H210&lt;=50,"🟢",IF(H210&lt;=90,"🟡","🔴"))))))</f>
        <v/>
      </c>
      <c r="M210" s="58" t="n"/>
      <c r="N210" s="58" t="inlineStr">
        <is>
          <t>SIM</t>
        </is>
      </c>
      <c r="O210" s="58" t="inlineStr">
        <is>
          <t>NÃO</t>
        </is>
      </c>
      <c r="P210" s="58" t="inlineStr">
        <is>
          <t>N/A</t>
        </is>
      </c>
      <c r="Q210" s="58" t="inlineStr">
        <is>
          <t>ATEND. CLIENTES ATIVOS</t>
        </is>
      </c>
      <c r="R210" s="58" t="inlineStr">
        <is>
          <t>SUPORTE</t>
        </is>
      </c>
      <c r="S210" s="58" t="n"/>
      <c r="T210" s="71">
        <f>IF(R210="","",IF(OR(R210="SUPORTE",R210="PERDA / FECHOU LOJA"),"SEM",A210+VLOOKUP(R210,REGRAS!$B$2:$C$13,2,FALSE())))</f>
        <v/>
      </c>
      <c r="U210" s="58">
        <f>IF(R210="","",IF(R210="VENDA / PEDIDO","RECOMPRA",IF(R210="SUPORTE","PÓS-VENDA",IF(R210="RELACIONAMENTO","CS",IF(OR(R210="NÃO ATENDE",R210="NÃO RESPONDE",R210="RECUSOU LIGAÇÃO"),"REATIVAÇÃO",IF(R210="PERDA / FECHOU LOJA","NUTRIÇÃO",IF(OR(R210="FOLLOW UP 7",R210="FOLLOW UP 15"),"SALVAMENTO","PROSPECÇÃO")))))))</f>
        <v/>
      </c>
      <c r="V210" s="58" t="n"/>
      <c r="W210" s="58" t="inlineStr">
        <is>
          <t>NÃO</t>
        </is>
      </c>
      <c r="X210" s="58" t="n"/>
    </row>
    <row r="211">
      <c r="A211" s="71" t="n">
        <v>46064</v>
      </c>
      <c r="B211" s="58" t="inlineStr">
        <is>
          <t>JULIO GADRET</t>
        </is>
      </c>
      <c r="C211" s="58" t="inlineStr">
        <is>
          <t>FITLAND PR 88</t>
        </is>
      </c>
      <c r="D211" s="58" t="inlineStr">
        <is>
          <t>78.753.903/7795-95</t>
        </is>
      </c>
      <c r="E211" s="58" t="inlineStr">
        <is>
          <t>SC</t>
        </is>
      </c>
      <c r="F211" s="58" t="inlineStr">
        <is>
          <t>CIA DA SAUDE</t>
        </is>
      </c>
      <c r="G211" s="58" t="inlineStr">
        <is>
          <t>ATIVO</t>
        </is>
      </c>
      <c r="H211" s="58" t="n">
        <v>47</v>
      </c>
      <c r="I211" s="58">
        <f>IF(R211="","",VLOOKUP(R211,REGRAS!$B$2:$D$13,3,FALSE()))</f>
        <v/>
      </c>
      <c r="J211" s="58" t="n"/>
      <c r="K211" s="58">
        <f>IF(R211="","",IF(R211="VENDA / PEDIDO","RECOMPRA",IF(R211="SUPORTE","PÓS-VENDA",IF(OR(R211="FOLLOW UP 7",R211="FOLLOW UP 15"),"SALVAMENTO",IF(R211="PERDA / FECHOU LOJA","NUTRIÇÃO",IF(R211="RELACIONAMENTO","CS",IF(OR(R211="ORÇAMENTO",R211="CADASTRO"),"PROSPECÇÃO",IF(R211="EM ATENDIMENTO","EM ATENDIMENTO",IF(OR(R211="NÃO ATENDE",R211="NÃO RESPONDE",R211="RECUSOU LIGAÇÃO"),"RECUPERAÇÃO","")))))))))</f>
        <v/>
      </c>
      <c r="L211" s="58">
        <f>IF(H211="","",IF(G211="PROSPECT","🟣",IF(G211="LEAD","🟣",IF(G211="NOVO","🟢",IF(H211&lt;=50,"🟢",IF(H211&lt;=90,"🟡","🔴"))))))</f>
        <v/>
      </c>
      <c r="M211" s="58" t="n"/>
      <c r="N211" s="58" t="inlineStr">
        <is>
          <t>SIM</t>
        </is>
      </c>
      <c r="O211" s="58" t="inlineStr">
        <is>
          <t>SIM</t>
        </is>
      </c>
      <c r="P211" s="58" t="inlineStr">
        <is>
          <t>SIM</t>
        </is>
      </c>
      <c r="Q211" s="58" t="inlineStr">
        <is>
          <t>PÓS-VENDA / RELACIONAMENTO</t>
        </is>
      </c>
      <c r="R211" s="58" t="inlineStr">
        <is>
          <t>RELACIONAMENTO</t>
        </is>
      </c>
      <c r="S211" s="58" t="n"/>
      <c r="T211" s="71">
        <f>IF(R211="","",IF(OR(R211="SUPORTE",R211="PERDA / FECHOU LOJA"),"SEM",A211+VLOOKUP(R211,REGRAS!$B$2:$C$13,2,FALSE())))</f>
        <v/>
      </c>
      <c r="U211" s="58">
        <f>IF(R211="","",IF(R211="VENDA / PEDIDO","RECOMPRA",IF(R211="SUPORTE","PÓS-VENDA",IF(R211="RELACIONAMENTO","CS",IF(OR(R211="NÃO ATENDE",R211="NÃO RESPONDE",R211="RECUSOU LIGAÇÃO"),"REATIVAÇÃO",IF(R211="PERDA / FECHOU LOJA","NUTRIÇÃO",IF(OR(R211="FOLLOW UP 7",R211="FOLLOW UP 15"),"SALVAMENTO","PROSPECÇÃO")))))))</f>
        <v/>
      </c>
      <c r="V211" s="58" t="n"/>
      <c r="W211" s="58" t="inlineStr">
        <is>
          <t>NÃO</t>
        </is>
      </c>
      <c r="X211" s="58" t="n"/>
    </row>
    <row r="212">
      <c r="A212" s="71" t="n">
        <v>46078</v>
      </c>
      <c r="B212" s="58" t="inlineStr">
        <is>
          <t>DAIANE STAVICKI</t>
        </is>
      </c>
      <c r="C212" s="58" t="inlineStr">
        <is>
          <t>SAUDE TOTAL 84</t>
        </is>
      </c>
      <c r="D212" s="58" t="inlineStr">
        <is>
          <t>21.327.463/3660-49</t>
        </is>
      </c>
      <c r="E212" s="58" t="inlineStr">
        <is>
          <t>RS</t>
        </is>
      </c>
      <c r="F212" s="58" t="inlineStr">
        <is>
          <t>DEMAIS CLIENTES</t>
        </is>
      </c>
      <c r="G212" s="58" t="inlineStr">
        <is>
          <t>EM RISCO</t>
        </is>
      </c>
      <c r="H212" s="58" t="n">
        <v>60</v>
      </c>
      <c r="I212" s="58">
        <f>IF(R212="","",VLOOKUP(R212,REGRAS!$B$2:$D$13,3,FALSE()))</f>
        <v/>
      </c>
      <c r="J212" s="58" t="n"/>
      <c r="K212" s="58">
        <f>IF(R212="","",IF(R212="VENDA / PEDIDO","RECOMPRA",IF(R212="SUPORTE","PÓS-VENDA",IF(OR(R212="FOLLOW UP 7",R212="FOLLOW UP 15"),"SALVAMENTO",IF(R212="PERDA / FECHOU LOJA","NUTRIÇÃO",IF(R212="RELACIONAMENTO","CS",IF(OR(R212="ORÇAMENTO",R212="CADASTRO"),"PROSPECÇÃO",IF(R212="EM ATENDIMENTO","EM ATENDIMENTO",IF(OR(R212="NÃO ATENDE",R212="NÃO RESPONDE",R212="RECUSOU LIGAÇÃO"),"RECUPERAÇÃO","")))))))))</f>
        <v/>
      </c>
      <c r="L212" s="58">
        <f>IF(H212="","",IF(G212="PROSPECT","🟣",IF(G212="LEAD","🟣",IF(G212="NOVO","🟢",IF(H212&lt;=50,"🟢",IF(H212&lt;=90,"🟡","🔴"))))))</f>
        <v/>
      </c>
      <c r="M212" s="58" t="n"/>
      <c r="N212" s="58" t="inlineStr">
        <is>
          <t>SIM</t>
        </is>
      </c>
      <c r="O212" s="58" t="inlineStr">
        <is>
          <t>NÃO</t>
        </is>
      </c>
      <c r="P212" s="58" t="inlineStr">
        <is>
          <t>N/A</t>
        </is>
      </c>
      <c r="Q212" s="58" t="inlineStr">
        <is>
          <t>FOLLOW UP</t>
        </is>
      </c>
      <c r="R212" s="58" t="inlineStr">
        <is>
          <t>NÃO RESPONDE</t>
        </is>
      </c>
      <c r="S212" s="58" t="inlineStr">
        <is>
          <t>PROBLEMA LOGÍSTICO / ENTREGA</t>
        </is>
      </c>
      <c r="T212" s="71">
        <f>IF(R212="","",IF(OR(R212="SUPORTE",R212="PERDA / FECHOU LOJA"),"SEM",A212+VLOOKUP(R212,REGRAS!$B$2:$C$13,2,FALSE())))</f>
        <v/>
      </c>
      <c r="U212" s="58">
        <f>IF(R212="","",IF(R212="VENDA / PEDIDO","RECOMPRA",IF(R212="SUPORTE","PÓS-VENDA",IF(R212="RELACIONAMENTO","CS",IF(OR(R212="NÃO ATENDE",R212="NÃO RESPONDE",R212="RECUSOU LIGAÇÃO"),"REATIVAÇÃO",IF(R212="PERDA / FECHOU LOJA","NUTRIÇÃO",IF(OR(R212="FOLLOW UP 7",R212="FOLLOW UP 15"),"SALVAMENTO","PROSPECÇÃO")))))))</f>
        <v/>
      </c>
      <c r="V212" s="58" t="n"/>
      <c r="W212" s="58" t="inlineStr">
        <is>
          <t>NÃO</t>
        </is>
      </c>
      <c r="X212" s="58" t="n"/>
    </row>
    <row r="213">
      <c r="A213" s="71" t="n">
        <v>46056</v>
      </c>
      <c r="B213" s="58" t="inlineStr">
        <is>
          <t>LARISSA PADILHA</t>
        </is>
      </c>
      <c r="C213" s="58" t="inlineStr">
        <is>
          <t>CIA SAUDE SP 65</t>
        </is>
      </c>
      <c r="D213" s="58" t="inlineStr">
        <is>
          <t>25.988.797/6254-77</t>
        </is>
      </c>
      <c r="E213" s="58" t="inlineStr">
        <is>
          <t>SC</t>
        </is>
      </c>
      <c r="F213" s="58" t="inlineStr">
        <is>
          <t>MUNDO VERDE</t>
        </is>
      </c>
      <c r="G213" s="58" t="inlineStr">
        <is>
          <t>NOVO</t>
        </is>
      </c>
      <c r="H213" s="58" t="n"/>
      <c r="I213" s="58">
        <f>IF(R213="","",VLOOKUP(R213,REGRAS!$B$2:$D$13,3,FALSE()))</f>
        <v/>
      </c>
      <c r="J213" s="58" t="n"/>
      <c r="K213" s="58">
        <f>IF(R213="","",IF(R213="VENDA / PEDIDO","RECOMPRA",IF(R213="SUPORTE","PÓS-VENDA",IF(OR(R213="FOLLOW UP 7",R213="FOLLOW UP 15"),"SALVAMENTO",IF(R213="PERDA / FECHOU LOJA","NUTRIÇÃO",IF(R213="RELACIONAMENTO","CS",IF(OR(R213="ORÇAMENTO",R213="CADASTRO"),"PROSPECÇÃO",IF(R213="EM ATENDIMENTO","EM ATENDIMENTO",IF(OR(R213="NÃO ATENDE",R213="NÃO RESPONDE",R213="RECUSOU LIGAÇÃO"),"RECUPERAÇÃO","")))))))))</f>
        <v/>
      </c>
      <c r="L213" s="58">
        <f>IF(H213="","",IF(G213="PROSPECT","🟣",IF(G213="LEAD","🟣",IF(G213="NOVO","🟢",IF(H213&lt;=50,"🟢",IF(H213&lt;=90,"🟡","🔴"))))))</f>
        <v/>
      </c>
      <c r="M213" s="58" t="n"/>
      <c r="N213" s="58" t="inlineStr">
        <is>
          <t>SIM</t>
        </is>
      </c>
      <c r="O213" s="58" t="inlineStr">
        <is>
          <t>NÃO</t>
        </is>
      </c>
      <c r="P213" s="58" t="inlineStr">
        <is>
          <t>N/A</t>
        </is>
      </c>
      <c r="Q213" s="58" t="inlineStr">
        <is>
          <t>PROSPECÇÃO</t>
        </is>
      </c>
      <c r="R213" s="58" t="inlineStr">
        <is>
          <t>EM ATENDIMENTO</t>
        </is>
      </c>
      <c r="S213" s="58" t="n"/>
      <c r="T213" s="71">
        <f>IF(R213="","",IF(OR(R213="SUPORTE",R213="PERDA / FECHOU LOJA"),"SEM",A213+VLOOKUP(R213,REGRAS!$B$2:$C$13,2,FALSE())))</f>
        <v/>
      </c>
      <c r="U213" s="58">
        <f>IF(R213="","",IF(R213="VENDA / PEDIDO","RECOMPRA",IF(R213="SUPORTE","PÓS-VENDA",IF(R213="RELACIONAMENTO","CS",IF(OR(R213="NÃO ATENDE",R213="NÃO RESPONDE",R213="RECUSOU LIGAÇÃO"),"REATIVAÇÃO",IF(R213="PERDA / FECHOU LOJA","NUTRIÇÃO",IF(OR(R213="FOLLOW UP 7",R213="FOLLOW UP 15"),"SALVAMENTO","PROSPECÇÃO")))))))</f>
        <v/>
      </c>
      <c r="V213" s="58" t="n"/>
      <c r="W213" s="58" t="inlineStr">
        <is>
          <t>NÃO</t>
        </is>
      </c>
      <c r="X213" s="58" t="n"/>
    </row>
    <row r="214">
      <c r="A214" s="71" t="n">
        <v>46068</v>
      </c>
      <c r="B214" s="58" t="inlineStr">
        <is>
          <t>MANU DITZEL</t>
        </is>
      </c>
      <c r="C214" s="58" t="inlineStr">
        <is>
          <t>VERDE VIDA 11</t>
        </is>
      </c>
      <c r="D214" s="58" t="inlineStr">
        <is>
          <t>72.440.746/2898-50</t>
        </is>
      </c>
      <c r="E214" s="58" t="inlineStr">
        <is>
          <t>SP</t>
        </is>
      </c>
      <c r="F214" s="58" t="inlineStr">
        <is>
          <t>MUNDO VERDE</t>
        </is>
      </c>
      <c r="G214" s="58" t="inlineStr">
        <is>
          <t>ATIVO</t>
        </is>
      </c>
      <c r="H214" s="58" t="n">
        <v>15</v>
      </c>
      <c r="I214" s="58">
        <f>IF(R214="","",VLOOKUP(R214,REGRAS!$B$2:$D$13,3,FALSE()))</f>
        <v/>
      </c>
      <c r="J214" s="58" t="n"/>
      <c r="K214" s="58">
        <f>IF(R214="","",IF(R214="VENDA / PEDIDO","RECOMPRA",IF(R214="SUPORTE","PÓS-VENDA",IF(OR(R214="FOLLOW UP 7",R214="FOLLOW UP 15"),"SALVAMENTO",IF(R214="PERDA / FECHOU LOJA","NUTRIÇÃO",IF(R214="RELACIONAMENTO","CS",IF(OR(R214="ORÇAMENTO",R214="CADASTRO"),"PROSPECÇÃO",IF(R214="EM ATENDIMENTO","EM ATENDIMENTO",IF(OR(R214="NÃO ATENDE",R214="NÃO RESPONDE",R214="RECUSOU LIGAÇÃO"),"RECUPERAÇÃO","")))))))))</f>
        <v/>
      </c>
      <c r="L214" s="58">
        <f>IF(H214="","",IF(G214="PROSPECT","🟣",IF(G214="LEAD","🟣",IF(G214="NOVO","🟢",IF(H214&lt;=50,"🟢",IF(H214&lt;=90,"🟡","🔴"))))))</f>
        <v/>
      </c>
      <c r="M214" s="58" t="n"/>
      <c r="N214" s="58" t="inlineStr">
        <is>
          <t>NÃO</t>
        </is>
      </c>
      <c r="O214" s="58" t="inlineStr">
        <is>
          <t>NÃO</t>
        </is>
      </c>
      <c r="P214" s="58" t="inlineStr">
        <is>
          <t>N/A</t>
        </is>
      </c>
      <c r="Q214" s="58" t="inlineStr">
        <is>
          <t>ATEND. CLIENTES ATIVOS</t>
        </is>
      </c>
      <c r="R214" s="58" t="inlineStr">
        <is>
          <t>VENDA / PEDIDO</t>
        </is>
      </c>
      <c r="S214" s="58" t="n"/>
      <c r="T214" s="71">
        <f>IF(R214="","",IF(OR(R214="SUPORTE",R214="PERDA / FECHOU LOJA"),"SEM",A214+VLOOKUP(R214,REGRAS!$B$2:$C$13,2,FALSE())))</f>
        <v/>
      </c>
      <c r="U214" s="58">
        <f>IF(R214="","",IF(R214="VENDA / PEDIDO","RECOMPRA",IF(R214="SUPORTE","PÓS-VENDA",IF(R214="RELACIONAMENTO","CS",IF(OR(R214="NÃO ATENDE",R214="NÃO RESPONDE",R214="RECUSOU LIGAÇÃO"),"REATIVAÇÃO",IF(R214="PERDA / FECHOU LOJA","NUTRIÇÃO",IF(OR(R214="FOLLOW UP 7",R214="FOLLOW UP 15"),"SALVAMENTO","PROSPECÇÃO")))))))</f>
        <v/>
      </c>
      <c r="V214" s="58" t="n"/>
      <c r="W214" s="58" t="inlineStr">
        <is>
          <t>SIM</t>
        </is>
      </c>
      <c r="X214" s="58" t="n"/>
    </row>
    <row r="215">
      <c r="A215" s="71" t="n">
        <v>46067</v>
      </c>
      <c r="B215" s="58" t="inlineStr">
        <is>
          <t>JULIO GADRET</t>
        </is>
      </c>
      <c r="C215" s="58" t="inlineStr">
        <is>
          <t>TUDO GRÃOS SC 55</t>
        </is>
      </c>
      <c r="D215" s="58" t="inlineStr">
        <is>
          <t>71.492.104/0619-78</t>
        </is>
      </c>
      <c r="E215" s="58" t="inlineStr">
        <is>
          <t>PR</t>
        </is>
      </c>
      <c r="F215" s="58" t="inlineStr">
        <is>
          <t>FIT LAND</t>
        </is>
      </c>
      <c r="G215" s="58" t="inlineStr">
        <is>
          <t>ATIVO</t>
        </is>
      </c>
      <c r="H215" s="58" t="n">
        <v>25</v>
      </c>
      <c r="I215" s="58">
        <f>IF(R215="","",VLOOKUP(R215,REGRAS!$B$2:$D$13,3,FALSE()))</f>
        <v/>
      </c>
      <c r="J215" s="58" t="n"/>
      <c r="K215" s="58">
        <f>IF(R215="","",IF(R215="VENDA / PEDIDO","RECOMPRA",IF(R215="SUPORTE","PÓS-VENDA",IF(OR(R215="FOLLOW UP 7",R215="FOLLOW UP 15"),"SALVAMENTO",IF(R215="PERDA / FECHOU LOJA","NUTRIÇÃO",IF(R215="RELACIONAMENTO","CS",IF(OR(R215="ORÇAMENTO",R215="CADASTRO"),"PROSPECÇÃO",IF(R215="EM ATENDIMENTO","EM ATENDIMENTO",IF(OR(R215="NÃO ATENDE",R215="NÃO RESPONDE",R215="RECUSOU LIGAÇÃO"),"RECUPERAÇÃO","")))))))))</f>
        <v/>
      </c>
      <c r="L215" s="58">
        <f>IF(H215="","",IF(G215="PROSPECT","🟣",IF(G215="LEAD","🟣",IF(G215="NOVO","🟢",IF(H215&lt;=50,"🟢",IF(H215&lt;=90,"🟡","🔴"))))))</f>
        <v/>
      </c>
      <c r="M215" s="58" t="n"/>
      <c r="N215" s="58" t="inlineStr">
        <is>
          <t>SIM</t>
        </is>
      </c>
      <c r="O215" s="58" t="inlineStr">
        <is>
          <t>SIM</t>
        </is>
      </c>
      <c r="P215" s="58" t="inlineStr">
        <is>
          <t>NÃO</t>
        </is>
      </c>
      <c r="Q215" s="58" t="inlineStr">
        <is>
          <t>PÓS-VENDA / RELACIONAMENTO</t>
        </is>
      </c>
      <c r="R215" s="58" t="inlineStr">
        <is>
          <t>FOLLOW UP 15</t>
        </is>
      </c>
      <c r="S215" s="58" t="inlineStr">
        <is>
          <t>AINDA TEM ESTOQUE</t>
        </is>
      </c>
      <c r="T215" s="71">
        <f>IF(R215="","",IF(OR(R215="SUPORTE",R215="PERDA / FECHOU LOJA"),"SEM",A215+VLOOKUP(R215,REGRAS!$B$2:$C$13,2,FALSE())))</f>
        <v/>
      </c>
      <c r="U215" s="58">
        <f>IF(R215="","",IF(R215="VENDA / PEDIDO","RECOMPRA",IF(R215="SUPORTE","PÓS-VENDA",IF(R215="RELACIONAMENTO","CS",IF(OR(R215="NÃO ATENDE",R215="NÃO RESPONDE",R215="RECUSOU LIGAÇÃO"),"REATIVAÇÃO",IF(R215="PERDA / FECHOU LOJA","NUTRIÇÃO",IF(OR(R215="FOLLOW UP 7",R215="FOLLOW UP 15"),"SALVAMENTO","PROSPECÇÃO")))))))</f>
        <v/>
      </c>
      <c r="V215" s="58" t="n"/>
      <c r="W215" s="58" t="inlineStr">
        <is>
          <t>NÃO</t>
        </is>
      </c>
      <c r="X215" s="58" t="n"/>
    </row>
    <row r="216">
      <c r="A216" s="71" t="n">
        <v>46063</v>
      </c>
      <c r="B216" s="58" t="inlineStr">
        <is>
          <t>MANU DITZEL</t>
        </is>
      </c>
      <c r="C216" s="58" t="inlineStr">
        <is>
          <t>VIDA LEVE PR 65</t>
        </is>
      </c>
      <c r="D216" s="58" t="inlineStr">
        <is>
          <t>85.413.271/1070-15</t>
        </is>
      </c>
      <c r="E216" s="58" t="inlineStr">
        <is>
          <t>SC</t>
        </is>
      </c>
      <c r="F216" s="58" t="inlineStr">
        <is>
          <t>CIA DA SAUDE</t>
        </is>
      </c>
      <c r="G216" s="58" t="inlineStr">
        <is>
          <t>INAT.ANT</t>
        </is>
      </c>
      <c r="H216" s="58" t="n">
        <v>243</v>
      </c>
      <c r="I216" s="58">
        <f>IF(R216="","",VLOOKUP(R216,REGRAS!$B$2:$D$13,3,FALSE()))</f>
        <v/>
      </c>
      <c r="J216" s="58" t="n"/>
      <c r="K216" s="58">
        <f>IF(R216="","",IF(R216="VENDA / PEDIDO","RECOMPRA",IF(R216="SUPORTE","PÓS-VENDA",IF(OR(R216="FOLLOW UP 7",R216="FOLLOW UP 15"),"SALVAMENTO",IF(R216="PERDA / FECHOU LOJA","NUTRIÇÃO",IF(R216="RELACIONAMENTO","CS",IF(OR(R216="ORÇAMENTO",R216="CADASTRO"),"PROSPECÇÃO",IF(R216="EM ATENDIMENTO","EM ATENDIMENTO",IF(OR(R216="NÃO ATENDE",R216="NÃO RESPONDE",R216="RECUSOU LIGAÇÃO"),"RECUPERAÇÃO","")))))))))</f>
        <v/>
      </c>
      <c r="L216" s="58">
        <f>IF(H216="","",IF(G216="PROSPECT","🟣",IF(G216="LEAD","🟣",IF(G216="NOVO","🟢",IF(H216&lt;=50,"🟢",IF(H216&lt;=90,"🟡","🔴"))))))</f>
        <v/>
      </c>
      <c r="M216" s="58" t="n"/>
      <c r="N216" s="58" t="inlineStr">
        <is>
          <t>SIM</t>
        </is>
      </c>
      <c r="O216" s="58" t="inlineStr">
        <is>
          <t>SIM</t>
        </is>
      </c>
      <c r="P216" s="58" t="inlineStr">
        <is>
          <t>NÃO</t>
        </is>
      </c>
      <c r="Q216" s="58" t="inlineStr">
        <is>
          <t>ATEND. CLIENTES ATIVOS</t>
        </is>
      </c>
      <c r="R216" s="58" t="inlineStr">
        <is>
          <t>RELACIONAMENTO</t>
        </is>
      </c>
      <c r="S216" s="58" t="n"/>
      <c r="T216" s="71">
        <f>IF(R216="","",IF(OR(R216="SUPORTE",R216="PERDA / FECHOU LOJA"),"SEM",A216+VLOOKUP(R216,REGRAS!$B$2:$C$13,2,FALSE())))</f>
        <v/>
      </c>
      <c r="U216" s="58">
        <f>IF(R216="","",IF(R216="VENDA / PEDIDO","RECOMPRA",IF(R216="SUPORTE","PÓS-VENDA",IF(R216="RELACIONAMENTO","CS",IF(OR(R216="NÃO ATENDE",R216="NÃO RESPONDE",R216="RECUSOU LIGAÇÃO"),"REATIVAÇÃO",IF(R216="PERDA / FECHOU LOJA","NUTRIÇÃO",IF(OR(R216="FOLLOW UP 7",R216="FOLLOW UP 15"),"SALVAMENTO","PROSPECÇÃO")))))))</f>
        <v/>
      </c>
      <c r="V216" s="58" t="n"/>
      <c r="W216" s="58" t="inlineStr">
        <is>
          <t>SIM</t>
        </is>
      </c>
      <c r="X216" s="58" t="n"/>
    </row>
    <row r="217">
      <c r="A217" s="71" t="n">
        <v>46078</v>
      </c>
      <c r="B217" s="58" t="inlineStr">
        <is>
          <t>MANU DITZEL</t>
        </is>
      </c>
      <c r="C217" s="58" t="inlineStr">
        <is>
          <t>TUDO GRÃOS SC 03</t>
        </is>
      </c>
      <c r="D217" s="58" t="inlineStr">
        <is>
          <t>39.329.844/2150-37</t>
        </is>
      </c>
      <c r="E217" s="58" t="inlineStr">
        <is>
          <t>RJ</t>
        </is>
      </c>
      <c r="F217" s="58" t="inlineStr">
        <is>
          <t>VIDA LEVE</t>
        </is>
      </c>
      <c r="G217" s="58" t="inlineStr">
        <is>
          <t>ATIVO</t>
        </is>
      </c>
      <c r="H217" s="58" t="n">
        <v>28</v>
      </c>
      <c r="I217" s="58">
        <f>IF(R217="","",VLOOKUP(R217,REGRAS!$B$2:$D$13,3,FALSE()))</f>
        <v/>
      </c>
      <c r="J217" s="58" t="n"/>
      <c r="K217" s="58">
        <f>IF(R217="","",IF(R217="VENDA / PEDIDO","RECOMPRA",IF(R217="SUPORTE","PÓS-VENDA",IF(OR(R217="FOLLOW UP 7",R217="FOLLOW UP 15"),"SALVAMENTO",IF(R217="PERDA / FECHOU LOJA","NUTRIÇÃO",IF(R217="RELACIONAMENTO","CS",IF(OR(R217="ORÇAMENTO",R217="CADASTRO"),"PROSPECÇÃO",IF(R217="EM ATENDIMENTO","EM ATENDIMENTO",IF(OR(R217="NÃO ATENDE",R217="NÃO RESPONDE",R217="RECUSOU LIGAÇÃO"),"RECUPERAÇÃO","")))))))))</f>
        <v/>
      </c>
      <c r="L217" s="58">
        <f>IF(H217="","",IF(G217="PROSPECT","🟣",IF(G217="LEAD","🟣",IF(G217="NOVO","🟢",IF(H217&lt;=50,"🟢",IF(H217&lt;=90,"🟡","🔴"))))))</f>
        <v/>
      </c>
      <c r="M217" s="58" t="n"/>
      <c r="N217" s="58" t="inlineStr">
        <is>
          <t>SIM</t>
        </is>
      </c>
      <c r="O217" s="58" t="inlineStr">
        <is>
          <t>NÃO</t>
        </is>
      </c>
      <c r="P217" s="58" t="inlineStr">
        <is>
          <t>N/A</t>
        </is>
      </c>
      <c r="Q217" s="58" t="inlineStr">
        <is>
          <t>ATEND. CLIENTES INATIVOS</t>
        </is>
      </c>
      <c r="R217" s="58" t="inlineStr">
        <is>
          <t>VENDA / PEDIDO</t>
        </is>
      </c>
      <c r="S217" s="58" t="n"/>
      <c r="T217" s="71">
        <f>IF(R217="","",IF(OR(R217="SUPORTE",R217="PERDA / FECHOU LOJA"),"SEM",A217+VLOOKUP(R217,REGRAS!$B$2:$C$13,2,FALSE())))</f>
        <v/>
      </c>
      <c r="U217" s="58">
        <f>IF(R217="","",IF(R217="VENDA / PEDIDO","RECOMPRA",IF(R217="SUPORTE","PÓS-VENDA",IF(R217="RELACIONAMENTO","CS",IF(OR(R217="NÃO ATENDE",R217="NÃO RESPONDE",R217="RECUSOU LIGAÇÃO"),"REATIVAÇÃO",IF(R217="PERDA / FECHOU LOJA","NUTRIÇÃO",IF(OR(R217="FOLLOW UP 7",R217="FOLLOW UP 15"),"SALVAMENTO","PROSPECÇÃO")))))))</f>
        <v/>
      </c>
      <c r="V217" s="58" t="n"/>
      <c r="W217" s="58" t="inlineStr">
        <is>
          <t>NÃO</t>
        </is>
      </c>
      <c r="X217" s="58" t="n"/>
    </row>
    <row r="218">
      <c r="A218" s="71" t="n">
        <v>46073</v>
      </c>
      <c r="B218" s="58" t="inlineStr">
        <is>
          <t>MANU DITZEL</t>
        </is>
      </c>
      <c r="C218" s="58" t="inlineStr">
        <is>
          <t>BIOMUNDO CTB 85</t>
        </is>
      </c>
      <c r="D218" s="58" t="inlineStr">
        <is>
          <t>23.769.956/0324-16</t>
        </is>
      </c>
      <c r="E218" s="58" t="inlineStr">
        <is>
          <t>SP</t>
        </is>
      </c>
      <c r="F218" s="58" t="inlineStr">
        <is>
          <t>FIT LAND</t>
        </is>
      </c>
      <c r="G218" s="58" t="inlineStr">
        <is>
          <t>EM RISCO</t>
        </is>
      </c>
      <c r="H218" s="58" t="n">
        <v>59</v>
      </c>
      <c r="I218" s="58">
        <f>IF(R218="","",VLOOKUP(R218,REGRAS!$B$2:$D$13,3,FALSE()))</f>
        <v/>
      </c>
      <c r="J218" s="58" t="n"/>
      <c r="K218" s="58">
        <f>IF(R218="","",IF(R218="VENDA / PEDIDO","RECOMPRA",IF(R218="SUPORTE","PÓS-VENDA",IF(OR(R218="FOLLOW UP 7",R218="FOLLOW UP 15"),"SALVAMENTO",IF(R218="PERDA / FECHOU LOJA","NUTRIÇÃO",IF(R218="RELACIONAMENTO","CS",IF(OR(R218="ORÇAMENTO",R218="CADASTRO"),"PROSPECÇÃO",IF(R218="EM ATENDIMENTO","EM ATENDIMENTO",IF(OR(R218="NÃO ATENDE",R218="NÃO RESPONDE",R218="RECUSOU LIGAÇÃO"),"RECUPERAÇÃO","")))))))))</f>
        <v/>
      </c>
      <c r="L218" s="58">
        <f>IF(H218="","",IF(G218="PROSPECT","🟣",IF(G218="LEAD","🟣",IF(G218="NOVO","🟢",IF(H218&lt;=50,"🟢",IF(H218&lt;=90,"🟡","🔴"))))))</f>
        <v/>
      </c>
      <c r="M218" s="58" t="n"/>
      <c r="N218" s="58" t="inlineStr">
        <is>
          <t>SIM</t>
        </is>
      </c>
      <c r="O218" s="58" t="inlineStr">
        <is>
          <t>NÃO</t>
        </is>
      </c>
      <c r="P218" s="58" t="inlineStr">
        <is>
          <t>N/A</t>
        </is>
      </c>
      <c r="Q218" s="58" t="inlineStr">
        <is>
          <t>FOLLOW UP</t>
        </is>
      </c>
      <c r="R218" s="58" t="inlineStr">
        <is>
          <t>NÃO ATENDE</t>
        </is>
      </c>
      <c r="S218" s="58" t="inlineStr">
        <is>
          <t>AINDA TEM ESTOQUE</t>
        </is>
      </c>
      <c r="T218" s="71">
        <f>IF(R218="","",IF(OR(R218="SUPORTE",R218="PERDA / FECHOU LOJA"),"SEM",A218+VLOOKUP(R218,REGRAS!$B$2:$C$13,2,FALSE())))</f>
        <v/>
      </c>
      <c r="U218" s="58">
        <f>IF(R218="","",IF(R218="VENDA / PEDIDO","RECOMPRA",IF(R218="SUPORTE","PÓS-VENDA",IF(R218="RELACIONAMENTO","CS",IF(OR(R218="NÃO ATENDE",R218="NÃO RESPONDE",R218="RECUSOU LIGAÇÃO"),"REATIVAÇÃO",IF(R218="PERDA / FECHOU LOJA","NUTRIÇÃO",IF(OR(R218="FOLLOW UP 7",R218="FOLLOW UP 15"),"SALVAMENTO","PROSPECÇÃO")))))))</f>
        <v/>
      </c>
      <c r="V218" s="58" t="n"/>
      <c r="W218" s="58" t="inlineStr">
        <is>
          <t>SIM</t>
        </is>
      </c>
      <c r="X218" s="58" t="n"/>
    </row>
    <row r="219">
      <c r="A219" s="71" t="n">
        <v>46057</v>
      </c>
      <c r="B219" s="58" t="inlineStr">
        <is>
          <t>JULIO GADRET</t>
        </is>
      </c>
      <c r="C219" s="58" t="inlineStr">
        <is>
          <t>NATUR LIFE 80</t>
        </is>
      </c>
      <c r="D219" s="58" t="inlineStr">
        <is>
          <t>87.817.240/6863-23</t>
        </is>
      </c>
      <c r="E219" s="58" t="inlineStr">
        <is>
          <t>RS</t>
        </is>
      </c>
      <c r="F219" s="58" t="inlineStr">
        <is>
          <t>VIDA LEVE</t>
        </is>
      </c>
      <c r="G219" s="58" t="inlineStr">
        <is>
          <t>ATIVO</t>
        </is>
      </c>
      <c r="H219" s="58" t="n">
        <v>11</v>
      </c>
      <c r="I219" s="58">
        <f>IF(R219="","",VLOOKUP(R219,REGRAS!$B$2:$D$13,3,FALSE()))</f>
        <v/>
      </c>
      <c r="J219" s="58" t="n"/>
      <c r="K219" s="58">
        <f>IF(R219="","",IF(R219="VENDA / PEDIDO","RECOMPRA",IF(R219="SUPORTE","PÓS-VENDA",IF(OR(R219="FOLLOW UP 7",R219="FOLLOW UP 15"),"SALVAMENTO",IF(R219="PERDA / FECHOU LOJA","NUTRIÇÃO",IF(R219="RELACIONAMENTO","CS",IF(OR(R219="ORÇAMENTO",R219="CADASTRO"),"PROSPECÇÃO",IF(R219="EM ATENDIMENTO","EM ATENDIMENTO",IF(OR(R219="NÃO ATENDE",R219="NÃO RESPONDE",R219="RECUSOU LIGAÇÃO"),"RECUPERAÇÃO","")))))))))</f>
        <v/>
      </c>
      <c r="L219" s="58">
        <f>IF(H219="","",IF(G219="PROSPECT","🟣",IF(G219="LEAD","🟣",IF(G219="NOVO","🟢",IF(H219&lt;=50,"🟢",IF(H219&lt;=90,"🟡","🔴"))))))</f>
        <v/>
      </c>
      <c r="M219" s="58" t="n"/>
      <c r="N219" s="58" t="inlineStr">
        <is>
          <t>NÃO</t>
        </is>
      </c>
      <c r="O219" s="58" t="inlineStr">
        <is>
          <t>NÃO</t>
        </is>
      </c>
      <c r="P219" s="58" t="inlineStr">
        <is>
          <t>N/A</t>
        </is>
      </c>
      <c r="Q219" s="58" t="inlineStr">
        <is>
          <t>ATEND. CLIENTES ATIVOS</t>
        </is>
      </c>
      <c r="R219" s="58" t="inlineStr">
        <is>
          <t>FOLLOW UP 7</t>
        </is>
      </c>
      <c r="S219" s="58" t="inlineStr">
        <is>
          <t>PRIMEIRO CONTATO / SEM RESPOSTA</t>
        </is>
      </c>
      <c r="T219" s="71">
        <f>IF(R219="","",IF(OR(R219="SUPORTE",R219="PERDA / FECHOU LOJA"),"SEM",A219+VLOOKUP(R219,REGRAS!$B$2:$C$13,2,FALSE())))</f>
        <v/>
      </c>
      <c r="U219" s="58">
        <f>IF(R219="","",IF(R219="VENDA / PEDIDO","RECOMPRA",IF(R219="SUPORTE","PÓS-VENDA",IF(R219="RELACIONAMENTO","CS",IF(OR(R219="NÃO ATENDE",R219="NÃO RESPONDE",R219="RECUSOU LIGAÇÃO"),"REATIVAÇÃO",IF(R219="PERDA / FECHOU LOJA","NUTRIÇÃO",IF(OR(R219="FOLLOW UP 7",R219="FOLLOW UP 15"),"SALVAMENTO","PROSPECÇÃO")))))))</f>
        <v/>
      </c>
      <c r="V219" s="58" t="n"/>
      <c r="W219" s="58" t="inlineStr">
        <is>
          <t>SIM</t>
        </is>
      </c>
      <c r="X219" s="58" t="n"/>
    </row>
    <row r="220">
      <c r="A220" s="71" t="n">
        <v>46067</v>
      </c>
      <c r="B220" s="58" t="inlineStr">
        <is>
          <t>MANU DITZEL</t>
        </is>
      </c>
      <c r="C220" s="58" t="inlineStr">
        <is>
          <t>MUNDO VERDE CWB 71</t>
        </is>
      </c>
      <c r="D220" s="58" t="inlineStr">
        <is>
          <t>73.312.804/7876-52</t>
        </is>
      </c>
      <c r="E220" s="58" t="inlineStr">
        <is>
          <t>PR</t>
        </is>
      </c>
      <c r="F220" s="58" t="inlineStr">
        <is>
          <t>MUNDO VERDE</t>
        </is>
      </c>
      <c r="G220" s="58" t="inlineStr">
        <is>
          <t>ATIVO</t>
        </is>
      </c>
      <c r="H220" s="58" t="n">
        <v>12</v>
      </c>
      <c r="I220" s="58">
        <f>IF(R220="","",VLOOKUP(R220,REGRAS!$B$2:$D$13,3,FALSE()))</f>
        <v/>
      </c>
      <c r="J220" s="58" t="n"/>
      <c r="K220" s="58">
        <f>IF(R220="","",IF(R220="VENDA / PEDIDO","RECOMPRA",IF(R220="SUPORTE","PÓS-VENDA",IF(OR(R220="FOLLOW UP 7",R220="FOLLOW UP 15"),"SALVAMENTO",IF(R220="PERDA / FECHOU LOJA","NUTRIÇÃO",IF(R220="RELACIONAMENTO","CS",IF(OR(R220="ORÇAMENTO",R220="CADASTRO"),"PROSPECÇÃO",IF(R220="EM ATENDIMENTO","EM ATENDIMENTO",IF(OR(R220="NÃO ATENDE",R220="NÃO RESPONDE",R220="RECUSOU LIGAÇÃO"),"RECUPERAÇÃO","")))))))))</f>
        <v/>
      </c>
      <c r="L220" s="58">
        <f>IF(H220="","",IF(G220="PROSPECT","🟣",IF(G220="LEAD","🟣",IF(G220="NOVO","🟢",IF(H220&lt;=50,"🟢",IF(H220&lt;=90,"🟡","🔴"))))))</f>
        <v/>
      </c>
      <c r="M220" s="58" t="n"/>
      <c r="N220" s="58" t="inlineStr">
        <is>
          <t>SIM</t>
        </is>
      </c>
      <c r="O220" s="58" t="inlineStr">
        <is>
          <t>SIM</t>
        </is>
      </c>
      <c r="P220" s="58" t="inlineStr">
        <is>
          <t>SIM</t>
        </is>
      </c>
      <c r="Q220" s="58" t="inlineStr">
        <is>
          <t>PÓS-VENDA / RELACIONAMENTO</t>
        </is>
      </c>
      <c r="R220" s="58" t="inlineStr">
        <is>
          <t>SUPORTE</t>
        </is>
      </c>
      <c r="S220" s="58" t="n"/>
      <c r="T220" s="71">
        <f>IF(R220="","",IF(OR(R220="SUPORTE",R220="PERDA / FECHOU LOJA"),"SEM",A220+VLOOKUP(R220,REGRAS!$B$2:$C$13,2,FALSE())))</f>
        <v/>
      </c>
      <c r="U220" s="58">
        <f>IF(R220="","",IF(R220="VENDA / PEDIDO","RECOMPRA",IF(R220="SUPORTE","PÓS-VENDA",IF(R220="RELACIONAMENTO","CS",IF(OR(R220="NÃO ATENDE",R220="NÃO RESPONDE",R220="RECUSOU LIGAÇÃO"),"REATIVAÇÃO",IF(R220="PERDA / FECHOU LOJA","NUTRIÇÃO",IF(OR(R220="FOLLOW UP 7",R220="FOLLOW UP 15"),"SALVAMENTO","PROSPECÇÃO")))))))</f>
        <v/>
      </c>
      <c r="V220" s="58" t="n"/>
      <c r="W220" s="58" t="inlineStr">
        <is>
          <t>NÃO</t>
        </is>
      </c>
      <c r="X220" s="58" t="n"/>
    </row>
    <row r="221">
      <c r="A221" s="71" t="n">
        <v>46057</v>
      </c>
      <c r="B221" s="58" t="inlineStr">
        <is>
          <t>DAIANE STAVICKI</t>
        </is>
      </c>
      <c r="C221" s="58" t="inlineStr">
        <is>
          <t>FITLAND PR 59</t>
        </is>
      </c>
      <c r="D221" s="58" t="inlineStr">
        <is>
          <t>47.370.575/0821-22</t>
        </is>
      </c>
      <c r="E221" s="58" t="inlineStr">
        <is>
          <t>MG</t>
        </is>
      </c>
      <c r="F221" s="58" t="inlineStr">
        <is>
          <t>DEMAIS CLIENTES</t>
        </is>
      </c>
      <c r="G221" s="58" t="inlineStr">
        <is>
          <t>NOVO</t>
        </is>
      </c>
      <c r="H221" s="58" t="n"/>
      <c r="I221" s="58">
        <f>IF(R221="","",VLOOKUP(R221,REGRAS!$B$2:$D$13,3,FALSE()))</f>
        <v/>
      </c>
      <c r="J221" s="58" t="n"/>
      <c r="K221" s="58">
        <f>IF(R221="","",IF(R221="VENDA / PEDIDO","RECOMPRA",IF(R221="SUPORTE","PÓS-VENDA",IF(OR(R221="FOLLOW UP 7",R221="FOLLOW UP 15"),"SALVAMENTO",IF(R221="PERDA / FECHOU LOJA","NUTRIÇÃO",IF(R221="RELACIONAMENTO","CS",IF(OR(R221="ORÇAMENTO",R221="CADASTRO"),"PROSPECÇÃO",IF(R221="EM ATENDIMENTO","EM ATENDIMENTO",IF(OR(R221="NÃO ATENDE",R221="NÃO RESPONDE",R221="RECUSOU LIGAÇÃO"),"RECUPERAÇÃO","")))))))))</f>
        <v/>
      </c>
      <c r="L221" s="58">
        <f>IF(H221="","",IF(G221="PROSPECT","🟣",IF(G221="LEAD","🟣",IF(G221="NOVO","🟢",IF(H221&lt;=50,"🟢",IF(H221&lt;=90,"🟡","🔴"))))))</f>
        <v/>
      </c>
      <c r="M221" s="58" t="n"/>
      <c r="N221" s="58" t="inlineStr">
        <is>
          <t>SIM</t>
        </is>
      </c>
      <c r="O221" s="58" t="inlineStr">
        <is>
          <t>SIM</t>
        </is>
      </c>
      <c r="P221" s="58" t="inlineStr">
        <is>
          <t>NÃO</t>
        </is>
      </c>
      <c r="Q221" s="58" t="inlineStr">
        <is>
          <t>FOLLOW UP</t>
        </is>
      </c>
      <c r="R221" s="58" t="inlineStr">
        <is>
          <t>FOLLOW UP 15</t>
        </is>
      </c>
      <c r="S221" s="58" t="inlineStr">
        <is>
          <t>SEM INTERESSE NO MOMENTO</t>
        </is>
      </c>
      <c r="T221" s="71">
        <f>IF(R221="","",IF(OR(R221="SUPORTE",R221="PERDA / FECHOU LOJA"),"SEM",A221+VLOOKUP(R221,REGRAS!$B$2:$C$13,2,FALSE())))</f>
        <v/>
      </c>
      <c r="U221" s="58">
        <f>IF(R221="","",IF(R221="VENDA / PEDIDO","RECOMPRA",IF(R221="SUPORTE","PÓS-VENDA",IF(R221="RELACIONAMENTO","CS",IF(OR(R221="NÃO ATENDE",R221="NÃO RESPONDE",R221="RECUSOU LIGAÇÃO"),"REATIVAÇÃO",IF(R221="PERDA / FECHOU LOJA","NUTRIÇÃO",IF(OR(R221="FOLLOW UP 7",R221="FOLLOW UP 15"),"SALVAMENTO","PROSPECÇÃO")))))))</f>
        <v/>
      </c>
      <c r="V221" s="58" t="n"/>
      <c r="W221" s="58" t="inlineStr">
        <is>
          <t>SIM</t>
        </is>
      </c>
      <c r="X221" s="58" t="n"/>
    </row>
    <row r="222">
      <c r="A222" s="71" t="n">
        <v>46058</v>
      </c>
      <c r="B222" s="58" t="inlineStr">
        <is>
          <t>JULIO GADRET</t>
        </is>
      </c>
      <c r="C222" s="58" t="inlineStr">
        <is>
          <t>BEM ESTAR 43</t>
        </is>
      </c>
      <c r="D222" s="58" t="inlineStr">
        <is>
          <t>55.548.736/4396-21</t>
        </is>
      </c>
      <c r="E222" s="58" t="inlineStr">
        <is>
          <t>SC</t>
        </is>
      </c>
      <c r="F222" s="58" t="inlineStr">
        <is>
          <t>CIA DA SAUDE</t>
        </is>
      </c>
      <c r="G222" s="58" t="inlineStr">
        <is>
          <t>ATIVO</t>
        </is>
      </c>
      <c r="H222" s="58" t="n">
        <v>30</v>
      </c>
      <c r="I222" s="58">
        <f>IF(R222="","",VLOOKUP(R222,REGRAS!$B$2:$D$13,3,FALSE()))</f>
        <v/>
      </c>
      <c r="J222" s="58" t="n"/>
      <c r="K222" s="58">
        <f>IF(R222="","",IF(R222="VENDA / PEDIDO","RECOMPRA",IF(R222="SUPORTE","PÓS-VENDA",IF(OR(R222="FOLLOW UP 7",R222="FOLLOW UP 15"),"SALVAMENTO",IF(R222="PERDA / FECHOU LOJA","NUTRIÇÃO",IF(R222="RELACIONAMENTO","CS",IF(OR(R222="ORÇAMENTO",R222="CADASTRO"),"PROSPECÇÃO",IF(R222="EM ATENDIMENTO","EM ATENDIMENTO",IF(OR(R222="NÃO ATENDE",R222="NÃO RESPONDE",R222="RECUSOU LIGAÇÃO"),"RECUPERAÇÃO","")))))))))</f>
        <v/>
      </c>
      <c r="L222" s="58">
        <f>IF(H222="","",IF(G222="PROSPECT","🟣",IF(G222="LEAD","🟣",IF(G222="NOVO","🟢",IF(H222&lt;=50,"🟢",IF(H222&lt;=90,"🟡","🔴"))))))</f>
        <v/>
      </c>
      <c r="M222" s="58" t="n"/>
      <c r="N222" s="58" t="inlineStr">
        <is>
          <t>SIM</t>
        </is>
      </c>
      <c r="O222" s="58" t="inlineStr">
        <is>
          <t>NÃO</t>
        </is>
      </c>
      <c r="P222" s="58" t="inlineStr">
        <is>
          <t>N/A</t>
        </is>
      </c>
      <c r="Q222" s="58" t="inlineStr">
        <is>
          <t>PERDA / NUTRIÇÃO</t>
        </is>
      </c>
      <c r="R222" s="58" t="inlineStr">
        <is>
          <t>PERDA / FECHOU LOJA</t>
        </is>
      </c>
      <c r="S222" s="58" t="inlineStr">
        <is>
          <t>PROPRIETARIO / INDISPONÍVEL</t>
        </is>
      </c>
      <c r="T222" s="71">
        <f>IF(R222="","",IF(OR(R222="SUPORTE",R222="PERDA / FECHOU LOJA"),"SEM",A222+VLOOKUP(R222,REGRAS!$B$2:$C$13,2,FALSE())))</f>
        <v/>
      </c>
      <c r="U222" s="58">
        <f>IF(R222="","",IF(R222="VENDA / PEDIDO","RECOMPRA",IF(R222="SUPORTE","PÓS-VENDA",IF(R222="RELACIONAMENTO","CS",IF(OR(R222="NÃO ATENDE",R222="NÃO RESPONDE",R222="RECUSOU LIGAÇÃO"),"REATIVAÇÃO",IF(R222="PERDA / FECHOU LOJA","NUTRIÇÃO",IF(OR(R222="FOLLOW UP 7",R222="FOLLOW UP 15"),"SALVAMENTO","PROSPECÇÃO")))))))</f>
        <v/>
      </c>
      <c r="V222" s="58" t="n"/>
      <c r="W222" s="58" t="inlineStr">
        <is>
          <t>SIM</t>
        </is>
      </c>
      <c r="X222" s="58" t="n"/>
    </row>
    <row r="223">
      <c r="A223" s="71" t="n">
        <v>46079</v>
      </c>
      <c r="B223" s="58" t="inlineStr">
        <is>
          <t>MANU DITZEL</t>
        </is>
      </c>
      <c r="C223" s="58" t="inlineStr">
        <is>
          <t>FIT STORE 90</t>
        </is>
      </c>
      <c r="D223" s="58" t="inlineStr">
        <is>
          <t>17.964.263/1700-63</t>
        </is>
      </c>
      <c r="E223" s="58" t="inlineStr">
        <is>
          <t>GO</t>
        </is>
      </c>
      <c r="F223" s="58" t="inlineStr">
        <is>
          <t>DIVINA TERRA</t>
        </is>
      </c>
      <c r="G223" s="58" t="inlineStr">
        <is>
          <t>INAT.REC</t>
        </is>
      </c>
      <c r="H223" s="58" t="n">
        <v>75</v>
      </c>
      <c r="I223" s="58">
        <f>IF(R223="","",VLOOKUP(R223,REGRAS!$B$2:$D$13,3,FALSE()))</f>
        <v/>
      </c>
      <c r="J223" s="58" t="n"/>
      <c r="K223" s="58">
        <f>IF(R223="","",IF(R223="VENDA / PEDIDO","RECOMPRA",IF(R223="SUPORTE","PÓS-VENDA",IF(OR(R223="FOLLOW UP 7",R223="FOLLOW UP 15"),"SALVAMENTO",IF(R223="PERDA / FECHOU LOJA","NUTRIÇÃO",IF(R223="RELACIONAMENTO","CS",IF(OR(R223="ORÇAMENTO",R223="CADASTRO"),"PROSPECÇÃO",IF(R223="EM ATENDIMENTO","EM ATENDIMENTO",IF(OR(R223="NÃO ATENDE",R223="NÃO RESPONDE",R223="RECUSOU LIGAÇÃO"),"RECUPERAÇÃO","")))))))))</f>
        <v/>
      </c>
      <c r="L223" s="58">
        <f>IF(H223="","",IF(G223="PROSPECT","🟣",IF(G223="LEAD","🟣",IF(G223="NOVO","🟢",IF(H223&lt;=50,"🟢",IF(H223&lt;=90,"🟡","🔴"))))))</f>
        <v/>
      </c>
      <c r="M223" s="58" t="n"/>
      <c r="N223" s="58" t="inlineStr">
        <is>
          <t>SIM</t>
        </is>
      </c>
      <c r="O223" s="58" t="inlineStr">
        <is>
          <t>SIM</t>
        </is>
      </c>
      <c r="P223" s="58" t="inlineStr">
        <is>
          <t>NÃO</t>
        </is>
      </c>
      <c r="Q223" s="58" t="inlineStr">
        <is>
          <t>NEGOCIAÇÃO</t>
        </is>
      </c>
      <c r="R223" s="58" t="inlineStr">
        <is>
          <t>ORÇAMENTO</t>
        </is>
      </c>
      <c r="S223" s="58" t="n"/>
      <c r="T223" s="71">
        <f>IF(R223="","",IF(OR(R223="SUPORTE",R223="PERDA / FECHOU LOJA"),"SEM",A223+VLOOKUP(R223,REGRAS!$B$2:$C$13,2,FALSE())))</f>
        <v/>
      </c>
      <c r="U223" s="58">
        <f>IF(R223="","",IF(R223="VENDA / PEDIDO","RECOMPRA",IF(R223="SUPORTE","PÓS-VENDA",IF(R223="RELACIONAMENTO","CS",IF(OR(R223="NÃO ATENDE",R223="NÃO RESPONDE",R223="RECUSOU LIGAÇÃO"),"REATIVAÇÃO",IF(R223="PERDA / FECHOU LOJA","NUTRIÇÃO",IF(OR(R223="FOLLOW UP 7",R223="FOLLOW UP 15"),"SALVAMENTO","PROSPECÇÃO")))))))</f>
        <v/>
      </c>
      <c r="V223" s="58" t="n"/>
      <c r="W223" s="58" t="inlineStr">
        <is>
          <t>NÃO</t>
        </is>
      </c>
      <c r="X223" s="58" t="n"/>
    </row>
    <row r="224">
      <c r="A224" s="71" t="n">
        <v>46058</v>
      </c>
      <c r="B224" s="58" t="inlineStr">
        <is>
          <t>LARISSA PADILHA</t>
        </is>
      </c>
      <c r="C224" s="58" t="inlineStr">
        <is>
          <t>POWER NATURAL 15</t>
        </is>
      </c>
      <c r="D224" s="58" t="inlineStr">
        <is>
          <t>62.551.147/1038-43</t>
        </is>
      </c>
      <c r="E224" s="58" t="inlineStr">
        <is>
          <t>SP</t>
        </is>
      </c>
      <c r="F224" s="58" t="inlineStr">
        <is>
          <t>MUNDO VERDE</t>
        </is>
      </c>
      <c r="G224" s="58" t="inlineStr">
        <is>
          <t>NOVO</t>
        </is>
      </c>
      <c r="H224" s="58" t="n"/>
      <c r="I224" s="58">
        <f>IF(R224="","",VLOOKUP(R224,REGRAS!$B$2:$D$13,3,FALSE()))</f>
        <v/>
      </c>
      <c r="J224" s="58" t="n"/>
      <c r="K224" s="58">
        <f>IF(R224="","",IF(R224="VENDA / PEDIDO","RECOMPRA",IF(R224="SUPORTE","PÓS-VENDA",IF(OR(R224="FOLLOW UP 7",R224="FOLLOW UP 15"),"SALVAMENTO",IF(R224="PERDA / FECHOU LOJA","NUTRIÇÃO",IF(R224="RELACIONAMENTO","CS",IF(OR(R224="ORÇAMENTO",R224="CADASTRO"),"PROSPECÇÃO",IF(R224="EM ATENDIMENTO","EM ATENDIMENTO",IF(OR(R224="NÃO ATENDE",R224="NÃO RESPONDE",R224="RECUSOU LIGAÇÃO"),"RECUPERAÇÃO","")))))))))</f>
        <v/>
      </c>
      <c r="L224" s="58">
        <f>IF(H224="","",IF(G224="PROSPECT","🟣",IF(G224="LEAD","🟣",IF(G224="NOVO","🟢",IF(H224&lt;=50,"🟢",IF(H224&lt;=90,"🟡","🔴"))))))</f>
        <v/>
      </c>
      <c r="M224" s="58" t="n"/>
      <c r="N224" s="58" t="inlineStr">
        <is>
          <t>NÃO</t>
        </is>
      </c>
      <c r="O224" s="58" t="inlineStr">
        <is>
          <t>SIM</t>
        </is>
      </c>
      <c r="P224" s="58" t="inlineStr">
        <is>
          <t>NÃO</t>
        </is>
      </c>
      <c r="Q224" s="58" t="inlineStr">
        <is>
          <t>ATEND. CLIENTES ATIVOS</t>
        </is>
      </c>
      <c r="R224" s="58" t="inlineStr">
        <is>
          <t>SUPORTE</t>
        </is>
      </c>
      <c r="S224" s="58" t="n"/>
      <c r="T224" s="71">
        <f>IF(R224="","",IF(OR(R224="SUPORTE",R224="PERDA / FECHOU LOJA"),"SEM",A224+VLOOKUP(R224,REGRAS!$B$2:$C$13,2,FALSE())))</f>
        <v/>
      </c>
      <c r="U224" s="58">
        <f>IF(R224="","",IF(R224="VENDA / PEDIDO","RECOMPRA",IF(R224="SUPORTE","PÓS-VENDA",IF(R224="RELACIONAMENTO","CS",IF(OR(R224="NÃO ATENDE",R224="NÃO RESPONDE",R224="RECUSOU LIGAÇÃO"),"REATIVAÇÃO",IF(R224="PERDA / FECHOU LOJA","NUTRIÇÃO",IF(OR(R224="FOLLOW UP 7",R224="FOLLOW UP 15"),"SALVAMENTO","PROSPECÇÃO")))))))</f>
        <v/>
      </c>
      <c r="V224" s="58" t="n"/>
      <c r="W224" s="58" t="inlineStr">
        <is>
          <t>NÃO</t>
        </is>
      </c>
      <c r="X224" s="58" t="n"/>
    </row>
    <row r="225">
      <c r="A225" s="71" t="n">
        <v>46070</v>
      </c>
      <c r="B225" s="58" t="inlineStr">
        <is>
          <t>LARISSA PADILHA</t>
        </is>
      </c>
      <c r="C225" s="58" t="inlineStr">
        <is>
          <t>CORPO E MENTE 13</t>
        </is>
      </c>
      <c r="D225" s="58" t="inlineStr">
        <is>
          <t>65.777.844/4073-71</t>
        </is>
      </c>
      <c r="E225" s="58" t="inlineStr">
        <is>
          <t>SC</t>
        </is>
      </c>
      <c r="F225" s="58" t="inlineStr">
        <is>
          <t>TUDO EM GRAOS</t>
        </is>
      </c>
      <c r="G225" s="58" t="inlineStr">
        <is>
          <t>EM RISCO</t>
        </is>
      </c>
      <c r="H225" s="58" t="n">
        <v>59</v>
      </c>
      <c r="I225" s="58">
        <f>IF(R225="","",VLOOKUP(R225,REGRAS!$B$2:$D$13,3,FALSE()))</f>
        <v/>
      </c>
      <c r="J225" s="58" t="n"/>
      <c r="K225" s="58">
        <f>IF(R225="","",IF(R225="VENDA / PEDIDO","RECOMPRA",IF(R225="SUPORTE","PÓS-VENDA",IF(OR(R225="FOLLOW UP 7",R225="FOLLOW UP 15"),"SALVAMENTO",IF(R225="PERDA / FECHOU LOJA","NUTRIÇÃO",IF(R225="RELACIONAMENTO","CS",IF(OR(R225="ORÇAMENTO",R225="CADASTRO"),"PROSPECÇÃO",IF(R225="EM ATENDIMENTO","EM ATENDIMENTO",IF(OR(R225="NÃO ATENDE",R225="NÃO RESPONDE",R225="RECUSOU LIGAÇÃO"),"RECUPERAÇÃO","")))))))))</f>
        <v/>
      </c>
      <c r="L225" s="58">
        <f>IF(H225="","",IF(G225="PROSPECT","🟣",IF(G225="LEAD","🟣",IF(G225="NOVO","🟢",IF(H225&lt;=50,"🟢",IF(H225&lt;=90,"🟡","🔴"))))))</f>
        <v/>
      </c>
      <c r="M225" s="58" t="n"/>
      <c r="N225" s="58" t="inlineStr">
        <is>
          <t>SIM</t>
        </is>
      </c>
      <c r="O225" s="58" t="inlineStr">
        <is>
          <t>NÃO</t>
        </is>
      </c>
      <c r="P225" s="58" t="inlineStr">
        <is>
          <t>N/A</t>
        </is>
      </c>
      <c r="Q225" s="58" t="inlineStr">
        <is>
          <t>PÓS-VENDA / RELACIONAMENTO</t>
        </is>
      </c>
      <c r="R225" s="58" t="inlineStr">
        <is>
          <t>SUPORTE</t>
        </is>
      </c>
      <c r="S225" s="58" t="n"/>
      <c r="T225" s="71">
        <f>IF(R225="","",IF(OR(R225="SUPORTE",R225="PERDA / FECHOU LOJA"),"SEM",A225+VLOOKUP(R225,REGRAS!$B$2:$C$13,2,FALSE())))</f>
        <v/>
      </c>
      <c r="U225" s="58">
        <f>IF(R225="","",IF(R225="VENDA / PEDIDO","RECOMPRA",IF(R225="SUPORTE","PÓS-VENDA",IF(R225="RELACIONAMENTO","CS",IF(OR(R225="NÃO ATENDE",R225="NÃO RESPONDE",R225="RECUSOU LIGAÇÃO"),"REATIVAÇÃO",IF(R225="PERDA / FECHOU LOJA","NUTRIÇÃO",IF(OR(R225="FOLLOW UP 7",R225="FOLLOW UP 15"),"SALVAMENTO","PROSPECÇÃO")))))))</f>
        <v/>
      </c>
      <c r="V225" s="58" t="n"/>
      <c r="W225" s="58" t="inlineStr">
        <is>
          <t>SIM</t>
        </is>
      </c>
      <c r="X225" s="58" t="n"/>
    </row>
    <row r="226">
      <c r="A226" s="71" t="n">
        <v>46069</v>
      </c>
      <c r="B226" s="58" t="inlineStr">
        <is>
          <t>DAIANE STAVICKI</t>
        </is>
      </c>
      <c r="C226" s="58" t="inlineStr">
        <is>
          <t>BEM ESTAR 10</t>
        </is>
      </c>
      <c r="D226" s="58" t="inlineStr">
        <is>
          <t>72.428.346/5422-45</t>
        </is>
      </c>
      <c r="E226" s="58" t="inlineStr">
        <is>
          <t>PR</t>
        </is>
      </c>
      <c r="F226" s="58" t="inlineStr">
        <is>
          <t>BIOMUNDO</t>
        </is>
      </c>
      <c r="G226" s="58" t="inlineStr">
        <is>
          <t>INAT.ANT</t>
        </is>
      </c>
      <c r="H226" s="58" t="n">
        <v>194</v>
      </c>
      <c r="I226" s="58">
        <f>IF(R226="","",VLOOKUP(R226,REGRAS!$B$2:$D$13,3,FALSE()))</f>
        <v/>
      </c>
      <c r="J226" s="58" t="n"/>
      <c r="K226" s="58">
        <f>IF(R226="","",IF(R226="VENDA / PEDIDO","RECOMPRA",IF(R226="SUPORTE","PÓS-VENDA",IF(OR(R226="FOLLOW UP 7",R226="FOLLOW UP 15"),"SALVAMENTO",IF(R226="PERDA / FECHOU LOJA","NUTRIÇÃO",IF(R226="RELACIONAMENTO","CS",IF(OR(R226="ORÇAMENTO",R226="CADASTRO"),"PROSPECÇÃO",IF(R226="EM ATENDIMENTO","EM ATENDIMENTO",IF(OR(R226="NÃO ATENDE",R226="NÃO RESPONDE",R226="RECUSOU LIGAÇÃO"),"RECUPERAÇÃO","")))))))))</f>
        <v/>
      </c>
      <c r="L226" s="58">
        <f>IF(H226="","",IF(G226="PROSPECT","🟣",IF(G226="LEAD","🟣",IF(G226="NOVO","🟢",IF(H226&lt;=50,"🟢",IF(H226&lt;=90,"🟡","🔴"))))))</f>
        <v/>
      </c>
      <c r="M226" s="58" t="n"/>
      <c r="N226" s="58" t="inlineStr">
        <is>
          <t>SIM</t>
        </is>
      </c>
      <c r="O226" s="58" t="inlineStr">
        <is>
          <t>NÃO</t>
        </is>
      </c>
      <c r="P226" s="58" t="inlineStr">
        <is>
          <t>N/A</t>
        </is>
      </c>
      <c r="Q226" s="58" t="inlineStr">
        <is>
          <t>PÓS-VENDA / RELACIONAMENTO</t>
        </is>
      </c>
      <c r="R226" s="58" t="inlineStr">
        <is>
          <t>RELACIONAMENTO</t>
        </is>
      </c>
      <c r="S226" s="58" t="n"/>
      <c r="T226" s="71">
        <f>IF(R226="","",IF(OR(R226="SUPORTE",R226="PERDA / FECHOU LOJA"),"SEM",A226+VLOOKUP(R226,REGRAS!$B$2:$C$13,2,FALSE())))</f>
        <v/>
      </c>
      <c r="U226" s="58">
        <f>IF(R226="","",IF(R226="VENDA / PEDIDO","RECOMPRA",IF(R226="SUPORTE","PÓS-VENDA",IF(R226="RELACIONAMENTO","CS",IF(OR(R226="NÃO ATENDE",R226="NÃO RESPONDE",R226="RECUSOU LIGAÇÃO"),"REATIVAÇÃO",IF(R226="PERDA / FECHOU LOJA","NUTRIÇÃO",IF(OR(R226="FOLLOW UP 7",R226="FOLLOW UP 15"),"SALVAMENTO","PROSPECÇÃO")))))))</f>
        <v/>
      </c>
      <c r="V226" s="58" t="n"/>
      <c r="W226" s="58" t="inlineStr">
        <is>
          <t>SIM</t>
        </is>
      </c>
      <c r="X226" s="58" t="n"/>
    </row>
    <row r="227">
      <c r="A227" s="71" t="n">
        <v>46069</v>
      </c>
      <c r="B227" s="58" t="inlineStr">
        <is>
          <t>LARISSA PADILHA</t>
        </is>
      </c>
      <c r="C227" s="58" t="inlineStr">
        <is>
          <t>CASA DO GRANEL 64</t>
        </is>
      </c>
      <c r="D227" s="58" t="inlineStr">
        <is>
          <t>93.118.205/6610-62</t>
        </is>
      </c>
      <c r="E227" s="58" t="inlineStr">
        <is>
          <t>PR</t>
        </is>
      </c>
      <c r="F227" s="58" t="inlineStr">
        <is>
          <t>VIDA LEVE</t>
        </is>
      </c>
      <c r="G227" s="58" t="inlineStr">
        <is>
          <t>NOVO</t>
        </is>
      </c>
      <c r="H227" s="58" t="n"/>
      <c r="I227" s="58">
        <f>IF(R227="","",VLOOKUP(R227,REGRAS!$B$2:$D$13,3,FALSE()))</f>
        <v/>
      </c>
      <c r="J227" s="58" t="n"/>
      <c r="K227" s="58">
        <f>IF(R227="","",IF(R227="VENDA / PEDIDO","RECOMPRA",IF(R227="SUPORTE","PÓS-VENDA",IF(OR(R227="FOLLOW UP 7",R227="FOLLOW UP 15"),"SALVAMENTO",IF(R227="PERDA / FECHOU LOJA","NUTRIÇÃO",IF(R227="RELACIONAMENTO","CS",IF(OR(R227="ORÇAMENTO",R227="CADASTRO"),"PROSPECÇÃO",IF(R227="EM ATENDIMENTO","EM ATENDIMENTO",IF(OR(R227="NÃO ATENDE",R227="NÃO RESPONDE",R227="RECUSOU LIGAÇÃO"),"RECUPERAÇÃO","")))))))))</f>
        <v/>
      </c>
      <c r="L227" s="58">
        <f>IF(H227="","",IF(G227="PROSPECT","🟣",IF(G227="LEAD","🟣",IF(G227="NOVO","🟢",IF(H227&lt;=50,"🟢",IF(H227&lt;=90,"🟡","🔴"))))))</f>
        <v/>
      </c>
      <c r="M227" s="58" t="n"/>
      <c r="N227" s="58" t="inlineStr">
        <is>
          <t>SIM</t>
        </is>
      </c>
      <c r="O227" s="58" t="inlineStr">
        <is>
          <t>NÃO</t>
        </is>
      </c>
      <c r="P227" s="58" t="inlineStr">
        <is>
          <t>N/A</t>
        </is>
      </c>
      <c r="Q227" s="58" t="inlineStr">
        <is>
          <t>PÓS-VENDA / RELACIONAMENTO</t>
        </is>
      </c>
      <c r="R227" s="58" t="inlineStr">
        <is>
          <t>ORÇAMENTO</t>
        </is>
      </c>
      <c r="S227" s="58" t="n"/>
      <c r="T227" s="71">
        <f>IF(R227="","",IF(OR(R227="SUPORTE",R227="PERDA / FECHOU LOJA"),"SEM",A227+VLOOKUP(R227,REGRAS!$B$2:$C$13,2,FALSE())))</f>
        <v/>
      </c>
      <c r="U227" s="58">
        <f>IF(R227="","",IF(R227="VENDA / PEDIDO","RECOMPRA",IF(R227="SUPORTE","PÓS-VENDA",IF(R227="RELACIONAMENTO","CS",IF(OR(R227="NÃO ATENDE",R227="NÃO RESPONDE",R227="RECUSOU LIGAÇÃO"),"REATIVAÇÃO",IF(R227="PERDA / FECHOU LOJA","NUTRIÇÃO",IF(OR(R227="FOLLOW UP 7",R227="FOLLOW UP 15"),"SALVAMENTO","PROSPECÇÃO")))))))</f>
        <v/>
      </c>
      <c r="V227" s="58" t="n"/>
      <c r="W227" s="58" t="inlineStr">
        <is>
          <t>SIM</t>
        </is>
      </c>
      <c r="X227" s="58" t="n"/>
    </row>
    <row r="228">
      <c r="A228" s="71" t="n">
        <v>46074</v>
      </c>
      <c r="B228" s="58" t="inlineStr">
        <is>
          <t>JULIO GADRET</t>
        </is>
      </c>
      <c r="C228" s="58" t="inlineStr">
        <is>
          <t>SAUDE TOTAL 47</t>
        </is>
      </c>
      <c r="D228" s="58" t="inlineStr">
        <is>
          <t>16.936.328/7446-52</t>
        </is>
      </c>
      <c r="E228" s="58" t="inlineStr">
        <is>
          <t>SP</t>
        </is>
      </c>
      <c r="F228" s="58" t="inlineStr">
        <is>
          <t>VIDA LEVE</t>
        </is>
      </c>
      <c r="G228" s="58" t="inlineStr">
        <is>
          <t>EM RISCO</t>
        </is>
      </c>
      <c r="H228" s="58" t="n">
        <v>56</v>
      </c>
      <c r="I228" s="58">
        <f>IF(R228="","",VLOOKUP(R228,REGRAS!$B$2:$D$13,3,FALSE()))</f>
        <v/>
      </c>
      <c r="J228" s="58" t="n"/>
      <c r="K228" s="58">
        <f>IF(R228="","",IF(R228="VENDA / PEDIDO","RECOMPRA",IF(R228="SUPORTE","PÓS-VENDA",IF(OR(R228="FOLLOW UP 7",R228="FOLLOW UP 15"),"SALVAMENTO",IF(R228="PERDA / FECHOU LOJA","NUTRIÇÃO",IF(R228="RELACIONAMENTO","CS",IF(OR(R228="ORÇAMENTO",R228="CADASTRO"),"PROSPECÇÃO",IF(R228="EM ATENDIMENTO","EM ATENDIMENTO",IF(OR(R228="NÃO ATENDE",R228="NÃO RESPONDE",R228="RECUSOU LIGAÇÃO"),"RECUPERAÇÃO","")))))))))</f>
        <v/>
      </c>
      <c r="L228" s="58">
        <f>IF(H228="","",IF(G228="PROSPECT","🟣",IF(G228="LEAD","🟣",IF(G228="NOVO","🟢",IF(H228&lt;=50,"🟢",IF(H228&lt;=90,"🟡","🔴"))))))</f>
        <v/>
      </c>
      <c r="M228" s="58" t="n"/>
      <c r="N228" s="58" t="inlineStr">
        <is>
          <t>NÃO</t>
        </is>
      </c>
      <c r="O228" s="58" t="inlineStr">
        <is>
          <t>SIM</t>
        </is>
      </c>
      <c r="P228" s="58" t="inlineStr">
        <is>
          <t>SIM</t>
        </is>
      </c>
      <c r="Q228" s="58" t="inlineStr">
        <is>
          <t>ATEND. CLIENTES INATIVOS</t>
        </is>
      </c>
      <c r="R228" s="58" t="inlineStr">
        <is>
          <t>EM ATENDIMENTO</t>
        </is>
      </c>
      <c r="S228" s="58" t="n"/>
      <c r="T228" s="71">
        <f>IF(R228="","",IF(OR(R228="SUPORTE",R228="PERDA / FECHOU LOJA"),"SEM",A228+VLOOKUP(R228,REGRAS!$B$2:$C$13,2,FALSE())))</f>
        <v/>
      </c>
      <c r="U228" s="58">
        <f>IF(R228="","",IF(R228="VENDA / PEDIDO","RECOMPRA",IF(R228="SUPORTE","PÓS-VENDA",IF(R228="RELACIONAMENTO","CS",IF(OR(R228="NÃO ATENDE",R228="NÃO RESPONDE",R228="RECUSOU LIGAÇÃO"),"REATIVAÇÃO",IF(R228="PERDA / FECHOU LOJA","NUTRIÇÃO",IF(OR(R228="FOLLOW UP 7",R228="FOLLOW UP 15"),"SALVAMENTO","PROSPECÇÃO")))))))</f>
        <v/>
      </c>
      <c r="V228" s="58" t="n"/>
      <c r="W228" s="58" t="inlineStr">
        <is>
          <t>NÃO</t>
        </is>
      </c>
      <c r="X228" s="58" t="n"/>
    </row>
    <row r="229">
      <c r="A229" s="71" t="n">
        <v>46079</v>
      </c>
      <c r="B229" s="58" t="inlineStr">
        <is>
          <t>MANU DITZEL</t>
        </is>
      </c>
      <c r="C229" s="58" t="inlineStr">
        <is>
          <t>LOJA NATURAL 48</t>
        </is>
      </c>
      <c r="D229" s="58" t="inlineStr">
        <is>
          <t>99.208.146/2690-73</t>
        </is>
      </c>
      <c r="E229" s="58" t="inlineStr">
        <is>
          <t>PR</t>
        </is>
      </c>
      <c r="F229" s="58" t="inlineStr">
        <is>
          <t>DEMAIS CLIENTES</t>
        </is>
      </c>
      <c r="G229" s="58" t="inlineStr">
        <is>
          <t>INAT.ANT</t>
        </is>
      </c>
      <c r="H229" s="58" t="n">
        <v>118</v>
      </c>
      <c r="I229" s="58">
        <f>IF(R229="","",VLOOKUP(R229,REGRAS!$B$2:$D$13,3,FALSE()))</f>
        <v/>
      </c>
      <c r="J229" s="58" t="n"/>
      <c r="K229" s="58">
        <f>IF(R229="","",IF(R229="VENDA / PEDIDO","RECOMPRA",IF(R229="SUPORTE","PÓS-VENDA",IF(OR(R229="FOLLOW UP 7",R229="FOLLOW UP 15"),"SALVAMENTO",IF(R229="PERDA / FECHOU LOJA","NUTRIÇÃO",IF(R229="RELACIONAMENTO","CS",IF(OR(R229="ORÇAMENTO",R229="CADASTRO"),"PROSPECÇÃO",IF(R229="EM ATENDIMENTO","EM ATENDIMENTO",IF(OR(R229="NÃO ATENDE",R229="NÃO RESPONDE",R229="RECUSOU LIGAÇÃO"),"RECUPERAÇÃO","")))))))))</f>
        <v/>
      </c>
      <c r="L229" s="58">
        <f>IF(H229="","",IF(G229="PROSPECT","🟣",IF(G229="LEAD","🟣",IF(G229="NOVO","🟢",IF(H229&lt;=50,"🟢",IF(H229&lt;=90,"🟡","🔴"))))))</f>
        <v/>
      </c>
      <c r="M229" s="58" t="n"/>
      <c r="N229" s="58" t="inlineStr">
        <is>
          <t>SIM</t>
        </is>
      </c>
      <c r="O229" s="58" t="inlineStr">
        <is>
          <t>NÃO</t>
        </is>
      </c>
      <c r="P229" s="58" t="inlineStr">
        <is>
          <t>N/A</t>
        </is>
      </c>
      <c r="Q229" s="58" t="inlineStr">
        <is>
          <t>FOLLOW UP</t>
        </is>
      </c>
      <c r="R229" s="58" t="inlineStr">
        <is>
          <t>ORÇAMENTO</t>
        </is>
      </c>
      <c r="S229" s="58" t="n"/>
      <c r="T229" s="71">
        <f>IF(R229="","",IF(OR(R229="SUPORTE",R229="PERDA / FECHOU LOJA"),"SEM",A229+VLOOKUP(R229,REGRAS!$B$2:$C$13,2,FALSE())))</f>
        <v/>
      </c>
      <c r="U229" s="58">
        <f>IF(R229="","",IF(R229="VENDA / PEDIDO","RECOMPRA",IF(R229="SUPORTE","PÓS-VENDA",IF(R229="RELACIONAMENTO","CS",IF(OR(R229="NÃO ATENDE",R229="NÃO RESPONDE",R229="RECUSOU LIGAÇÃO"),"REATIVAÇÃO",IF(R229="PERDA / FECHOU LOJA","NUTRIÇÃO",IF(OR(R229="FOLLOW UP 7",R229="FOLLOW UP 15"),"SALVAMENTO","PROSPECÇÃO")))))))</f>
        <v/>
      </c>
      <c r="V229" s="58" t="n"/>
      <c r="W229" s="58" t="inlineStr">
        <is>
          <t>SIM</t>
        </is>
      </c>
      <c r="X229" s="58" t="n"/>
    </row>
    <row r="230">
      <c r="A230" s="71" t="n">
        <v>46080</v>
      </c>
      <c r="B230" s="58" t="inlineStr">
        <is>
          <t>DAIANE STAVICKI</t>
        </is>
      </c>
      <c r="C230" s="58" t="inlineStr">
        <is>
          <t>SAUDE TOTAL 14</t>
        </is>
      </c>
      <c r="D230" s="58" t="inlineStr">
        <is>
          <t>63.147.748/9648-25</t>
        </is>
      </c>
      <c r="E230" s="58" t="inlineStr">
        <is>
          <t>RJ</t>
        </is>
      </c>
      <c r="F230" s="58" t="inlineStr">
        <is>
          <t>DIVINA TERRA</t>
        </is>
      </c>
      <c r="G230" s="58" t="inlineStr">
        <is>
          <t>INAT.ANT</t>
        </is>
      </c>
      <c r="H230" s="58" t="n">
        <v>220</v>
      </c>
      <c r="I230" s="58">
        <f>IF(R230="","",VLOOKUP(R230,REGRAS!$B$2:$D$13,3,FALSE()))</f>
        <v/>
      </c>
      <c r="J230" s="58" t="n"/>
      <c r="K230" s="58">
        <f>IF(R230="","",IF(R230="VENDA / PEDIDO","RECOMPRA",IF(R230="SUPORTE","PÓS-VENDA",IF(OR(R230="FOLLOW UP 7",R230="FOLLOW UP 15"),"SALVAMENTO",IF(R230="PERDA / FECHOU LOJA","NUTRIÇÃO",IF(R230="RELACIONAMENTO","CS",IF(OR(R230="ORÇAMENTO",R230="CADASTRO"),"PROSPECÇÃO",IF(R230="EM ATENDIMENTO","EM ATENDIMENTO",IF(OR(R230="NÃO ATENDE",R230="NÃO RESPONDE",R230="RECUSOU LIGAÇÃO"),"RECUPERAÇÃO","")))))))))</f>
        <v/>
      </c>
      <c r="L230" s="58">
        <f>IF(H230="","",IF(G230="PROSPECT","🟣",IF(G230="LEAD","🟣",IF(G230="NOVO","🟢",IF(H230&lt;=50,"🟢",IF(H230&lt;=90,"🟡","🔴"))))))</f>
        <v/>
      </c>
      <c r="M230" s="58" t="n"/>
      <c r="N230" s="58" t="inlineStr">
        <is>
          <t>SIM</t>
        </is>
      </c>
      <c r="O230" s="58" t="inlineStr">
        <is>
          <t>SIM</t>
        </is>
      </c>
      <c r="P230" s="58" t="inlineStr">
        <is>
          <t>NÃO</t>
        </is>
      </c>
      <c r="Q230" s="58" t="inlineStr">
        <is>
          <t>PROSPECÇÃO</t>
        </is>
      </c>
      <c r="R230" s="58" t="inlineStr">
        <is>
          <t>CADASTRO</t>
        </is>
      </c>
      <c r="S230" s="58" t="n"/>
      <c r="T230" s="71">
        <f>IF(R230="","",IF(OR(R230="SUPORTE",R230="PERDA / FECHOU LOJA"),"SEM",A230+VLOOKUP(R230,REGRAS!$B$2:$C$13,2,FALSE())))</f>
        <v/>
      </c>
      <c r="U230" s="58">
        <f>IF(R230="","",IF(R230="VENDA / PEDIDO","RECOMPRA",IF(R230="SUPORTE","PÓS-VENDA",IF(R230="RELACIONAMENTO","CS",IF(OR(R230="NÃO ATENDE",R230="NÃO RESPONDE",R230="RECUSOU LIGAÇÃO"),"REATIVAÇÃO",IF(R230="PERDA / FECHOU LOJA","NUTRIÇÃO",IF(OR(R230="FOLLOW UP 7",R230="FOLLOW UP 15"),"SALVAMENTO","PROSPECÇÃO")))))))</f>
        <v/>
      </c>
      <c r="V230" s="58" t="n"/>
      <c r="W230" s="58" t="inlineStr">
        <is>
          <t>NÃO</t>
        </is>
      </c>
      <c r="X230" s="58" t="n"/>
    </row>
    <row r="231">
      <c r="A231" s="71" t="n">
        <v>46069</v>
      </c>
      <c r="B231" s="58" t="inlineStr">
        <is>
          <t>DAIANE STAVICKI</t>
        </is>
      </c>
      <c r="C231" s="58" t="inlineStr">
        <is>
          <t>VERDE VIDA 89</t>
        </is>
      </c>
      <c r="D231" s="58" t="inlineStr">
        <is>
          <t>84.277.848/2104-23</t>
        </is>
      </c>
      <c r="E231" s="58" t="inlineStr">
        <is>
          <t>SC</t>
        </is>
      </c>
      <c r="F231" s="58" t="inlineStr">
        <is>
          <t>VIDA LEVE</t>
        </is>
      </c>
      <c r="G231" s="58" t="inlineStr">
        <is>
          <t>NOVO</t>
        </is>
      </c>
      <c r="H231" s="58" t="n"/>
      <c r="I231" s="58">
        <f>IF(R231="","",VLOOKUP(R231,REGRAS!$B$2:$D$13,3,FALSE()))</f>
        <v/>
      </c>
      <c r="J231" s="58" t="n"/>
      <c r="K231" s="58">
        <f>IF(R231="","",IF(R231="VENDA / PEDIDO","RECOMPRA",IF(R231="SUPORTE","PÓS-VENDA",IF(OR(R231="FOLLOW UP 7",R231="FOLLOW UP 15"),"SALVAMENTO",IF(R231="PERDA / FECHOU LOJA","NUTRIÇÃO",IF(R231="RELACIONAMENTO","CS",IF(OR(R231="ORÇAMENTO",R231="CADASTRO"),"PROSPECÇÃO",IF(R231="EM ATENDIMENTO","EM ATENDIMENTO",IF(OR(R231="NÃO ATENDE",R231="NÃO RESPONDE",R231="RECUSOU LIGAÇÃO"),"RECUPERAÇÃO","")))))))))</f>
        <v/>
      </c>
      <c r="L231" s="58">
        <f>IF(H231="","",IF(G231="PROSPECT","🟣",IF(G231="LEAD","🟣",IF(G231="NOVO","🟢",IF(H231&lt;=50,"🟢",IF(H231&lt;=90,"🟡","🔴"))))))</f>
        <v/>
      </c>
      <c r="M231" s="58" t="n"/>
      <c r="N231" s="58" t="inlineStr">
        <is>
          <t>NÃO</t>
        </is>
      </c>
      <c r="O231" s="58" t="inlineStr">
        <is>
          <t>NÃO</t>
        </is>
      </c>
      <c r="P231" s="58" t="inlineStr">
        <is>
          <t>N/A</t>
        </is>
      </c>
      <c r="Q231" s="58" t="inlineStr">
        <is>
          <t>ATEND. CLIENTES ATIVOS</t>
        </is>
      </c>
      <c r="R231" s="58" t="inlineStr">
        <is>
          <t>RELACIONAMENTO</t>
        </is>
      </c>
      <c r="S231" s="58" t="n"/>
      <c r="T231" s="71">
        <f>IF(R231="","",IF(OR(R231="SUPORTE",R231="PERDA / FECHOU LOJA"),"SEM",A231+VLOOKUP(R231,REGRAS!$B$2:$C$13,2,FALSE())))</f>
        <v/>
      </c>
      <c r="U231" s="58">
        <f>IF(R231="","",IF(R231="VENDA / PEDIDO","RECOMPRA",IF(R231="SUPORTE","PÓS-VENDA",IF(R231="RELACIONAMENTO","CS",IF(OR(R231="NÃO ATENDE",R231="NÃO RESPONDE",R231="RECUSOU LIGAÇÃO"),"REATIVAÇÃO",IF(R231="PERDA / FECHOU LOJA","NUTRIÇÃO",IF(OR(R231="FOLLOW UP 7",R231="FOLLOW UP 15"),"SALVAMENTO","PROSPECÇÃO")))))))</f>
        <v/>
      </c>
      <c r="V231" s="58" t="n"/>
      <c r="W231" s="58" t="inlineStr">
        <is>
          <t>NÃO</t>
        </is>
      </c>
      <c r="X231" s="58" t="n"/>
    </row>
    <row r="232">
      <c r="A232" s="71" t="n">
        <v>46062</v>
      </c>
      <c r="B232" s="58" t="inlineStr">
        <is>
          <t>LARISSA PADILHA</t>
        </is>
      </c>
      <c r="C232" s="58" t="inlineStr">
        <is>
          <t>SAUDE TOTAL 38</t>
        </is>
      </c>
      <c r="D232" s="58" t="inlineStr">
        <is>
          <t>67.924.236/2264-62</t>
        </is>
      </c>
      <c r="E232" s="58" t="inlineStr">
        <is>
          <t>SP</t>
        </is>
      </c>
      <c r="F232" s="58" t="inlineStr">
        <is>
          <t>DEMAIS CLIENTES</t>
        </is>
      </c>
      <c r="G232" s="58" t="inlineStr">
        <is>
          <t>INAT.REC</t>
        </is>
      </c>
      <c r="H232" s="58" t="n">
        <v>87</v>
      </c>
      <c r="I232" s="58">
        <f>IF(R232="","",VLOOKUP(R232,REGRAS!$B$2:$D$13,3,FALSE()))</f>
        <v/>
      </c>
      <c r="J232" s="58" t="n"/>
      <c r="K232" s="58">
        <f>IF(R232="","",IF(R232="VENDA / PEDIDO","RECOMPRA",IF(R232="SUPORTE","PÓS-VENDA",IF(OR(R232="FOLLOW UP 7",R232="FOLLOW UP 15"),"SALVAMENTO",IF(R232="PERDA / FECHOU LOJA","NUTRIÇÃO",IF(R232="RELACIONAMENTO","CS",IF(OR(R232="ORÇAMENTO",R232="CADASTRO"),"PROSPECÇÃO",IF(R232="EM ATENDIMENTO","EM ATENDIMENTO",IF(OR(R232="NÃO ATENDE",R232="NÃO RESPONDE",R232="RECUSOU LIGAÇÃO"),"RECUPERAÇÃO","")))))))))</f>
        <v/>
      </c>
      <c r="L232" s="58">
        <f>IF(H232="","",IF(G232="PROSPECT","🟣",IF(G232="LEAD","🟣",IF(G232="NOVO","🟢",IF(H232&lt;=50,"🟢",IF(H232&lt;=90,"🟡","🔴"))))))</f>
        <v/>
      </c>
      <c r="M232" s="58" t="n"/>
      <c r="N232" s="58" t="inlineStr">
        <is>
          <t>NÃO</t>
        </is>
      </c>
      <c r="O232" s="58" t="inlineStr">
        <is>
          <t>NÃO</t>
        </is>
      </c>
      <c r="P232" s="58" t="inlineStr">
        <is>
          <t>N/A</t>
        </is>
      </c>
      <c r="Q232" s="58" t="inlineStr">
        <is>
          <t>ATEND. CLIENTES INATIVOS</t>
        </is>
      </c>
      <c r="R232" s="58" t="inlineStr">
        <is>
          <t>PERDA / FECHOU LOJA</t>
        </is>
      </c>
      <c r="S232" s="58" t="inlineStr">
        <is>
          <t>PROBLEMA LOGÍSTICO / ENTREGA</t>
        </is>
      </c>
      <c r="T232" s="71">
        <f>IF(R232="","",IF(OR(R232="SUPORTE",R232="PERDA / FECHOU LOJA"),"SEM",A232+VLOOKUP(R232,REGRAS!$B$2:$C$13,2,FALSE())))</f>
        <v/>
      </c>
      <c r="U232" s="58">
        <f>IF(R232="","",IF(R232="VENDA / PEDIDO","RECOMPRA",IF(R232="SUPORTE","PÓS-VENDA",IF(R232="RELACIONAMENTO","CS",IF(OR(R232="NÃO ATENDE",R232="NÃO RESPONDE",R232="RECUSOU LIGAÇÃO"),"REATIVAÇÃO",IF(R232="PERDA / FECHOU LOJA","NUTRIÇÃO",IF(OR(R232="FOLLOW UP 7",R232="FOLLOW UP 15"),"SALVAMENTO","PROSPECÇÃO")))))))</f>
        <v/>
      </c>
      <c r="V232" s="58" t="n"/>
      <c r="W232" s="58" t="inlineStr">
        <is>
          <t>SIM</t>
        </is>
      </c>
      <c r="X232" s="58" t="n"/>
    </row>
    <row r="233">
      <c r="A233" s="71" t="n">
        <v>46073</v>
      </c>
      <c r="B233" s="58" t="inlineStr">
        <is>
          <t>JULIO GADRET</t>
        </is>
      </c>
      <c r="C233" s="58" t="inlineStr">
        <is>
          <t>MARKET FIT 87</t>
        </is>
      </c>
      <c r="D233" s="58" t="inlineStr">
        <is>
          <t>26.827.765/2914-74</t>
        </is>
      </c>
      <c r="E233" s="58" t="inlineStr">
        <is>
          <t>RS</t>
        </is>
      </c>
      <c r="F233" s="58" t="inlineStr">
        <is>
          <t>TUDO EM GRAOS</t>
        </is>
      </c>
      <c r="G233" s="58" t="inlineStr">
        <is>
          <t>INAT.ANT</t>
        </is>
      </c>
      <c r="H233" s="58" t="n">
        <v>285</v>
      </c>
      <c r="I233" s="58">
        <f>IF(R233="","",VLOOKUP(R233,REGRAS!$B$2:$D$13,3,FALSE()))</f>
        <v/>
      </c>
      <c r="J233" s="58" t="n"/>
      <c r="K233" s="58">
        <f>IF(R233="","",IF(R233="VENDA / PEDIDO","RECOMPRA",IF(R233="SUPORTE","PÓS-VENDA",IF(OR(R233="FOLLOW UP 7",R233="FOLLOW UP 15"),"SALVAMENTO",IF(R233="PERDA / FECHOU LOJA","NUTRIÇÃO",IF(R233="RELACIONAMENTO","CS",IF(OR(R233="ORÇAMENTO",R233="CADASTRO"),"PROSPECÇÃO",IF(R233="EM ATENDIMENTO","EM ATENDIMENTO",IF(OR(R233="NÃO ATENDE",R233="NÃO RESPONDE",R233="RECUSOU LIGAÇÃO"),"RECUPERAÇÃO","")))))))))</f>
        <v/>
      </c>
      <c r="L233" s="58">
        <f>IF(H233="","",IF(G233="PROSPECT","🟣",IF(G233="LEAD","🟣",IF(G233="NOVO","🟢",IF(H233&lt;=50,"🟢",IF(H233&lt;=90,"🟡","🔴"))))))</f>
        <v/>
      </c>
      <c r="M233" s="58" t="n"/>
      <c r="N233" s="58" t="inlineStr">
        <is>
          <t>SIM</t>
        </is>
      </c>
      <c r="O233" s="58" t="inlineStr">
        <is>
          <t>NÃO</t>
        </is>
      </c>
      <c r="P233" s="58" t="inlineStr">
        <is>
          <t>N/A</t>
        </is>
      </c>
      <c r="Q233" s="58" t="inlineStr">
        <is>
          <t>FOLLOW UP</t>
        </is>
      </c>
      <c r="R233" s="58" t="inlineStr">
        <is>
          <t>FOLLOW UP 7</t>
        </is>
      </c>
      <c r="S233" s="58" t="inlineStr">
        <is>
          <t>LOJA ANEXO/PROXIMO - SM</t>
        </is>
      </c>
      <c r="T233" s="71">
        <f>IF(R233="","",IF(OR(R233="SUPORTE",R233="PERDA / FECHOU LOJA"),"SEM",A233+VLOOKUP(R233,REGRAS!$B$2:$C$13,2,FALSE())))</f>
        <v/>
      </c>
      <c r="U233" s="58">
        <f>IF(R233="","",IF(R233="VENDA / PEDIDO","RECOMPRA",IF(R233="SUPORTE","PÓS-VENDA",IF(R233="RELACIONAMENTO","CS",IF(OR(R233="NÃO ATENDE",R233="NÃO RESPONDE",R233="RECUSOU LIGAÇÃO"),"REATIVAÇÃO",IF(R233="PERDA / FECHOU LOJA","NUTRIÇÃO",IF(OR(R233="FOLLOW UP 7",R233="FOLLOW UP 15"),"SALVAMENTO","PROSPECÇÃO")))))))</f>
        <v/>
      </c>
      <c r="V233" s="58" t="n"/>
      <c r="W233" s="58" t="inlineStr">
        <is>
          <t>NÃO</t>
        </is>
      </c>
      <c r="X233" s="58" t="n"/>
    </row>
    <row r="234">
      <c r="A234" s="71" t="n">
        <v>46080</v>
      </c>
      <c r="B234" s="58" t="inlineStr">
        <is>
          <t>LARISSA PADILHA</t>
        </is>
      </c>
      <c r="C234" s="58" t="inlineStr">
        <is>
          <t>SAUDE NA MESA 02</t>
        </is>
      </c>
      <c r="D234" s="58" t="inlineStr">
        <is>
          <t>76.209.125/6241-28</t>
        </is>
      </c>
      <c r="E234" s="58" t="inlineStr">
        <is>
          <t>PR</t>
        </is>
      </c>
      <c r="F234" s="58" t="inlineStr">
        <is>
          <t>MUNDO VERDE</t>
        </is>
      </c>
      <c r="G234" s="58" t="inlineStr">
        <is>
          <t>ATIVO</t>
        </is>
      </c>
      <c r="H234" s="58" t="n">
        <v>15</v>
      </c>
      <c r="I234" s="58">
        <f>IF(R234="","",VLOOKUP(R234,REGRAS!$B$2:$D$13,3,FALSE()))</f>
        <v/>
      </c>
      <c r="J234" s="58" t="n"/>
      <c r="K234" s="58">
        <f>IF(R234="","",IF(R234="VENDA / PEDIDO","RECOMPRA",IF(R234="SUPORTE","PÓS-VENDA",IF(OR(R234="FOLLOW UP 7",R234="FOLLOW UP 15"),"SALVAMENTO",IF(R234="PERDA / FECHOU LOJA","NUTRIÇÃO",IF(R234="RELACIONAMENTO","CS",IF(OR(R234="ORÇAMENTO",R234="CADASTRO"),"PROSPECÇÃO",IF(R234="EM ATENDIMENTO","EM ATENDIMENTO",IF(OR(R234="NÃO ATENDE",R234="NÃO RESPONDE",R234="RECUSOU LIGAÇÃO"),"RECUPERAÇÃO","")))))))))</f>
        <v/>
      </c>
      <c r="L234" s="58">
        <f>IF(H234="","",IF(G234="PROSPECT","🟣",IF(G234="LEAD","🟣",IF(G234="NOVO","🟢",IF(H234&lt;=50,"🟢",IF(H234&lt;=90,"🟡","🔴"))))))</f>
        <v/>
      </c>
      <c r="M234" s="58" t="n"/>
      <c r="N234" s="58" t="inlineStr">
        <is>
          <t>SIM</t>
        </is>
      </c>
      <c r="O234" s="58" t="inlineStr">
        <is>
          <t>SIM</t>
        </is>
      </c>
      <c r="P234" s="58" t="inlineStr">
        <is>
          <t>NÃO</t>
        </is>
      </c>
      <c r="Q234" s="58" t="inlineStr">
        <is>
          <t>PERDA / NUTRIÇÃO</t>
        </is>
      </c>
      <c r="R234" s="58" t="inlineStr">
        <is>
          <t>NÃO RESPONDE</t>
        </is>
      </c>
      <c r="S234" s="58" t="inlineStr">
        <is>
          <t>AINDA TEM ESTOQUE</t>
        </is>
      </c>
      <c r="T234" s="71">
        <f>IF(R234="","",IF(OR(R234="SUPORTE",R234="PERDA / FECHOU LOJA"),"SEM",A234+VLOOKUP(R234,REGRAS!$B$2:$C$13,2,FALSE())))</f>
        <v/>
      </c>
      <c r="U234" s="58">
        <f>IF(R234="","",IF(R234="VENDA / PEDIDO","RECOMPRA",IF(R234="SUPORTE","PÓS-VENDA",IF(R234="RELACIONAMENTO","CS",IF(OR(R234="NÃO ATENDE",R234="NÃO RESPONDE",R234="RECUSOU LIGAÇÃO"),"REATIVAÇÃO",IF(R234="PERDA / FECHOU LOJA","NUTRIÇÃO",IF(OR(R234="FOLLOW UP 7",R234="FOLLOW UP 15"),"SALVAMENTO","PROSPECÇÃO")))))))</f>
        <v/>
      </c>
      <c r="V234" s="58" t="n"/>
      <c r="W234" s="58" t="inlineStr">
        <is>
          <t>SIM</t>
        </is>
      </c>
      <c r="X234" s="58" t="n"/>
    </row>
    <row r="235">
      <c r="A235" s="71" t="n">
        <v>46065</v>
      </c>
      <c r="B235" s="58" t="inlineStr">
        <is>
          <t>DAIANE STAVICKI</t>
        </is>
      </c>
      <c r="C235" s="58" t="inlineStr">
        <is>
          <t>NATURAL POINT 79</t>
        </is>
      </c>
      <c r="D235" s="58" t="inlineStr">
        <is>
          <t>96.857.675/3676-92</t>
        </is>
      </c>
      <c r="E235" s="58" t="inlineStr">
        <is>
          <t>SP</t>
        </is>
      </c>
      <c r="F235" s="58" t="inlineStr">
        <is>
          <t>BIOMUNDO</t>
        </is>
      </c>
      <c r="G235" s="58" t="inlineStr">
        <is>
          <t>INAT.ANT</t>
        </is>
      </c>
      <c r="H235" s="58" t="n">
        <v>295</v>
      </c>
      <c r="I235" s="58">
        <f>IF(R235="","",VLOOKUP(R235,REGRAS!$B$2:$D$13,3,FALSE()))</f>
        <v/>
      </c>
      <c r="J235" s="58" t="n"/>
      <c r="K235" s="58">
        <f>IF(R235="","",IF(R235="VENDA / PEDIDO","RECOMPRA",IF(R235="SUPORTE","PÓS-VENDA",IF(OR(R235="FOLLOW UP 7",R235="FOLLOW UP 15"),"SALVAMENTO",IF(R235="PERDA / FECHOU LOJA","NUTRIÇÃO",IF(R235="RELACIONAMENTO","CS",IF(OR(R235="ORÇAMENTO",R235="CADASTRO"),"PROSPECÇÃO",IF(R235="EM ATENDIMENTO","EM ATENDIMENTO",IF(OR(R235="NÃO ATENDE",R235="NÃO RESPONDE",R235="RECUSOU LIGAÇÃO"),"RECUPERAÇÃO","")))))))))</f>
        <v/>
      </c>
      <c r="L235" s="58">
        <f>IF(H235="","",IF(G235="PROSPECT","🟣",IF(G235="LEAD","🟣",IF(G235="NOVO","🟢",IF(H235&lt;=50,"🟢",IF(H235&lt;=90,"🟡","🔴"))))))</f>
        <v/>
      </c>
      <c r="M235" s="58" t="n"/>
      <c r="N235" s="58" t="inlineStr">
        <is>
          <t>SIM</t>
        </is>
      </c>
      <c r="O235" s="58" t="inlineStr">
        <is>
          <t>SIM</t>
        </is>
      </c>
      <c r="P235" s="58" t="inlineStr">
        <is>
          <t>SIM</t>
        </is>
      </c>
      <c r="Q235" s="58" t="inlineStr">
        <is>
          <t>ATEND. CLIENTES INATIVOS</t>
        </is>
      </c>
      <c r="R235" s="58" t="inlineStr">
        <is>
          <t>ORÇAMENTO</t>
        </is>
      </c>
      <c r="S235" s="58" t="n"/>
      <c r="T235" s="71">
        <f>IF(R235="","",IF(OR(R235="SUPORTE",R235="PERDA / FECHOU LOJA"),"SEM",A235+VLOOKUP(R235,REGRAS!$B$2:$C$13,2,FALSE())))</f>
        <v/>
      </c>
      <c r="U235" s="58">
        <f>IF(R235="","",IF(R235="VENDA / PEDIDO","RECOMPRA",IF(R235="SUPORTE","PÓS-VENDA",IF(R235="RELACIONAMENTO","CS",IF(OR(R235="NÃO ATENDE",R235="NÃO RESPONDE",R235="RECUSOU LIGAÇÃO"),"REATIVAÇÃO",IF(R235="PERDA / FECHOU LOJA","NUTRIÇÃO",IF(OR(R235="FOLLOW UP 7",R235="FOLLOW UP 15"),"SALVAMENTO","PROSPECÇÃO")))))))</f>
        <v/>
      </c>
      <c r="V235" s="58" t="n"/>
      <c r="W235" s="58" t="inlineStr">
        <is>
          <t>NÃO</t>
        </is>
      </c>
      <c r="X235" s="58" t="n"/>
    </row>
    <row r="236">
      <c r="A236" s="71" t="n">
        <v>46075</v>
      </c>
      <c r="B236" s="58" t="inlineStr">
        <is>
          <t>MANU DITZEL</t>
        </is>
      </c>
      <c r="C236" s="58" t="inlineStr">
        <is>
          <t>ESSENCE FOOD 07</t>
        </is>
      </c>
      <c r="D236" s="58" t="inlineStr">
        <is>
          <t>11.861.357/3328-89</t>
        </is>
      </c>
      <c r="E236" s="58" t="inlineStr">
        <is>
          <t>BA</t>
        </is>
      </c>
      <c r="F236" s="58" t="inlineStr">
        <is>
          <t>DEMAIS CLIENTES</t>
        </is>
      </c>
      <c r="G236" s="58" t="inlineStr">
        <is>
          <t>EM RISCO</t>
        </is>
      </c>
      <c r="H236" s="58" t="n">
        <v>54</v>
      </c>
      <c r="I236" s="58">
        <f>IF(R236="","",VLOOKUP(R236,REGRAS!$B$2:$D$13,3,FALSE()))</f>
        <v/>
      </c>
      <c r="J236" s="58" t="n"/>
      <c r="K236" s="58">
        <f>IF(R236="","",IF(R236="VENDA / PEDIDO","RECOMPRA",IF(R236="SUPORTE","PÓS-VENDA",IF(OR(R236="FOLLOW UP 7",R236="FOLLOW UP 15"),"SALVAMENTO",IF(R236="PERDA / FECHOU LOJA","NUTRIÇÃO",IF(R236="RELACIONAMENTO","CS",IF(OR(R236="ORÇAMENTO",R236="CADASTRO"),"PROSPECÇÃO",IF(R236="EM ATENDIMENTO","EM ATENDIMENTO",IF(OR(R236="NÃO ATENDE",R236="NÃO RESPONDE",R236="RECUSOU LIGAÇÃO"),"RECUPERAÇÃO","")))))))))</f>
        <v/>
      </c>
      <c r="L236" s="58">
        <f>IF(H236="","",IF(G236="PROSPECT","🟣",IF(G236="LEAD","🟣",IF(G236="NOVO","🟢",IF(H236&lt;=50,"🟢",IF(H236&lt;=90,"🟡","🔴"))))))</f>
        <v/>
      </c>
      <c r="M236" s="58" t="n"/>
      <c r="N236" s="58" t="inlineStr">
        <is>
          <t>SIM</t>
        </is>
      </c>
      <c r="O236" s="58" t="inlineStr">
        <is>
          <t>NÃO</t>
        </is>
      </c>
      <c r="P236" s="58" t="inlineStr">
        <is>
          <t>N/A</t>
        </is>
      </c>
      <c r="Q236" s="58" t="inlineStr">
        <is>
          <t>PÓS-VENDA / RELACIONAMENTO</t>
        </is>
      </c>
      <c r="R236" s="58" t="inlineStr">
        <is>
          <t>SUPORTE</t>
        </is>
      </c>
      <c r="S236" s="58" t="n"/>
      <c r="T236" s="71">
        <f>IF(R236="","",IF(OR(R236="SUPORTE",R236="PERDA / FECHOU LOJA"),"SEM",A236+VLOOKUP(R236,REGRAS!$B$2:$C$13,2,FALSE())))</f>
        <v/>
      </c>
      <c r="U236" s="58">
        <f>IF(R236="","",IF(R236="VENDA / PEDIDO","RECOMPRA",IF(R236="SUPORTE","PÓS-VENDA",IF(R236="RELACIONAMENTO","CS",IF(OR(R236="NÃO ATENDE",R236="NÃO RESPONDE",R236="RECUSOU LIGAÇÃO"),"REATIVAÇÃO",IF(R236="PERDA / FECHOU LOJA","NUTRIÇÃO",IF(OR(R236="FOLLOW UP 7",R236="FOLLOW UP 15"),"SALVAMENTO","PROSPECÇÃO")))))))</f>
        <v/>
      </c>
      <c r="V236" s="58" t="n"/>
      <c r="W236" s="58" t="inlineStr">
        <is>
          <t>SIM</t>
        </is>
      </c>
      <c r="X236" s="58" t="n"/>
    </row>
    <row r="237">
      <c r="A237" s="71" t="n">
        <v>46073</v>
      </c>
      <c r="B237" s="58" t="inlineStr">
        <is>
          <t>MANU DITZEL</t>
        </is>
      </c>
      <c r="C237" s="58" t="inlineStr">
        <is>
          <t>CIA SAUDE SP 38</t>
        </is>
      </c>
      <c r="D237" s="58" t="inlineStr">
        <is>
          <t>67.281.799/1221-33</t>
        </is>
      </c>
      <c r="E237" s="58" t="inlineStr">
        <is>
          <t>DF</t>
        </is>
      </c>
      <c r="F237" s="58" t="inlineStr">
        <is>
          <t>DEMAIS CLIENTES</t>
        </is>
      </c>
      <c r="G237" s="58" t="inlineStr">
        <is>
          <t>ATIVO</t>
        </is>
      </c>
      <c r="H237" s="58" t="n">
        <v>7</v>
      </c>
      <c r="I237" s="58">
        <f>IF(R237="","",VLOOKUP(R237,REGRAS!$B$2:$D$13,3,FALSE()))</f>
        <v/>
      </c>
      <c r="J237" s="58" t="n"/>
      <c r="K237" s="58">
        <f>IF(R237="","",IF(R237="VENDA / PEDIDO","RECOMPRA",IF(R237="SUPORTE","PÓS-VENDA",IF(OR(R237="FOLLOW UP 7",R237="FOLLOW UP 15"),"SALVAMENTO",IF(R237="PERDA / FECHOU LOJA","NUTRIÇÃO",IF(R237="RELACIONAMENTO","CS",IF(OR(R237="ORÇAMENTO",R237="CADASTRO"),"PROSPECÇÃO",IF(R237="EM ATENDIMENTO","EM ATENDIMENTO",IF(OR(R237="NÃO ATENDE",R237="NÃO RESPONDE",R237="RECUSOU LIGAÇÃO"),"RECUPERAÇÃO","")))))))))</f>
        <v/>
      </c>
      <c r="L237" s="58">
        <f>IF(H237="","",IF(G237="PROSPECT","🟣",IF(G237="LEAD","🟣",IF(G237="NOVO","🟢",IF(H237&lt;=50,"🟢",IF(H237&lt;=90,"🟡","🔴"))))))</f>
        <v/>
      </c>
      <c r="M237" s="58" t="n"/>
      <c r="N237" s="58" t="inlineStr">
        <is>
          <t>SIM</t>
        </is>
      </c>
      <c r="O237" s="58" t="inlineStr">
        <is>
          <t>NÃO</t>
        </is>
      </c>
      <c r="P237" s="58" t="inlineStr">
        <is>
          <t>N/A</t>
        </is>
      </c>
      <c r="Q237" s="58" t="inlineStr">
        <is>
          <t>ATEND. CLIENTES ATIVOS</t>
        </is>
      </c>
      <c r="R237" s="58" t="inlineStr">
        <is>
          <t>FOLLOW UP 7</t>
        </is>
      </c>
      <c r="S237" s="58" t="inlineStr">
        <is>
          <t>PRODUTO NÃO VENDEU / SEM GIRO</t>
        </is>
      </c>
      <c r="T237" s="71">
        <f>IF(R237="","",IF(OR(R237="SUPORTE",R237="PERDA / FECHOU LOJA"),"SEM",A237+VLOOKUP(R237,REGRAS!$B$2:$C$13,2,FALSE())))</f>
        <v/>
      </c>
      <c r="U237" s="58">
        <f>IF(R237="","",IF(R237="VENDA / PEDIDO","RECOMPRA",IF(R237="SUPORTE","PÓS-VENDA",IF(R237="RELACIONAMENTO","CS",IF(OR(R237="NÃO ATENDE",R237="NÃO RESPONDE",R237="RECUSOU LIGAÇÃO"),"REATIVAÇÃO",IF(R237="PERDA / FECHOU LOJA","NUTRIÇÃO",IF(OR(R237="FOLLOW UP 7",R237="FOLLOW UP 15"),"SALVAMENTO","PROSPECÇÃO")))))))</f>
        <v/>
      </c>
      <c r="V237" s="58" t="n"/>
      <c r="W237" s="58" t="inlineStr">
        <is>
          <t>SIM</t>
        </is>
      </c>
      <c r="X237" s="58" t="n"/>
    </row>
    <row r="238">
      <c r="A238" s="71" t="n">
        <v>46076</v>
      </c>
      <c r="B238" s="58" t="inlineStr">
        <is>
          <t>DAIANE STAVICKI</t>
        </is>
      </c>
      <c r="C238" s="58" t="inlineStr">
        <is>
          <t>MUNDO VERDE CWB 20</t>
        </is>
      </c>
      <c r="D238" s="58" t="inlineStr">
        <is>
          <t>51.711.152/4935-72</t>
        </is>
      </c>
      <c r="E238" s="58" t="inlineStr">
        <is>
          <t>MG</t>
        </is>
      </c>
      <c r="F238" s="58" t="inlineStr">
        <is>
          <t>VIDA LEVE</t>
        </is>
      </c>
      <c r="G238" s="58" t="inlineStr">
        <is>
          <t>ATIVO</t>
        </is>
      </c>
      <c r="H238" s="58" t="n">
        <v>50</v>
      </c>
      <c r="I238" s="58">
        <f>IF(R238="","",VLOOKUP(R238,REGRAS!$B$2:$D$13,3,FALSE()))</f>
        <v/>
      </c>
      <c r="J238" s="58" t="n"/>
      <c r="K238" s="58">
        <f>IF(R238="","",IF(R238="VENDA / PEDIDO","RECOMPRA",IF(R238="SUPORTE","PÓS-VENDA",IF(OR(R238="FOLLOW UP 7",R238="FOLLOW UP 15"),"SALVAMENTO",IF(R238="PERDA / FECHOU LOJA","NUTRIÇÃO",IF(R238="RELACIONAMENTO","CS",IF(OR(R238="ORÇAMENTO",R238="CADASTRO"),"PROSPECÇÃO",IF(R238="EM ATENDIMENTO","EM ATENDIMENTO",IF(OR(R238="NÃO ATENDE",R238="NÃO RESPONDE",R238="RECUSOU LIGAÇÃO"),"RECUPERAÇÃO","")))))))))</f>
        <v/>
      </c>
      <c r="L238" s="58">
        <f>IF(H238="","",IF(G238="PROSPECT","🟣",IF(G238="LEAD","🟣",IF(G238="NOVO","🟢",IF(H238&lt;=50,"🟢",IF(H238&lt;=90,"🟡","🔴"))))))</f>
        <v/>
      </c>
      <c r="M238" s="58" t="n"/>
      <c r="N238" s="58" t="inlineStr">
        <is>
          <t>SIM</t>
        </is>
      </c>
      <c r="O238" s="58" t="inlineStr">
        <is>
          <t>SIM</t>
        </is>
      </c>
      <c r="P238" s="58" t="inlineStr">
        <is>
          <t>SIM</t>
        </is>
      </c>
      <c r="Q238" s="58" t="inlineStr">
        <is>
          <t>FOLLOW UP</t>
        </is>
      </c>
      <c r="R238" s="58" t="inlineStr">
        <is>
          <t>ORÇAMENTO</t>
        </is>
      </c>
      <c r="S238" s="58" t="n"/>
      <c r="T238" s="71">
        <f>IF(R238="","",IF(OR(R238="SUPORTE",R238="PERDA / FECHOU LOJA"),"SEM",A238+VLOOKUP(R238,REGRAS!$B$2:$C$13,2,FALSE())))</f>
        <v/>
      </c>
      <c r="U238" s="58">
        <f>IF(R238="","",IF(R238="VENDA / PEDIDO","RECOMPRA",IF(R238="SUPORTE","PÓS-VENDA",IF(R238="RELACIONAMENTO","CS",IF(OR(R238="NÃO ATENDE",R238="NÃO RESPONDE",R238="RECUSOU LIGAÇÃO"),"REATIVAÇÃO",IF(R238="PERDA / FECHOU LOJA","NUTRIÇÃO",IF(OR(R238="FOLLOW UP 7",R238="FOLLOW UP 15"),"SALVAMENTO","PROSPECÇÃO")))))))</f>
        <v/>
      </c>
      <c r="V238" s="58" t="n"/>
      <c r="W238" s="58" t="inlineStr">
        <is>
          <t>SIM</t>
        </is>
      </c>
      <c r="X238" s="58" t="n"/>
    </row>
    <row r="239">
      <c r="A239" s="71" t="n">
        <v>46071</v>
      </c>
      <c r="B239" s="58" t="inlineStr">
        <is>
          <t>LARISSA PADILHA</t>
        </is>
      </c>
      <c r="C239" s="58" t="inlineStr">
        <is>
          <t>MARKET FIT 29</t>
        </is>
      </c>
      <c r="D239" s="58" t="inlineStr">
        <is>
          <t>37.779.439/5425-56</t>
        </is>
      </c>
      <c r="E239" s="58" t="inlineStr">
        <is>
          <t>SC</t>
        </is>
      </c>
      <c r="F239" s="58" t="inlineStr">
        <is>
          <t>DEMAIS CLIENTES</t>
        </is>
      </c>
      <c r="G239" s="58" t="inlineStr">
        <is>
          <t>INAT.REC</t>
        </is>
      </c>
      <c r="H239" s="58" t="n">
        <v>76</v>
      </c>
      <c r="I239" s="58">
        <f>IF(R239="","",VLOOKUP(R239,REGRAS!$B$2:$D$13,3,FALSE()))</f>
        <v/>
      </c>
      <c r="J239" s="58" t="n"/>
      <c r="K239" s="58">
        <f>IF(R239="","",IF(R239="VENDA / PEDIDO","RECOMPRA",IF(R239="SUPORTE","PÓS-VENDA",IF(OR(R239="FOLLOW UP 7",R239="FOLLOW UP 15"),"SALVAMENTO",IF(R239="PERDA / FECHOU LOJA","NUTRIÇÃO",IF(R239="RELACIONAMENTO","CS",IF(OR(R239="ORÇAMENTO",R239="CADASTRO"),"PROSPECÇÃO",IF(R239="EM ATENDIMENTO","EM ATENDIMENTO",IF(OR(R239="NÃO ATENDE",R239="NÃO RESPONDE",R239="RECUSOU LIGAÇÃO"),"RECUPERAÇÃO","")))))))))</f>
        <v/>
      </c>
      <c r="L239" s="58">
        <f>IF(H239="","",IF(G239="PROSPECT","🟣",IF(G239="LEAD","🟣",IF(G239="NOVO","🟢",IF(H239&lt;=50,"🟢",IF(H239&lt;=90,"🟡","🔴"))))))</f>
        <v/>
      </c>
      <c r="M239" s="58" t="n"/>
      <c r="N239" s="58" t="inlineStr">
        <is>
          <t>NÃO</t>
        </is>
      </c>
      <c r="O239" s="58" t="inlineStr">
        <is>
          <t>SIM</t>
        </is>
      </c>
      <c r="P239" s="58" t="inlineStr">
        <is>
          <t>NÃO</t>
        </is>
      </c>
      <c r="Q239" s="58" t="inlineStr">
        <is>
          <t>PERDA / NUTRIÇÃO</t>
        </is>
      </c>
      <c r="R239" s="58" t="inlineStr">
        <is>
          <t>FOLLOW UP 15</t>
        </is>
      </c>
      <c r="S239" s="58" t="inlineStr">
        <is>
          <t>LOJA ANEXO/PROXIMO - SM</t>
        </is>
      </c>
      <c r="T239" s="71">
        <f>IF(R239="","",IF(OR(R239="SUPORTE",R239="PERDA / FECHOU LOJA"),"SEM",A239+VLOOKUP(R239,REGRAS!$B$2:$C$13,2,FALSE())))</f>
        <v/>
      </c>
      <c r="U239" s="58">
        <f>IF(R239="","",IF(R239="VENDA / PEDIDO","RECOMPRA",IF(R239="SUPORTE","PÓS-VENDA",IF(R239="RELACIONAMENTO","CS",IF(OR(R239="NÃO ATENDE",R239="NÃO RESPONDE",R239="RECUSOU LIGAÇÃO"),"REATIVAÇÃO",IF(R239="PERDA / FECHOU LOJA","NUTRIÇÃO",IF(OR(R239="FOLLOW UP 7",R239="FOLLOW UP 15"),"SALVAMENTO","PROSPECÇÃO")))))))</f>
        <v/>
      </c>
      <c r="V239" s="58" t="n"/>
      <c r="W239" s="58" t="inlineStr">
        <is>
          <t>NÃO</t>
        </is>
      </c>
      <c r="X239" s="58" t="n"/>
    </row>
    <row r="240">
      <c r="A240" s="71" t="n">
        <v>46073</v>
      </c>
      <c r="B240" s="58" t="inlineStr">
        <is>
          <t>DAIANE STAVICKI</t>
        </is>
      </c>
      <c r="C240" s="58" t="inlineStr">
        <is>
          <t>ARMAZEM FIT 06</t>
        </is>
      </c>
      <c r="D240" s="58" t="inlineStr">
        <is>
          <t>97.428.490/1858-59</t>
        </is>
      </c>
      <c r="E240" s="58" t="inlineStr">
        <is>
          <t>SC</t>
        </is>
      </c>
      <c r="F240" s="58" t="inlineStr">
        <is>
          <t>DEMAIS CLIENTES</t>
        </is>
      </c>
      <c r="G240" s="58" t="inlineStr">
        <is>
          <t>ATIVO</t>
        </is>
      </c>
      <c r="H240" s="58" t="n">
        <v>38</v>
      </c>
      <c r="I240" s="58">
        <f>IF(R240="","",VLOOKUP(R240,REGRAS!$B$2:$D$13,3,FALSE()))</f>
        <v/>
      </c>
      <c r="J240" s="58" t="n"/>
      <c r="K240" s="58">
        <f>IF(R240="","",IF(R240="VENDA / PEDIDO","RECOMPRA",IF(R240="SUPORTE","PÓS-VENDA",IF(OR(R240="FOLLOW UP 7",R240="FOLLOW UP 15"),"SALVAMENTO",IF(R240="PERDA / FECHOU LOJA","NUTRIÇÃO",IF(R240="RELACIONAMENTO","CS",IF(OR(R240="ORÇAMENTO",R240="CADASTRO"),"PROSPECÇÃO",IF(R240="EM ATENDIMENTO","EM ATENDIMENTO",IF(OR(R240="NÃO ATENDE",R240="NÃO RESPONDE",R240="RECUSOU LIGAÇÃO"),"RECUPERAÇÃO","")))))))))</f>
        <v/>
      </c>
      <c r="L240" s="58">
        <f>IF(H240="","",IF(G240="PROSPECT","🟣",IF(G240="LEAD","🟣",IF(G240="NOVO","🟢",IF(H240&lt;=50,"🟢",IF(H240&lt;=90,"🟡","🔴"))))))</f>
        <v/>
      </c>
      <c r="M240" s="58" t="n"/>
      <c r="N240" s="58" t="inlineStr">
        <is>
          <t>NÃO</t>
        </is>
      </c>
      <c r="O240" s="58" t="inlineStr">
        <is>
          <t>SIM</t>
        </is>
      </c>
      <c r="P240" s="58" t="inlineStr">
        <is>
          <t>SIM</t>
        </is>
      </c>
      <c r="Q240" s="58" t="inlineStr">
        <is>
          <t>PÓS-VENDA / RELACIONAMENTO</t>
        </is>
      </c>
      <c r="R240" s="58" t="inlineStr">
        <is>
          <t>FOLLOW UP 7</t>
        </is>
      </c>
      <c r="S240" s="58" t="inlineStr">
        <is>
          <t>SEM INTERESSE NO MOMENTO</t>
        </is>
      </c>
      <c r="T240" s="71">
        <f>IF(R240="","",IF(OR(R240="SUPORTE",R240="PERDA / FECHOU LOJA"),"SEM",A240+VLOOKUP(R240,REGRAS!$B$2:$C$13,2,FALSE())))</f>
        <v/>
      </c>
      <c r="U240" s="58">
        <f>IF(R240="","",IF(R240="VENDA / PEDIDO","RECOMPRA",IF(R240="SUPORTE","PÓS-VENDA",IF(R240="RELACIONAMENTO","CS",IF(OR(R240="NÃO ATENDE",R240="NÃO RESPONDE",R240="RECUSOU LIGAÇÃO"),"REATIVAÇÃO",IF(R240="PERDA / FECHOU LOJA","NUTRIÇÃO",IF(OR(R240="FOLLOW UP 7",R240="FOLLOW UP 15"),"SALVAMENTO","PROSPECÇÃO")))))))</f>
        <v/>
      </c>
      <c r="V240" s="58" t="n"/>
      <c r="W240" s="58" t="inlineStr">
        <is>
          <t>SIM</t>
        </is>
      </c>
      <c r="X240" s="58" t="n"/>
    </row>
    <row r="241">
      <c r="A241" s="71" t="n">
        <v>46070</v>
      </c>
      <c r="B241" s="58" t="inlineStr">
        <is>
          <t>MANU DITZEL</t>
        </is>
      </c>
      <c r="C241" s="58" t="inlineStr">
        <is>
          <t>NATURAL POINT 22</t>
        </is>
      </c>
      <c r="D241" s="58" t="inlineStr">
        <is>
          <t>78.646.107/1073-36</t>
        </is>
      </c>
      <c r="E241" s="58" t="inlineStr">
        <is>
          <t>SP</t>
        </is>
      </c>
      <c r="F241" s="58" t="inlineStr">
        <is>
          <t>DEMAIS CLIENTES</t>
        </is>
      </c>
      <c r="G241" s="58" t="inlineStr">
        <is>
          <t>NOVO</t>
        </is>
      </c>
      <c r="H241" s="58" t="n"/>
      <c r="I241" s="58">
        <f>IF(R241="","",VLOOKUP(R241,REGRAS!$B$2:$D$13,3,FALSE()))</f>
        <v/>
      </c>
      <c r="J241" s="58" t="n"/>
      <c r="K241" s="58">
        <f>IF(R241="","",IF(R241="VENDA / PEDIDO","RECOMPRA",IF(R241="SUPORTE","PÓS-VENDA",IF(OR(R241="FOLLOW UP 7",R241="FOLLOW UP 15"),"SALVAMENTO",IF(R241="PERDA / FECHOU LOJA","NUTRIÇÃO",IF(R241="RELACIONAMENTO","CS",IF(OR(R241="ORÇAMENTO",R241="CADASTRO"),"PROSPECÇÃO",IF(R241="EM ATENDIMENTO","EM ATENDIMENTO",IF(OR(R241="NÃO ATENDE",R241="NÃO RESPONDE",R241="RECUSOU LIGAÇÃO"),"RECUPERAÇÃO","")))))))))</f>
        <v/>
      </c>
      <c r="L241" s="58">
        <f>IF(H241="","",IF(G241="PROSPECT","🟣",IF(G241="LEAD","🟣",IF(G241="NOVO","🟢",IF(H241&lt;=50,"🟢",IF(H241&lt;=90,"🟡","🔴"))))))</f>
        <v/>
      </c>
      <c r="M241" s="58" t="n"/>
      <c r="N241" s="58" t="inlineStr">
        <is>
          <t>SIM</t>
        </is>
      </c>
      <c r="O241" s="58" t="inlineStr">
        <is>
          <t>NÃO</t>
        </is>
      </c>
      <c r="P241" s="58" t="inlineStr">
        <is>
          <t>N/A</t>
        </is>
      </c>
      <c r="Q241" s="58" t="inlineStr">
        <is>
          <t>ATEND. CLIENTES ATIVOS</t>
        </is>
      </c>
      <c r="R241" s="58" t="inlineStr">
        <is>
          <t>VENDA / PEDIDO</t>
        </is>
      </c>
      <c r="S241" s="58" t="n"/>
      <c r="T241" s="71">
        <f>IF(R241="","",IF(OR(R241="SUPORTE",R241="PERDA / FECHOU LOJA"),"SEM",A241+VLOOKUP(R241,REGRAS!$B$2:$C$13,2,FALSE())))</f>
        <v/>
      </c>
      <c r="U241" s="58">
        <f>IF(R241="","",IF(R241="VENDA / PEDIDO","RECOMPRA",IF(R241="SUPORTE","PÓS-VENDA",IF(R241="RELACIONAMENTO","CS",IF(OR(R241="NÃO ATENDE",R241="NÃO RESPONDE",R241="RECUSOU LIGAÇÃO"),"REATIVAÇÃO",IF(R241="PERDA / FECHOU LOJA","NUTRIÇÃO",IF(OR(R241="FOLLOW UP 7",R241="FOLLOW UP 15"),"SALVAMENTO","PROSPECÇÃO")))))))</f>
        <v/>
      </c>
      <c r="V241" s="58" t="n"/>
      <c r="W241" s="58" t="inlineStr">
        <is>
          <t>NÃO</t>
        </is>
      </c>
      <c r="X241" s="58" t="n"/>
    </row>
    <row r="242">
      <c r="A242" s="71" t="n">
        <v>46078</v>
      </c>
      <c r="B242" s="58" t="inlineStr">
        <is>
          <t>LARISSA PADILHA</t>
        </is>
      </c>
      <c r="C242" s="58" t="inlineStr">
        <is>
          <t>VIDA SAUDÁVEL 96</t>
        </is>
      </c>
      <c r="D242" s="58" t="inlineStr">
        <is>
          <t>97.257.124/7524-52</t>
        </is>
      </c>
      <c r="E242" s="58" t="inlineStr">
        <is>
          <t>PR</t>
        </is>
      </c>
      <c r="F242" s="58" t="inlineStr">
        <is>
          <t>MUNDO VERDE</t>
        </is>
      </c>
      <c r="G242" s="58" t="inlineStr">
        <is>
          <t>ATIVO</t>
        </is>
      </c>
      <c r="H242" s="58" t="n">
        <v>21</v>
      </c>
      <c r="I242" s="58">
        <f>IF(R242="","",VLOOKUP(R242,REGRAS!$B$2:$D$13,3,FALSE()))</f>
        <v/>
      </c>
      <c r="J242" s="58" t="n"/>
      <c r="K242" s="58">
        <f>IF(R242="","",IF(R242="VENDA / PEDIDO","RECOMPRA",IF(R242="SUPORTE","PÓS-VENDA",IF(OR(R242="FOLLOW UP 7",R242="FOLLOW UP 15"),"SALVAMENTO",IF(R242="PERDA / FECHOU LOJA","NUTRIÇÃO",IF(R242="RELACIONAMENTO","CS",IF(OR(R242="ORÇAMENTO",R242="CADASTRO"),"PROSPECÇÃO",IF(R242="EM ATENDIMENTO","EM ATENDIMENTO",IF(OR(R242="NÃO ATENDE",R242="NÃO RESPONDE",R242="RECUSOU LIGAÇÃO"),"RECUPERAÇÃO","")))))))))</f>
        <v/>
      </c>
      <c r="L242" s="58">
        <f>IF(H242="","",IF(G242="PROSPECT","🟣",IF(G242="LEAD","🟣",IF(G242="NOVO","🟢",IF(H242&lt;=50,"🟢",IF(H242&lt;=90,"🟡","🔴"))))))</f>
        <v/>
      </c>
      <c r="M242" s="58" t="n"/>
      <c r="N242" s="58" t="inlineStr">
        <is>
          <t>SIM</t>
        </is>
      </c>
      <c r="O242" s="58" t="inlineStr">
        <is>
          <t>SIM</t>
        </is>
      </c>
      <c r="P242" s="58" t="inlineStr">
        <is>
          <t>SIM</t>
        </is>
      </c>
      <c r="Q242" s="58" t="inlineStr">
        <is>
          <t>ATEND. CLIENTES ATIVOS</t>
        </is>
      </c>
      <c r="R242" s="58" t="inlineStr">
        <is>
          <t>FOLLOW UP 7</t>
        </is>
      </c>
      <c r="S242" s="58" t="inlineStr">
        <is>
          <t>PROBLEMA LOGÍSTICO / ENTREGA</t>
        </is>
      </c>
      <c r="T242" s="71">
        <f>IF(R242="","",IF(OR(R242="SUPORTE",R242="PERDA / FECHOU LOJA"),"SEM",A242+VLOOKUP(R242,REGRAS!$B$2:$C$13,2,FALSE())))</f>
        <v/>
      </c>
      <c r="U242" s="58">
        <f>IF(R242="","",IF(R242="VENDA / PEDIDO","RECOMPRA",IF(R242="SUPORTE","PÓS-VENDA",IF(R242="RELACIONAMENTO","CS",IF(OR(R242="NÃO ATENDE",R242="NÃO RESPONDE",R242="RECUSOU LIGAÇÃO"),"REATIVAÇÃO",IF(R242="PERDA / FECHOU LOJA","NUTRIÇÃO",IF(OR(R242="FOLLOW UP 7",R242="FOLLOW UP 15"),"SALVAMENTO","PROSPECÇÃO")))))))</f>
        <v/>
      </c>
      <c r="V242" s="58" t="n"/>
      <c r="W242" s="58" t="inlineStr">
        <is>
          <t>SIM</t>
        </is>
      </c>
      <c r="X242" s="58" t="n"/>
    </row>
    <row r="243">
      <c r="A243" s="71" t="n">
        <v>46054</v>
      </c>
      <c r="B243" s="58" t="inlineStr">
        <is>
          <t>LARISSA PADILHA</t>
        </is>
      </c>
      <c r="C243" s="58" t="inlineStr">
        <is>
          <t>CASA DO GRANEL 69</t>
        </is>
      </c>
      <c r="D243" s="58" t="inlineStr">
        <is>
          <t>10.756.837/1037-84</t>
        </is>
      </c>
      <c r="E243" s="58" t="inlineStr">
        <is>
          <t>PR</t>
        </is>
      </c>
      <c r="F243" s="58" t="inlineStr">
        <is>
          <t>DEMAIS CLIENTES</t>
        </is>
      </c>
      <c r="G243" s="58" t="inlineStr">
        <is>
          <t>EM RISCO</t>
        </is>
      </c>
      <c r="H243" s="58" t="n">
        <v>59</v>
      </c>
      <c r="I243" s="58">
        <f>IF(R243="","",VLOOKUP(R243,REGRAS!$B$2:$D$13,3,FALSE()))</f>
        <v/>
      </c>
      <c r="J243" s="58" t="n"/>
      <c r="K243" s="58">
        <f>IF(R243="","",IF(R243="VENDA / PEDIDO","RECOMPRA",IF(R243="SUPORTE","PÓS-VENDA",IF(OR(R243="FOLLOW UP 7",R243="FOLLOW UP 15"),"SALVAMENTO",IF(R243="PERDA / FECHOU LOJA","NUTRIÇÃO",IF(R243="RELACIONAMENTO","CS",IF(OR(R243="ORÇAMENTO",R243="CADASTRO"),"PROSPECÇÃO",IF(R243="EM ATENDIMENTO","EM ATENDIMENTO",IF(OR(R243="NÃO ATENDE",R243="NÃO RESPONDE",R243="RECUSOU LIGAÇÃO"),"RECUPERAÇÃO","")))))))))</f>
        <v/>
      </c>
      <c r="L243" s="58">
        <f>IF(H243="","",IF(G243="PROSPECT","🟣",IF(G243="LEAD","🟣",IF(G243="NOVO","🟢",IF(H243&lt;=50,"🟢",IF(H243&lt;=90,"🟡","🔴"))))))</f>
        <v/>
      </c>
      <c r="M243" s="58" t="n"/>
      <c r="N243" s="58" t="inlineStr">
        <is>
          <t>SIM</t>
        </is>
      </c>
      <c r="O243" s="58" t="inlineStr">
        <is>
          <t>SIM</t>
        </is>
      </c>
      <c r="P243" s="58" t="inlineStr">
        <is>
          <t>NÃO</t>
        </is>
      </c>
      <c r="Q243" s="58" t="inlineStr">
        <is>
          <t>PROSPECÇÃO</t>
        </is>
      </c>
      <c r="R243" s="58" t="inlineStr">
        <is>
          <t>NÃO RESPONDE</t>
        </is>
      </c>
      <c r="S243" s="58" t="inlineStr">
        <is>
          <t>LOJA ANEXO/PROXIMO - SM</t>
        </is>
      </c>
      <c r="T243" s="71">
        <f>IF(R243="","",IF(OR(R243="SUPORTE",R243="PERDA / FECHOU LOJA"),"SEM",A243+VLOOKUP(R243,REGRAS!$B$2:$C$13,2,FALSE())))</f>
        <v/>
      </c>
      <c r="U243" s="58">
        <f>IF(R243="","",IF(R243="VENDA / PEDIDO","RECOMPRA",IF(R243="SUPORTE","PÓS-VENDA",IF(R243="RELACIONAMENTO","CS",IF(OR(R243="NÃO ATENDE",R243="NÃO RESPONDE",R243="RECUSOU LIGAÇÃO"),"REATIVAÇÃO",IF(R243="PERDA / FECHOU LOJA","NUTRIÇÃO",IF(OR(R243="FOLLOW UP 7",R243="FOLLOW UP 15"),"SALVAMENTO","PROSPECÇÃO")))))))</f>
        <v/>
      </c>
      <c r="V243" s="58" t="n"/>
      <c r="W243" s="58" t="inlineStr">
        <is>
          <t>SIM</t>
        </is>
      </c>
      <c r="X243" s="58" t="n"/>
    </row>
    <row r="244">
      <c r="A244" s="71" t="n">
        <v>46075</v>
      </c>
      <c r="B244" s="58" t="inlineStr">
        <is>
          <t>MANU DITZEL</t>
        </is>
      </c>
      <c r="C244" s="58" t="inlineStr">
        <is>
          <t>BEM ESTAR 69</t>
        </is>
      </c>
      <c r="D244" s="58" t="inlineStr">
        <is>
          <t>38.239.864/6407-79</t>
        </is>
      </c>
      <c r="E244" s="58" t="inlineStr">
        <is>
          <t>SC</t>
        </is>
      </c>
      <c r="F244" s="58" t="inlineStr">
        <is>
          <t>TUDO EM GRAOS</t>
        </is>
      </c>
      <c r="G244" s="58" t="inlineStr">
        <is>
          <t>ATIVO</t>
        </is>
      </c>
      <c r="H244" s="58" t="n">
        <v>46</v>
      </c>
      <c r="I244" s="58">
        <f>IF(R244="","",VLOOKUP(R244,REGRAS!$B$2:$D$13,3,FALSE()))</f>
        <v/>
      </c>
      <c r="J244" s="58" t="n"/>
      <c r="K244" s="58">
        <f>IF(R244="","",IF(R244="VENDA / PEDIDO","RECOMPRA",IF(R244="SUPORTE","PÓS-VENDA",IF(OR(R244="FOLLOW UP 7",R244="FOLLOW UP 15"),"SALVAMENTO",IF(R244="PERDA / FECHOU LOJA","NUTRIÇÃO",IF(R244="RELACIONAMENTO","CS",IF(OR(R244="ORÇAMENTO",R244="CADASTRO"),"PROSPECÇÃO",IF(R244="EM ATENDIMENTO","EM ATENDIMENTO",IF(OR(R244="NÃO ATENDE",R244="NÃO RESPONDE",R244="RECUSOU LIGAÇÃO"),"RECUPERAÇÃO","")))))))))</f>
        <v/>
      </c>
      <c r="L244" s="58">
        <f>IF(H244="","",IF(G244="PROSPECT","🟣",IF(G244="LEAD","🟣",IF(G244="NOVO","🟢",IF(H244&lt;=50,"🟢",IF(H244&lt;=90,"🟡","🔴"))))))</f>
        <v/>
      </c>
      <c r="M244" s="58" t="n"/>
      <c r="N244" s="58" t="inlineStr">
        <is>
          <t>SIM</t>
        </is>
      </c>
      <c r="O244" s="58" t="inlineStr">
        <is>
          <t>NÃO</t>
        </is>
      </c>
      <c r="P244" s="58" t="inlineStr">
        <is>
          <t>N/A</t>
        </is>
      </c>
      <c r="Q244" s="58" t="inlineStr">
        <is>
          <t>ATEND. CLIENTES ATIVOS</t>
        </is>
      </c>
      <c r="R244" s="58" t="inlineStr">
        <is>
          <t>EM ATENDIMENTO</t>
        </is>
      </c>
      <c r="S244" s="58" t="n"/>
      <c r="T244" s="71">
        <f>IF(R244="","",IF(OR(R244="SUPORTE",R244="PERDA / FECHOU LOJA"),"SEM",A244+VLOOKUP(R244,REGRAS!$B$2:$C$13,2,FALSE())))</f>
        <v/>
      </c>
      <c r="U244" s="58">
        <f>IF(R244="","",IF(R244="VENDA / PEDIDO","RECOMPRA",IF(R244="SUPORTE","PÓS-VENDA",IF(R244="RELACIONAMENTO","CS",IF(OR(R244="NÃO ATENDE",R244="NÃO RESPONDE",R244="RECUSOU LIGAÇÃO"),"REATIVAÇÃO",IF(R244="PERDA / FECHOU LOJA","NUTRIÇÃO",IF(OR(R244="FOLLOW UP 7",R244="FOLLOW UP 15"),"SALVAMENTO","PROSPECÇÃO")))))))</f>
        <v/>
      </c>
      <c r="V244" s="58" t="n"/>
      <c r="W244" s="58" t="inlineStr">
        <is>
          <t>SIM</t>
        </is>
      </c>
      <c r="X244" s="58" t="n"/>
    </row>
    <row r="245">
      <c r="A245" s="71" t="n">
        <v>46054</v>
      </c>
      <c r="B245" s="58" t="inlineStr">
        <is>
          <t>LARISSA PADILHA</t>
        </is>
      </c>
      <c r="C245" s="58" t="inlineStr">
        <is>
          <t>TUDO GRÃOS SC 69</t>
        </is>
      </c>
      <c r="D245" s="58" t="inlineStr">
        <is>
          <t>80.187.412/3442-54</t>
        </is>
      </c>
      <c r="E245" s="58" t="inlineStr">
        <is>
          <t>PR</t>
        </is>
      </c>
      <c r="F245" s="58" t="inlineStr">
        <is>
          <t>DEMAIS CLIENTES</t>
        </is>
      </c>
      <c r="G245" s="58" t="inlineStr">
        <is>
          <t>NOVO</t>
        </is>
      </c>
      <c r="H245" s="58" t="n"/>
      <c r="I245" s="58">
        <f>IF(R245="","",VLOOKUP(R245,REGRAS!$B$2:$D$13,3,FALSE()))</f>
        <v/>
      </c>
      <c r="J245" s="58" t="n"/>
      <c r="K245" s="58">
        <f>IF(R245="","",IF(R245="VENDA / PEDIDO","RECOMPRA",IF(R245="SUPORTE","PÓS-VENDA",IF(OR(R245="FOLLOW UP 7",R245="FOLLOW UP 15"),"SALVAMENTO",IF(R245="PERDA / FECHOU LOJA","NUTRIÇÃO",IF(R245="RELACIONAMENTO","CS",IF(OR(R245="ORÇAMENTO",R245="CADASTRO"),"PROSPECÇÃO",IF(R245="EM ATENDIMENTO","EM ATENDIMENTO",IF(OR(R245="NÃO ATENDE",R245="NÃO RESPONDE",R245="RECUSOU LIGAÇÃO"),"RECUPERAÇÃO","")))))))))</f>
        <v/>
      </c>
      <c r="L245" s="58">
        <f>IF(H245="","",IF(G245="PROSPECT","🟣",IF(G245="LEAD","🟣",IF(G245="NOVO","🟢",IF(H245&lt;=50,"🟢",IF(H245&lt;=90,"🟡","🔴"))))))</f>
        <v/>
      </c>
      <c r="M245" s="58" t="n"/>
      <c r="N245" s="58" t="inlineStr">
        <is>
          <t>SIM</t>
        </is>
      </c>
      <c r="O245" s="58" t="inlineStr">
        <is>
          <t>SIM</t>
        </is>
      </c>
      <c r="P245" s="58" t="inlineStr">
        <is>
          <t>SIM</t>
        </is>
      </c>
      <c r="Q245" s="58" t="inlineStr">
        <is>
          <t>PROSPECÇÃO</t>
        </is>
      </c>
      <c r="R245" s="58" t="inlineStr">
        <is>
          <t>EM ATENDIMENTO</t>
        </is>
      </c>
      <c r="S245" s="58" t="n"/>
      <c r="T245" s="71">
        <f>IF(R245="","",IF(OR(R245="SUPORTE",R245="PERDA / FECHOU LOJA"),"SEM",A245+VLOOKUP(R245,REGRAS!$B$2:$C$13,2,FALSE())))</f>
        <v/>
      </c>
      <c r="U245" s="58">
        <f>IF(R245="","",IF(R245="VENDA / PEDIDO","RECOMPRA",IF(R245="SUPORTE","PÓS-VENDA",IF(R245="RELACIONAMENTO","CS",IF(OR(R245="NÃO ATENDE",R245="NÃO RESPONDE",R245="RECUSOU LIGAÇÃO"),"REATIVAÇÃO",IF(R245="PERDA / FECHOU LOJA","NUTRIÇÃO",IF(OR(R245="FOLLOW UP 7",R245="FOLLOW UP 15"),"SALVAMENTO","PROSPECÇÃO")))))))</f>
        <v/>
      </c>
      <c r="V245" s="58" t="n"/>
      <c r="W245" s="58" t="inlineStr">
        <is>
          <t>NÃO</t>
        </is>
      </c>
      <c r="X245" s="58" t="n"/>
    </row>
    <row r="246">
      <c r="A246" s="71" t="n">
        <v>46072</v>
      </c>
      <c r="B246" s="58" t="inlineStr">
        <is>
          <t>DAIANE STAVICKI</t>
        </is>
      </c>
      <c r="C246" s="58" t="inlineStr">
        <is>
          <t>ESSENCE FOOD 60</t>
        </is>
      </c>
      <c r="D246" s="58" t="inlineStr">
        <is>
          <t>92.662.174/4763-95</t>
        </is>
      </c>
      <c r="E246" s="58" t="inlineStr">
        <is>
          <t>PR</t>
        </is>
      </c>
      <c r="F246" s="58" t="inlineStr">
        <is>
          <t>MUNDO VERDE</t>
        </is>
      </c>
      <c r="G246" s="58" t="inlineStr">
        <is>
          <t>INAT.ANT</t>
        </is>
      </c>
      <c r="H246" s="58" t="n">
        <v>215</v>
      </c>
      <c r="I246" s="58">
        <f>IF(R246="","",VLOOKUP(R246,REGRAS!$B$2:$D$13,3,FALSE()))</f>
        <v/>
      </c>
      <c r="J246" s="58" t="n"/>
      <c r="K246" s="58">
        <f>IF(R246="","",IF(R246="VENDA / PEDIDO","RECOMPRA",IF(R246="SUPORTE","PÓS-VENDA",IF(OR(R246="FOLLOW UP 7",R246="FOLLOW UP 15"),"SALVAMENTO",IF(R246="PERDA / FECHOU LOJA","NUTRIÇÃO",IF(R246="RELACIONAMENTO","CS",IF(OR(R246="ORÇAMENTO",R246="CADASTRO"),"PROSPECÇÃO",IF(R246="EM ATENDIMENTO","EM ATENDIMENTO",IF(OR(R246="NÃO ATENDE",R246="NÃO RESPONDE",R246="RECUSOU LIGAÇÃO"),"RECUPERAÇÃO","")))))))))</f>
        <v/>
      </c>
      <c r="L246" s="58">
        <f>IF(H246="","",IF(G246="PROSPECT","🟣",IF(G246="LEAD","🟣",IF(G246="NOVO","🟢",IF(H246&lt;=50,"🟢",IF(H246&lt;=90,"🟡","🔴"))))))</f>
        <v/>
      </c>
      <c r="M246" s="58" t="n"/>
      <c r="N246" s="58" t="inlineStr">
        <is>
          <t>SIM</t>
        </is>
      </c>
      <c r="O246" s="58" t="inlineStr">
        <is>
          <t>SIM</t>
        </is>
      </c>
      <c r="P246" s="58" t="inlineStr">
        <is>
          <t>SIM</t>
        </is>
      </c>
      <c r="Q246" s="58" t="inlineStr">
        <is>
          <t>PERDA / NUTRIÇÃO</t>
        </is>
      </c>
      <c r="R246" s="58" t="inlineStr">
        <is>
          <t>NÃO ATENDE</t>
        </is>
      </c>
      <c r="S246" s="58" t="inlineStr">
        <is>
          <t>AINDA TEM ESTOQUE</t>
        </is>
      </c>
      <c r="T246" s="71">
        <f>IF(R246="","",IF(OR(R246="SUPORTE",R246="PERDA / FECHOU LOJA"),"SEM",A246+VLOOKUP(R246,REGRAS!$B$2:$C$13,2,FALSE())))</f>
        <v/>
      </c>
      <c r="U246" s="58">
        <f>IF(R246="","",IF(R246="VENDA / PEDIDO","RECOMPRA",IF(R246="SUPORTE","PÓS-VENDA",IF(R246="RELACIONAMENTO","CS",IF(OR(R246="NÃO ATENDE",R246="NÃO RESPONDE",R246="RECUSOU LIGAÇÃO"),"REATIVAÇÃO",IF(R246="PERDA / FECHOU LOJA","NUTRIÇÃO",IF(OR(R246="FOLLOW UP 7",R246="FOLLOW UP 15"),"SALVAMENTO","PROSPECÇÃO")))))))</f>
        <v/>
      </c>
      <c r="V246" s="58" t="n"/>
      <c r="W246" s="58" t="inlineStr">
        <is>
          <t>SIM</t>
        </is>
      </c>
      <c r="X246" s="58" t="n"/>
    </row>
    <row r="247">
      <c r="A247" s="71" t="n">
        <v>46069</v>
      </c>
      <c r="B247" s="58" t="inlineStr">
        <is>
          <t>LARISSA PADILHA</t>
        </is>
      </c>
      <c r="C247" s="58" t="inlineStr">
        <is>
          <t>CORPO E MENTE 85</t>
        </is>
      </c>
      <c r="D247" s="58" t="inlineStr">
        <is>
          <t>49.810.698/2497-82</t>
        </is>
      </c>
      <c r="E247" s="58" t="inlineStr">
        <is>
          <t>SP</t>
        </is>
      </c>
      <c r="F247" s="58" t="inlineStr">
        <is>
          <t>DEMAIS CLIENTES</t>
        </is>
      </c>
      <c r="G247" s="58" t="inlineStr">
        <is>
          <t>PROSPECT</t>
        </is>
      </c>
      <c r="H247" s="58" t="n"/>
      <c r="I247" s="58">
        <f>IF(R247="","",VLOOKUP(R247,REGRAS!$B$2:$D$13,3,FALSE()))</f>
        <v/>
      </c>
      <c r="J247" s="58" t="n"/>
      <c r="K247" s="58">
        <f>IF(R247="","",IF(R247="VENDA / PEDIDO","RECOMPRA",IF(R247="SUPORTE","PÓS-VENDA",IF(OR(R247="FOLLOW UP 7",R247="FOLLOW UP 15"),"SALVAMENTO",IF(R247="PERDA / FECHOU LOJA","NUTRIÇÃO",IF(R247="RELACIONAMENTO","CS",IF(OR(R247="ORÇAMENTO",R247="CADASTRO"),"PROSPECÇÃO",IF(R247="EM ATENDIMENTO","EM ATENDIMENTO",IF(OR(R247="NÃO ATENDE",R247="NÃO RESPONDE",R247="RECUSOU LIGAÇÃO"),"RECUPERAÇÃO","")))))))))</f>
        <v/>
      </c>
      <c r="L247" s="58">
        <f>IF(H247="","",IF(G247="PROSPECT","🟣",IF(G247="LEAD","🟣",IF(G247="NOVO","🟢",IF(H247&lt;=50,"🟢",IF(H247&lt;=90,"🟡","🔴"))))))</f>
        <v/>
      </c>
      <c r="M247" s="58" t="n"/>
      <c r="N247" s="58" t="inlineStr">
        <is>
          <t>NÃO</t>
        </is>
      </c>
      <c r="O247" s="58" t="inlineStr">
        <is>
          <t>NÃO</t>
        </is>
      </c>
      <c r="P247" s="58" t="inlineStr">
        <is>
          <t>N/A</t>
        </is>
      </c>
      <c r="Q247" s="58" t="inlineStr">
        <is>
          <t>NEGOCIAÇÃO</t>
        </is>
      </c>
      <c r="R247" s="58" t="inlineStr">
        <is>
          <t>ORÇAMENTO</t>
        </is>
      </c>
      <c r="S247" s="58" t="n"/>
      <c r="T247" s="71">
        <f>IF(R247="","",IF(OR(R247="SUPORTE",R247="PERDA / FECHOU LOJA"),"SEM",A247+VLOOKUP(R247,REGRAS!$B$2:$C$13,2,FALSE())))</f>
        <v/>
      </c>
      <c r="U247" s="58">
        <f>IF(R247="","",IF(R247="VENDA / PEDIDO","RECOMPRA",IF(R247="SUPORTE","PÓS-VENDA",IF(R247="RELACIONAMENTO","CS",IF(OR(R247="NÃO ATENDE",R247="NÃO RESPONDE",R247="RECUSOU LIGAÇÃO"),"REATIVAÇÃO",IF(R247="PERDA / FECHOU LOJA","NUTRIÇÃO",IF(OR(R247="FOLLOW UP 7",R247="FOLLOW UP 15"),"SALVAMENTO","PROSPECÇÃO")))))))</f>
        <v/>
      </c>
      <c r="V247" s="58" t="n"/>
      <c r="W247" s="58" t="inlineStr">
        <is>
          <t>SIM</t>
        </is>
      </c>
      <c r="X247" s="58" t="n"/>
    </row>
    <row r="248">
      <c r="A248" s="71" t="n">
        <v>46062</v>
      </c>
      <c r="B248" s="58" t="inlineStr">
        <is>
          <t>DAIANE STAVICKI</t>
        </is>
      </c>
      <c r="C248" s="58" t="inlineStr">
        <is>
          <t>FIT STORE 87</t>
        </is>
      </c>
      <c r="D248" s="58" t="inlineStr">
        <is>
          <t>52.998.591/7584-67</t>
        </is>
      </c>
      <c r="E248" s="58" t="inlineStr">
        <is>
          <t>SC</t>
        </is>
      </c>
      <c r="F248" s="58" t="inlineStr">
        <is>
          <t>CIA DA SAUDE</t>
        </is>
      </c>
      <c r="G248" s="58" t="inlineStr">
        <is>
          <t>INAT.REC</t>
        </is>
      </c>
      <c r="H248" s="58" t="n">
        <v>66</v>
      </c>
      <c r="I248" s="58">
        <f>IF(R248="","",VLOOKUP(R248,REGRAS!$B$2:$D$13,3,FALSE()))</f>
        <v/>
      </c>
      <c r="J248" s="58" t="n"/>
      <c r="K248" s="58">
        <f>IF(R248="","",IF(R248="VENDA / PEDIDO","RECOMPRA",IF(R248="SUPORTE","PÓS-VENDA",IF(OR(R248="FOLLOW UP 7",R248="FOLLOW UP 15"),"SALVAMENTO",IF(R248="PERDA / FECHOU LOJA","NUTRIÇÃO",IF(R248="RELACIONAMENTO","CS",IF(OR(R248="ORÇAMENTO",R248="CADASTRO"),"PROSPECÇÃO",IF(R248="EM ATENDIMENTO","EM ATENDIMENTO",IF(OR(R248="NÃO ATENDE",R248="NÃO RESPONDE",R248="RECUSOU LIGAÇÃO"),"RECUPERAÇÃO","")))))))))</f>
        <v/>
      </c>
      <c r="L248" s="58">
        <f>IF(H248="","",IF(G248="PROSPECT","🟣",IF(G248="LEAD","🟣",IF(G248="NOVO","🟢",IF(H248&lt;=50,"🟢",IF(H248&lt;=90,"🟡","🔴"))))))</f>
        <v/>
      </c>
      <c r="M248" s="58" t="n"/>
      <c r="N248" s="58" t="inlineStr">
        <is>
          <t>SIM</t>
        </is>
      </c>
      <c r="O248" s="58" t="inlineStr">
        <is>
          <t>NÃO</t>
        </is>
      </c>
      <c r="P248" s="58" t="inlineStr">
        <is>
          <t>N/A</t>
        </is>
      </c>
      <c r="Q248" s="58" t="inlineStr">
        <is>
          <t>ATEND. CLIENTES INATIVOS</t>
        </is>
      </c>
      <c r="R248" s="58" t="inlineStr">
        <is>
          <t>EM ATENDIMENTO</t>
        </is>
      </c>
      <c r="S248" s="58" t="n"/>
      <c r="T248" s="71">
        <f>IF(R248="","",IF(OR(R248="SUPORTE",R248="PERDA / FECHOU LOJA"),"SEM",A248+VLOOKUP(R248,REGRAS!$B$2:$C$13,2,FALSE())))</f>
        <v/>
      </c>
      <c r="U248" s="58">
        <f>IF(R248="","",IF(R248="VENDA / PEDIDO","RECOMPRA",IF(R248="SUPORTE","PÓS-VENDA",IF(R248="RELACIONAMENTO","CS",IF(OR(R248="NÃO ATENDE",R248="NÃO RESPONDE",R248="RECUSOU LIGAÇÃO"),"REATIVAÇÃO",IF(R248="PERDA / FECHOU LOJA","NUTRIÇÃO",IF(OR(R248="FOLLOW UP 7",R248="FOLLOW UP 15"),"SALVAMENTO","PROSPECÇÃO")))))))</f>
        <v/>
      </c>
      <c r="V248" s="58" t="n"/>
      <c r="W248" s="58" t="inlineStr">
        <is>
          <t>NÃO</t>
        </is>
      </c>
      <c r="X248" s="58" t="n"/>
    </row>
    <row r="249">
      <c r="A249" s="71" t="n">
        <v>46060</v>
      </c>
      <c r="B249" s="58" t="inlineStr">
        <is>
          <t>MANU DITZEL</t>
        </is>
      </c>
      <c r="C249" s="58" t="inlineStr">
        <is>
          <t>VIDA SAUDÁVEL 94</t>
        </is>
      </c>
      <c r="D249" s="58" t="inlineStr">
        <is>
          <t>19.119.969/8310-90</t>
        </is>
      </c>
      <c r="E249" s="58" t="inlineStr">
        <is>
          <t>PR</t>
        </is>
      </c>
      <c r="F249" s="58" t="inlineStr">
        <is>
          <t>VIDA LEVE</t>
        </is>
      </c>
      <c r="G249" s="58" t="inlineStr">
        <is>
          <t>EM RISCO</t>
        </is>
      </c>
      <c r="H249" s="58" t="n">
        <v>60</v>
      </c>
      <c r="I249" s="58">
        <f>IF(R249="","",VLOOKUP(R249,REGRAS!$B$2:$D$13,3,FALSE()))</f>
        <v/>
      </c>
      <c r="J249" s="58" t="n"/>
      <c r="K249" s="58">
        <f>IF(R249="","",IF(R249="VENDA / PEDIDO","RECOMPRA",IF(R249="SUPORTE","PÓS-VENDA",IF(OR(R249="FOLLOW UP 7",R249="FOLLOW UP 15"),"SALVAMENTO",IF(R249="PERDA / FECHOU LOJA","NUTRIÇÃO",IF(R249="RELACIONAMENTO","CS",IF(OR(R249="ORÇAMENTO",R249="CADASTRO"),"PROSPECÇÃO",IF(R249="EM ATENDIMENTO","EM ATENDIMENTO",IF(OR(R249="NÃO ATENDE",R249="NÃO RESPONDE",R249="RECUSOU LIGAÇÃO"),"RECUPERAÇÃO","")))))))))</f>
        <v/>
      </c>
      <c r="L249" s="58">
        <f>IF(H249="","",IF(G249="PROSPECT","🟣",IF(G249="LEAD","🟣",IF(G249="NOVO","🟢",IF(H249&lt;=50,"🟢",IF(H249&lt;=90,"🟡","🔴"))))))</f>
        <v/>
      </c>
      <c r="M249" s="58" t="n"/>
      <c r="N249" s="58" t="inlineStr">
        <is>
          <t>SIM</t>
        </is>
      </c>
      <c r="O249" s="58" t="inlineStr">
        <is>
          <t>NÃO</t>
        </is>
      </c>
      <c r="P249" s="58" t="inlineStr">
        <is>
          <t>N/A</t>
        </is>
      </c>
      <c r="Q249" s="58" t="inlineStr">
        <is>
          <t>NEGOCIAÇÃO</t>
        </is>
      </c>
      <c r="R249" s="58" t="inlineStr">
        <is>
          <t>EM ATENDIMENTO</t>
        </is>
      </c>
      <c r="S249" s="58" t="n"/>
      <c r="T249" s="71">
        <f>IF(R249="","",IF(OR(R249="SUPORTE",R249="PERDA / FECHOU LOJA"),"SEM",A249+VLOOKUP(R249,REGRAS!$B$2:$C$13,2,FALSE())))</f>
        <v/>
      </c>
      <c r="U249" s="58">
        <f>IF(R249="","",IF(R249="VENDA / PEDIDO","RECOMPRA",IF(R249="SUPORTE","PÓS-VENDA",IF(R249="RELACIONAMENTO","CS",IF(OR(R249="NÃO ATENDE",R249="NÃO RESPONDE",R249="RECUSOU LIGAÇÃO"),"REATIVAÇÃO",IF(R249="PERDA / FECHOU LOJA","NUTRIÇÃO",IF(OR(R249="FOLLOW UP 7",R249="FOLLOW UP 15"),"SALVAMENTO","PROSPECÇÃO")))))))</f>
        <v/>
      </c>
      <c r="V249" s="58" t="n"/>
      <c r="W249" s="58" t="inlineStr">
        <is>
          <t>SIM</t>
        </is>
      </c>
      <c r="X249" s="58" t="n"/>
    </row>
    <row r="250">
      <c r="A250" s="71" t="n">
        <v>46074</v>
      </c>
      <c r="B250" s="58" t="inlineStr">
        <is>
          <t>DAIANE STAVICKI</t>
        </is>
      </c>
      <c r="C250" s="58" t="inlineStr">
        <is>
          <t>GRANEL &amp; CIA 51</t>
        </is>
      </c>
      <c r="D250" s="58" t="inlineStr">
        <is>
          <t>38.890.703/4768-27</t>
        </is>
      </c>
      <c r="E250" s="58" t="inlineStr">
        <is>
          <t>RS</t>
        </is>
      </c>
      <c r="F250" s="58" t="inlineStr">
        <is>
          <t>DIVINA TERRA</t>
        </is>
      </c>
      <c r="G250" s="58" t="inlineStr">
        <is>
          <t>EM RISCO</t>
        </is>
      </c>
      <c r="H250" s="58" t="n">
        <v>59</v>
      </c>
      <c r="I250" s="58">
        <f>IF(R250="","",VLOOKUP(R250,REGRAS!$B$2:$D$13,3,FALSE()))</f>
        <v/>
      </c>
      <c r="J250" s="58" t="n"/>
      <c r="K250" s="58">
        <f>IF(R250="","",IF(R250="VENDA / PEDIDO","RECOMPRA",IF(R250="SUPORTE","PÓS-VENDA",IF(OR(R250="FOLLOW UP 7",R250="FOLLOW UP 15"),"SALVAMENTO",IF(R250="PERDA / FECHOU LOJA","NUTRIÇÃO",IF(R250="RELACIONAMENTO","CS",IF(OR(R250="ORÇAMENTO",R250="CADASTRO"),"PROSPECÇÃO",IF(R250="EM ATENDIMENTO","EM ATENDIMENTO",IF(OR(R250="NÃO ATENDE",R250="NÃO RESPONDE",R250="RECUSOU LIGAÇÃO"),"RECUPERAÇÃO","")))))))))</f>
        <v/>
      </c>
      <c r="L250" s="58">
        <f>IF(H250="","",IF(G250="PROSPECT","🟣",IF(G250="LEAD","🟣",IF(G250="NOVO","🟢",IF(H250&lt;=50,"🟢",IF(H250&lt;=90,"🟡","🔴"))))))</f>
        <v/>
      </c>
      <c r="M250" s="58" t="n"/>
      <c r="N250" s="58" t="inlineStr">
        <is>
          <t>NÃO</t>
        </is>
      </c>
      <c r="O250" s="58" t="inlineStr">
        <is>
          <t>NÃO</t>
        </is>
      </c>
      <c r="P250" s="58" t="inlineStr">
        <is>
          <t>N/A</t>
        </is>
      </c>
      <c r="Q250" s="58" t="inlineStr">
        <is>
          <t>PROSPECÇÃO</t>
        </is>
      </c>
      <c r="R250" s="58" t="inlineStr">
        <is>
          <t>EM ATENDIMENTO</t>
        </is>
      </c>
      <c r="S250" s="58" t="n"/>
      <c r="T250" s="71">
        <f>IF(R250="","",IF(OR(R250="SUPORTE",R250="PERDA / FECHOU LOJA"),"SEM",A250+VLOOKUP(R250,REGRAS!$B$2:$C$13,2,FALSE())))</f>
        <v/>
      </c>
      <c r="U250" s="58">
        <f>IF(R250="","",IF(R250="VENDA / PEDIDO","RECOMPRA",IF(R250="SUPORTE","PÓS-VENDA",IF(R250="RELACIONAMENTO","CS",IF(OR(R250="NÃO ATENDE",R250="NÃO RESPONDE",R250="RECUSOU LIGAÇÃO"),"REATIVAÇÃO",IF(R250="PERDA / FECHOU LOJA","NUTRIÇÃO",IF(OR(R250="FOLLOW UP 7",R250="FOLLOW UP 15"),"SALVAMENTO","PROSPECÇÃO")))))))</f>
        <v/>
      </c>
      <c r="V250" s="58" t="n"/>
      <c r="W250" s="58" t="inlineStr">
        <is>
          <t>NÃO</t>
        </is>
      </c>
      <c r="X250" s="58" t="n"/>
    </row>
    <row r="251">
      <c r="A251" s="71" t="n">
        <v>46078</v>
      </c>
      <c r="B251" s="58" t="inlineStr">
        <is>
          <t>LARISSA PADILHA</t>
        </is>
      </c>
      <c r="C251" s="58" t="inlineStr">
        <is>
          <t>EMPÓRIO BIO 21</t>
        </is>
      </c>
      <c r="D251" s="58" t="inlineStr">
        <is>
          <t>32.679.679/2396-71</t>
        </is>
      </c>
      <c r="E251" s="58" t="inlineStr">
        <is>
          <t>GO</t>
        </is>
      </c>
      <c r="F251" s="58" t="inlineStr">
        <is>
          <t>MUNDO VERDE</t>
        </is>
      </c>
      <c r="G251" s="58" t="inlineStr">
        <is>
          <t>INAT.ANT</t>
        </is>
      </c>
      <c r="H251" s="58" t="n">
        <v>150</v>
      </c>
      <c r="I251" s="58">
        <f>IF(R251="","",VLOOKUP(R251,REGRAS!$B$2:$D$13,3,FALSE()))</f>
        <v/>
      </c>
      <c r="J251" s="58" t="n"/>
      <c r="K251" s="58">
        <f>IF(R251="","",IF(R251="VENDA / PEDIDO","RECOMPRA",IF(R251="SUPORTE","PÓS-VENDA",IF(OR(R251="FOLLOW UP 7",R251="FOLLOW UP 15"),"SALVAMENTO",IF(R251="PERDA / FECHOU LOJA","NUTRIÇÃO",IF(R251="RELACIONAMENTO","CS",IF(OR(R251="ORÇAMENTO",R251="CADASTRO"),"PROSPECÇÃO",IF(R251="EM ATENDIMENTO","EM ATENDIMENTO",IF(OR(R251="NÃO ATENDE",R251="NÃO RESPONDE",R251="RECUSOU LIGAÇÃO"),"RECUPERAÇÃO","")))))))))</f>
        <v/>
      </c>
      <c r="L251" s="58">
        <f>IF(H251="","",IF(G251="PROSPECT","🟣",IF(G251="LEAD","🟣",IF(G251="NOVO","🟢",IF(H251&lt;=50,"🟢",IF(H251&lt;=90,"🟡","🔴"))))))</f>
        <v/>
      </c>
      <c r="M251" s="58" t="n"/>
      <c r="N251" s="58" t="inlineStr">
        <is>
          <t>SIM</t>
        </is>
      </c>
      <c r="O251" s="58" t="inlineStr">
        <is>
          <t>SIM</t>
        </is>
      </c>
      <c r="P251" s="58" t="inlineStr">
        <is>
          <t>NÃO</t>
        </is>
      </c>
      <c r="Q251" s="58" t="inlineStr">
        <is>
          <t>PROSPECÇÃO</t>
        </is>
      </c>
      <c r="R251" s="58" t="inlineStr">
        <is>
          <t>CADASTRO</t>
        </is>
      </c>
      <c r="S251" s="58" t="n"/>
      <c r="T251" s="71">
        <f>IF(R251="","",IF(OR(R251="SUPORTE",R251="PERDA / FECHOU LOJA"),"SEM",A251+VLOOKUP(R251,REGRAS!$B$2:$C$13,2,FALSE())))</f>
        <v/>
      </c>
      <c r="U251" s="58">
        <f>IF(R251="","",IF(R251="VENDA / PEDIDO","RECOMPRA",IF(R251="SUPORTE","PÓS-VENDA",IF(R251="RELACIONAMENTO","CS",IF(OR(R251="NÃO ATENDE",R251="NÃO RESPONDE",R251="RECUSOU LIGAÇÃO"),"REATIVAÇÃO",IF(R251="PERDA / FECHOU LOJA","NUTRIÇÃO",IF(OR(R251="FOLLOW UP 7",R251="FOLLOW UP 15"),"SALVAMENTO","PROSPECÇÃO")))))))</f>
        <v/>
      </c>
      <c r="V251" s="58" t="n"/>
      <c r="W251" s="58" t="inlineStr">
        <is>
          <t>SIM</t>
        </is>
      </c>
      <c r="X251" s="58" t="n"/>
    </row>
    <row r="252">
      <c r="A252" s="71" t="n">
        <v>46069</v>
      </c>
      <c r="B252" s="58" t="inlineStr">
        <is>
          <t>DAIANE STAVICKI</t>
        </is>
      </c>
      <c r="C252" s="58" t="inlineStr">
        <is>
          <t>MUNDO VERDE CWB 06</t>
        </is>
      </c>
      <c r="D252" s="58" t="inlineStr">
        <is>
          <t>93.431.205/8543-91</t>
        </is>
      </c>
      <c r="E252" s="58" t="inlineStr">
        <is>
          <t>MG</t>
        </is>
      </c>
      <c r="F252" s="58" t="inlineStr">
        <is>
          <t>DEMAIS CLIENTES</t>
        </is>
      </c>
      <c r="G252" s="58" t="inlineStr">
        <is>
          <t>ATIVO</t>
        </is>
      </c>
      <c r="H252" s="58" t="n">
        <v>39</v>
      </c>
      <c r="I252" s="58">
        <f>IF(R252="","",VLOOKUP(R252,REGRAS!$B$2:$D$13,3,FALSE()))</f>
        <v/>
      </c>
      <c r="J252" s="58" t="n"/>
      <c r="K252" s="58">
        <f>IF(R252="","",IF(R252="VENDA / PEDIDO","RECOMPRA",IF(R252="SUPORTE","PÓS-VENDA",IF(OR(R252="FOLLOW UP 7",R252="FOLLOW UP 15"),"SALVAMENTO",IF(R252="PERDA / FECHOU LOJA","NUTRIÇÃO",IF(R252="RELACIONAMENTO","CS",IF(OR(R252="ORÇAMENTO",R252="CADASTRO"),"PROSPECÇÃO",IF(R252="EM ATENDIMENTO","EM ATENDIMENTO",IF(OR(R252="NÃO ATENDE",R252="NÃO RESPONDE",R252="RECUSOU LIGAÇÃO"),"RECUPERAÇÃO","")))))))))</f>
        <v/>
      </c>
      <c r="L252" s="58">
        <f>IF(H252="","",IF(G252="PROSPECT","🟣",IF(G252="LEAD","🟣",IF(G252="NOVO","🟢",IF(H252&lt;=50,"🟢",IF(H252&lt;=90,"🟡","🔴"))))))</f>
        <v/>
      </c>
      <c r="M252" s="58" t="n"/>
      <c r="N252" s="58" t="inlineStr">
        <is>
          <t>SIM</t>
        </is>
      </c>
      <c r="O252" s="58" t="inlineStr">
        <is>
          <t>NÃO</t>
        </is>
      </c>
      <c r="P252" s="58" t="inlineStr">
        <is>
          <t>N/A</t>
        </is>
      </c>
      <c r="Q252" s="58" t="inlineStr">
        <is>
          <t>ATEND. CLIENTES ATIVOS</t>
        </is>
      </c>
      <c r="R252" s="58" t="inlineStr">
        <is>
          <t>RELACIONAMENTO</t>
        </is>
      </c>
      <c r="S252" s="58" t="n"/>
      <c r="T252" s="71">
        <f>IF(R252="","",IF(OR(R252="SUPORTE",R252="PERDA / FECHOU LOJA"),"SEM",A252+VLOOKUP(R252,REGRAS!$B$2:$C$13,2,FALSE())))</f>
        <v/>
      </c>
      <c r="U252" s="58">
        <f>IF(R252="","",IF(R252="VENDA / PEDIDO","RECOMPRA",IF(R252="SUPORTE","PÓS-VENDA",IF(R252="RELACIONAMENTO","CS",IF(OR(R252="NÃO ATENDE",R252="NÃO RESPONDE",R252="RECUSOU LIGAÇÃO"),"REATIVAÇÃO",IF(R252="PERDA / FECHOU LOJA","NUTRIÇÃO",IF(OR(R252="FOLLOW UP 7",R252="FOLLOW UP 15"),"SALVAMENTO","PROSPECÇÃO")))))))</f>
        <v/>
      </c>
      <c r="V252" s="58" t="n"/>
      <c r="W252" s="58" t="inlineStr">
        <is>
          <t>NÃO</t>
        </is>
      </c>
      <c r="X252" s="58" t="n"/>
    </row>
    <row r="253">
      <c r="A253" s="71" t="n">
        <v>46056</v>
      </c>
      <c r="B253" s="58" t="inlineStr">
        <is>
          <t>LARISSA PADILHA</t>
        </is>
      </c>
      <c r="C253" s="58" t="inlineStr">
        <is>
          <t>VIDA LEVE PR 29</t>
        </is>
      </c>
      <c r="D253" s="58" t="inlineStr">
        <is>
          <t>76.515.461/5654-72</t>
        </is>
      </c>
      <c r="E253" s="58" t="inlineStr">
        <is>
          <t>MG</t>
        </is>
      </c>
      <c r="F253" s="58" t="inlineStr">
        <is>
          <t>DEMAIS CLIENTES</t>
        </is>
      </c>
      <c r="G253" s="58" t="inlineStr">
        <is>
          <t>ATIVO</t>
        </is>
      </c>
      <c r="H253" s="58" t="n">
        <v>13</v>
      </c>
      <c r="I253" s="58">
        <f>IF(R253="","",VLOOKUP(R253,REGRAS!$B$2:$D$13,3,FALSE()))</f>
        <v/>
      </c>
      <c r="J253" s="58" t="n"/>
      <c r="K253" s="58">
        <f>IF(R253="","",IF(R253="VENDA / PEDIDO","RECOMPRA",IF(R253="SUPORTE","PÓS-VENDA",IF(OR(R253="FOLLOW UP 7",R253="FOLLOW UP 15"),"SALVAMENTO",IF(R253="PERDA / FECHOU LOJA","NUTRIÇÃO",IF(R253="RELACIONAMENTO","CS",IF(OR(R253="ORÇAMENTO",R253="CADASTRO"),"PROSPECÇÃO",IF(R253="EM ATENDIMENTO","EM ATENDIMENTO",IF(OR(R253="NÃO ATENDE",R253="NÃO RESPONDE",R253="RECUSOU LIGAÇÃO"),"RECUPERAÇÃO","")))))))))</f>
        <v/>
      </c>
      <c r="L253" s="58">
        <f>IF(H253="","",IF(G253="PROSPECT","🟣",IF(G253="LEAD","🟣",IF(G253="NOVO","🟢",IF(H253&lt;=50,"🟢",IF(H253&lt;=90,"🟡","🔴"))))))</f>
        <v/>
      </c>
      <c r="M253" s="58" t="n"/>
      <c r="N253" s="58" t="inlineStr">
        <is>
          <t>SIM</t>
        </is>
      </c>
      <c r="O253" s="58" t="inlineStr">
        <is>
          <t>SIM</t>
        </is>
      </c>
      <c r="P253" s="58" t="inlineStr">
        <is>
          <t>SIM</t>
        </is>
      </c>
      <c r="Q253" s="58" t="inlineStr">
        <is>
          <t>ATEND. CLIENTES ATIVOS</t>
        </is>
      </c>
      <c r="R253" s="58" t="inlineStr">
        <is>
          <t>ORÇAMENTO</t>
        </is>
      </c>
      <c r="S253" s="58" t="n"/>
      <c r="T253" s="71">
        <f>IF(R253="","",IF(OR(R253="SUPORTE",R253="PERDA / FECHOU LOJA"),"SEM",A253+VLOOKUP(R253,REGRAS!$B$2:$C$13,2,FALSE())))</f>
        <v/>
      </c>
      <c r="U253" s="58">
        <f>IF(R253="","",IF(R253="VENDA / PEDIDO","RECOMPRA",IF(R253="SUPORTE","PÓS-VENDA",IF(R253="RELACIONAMENTO","CS",IF(OR(R253="NÃO ATENDE",R253="NÃO RESPONDE",R253="RECUSOU LIGAÇÃO"),"REATIVAÇÃO",IF(R253="PERDA / FECHOU LOJA","NUTRIÇÃO",IF(OR(R253="FOLLOW UP 7",R253="FOLLOW UP 15"),"SALVAMENTO","PROSPECÇÃO")))))))</f>
        <v/>
      </c>
      <c r="V253" s="58" t="n"/>
      <c r="W253" s="58" t="inlineStr">
        <is>
          <t>SIM</t>
        </is>
      </c>
      <c r="X253" s="58" t="n"/>
    </row>
    <row r="254">
      <c r="A254" s="71" t="n">
        <v>46073</v>
      </c>
      <c r="B254" s="58" t="inlineStr">
        <is>
          <t>JULIO GADRET</t>
        </is>
      </c>
      <c r="C254" s="58" t="inlineStr">
        <is>
          <t>CASA DO GRANEL 85</t>
        </is>
      </c>
      <c r="D254" s="58" t="inlineStr">
        <is>
          <t>39.524.930/5411-24</t>
        </is>
      </c>
      <c r="E254" s="58" t="inlineStr">
        <is>
          <t>RS</t>
        </is>
      </c>
      <c r="F254" s="58" t="inlineStr">
        <is>
          <t>DIVINA TERRA</t>
        </is>
      </c>
      <c r="G254" s="58" t="inlineStr">
        <is>
          <t>ATIVO</t>
        </is>
      </c>
      <c r="H254" s="58" t="n">
        <v>15</v>
      </c>
      <c r="I254" s="58">
        <f>IF(R254="","",VLOOKUP(R254,REGRAS!$B$2:$D$13,3,FALSE()))</f>
        <v/>
      </c>
      <c r="J254" s="58" t="n"/>
      <c r="K254" s="58">
        <f>IF(R254="","",IF(R254="VENDA / PEDIDO","RECOMPRA",IF(R254="SUPORTE","PÓS-VENDA",IF(OR(R254="FOLLOW UP 7",R254="FOLLOW UP 15"),"SALVAMENTO",IF(R254="PERDA / FECHOU LOJA","NUTRIÇÃO",IF(R254="RELACIONAMENTO","CS",IF(OR(R254="ORÇAMENTO",R254="CADASTRO"),"PROSPECÇÃO",IF(R254="EM ATENDIMENTO","EM ATENDIMENTO",IF(OR(R254="NÃO ATENDE",R254="NÃO RESPONDE",R254="RECUSOU LIGAÇÃO"),"RECUPERAÇÃO","")))))))))</f>
        <v/>
      </c>
      <c r="L254" s="58">
        <f>IF(H254="","",IF(G254="PROSPECT","🟣",IF(G254="LEAD","🟣",IF(G254="NOVO","🟢",IF(H254&lt;=50,"🟢",IF(H254&lt;=90,"🟡","🔴"))))))</f>
        <v/>
      </c>
      <c r="M254" s="58" t="n"/>
      <c r="N254" s="58" t="inlineStr">
        <is>
          <t>SIM</t>
        </is>
      </c>
      <c r="O254" s="58" t="inlineStr">
        <is>
          <t>SIM</t>
        </is>
      </c>
      <c r="P254" s="58" t="inlineStr">
        <is>
          <t>NÃO</t>
        </is>
      </c>
      <c r="Q254" s="58" t="inlineStr">
        <is>
          <t>ATEND. CLIENTES INATIVOS</t>
        </is>
      </c>
      <c r="R254" s="58" t="inlineStr">
        <is>
          <t>NÃO RESPONDE</t>
        </is>
      </c>
      <c r="S254" s="58" t="inlineStr">
        <is>
          <t>AINDA TEM ESTOQUE</t>
        </is>
      </c>
      <c r="T254" s="71">
        <f>IF(R254="","",IF(OR(R254="SUPORTE",R254="PERDA / FECHOU LOJA"),"SEM",A254+VLOOKUP(R254,REGRAS!$B$2:$C$13,2,FALSE())))</f>
        <v/>
      </c>
      <c r="U254" s="58">
        <f>IF(R254="","",IF(R254="VENDA / PEDIDO","RECOMPRA",IF(R254="SUPORTE","PÓS-VENDA",IF(R254="RELACIONAMENTO","CS",IF(OR(R254="NÃO ATENDE",R254="NÃO RESPONDE",R254="RECUSOU LIGAÇÃO"),"REATIVAÇÃO",IF(R254="PERDA / FECHOU LOJA","NUTRIÇÃO",IF(OR(R254="FOLLOW UP 7",R254="FOLLOW UP 15"),"SALVAMENTO","PROSPECÇÃO")))))))</f>
        <v/>
      </c>
      <c r="V254" s="58" t="n"/>
      <c r="W254" s="58" t="inlineStr">
        <is>
          <t>SIM</t>
        </is>
      </c>
      <c r="X254" s="58" t="n"/>
    </row>
    <row r="255">
      <c r="A255" s="71" t="n">
        <v>46072</v>
      </c>
      <c r="B255" s="58" t="inlineStr">
        <is>
          <t>MANU DITZEL</t>
        </is>
      </c>
      <c r="C255" s="58" t="inlineStr">
        <is>
          <t>BEM ESTAR 34</t>
        </is>
      </c>
      <c r="D255" s="58" t="inlineStr">
        <is>
          <t>33.629.515/9820-82</t>
        </is>
      </c>
      <c r="E255" s="58" t="inlineStr">
        <is>
          <t>SP</t>
        </is>
      </c>
      <c r="F255" s="58" t="inlineStr">
        <is>
          <t>DEMAIS CLIENTES</t>
        </is>
      </c>
      <c r="G255" s="58" t="inlineStr">
        <is>
          <t>INAT.ANT</t>
        </is>
      </c>
      <c r="H255" s="58" t="n">
        <v>163</v>
      </c>
      <c r="I255" s="58">
        <f>IF(R255="","",VLOOKUP(R255,REGRAS!$B$2:$D$13,3,FALSE()))</f>
        <v/>
      </c>
      <c r="J255" s="58" t="n"/>
      <c r="K255" s="58">
        <f>IF(R255="","",IF(R255="VENDA / PEDIDO","RECOMPRA",IF(R255="SUPORTE","PÓS-VENDA",IF(OR(R255="FOLLOW UP 7",R255="FOLLOW UP 15"),"SALVAMENTO",IF(R255="PERDA / FECHOU LOJA","NUTRIÇÃO",IF(R255="RELACIONAMENTO","CS",IF(OR(R255="ORÇAMENTO",R255="CADASTRO"),"PROSPECÇÃO",IF(R255="EM ATENDIMENTO","EM ATENDIMENTO",IF(OR(R255="NÃO ATENDE",R255="NÃO RESPONDE",R255="RECUSOU LIGAÇÃO"),"RECUPERAÇÃO","")))))))))</f>
        <v/>
      </c>
      <c r="L255" s="58">
        <f>IF(H255="","",IF(G255="PROSPECT","🟣",IF(G255="LEAD","🟣",IF(G255="NOVO","🟢",IF(H255&lt;=50,"🟢",IF(H255&lt;=90,"🟡","🔴"))))))</f>
        <v/>
      </c>
      <c r="M255" s="58" t="n"/>
      <c r="N255" s="58" t="inlineStr">
        <is>
          <t>SIM</t>
        </is>
      </c>
      <c r="O255" s="58" t="inlineStr">
        <is>
          <t>NÃO</t>
        </is>
      </c>
      <c r="P255" s="58" t="inlineStr">
        <is>
          <t>N/A</t>
        </is>
      </c>
      <c r="Q255" s="58" t="inlineStr">
        <is>
          <t>PERDA / NUTRIÇÃO</t>
        </is>
      </c>
      <c r="R255" s="58" t="inlineStr">
        <is>
          <t>PERDA / FECHOU LOJA</t>
        </is>
      </c>
      <c r="S255" s="58" t="inlineStr">
        <is>
          <t>SÓ QUER COMPRAR GRANEL</t>
        </is>
      </c>
      <c r="T255" s="71">
        <f>IF(R255="","",IF(OR(R255="SUPORTE",R255="PERDA / FECHOU LOJA"),"SEM",A255+VLOOKUP(R255,REGRAS!$B$2:$C$13,2,FALSE())))</f>
        <v/>
      </c>
      <c r="U255" s="58">
        <f>IF(R255="","",IF(R255="VENDA / PEDIDO","RECOMPRA",IF(R255="SUPORTE","PÓS-VENDA",IF(R255="RELACIONAMENTO","CS",IF(OR(R255="NÃO ATENDE",R255="NÃO RESPONDE",R255="RECUSOU LIGAÇÃO"),"REATIVAÇÃO",IF(R255="PERDA / FECHOU LOJA","NUTRIÇÃO",IF(OR(R255="FOLLOW UP 7",R255="FOLLOW UP 15"),"SALVAMENTO","PROSPECÇÃO")))))))</f>
        <v/>
      </c>
      <c r="V255" s="58" t="n"/>
      <c r="W255" s="58" t="inlineStr">
        <is>
          <t>SIM</t>
        </is>
      </c>
      <c r="X255" s="58" t="n"/>
    </row>
    <row r="256">
      <c r="A256" s="71" t="n">
        <v>46067</v>
      </c>
      <c r="B256" s="58" t="inlineStr">
        <is>
          <t>JULIO GADRET</t>
        </is>
      </c>
      <c r="C256" s="58" t="inlineStr">
        <is>
          <t>VERDE ESSENCE 99</t>
        </is>
      </c>
      <c r="D256" s="58" t="inlineStr">
        <is>
          <t>33.738.775/8370-43</t>
        </is>
      </c>
      <c r="E256" s="58" t="inlineStr">
        <is>
          <t>PR</t>
        </is>
      </c>
      <c r="F256" s="58" t="inlineStr">
        <is>
          <t>TUDO EM GRAOS</t>
        </is>
      </c>
      <c r="G256" s="58" t="inlineStr">
        <is>
          <t>PROSPECT</t>
        </is>
      </c>
      <c r="H256" s="58" t="n"/>
      <c r="I256" s="58">
        <f>IF(R256="","",VLOOKUP(R256,REGRAS!$B$2:$D$13,3,FALSE()))</f>
        <v/>
      </c>
      <c r="J256" s="58" t="n"/>
      <c r="K256" s="58">
        <f>IF(R256="","",IF(R256="VENDA / PEDIDO","RECOMPRA",IF(R256="SUPORTE","PÓS-VENDA",IF(OR(R256="FOLLOW UP 7",R256="FOLLOW UP 15"),"SALVAMENTO",IF(R256="PERDA / FECHOU LOJA","NUTRIÇÃO",IF(R256="RELACIONAMENTO","CS",IF(OR(R256="ORÇAMENTO",R256="CADASTRO"),"PROSPECÇÃO",IF(R256="EM ATENDIMENTO","EM ATENDIMENTO",IF(OR(R256="NÃO ATENDE",R256="NÃO RESPONDE",R256="RECUSOU LIGAÇÃO"),"RECUPERAÇÃO","")))))))))</f>
        <v/>
      </c>
      <c r="L256" s="58">
        <f>IF(H256="","",IF(G256="PROSPECT","🟣",IF(G256="LEAD","🟣",IF(G256="NOVO","🟢",IF(H256&lt;=50,"🟢",IF(H256&lt;=90,"🟡","🔴"))))))</f>
        <v/>
      </c>
      <c r="M256" s="58" t="n"/>
      <c r="N256" s="58" t="inlineStr">
        <is>
          <t>SIM</t>
        </is>
      </c>
      <c r="O256" s="58" t="inlineStr">
        <is>
          <t>SIM</t>
        </is>
      </c>
      <c r="P256" s="58" t="inlineStr">
        <is>
          <t>SIM</t>
        </is>
      </c>
      <c r="Q256" s="58" t="inlineStr">
        <is>
          <t>ATEND. CLIENTES ATIVOS</t>
        </is>
      </c>
      <c r="R256" s="58" t="inlineStr">
        <is>
          <t>VENDA / PEDIDO</t>
        </is>
      </c>
      <c r="S256" s="58" t="n"/>
      <c r="T256" s="71">
        <f>IF(R256="","",IF(OR(R256="SUPORTE",R256="PERDA / FECHOU LOJA"),"SEM",A256+VLOOKUP(R256,REGRAS!$B$2:$C$13,2,FALSE())))</f>
        <v/>
      </c>
      <c r="U256" s="58">
        <f>IF(R256="","",IF(R256="VENDA / PEDIDO","RECOMPRA",IF(R256="SUPORTE","PÓS-VENDA",IF(R256="RELACIONAMENTO","CS",IF(OR(R256="NÃO ATENDE",R256="NÃO RESPONDE",R256="RECUSOU LIGAÇÃO"),"REATIVAÇÃO",IF(R256="PERDA / FECHOU LOJA","NUTRIÇÃO",IF(OR(R256="FOLLOW UP 7",R256="FOLLOW UP 15"),"SALVAMENTO","PROSPECÇÃO")))))))</f>
        <v/>
      </c>
      <c r="V256" s="58" t="n"/>
      <c r="W256" s="58" t="inlineStr">
        <is>
          <t>SIM</t>
        </is>
      </c>
      <c r="X256" s="58" t="n"/>
    </row>
    <row r="257">
      <c r="A257" s="71" t="n">
        <v>46070</v>
      </c>
      <c r="B257" s="58" t="inlineStr">
        <is>
          <t>JULIO GADRET</t>
        </is>
      </c>
      <c r="C257" s="58" t="inlineStr">
        <is>
          <t>SABOR NATURAL 78</t>
        </is>
      </c>
      <c r="D257" s="58" t="inlineStr">
        <is>
          <t>22.281.587/9828-14</t>
        </is>
      </c>
      <c r="E257" s="58" t="inlineStr">
        <is>
          <t>BA</t>
        </is>
      </c>
      <c r="F257" s="58" t="inlineStr">
        <is>
          <t>VIDA LEVE</t>
        </is>
      </c>
      <c r="G257" s="58" t="inlineStr">
        <is>
          <t>INAT.ANT</t>
        </is>
      </c>
      <c r="H257" s="58" t="n">
        <v>114</v>
      </c>
      <c r="I257" s="58">
        <f>IF(R257="","",VLOOKUP(R257,REGRAS!$B$2:$D$13,3,FALSE()))</f>
        <v/>
      </c>
      <c r="J257" s="58" t="n"/>
      <c r="K257" s="58">
        <f>IF(R257="","",IF(R257="VENDA / PEDIDO","RECOMPRA",IF(R257="SUPORTE","PÓS-VENDA",IF(OR(R257="FOLLOW UP 7",R257="FOLLOW UP 15"),"SALVAMENTO",IF(R257="PERDA / FECHOU LOJA","NUTRIÇÃO",IF(R257="RELACIONAMENTO","CS",IF(OR(R257="ORÇAMENTO",R257="CADASTRO"),"PROSPECÇÃO",IF(R257="EM ATENDIMENTO","EM ATENDIMENTO",IF(OR(R257="NÃO ATENDE",R257="NÃO RESPONDE",R257="RECUSOU LIGAÇÃO"),"RECUPERAÇÃO","")))))))))</f>
        <v/>
      </c>
      <c r="L257" s="58">
        <f>IF(H257="","",IF(G257="PROSPECT","🟣",IF(G257="LEAD","🟣",IF(G257="NOVO","🟢",IF(H257&lt;=50,"🟢",IF(H257&lt;=90,"🟡","🔴"))))))</f>
        <v/>
      </c>
      <c r="M257" s="58" t="n"/>
      <c r="N257" s="58" t="inlineStr">
        <is>
          <t>SIM</t>
        </is>
      </c>
      <c r="O257" s="58" t="inlineStr">
        <is>
          <t>NÃO</t>
        </is>
      </c>
      <c r="P257" s="58" t="inlineStr">
        <is>
          <t>N/A</t>
        </is>
      </c>
      <c r="Q257" s="58" t="inlineStr">
        <is>
          <t>ATEND. CLIENTES ATIVOS</t>
        </is>
      </c>
      <c r="R257" s="58" t="inlineStr">
        <is>
          <t>VENDA / PEDIDO</t>
        </is>
      </c>
      <c r="S257" s="58" t="n"/>
      <c r="T257" s="71">
        <f>IF(R257="","",IF(OR(R257="SUPORTE",R257="PERDA / FECHOU LOJA"),"SEM",A257+VLOOKUP(R257,REGRAS!$B$2:$C$13,2,FALSE())))</f>
        <v/>
      </c>
      <c r="U257" s="58">
        <f>IF(R257="","",IF(R257="VENDA / PEDIDO","RECOMPRA",IF(R257="SUPORTE","PÓS-VENDA",IF(R257="RELACIONAMENTO","CS",IF(OR(R257="NÃO ATENDE",R257="NÃO RESPONDE",R257="RECUSOU LIGAÇÃO"),"REATIVAÇÃO",IF(R257="PERDA / FECHOU LOJA","NUTRIÇÃO",IF(OR(R257="FOLLOW UP 7",R257="FOLLOW UP 15"),"SALVAMENTO","PROSPECÇÃO")))))))</f>
        <v/>
      </c>
      <c r="V257" s="58" t="n"/>
      <c r="W257" s="58" t="inlineStr">
        <is>
          <t>NÃO</t>
        </is>
      </c>
      <c r="X257" s="58" t="n"/>
    </row>
    <row r="258">
      <c r="A258" s="71" t="n">
        <v>46078</v>
      </c>
      <c r="B258" s="58" t="inlineStr">
        <is>
          <t>JULIO GADRET</t>
        </is>
      </c>
      <c r="C258" s="58" t="inlineStr">
        <is>
          <t>SAUDE NA MESA 67</t>
        </is>
      </c>
      <c r="D258" s="58" t="inlineStr">
        <is>
          <t>63.479.995/0712-99</t>
        </is>
      </c>
      <c r="E258" s="58" t="inlineStr">
        <is>
          <t>RS</t>
        </is>
      </c>
      <c r="F258" s="58" t="inlineStr">
        <is>
          <t>BIOMUNDO</t>
        </is>
      </c>
      <c r="G258" s="58" t="inlineStr">
        <is>
          <t>NOVO</t>
        </is>
      </c>
      <c r="H258" s="58" t="n"/>
      <c r="I258" s="58">
        <f>IF(R258="","",VLOOKUP(R258,REGRAS!$B$2:$D$13,3,FALSE()))</f>
        <v/>
      </c>
      <c r="J258" s="58" t="n"/>
      <c r="K258" s="58">
        <f>IF(R258="","",IF(R258="VENDA / PEDIDO","RECOMPRA",IF(R258="SUPORTE","PÓS-VENDA",IF(OR(R258="FOLLOW UP 7",R258="FOLLOW UP 15"),"SALVAMENTO",IF(R258="PERDA / FECHOU LOJA","NUTRIÇÃO",IF(R258="RELACIONAMENTO","CS",IF(OR(R258="ORÇAMENTO",R258="CADASTRO"),"PROSPECÇÃO",IF(R258="EM ATENDIMENTO","EM ATENDIMENTO",IF(OR(R258="NÃO ATENDE",R258="NÃO RESPONDE",R258="RECUSOU LIGAÇÃO"),"RECUPERAÇÃO","")))))))))</f>
        <v/>
      </c>
      <c r="L258" s="58">
        <f>IF(H258="","",IF(G258="PROSPECT","🟣",IF(G258="LEAD","🟣",IF(G258="NOVO","🟢",IF(H258&lt;=50,"🟢",IF(H258&lt;=90,"🟡","🔴"))))))</f>
        <v/>
      </c>
      <c r="M258" s="58" t="n"/>
      <c r="N258" s="58" t="inlineStr">
        <is>
          <t>SIM</t>
        </is>
      </c>
      <c r="O258" s="58" t="inlineStr">
        <is>
          <t>NÃO</t>
        </is>
      </c>
      <c r="P258" s="58" t="inlineStr">
        <is>
          <t>N/A</t>
        </is>
      </c>
      <c r="Q258" s="58" t="inlineStr">
        <is>
          <t>PÓS-VENDA / RELACIONAMENTO</t>
        </is>
      </c>
      <c r="R258" s="58" t="inlineStr">
        <is>
          <t>FOLLOW UP 7</t>
        </is>
      </c>
      <c r="S258" s="58" t="inlineStr">
        <is>
          <t>PROPRIETARIO / INDISPONÍVEL</t>
        </is>
      </c>
      <c r="T258" s="71">
        <f>IF(R258="","",IF(OR(R258="SUPORTE",R258="PERDA / FECHOU LOJA"),"SEM",A258+VLOOKUP(R258,REGRAS!$B$2:$C$13,2,FALSE())))</f>
        <v/>
      </c>
      <c r="U258" s="58">
        <f>IF(R258="","",IF(R258="VENDA / PEDIDO","RECOMPRA",IF(R258="SUPORTE","PÓS-VENDA",IF(R258="RELACIONAMENTO","CS",IF(OR(R258="NÃO ATENDE",R258="NÃO RESPONDE",R258="RECUSOU LIGAÇÃO"),"REATIVAÇÃO",IF(R258="PERDA / FECHOU LOJA","NUTRIÇÃO",IF(OR(R258="FOLLOW UP 7",R258="FOLLOW UP 15"),"SALVAMENTO","PROSPECÇÃO")))))))</f>
        <v/>
      </c>
      <c r="V258" s="58" t="n"/>
      <c r="W258" s="58" t="inlineStr">
        <is>
          <t>NÃO</t>
        </is>
      </c>
      <c r="X258" s="58" t="n"/>
    </row>
    <row r="259">
      <c r="A259" s="71" t="n">
        <v>46057</v>
      </c>
      <c r="B259" s="58" t="inlineStr">
        <is>
          <t>LARISSA PADILHA</t>
        </is>
      </c>
      <c r="C259" s="58" t="inlineStr">
        <is>
          <t>PONTO VERDE 62</t>
        </is>
      </c>
      <c r="D259" s="58" t="inlineStr">
        <is>
          <t>39.979.185/4642-86</t>
        </is>
      </c>
      <c r="E259" s="58" t="inlineStr">
        <is>
          <t>BA</t>
        </is>
      </c>
      <c r="F259" s="58" t="inlineStr">
        <is>
          <t>FIT LAND</t>
        </is>
      </c>
      <c r="G259" s="58" t="inlineStr">
        <is>
          <t>ATIVO</t>
        </is>
      </c>
      <c r="H259" s="58" t="n">
        <v>50</v>
      </c>
      <c r="I259" s="58">
        <f>IF(R259="","",VLOOKUP(R259,REGRAS!$B$2:$D$13,3,FALSE()))</f>
        <v/>
      </c>
      <c r="J259" s="58" t="n"/>
      <c r="K259" s="58">
        <f>IF(R259="","",IF(R259="VENDA / PEDIDO","RECOMPRA",IF(R259="SUPORTE","PÓS-VENDA",IF(OR(R259="FOLLOW UP 7",R259="FOLLOW UP 15"),"SALVAMENTO",IF(R259="PERDA / FECHOU LOJA","NUTRIÇÃO",IF(R259="RELACIONAMENTO","CS",IF(OR(R259="ORÇAMENTO",R259="CADASTRO"),"PROSPECÇÃO",IF(R259="EM ATENDIMENTO","EM ATENDIMENTO",IF(OR(R259="NÃO ATENDE",R259="NÃO RESPONDE",R259="RECUSOU LIGAÇÃO"),"RECUPERAÇÃO","")))))))))</f>
        <v/>
      </c>
      <c r="L259" s="58">
        <f>IF(H259="","",IF(G259="PROSPECT","🟣",IF(G259="LEAD","🟣",IF(G259="NOVO","🟢",IF(H259&lt;=50,"🟢",IF(H259&lt;=90,"🟡","🔴"))))))</f>
        <v/>
      </c>
      <c r="M259" s="58" t="n"/>
      <c r="N259" s="58" t="inlineStr">
        <is>
          <t>SIM</t>
        </is>
      </c>
      <c r="O259" s="58" t="inlineStr">
        <is>
          <t>NÃO</t>
        </is>
      </c>
      <c r="P259" s="58" t="inlineStr">
        <is>
          <t>N/A</t>
        </is>
      </c>
      <c r="Q259" s="58" t="inlineStr">
        <is>
          <t>ATEND. CLIENTES INATIVOS</t>
        </is>
      </c>
      <c r="R259" s="58" t="inlineStr">
        <is>
          <t>EM ATENDIMENTO</t>
        </is>
      </c>
      <c r="S259" s="58" t="n"/>
      <c r="T259" s="71">
        <f>IF(R259="","",IF(OR(R259="SUPORTE",R259="PERDA / FECHOU LOJA"),"SEM",A259+VLOOKUP(R259,REGRAS!$B$2:$C$13,2,FALSE())))</f>
        <v/>
      </c>
      <c r="U259" s="58">
        <f>IF(R259="","",IF(R259="VENDA / PEDIDO","RECOMPRA",IF(R259="SUPORTE","PÓS-VENDA",IF(R259="RELACIONAMENTO","CS",IF(OR(R259="NÃO ATENDE",R259="NÃO RESPONDE",R259="RECUSOU LIGAÇÃO"),"REATIVAÇÃO",IF(R259="PERDA / FECHOU LOJA","NUTRIÇÃO",IF(OR(R259="FOLLOW UP 7",R259="FOLLOW UP 15"),"SALVAMENTO","PROSPECÇÃO")))))))</f>
        <v/>
      </c>
      <c r="V259" s="58" t="n"/>
      <c r="W259" s="58" t="inlineStr">
        <is>
          <t>SIM</t>
        </is>
      </c>
      <c r="X259" s="58" t="n"/>
    </row>
    <row r="260">
      <c r="A260" s="71" t="n">
        <v>46060</v>
      </c>
      <c r="B260" s="58" t="inlineStr">
        <is>
          <t>JULIO GADRET</t>
        </is>
      </c>
      <c r="C260" s="58" t="inlineStr">
        <is>
          <t>BIO GRÃOS 53</t>
        </is>
      </c>
      <c r="D260" s="58" t="inlineStr">
        <is>
          <t>56.209.258/6981-93</t>
        </is>
      </c>
      <c r="E260" s="58" t="inlineStr">
        <is>
          <t>SP</t>
        </is>
      </c>
      <c r="F260" s="58" t="inlineStr">
        <is>
          <t>CIA DA SAUDE</t>
        </is>
      </c>
      <c r="G260" s="58" t="inlineStr">
        <is>
          <t>INAT.REC</t>
        </is>
      </c>
      <c r="H260" s="58" t="n">
        <v>79</v>
      </c>
      <c r="I260" s="58">
        <f>IF(R260="","",VLOOKUP(R260,REGRAS!$B$2:$D$13,3,FALSE()))</f>
        <v/>
      </c>
      <c r="J260" s="58" t="n"/>
      <c r="K260" s="58">
        <f>IF(R260="","",IF(R260="VENDA / PEDIDO","RECOMPRA",IF(R260="SUPORTE","PÓS-VENDA",IF(OR(R260="FOLLOW UP 7",R260="FOLLOW UP 15"),"SALVAMENTO",IF(R260="PERDA / FECHOU LOJA","NUTRIÇÃO",IF(R260="RELACIONAMENTO","CS",IF(OR(R260="ORÇAMENTO",R260="CADASTRO"),"PROSPECÇÃO",IF(R260="EM ATENDIMENTO","EM ATENDIMENTO",IF(OR(R260="NÃO ATENDE",R260="NÃO RESPONDE",R260="RECUSOU LIGAÇÃO"),"RECUPERAÇÃO","")))))))))</f>
        <v/>
      </c>
      <c r="L260" s="58">
        <f>IF(H260="","",IF(G260="PROSPECT","🟣",IF(G260="LEAD","🟣",IF(G260="NOVO","🟢",IF(H260&lt;=50,"🟢",IF(H260&lt;=90,"🟡","🔴"))))))</f>
        <v/>
      </c>
      <c r="M260" s="58" t="n"/>
      <c r="N260" s="58" t="inlineStr">
        <is>
          <t>SIM</t>
        </is>
      </c>
      <c r="O260" s="58" t="inlineStr">
        <is>
          <t>NÃO</t>
        </is>
      </c>
      <c r="P260" s="58" t="inlineStr">
        <is>
          <t>N/A</t>
        </is>
      </c>
      <c r="Q260" s="58" t="inlineStr">
        <is>
          <t>FOLLOW UP</t>
        </is>
      </c>
      <c r="R260" s="58" t="inlineStr">
        <is>
          <t>ORÇAMENTO</t>
        </is>
      </c>
      <c r="S260" s="58" t="n"/>
      <c r="T260" s="71">
        <f>IF(R260="","",IF(OR(R260="SUPORTE",R260="PERDA / FECHOU LOJA"),"SEM",A260+VLOOKUP(R260,REGRAS!$B$2:$C$13,2,FALSE())))</f>
        <v/>
      </c>
      <c r="U260" s="58">
        <f>IF(R260="","",IF(R260="VENDA / PEDIDO","RECOMPRA",IF(R260="SUPORTE","PÓS-VENDA",IF(R260="RELACIONAMENTO","CS",IF(OR(R260="NÃO ATENDE",R260="NÃO RESPONDE",R260="RECUSOU LIGAÇÃO"),"REATIVAÇÃO",IF(R260="PERDA / FECHOU LOJA","NUTRIÇÃO",IF(OR(R260="FOLLOW UP 7",R260="FOLLOW UP 15"),"SALVAMENTO","PROSPECÇÃO")))))))</f>
        <v/>
      </c>
      <c r="V260" s="58" t="n"/>
      <c r="W260" s="58" t="inlineStr">
        <is>
          <t>SIM</t>
        </is>
      </c>
      <c r="X260" s="58" t="n"/>
    </row>
    <row r="261">
      <c r="A261" s="71" t="n">
        <v>46079</v>
      </c>
      <c r="B261" s="58" t="inlineStr">
        <is>
          <t>LARISSA PADILHA</t>
        </is>
      </c>
      <c r="C261" s="58" t="inlineStr">
        <is>
          <t>VERDE VIDA 48</t>
        </is>
      </c>
      <c r="D261" s="58" t="inlineStr">
        <is>
          <t>81.668.595/4158-49</t>
        </is>
      </c>
      <c r="E261" s="58" t="inlineStr">
        <is>
          <t>SP</t>
        </is>
      </c>
      <c r="F261" s="58" t="inlineStr">
        <is>
          <t>DEMAIS CLIENTES</t>
        </is>
      </c>
      <c r="G261" s="58" t="inlineStr">
        <is>
          <t>EM RISCO</t>
        </is>
      </c>
      <c r="H261" s="58" t="n">
        <v>53</v>
      </c>
      <c r="I261" s="58">
        <f>IF(R261="","",VLOOKUP(R261,REGRAS!$B$2:$D$13,3,FALSE()))</f>
        <v/>
      </c>
      <c r="J261" s="58" t="n"/>
      <c r="K261" s="58">
        <f>IF(R261="","",IF(R261="VENDA / PEDIDO","RECOMPRA",IF(R261="SUPORTE","PÓS-VENDA",IF(OR(R261="FOLLOW UP 7",R261="FOLLOW UP 15"),"SALVAMENTO",IF(R261="PERDA / FECHOU LOJA","NUTRIÇÃO",IF(R261="RELACIONAMENTO","CS",IF(OR(R261="ORÇAMENTO",R261="CADASTRO"),"PROSPECÇÃO",IF(R261="EM ATENDIMENTO","EM ATENDIMENTO",IF(OR(R261="NÃO ATENDE",R261="NÃO RESPONDE",R261="RECUSOU LIGAÇÃO"),"RECUPERAÇÃO","")))))))))</f>
        <v/>
      </c>
      <c r="L261" s="58">
        <f>IF(H261="","",IF(G261="PROSPECT","🟣",IF(G261="LEAD","🟣",IF(G261="NOVO","🟢",IF(H261&lt;=50,"🟢",IF(H261&lt;=90,"🟡","🔴"))))))</f>
        <v/>
      </c>
      <c r="M261" s="58" t="n"/>
      <c r="N261" s="58" t="inlineStr">
        <is>
          <t>NÃO</t>
        </is>
      </c>
      <c r="O261" s="58" t="inlineStr">
        <is>
          <t>SIM</t>
        </is>
      </c>
      <c r="P261" s="58" t="inlineStr">
        <is>
          <t>NÃO</t>
        </is>
      </c>
      <c r="Q261" s="58" t="inlineStr">
        <is>
          <t>PÓS-VENDA / RELACIONAMENTO</t>
        </is>
      </c>
      <c r="R261" s="58" t="inlineStr">
        <is>
          <t>SUPORTE</t>
        </is>
      </c>
      <c r="S261" s="58" t="n"/>
      <c r="T261" s="71">
        <f>IF(R261="","",IF(OR(R261="SUPORTE",R261="PERDA / FECHOU LOJA"),"SEM",A261+VLOOKUP(R261,REGRAS!$B$2:$C$13,2,FALSE())))</f>
        <v/>
      </c>
      <c r="U261" s="58">
        <f>IF(R261="","",IF(R261="VENDA / PEDIDO","RECOMPRA",IF(R261="SUPORTE","PÓS-VENDA",IF(R261="RELACIONAMENTO","CS",IF(OR(R261="NÃO ATENDE",R261="NÃO RESPONDE",R261="RECUSOU LIGAÇÃO"),"REATIVAÇÃO",IF(R261="PERDA / FECHOU LOJA","NUTRIÇÃO",IF(OR(R261="FOLLOW UP 7",R261="FOLLOW UP 15"),"SALVAMENTO","PROSPECÇÃO")))))))</f>
        <v/>
      </c>
      <c r="V261" s="58" t="n"/>
      <c r="W261" s="58" t="inlineStr">
        <is>
          <t>SIM</t>
        </is>
      </c>
      <c r="X261" s="58" t="n"/>
    </row>
    <row r="262">
      <c r="A262" s="71" t="n">
        <v>46060</v>
      </c>
      <c r="B262" s="58" t="inlineStr">
        <is>
          <t>LARISSA PADILHA</t>
        </is>
      </c>
      <c r="C262" s="58" t="inlineStr">
        <is>
          <t>SAUDE TOTAL 71</t>
        </is>
      </c>
      <c r="D262" s="58" t="inlineStr">
        <is>
          <t>88.813.800/0853-30</t>
        </is>
      </c>
      <c r="E262" s="58" t="inlineStr">
        <is>
          <t>SC</t>
        </is>
      </c>
      <c r="F262" s="58" t="inlineStr">
        <is>
          <t>TUDO EM GRAOS</t>
        </is>
      </c>
      <c r="G262" s="58" t="inlineStr">
        <is>
          <t>NOVO</t>
        </is>
      </c>
      <c r="H262" s="58" t="n"/>
      <c r="I262" s="58">
        <f>IF(R262="","",VLOOKUP(R262,REGRAS!$B$2:$D$13,3,FALSE()))</f>
        <v/>
      </c>
      <c r="J262" s="58" t="n"/>
      <c r="K262" s="58">
        <f>IF(R262="","",IF(R262="VENDA / PEDIDO","RECOMPRA",IF(R262="SUPORTE","PÓS-VENDA",IF(OR(R262="FOLLOW UP 7",R262="FOLLOW UP 15"),"SALVAMENTO",IF(R262="PERDA / FECHOU LOJA","NUTRIÇÃO",IF(R262="RELACIONAMENTO","CS",IF(OR(R262="ORÇAMENTO",R262="CADASTRO"),"PROSPECÇÃO",IF(R262="EM ATENDIMENTO","EM ATENDIMENTO",IF(OR(R262="NÃO ATENDE",R262="NÃO RESPONDE",R262="RECUSOU LIGAÇÃO"),"RECUPERAÇÃO","")))))))))</f>
        <v/>
      </c>
      <c r="L262" s="58">
        <f>IF(H262="","",IF(G262="PROSPECT","🟣",IF(G262="LEAD","🟣",IF(G262="NOVO","🟢",IF(H262&lt;=50,"🟢",IF(H262&lt;=90,"🟡","🔴"))))))</f>
        <v/>
      </c>
      <c r="M262" s="58" t="n"/>
      <c r="N262" s="58" t="inlineStr">
        <is>
          <t>SIM</t>
        </is>
      </c>
      <c r="O262" s="58" t="inlineStr">
        <is>
          <t>SIM</t>
        </is>
      </c>
      <c r="P262" s="58" t="inlineStr">
        <is>
          <t>SIM</t>
        </is>
      </c>
      <c r="Q262" s="58" t="inlineStr">
        <is>
          <t>PÓS-VENDA / RELACIONAMENTO</t>
        </is>
      </c>
      <c r="R262" s="58" t="inlineStr">
        <is>
          <t>FOLLOW UP 15</t>
        </is>
      </c>
      <c r="S262" s="58" t="inlineStr">
        <is>
          <t>PRODUTO NÃO VENDEU / SEM GIRO</t>
        </is>
      </c>
      <c r="T262" s="71">
        <f>IF(R262="","",IF(OR(R262="SUPORTE",R262="PERDA / FECHOU LOJA"),"SEM",A262+VLOOKUP(R262,REGRAS!$B$2:$C$13,2,FALSE())))</f>
        <v/>
      </c>
      <c r="U262" s="58">
        <f>IF(R262="","",IF(R262="VENDA / PEDIDO","RECOMPRA",IF(R262="SUPORTE","PÓS-VENDA",IF(R262="RELACIONAMENTO","CS",IF(OR(R262="NÃO ATENDE",R262="NÃO RESPONDE",R262="RECUSOU LIGAÇÃO"),"REATIVAÇÃO",IF(R262="PERDA / FECHOU LOJA","NUTRIÇÃO",IF(OR(R262="FOLLOW UP 7",R262="FOLLOW UP 15"),"SALVAMENTO","PROSPECÇÃO")))))))</f>
        <v/>
      </c>
      <c r="V262" s="58" t="n"/>
      <c r="W262" s="58" t="inlineStr">
        <is>
          <t>SIM</t>
        </is>
      </c>
      <c r="X262" s="58" t="n"/>
    </row>
    <row r="263">
      <c r="A263" s="71" t="n">
        <v>46077</v>
      </c>
      <c r="B263" s="58" t="inlineStr">
        <is>
          <t>LARISSA PADILHA</t>
        </is>
      </c>
      <c r="C263" s="58" t="inlineStr">
        <is>
          <t>TUDO GRÃOS SC 79</t>
        </is>
      </c>
      <c r="D263" s="58" t="inlineStr">
        <is>
          <t>93.633.393/9789-17</t>
        </is>
      </c>
      <c r="E263" s="58" t="inlineStr">
        <is>
          <t>DF</t>
        </is>
      </c>
      <c r="F263" s="58" t="inlineStr">
        <is>
          <t>DEMAIS CLIENTES</t>
        </is>
      </c>
      <c r="G263" s="58" t="inlineStr">
        <is>
          <t>INAT.ANT</t>
        </is>
      </c>
      <c r="H263" s="58" t="n">
        <v>203</v>
      </c>
      <c r="I263" s="58">
        <f>IF(R263="","",VLOOKUP(R263,REGRAS!$B$2:$D$13,3,FALSE()))</f>
        <v/>
      </c>
      <c r="J263" s="58" t="n"/>
      <c r="K263" s="58">
        <f>IF(R263="","",IF(R263="VENDA / PEDIDO","RECOMPRA",IF(R263="SUPORTE","PÓS-VENDA",IF(OR(R263="FOLLOW UP 7",R263="FOLLOW UP 15"),"SALVAMENTO",IF(R263="PERDA / FECHOU LOJA","NUTRIÇÃO",IF(R263="RELACIONAMENTO","CS",IF(OR(R263="ORÇAMENTO",R263="CADASTRO"),"PROSPECÇÃO",IF(R263="EM ATENDIMENTO","EM ATENDIMENTO",IF(OR(R263="NÃO ATENDE",R263="NÃO RESPONDE",R263="RECUSOU LIGAÇÃO"),"RECUPERAÇÃO","")))))))))</f>
        <v/>
      </c>
      <c r="L263" s="58">
        <f>IF(H263="","",IF(G263="PROSPECT","🟣",IF(G263="LEAD","🟣",IF(G263="NOVO","🟢",IF(H263&lt;=50,"🟢",IF(H263&lt;=90,"🟡","🔴"))))))</f>
        <v/>
      </c>
      <c r="M263" s="58" t="n"/>
      <c r="N263" s="58" t="inlineStr">
        <is>
          <t>NÃO</t>
        </is>
      </c>
      <c r="O263" s="58" t="inlineStr">
        <is>
          <t>NÃO</t>
        </is>
      </c>
      <c r="P263" s="58" t="inlineStr">
        <is>
          <t>N/A</t>
        </is>
      </c>
      <c r="Q263" s="58" t="inlineStr">
        <is>
          <t>PROSPECÇÃO</t>
        </is>
      </c>
      <c r="R263" s="58" t="inlineStr">
        <is>
          <t>RECUSOU LIGAÇÃO</t>
        </is>
      </c>
      <c r="S263" s="58" t="inlineStr">
        <is>
          <t>AINDA TEM ESTOQUE</t>
        </is>
      </c>
      <c r="T263" s="71">
        <f>IF(R263="","",IF(OR(R263="SUPORTE",R263="PERDA / FECHOU LOJA"),"SEM",A263+VLOOKUP(R263,REGRAS!$B$2:$C$13,2,FALSE())))</f>
        <v/>
      </c>
      <c r="U263" s="58">
        <f>IF(R263="","",IF(R263="VENDA / PEDIDO","RECOMPRA",IF(R263="SUPORTE","PÓS-VENDA",IF(R263="RELACIONAMENTO","CS",IF(OR(R263="NÃO ATENDE",R263="NÃO RESPONDE",R263="RECUSOU LIGAÇÃO"),"REATIVAÇÃO",IF(R263="PERDA / FECHOU LOJA","NUTRIÇÃO",IF(OR(R263="FOLLOW UP 7",R263="FOLLOW UP 15"),"SALVAMENTO","PROSPECÇÃO")))))))</f>
        <v/>
      </c>
      <c r="V263" s="58" t="n"/>
      <c r="W263" s="58" t="inlineStr">
        <is>
          <t>NÃO</t>
        </is>
      </c>
      <c r="X263" s="58" t="n"/>
    </row>
    <row r="264">
      <c r="A264" s="71" t="n">
        <v>46070</v>
      </c>
      <c r="B264" s="58" t="inlineStr">
        <is>
          <t>LARISSA PADILHA</t>
        </is>
      </c>
      <c r="C264" s="58" t="inlineStr">
        <is>
          <t>FITLAND PR 79</t>
        </is>
      </c>
      <c r="D264" s="58" t="inlineStr">
        <is>
          <t>31.790.136/5894-40</t>
        </is>
      </c>
      <c r="E264" s="58" t="inlineStr">
        <is>
          <t>SP</t>
        </is>
      </c>
      <c r="F264" s="58" t="inlineStr">
        <is>
          <t>DEMAIS CLIENTES</t>
        </is>
      </c>
      <c r="G264" s="58" t="inlineStr">
        <is>
          <t>ATIVO</t>
        </is>
      </c>
      <c r="H264" s="58" t="n">
        <v>22</v>
      </c>
      <c r="I264" s="58">
        <f>IF(R264="","",VLOOKUP(R264,REGRAS!$B$2:$D$13,3,FALSE()))</f>
        <v/>
      </c>
      <c r="J264" s="58" t="n"/>
      <c r="K264" s="58">
        <f>IF(R264="","",IF(R264="VENDA / PEDIDO","RECOMPRA",IF(R264="SUPORTE","PÓS-VENDA",IF(OR(R264="FOLLOW UP 7",R264="FOLLOW UP 15"),"SALVAMENTO",IF(R264="PERDA / FECHOU LOJA","NUTRIÇÃO",IF(R264="RELACIONAMENTO","CS",IF(OR(R264="ORÇAMENTO",R264="CADASTRO"),"PROSPECÇÃO",IF(R264="EM ATENDIMENTO","EM ATENDIMENTO",IF(OR(R264="NÃO ATENDE",R264="NÃO RESPONDE",R264="RECUSOU LIGAÇÃO"),"RECUPERAÇÃO","")))))))))</f>
        <v/>
      </c>
      <c r="L264" s="58">
        <f>IF(H264="","",IF(G264="PROSPECT","🟣",IF(G264="LEAD","🟣",IF(G264="NOVO","🟢",IF(H264&lt;=50,"🟢",IF(H264&lt;=90,"🟡","🔴"))))))</f>
        <v/>
      </c>
      <c r="M264" s="58" t="n"/>
      <c r="N264" s="58" t="inlineStr">
        <is>
          <t>SIM</t>
        </is>
      </c>
      <c r="O264" s="58" t="inlineStr">
        <is>
          <t>NÃO</t>
        </is>
      </c>
      <c r="P264" s="58" t="inlineStr">
        <is>
          <t>N/A</t>
        </is>
      </c>
      <c r="Q264" s="58" t="inlineStr">
        <is>
          <t>PÓS-VENDA / RELACIONAMENTO</t>
        </is>
      </c>
      <c r="R264" s="58" t="inlineStr">
        <is>
          <t>FOLLOW UP 7</t>
        </is>
      </c>
      <c r="S264" s="58" t="inlineStr">
        <is>
          <t>SÓ QUER COMPRAR GRANEL</t>
        </is>
      </c>
      <c r="T264" s="71">
        <f>IF(R264="","",IF(OR(R264="SUPORTE",R264="PERDA / FECHOU LOJA"),"SEM",A264+VLOOKUP(R264,REGRAS!$B$2:$C$13,2,FALSE())))</f>
        <v/>
      </c>
      <c r="U264" s="58">
        <f>IF(R264="","",IF(R264="VENDA / PEDIDO","RECOMPRA",IF(R264="SUPORTE","PÓS-VENDA",IF(R264="RELACIONAMENTO","CS",IF(OR(R264="NÃO ATENDE",R264="NÃO RESPONDE",R264="RECUSOU LIGAÇÃO"),"REATIVAÇÃO",IF(R264="PERDA / FECHOU LOJA","NUTRIÇÃO",IF(OR(R264="FOLLOW UP 7",R264="FOLLOW UP 15"),"SALVAMENTO","PROSPECÇÃO")))))))</f>
        <v/>
      </c>
      <c r="V264" s="58" t="n"/>
      <c r="W264" s="58" t="inlineStr">
        <is>
          <t>NÃO</t>
        </is>
      </c>
      <c r="X264" s="58" t="n"/>
    </row>
    <row r="265">
      <c r="A265" s="71" t="n">
        <v>46056</v>
      </c>
      <c r="B265" s="58" t="inlineStr">
        <is>
          <t>DAIANE STAVICKI</t>
        </is>
      </c>
      <c r="C265" s="58" t="inlineStr">
        <is>
          <t>ESSENCE FOOD 37</t>
        </is>
      </c>
      <c r="D265" s="58" t="inlineStr">
        <is>
          <t>81.696.456/5694-45</t>
        </is>
      </c>
      <c r="E265" s="58" t="inlineStr">
        <is>
          <t>PR</t>
        </is>
      </c>
      <c r="F265" s="58" t="inlineStr">
        <is>
          <t>DEMAIS CLIENTES</t>
        </is>
      </c>
      <c r="G265" s="58" t="inlineStr">
        <is>
          <t>EM RISCO</t>
        </is>
      </c>
      <c r="H265" s="58" t="n">
        <v>57</v>
      </c>
      <c r="I265" s="58">
        <f>IF(R265="","",VLOOKUP(R265,REGRAS!$B$2:$D$13,3,FALSE()))</f>
        <v/>
      </c>
      <c r="J265" s="58" t="n"/>
      <c r="K265" s="58">
        <f>IF(R265="","",IF(R265="VENDA / PEDIDO","RECOMPRA",IF(R265="SUPORTE","PÓS-VENDA",IF(OR(R265="FOLLOW UP 7",R265="FOLLOW UP 15"),"SALVAMENTO",IF(R265="PERDA / FECHOU LOJA","NUTRIÇÃO",IF(R265="RELACIONAMENTO","CS",IF(OR(R265="ORÇAMENTO",R265="CADASTRO"),"PROSPECÇÃO",IF(R265="EM ATENDIMENTO","EM ATENDIMENTO",IF(OR(R265="NÃO ATENDE",R265="NÃO RESPONDE",R265="RECUSOU LIGAÇÃO"),"RECUPERAÇÃO","")))))))))</f>
        <v/>
      </c>
      <c r="L265" s="58">
        <f>IF(H265="","",IF(G265="PROSPECT","🟣",IF(G265="LEAD","🟣",IF(G265="NOVO","🟢",IF(H265&lt;=50,"🟢",IF(H265&lt;=90,"🟡","🔴"))))))</f>
        <v/>
      </c>
      <c r="M265" s="58" t="n"/>
      <c r="N265" s="58" t="inlineStr">
        <is>
          <t>SIM</t>
        </is>
      </c>
      <c r="O265" s="58" t="inlineStr">
        <is>
          <t>SIM</t>
        </is>
      </c>
      <c r="P265" s="58" t="inlineStr">
        <is>
          <t>SIM</t>
        </is>
      </c>
      <c r="Q265" s="58" t="inlineStr">
        <is>
          <t>ATEND. CLIENTES ATIVOS</t>
        </is>
      </c>
      <c r="R265" s="58" t="inlineStr">
        <is>
          <t>ORÇAMENTO</t>
        </is>
      </c>
      <c r="S265" s="58" t="n"/>
      <c r="T265" s="71">
        <f>IF(R265="","",IF(OR(R265="SUPORTE",R265="PERDA / FECHOU LOJA"),"SEM",A265+VLOOKUP(R265,REGRAS!$B$2:$C$13,2,FALSE())))</f>
        <v/>
      </c>
      <c r="U265" s="58">
        <f>IF(R265="","",IF(R265="VENDA / PEDIDO","RECOMPRA",IF(R265="SUPORTE","PÓS-VENDA",IF(R265="RELACIONAMENTO","CS",IF(OR(R265="NÃO ATENDE",R265="NÃO RESPONDE",R265="RECUSOU LIGAÇÃO"),"REATIVAÇÃO",IF(R265="PERDA / FECHOU LOJA","NUTRIÇÃO",IF(OR(R265="FOLLOW UP 7",R265="FOLLOW UP 15"),"SALVAMENTO","PROSPECÇÃO")))))))</f>
        <v/>
      </c>
      <c r="V265" s="58" t="n"/>
      <c r="W265" s="58" t="inlineStr">
        <is>
          <t>SIM</t>
        </is>
      </c>
      <c r="X265" s="58" t="n"/>
    </row>
    <row r="266">
      <c r="A266" s="71" t="n">
        <v>46057</v>
      </c>
      <c r="B266" s="58" t="inlineStr">
        <is>
          <t>DAIANE STAVICKI</t>
        </is>
      </c>
      <c r="C266" s="58" t="inlineStr">
        <is>
          <t>PONTO VERDE 69</t>
        </is>
      </c>
      <c r="D266" s="58" t="inlineStr">
        <is>
          <t>83.356.810/7255-58</t>
        </is>
      </c>
      <c r="E266" s="58" t="inlineStr">
        <is>
          <t>SP</t>
        </is>
      </c>
      <c r="F266" s="58" t="inlineStr">
        <is>
          <t>DEMAIS CLIENTES</t>
        </is>
      </c>
      <c r="G266" s="58" t="inlineStr">
        <is>
          <t>INAT.ANT</t>
        </is>
      </c>
      <c r="H266" s="58" t="n">
        <v>289</v>
      </c>
      <c r="I266" s="58">
        <f>IF(R266="","",VLOOKUP(R266,REGRAS!$B$2:$D$13,3,FALSE()))</f>
        <v/>
      </c>
      <c r="J266" s="58" t="n"/>
      <c r="K266" s="58">
        <f>IF(R266="","",IF(R266="VENDA / PEDIDO","RECOMPRA",IF(R266="SUPORTE","PÓS-VENDA",IF(OR(R266="FOLLOW UP 7",R266="FOLLOW UP 15"),"SALVAMENTO",IF(R266="PERDA / FECHOU LOJA","NUTRIÇÃO",IF(R266="RELACIONAMENTO","CS",IF(OR(R266="ORÇAMENTO",R266="CADASTRO"),"PROSPECÇÃO",IF(R266="EM ATENDIMENTO","EM ATENDIMENTO",IF(OR(R266="NÃO ATENDE",R266="NÃO RESPONDE",R266="RECUSOU LIGAÇÃO"),"RECUPERAÇÃO","")))))))))</f>
        <v/>
      </c>
      <c r="L266" s="58">
        <f>IF(H266="","",IF(G266="PROSPECT","🟣",IF(G266="LEAD","🟣",IF(G266="NOVO","🟢",IF(H266&lt;=50,"🟢",IF(H266&lt;=90,"🟡","🔴"))))))</f>
        <v/>
      </c>
      <c r="M266" s="58" t="n"/>
      <c r="N266" s="58" t="inlineStr">
        <is>
          <t>SIM</t>
        </is>
      </c>
      <c r="O266" s="58" t="inlineStr">
        <is>
          <t>SIM</t>
        </is>
      </c>
      <c r="P266" s="58" t="inlineStr">
        <is>
          <t>SIM</t>
        </is>
      </c>
      <c r="Q266" s="58" t="inlineStr">
        <is>
          <t>ATEND. CLIENTES ATIVOS</t>
        </is>
      </c>
      <c r="R266" s="58" t="inlineStr">
        <is>
          <t>RELACIONAMENTO</t>
        </is>
      </c>
      <c r="S266" s="58" t="n"/>
      <c r="T266" s="71">
        <f>IF(R266="","",IF(OR(R266="SUPORTE",R266="PERDA / FECHOU LOJA"),"SEM",A266+VLOOKUP(R266,REGRAS!$B$2:$C$13,2,FALSE())))</f>
        <v/>
      </c>
      <c r="U266" s="58">
        <f>IF(R266="","",IF(R266="VENDA / PEDIDO","RECOMPRA",IF(R266="SUPORTE","PÓS-VENDA",IF(R266="RELACIONAMENTO","CS",IF(OR(R266="NÃO ATENDE",R266="NÃO RESPONDE",R266="RECUSOU LIGAÇÃO"),"REATIVAÇÃO",IF(R266="PERDA / FECHOU LOJA","NUTRIÇÃO",IF(OR(R266="FOLLOW UP 7",R266="FOLLOW UP 15"),"SALVAMENTO","PROSPECÇÃO")))))))</f>
        <v/>
      </c>
      <c r="V266" s="58" t="n"/>
      <c r="W266" s="58" t="inlineStr">
        <is>
          <t>SIM</t>
        </is>
      </c>
      <c r="X266" s="58" t="n"/>
    </row>
    <row r="267">
      <c r="A267" s="71" t="n">
        <v>46074</v>
      </c>
      <c r="B267" s="58" t="inlineStr">
        <is>
          <t>DAIANE STAVICKI</t>
        </is>
      </c>
      <c r="C267" s="58" t="inlineStr">
        <is>
          <t>FITLAND PR 87</t>
        </is>
      </c>
      <c r="D267" s="58" t="inlineStr">
        <is>
          <t>99.335.919/5173-62</t>
        </is>
      </c>
      <c r="E267" s="58" t="inlineStr">
        <is>
          <t>DF</t>
        </is>
      </c>
      <c r="F267" s="58" t="inlineStr">
        <is>
          <t>DIVINA TERRA</t>
        </is>
      </c>
      <c r="G267" s="58" t="inlineStr">
        <is>
          <t>ATIVO</t>
        </is>
      </c>
      <c r="H267" s="58" t="n">
        <v>21</v>
      </c>
      <c r="I267" s="58">
        <f>IF(R267="","",VLOOKUP(R267,REGRAS!$B$2:$D$13,3,FALSE()))</f>
        <v/>
      </c>
      <c r="J267" s="58" t="n"/>
      <c r="K267" s="58">
        <f>IF(R267="","",IF(R267="VENDA / PEDIDO","RECOMPRA",IF(R267="SUPORTE","PÓS-VENDA",IF(OR(R267="FOLLOW UP 7",R267="FOLLOW UP 15"),"SALVAMENTO",IF(R267="PERDA / FECHOU LOJA","NUTRIÇÃO",IF(R267="RELACIONAMENTO","CS",IF(OR(R267="ORÇAMENTO",R267="CADASTRO"),"PROSPECÇÃO",IF(R267="EM ATENDIMENTO","EM ATENDIMENTO",IF(OR(R267="NÃO ATENDE",R267="NÃO RESPONDE",R267="RECUSOU LIGAÇÃO"),"RECUPERAÇÃO","")))))))))</f>
        <v/>
      </c>
      <c r="L267" s="58">
        <f>IF(H267="","",IF(G267="PROSPECT","🟣",IF(G267="LEAD","🟣",IF(G267="NOVO","🟢",IF(H267&lt;=50,"🟢",IF(H267&lt;=90,"🟡","🔴"))))))</f>
        <v/>
      </c>
      <c r="M267" s="58" t="n"/>
      <c r="N267" s="58" t="inlineStr">
        <is>
          <t>SIM</t>
        </is>
      </c>
      <c r="O267" s="58" t="inlineStr">
        <is>
          <t>NÃO</t>
        </is>
      </c>
      <c r="P267" s="58" t="inlineStr">
        <is>
          <t>N/A</t>
        </is>
      </c>
      <c r="Q267" s="58" t="inlineStr">
        <is>
          <t>NEGOCIAÇÃO</t>
        </is>
      </c>
      <c r="R267" s="58" t="inlineStr">
        <is>
          <t>EM ATENDIMENTO</t>
        </is>
      </c>
      <c r="S267" s="58" t="n"/>
      <c r="T267" s="71">
        <f>IF(R267="","",IF(OR(R267="SUPORTE",R267="PERDA / FECHOU LOJA"),"SEM",A267+VLOOKUP(R267,REGRAS!$B$2:$C$13,2,FALSE())))</f>
        <v/>
      </c>
      <c r="U267" s="58">
        <f>IF(R267="","",IF(R267="VENDA / PEDIDO","RECOMPRA",IF(R267="SUPORTE","PÓS-VENDA",IF(R267="RELACIONAMENTO","CS",IF(OR(R267="NÃO ATENDE",R267="NÃO RESPONDE",R267="RECUSOU LIGAÇÃO"),"REATIVAÇÃO",IF(R267="PERDA / FECHOU LOJA","NUTRIÇÃO",IF(OR(R267="FOLLOW UP 7",R267="FOLLOW UP 15"),"SALVAMENTO","PROSPECÇÃO")))))))</f>
        <v/>
      </c>
      <c r="V267" s="58" t="n"/>
      <c r="W267" s="58" t="inlineStr">
        <is>
          <t>SIM</t>
        </is>
      </c>
      <c r="X267" s="58" t="n"/>
    </row>
    <row r="268">
      <c r="A268" s="71" t="n">
        <v>46059</v>
      </c>
      <c r="B268" s="58" t="inlineStr">
        <is>
          <t>LARISSA PADILHA</t>
        </is>
      </c>
      <c r="C268" s="58" t="inlineStr">
        <is>
          <t>MARKET FIT 28</t>
        </is>
      </c>
      <c r="D268" s="58" t="inlineStr">
        <is>
          <t>83.375.287/3116-73</t>
        </is>
      </c>
      <c r="E268" s="58" t="inlineStr">
        <is>
          <t>RJ</t>
        </is>
      </c>
      <c r="F268" s="58" t="inlineStr">
        <is>
          <t>BIOMUNDO</t>
        </is>
      </c>
      <c r="G268" s="58" t="inlineStr">
        <is>
          <t>ATIVO</t>
        </is>
      </c>
      <c r="H268" s="58" t="n">
        <v>21</v>
      </c>
      <c r="I268" s="58">
        <f>IF(R268="","",VLOOKUP(R268,REGRAS!$B$2:$D$13,3,FALSE()))</f>
        <v/>
      </c>
      <c r="J268" s="58" t="n"/>
      <c r="K268" s="58">
        <f>IF(R268="","",IF(R268="VENDA / PEDIDO","RECOMPRA",IF(R268="SUPORTE","PÓS-VENDA",IF(OR(R268="FOLLOW UP 7",R268="FOLLOW UP 15"),"SALVAMENTO",IF(R268="PERDA / FECHOU LOJA","NUTRIÇÃO",IF(R268="RELACIONAMENTO","CS",IF(OR(R268="ORÇAMENTO",R268="CADASTRO"),"PROSPECÇÃO",IF(R268="EM ATENDIMENTO","EM ATENDIMENTO",IF(OR(R268="NÃO ATENDE",R268="NÃO RESPONDE",R268="RECUSOU LIGAÇÃO"),"RECUPERAÇÃO","")))))))))</f>
        <v/>
      </c>
      <c r="L268" s="58">
        <f>IF(H268="","",IF(G268="PROSPECT","🟣",IF(G268="LEAD","🟣",IF(G268="NOVO","🟢",IF(H268&lt;=50,"🟢",IF(H268&lt;=90,"🟡","🔴"))))))</f>
        <v/>
      </c>
      <c r="M268" s="58" t="n"/>
      <c r="N268" s="58" t="inlineStr">
        <is>
          <t>SIM</t>
        </is>
      </c>
      <c r="O268" s="58" t="inlineStr">
        <is>
          <t>NÃO</t>
        </is>
      </c>
      <c r="P268" s="58" t="inlineStr">
        <is>
          <t>N/A</t>
        </is>
      </c>
      <c r="Q268" s="58" t="inlineStr">
        <is>
          <t>NEGOCIAÇÃO</t>
        </is>
      </c>
      <c r="R268" s="58" t="inlineStr">
        <is>
          <t>ORÇAMENTO</t>
        </is>
      </c>
      <c r="S268" s="58" t="n"/>
      <c r="T268" s="71">
        <f>IF(R268="","",IF(OR(R268="SUPORTE",R268="PERDA / FECHOU LOJA"),"SEM",A268+VLOOKUP(R268,REGRAS!$B$2:$C$13,2,FALSE())))</f>
        <v/>
      </c>
      <c r="U268" s="58">
        <f>IF(R268="","",IF(R268="VENDA / PEDIDO","RECOMPRA",IF(R268="SUPORTE","PÓS-VENDA",IF(R268="RELACIONAMENTO","CS",IF(OR(R268="NÃO ATENDE",R268="NÃO RESPONDE",R268="RECUSOU LIGAÇÃO"),"REATIVAÇÃO",IF(R268="PERDA / FECHOU LOJA","NUTRIÇÃO",IF(OR(R268="FOLLOW UP 7",R268="FOLLOW UP 15"),"SALVAMENTO","PROSPECÇÃO")))))))</f>
        <v/>
      </c>
      <c r="V268" s="58" t="n"/>
      <c r="W268" s="58" t="inlineStr">
        <is>
          <t>SIM</t>
        </is>
      </c>
      <c r="X268" s="58" t="n"/>
    </row>
    <row r="269">
      <c r="A269" s="71" t="n">
        <v>46057</v>
      </c>
      <c r="B269" s="58" t="inlineStr">
        <is>
          <t>MANU DITZEL</t>
        </is>
      </c>
      <c r="C269" s="58" t="inlineStr">
        <is>
          <t>GRÃO DE OURO 87</t>
        </is>
      </c>
      <c r="D269" s="58" t="inlineStr">
        <is>
          <t>94.604.728/0109-79</t>
        </is>
      </c>
      <c r="E269" s="58" t="inlineStr">
        <is>
          <t>DF</t>
        </is>
      </c>
      <c r="F269" s="58" t="inlineStr">
        <is>
          <t>DEMAIS CLIENTES</t>
        </is>
      </c>
      <c r="G269" s="58" t="inlineStr">
        <is>
          <t>EM RISCO</t>
        </is>
      </c>
      <c r="H269" s="58" t="n">
        <v>56</v>
      </c>
      <c r="I269" s="58">
        <f>IF(R269="","",VLOOKUP(R269,REGRAS!$B$2:$D$13,3,FALSE()))</f>
        <v/>
      </c>
      <c r="J269" s="58" t="n"/>
      <c r="K269" s="58">
        <f>IF(R269="","",IF(R269="VENDA / PEDIDO","RECOMPRA",IF(R269="SUPORTE","PÓS-VENDA",IF(OR(R269="FOLLOW UP 7",R269="FOLLOW UP 15"),"SALVAMENTO",IF(R269="PERDA / FECHOU LOJA","NUTRIÇÃO",IF(R269="RELACIONAMENTO","CS",IF(OR(R269="ORÇAMENTO",R269="CADASTRO"),"PROSPECÇÃO",IF(R269="EM ATENDIMENTO","EM ATENDIMENTO",IF(OR(R269="NÃO ATENDE",R269="NÃO RESPONDE",R269="RECUSOU LIGAÇÃO"),"RECUPERAÇÃO","")))))))))</f>
        <v/>
      </c>
      <c r="L269" s="58">
        <f>IF(H269="","",IF(G269="PROSPECT","🟣",IF(G269="LEAD","🟣",IF(G269="NOVO","🟢",IF(H269&lt;=50,"🟢",IF(H269&lt;=90,"🟡","🔴"))))))</f>
        <v/>
      </c>
      <c r="M269" s="58" t="n"/>
      <c r="N269" s="58" t="inlineStr">
        <is>
          <t>NÃO</t>
        </is>
      </c>
      <c r="O269" s="58" t="inlineStr">
        <is>
          <t>NÃO</t>
        </is>
      </c>
      <c r="P269" s="58" t="inlineStr">
        <is>
          <t>N/A</t>
        </is>
      </c>
      <c r="Q269" s="58" t="inlineStr">
        <is>
          <t>ATEND. CLIENTES ATIVOS</t>
        </is>
      </c>
      <c r="R269" s="58" t="inlineStr">
        <is>
          <t>NÃO ATENDE</t>
        </is>
      </c>
      <c r="S269" s="58" t="inlineStr">
        <is>
          <t>SÓ QUER COMPRAR GRANEL</t>
        </is>
      </c>
      <c r="T269" s="71">
        <f>IF(R269="","",IF(OR(R269="SUPORTE",R269="PERDA / FECHOU LOJA"),"SEM",A269+VLOOKUP(R269,REGRAS!$B$2:$C$13,2,FALSE())))</f>
        <v/>
      </c>
      <c r="U269" s="58">
        <f>IF(R269="","",IF(R269="VENDA / PEDIDO","RECOMPRA",IF(R269="SUPORTE","PÓS-VENDA",IF(R269="RELACIONAMENTO","CS",IF(OR(R269="NÃO ATENDE",R269="NÃO RESPONDE",R269="RECUSOU LIGAÇÃO"),"REATIVAÇÃO",IF(R269="PERDA / FECHOU LOJA","NUTRIÇÃO",IF(OR(R269="FOLLOW UP 7",R269="FOLLOW UP 15"),"SALVAMENTO","PROSPECÇÃO")))))))</f>
        <v/>
      </c>
      <c r="V269" s="58" t="n"/>
      <c r="W269" s="58" t="inlineStr">
        <is>
          <t>NÃO</t>
        </is>
      </c>
      <c r="X269" s="58" t="n"/>
    </row>
    <row r="270">
      <c r="A270" s="71" t="n">
        <v>46070</v>
      </c>
      <c r="B270" s="58" t="inlineStr">
        <is>
          <t>MANU DITZEL</t>
        </is>
      </c>
      <c r="C270" s="58" t="inlineStr">
        <is>
          <t>FITLAND PR 97</t>
        </is>
      </c>
      <c r="D270" s="58" t="inlineStr">
        <is>
          <t>83.231.155/8614-64</t>
        </is>
      </c>
      <c r="E270" s="58" t="inlineStr">
        <is>
          <t>RS</t>
        </is>
      </c>
      <c r="F270" s="58" t="inlineStr">
        <is>
          <t>VIDA LEVE</t>
        </is>
      </c>
      <c r="G270" s="58" t="inlineStr">
        <is>
          <t>INAT.REC</t>
        </is>
      </c>
      <c r="H270" s="58" t="n">
        <v>73</v>
      </c>
      <c r="I270" s="58">
        <f>IF(R270="","",VLOOKUP(R270,REGRAS!$B$2:$D$13,3,FALSE()))</f>
        <v/>
      </c>
      <c r="J270" s="58" t="n"/>
      <c r="K270" s="58">
        <f>IF(R270="","",IF(R270="VENDA / PEDIDO","RECOMPRA",IF(R270="SUPORTE","PÓS-VENDA",IF(OR(R270="FOLLOW UP 7",R270="FOLLOW UP 15"),"SALVAMENTO",IF(R270="PERDA / FECHOU LOJA","NUTRIÇÃO",IF(R270="RELACIONAMENTO","CS",IF(OR(R270="ORÇAMENTO",R270="CADASTRO"),"PROSPECÇÃO",IF(R270="EM ATENDIMENTO","EM ATENDIMENTO",IF(OR(R270="NÃO ATENDE",R270="NÃO RESPONDE",R270="RECUSOU LIGAÇÃO"),"RECUPERAÇÃO","")))))))))</f>
        <v/>
      </c>
      <c r="L270" s="58">
        <f>IF(H270="","",IF(G270="PROSPECT","🟣",IF(G270="LEAD","🟣",IF(G270="NOVO","🟢",IF(H270&lt;=50,"🟢",IF(H270&lt;=90,"🟡","🔴"))))))</f>
        <v/>
      </c>
      <c r="M270" s="58" t="n"/>
      <c r="N270" s="58" t="inlineStr">
        <is>
          <t>SIM</t>
        </is>
      </c>
      <c r="O270" s="58" t="inlineStr">
        <is>
          <t>SIM</t>
        </is>
      </c>
      <c r="P270" s="58" t="inlineStr">
        <is>
          <t>SIM</t>
        </is>
      </c>
      <c r="Q270" s="58" t="inlineStr">
        <is>
          <t>PÓS-VENDA / RELACIONAMENTO</t>
        </is>
      </c>
      <c r="R270" s="58" t="inlineStr">
        <is>
          <t>VENDA / PEDIDO</t>
        </is>
      </c>
      <c r="S270" s="58" t="n"/>
      <c r="T270" s="71">
        <f>IF(R270="","",IF(OR(R270="SUPORTE",R270="PERDA / FECHOU LOJA"),"SEM",A270+VLOOKUP(R270,REGRAS!$B$2:$C$13,2,FALSE())))</f>
        <v/>
      </c>
      <c r="U270" s="58">
        <f>IF(R270="","",IF(R270="VENDA / PEDIDO","RECOMPRA",IF(R270="SUPORTE","PÓS-VENDA",IF(R270="RELACIONAMENTO","CS",IF(OR(R270="NÃO ATENDE",R270="NÃO RESPONDE",R270="RECUSOU LIGAÇÃO"),"REATIVAÇÃO",IF(R270="PERDA / FECHOU LOJA","NUTRIÇÃO",IF(OR(R270="FOLLOW UP 7",R270="FOLLOW UP 15"),"SALVAMENTO","PROSPECÇÃO")))))))</f>
        <v/>
      </c>
      <c r="V270" s="58" t="n"/>
      <c r="W270" s="58" t="inlineStr">
        <is>
          <t>SIM</t>
        </is>
      </c>
      <c r="X270" s="58" t="n"/>
    </row>
    <row r="271">
      <c r="A271" s="71" t="n">
        <v>46054</v>
      </c>
      <c r="B271" s="58" t="inlineStr">
        <is>
          <t>MANU DITZEL</t>
        </is>
      </c>
      <c r="C271" s="58" t="inlineStr">
        <is>
          <t>DIVINA TERRA RJ 49</t>
        </is>
      </c>
      <c r="D271" s="58" t="inlineStr">
        <is>
          <t>84.203.433/5925-88</t>
        </is>
      </c>
      <c r="E271" s="58" t="inlineStr">
        <is>
          <t>BA</t>
        </is>
      </c>
      <c r="F271" s="58" t="inlineStr">
        <is>
          <t>BIOMUNDO</t>
        </is>
      </c>
      <c r="G271" s="58" t="inlineStr">
        <is>
          <t>ATIVO</t>
        </is>
      </c>
      <c r="H271" s="58" t="n">
        <v>22</v>
      </c>
      <c r="I271" s="58">
        <f>IF(R271="","",VLOOKUP(R271,REGRAS!$B$2:$D$13,3,FALSE()))</f>
        <v/>
      </c>
      <c r="J271" s="58" t="n"/>
      <c r="K271" s="58">
        <f>IF(R271="","",IF(R271="VENDA / PEDIDO","RECOMPRA",IF(R271="SUPORTE","PÓS-VENDA",IF(OR(R271="FOLLOW UP 7",R271="FOLLOW UP 15"),"SALVAMENTO",IF(R271="PERDA / FECHOU LOJA","NUTRIÇÃO",IF(R271="RELACIONAMENTO","CS",IF(OR(R271="ORÇAMENTO",R271="CADASTRO"),"PROSPECÇÃO",IF(R271="EM ATENDIMENTO","EM ATENDIMENTO",IF(OR(R271="NÃO ATENDE",R271="NÃO RESPONDE",R271="RECUSOU LIGAÇÃO"),"RECUPERAÇÃO","")))))))))</f>
        <v/>
      </c>
      <c r="L271" s="58">
        <f>IF(H271="","",IF(G271="PROSPECT","🟣",IF(G271="LEAD","🟣",IF(G271="NOVO","🟢",IF(H271&lt;=50,"🟢",IF(H271&lt;=90,"🟡","🔴"))))))</f>
        <v/>
      </c>
      <c r="M271" s="58" t="n"/>
      <c r="N271" s="58" t="inlineStr">
        <is>
          <t>SIM</t>
        </is>
      </c>
      <c r="O271" s="58" t="inlineStr">
        <is>
          <t>NÃO</t>
        </is>
      </c>
      <c r="P271" s="58" t="inlineStr">
        <is>
          <t>N/A</t>
        </is>
      </c>
      <c r="Q271" s="58" t="inlineStr">
        <is>
          <t>ATEND. CLIENTES ATIVOS</t>
        </is>
      </c>
      <c r="R271" s="58" t="inlineStr">
        <is>
          <t>FOLLOW UP 7</t>
        </is>
      </c>
      <c r="S271" s="58" t="inlineStr">
        <is>
          <t>AINDA TEM ESTOQUE</t>
        </is>
      </c>
      <c r="T271" s="71">
        <f>IF(R271="","",IF(OR(R271="SUPORTE",R271="PERDA / FECHOU LOJA"),"SEM",A271+VLOOKUP(R271,REGRAS!$B$2:$C$13,2,FALSE())))</f>
        <v/>
      </c>
      <c r="U271" s="58">
        <f>IF(R271="","",IF(R271="VENDA / PEDIDO","RECOMPRA",IF(R271="SUPORTE","PÓS-VENDA",IF(R271="RELACIONAMENTO","CS",IF(OR(R271="NÃO ATENDE",R271="NÃO RESPONDE",R271="RECUSOU LIGAÇÃO"),"REATIVAÇÃO",IF(R271="PERDA / FECHOU LOJA","NUTRIÇÃO",IF(OR(R271="FOLLOW UP 7",R271="FOLLOW UP 15"),"SALVAMENTO","PROSPECÇÃO")))))))</f>
        <v/>
      </c>
      <c r="V271" s="58" t="n"/>
      <c r="W271" s="58" t="inlineStr">
        <is>
          <t>NÃO</t>
        </is>
      </c>
      <c r="X271" s="58" t="n"/>
    </row>
    <row r="272">
      <c r="A272" s="71" t="n">
        <v>46065</v>
      </c>
      <c r="B272" s="58" t="inlineStr">
        <is>
          <t>LARISSA PADILHA</t>
        </is>
      </c>
      <c r="C272" s="58" t="inlineStr">
        <is>
          <t>TUDO GRÃOS SC 36</t>
        </is>
      </c>
      <c r="D272" s="58" t="inlineStr">
        <is>
          <t>67.284.685/2149-83</t>
        </is>
      </c>
      <c r="E272" s="58" t="inlineStr">
        <is>
          <t>SP</t>
        </is>
      </c>
      <c r="F272" s="58" t="inlineStr">
        <is>
          <t>DEMAIS CLIENTES</t>
        </is>
      </c>
      <c r="G272" s="58" t="inlineStr">
        <is>
          <t>INAT.ANT</t>
        </is>
      </c>
      <c r="H272" s="58" t="n">
        <v>296</v>
      </c>
      <c r="I272" s="58">
        <f>IF(R272="","",VLOOKUP(R272,REGRAS!$B$2:$D$13,3,FALSE()))</f>
        <v/>
      </c>
      <c r="J272" s="58" t="n"/>
      <c r="K272" s="58">
        <f>IF(R272="","",IF(R272="VENDA / PEDIDO","RECOMPRA",IF(R272="SUPORTE","PÓS-VENDA",IF(OR(R272="FOLLOW UP 7",R272="FOLLOW UP 15"),"SALVAMENTO",IF(R272="PERDA / FECHOU LOJA","NUTRIÇÃO",IF(R272="RELACIONAMENTO","CS",IF(OR(R272="ORÇAMENTO",R272="CADASTRO"),"PROSPECÇÃO",IF(R272="EM ATENDIMENTO","EM ATENDIMENTO",IF(OR(R272="NÃO ATENDE",R272="NÃO RESPONDE",R272="RECUSOU LIGAÇÃO"),"RECUPERAÇÃO","")))))))))</f>
        <v/>
      </c>
      <c r="L272" s="58">
        <f>IF(H272="","",IF(G272="PROSPECT","🟣",IF(G272="LEAD","🟣",IF(G272="NOVO","🟢",IF(H272&lt;=50,"🟢",IF(H272&lt;=90,"🟡","🔴"))))))</f>
        <v/>
      </c>
      <c r="M272" s="58" t="n"/>
      <c r="N272" s="58" t="inlineStr">
        <is>
          <t>SIM</t>
        </is>
      </c>
      <c r="O272" s="58" t="inlineStr">
        <is>
          <t>SIM</t>
        </is>
      </c>
      <c r="P272" s="58" t="inlineStr">
        <is>
          <t>NÃO</t>
        </is>
      </c>
      <c r="Q272" s="58" t="inlineStr">
        <is>
          <t>NEGOCIAÇÃO</t>
        </is>
      </c>
      <c r="R272" s="58" t="inlineStr">
        <is>
          <t>ORÇAMENTO</t>
        </is>
      </c>
      <c r="S272" s="58" t="n"/>
      <c r="T272" s="71">
        <f>IF(R272="","",IF(OR(R272="SUPORTE",R272="PERDA / FECHOU LOJA"),"SEM",A272+VLOOKUP(R272,REGRAS!$B$2:$C$13,2,FALSE())))</f>
        <v/>
      </c>
      <c r="U272" s="58">
        <f>IF(R272="","",IF(R272="VENDA / PEDIDO","RECOMPRA",IF(R272="SUPORTE","PÓS-VENDA",IF(R272="RELACIONAMENTO","CS",IF(OR(R272="NÃO ATENDE",R272="NÃO RESPONDE",R272="RECUSOU LIGAÇÃO"),"REATIVAÇÃO",IF(R272="PERDA / FECHOU LOJA","NUTRIÇÃO",IF(OR(R272="FOLLOW UP 7",R272="FOLLOW UP 15"),"SALVAMENTO","PROSPECÇÃO")))))))</f>
        <v/>
      </c>
      <c r="V272" s="58" t="n"/>
      <c r="W272" s="58" t="inlineStr">
        <is>
          <t>SIM</t>
        </is>
      </c>
      <c r="X272" s="58" t="n"/>
    </row>
    <row r="273">
      <c r="A273" s="71" t="n">
        <v>46079</v>
      </c>
      <c r="B273" s="58" t="inlineStr">
        <is>
          <t>MANU DITZEL</t>
        </is>
      </c>
      <c r="C273" s="58" t="inlineStr">
        <is>
          <t>NUTRI SHOP 64</t>
        </is>
      </c>
      <c r="D273" s="58" t="inlineStr">
        <is>
          <t>27.969.745/8471-78</t>
        </is>
      </c>
      <c r="E273" s="58" t="inlineStr">
        <is>
          <t>RJ</t>
        </is>
      </c>
      <c r="F273" s="58" t="inlineStr">
        <is>
          <t>DEMAIS CLIENTES</t>
        </is>
      </c>
      <c r="G273" s="58" t="inlineStr">
        <is>
          <t>ATIVO</t>
        </is>
      </c>
      <c r="H273" s="58" t="n">
        <v>40</v>
      </c>
      <c r="I273" s="58">
        <f>IF(R273="","",VLOOKUP(R273,REGRAS!$B$2:$D$13,3,FALSE()))</f>
        <v/>
      </c>
      <c r="J273" s="58" t="n"/>
      <c r="K273" s="58">
        <f>IF(R273="","",IF(R273="VENDA / PEDIDO","RECOMPRA",IF(R273="SUPORTE","PÓS-VENDA",IF(OR(R273="FOLLOW UP 7",R273="FOLLOW UP 15"),"SALVAMENTO",IF(R273="PERDA / FECHOU LOJA","NUTRIÇÃO",IF(R273="RELACIONAMENTO","CS",IF(OR(R273="ORÇAMENTO",R273="CADASTRO"),"PROSPECÇÃO",IF(R273="EM ATENDIMENTO","EM ATENDIMENTO",IF(OR(R273="NÃO ATENDE",R273="NÃO RESPONDE",R273="RECUSOU LIGAÇÃO"),"RECUPERAÇÃO","")))))))))</f>
        <v/>
      </c>
      <c r="L273" s="58">
        <f>IF(H273="","",IF(G273="PROSPECT","🟣",IF(G273="LEAD","🟣",IF(G273="NOVO","🟢",IF(H273&lt;=50,"🟢",IF(H273&lt;=90,"🟡","🔴"))))))</f>
        <v/>
      </c>
      <c r="M273" s="58" t="n"/>
      <c r="N273" s="58" t="inlineStr">
        <is>
          <t>SIM</t>
        </is>
      </c>
      <c r="O273" s="58" t="inlineStr">
        <is>
          <t>SIM</t>
        </is>
      </c>
      <c r="P273" s="58" t="inlineStr">
        <is>
          <t>SIM</t>
        </is>
      </c>
      <c r="Q273" s="58" t="inlineStr">
        <is>
          <t>PÓS-VENDA / RELACIONAMENTO</t>
        </is>
      </c>
      <c r="R273" s="58" t="inlineStr">
        <is>
          <t>RELACIONAMENTO</t>
        </is>
      </c>
      <c r="S273" s="58" t="n"/>
      <c r="T273" s="71">
        <f>IF(R273="","",IF(OR(R273="SUPORTE",R273="PERDA / FECHOU LOJA"),"SEM",A273+VLOOKUP(R273,REGRAS!$B$2:$C$13,2,FALSE())))</f>
        <v/>
      </c>
      <c r="U273" s="58">
        <f>IF(R273="","",IF(R273="VENDA / PEDIDO","RECOMPRA",IF(R273="SUPORTE","PÓS-VENDA",IF(R273="RELACIONAMENTO","CS",IF(OR(R273="NÃO ATENDE",R273="NÃO RESPONDE",R273="RECUSOU LIGAÇÃO"),"REATIVAÇÃO",IF(R273="PERDA / FECHOU LOJA","NUTRIÇÃO",IF(OR(R273="FOLLOW UP 7",R273="FOLLOW UP 15"),"SALVAMENTO","PROSPECÇÃO")))))))</f>
        <v/>
      </c>
      <c r="V273" s="58" t="n"/>
      <c r="W273" s="58" t="inlineStr">
        <is>
          <t>SIM</t>
        </is>
      </c>
      <c r="X273" s="58" t="n"/>
    </row>
    <row r="274">
      <c r="A274" s="71" t="n">
        <v>46080</v>
      </c>
      <c r="B274" s="58" t="inlineStr">
        <is>
          <t>JULIO GADRET</t>
        </is>
      </c>
      <c r="C274" s="58" t="inlineStr">
        <is>
          <t>EMPÓRIO BIO 96</t>
        </is>
      </c>
      <c r="D274" s="58" t="inlineStr">
        <is>
          <t>52.366.469/5904-81</t>
        </is>
      </c>
      <c r="E274" s="58" t="inlineStr">
        <is>
          <t>SP</t>
        </is>
      </c>
      <c r="F274" s="58" t="inlineStr">
        <is>
          <t>DEMAIS CLIENTES</t>
        </is>
      </c>
      <c r="G274" s="58" t="inlineStr">
        <is>
          <t>ATIVO</t>
        </is>
      </c>
      <c r="H274" s="58" t="n">
        <v>31</v>
      </c>
      <c r="I274" s="58">
        <f>IF(R274="","",VLOOKUP(R274,REGRAS!$B$2:$D$13,3,FALSE()))</f>
        <v/>
      </c>
      <c r="J274" s="58" t="n"/>
      <c r="K274" s="58">
        <f>IF(R274="","",IF(R274="VENDA / PEDIDO","RECOMPRA",IF(R274="SUPORTE","PÓS-VENDA",IF(OR(R274="FOLLOW UP 7",R274="FOLLOW UP 15"),"SALVAMENTO",IF(R274="PERDA / FECHOU LOJA","NUTRIÇÃO",IF(R274="RELACIONAMENTO","CS",IF(OR(R274="ORÇAMENTO",R274="CADASTRO"),"PROSPECÇÃO",IF(R274="EM ATENDIMENTO","EM ATENDIMENTO",IF(OR(R274="NÃO ATENDE",R274="NÃO RESPONDE",R274="RECUSOU LIGAÇÃO"),"RECUPERAÇÃO","")))))))))</f>
        <v/>
      </c>
      <c r="L274" s="58">
        <f>IF(H274="","",IF(G274="PROSPECT","🟣",IF(G274="LEAD","🟣",IF(G274="NOVO","🟢",IF(H274&lt;=50,"🟢",IF(H274&lt;=90,"🟡","🔴"))))))</f>
        <v/>
      </c>
      <c r="M274" s="58" t="n"/>
      <c r="N274" s="58" t="inlineStr">
        <is>
          <t>NÃO</t>
        </is>
      </c>
      <c r="O274" s="58" t="inlineStr">
        <is>
          <t>SIM</t>
        </is>
      </c>
      <c r="P274" s="58" t="inlineStr">
        <is>
          <t>NÃO</t>
        </is>
      </c>
      <c r="Q274" s="58" t="inlineStr">
        <is>
          <t>PROSPECÇÃO</t>
        </is>
      </c>
      <c r="R274" s="58" t="inlineStr">
        <is>
          <t>RECUSOU LIGAÇÃO</t>
        </is>
      </c>
      <c r="S274" s="58" t="inlineStr">
        <is>
          <t>PROBLEMA LOGÍSTICO / ENTREGA</t>
        </is>
      </c>
      <c r="T274" s="71">
        <f>IF(R274="","",IF(OR(R274="SUPORTE",R274="PERDA / FECHOU LOJA"),"SEM",A274+VLOOKUP(R274,REGRAS!$B$2:$C$13,2,FALSE())))</f>
        <v/>
      </c>
      <c r="U274" s="58">
        <f>IF(R274="","",IF(R274="VENDA / PEDIDO","RECOMPRA",IF(R274="SUPORTE","PÓS-VENDA",IF(R274="RELACIONAMENTO","CS",IF(OR(R274="NÃO ATENDE",R274="NÃO RESPONDE",R274="RECUSOU LIGAÇÃO"),"REATIVAÇÃO",IF(R274="PERDA / FECHOU LOJA","NUTRIÇÃO",IF(OR(R274="FOLLOW UP 7",R274="FOLLOW UP 15"),"SALVAMENTO","PROSPECÇÃO")))))))</f>
        <v/>
      </c>
      <c r="V274" s="58" t="n"/>
      <c r="W274" s="58" t="inlineStr">
        <is>
          <t>SIM</t>
        </is>
      </c>
      <c r="X274" s="58" t="n"/>
    </row>
    <row r="275">
      <c r="A275" s="71" t="n">
        <v>46078</v>
      </c>
      <c r="B275" s="58" t="inlineStr">
        <is>
          <t>MANU DITZEL</t>
        </is>
      </c>
      <c r="C275" s="58" t="inlineStr">
        <is>
          <t>BIO GRÃOS 87</t>
        </is>
      </c>
      <c r="D275" s="58" t="inlineStr">
        <is>
          <t>75.599.893/7323-20</t>
        </is>
      </c>
      <c r="E275" s="58" t="inlineStr">
        <is>
          <t>SC</t>
        </is>
      </c>
      <c r="F275" s="58" t="inlineStr">
        <is>
          <t>CIA DA SAUDE</t>
        </is>
      </c>
      <c r="G275" s="58" t="inlineStr">
        <is>
          <t>INAT.ANT</t>
        </is>
      </c>
      <c r="H275" s="58" t="n">
        <v>128</v>
      </c>
      <c r="I275" s="58">
        <f>IF(R275="","",VLOOKUP(R275,REGRAS!$B$2:$D$13,3,FALSE()))</f>
        <v/>
      </c>
      <c r="J275" s="58" t="n"/>
      <c r="K275" s="58">
        <f>IF(R275="","",IF(R275="VENDA / PEDIDO","RECOMPRA",IF(R275="SUPORTE","PÓS-VENDA",IF(OR(R275="FOLLOW UP 7",R275="FOLLOW UP 15"),"SALVAMENTO",IF(R275="PERDA / FECHOU LOJA","NUTRIÇÃO",IF(R275="RELACIONAMENTO","CS",IF(OR(R275="ORÇAMENTO",R275="CADASTRO"),"PROSPECÇÃO",IF(R275="EM ATENDIMENTO","EM ATENDIMENTO",IF(OR(R275="NÃO ATENDE",R275="NÃO RESPONDE",R275="RECUSOU LIGAÇÃO"),"RECUPERAÇÃO","")))))))))</f>
        <v/>
      </c>
      <c r="L275" s="58">
        <f>IF(H275="","",IF(G275="PROSPECT","🟣",IF(G275="LEAD","🟣",IF(G275="NOVO","🟢",IF(H275&lt;=50,"🟢",IF(H275&lt;=90,"🟡","🔴"))))))</f>
        <v/>
      </c>
      <c r="M275" s="58" t="n"/>
      <c r="N275" s="58" t="inlineStr">
        <is>
          <t>NÃO</t>
        </is>
      </c>
      <c r="O275" s="58" t="inlineStr">
        <is>
          <t>SIM</t>
        </is>
      </c>
      <c r="P275" s="58" t="inlineStr">
        <is>
          <t>NÃO</t>
        </is>
      </c>
      <c r="Q275" s="58" t="inlineStr">
        <is>
          <t>PÓS-VENDA / RELACIONAMENTO</t>
        </is>
      </c>
      <c r="R275" s="58" t="inlineStr">
        <is>
          <t>SUPORTE</t>
        </is>
      </c>
      <c r="S275" s="58" t="n"/>
      <c r="T275" s="71">
        <f>IF(R275="","",IF(OR(R275="SUPORTE",R275="PERDA / FECHOU LOJA"),"SEM",A275+VLOOKUP(R275,REGRAS!$B$2:$C$13,2,FALSE())))</f>
        <v/>
      </c>
      <c r="U275" s="58">
        <f>IF(R275="","",IF(R275="VENDA / PEDIDO","RECOMPRA",IF(R275="SUPORTE","PÓS-VENDA",IF(R275="RELACIONAMENTO","CS",IF(OR(R275="NÃO ATENDE",R275="NÃO RESPONDE",R275="RECUSOU LIGAÇÃO"),"REATIVAÇÃO",IF(R275="PERDA / FECHOU LOJA","NUTRIÇÃO",IF(OR(R275="FOLLOW UP 7",R275="FOLLOW UP 15"),"SALVAMENTO","PROSPECÇÃO")))))))</f>
        <v/>
      </c>
      <c r="V275" s="58" t="n"/>
      <c r="W275" s="58" t="inlineStr">
        <is>
          <t>SIM</t>
        </is>
      </c>
      <c r="X275" s="58" t="n"/>
    </row>
    <row r="276">
      <c r="A276" s="71" t="n">
        <v>46056</v>
      </c>
      <c r="B276" s="58" t="inlineStr">
        <is>
          <t>MANU DITZEL</t>
        </is>
      </c>
      <c r="C276" s="58" t="inlineStr">
        <is>
          <t>SAUDE TOTAL 30</t>
        </is>
      </c>
      <c r="D276" s="58" t="inlineStr">
        <is>
          <t>50.424.768/4774-44</t>
        </is>
      </c>
      <c r="E276" s="58" t="inlineStr">
        <is>
          <t>SP</t>
        </is>
      </c>
      <c r="F276" s="58" t="inlineStr">
        <is>
          <t>FIT LAND</t>
        </is>
      </c>
      <c r="G276" s="58" t="inlineStr">
        <is>
          <t>NOVO</t>
        </is>
      </c>
      <c r="H276" s="58" t="n"/>
      <c r="I276" s="58">
        <f>IF(R276="","",VLOOKUP(R276,REGRAS!$B$2:$D$13,3,FALSE()))</f>
        <v/>
      </c>
      <c r="J276" s="58" t="n"/>
      <c r="K276" s="58">
        <f>IF(R276="","",IF(R276="VENDA / PEDIDO","RECOMPRA",IF(R276="SUPORTE","PÓS-VENDA",IF(OR(R276="FOLLOW UP 7",R276="FOLLOW UP 15"),"SALVAMENTO",IF(R276="PERDA / FECHOU LOJA","NUTRIÇÃO",IF(R276="RELACIONAMENTO","CS",IF(OR(R276="ORÇAMENTO",R276="CADASTRO"),"PROSPECÇÃO",IF(R276="EM ATENDIMENTO","EM ATENDIMENTO",IF(OR(R276="NÃO ATENDE",R276="NÃO RESPONDE",R276="RECUSOU LIGAÇÃO"),"RECUPERAÇÃO","")))))))))</f>
        <v/>
      </c>
      <c r="L276" s="58">
        <f>IF(H276="","",IF(G276="PROSPECT","🟣",IF(G276="LEAD","🟣",IF(G276="NOVO","🟢",IF(H276&lt;=50,"🟢",IF(H276&lt;=90,"🟡","🔴"))))))</f>
        <v/>
      </c>
      <c r="M276" s="58" t="n"/>
      <c r="N276" s="58" t="inlineStr">
        <is>
          <t>NÃO</t>
        </is>
      </c>
      <c r="O276" s="58" t="inlineStr">
        <is>
          <t>NÃO</t>
        </is>
      </c>
      <c r="P276" s="58" t="inlineStr">
        <is>
          <t>N/A</t>
        </is>
      </c>
      <c r="Q276" s="58" t="inlineStr">
        <is>
          <t>PÓS-VENDA / RELACIONAMENTO</t>
        </is>
      </c>
      <c r="R276" s="58" t="inlineStr">
        <is>
          <t>NÃO RESPONDE</t>
        </is>
      </c>
      <c r="S276" s="58" t="inlineStr">
        <is>
          <t>SÓ QUER COMPRAR GRANEL</t>
        </is>
      </c>
      <c r="T276" s="71">
        <f>IF(R276="","",IF(OR(R276="SUPORTE",R276="PERDA / FECHOU LOJA"),"SEM",A276+VLOOKUP(R276,REGRAS!$B$2:$C$13,2,FALSE())))</f>
        <v/>
      </c>
      <c r="U276" s="58">
        <f>IF(R276="","",IF(R276="VENDA / PEDIDO","RECOMPRA",IF(R276="SUPORTE","PÓS-VENDA",IF(R276="RELACIONAMENTO","CS",IF(OR(R276="NÃO ATENDE",R276="NÃO RESPONDE",R276="RECUSOU LIGAÇÃO"),"REATIVAÇÃO",IF(R276="PERDA / FECHOU LOJA","NUTRIÇÃO",IF(OR(R276="FOLLOW UP 7",R276="FOLLOW UP 15"),"SALVAMENTO","PROSPECÇÃO")))))))</f>
        <v/>
      </c>
      <c r="V276" s="58" t="n"/>
      <c r="W276" s="58" t="inlineStr">
        <is>
          <t>SIM</t>
        </is>
      </c>
      <c r="X276" s="58" t="n"/>
    </row>
    <row r="277">
      <c r="A277" s="71" t="n">
        <v>46081</v>
      </c>
      <c r="B277" s="58" t="inlineStr">
        <is>
          <t>MANU DITZEL</t>
        </is>
      </c>
      <c r="C277" s="58" t="inlineStr">
        <is>
          <t>ARMAZEM FIT 85</t>
        </is>
      </c>
      <c r="D277" s="58" t="inlineStr">
        <is>
          <t>42.861.817/1312-36</t>
        </is>
      </c>
      <c r="E277" s="58" t="inlineStr">
        <is>
          <t>PR</t>
        </is>
      </c>
      <c r="F277" s="58" t="inlineStr">
        <is>
          <t>MUNDO VERDE</t>
        </is>
      </c>
      <c r="G277" s="58" t="inlineStr">
        <is>
          <t>ATIVO</t>
        </is>
      </c>
      <c r="H277" s="58" t="n">
        <v>35</v>
      </c>
      <c r="I277" s="58">
        <f>IF(R277="","",VLOOKUP(R277,REGRAS!$B$2:$D$13,3,FALSE()))</f>
        <v/>
      </c>
      <c r="J277" s="58" t="n"/>
      <c r="K277" s="58">
        <f>IF(R277="","",IF(R277="VENDA / PEDIDO","RECOMPRA",IF(R277="SUPORTE","PÓS-VENDA",IF(OR(R277="FOLLOW UP 7",R277="FOLLOW UP 15"),"SALVAMENTO",IF(R277="PERDA / FECHOU LOJA","NUTRIÇÃO",IF(R277="RELACIONAMENTO","CS",IF(OR(R277="ORÇAMENTO",R277="CADASTRO"),"PROSPECÇÃO",IF(R277="EM ATENDIMENTO","EM ATENDIMENTO",IF(OR(R277="NÃO ATENDE",R277="NÃO RESPONDE",R277="RECUSOU LIGAÇÃO"),"RECUPERAÇÃO","")))))))))</f>
        <v/>
      </c>
      <c r="L277" s="58">
        <f>IF(H277="","",IF(G277="PROSPECT","🟣",IF(G277="LEAD","🟣",IF(G277="NOVO","🟢",IF(H277&lt;=50,"🟢",IF(H277&lt;=90,"🟡","🔴"))))))</f>
        <v/>
      </c>
      <c r="M277" s="58" t="n"/>
      <c r="N277" s="58" t="inlineStr">
        <is>
          <t>SIM</t>
        </is>
      </c>
      <c r="O277" s="58" t="inlineStr">
        <is>
          <t>NÃO</t>
        </is>
      </c>
      <c r="P277" s="58" t="inlineStr">
        <is>
          <t>N/A</t>
        </is>
      </c>
      <c r="Q277" s="58" t="inlineStr">
        <is>
          <t>ATEND. CLIENTES ATIVOS</t>
        </is>
      </c>
      <c r="R277" s="58" t="inlineStr">
        <is>
          <t>VENDA / PEDIDO</t>
        </is>
      </c>
      <c r="S277" s="58" t="n"/>
      <c r="T277" s="71">
        <f>IF(R277="","",IF(OR(R277="SUPORTE",R277="PERDA / FECHOU LOJA"),"SEM",A277+VLOOKUP(R277,REGRAS!$B$2:$C$13,2,FALSE())))</f>
        <v/>
      </c>
      <c r="U277" s="58">
        <f>IF(R277="","",IF(R277="VENDA / PEDIDO","RECOMPRA",IF(R277="SUPORTE","PÓS-VENDA",IF(R277="RELACIONAMENTO","CS",IF(OR(R277="NÃO ATENDE",R277="NÃO RESPONDE",R277="RECUSOU LIGAÇÃO"),"REATIVAÇÃO",IF(R277="PERDA / FECHOU LOJA","NUTRIÇÃO",IF(OR(R277="FOLLOW UP 7",R277="FOLLOW UP 15"),"SALVAMENTO","PROSPECÇÃO")))))))</f>
        <v/>
      </c>
      <c r="V277" s="58" t="n"/>
      <c r="W277" s="58" t="inlineStr">
        <is>
          <t>SIM</t>
        </is>
      </c>
      <c r="X277" s="58" t="n"/>
    </row>
    <row r="278">
      <c r="A278" s="71" t="n">
        <v>46062</v>
      </c>
      <c r="B278" s="58" t="inlineStr">
        <is>
          <t>JULIO GADRET</t>
        </is>
      </c>
      <c r="C278" s="58" t="inlineStr">
        <is>
          <t>GRÃO DE OURO 84</t>
        </is>
      </c>
      <c r="D278" s="58" t="inlineStr">
        <is>
          <t>59.416.334/4054-46</t>
        </is>
      </c>
      <c r="E278" s="58" t="inlineStr">
        <is>
          <t>RS</t>
        </is>
      </c>
      <c r="F278" s="58" t="inlineStr">
        <is>
          <t>MUNDO VERDE</t>
        </is>
      </c>
      <c r="G278" s="58" t="inlineStr">
        <is>
          <t>INAT.REC</t>
        </is>
      </c>
      <c r="H278" s="58" t="n">
        <v>66</v>
      </c>
      <c r="I278" s="58">
        <f>IF(R278="","",VLOOKUP(R278,REGRAS!$B$2:$D$13,3,FALSE()))</f>
        <v/>
      </c>
      <c r="J278" s="58" t="n"/>
      <c r="K278" s="58">
        <f>IF(R278="","",IF(R278="VENDA / PEDIDO","RECOMPRA",IF(R278="SUPORTE","PÓS-VENDA",IF(OR(R278="FOLLOW UP 7",R278="FOLLOW UP 15"),"SALVAMENTO",IF(R278="PERDA / FECHOU LOJA","NUTRIÇÃO",IF(R278="RELACIONAMENTO","CS",IF(OR(R278="ORÇAMENTO",R278="CADASTRO"),"PROSPECÇÃO",IF(R278="EM ATENDIMENTO","EM ATENDIMENTO",IF(OR(R278="NÃO ATENDE",R278="NÃO RESPONDE",R278="RECUSOU LIGAÇÃO"),"RECUPERAÇÃO","")))))))))</f>
        <v/>
      </c>
      <c r="L278" s="58">
        <f>IF(H278="","",IF(G278="PROSPECT","🟣",IF(G278="LEAD","🟣",IF(G278="NOVO","🟢",IF(H278&lt;=50,"🟢",IF(H278&lt;=90,"🟡","🔴"))))))</f>
        <v/>
      </c>
      <c r="M278" s="58" t="n"/>
      <c r="N278" s="58" t="inlineStr">
        <is>
          <t>NÃO</t>
        </is>
      </c>
      <c r="O278" s="58" t="inlineStr">
        <is>
          <t>SIM</t>
        </is>
      </c>
      <c r="P278" s="58" t="inlineStr">
        <is>
          <t>SIM</t>
        </is>
      </c>
      <c r="Q278" s="58" t="inlineStr">
        <is>
          <t>PROSPECÇÃO</t>
        </is>
      </c>
      <c r="R278" s="58" t="inlineStr">
        <is>
          <t>NÃO ATENDE</t>
        </is>
      </c>
      <c r="S278" s="58" t="inlineStr">
        <is>
          <t>PRIMEIRO CONTATO / SEM RESPOSTA</t>
        </is>
      </c>
      <c r="T278" s="71">
        <f>IF(R278="","",IF(OR(R278="SUPORTE",R278="PERDA / FECHOU LOJA"),"SEM",A278+VLOOKUP(R278,REGRAS!$B$2:$C$13,2,FALSE())))</f>
        <v/>
      </c>
      <c r="U278" s="58">
        <f>IF(R278="","",IF(R278="VENDA / PEDIDO","RECOMPRA",IF(R278="SUPORTE","PÓS-VENDA",IF(R278="RELACIONAMENTO","CS",IF(OR(R278="NÃO ATENDE",R278="NÃO RESPONDE",R278="RECUSOU LIGAÇÃO"),"REATIVAÇÃO",IF(R278="PERDA / FECHOU LOJA","NUTRIÇÃO",IF(OR(R278="FOLLOW UP 7",R278="FOLLOW UP 15"),"SALVAMENTO","PROSPECÇÃO")))))))</f>
        <v/>
      </c>
      <c r="V278" s="58" t="n"/>
      <c r="W278" s="58" t="inlineStr">
        <is>
          <t>SIM</t>
        </is>
      </c>
      <c r="X278" s="58" t="n"/>
    </row>
    <row r="279">
      <c r="A279" s="71" t="n">
        <v>46062</v>
      </c>
      <c r="B279" s="58" t="inlineStr">
        <is>
          <t>LARISSA PADILHA</t>
        </is>
      </c>
      <c r="C279" s="58" t="inlineStr">
        <is>
          <t>FIT STORE 90</t>
        </is>
      </c>
      <c r="D279" s="58" t="inlineStr">
        <is>
          <t>79.281.705/9791-68</t>
        </is>
      </c>
      <c r="E279" s="58" t="inlineStr">
        <is>
          <t>SP</t>
        </is>
      </c>
      <c r="F279" s="58" t="inlineStr">
        <is>
          <t>TUDO EM GRAOS</t>
        </is>
      </c>
      <c r="G279" s="58" t="inlineStr">
        <is>
          <t>INAT.REC</t>
        </is>
      </c>
      <c r="H279" s="58" t="n">
        <v>77</v>
      </c>
      <c r="I279" s="58">
        <f>IF(R279="","",VLOOKUP(R279,REGRAS!$B$2:$D$13,3,FALSE()))</f>
        <v/>
      </c>
      <c r="J279" s="58" t="n"/>
      <c r="K279" s="58">
        <f>IF(R279="","",IF(R279="VENDA / PEDIDO","RECOMPRA",IF(R279="SUPORTE","PÓS-VENDA",IF(OR(R279="FOLLOW UP 7",R279="FOLLOW UP 15"),"SALVAMENTO",IF(R279="PERDA / FECHOU LOJA","NUTRIÇÃO",IF(R279="RELACIONAMENTO","CS",IF(OR(R279="ORÇAMENTO",R279="CADASTRO"),"PROSPECÇÃO",IF(R279="EM ATENDIMENTO","EM ATENDIMENTO",IF(OR(R279="NÃO ATENDE",R279="NÃO RESPONDE",R279="RECUSOU LIGAÇÃO"),"RECUPERAÇÃO","")))))))))</f>
        <v/>
      </c>
      <c r="L279" s="58">
        <f>IF(H279="","",IF(G279="PROSPECT","🟣",IF(G279="LEAD","🟣",IF(G279="NOVO","🟢",IF(H279&lt;=50,"🟢",IF(H279&lt;=90,"🟡","🔴"))))))</f>
        <v/>
      </c>
      <c r="M279" s="58" t="n"/>
      <c r="N279" s="58" t="inlineStr">
        <is>
          <t>NÃO</t>
        </is>
      </c>
      <c r="O279" s="58" t="inlineStr">
        <is>
          <t>NÃO</t>
        </is>
      </c>
      <c r="P279" s="58" t="inlineStr">
        <is>
          <t>N/A</t>
        </is>
      </c>
      <c r="Q279" s="58" t="inlineStr">
        <is>
          <t>ATEND. CLIENTES INATIVOS</t>
        </is>
      </c>
      <c r="R279" s="58" t="inlineStr">
        <is>
          <t>RECUSOU LIGAÇÃO</t>
        </is>
      </c>
      <c r="S279" s="58" t="inlineStr">
        <is>
          <t>AINDA TEM ESTOQUE</t>
        </is>
      </c>
      <c r="T279" s="71">
        <f>IF(R279="","",IF(OR(R279="SUPORTE",R279="PERDA / FECHOU LOJA"),"SEM",A279+VLOOKUP(R279,REGRAS!$B$2:$C$13,2,FALSE())))</f>
        <v/>
      </c>
      <c r="U279" s="58">
        <f>IF(R279="","",IF(R279="VENDA / PEDIDO","RECOMPRA",IF(R279="SUPORTE","PÓS-VENDA",IF(R279="RELACIONAMENTO","CS",IF(OR(R279="NÃO ATENDE",R279="NÃO RESPONDE",R279="RECUSOU LIGAÇÃO"),"REATIVAÇÃO",IF(R279="PERDA / FECHOU LOJA","NUTRIÇÃO",IF(OR(R279="FOLLOW UP 7",R279="FOLLOW UP 15"),"SALVAMENTO","PROSPECÇÃO")))))))</f>
        <v/>
      </c>
      <c r="V279" s="58" t="n"/>
      <c r="W279" s="58" t="inlineStr">
        <is>
          <t>SIM</t>
        </is>
      </c>
      <c r="X279" s="58" t="n"/>
    </row>
    <row r="280">
      <c r="A280" s="71" t="n">
        <v>46063</v>
      </c>
      <c r="B280" s="58" t="inlineStr">
        <is>
          <t>LARISSA PADILHA</t>
        </is>
      </c>
      <c r="C280" s="58" t="inlineStr">
        <is>
          <t>PONTO VERDE 20</t>
        </is>
      </c>
      <c r="D280" s="58" t="inlineStr">
        <is>
          <t>48.110.100/8575-27</t>
        </is>
      </c>
      <c r="E280" s="58" t="inlineStr">
        <is>
          <t>SC</t>
        </is>
      </c>
      <c r="F280" s="58" t="inlineStr">
        <is>
          <t>DIVINA TERRA</t>
        </is>
      </c>
      <c r="G280" s="58" t="inlineStr">
        <is>
          <t>ATIVO</t>
        </is>
      </c>
      <c r="H280" s="58" t="n">
        <v>36</v>
      </c>
      <c r="I280" s="58">
        <f>IF(R280="","",VLOOKUP(R280,REGRAS!$B$2:$D$13,3,FALSE()))</f>
        <v/>
      </c>
      <c r="J280" s="58" t="n"/>
      <c r="K280" s="58">
        <f>IF(R280="","",IF(R280="VENDA / PEDIDO","RECOMPRA",IF(R280="SUPORTE","PÓS-VENDA",IF(OR(R280="FOLLOW UP 7",R280="FOLLOW UP 15"),"SALVAMENTO",IF(R280="PERDA / FECHOU LOJA","NUTRIÇÃO",IF(R280="RELACIONAMENTO","CS",IF(OR(R280="ORÇAMENTO",R280="CADASTRO"),"PROSPECÇÃO",IF(R280="EM ATENDIMENTO","EM ATENDIMENTO",IF(OR(R280="NÃO ATENDE",R280="NÃO RESPONDE",R280="RECUSOU LIGAÇÃO"),"RECUPERAÇÃO","")))))))))</f>
        <v/>
      </c>
      <c r="L280" s="58">
        <f>IF(H280="","",IF(G280="PROSPECT","🟣",IF(G280="LEAD","🟣",IF(G280="NOVO","🟢",IF(H280&lt;=50,"🟢",IF(H280&lt;=90,"🟡","🔴"))))))</f>
        <v/>
      </c>
      <c r="M280" s="58" t="n"/>
      <c r="N280" s="58" t="inlineStr">
        <is>
          <t>SIM</t>
        </is>
      </c>
      <c r="O280" s="58" t="inlineStr">
        <is>
          <t>SIM</t>
        </is>
      </c>
      <c r="P280" s="58" t="inlineStr">
        <is>
          <t>SIM</t>
        </is>
      </c>
      <c r="Q280" s="58" t="inlineStr">
        <is>
          <t>PERDA / NUTRIÇÃO</t>
        </is>
      </c>
      <c r="R280" s="58" t="inlineStr">
        <is>
          <t>NÃO ATENDE</t>
        </is>
      </c>
      <c r="S280" s="58" t="inlineStr">
        <is>
          <t>AINDA TEM ESTOQUE</t>
        </is>
      </c>
      <c r="T280" s="71">
        <f>IF(R280="","",IF(OR(R280="SUPORTE",R280="PERDA / FECHOU LOJA"),"SEM",A280+VLOOKUP(R280,REGRAS!$B$2:$C$13,2,FALSE())))</f>
        <v/>
      </c>
      <c r="U280" s="58">
        <f>IF(R280="","",IF(R280="VENDA / PEDIDO","RECOMPRA",IF(R280="SUPORTE","PÓS-VENDA",IF(R280="RELACIONAMENTO","CS",IF(OR(R280="NÃO ATENDE",R280="NÃO RESPONDE",R280="RECUSOU LIGAÇÃO"),"REATIVAÇÃO",IF(R280="PERDA / FECHOU LOJA","NUTRIÇÃO",IF(OR(R280="FOLLOW UP 7",R280="FOLLOW UP 15"),"SALVAMENTO","PROSPECÇÃO")))))))</f>
        <v/>
      </c>
      <c r="V280" s="58" t="n"/>
      <c r="W280" s="58" t="inlineStr">
        <is>
          <t>SIM</t>
        </is>
      </c>
      <c r="X280" s="58" t="n"/>
    </row>
    <row r="281">
      <c r="A281" s="71" t="n">
        <v>46065</v>
      </c>
      <c r="B281" s="58" t="inlineStr">
        <is>
          <t>MANU DITZEL</t>
        </is>
      </c>
      <c r="C281" s="58" t="inlineStr">
        <is>
          <t>ESSENCE FOOD 56</t>
        </is>
      </c>
      <c r="D281" s="58" t="inlineStr">
        <is>
          <t>60.355.267/6386-58</t>
        </is>
      </c>
      <c r="E281" s="58" t="inlineStr">
        <is>
          <t>PR</t>
        </is>
      </c>
      <c r="F281" s="58" t="inlineStr">
        <is>
          <t>MUNDO VERDE</t>
        </is>
      </c>
      <c r="G281" s="58" t="inlineStr">
        <is>
          <t>INAT.ANT</t>
        </is>
      </c>
      <c r="H281" s="58" t="n">
        <v>223</v>
      </c>
      <c r="I281" s="58">
        <f>IF(R281="","",VLOOKUP(R281,REGRAS!$B$2:$D$13,3,FALSE()))</f>
        <v/>
      </c>
      <c r="J281" s="58" t="n"/>
      <c r="K281" s="58">
        <f>IF(R281="","",IF(R281="VENDA / PEDIDO","RECOMPRA",IF(R281="SUPORTE","PÓS-VENDA",IF(OR(R281="FOLLOW UP 7",R281="FOLLOW UP 15"),"SALVAMENTO",IF(R281="PERDA / FECHOU LOJA","NUTRIÇÃO",IF(R281="RELACIONAMENTO","CS",IF(OR(R281="ORÇAMENTO",R281="CADASTRO"),"PROSPECÇÃO",IF(R281="EM ATENDIMENTO","EM ATENDIMENTO",IF(OR(R281="NÃO ATENDE",R281="NÃO RESPONDE",R281="RECUSOU LIGAÇÃO"),"RECUPERAÇÃO","")))))))))</f>
        <v/>
      </c>
      <c r="L281" s="58">
        <f>IF(H281="","",IF(G281="PROSPECT","🟣",IF(G281="LEAD","🟣",IF(G281="NOVO","🟢",IF(H281&lt;=50,"🟢",IF(H281&lt;=90,"🟡","🔴"))))))</f>
        <v/>
      </c>
      <c r="M281" s="58" t="n"/>
      <c r="N281" s="58" t="inlineStr">
        <is>
          <t>NÃO</t>
        </is>
      </c>
      <c r="O281" s="58" t="inlineStr">
        <is>
          <t>NÃO</t>
        </is>
      </c>
      <c r="P281" s="58" t="inlineStr">
        <is>
          <t>N/A</t>
        </is>
      </c>
      <c r="Q281" s="58" t="inlineStr">
        <is>
          <t>PÓS-VENDA / RELACIONAMENTO</t>
        </is>
      </c>
      <c r="R281" s="58" t="inlineStr">
        <is>
          <t>NÃO RESPONDE</t>
        </is>
      </c>
      <c r="S281" s="58" t="inlineStr">
        <is>
          <t>PRODUTO NÃO VENDEU / SEM GIRO</t>
        </is>
      </c>
      <c r="T281" s="71">
        <f>IF(R281="","",IF(OR(R281="SUPORTE",R281="PERDA / FECHOU LOJA"),"SEM",A281+VLOOKUP(R281,REGRAS!$B$2:$C$13,2,FALSE())))</f>
        <v/>
      </c>
      <c r="U281" s="58">
        <f>IF(R281="","",IF(R281="VENDA / PEDIDO","RECOMPRA",IF(R281="SUPORTE","PÓS-VENDA",IF(R281="RELACIONAMENTO","CS",IF(OR(R281="NÃO ATENDE",R281="NÃO RESPONDE",R281="RECUSOU LIGAÇÃO"),"REATIVAÇÃO",IF(R281="PERDA / FECHOU LOJA","NUTRIÇÃO",IF(OR(R281="FOLLOW UP 7",R281="FOLLOW UP 15"),"SALVAMENTO","PROSPECÇÃO")))))))</f>
        <v/>
      </c>
      <c r="V281" s="58" t="n"/>
      <c r="W281" s="58" t="inlineStr">
        <is>
          <t>NÃO</t>
        </is>
      </c>
      <c r="X281" s="58" t="n"/>
    </row>
    <row r="282">
      <c r="A282" s="71" t="n">
        <v>46079</v>
      </c>
      <c r="B282" s="58" t="inlineStr">
        <is>
          <t>MANU DITZEL</t>
        </is>
      </c>
      <c r="C282" s="58" t="inlineStr">
        <is>
          <t>CIA SAUDE SP 09</t>
        </is>
      </c>
      <c r="D282" s="58" t="inlineStr">
        <is>
          <t>33.239.396/1809-91</t>
        </is>
      </c>
      <c r="E282" s="58" t="inlineStr">
        <is>
          <t>RS</t>
        </is>
      </c>
      <c r="F282" s="58" t="inlineStr">
        <is>
          <t>DIVINA TERRA</t>
        </is>
      </c>
      <c r="G282" s="58" t="inlineStr">
        <is>
          <t>INAT.ANT</t>
        </is>
      </c>
      <c r="H282" s="58" t="n">
        <v>216</v>
      </c>
      <c r="I282" s="58">
        <f>IF(R282="","",VLOOKUP(R282,REGRAS!$B$2:$D$13,3,FALSE()))</f>
        <v/>
      </c>
      <c r="J282" s="58" t="n"/>
      <c r="K282" s="58">
        <f>IF(R282="","",IF(R282="VENDA / PEDIDO","RECOMPRA",IF(R282="SUPORTE","PÓS-VENDA",IF(OR(R282="FOLLOW UP 7",R282="FOLLOW UP 15"),"SALVAMENTO",IF(R282="PERDA / FECHOU LOJA","NUTRIÇÃO",IF(R282="RELACIONAMENTO","CS",IF(OR(R282="ORÇAMENTO",R282="CADASTRO"),"PROSPECÇÃO",IF(R282="EM ATENDIMENTO","EM ATENDIMENTO",IF(OR(R282="NÃO ATENDE",R282="NÃO RESPONDE",R282="RECUSOU LIGAÇÃO"),"RECUPERAÇÃO","")))))))))</f>
        <v/>
      </c>
      <c r="L282" s="58">
        <f>IF(H282="","",IF(G282="PROSPECT","🟣",IF(G282="LEAD","🟣",IF(G282="NOVO","🟢",IF(H282&lt;=50,"🟢",IF(H282&lt;=90,"🟡","🔴"))))))</f>
        <v/>
      </c>
      <c r="M282" s="58" t="n"/>
      <c r="N282" s="58" t="inlineStr">
        <is>
          <t>SIM</t>
        </is>
      </c>
      <c r="O282" s="58" t="inlineStr">
        <is>
          <t>NÃO</t>
        </is>
      </c>
      <c r="P282" s="58" t="inlineStr">
        <is>
          <t>N/A</t>
        </is>
      </c>
      <c r="Q282" s="58" t="inlineStr">
        <is>
          <t>NEGOCIAÇÃO</t>
        </is>
      </c>
      <c r="R282" s="58" t="inlineStr">
        <is>
          <t>EM ATENDIMENTO</t>
        </is>
      </c>
      <c r="S282" s="58" t="n"/>
      <c r="T282" s="71">
        <f>IF(R282="","",IF(OR(R282="SUPORTE",R282="PERDA / FECHOU LOJA"),"SEM",A282+VLOOKUP(R282,REGRAS!$B$2:$C$13,2,FALSE())))</f>
        <v/>
      </c>
      <c r="U282" s="58">
        <f>IF(R282="","",IF(R282="VENDA / PEDIDO","RECOMPRA",IF(R282="SUPORTE","PÓS-VENDA",IF(R282="RELACIONAMENTO","CS",IF(OR(R282="NÃO ATENDE",R282="NÃO RESPONDE",R282="RECUSOU LIGAÇÃO"),"REATIVAÇÃO",IF(R282="PERDA / FECHOU LOJA","NUTRIÇÃO",IF(OR(R282="FOLLOW UP 7",R282="FOLLOW UP 15"),"SALVAMENTO","PROSPECÇÃO")))))))</f>
        <v/>
      </c>
      <c r="V282" s="58" t="n"/>
      <c r="W282" s="58" t="inlineStr">
        <is>
          <t>SIM</t>
        </is>
      </c>
      <c r="X282" s="58" t="n"/>
    </row>
    <row r="283">
      <c r="A283" s="71" t="n">
        <v>46057</v>
      </c>
      <c r="B283" s="58" t="inlineStr">
        <is>
          <t>MANU DITZEL</t>
        </is>
      </c>
      <c r="C283" s="58" t="inlineStr">
        <is>
          <t>FIT STORE 92</t>
        </is>
      </c>
      <c r="D283" s="58" t="inlineStr">
        <is>
          <t>66.844.108/3815-21</t>
        </is>
      </c>
      <c r="E283" s="58" t="inlineStr">
        <is>
          <t>PR</t>
        </is>
      </c>
      <c r="F283" s="58" t="inlineStr">
        <is>
          <t>DIVINA TERRA</t>
        </is>
      </c>
      <c r="G283" s="58" t="inlineStr">
        <is>
          <t>ATIVO</t>
        </is>
      </c>
      <c r="H283" s="58" t="n">
        <v>24</v>
      </c>
      <c r="I283" s="58">
        <f>IF(R283="","",VLOOKUP(R283,REGRAS!$B$2:$D$13,3,FALSE()))</f>
        <v/>
      </c>
      <c r="J283" s="58" t="n"/>
      <c r="K283" s="58">
        <f>IF(R283="","",IF(R283="VENDA / PEDIDO","RECOMPRA",IF(R283="SUPORTE","PÓS-VENDA",IF(OR(R283="FOLLOW UP 7",R283="FOLLOW UP 15"),"SALVAMENTO",IF(R283="PERDA / FECHOU LOJA","NUTRIÇÃO",IF(R283="RELACIONAMENTO","CS",IF(OR(R283="ORÇAMENTO",R283="CADASTRO"),"PROSPECÇÃO",IF(R283="EM ATENDIMENTO","EM ATENDIMENTO",IF(OR(R283="NÃO ATENDE",R283="NÃO RESPONDE",R283="RECUSOU LIGAÇÃO"),"RECUPERAÇÃO","")))))))))</f>
        <v/>
      </c>
      <c r="L283" s="58">
        <f>IF(H283="","",IF(G283="PROSPECT","🟣",IF(G283="LEAD","🟣",IF(G283="NOVO","🟢",IF(H283&lt;=50,"🟢",IF(H283&lt;=90,"🟡","🔴"))))))</f>
        <v/>
      </c>
      <c r="M283" s="58" t="n"/>
      <c r="N283" s="58" t="inlineStr">
        <is>
          <t>SIM</t>
        </is>
      </c>
      <c r="O283" s="58" t="inlineStr">
        <is>
          <t>NÃO</t>
        </is>
      </c>
      <c r="P283" s="58" t="inlineStr">
        <is>
          <t>N/A</t>
        </is>
      </c>
      <c r="Q283" s="58" t="inlineStr">
        <is>
          <t>PÓS-VENDA / RELACIONAMENTO</t>
        </is>
      </c>
      <c r="R283" s="58" t="inlineStr">
        <is>
          <t>FOLLOW UP 15</t>
        </is>
      </c>
      <c r="S283" s="58" t="inlineStr">
        <is>
          <t>AINDA TEM ESTOQUE</t>
        </is>
      </c>
      <c r="T283" s="71">
        <f>IF(R283="","",IF(OR(R283="SUPORTE",R283="PERDA / FECHOU LOJA"),"SEM",A283+VLOOKUP(R283,REGRAS!$B$2:$C$13,2,FALSE())))</f>
        <v/>
      </c>
      <c r="U283" s="58">
        <f>IF(R283="","",IF(R283="VENDA / PEDIDO","RECOMPRA",IF(R283="SUPORTE","PÓS-VENDA",IF(R283="RELACIONAMENTO","CS",IF(OR(R283="NÃO ATENDE",R283="NÃO RESPONDE",R283="RECUSOU LIGAÇÃO"),"REATIVAÇÃO",IF(R283="PERDA / FECHOU LOJA","NUTRIÇÃO",IF(OR(R283="FOLLOW UP 7",R283="FOLLOW UP 15"),"SALVAMENTO","PROSPECÇÃO")))))))</f>
        <v/>
      </c>
      <c r="V283" s="58" t="n"/>
      <c r="W283" s="58" t="inlineStr">
        <is>
          <t>SIM</t>
        </is>
      </c>
      <c r="X283" s="58" t="n"/>
    </row>
    <row r="284">
      <c r="A284" s="71" t="n">
        <v>46078</v>
      </c>
      <c r="B284" s="58" t="inlineStr">
        <is>
          <t>DAIANE STAVICKI</t>
        </is>
      </c>
      <c r="C284" s="58" t="inlineStr">
        <is>
          <t>BIOMUNDO CTB 35</t>
        </is>
      </c>
      <c r="D284" s="58" t="inlineStr">
        <is>
          <t>60.173.656/7703-33</t>
        </is>
      </c>
      <c r="E284" s="58" t="inlineStr">
        <is>
          <t>PR</t>
        </is>
      </c>
      <c r="F284" s="58" t="inlineStr">
        <is>
          <t>DEMAIS CLIENTES</t>
        </is>
      </c>
      <c r="G284" s="58" t="inlineStr">
        <is>
          <t>NOVO</t>
        </is>
      </c>
      <c r="H284" s="58" t="n"/>
      <c r="I284" s="58">
        <f>IF(R284="","",VLOOKUP(R284,REGRAS!$B$2:$D$13,3,FALSE()))</f>
        <v/>
      </c>
      <c r="J284" s="58" t="n"/>
      <c r="K284" s="58">
        <f>IF(R284="","",IF(R284="VENDA / PEDIDO","RECOMPRA",IF(R284="SUPORTE","PÓS-VENDA",IF(OR(R284="FOLLOW UP 7",R284="FOLLOW UP 15"),"SALVAMENTO",IF(R284="PERDA / FECHOU LOJA","NUTRIÇÃO",IF(R284="RELACIONAMENTO","CS",IF(OR(R284="ORÇAMENTO",R284="CADASTRO"),"PROSPECÇÃO",IF(R284="EM ATENDIMENTO","EM ATENDIMENTO",IF(OR(R284="NÃO ATENDE",R284="NÃO RESPONDE",R284="RECUSOU LIGAÇÃO"),"RECUPERAÇÃO","")))))))))</f>
        <v/>
      </c>
      <c r="L284" s="58">
        <f>IF(H284="","",IF(G284="PROSPECT","🟣",IF(G284="LEAD","🟣",IF(G284="NOVO","🟢",IF(H284&lt;=50,"🟢",IF(H284&lt;=90,"🟡","🔴"))))))</f>
        <v/>
      </c>
      <c r="M284" s="58" t="n"/>
      <c r="N284" s="58" t="inlineStr">
        <is>
          <t>NÃO</t>
        </is>
      </c>
      <c r="O284" s="58" t="inlineStr">
        <is>
          <t>SIM</t>
        </is>
      </c>
      <c r="P284" s="58" t="inlineStr">
        <is>
          <t>NÃO</t>
        </is>
      </c>
      <c r="Q284" s="58" t="inlineStr">
        <is>
          <t>PÓS-VENDA / RELACIONAMENTO</t>
        </is>
      </c>
      <c r="R284" s="58" t="inlineStr">
        <is>
          <t>RELACIONAMENTO</t>
        </is>
      </c>
      <c r="S284" s="58" t="n"/>
      <c r="T284" s="71">
        <f>IF(R284="","",IF(OR(R284="SUPORTE",R284="PERDA / FECHOU LOJA"),"SEM",A284+VLOOKUP(R284,REGRAS!$B$2:$C$13,2,FALSE())))</f>
        <v/>
      </c>
      <c r="U284" s="58">
        <f>IF(R284="","",IF(R284="VENDA / PEDIDO","RECOMPRA",IF(R284="SUPORTE","PÓS-VENDA",IF(R284="RELACIONAMENTO","CS",IF(OR(R284="NÃO ATENDE",R284="NÃO RESPONDE",R284="RECUSOU LIGAÇÃO"),"REATIVAÇÃO",IF(R284="PERDA / FECHOU LOJA","NUTRIÇÃO",IF(OR(R284="FOLLOW UP 7",R284="FOLLOW UP 15"),"SALVAMENTO","PROSPECÇÃO")))))))</f>
        <v/>
      </c>
      <c r="V284" s="58" t="n"/>
      <c r="W284" s="58" t="inlineStr">
        <is>
          <t>SIM</t>
        </is>
      </c>
      <c r="X284" s="58" t="n"/>
    </row>
    <row r="285">
      <c r="A285" s="71" t="n">
        <v>46077</v>
      </c>
      <c r="B285" s="58" t="inlineStr">
        <is>
          <t>DAIANE STAVICKI</t>
        </is>
      </c>
      <c r="C285" s="58" t="inlineStr">
        <is>
          <t>CIA SAUDE SP 59</t>
        </is>
      </c>
      <c r="D285" s="58" t="inlineStr">
        <is>
          <t>22.633.781/3416-70</t>
        </is>
      </c>
      <c r="E285" s="58" t="inlineStr">
        <is>
          <t>SC</t>
        </is>
      </c>
      <c r="F285" s="58" t="inlineStr">
        <is>
          <t>DEMAIS CLIENTES</t>
        </is>
      </c>
      <c r="G285" s="58" t="inlineStr">
        <is>
          <t>PROSPECT</t>
        </is>
      </c>
      <c r="H285" s="58" t="n"/>
      <c r="I285" s="58">
        <f>IF(R285="","",VLOOKUP(R285,REGRAS!$B$2:$D$13,3,FALSE()))</f>
        <v/>
      </c>
      <c r="J285" s="58" t="n"/>
      <c r="K285" s="58">
        <f>IF(R285="","",IF(R285="VENDA / PEDIDO","RECOMPRA",IF(R285="SUPORTE","PÓS-VENDA",IF(OR(R285="FOLLOW UP 7",R285="FOLLOW UP 15"),"SALVAMENTO",IF(R285="PERDA / FECHOU LOJA","NUTRIÇÃO",IF(R285="RELACIONAMENTO","CS",IF(OR(R285="ORÇAMENTO",R285="CADASTRO"),"PROSPECÇÃO",IF(R285="EM ATENDIMENTO","EM ATENDIMENTO",IF(OR(R285="NÃO ATENDE",R285="NÃO RESPONDE",R285="RECUSOU LIGAÇÃO"),"RECUPERAÇÃO","")))))))))</f>
        <v/>
      </c>
      <c r="L285" s="58">
        <f>IF(H285="","",IF(G285="PROSPECT","🟣",IF(G285="LEAD","🟣",IF(G285="NOVO","🟢",IF(H285&lt;=50,"🟢",IF(H285&lt;=90,"🟡","🔴"))))))</f>
        <v/>
      </c>
      <c r="M285" s="58" t="n"/>
      <c r="N285" s="58" t="inlineStr">
        <is>
          <t>NÃO</t>
        </is>
      </c>
      <c r="O285" s="58" t="inlineStr">
        <is>
          <t>NÃO</t>
        </is>
      </c>
      <c r="P285" s="58" t="inlineStr">
        <is>
          <t>N/A</t>
        </is>
      </c>
      <c r="Q285" s="58" t="inlineStr">
        <is>
          <t>NEGOCIAÇÃO</t>
        </is>
      </c>
      <c r="R285" s="58" t="inlineStr">
        <is>
          <t>VENDA / PEDIDO</t>
        </is>
      </c>
      <c r="S285" s="58" t="n"/>
      <c r="T285" s="71">
        <f>IF(R285="","",IF(OR(R285="SUPORTE",R285="PERDA / FECHOU LOJA"),"SEM",A285+VLOOKUP(R285,REGRAS!$B$2:$C$13,2,FALSE())))</f>
        <v/>
      </c>
      <c r="U285" s="58">
        <f>IF(R285="","",IF(R285="VENDA / PEDIDO","RECOMPRA",IF(R285="SUPORTE","PÓS-VENDA",IF(R285="RELACIONAMENTO","CS",IF(OR(R285="NÃO ATENDE",R285="NÃO RESPONDE",R285="RECUSOU LIGAÇÃO"),"REATIVAÇÃO",IF(R285="PERDA / FECHOU LOJA","NUTRIÇÃO",IF(OR(R285="FOLLOW UP 7",R285="FOLLOW UP 15"),"SALVAMENTO","PROSPECÇÃO")))))))</f>
        <v/>
      </c>
      <c r="V285" s="58" t="n"/>
      <c r="W285" s="58" t="inlineStr">
        <is>
          <t>SIM</t>
        </is>
      </c>
      <c r="X285" s="58" t="n"/>
    </row>
    <row r="286">
      <c r="A286" s="71" t="n">
        <v>46069</v>
      </c>
      <c r="B286" s="58" t="inlineStr">
        <is>
          <t>JULIO GADRET</t>
        </is>
      </c>
      <c r="C286" s="58" t="inlineStr">
        <is>
          <t>CIA SAUDE SP 47</t>
        </is>
      </c>
      <c r="D286" s="58" t="inlineStr">
        <is>
          <t>16.984.782/3569-24</t>
        </is>
      </c>
      <c r="E286" s="58" t="inlineStr">
        <is>
          <t>PR</t>
        </is>
      </c>
      <c r="F286" s="58" t="inlineStr">
        <is>
          <t>FIT LAND</t>
        </is>
      </c>
      <c r="G286" s="58" t="inlineStr">
        <is>
          <t>ATIVO</t>
        </is>
      </c>
      <c r="H286" s="58" t="n">
        <v>22</v>
      </c>
      <c r="I286" s="58">
        <f>IF(R286="","",VLOOKUP(R286,REGRAS!$B$2:$D$13,3,FALSE()))</f>
        <v/>
      </c>
      <c r="J286" s="58" t="n"/>
      <c r="K286" s="58">
        <f>IF(R286="","",IF(R286="VENDA / PEDIDO","RECOMPRA",IF(R286="SUPORTE","PÓS-VENDA",IF(OR(R286="FOLLOW UP 7",R286="FOLLOW UP 15"),"SALVAMENTO",IF(R286="PERDA / FECHOU LOJA","NUTRIÇÃO",IF(R286="RELACIONAMENTO","CS",IF(OR(R286="ORÇAMENTO",R286="CADASTRO"),"PROSPECÇÃO",IF(R286="EM ATENDIMENTO","EM ATENDIMENTO",IF(OR(R286="NÃO ATENDE",R286="NÃO RESPONDE",R286="RECUSOU LIGAÇÃO"),"RECUPERAÇÃO","")))))))))</f>
        <v/>
      </c>
      <c r="L286" s="58">
        <f>IF(H286="","",IF(G286="PROSPECT","🟣",IF(G286="LEAD","🟣",IF(G286="NOVO","🟢",IF(H286&lt;=50,"🟢",IF(H286&lt;=90,"🟡","🔴"))))))</f>
        <v/>
      </c>
      <c r="M286" s="58" t="n"/>
      <c r="N286" s="58" t="inlineStr">
        <is>
          <t>SIM</t>
        </is>
      </c>
      <c r="O286" s="58" t="inlineStr">
        <is>
          <t>NÃO</t>
        </is>
      </c>
      <c r="P286" s="58" t="inlineStr">
        <is>
          <t>N/A</t>
        </is>
      </c>
      <c r="Q286" s="58" t="inlineStr">
        <is>
          <t>ATEND. CLIENTES ATIVOS</t>
        </is>
      </c>
      <c r="R286" s="58" t="inlineStr">
        <is>
          <t>RELACIONAMENTO</t>
        </is>
      </c>
      <c r="S286" s="58" t="n"/>
      <c r="T286" s="71">
        <f>IF(R286="","",IF(OR(R286="SUPORTE",R286="PERDA / FECHOU LOJA"),"SEM",A286+VLOOKUP(R286,REGRAS!$B$2:$C$13,2,FALSE())))</f>
        <v/>
      </c>
      <c r="U286" s="58">
        <f>IF(R286="","",IF(R286="VENDA / PEDIDO","RECOMPRA",IF(R286="SUPORTE","PÓS-VENDA",IF(R286="RELACIONAMENTO","CS",IF(OR(R286="NÃO ATENDE",R286="NÃO RESPONDE",R286="RECUSOU LIGAÇÃO"),"REATIVAÇÃO",IF(R286="PERDA / FECHOU LOJA","NUTRIÇÃO",IF(OR(R286="FOLLOW UP 7",R286="FOLLOW UP 15"),"SALVAMENTO","PROSPECÇÃO")))))))</f>
        <v/>
      </c>
      <c r="V286" s="58" t="n"/>
      <c r="W286" s="58" t="inlineStr">
        <is>
          <t>SIM</t>
        </is>
      </c>
      <c r="X286" s="58" t="n"/>
    </row>
    <row r="287">
      <c r="A287" s="71" t="n">
        <v>46076</v>
      </c>
      <c r="B287" s="58" t="inlineStr">
        <is>
          <t>LARISSA PADILHA</t>
        </is>
      </c>
      <c r="C287" s="58" t="inlineStr">
        <is>
          <t>MUNDO BIO 20</t>
        </is>
      </c>
      <c r="D287" s="58" t="inlineStr">
        <is>
          <t>57.889.191/4076-30</t>
        </is>
      </c>
      <c r="E287" s="58" t="inlineStr">
        <is>
          <t>RS</t>
        </is>
      </c>
      <c r="F287" s="58" t="inlineStr">
        <is>
          <t>TUDO EM GRAOS</t>
        </is>
      </c>
      <c r="G287" s="58" t="inlineStr">
        <is>
          <t>ATIVO</t>
        </is>
      </c>
      <c r="H287" s="58" t="n">
        <v>45</v>
      </c>
      <c r="I287" s="58">
        <f>IF(R287="","",VLOOKUP(R287,REGRAS!$B$2:$D$13,3,FALSE()))</f>
        <v/>
      </c>
      <c r="J287" s="58" t="n"/>
      <c r="K287" s="58">
        <f>IF(R287="","",IF(R287="VENDA / PEDIDO","RECOMPRA",IF(R287="SUPORTE","PÓS-VENDA",IF(OR(R287="FOLLOW UP 7",R287="FOLLOW UP 15"),"SALVAMENTO",IF(R287="PERDA / FECHOU LOJA","NUTRIÇÃO",IF(R287="RELACIONAMENTO","CS",IF(OR(R287="ORÇAMENTO",R287="CADASTRO"),"PROSPECÇÃO",IF(R287="EM ATENDIMENTO","EM ATENDIMENTO",IF(OR(R287="NÃO ATENDE",R287="NÃO RESPONDE",R287="RECUSOU LIGAÇÃO"),"RECUPERAÇÃO","")))))))))</f>
        <v/>
      </c>
      <c r="L287" s="58">
        <f>IF(H287="","",IF(G287="PROSPECT","🟣",IF(G287="LEAD","🟣",IF(G287="NOVO","🟢",IF(H287&lt;=50,"🟢",IF(H287&lt;=90,"🟡","🔴"))))))</f>
        <v/>
      </c>
      <c r="M287" s="58" t="n"/>
      <c r="N287" s="58" t="inlineStr">
        <is>
          <t>SIM</t>
        </is>
      </c>
      <c r="O287" s="58" t="inlineStr">
        <is>
          <t>NÃO</t>
        </is>
      </c>
      <c r="P287" s="58" t="inlineStr">
        <is>
          <t>N/A</t>
        </is>
      </c>
      <c r="Q287" s="58" t="inlineStr">
        <is>
          <t>PROSPECÇÃO</t>
        </is>
      </c>
      <c r="R287" s="58" t="inlineStr">
        <is>
          <t>CADASTRO</t>
        </is>
      </c>
      <c r="S287" s="58" t="n"/>
      <c r="T287" s="71">
        <f>IF(R287="","",IF(OR(R287="SUPORTE",R287="PERDA / FECHOU LOJA"),"SEM",A287+VLOOKUP(R287,REGRAS!$B$2:$C$13,2,FALSE())))</f>
        <v/>
      </c>
      <c r="U287" s="58">
        <f>IF(R287="","",IF(R287="VENDA / PEDIDO","RECOMPRA",IF(R287="SUPORTE","PÓS-VENDA",IF(R287="RELACIONAMENTO","CS",IF(OR(R287="NÃO ATENDE",R287="NÃO RESPONDE",R287="RECUSOU LIGAÇÃO"),"REATIVAÇÃO",IF(R287="PERDA / FECHOU LOJA","NUTRIÇÃO",IF(OR(R287="FOLLOW UP 7",R287="FOLLOW UP 15"),"SALVAMENTO","PROSPECÇÃO")))))))</f>
        <v/>
      </c>
      <c r="V287" s="58" t="n"/>
      <c r="W287" s="58" t="inlineStr">
        <is>
          <t>SIM</t>
        </is>
      </c>
      <c r="X287" s="58" t="n"/>
    </row>
    <row r="288">
      <c r="A288" s="71" t="n">
        <v>46069</v>
      </c>
      <c r="B288" s="58" t="inlineStr">
        <is>
          <t>MANU DITZEL</t>
        </is>
      </c>
      <c r="C288" s="58" t="inlineStr">
        <is>
          <t>ESSENCE FOOD 83</t>
        </is>
      </c>
      <c r="D288" s="58" t="inlineStr">
        <is>
          <t>54.924.549/3162-12</t>
        </is>
      </c>
      <c r="E288" s="58" t="inlineStr">
        <is>
          <t>SP</t>
        </is>
      </c>
      <c r="F288" s="58" t="inlineStr">
        <is>
          <t>CIA DA SAUDE</t>
        </is>
      </c>
      <c r="G288" s="58" t="inlineStr">
        <is>
          <t>ATIVO</t>
        </is>
      </c>
      <c r="H288" s="58" t="n">
        <v>7</v>
      </c>
      <c r="I288" s="58">
        <f>IF(R288="","",VLOOKUP(R288,REGRAS!$B$2:$D$13,3,FALSE()))</f>
        <v/>
      </c>
      <c r="J288" s="58" t="n"/>
      <c r="K288" s="58">
        <f>IF(R288="","",IF(R288="VENDA / PEDIDO","RECOMPRA",IF(R288="SUPORTE","PÓS-VENDA",IF(OR(R288="FOLLOW UP 7",R288="FOLLOW UP 15"),"SALVAMENTO",IF(R288="PERDA / FECHOU LOJA","NUTRIÇÃO",IF(R288="RELACIONAMENTO","CS",IF(OR(R288="ORÇAMENTO",R288="CADASTRO"),"PROSPECÇÃO",IF(R288="EM ATENDIMENTO","EM ATENDIMENTO",IF(OR(R288="NÃO ATENDE",R288="NÃO RESPONDE",R288="RECUSOU LIGAÇÃO"),"RECUPERAÇÃO","")))))))))</f>
        <v/>
      </c>
      <c r="L288" s="58">
        <f>IF(H288="","",IF(G288="PROSPECT","🟣",IF(G288="LEAD","🟣",IF(G288="NOVO","🟢",IF(H288&lt;=50,"🟢",IF(H288&lt;=90,"🟡","🔴"))))))</f>
        <v/>
      </c>
      <c r="M288" s="58" t="n"/>
      <c r="N288" s="58" t="inlineStr">
        <is>
          <t>SIM</t>
        </is>
      </c>
      <c r="O288" s="58" t="inlineStr">
        <is>
          <t>NÃO</t>
        </is>
      </c>
      <c r="P288" s="58" t="inlineStr">
        <is>
          <t>N/A</t>
        </is>
      </c>
      <c r="Q288" s="58" t="inlineStr">
        <is>
          <t>ATEND. CLIENTES ATIVOS</t>
        </is>
      </c>
      <c r="R288" s="58" t="inlineStr">
        <is>
          <t>RELACIONAMENTO</t>
        </is>
      </c>
      <c r="S288" s="58" t="n"/>
      <c r="T288" s="71">
        <f>IF(R288="","",IF(OR(R288="SUPORTE",R288="PERDA / FECHOU LOJA"),"SEM",A288+VLOOKUP(R288,REGRAS!$B$2:$C$13,2,FALSE())))</f>
        <v/>
      </c>
      <c r="U288" s="58">
        <f>IF(R288="","",IF(R288="VENDA / PEDIDO","RECOMPRA",IF(R288="SUPORTE","PÓS-VENDA",IF(R288="RELACIONAMENTO","CS",IF(OR(R288="NÃO ATENDE",R288="NÃO RESPONDE",R288="RECUSOU LIGAÇÃO"),"REATIVAÇÃO",IF(R288="PERDA / FECHOU LOJA","NUTRIÇÃO",IF(OR(R288="FOLLOW UP 7",R288="FOLLOW UP 15"),"SALVAMENTO","PROSPECÇÃO")))))))</f>
        <v/>
      </c>
      <c r="V288" s="58" t="n"/>
      <c r="W288" s="58" t="inlineStr">
        <is>
          <t>SIM</t>
        </is>
      </c>
      <c r="X288" s="58" t="n"/>
    </row>
    <row r="289">
      <c r="A289" s="71" t="n">
        <v>46059</v>
      </c>
      <c r="B289" s="58" t="inlineStr">
        <is>
          <t>LARISSA PADILHA</t>
        </is>
      </c>
      <c r="C289" s="58" t="inlineStr">
        <is>
          <t>BIO GRÃOS 94</t>
        </is>
      </c>
      <c r="D289" s="58" t="inlineStr">
        <is>
          <t>69.381.988/9809-80</t>
        </is>
      </c>
      <c r="E289" s="58" t="inlineStr">
        <is>
          <t>PR</t>
        </is>
      </c>
      <c r="F289" s="58" t="inlineStr">
        <is>
          <t>VIDA LEVE</t>
        </is>
      </c>
      <c r="G289" s="58" t="inlineStr">
        <is>
          <t>EM RISCO</t>
        </is>
      </c>
      <c r="H289" s="58" t="n">
        <v>55</v>
      </c>
      <c r="I289" s="58">
        <f>IF(R289="","",VLOOKUP(R289,REGRAS!$B$2:$D$13,3,FALSE()))</f>
        <v/>
      </c>
      <c r="J289" s="58" t="n"/>
      <c r="K289" s="58">
        <f>IF(R289="","",IF(R289="VENDA / PEDIDO","RECOMPRA",IF(R289="SUPORTE","PÓS-VENDA",IF(OR(R289="FOLLOW UP 7",R289="FOLLOW UP 15"),"SALVAMENTO",IF(R289="PERDA / FECHOU LOJA","NUTRIÇÃO",IF(R289="RELACIONAMENTO","CS",IF(OR(R289="ORÇAMENTO",R289="CADASTRO"),"PROSPECÇÃO",IF(R289="EM ATENDIMENTO","EM ATENDIMENTO",IF(OR(R289="NÃO ATENDE",R289="NÃO RESPONDE",R289="RECUSOU LIGAÇÃO"),"RECUPERAÇÃO","")))))))))</f>
        <v/>
      </c>
      <c r="L289" s="58">
        <f>IF(H289="","",IF(G289="PROSPECT","🟣",IF(G289="LEAD","🟣",IF(G289="NOVO","🟢",IF(H289&lt;=50,"🟢",IF(H289&lt;=90,"🟡","🔴"))))))</f>
        <v/>
      </c>
      <c r="M289" s="58" t="n"/>
      <c r="N289" s="58" t="inlineStr">
        <is>
          <t>NÃO</t>
        </is>
      </c>
      <c r="O289" s="58" t="inlineStr">
        <is>
          <t>NÃO</t>
        </is>
      </c>
      <c r="P289" s="58" t="inlineStr">
        <is>
          <t>N/A</t>
        </is>
      </c>
      <c r="Q289" s="58" t="inlineStr">
        <is>
          <t>ATEND. CLIENTES ATIVOS</t>
        </is>
      </c>
      <c r="R289" s="58" t="inlineStr">
        <is>
          <t>RELACIONAMENTO</t>
        </is>
      </c>
      <c r="S289" s="58" t="n"/>
      <c r="T289" s="71">
        <f>IF(R289="","",IF(OR(R289="SUPORTE",R289="PERDA / FECHOU LOJA"),"SEM",A289+VLOOKUP(R289,REGRAS!$B$2:$C$13,2,FALSE())))</f>
        <v/>
      </c>
      <c r="U289" s="58">
        <f>IF(R289="","",IF(R289="VENDA / PEDIDO","RECOMPRA",IF(R289="SUPORTE","PÓS-VENDA",IF(R289="RELACIONAMENTO","CS",IF(OR(R289="NÃO ATENDE",R289="NÃO RESPONDE",R289="RECUSOU LIGAÇÃO"),"REATIVAÇÃO",IF(R289="PERDA / FECHOU LOJA","NUTRIÇÃO",IF(OR(R289="FOLLOW UP 7",R289="FOLLOW UP 15"),"SALVAMENTO","PROSPECÇÃO")))))))</f>
        <v/>
      </c>
      <c r="V289" s="58" t="n"/>
      <c r="W289" s="58" t="inlineStr">
        <is>
          <t>NÃO</t>
        </is>
      </c>
      <c r="X289" s="58" t="n"/>
    </row>
    <row r="290">
      <c r="A290" s="71" t="n">
        <v>46054</v>
      </c>
      <c r="B290" s="58" t="inlineStr">
        <is>
          <t>JULIO GADRET</t>
        </is>
      </c>
      <c r="C290" s="58" t="inlineStr">
        <is>
          <t>GRANEL &amp; CIA 80</t>
        </is>
      </c>
      <c r="D290" s="58" t="inlineStr">
        <is>
          <t>40.428.838/1038-94</t>
        </is>
      </c>
      <c r="E290" s="58" t="inlineStr">
        <is>
          <t>DF</t>
        </is>
      </c>
      <c r="F290" s="58" t="inlineStr">
        <is>
          <t>DEMAIS CLIENTES</t>
        </is>
      </c>
      <c r="G290" s="58" t="inlineStr">
        <is>
          <t>ATIVO</t>
        </is>
      </c>
      <c r="H290" s="58" t="n">
        <v>48</v>
      </c>
      <c r="I290" s="58">
        <f>IF(R290="","",VLOOKUP(R290,REGRAS!$B$2:$D$13,3,FALSE()))</f>
        <v/>
      </c>
      <c r="J290" s="58" t="n"/>
      <c r="K290" s="58">
        <f>IF(R290="","",IF(R290="VENDA / PEDIDO","RECOMPRA",IF(R290="SUPORTE","PÓS-VENDA",IF(OR(R290="FOLLOW UP 7",R290="FOLLOW UP 15"),"SALVAMENTO",IF(R290="PERDA / FECHOU LOJA","NUTRIÇÃO",IF(R290="RELACIONAMENTO","CS",IF(OR(R290="ORÇAMENTO",R290="CADASTRO"),"PROSPECÇÃO",IF(R290="EM ATENDIMENTO","EM ATENDIMENTO",IF(OR(R290="NÃO ATENDE",R290="NÃO RESPONDE",R290="RECUSOU LIGAÇÃO"),"RECUPERAÇÃO","")))))))))</f>
        <v/>
      </c>
      <c r="L290" s="58">
        <f>IF(H290="","",IF(G290="PROSPECT","🟣",IF(G290="LEAD","🟣",IF(G290="NOVO","🟢",IF(H290&lt;=50,"🟢",IF(H290&lt;=90,"🟡","🔴"))))))</f>
        <v/>
      </c>
      <c r="M290" s="58" t="n"/>
      <c r="N290" s="58" t="inlineStr">
        <is>
          <t>SIM</t>
        </is>
      </c>
      <c r="O290" s="58" t="inlineStr">
        <is>
          <t>SIM</t>
        </is>
      </c>
      <c r="P290" s="58" t="inlineStr">
        <is>
          <t>NÃO</t>
        </is>
      </c>
      <c r="Q290" s="58" t="inlineStr">
        <is>
          <t>ATEND. CLIENTES ATIVOS</t>
        </is>
      </c>
      <c r="R290" s="58" t="inlineStr">
        <is>
          <t>FOLLOW UP 7</t>
        </is>
      </c>
      <c r="S290" s="58" t="inlineStr">
        <is>
          <t>AINDA TEM ESTOQUE</t>
        </is>
      </c>
      <c r="T290" s="71">
        <f>IF(R290="","",IF(OR(R290="SUPORTE",R290="PERDA / FECHOU LOJA"),"SEM",A290+VLOOKUP(R290,REGRAS!$B$2:$C$13,2,FALSE())))</f>
        <v/>
      </c>
      <c r="U290" s="58">
        <f>IF(R290="","",IF(R290="VENDA / PEDIDO","RECOMPRA",IF(R290="SUPORTE","PÓS-VENDA",IF(R290="RELACIONAMENTO","CS",IF(OR(R290="NÃO ATENDE",R290="NÃO RESPONDE",R290="RECUSOU LIGAÇÃO"),"REATIVAÇÃO",IF(R290="PERDA / FECHOU LOJA","NUTRIÇÃO",IF(OR(R290="FOLLOW UP 7",R290="FOLLOW UP 15"),"SALVAMENTO","PROSPECÇÃO")))))))</f>
        <v/>
      </c>
      <c r="V290" s="58" t="n"/>
      <c r="W290" s="58" t="inlineStr">
        <is>
          <t>SIM</t>
        </is>
      </c>
      <c r="X290" s="58" t="n"/>
    </row>
    <row r="291">
      <c r="A291" s="71" t="n">
        <v>46056</v>
      </c>
      <c r="B291" s="58" t="inlineStr">
        <is>
          <t>MANU DITZEL</t>
        </is>
      </c>
      <c r="C291" s="58" t="inlineStr">
        <is>
          <t>FIT STORE 23</t>
        </is>
      </c>
      <c r="D291" s="58" t="inlineStr">
        <is>
          <t>14.306.209/7953-34</t>
        </is>
      </c>
      <c r="E291" s="58" t="inlineStr">
        <is>
          <t>PR</t>
        </is>
      </c>
      <c r="F291" s="58" t="inlineStr">
        <is>
          <t>VIDA LEVE</t>
        </is>
      </c>
      <c r="G291" s="58" t="inlineStr">
        <is>
          <t>NOVO</t>
        </is>
      </c>
      <c r="H291" s="58" t="n"/>
      <c r="I291" s="58">
        <f>IF(R291="","",VLOOKUP(R291,REGRAS!$B$2:$D$13,3,FALSE()))</f>
        <v/>
      </c>
      <c r="J291" s="58" t="n"/>
      <c r="K291" s="58">
        <f>IF(R291="","",IF(R291="VENDA / PEDIDO","RECOMPRA",IF(R291="SUPORTE","PÓS-VENDA",IF(OR(R291="FOLLOW UP 7",R291="FOLLOW UP 15"),"SALVAMENTO",IF(R291="PERDA / FECHOU LOJA","NUTRIÇÃO",IF(R291="RELACIONAMENTO","CS",IF(OR(R291="ORÇAMENTO",R291="CADASTRO"),"PROSPECÇÃO",IF(R291="EM ATENDIMENTO","EM ATENDIMENTO",IF(OR(R291="NÃO ATENDE",R291="NÃO RESPONDE",R291="RECUSOU LIGAÇÃO"),"RECUPERAÇÃO","")))))))))</f>
        <v/>
      </c>
      <c r="L291" s="58">
        <f>IF(H291="","",IF(G291="PROSPECT","🟣",IF(G291="LEAD","🟣",IF(G291="NOVO","🟢",IF(H291&lt;=50,"🟢",IF(H291&lt;=90,"🟡","🔴"))))))</f>
        <v/>
      </c>
      <c r="M291" s="58" t="n"/>
      <c r="N291" s="58" t="inlineStr">
        <is>
          <t>NÃO</t>
        </is>
      </c>
      <c r="O291" s="58" t="inlineStr">
        <is>
          <t>SIM</t>
        </is>
      </c>
      <c r="P291" s="58" t="inlineStr">
        <is>
          <t>SIM</t>
        </is>
      </c>
      <c r="Q291" s="58" t="inlineStr">
        <is>
          <t>ATEND. CLIENTES INATIVOS</t>
        </is>
      </c>
      <c r="R291" s="58" t="inlineStr">
        <is>
          <t>RECUSOU LIGAÇÃO</t>
        </is>
      </c>
      <c r="S291" s="58" t="inlineStr">
        <is>
          <t>PROBLEMA LOGÍSTICO / ENTREGA</t>
        </is>
      </c>
      <c r="T291" s="71">
        <f>IF(R291="","",IF(OR(R291="SUPORTE",R291="PERDA / FECHOU LOJA"),"SEM",A291+VLOOKUP(R291,REGRAS!$B$2:$C$13,2,FALSE())))</f>
        <v/>
      </c>
      <c r="U291" s="58">
        <f>IF(R291="","",IF(R291="VENDA / PEDIDO","RECOMPRA",IF(R291="SUPORTE","PÓS-VENDA",IF(R291="RELACIONAMENTO","CS",IF(OR(R291="NÃO ATENDE",R291="NÃO RESPONDE",R291="RECUSOU LIGAÇÃO"),"REATIVAÇÃO",IF(R291="PERDA / FECHOU LOJA","NUTRIÇÃO",IF(OR(R291="FOLLOW UP 7",R291="FOLLOW UP 15"),"SALVAMENTO","PROSPECÇÃO")))))))</f>
        <v/>
      </c>
      <c r="V291" s="58" t="n"/>
      <c r="W291" s="58" t="inlineStr">
        <is>
          <t>SIM</t>
        </is>
      </c>
      <c r="X291" s="58" t="n"/>
    </row>
    <row r="292">
      <c r="A292" s="71" t="n">
        <v>46060</v>
      </c>
      <c r="B292" s="58" t="inlineStr">
        <is>
          <t>JULIO GADRET</t>
        </is>
      </c>
      <c r="C292" s="58" t="inlineStr">
        <is>
          <t>GRÃO DE OURO 60</t>
        </is>
      </c>
      <c r="D292" s="58" t="inlineStr">
        <is>
          <t>91.162.469/9143-63</t>
        </is>
      </c>
      <c r="E292" s="58" t="inlineStr">
        <is>
          <t>MG</t>
        </is>
      </c>
      <c r="F292" s="58" t="inlineStr">
        <is>
          <t>DEMAIS CLIENTES</t>
        </is>
      </c>
      <c r="G292" s="58" t="inlineStr">
        <is>
          <t>ATIVO</t>
        </is>
      </c>
      <c r="H292" s="58" t="n">
        <v>44</v>
      </c>
      <c r="I292" s="58">
        <f>IF(R292="","",VLOOKUP(R292,REGRAS!$B$2:$D$13,3,FALSE()))</f>
        <v/>
      </c>
      <c r="J292" s="58" t="n"/>
      <c r="K292" s="58">
        <f>IF(R292="","",IF(R292="VENDA / PEDIDO","RECOMPRA",IF(R292="SUPORTE","PÓS-VENDA",IF(OR(R292="FOLLOW UP 7",R292="FOLLOW UP 15"),"SALVAMENTO",IF(R292="PERDA / FECHOU LOJA","NUTRIÇÃO",IF(R292="RELACIONAMENTO","CS",IF(OR(R292="ORÇAMENTO",R292="CADASTRO"),"PROSPECÇÃO",IF(R292="EM ATENDIMENTO","EM ATENDIMENTO",IF(OR(R292="NÃO ATENDE",R292="NÃO RESPONDE",R292="RECUSOU LIGAÇÃO"),"RECUPERAÇÃO","")))))))))</f>
        <v/>
      </c>
      <c r="L292" s="58">
        <f>IF(H292="","",IF(G292="PROSPECT","🟣",IF(G292="LEAD","🟣",IF(G292="NOVO","🟢",IF(H292&lt;=50,"🟢",IF(H292&lt;=90,"🟡","🔴"))))))</f>
        <v/>
      </c>
      <c r="M292" s="58" t="n"/>
      <c r="N292" s="58" t="inlineStr">
        <is>
          <t>SIM</t>
        </is>
      </c>
      <c r="O292" s="58" t="inlineStr">
        <is>
          <t>SIM</t>
        </is>
      </c>
      <c r="P292" s="58" t="inlineStr">
        <is>
          <t>NÃO</t>
        </is>
      </c>
      <c r="Q292" s="58" t="inlineStr">
        <is>
          <t>FOLLOW UP</t>
        </is>
      </c>
      <c r="R292" s="58" t="inlineStr">
        <is>
          <t>EM ATENDIMENTO</t>
        </is>
      </c>
      <c r="S292" s="58" t="n"/>
      <c r="T292" s="71">
        <f>IF(R292="","",IF(OR(R292="SUPORTE",R292="PERDA / FECHOU LOJA"),"SEM",A292+VLOOKUP(R292,REGRAS!$B$2:$C$13,2,FALSE())))</f>
        <v/>
      </c>
      <c r="U292" s="58">
        <f>IF(R292="","",IF(R292="VENDA / PEDIDO","RECOMPRA",IF(R292="SUPORTE","PÓS-VENDA",IF(R292="RELACIONAMENTO","CS",IF(OR(R292="NÃO ATENDE",R292="NÃO RESPONDE",R292="RECUSOU LIGAÇÃO"),"REATIVAÇÃO",IF(R292="PERDA / FECHOU LOJA","NUTRIÇÃO",IF(OR(R292="FOLLOW UP 7",R292="FOLLOW UP 15"),"SALVAMENTO","PROSPECÇÃO")))))))</f>
        <v/>
      </c>
      <c r="V292" s="58" t="n"/>
      <c r="W292" s="58" t="inlineStr">
        <is>
          <t>NÃO</t>
        </is>
      </c>
      <c r="X292" s="58" t="n"/>
    </row>
    <row r="293">
      <c r="A293" s="71" t="n">
        <v>46057</v>
      </c>
      <c r="B293" s="58" t="inlineStr">
        <is>
          <t>MANU DITZEL</t>
        </is>
      </c>
      <c r="C293" s="58" t="inlineStr">
        <is>
          <t>FITLAND PR 69</t>
        </is>
      </c>
      <c r="D293" s="58" t="inlineStr">
        <is>
          <t>59.294.297/8622-94</t>
        </is>
      </c>
      <c r="E293" s="58" t="inlineStr">
        <is>
          <t>PR</t>
        </is>
      </c>
      <c r="F293" s="58" t="inlineStr">
        <is>
          <t>VIDA LEVE</t>
        </is>
      </c>
      <c r="G293" s="58" t="inlineStr">
        <is>
          <t>ATIVO</t>
        </is>
      </c>
      <c r="H293" s="58" t="n">
        <v>40</v>
      </c>
      <c r="I293" s="58">
        <f>IF(R293="","",VLOOKUP(R293,REGRAS!$B$2:$D$13,3,FALSE()))</f>
        <v/>
      </c>
      <c r="J293" s="58" t="n"/>
      <c r="K293" s="58">
        <f>IF(R293="","",IF(R293="VENDA / PEDIDO","RECOMPRA",IF(R293="SUPORTE","PÓS-VENDA",IF(OR(R293="FOLLOW UP 7",R293="FOLLOW UP 15"),"SALVAMENTO",IF(R293="PERDA / FECHOU LOJA","NUTRIÇÃO",IF(R293="RELACIONAMENTO","CS",IF(OR(R293="ORÇAMENTO",R293="CADASTRO"),"PROSPECÇÃO",IF(R293="EM ATENDIMENTO","EM ATENDIMENTO",IF(OR(R293="NÃO ATENDE",R293="NÃO RESPONDE",R293="RECUSOU LIGAÇÃO"),"RECUPERAÇÃO","")))))))))</f>
        <v/>
      </c>
      <c r="L293" s="58">
        <f>IF(H293="","",IF(G293="PROSPECT","🟣",IF(G293="LEAD","🟣",IF(G293="NOVO","🟢",IF(H293&lt;=50,"🟢",IF(H293&lt;=90,"🟡","🔴"))))))</f>
        <v/>
      </c>
      <c r="M293" s="58" t="n"/>
      <c r="N293" s="58" t="inlineStr">
        <is>
          <t>SIM</t>
        </is>
      </c>
      <c r="O293" s="58" t="inlineStr">
        <is>
          <t>SIM</t>
        </is>
      </c>
      <c r="P293" s="58" t="inlineStr">
        <is>
          <t>SIM</t>
        </is>
      </c>
      <c r="Q293" s="58" t="inlineStr">
        <is>
          <t>ATEND. CLIENTES ATIVOS</t>
        </is>
      </c>
      <c r="R293" s="58" t="inlineStr">
        <is>
          <t>VENDA / PEDIDO</t>
        </is>
      </c>
      <c r="S293" s="58" t="n"/>
      <c r="T293" s="71">
        <f>IF(R293="","",IF(OR(R293="SUPORTE",R293="PERDA / FECHOU LOJA"),"SEM",A293+VLOOKUP(R293,REGRAS!$B$2:$C$13,2,FALSE())))</f>
        <v/>
      </c>
      <c r="U293" s="58">
        <f>IF(R293="","",IF(R293="VENDA / PEDIDO","RECOMPRA",IF(R293="SUPORTE","PÓS-VENDA",IF(R293="RELACIONAMENTO","CS",IF(OR(R293="NÃO ATENDE",R293="NÃO RESPONDE",R293="RECUSOU LIGAÇÃO"),"REATIVAÇÃO",IF(R293="PERDA / FECHOU LOJA","NUTRIÇÃO",IF(OR(R293="FOLLOW UP 7",R293="FOLLOW UP 15"),"SALVAMENTO","PROSPECÇÃO")))))))</f>
        <v/>
      </c>
      <c r="V293" s="58" t="n"/>
      <c r="W293" s="58" t="inlineStr">
        <is>
          <t>NÃO</t>
        </is>
      </c>
      <c r="X293" s="58" t="n"/>
    </row>
    <row r="294">
      <c r="A294" s="71" t="n">
        <v>46057</v>
      </c>
      <c r="B294" s="58" t="inlineStr">
        <is>
          <t>MANU DITZEL</t>
        </is>
      </c>
      <c r="C294" s="58" t="inlineStr">
        <is>
          <t>VERDE VIDA 71</t>
        </is>
      </c>
      <c r="D294" s="58" t="inlineStr">
        <is>
          <t>61.616.445/2592-78</t>
        </is>
      </c>
      <c r="E294" s="58" t="inlineStr">
        <is>
          <t>CE</t>
        </is>
      </c>
      <c r="F294" s="58" t="inlineStr">
        <is>
          <t>FIT LAND</t>
        </is>
      </c>
      <c r="G294" s="58" t="inlineStr">
        <is>
          <t>EM RISCO</t>
        </is>
      </c>
      <c r="H294" s="58" t="n">
        <v>56</v>
      </c>
      <c r="I294" s="58">
        <f>IF(R294="","",VLOOKUP(R294,REGRAS!$B$2:$D$13,3,FALSE()))</f>
        <v/>
      </c>
      <c r="J294" s="58" t="n"/>
      <c r="K294" s="58">
        <f>IF(R294="","",IF(R294="VENDA / PEDIDO","RECOMPRA",IF(R294="SUPORTE","PÓS-VENDA",IF(OR(R294="FOLLOW UP 7",R294="FOLLOW UP 15"),"SALVAMENTO",IF(R294="PERDA / FECHOU LOJA","NUTRIÇÃO",IF(R294="RELACIONAMENTO","CS",IF(OR(R294="ORÇAMENTO",R294="CADASTRO"),"PROSPECÇÃO",IF(R294="EM ATENDIMENTO","EM ATENDIMENTO",IF(OR(R294="NÃO ATENDE",R294="NÃO RESPONDE",R294="RECUSOU LIGAÇÃO"),"RECUPERAÇÃO","")))))))))</f>
        <v/>
      </c>
      <c r="L294" s="58">
        <f>IF(H294="","",IF(G294="PROSPECT","🟣",IF(G294="LEAD","🟣",IF(G294="NOVO","🟢",IF(H294&lt;=50,"🟢",IF(H294&lt;=90,"🟡","🔴"))))))</f>
        <v/>
      </c>
      <c r="M294" s="58" t="n"/>
      <c r="N294" s="58" t="inlineStr">
        <is>
          <t>NÃO</t>
        </is>
      </c>
      <c r="O294" s="58" t="inlineStr">
        <is>
          <t>SIM</t>
        </is>
      </c>
      <c r="P294" s="58" t="inlineStr">
        <is>
          <t>NÃO</t>
        </is>
      </c>
      <c r="Q294" s="58" t="inlineStr">
        <is>
          <t>ATEND. CLIENTES ATIVOS</t>
        </is>
      </c>
      <c r="R294" s="58" t="inlineStr">
        <is>
          <t>NÃO ATENDE</t>
        </is>
      </c>
      <c r="S294" s="58" t="inlineStr">
        <is>
          <t>FECHANDO / FECHOU LOJA</t>
        </is>
      </c>
      <c r="T294" s="71">
        <f>IF(R294="","",IF(OR(R294="SUPORTE",R294="PERDA / FECHOU LOJA"),"SEM",A294+VLOOKUP(R294,REGRAS!$B$2:$C$13,2,FALSE())))</f>
        <v/>
      </c>
      <c r="U294" s="58">
        <f>IF(R294="","",IF(R294="VENDA / PEDIDO","RECOMPRA",IF(R294="SUPORTE","PÓS-VENDA",IF(R294="RELACIONAMENTO","CS",IF(OR(R294="NÃO ATENDE",R294="NÃO RESPONDE",R294="RECUSOU LIGAÇÃO"),"REATIVAÇÃO",IF(R294="PERDA / FECHOU LOJA","NUTRIÇÃO",IF(OR(R294="FOLLOW UP 7",R294="FOLLOW UP 15"),"SALVAMENTO","PROSPECÇÃO")))))))</f>
        <v/>
      </c>
      <c r="V294" s="58" t="n"/>
      <c r="W294" s="58" t="inlineStr">
        <is>
          <t>SIM</t>
        </is>
      </c>
      <c r="X294" s="58" t="n"/>
    </row>
    <row r="295">
      <c r="A295" s="71" t="n">
        <v>46061</v>
      </c>
      <c r="B295" s="58" t="inlineStr">
        <is>
          <t>LARISSA PADILHA</t>
        </is>
      </c>
      <c r="C295" s="58" t="inlineStr">
        <is>
          <t>DIVINA TERRA RJ 49</t>
        </is>
      </c>
      <c r="D295" s="58" t="inlineStr">
        <is>
          <t>80.862.360/5899-67</t>
        </is>
      </c>
      <c r="E295" s="58" t="inlineStr">
        <is>
          <t>RS</t>
        </is>
      </c>
      <c r="F295" s="58" t="inlineStr">
        <is>
          <t>FIT LAND</t>
        </is>
      </c>
      <c r="G295" s="58" t="inlineStr">
        <is>
          <t>INAT.ANT</t>
        </is>
      </c>
      <c r="H295" s="58" t="n">
        <v>163</v>
      </c>
      <c r="I295" s="58">
        <f>IF(R295="","",VLOOKUP(R295,REGRAS!$B$2:$D$13,3,FALSE()))</f>
        <v/>
      </c>
      <c r="J295" s="58" t="n"/>
      <c r="K295" s="58">
        <f>IF(R295="","",IF(R295="VENDA / PEDIDO","RECOMPRA",IF(R295="SUPORTE","PÓS-VENDA",IF(OR(R295="FOLLOW UP 7",R295="FOLLOW UP 15"),"SALVAMENTO",IF(R295="PERDA / FECHOU LOJA","NUTRIÇÃO",IF(R295="RELACIONAMENTO","CS",IF(OR(R295="ORÇAMENTO",R295="CADASTRO"),"PROSPECÇÃO",IF(R295="EM ATENDIMENTO","EM ATENDIMENTO",IF(OR(R295="NÃO ATENDE",R295="NÃO RESPONDE",R295="RECUSOU LIGAÇÃO"),"RECUPERAÇÃO","")))))))))</f>
        <v/>
      </c>
      <c r="L295" s="58">
        <f>IF(H295="","",IF(G295="PROSPECT","🟣",IF(G295="LEAD","🟣",IF(G295="NOVO","🟢",IF(H295&lt;=50,"🟢",IF(H295&lt;=90,"🟡","🔴"))))))</f>
        <v/>
      </c>
      <c r="M295" s="58" t="n"/>
      <c r="N295" s="58" t="inlineStr">
        <is>
          <t>NÃO</t>
        </is>
      </c>
      <c r="O295" s="58" t="inlineStr">
        <is>
          <t>SIM</t>
        </is>
      </c>
      <c r="P295" s="58" t="inlineStr">
        <is>
          <t>SIM</t>
        </is>
      </c>
      <c r="Q295" s="58" t="inlineStr">
        <is>
          <t>ATEND. CLIENTES ATIVOS</t>
        </is>
      </c>
      <c r="R295" s="58" t="inlineStr">
        <is>
          <t>RELACIONAMENTO</t>
        </is>
      </c>
      <c r="S295" s="58" t="n"/>
      <c r="T295" s="71">
        <f>IF(R295="","",IF(OR(R295="SUPORTE",R295="PERDA / FECHOU LOJA"),"SEM",A295+VLOOKUP(R295,REGRAS!$B$2:$C$13,2,FALSE())))</f>
        <v/>
      </c>
      <c r="U295" s="58">
        <f>IF(R295="","",IF(R295="VENDA / PEDIDO","RECOMPRA",IF(R295="SUPORTE","PÓS-VENDA",IF(R295="RELACIONAMENTO","CS",IF(OR(R295="NÃO ATENDE",R295="NÃO RESPONDE",R295="RECUSOU LIGAÇÃO"),"REATIVAÇÃO",IF(R295="PERDA / FECHOU LOJA","NUTRIÇÃO",IF(OR(R295="FOLLOW UP 7",R295="FOLLOW UP 15"),"SALVAMENTO","PROSPECÇÃO")))))))</f>
        <v/>
      </c>
      <c r="V295" s="58" t="n"/>
      <c r="W295" s="58" t="inlineStr">
        <is>
          <t>SIM</t>
        </is>
      </c>
      <c r="X295" s="58" t="n"/>
    </row>
    <row r="296">
      <c r="A296" s="71" t="n">
        <v>46081</v>
      </c>
      <c r="B296" s="58" t="inlineStr">
        <is>
          <t>MANU DITZEL</t>
        </is>
      </c>
      <c r="C296" s="58" t="inlineStr">
        <is>
          <t>NATUR LIFE 71</t>
        </is>
      </c>
      <c r="D296" s="58" t="inlineStr">
        <is>
          <t>75.669.684/9366-29</t>
        </is>
      </c>
      <c r="E296" s="58" t="inlineStr">
        <is>
          <t>PR</t>
        </is>
      </c>
      <c r="F296" s="58" t="inlineStr">
        <is>
          <t>DIVINA TERRA</t>
        </is>
      </c>
      <c r="G296" s="58" t="inlineStr">
        <is>
          <t>ATIVO</t>
        </is>
      </c>
      <c r="H296" s="58" t="n">
        <v>21</v>
      </c>
      <c r="I296" s="58">
        <f>IF(R296="","",VLOOKUP(R296,REGRAS!$B$2:$D$13,3,FALSE()))</f>
        <v/>
      </c>
      <c r="J296" s="58" t="n"/>
      <c r="K296" s="58">
        <f>IF(R296="","",IF(R296="VENDA / PEDIDO","RECOMPRA",IF(R296="SUPORTE","PÓS-VENDA",IF(OR(R296="FOLLOW UP 7",R296="FOLLOW UP 15"),"SALVAMENTO",IF(R296="PERDA / FECHOU LOJA","NUTRIÇÃO",IF(R296="RELACIONAMENTO","CS",IF(OR(R296="ORÇAMENTO",R296="CADASTRO"),"PROSPECÇÃO",IF(R296="EM ATENDIMENTO","EM ATENDIMENTO",IF(OR(R296="NÃO ATENDE",R296="NÃO RESPONDE",R296="RECUSOU LIGAÇÃO"),"RECUPERAÇÃO","")))))))))</f>
        <v/>
      </c>
      <c r="L296" s="58">
        <f>IF(H296="","",IF(G296="PROSPECT","🟣",IF(G296="LEAD","🟣",IF(G296="NOVO","🟢",IF(H296&lt;=50,"🟢",IF(H296&lt;=90,"🟡","🔴"))))))</f>
        <v/>
      </c>
      <c r="M296" s="58" t="n"/>
      <c r="N296" s="58" t="inlineStr">
        <is>
          <t>SIM</t>
        </is>
      </c>
      <c r="O296" s="58" t="inlineStr">
        <is>
          <t>NÃO</t>
        </is>
      </c>
      <c r="P296" s="58" t="inlineStr">
        <is>
          <t>N/A</t>
        </is>
      </c>
      <c r="Q296" s="58" t="inlineStr">
        <is>
          <t>FOLLOW UP</t>
        </is>
      </c>
      <c r="R296" s="58" t="inlineStr">
        <is>
          <t>FOLLOW UP 7</t>
        </is>
      </c>
      <c r="S296" s="58" t="inlineStr">
        <is>
          <t>AINDA TEM ESTOQUE</t>
        </is>
      </c>
      <c r="T296" s="71">
        <f>IF(R296="","",IF(OR(R296="SUPORTE",R296="PERDA / FECHOU LOJA"),"SEM",A296+VLOOKUP(R296,REGRAS!$B$2:$C$13,2,FALSE())))</f>
        <v/>
      </c>
      <c r="U296" s="58">
        <f>IF(R296="","",IF(R296="VENDA / PEDIDO","RECOMPRA",IF(R296="SUPORTE","PÓS-VENDA",IF(R296="RELACIONAMENTO","CS",IF(OR(R296="NÃO ATENDE",R296="NÃO RESPONDE",R296="RECUSOU LIGAÇÃO"),"REATIVAÇÃO",IF(R296="PERDA / FECHOU LOJA","NUTRIÇÃO",IF(OR(R296="FOLLOW UP 7",R296="FOLLOW UP 15"),"SALVAMENTO","PROSPECÇÃO")))))))</f>
        <v/>
      </c>
      <c r="V296" s="58" t="n"/>
      <c r="W296" s="58" t="inlineStr">
        <is>
          <t>SIM</t>
        </is>
      </c>
      <c r="X296" s="58" t="n"/>
    </row>
    <row r="297">
      <c r="A297" s="71" t="n">
        <v>46060</v>
      </c>
      <c r="B297" s="58" t="inlineStr">
        <is>
          <t>JULIO GADRET</t>
        </is>
      </c>
      <c r="C297" s="58" t="inlineStr">
        <is>
          <t>BIO GRÃOS 62</t>
        </is>
      </c>
      <c r="D297" s="58" t="inlineStr">
        <is>
          <t>32.599.945/9441-22</t>
        </is>
      </c>
      <c r="E297" s="58" t="inlineStr">
        <is>
          <t>SP</t>
        </is>
      </c>
      <c r="F297" s="58" t="inlineStr">
        <is>
          <t>CIA DA SAUDE</t>
        </is>
      </c>
      <c r="G297" s="58" t="inlineStr">
        <is>
          <t>INAT.ANT</t>
        </is>
      </c>
      <c r="H297" s="58" t="n">
        <v>238</v>
      </c>
      <c r="I297" s="58">
        <f>IF(R297="","",VLOOKUP(R297,REGRAS!$B$2:$D$13,3,FALSE()))</f>
        <v/>
      </c>
      <c r="J297" s="58" t="n"/>
      <c r="K297" s="58">
        <f>IF(R297="","",IF(R297="VENDA / PEDIDO","RECOMPRA",IF(R297="SUPORTE","PÓS-VENDA",IF(OR(R297="FOLLOW UP 7",R297="FOLLOW UP 15"),"SALVAMENTO",IF(R297="PERDA / FECHOU LOJA","NUTRIÇÃO",IF(R297="RELACIONAMENTO","CS",IF(OR(R297="ORÇAMENTO",R297="CADASTRO"),"PROSPECÇÃO",IF(R297="EM ATENDIMENTO","EM ATENDIMENTO",IF(OR(R297="NÃO ATENDE",R297="NÃO RESPONDE",R297="RECUSOU LIGAÇÃO"),"RECUPERAÇÃO","")))))))))</f>
        <v/>
      </c>
      <c r="L297" s="58">
        <f>IF(H297="","",IF(G297="PROSPECT","🟣",IF(G297="LEAD","🟣",IF(G297="NOVO","🟢",IF(H297&lt;=50,"🟢",IF(H297&lt;=90,"🟡","🔴"))))))</f>
        <v/>
      </c>
      <c r="M297" s="58" t="n"/>
      <c r="N297" s="58" t="inlineStr">
        <is>
          <t>NÃO</t>
        </is>
      </c>
      <c r="O297" s="58" t="inlineStr">
        <is>
          <t>SIM</t>
        </is>
      </c>
      <c r="P297" s="58" t="inlineStr">
        <is>
          <t>NÃO</t>
        </is>
      </c>
      <c r="Q297" s="58" t="inlineStr">
        <is>
          <t>ATEND. CLIENTES ATIVOS</t>
        </is>
      </c>
      <c r="R297" s="58" t="inlineStr">
        <is>
          <t>SUPORTE</t>
        </is>
      </c>
      <c r="S297" s="58" t="n"/>
      <c r="T297" s="71">
        <f>IF(R297="","",IF(OR(R297="SUPORTE",R297="PERDA / FECHOU LOJA"),"SEM",A297+VLOOKUP(R297,REGRAS!$B$2:$C$13,2,FALSE())))</f>
        <v/>
      </c>
      <c r="U297" s="58">
        <f>IF(R297="","",IF(R297="VENDA / PEDIDO","RECOMPRA",IF(R297="SUPORTE","PÓS-VENDA",IF(R297="RELACIONAMENTO","CS",IF(OR(R297="NÃO ATENDE",R297="NÃO RESPONDE",R297="RECUSOU LIGAÇÃO"),"REATIVAÇÃO",IF(R297="PERDA / FECHOU LOJA","NUTRIÇÃO",IF(OR(R297="FOLLOW UP 7",R297="FOLLOW UP 15"),"SALVAMENTO","PROSPECÇÃO")))))))</f>
        <v/>
      </c>
      <c r="V297" s="58" t="n"/>
      <c r="W297" s="58" t="inlineStr">
        <is>
          <t>SIM</t>
        </is>
      </c>
      <c r="X297" s="58" t="n"/>
    </row>
    <row r="298">
      <c r="A298" s="71" t="n">
        <v>46081</v>
      </c>
      <c r="B298" s="58" t="inlineStr">
        <is>
          <t>MANU DITZEL</t>
        </is>
      </c>
      <c r="C298" s="58" t="inlineStr">
        <is>
          <t>FITLAND PR 96</t>
        </is>
      </c>
      <c r="D298" s="58" t="inlineStr">
        <is>
          <t>93.969.716/0188-91</t>
        </is>
      </c>
      <c r="E298" s="58" t="inlineStr">
        <is>
          <t>RJ</t>
        </is>
      </c>
      <c r="F298" s="58" t="inlineStr">
        <is>
          <t>FIT LAND</t>
        </is>
      </c>
      <c r="G298" s="58" t="inlineStr">
        <is>
          <t>ATIVO</t>
        </is>
      </c>
      <c r="H298" s="58" t="n">
        <v>7</v>
      </c>
      <c r="I298" s="58">
        <f>IF(R298="","",VLOOKUP(R298,REGRAS!$B$2:$D$13,3,FALSE()))</f>
        <v/>
      </c>
      <c r="J298" s="58" t="n"/>
      <c r="K298" s="58">
        <f>IF(R298="","",IF(R298="VENDA / PEDIDO","RECOMPRA",IF(R298="SUPORTE","PÓS-VENDA",IF(OR(R298="FOLLOW UP 7",R298="FOLLOW UP 15"),"SALVAMENTO",IF(R298="PERDA / FECHOU LOJA","NUTRIÇÃO",IF(R298="RELACIONAMENTO","CS",IF(OR(R298="ORÇAMENTO",R298="CADASTRO"),"PROSPECÇÃO",IF(R298="EM ATENDIMENTO","EM ATENDIMENTO",IF(OR(R298="NÃO ATENDE",R298="NÃO RESPONDE",R298="RECUSOU LIGAÇÃO"),"RECUPERAÇÃO","")))))))))</f>
        <v/>
      </c>
      <c r="L298" s="58">
        <f>IF(H298="","",IF(G298="PROSPECT","🟣",IF(G298="LEAD","🟣",IF(G298="NOVO","🟢",IF(H298&lt;=50,"🟢",IF(H298&lt;=90,"🟡","🔴"))))))</f>
        <v/>
      </c>
      <c r="M298" s="58" t="n"/>
      <c r="N298" s="58" t="inlineStr">
        <is>
          <t>SIM</t>
        </is>
      </c>
      <c r="O298" s="58" t="inlineStr">
        <is>
          <t>NÃO</t>
        </is>
      </c>
      <c r="P298" s="58" t="inlineStr">
        <is>
          <t>N/A</t>
        </is>
      </c>
      <c r="Q298" s="58" t="inlineStr">
        <is>
          <t>FOLLOW UP</t>
        </is>
      </c>
      <c r="R298" s="58" t="inlineStr">
        <is>
          <t>FOLLOW UP 7</t>
        </is>
      </c>
      <c r="S298" s="58" t="inlineStr">
        <is>
          <t>AINDA TEM ESTOQUE</t>
        </is>
      </c>
      <c r="T298" s="71">
        <f>IF(R298="","",IF(OR(R298="SUPORTE",R298="PERDA / FECHOU LOJA"),"SEM",A298+VLOOKUP(R298,REGRAS!$B$2:$C$13,2,FALSE())))</f>
        <v/>
      </c>
      <c r="U298" s="58">
        <f>IF(R298="","",IF(R298="VENDA / PEDIDO","RECOMPRA",IF(R298="SUPORTE","PÓS-VENDA",IF(R298="RELACIONAMENTO","CS",IF(OR(R298="NÃO ATENDE",R298="NÃO RESPONDE",R298="RECUSOU LIGAÇÃO"),"REATIVAÇÃO",IF(R298="PERDA / FECHOU LOJA","NUTRIÇÃO",IF(OR(R298="FOLLOW UP 7",R298="FOLLOW UP 15"),"SALVAMENTO","PROSPECÇÃO")))))))</f>
        <v/>
      </c>
      <c r="V298" s="58" t="n"/>
      <c r="W298" s="58" t="inlineStr">
        <is>
          <t>NÃO</t>
        </is>
      </c>
      <c r="X298" s="58" t="n"/>
    </row>
    <row r="299">
      <c r="A299" s="71" t="n">
        <v>46066</v>
      </c>
      <c r="B299" s="58" t="inlineStr">
        <is>
          <t>DAIANE STAVICKI</t>
        </is>
      </c>
      <c r="C299" s="58" t="inlineStr">
        <is>
          <t>MUNDO BIO 74</t>
        </is>
      </c>
      <c r="D299" s="58" t="inlineStr">
        <is>
          <t>74.192.327/7077-47</t>
        </is>
      </c>
      <c r="E299" s="58" t="inlineStr">
        <is>
          <t>MG</t>
        </is>
      </c>
      <c r="F299" s="58" t="inlineStr">
        <is>
          <t>MUNDO VERDE</t>
        </is>
      </c>
      <c r="G299" s="58" t="inlineStr">
        <is>
          <t>ATIVO</t>
        </is>
      </c>
      <c r="H299" s="58" t="n">
        <v>35</v>
      </c>
      <c r="I299" s="58">
        <f>IF(R299="","",VLOOKUP(R299,REGRAS!$B$2:$D$13,3,FALSE()))</f>
        <v/>
      </c>
      <c r="J299" s="58" t="n"/>
      <c r="K299" s="58">
        <f>IF(R299="","",IF(R299="VENDA / PEDIDO","RECOMPRA",IF(R299="SUPORTE","PÓS-VENDA",IF(OR(R299="FOLLOW UP 7",R299="FOLLOW UP 15"),"SALVAMENTO",IF(R299="PERDA / FECHOU LOJA","NUTRIÇÃO",IF(R299="RELACIONAMENTO","CS",IF(OR(R299="ORÇAMENTO",R299="CADASTRO"),"PROSPECÇÃO",IF(R299="EM ATENDIMENTO","EM ATENDIMENTO",IF(OR(R299="NÃO ATENDE",R299="NÃO RESPONDE",R299="RECUSOU LIGAÇÃO"),"RECUPERAÇÃO","")))))))))</f>
        <v/>
      </c>
      <c r="L299" s="58">
        <f>IF(H299="","",IF(G299="PROSPECT","🟣",IF(G299="LEAD","🟣",IF(G299="NOVO","🟢",IF(H299&lt;=50,"🟢",IF(H299&lt;=90,"🟡","🔴"))))))</f>
        <v/>
      </c>
      <c r="M299" s="58" t="n"/>
      <c r="N299" s="58" t="inlineStr">
        <is>
          <t>SIM</t>
        </is>
      </c>
      <c r="O299" s="58" t="inlineStr">
        <is>
          <t>SIM</t>
        </is>
      </c>
      <c r="P299" s="58" t="inlineStr">
        <is>
          <t>SIM</t>
        </is>
      </c>
      <c r="Q299" s="58" t="inlineStr">
        <is>
          <t>ATEND. CLIENTES ATIVOS</t>
        </is>
      </c>
      <c r="R299" s="58" t="inlineStr">
        <is>
          <t>VENDA / PEDIDO</t>
        </is>
      </c>
      <c r="S299" s="58" t="n"/>
      <c r="T299" s="71">
        <f>IF(R299="","",IF(OR(R299="SUPORTE",R299="PERDA / FECHOU LOJA"),"SEM",A299+VLOOKUP(R299,REGRAS!$B$2:$C$13,2,FALSE())))</f>
        <v/>
      </c>
      <c r="U299" s="58">
        <f>IF(R299="","",IF(R299="VENDA / PEDIDO","RECOMPRA",IF(R299="SUPORTE","PÓS-VENDA",IF(R299="RELACIONAMENTO","CS",IF(OR(R299="NÃO ATENDE",R299="NÃO RESPONDE",R299="RECUSOU LIGAÇÃO"),"REATIVAÇÃO",IF(R299="PERDA / FECHOU LOJA","NUTRIÇÃO",IF(OR(R299="FOLLOW UP 7",R299="FOLLOW UP 15"),"SALVAMENTO","PROSPECÇÃO")))))))</f>
        <v/>
      </c>
      <c r="V299" s="58" t="n"/>
      <c r="W299" s="58" t="inlineStr">
        <is>
          <t>NÃO</t>
        </is>
      </c>
      <c r="X299" s="58" t="n"/>
    </row>
    <row r="300">
      <c r="A300" s="71" t="n">
        <v>46058</v>
      </c>
      <c r="B300" s="58" t="inlineStr">
        <is>
          <t>DAIANE STAVICKI</t>
        </is>
      </c>
      <c r="C300" s="58" t="inlineStr">
        <is>
          <t>FEIRA VERDE 72</t>
        </is>
      </c>
      <c r="D300" s="58" t="inlineStr">
        <is>
          <t>35.599.504/9361-35</t>
        </is>
      </c>
      <c r="E300" s="58" t="inlineStr">
        <is>
          <t>SP</t>
        </is>
      </c>
      <c r="F300" s="58" t="inlineStr">
        <is>
          <t>DEMAIS CLIENTES</t>
        </is>
      </c>
      <c r="G300" s="58" t="inlineStr">
        <is>
          <t>INAT.REC</t>
        </is>
      </c>
      <c r="H300" s="58" t="n">
        <v>68</v>
      </c>
      <c r="I300" s="58">
        <f>IF(R300="","",VLOOKUP(R300,REGRAS!$B$2:$D$13,3,FALSE()))</f>
        <v/>
      </c>
      <c r="J300" s="58" t="n"/>
      <c r="K300" s="58">
        <f>IF(R300="","",IF(R300="VENDA / PEDIDO","RECOMPRA",IF(R300="SUPORTE","PÓS-VENDA",IF(OR(R300="FOLLOW UP 7",R300="FOLLOW UP 15"),"SALVAMENTO",IF(R300="PERDA / FECHOU LOJA","NUTRIÇÃO",IF(R300="RELACIONAMENTO","CS",IF(OR(R300="ORÇAMENTO",R300="CADASTRO"),"PROSPECÇÃO",IF(R300="EM ATENDIMENTO","EM ATENDIMENTO",IF(OR(R300="NÃO ATENDE",R300="NÃO RESPONDE",R300="RECUSOU LIGAÇÃO"),"RECUPERAÇÃO","")))))))))</f>
        <v/>
      </c>
      <c r="L300" s="58">
        <f>IF(H300="","",IF(G300="PROSPECT","🟣",IF(G300="LEAD","🟣",IF(G300="NOVO","🟢",IF(H300&lt;=50,"🟢",IF(H300&lt;=90,"🟡","🔴"))))))</f>
        <v/>
      </c>
      <c r="M300" s="58" t="n"/>
      <c r="N300" s="58" t="inlineStr">
        <is>
          <t>SIM</t>
        </is>
      </c>
      <c r="O300" s="58" t="inlineStr">
        <is>
          <t>NÃO</t>
        </is>
      </c>
      <c r="P300" s="58" t="inlineStr">
        <is>
          <t>N/A</t>
        </is>
      </c>
      <c r="Q300" s="58" t="inlineStr">
        <is>
          <t>PROSPECÇÃO</t>
        </is>
      </c>
      <c r="R300" s="58" t="inlineStr">
        <is>
          <t>NÃO RESPONDE</t>
        </is>
      </c>
      <c r="S300" s="58" t="inlineStr">
        <is>
          <t>AINDA TEM ESTOQUE</t>
        </is>
      </c>
      <c r="T300" s="71">
        <f>IF(R300="","",IF(OR(R300="SUPORTE",R300="PERDA / FECHOU LOJA"),"SEM",A300+VLOOKUP(R300,REGRAS!$B$2:$C$13,2,FALSE())))</f>
        <v/>
      </c>
      <c r="U300" s="58">
        <f>IF(R300="","",IF(R300="VENDA / PEDIDO","RECOMPRA",IF(R300="SUPORTE","PÓS-VENDA",IF(R300="RELACIONAMENTO","CS",IF(OR(R300="NÃO ATENDE",R300="NÃO RESPONDE",R300="RECUSOU LIGAÇÃO"),"REATIVAÇÃO",IF(R300="PERDA / FECHOU LOJA","NUTRIÇÃO",IF(OR(R300="FOLLOW UP 7",R300="FOLLOW UP 15"),"SALVAMENTO","PROSPECÇÃO")))))))</f>
        <v/>
      </c>
      <c r="V300" s="58" t="n"/>
      <c r="W300" s="58" t="inlineStr">
        <is>
          <t>NÃO</t>
        </is>
      </c>
      <c r="X300" s="58" t="n"/>
    </row>
    <row r="301">
      <c r="A301" s="71" t="n">
        <v>46067</v>
      </c>
      <c r="B301" s="58" t="inlineStr">
        <is>
          <t>LARISSA PADILHA</t>
        </is>
      </c>
      <c r="C301" s="58" t="inlineStr">
        <is>
          <t>CIA SAUDE SP 42</t>
        </is>
      </c>
      <c r="D301" s="58" t="inlineStr">
        <is>
          <t>54.708.771/0397-49</t>
        </is>
      </c>
      <c r="E301" s="58" t="inlineStr">
        <is>
          <t>PR</t>
        </is>
      </c>
      <c r="F301" s="58" t="inlineStr">
        <is>
          <t>CIA DA SAUDE</t>
        </is>
      </c>
      <c r="G301" s="58" t="inlineStr">
        <is>
          <t>NOVO</t>
        </is>
      </c>
      <c r="H301" s="58" t="n"/>
      <c r="I301" s="58">
        <f>IF(R301="","",VLOOKUP(R301,REGRAS!$B$2:$D$13,3,FALSE()))</f>
        <v/>
      </c>
      <c r="J301" s="58" t="n"/>
      <c r="K301" s="58">
        <f>IF(R301="","",IF(R301="VENDA / PEDIDO","RECOMPRA",IF(R301="SUPORTE","PÓS-VENDA",IF(OR(R301="FOLLOW UP 7",R301="FOLLOW UP 15"),"SALVAMENTO",IF(R301="PERDA / FECHOU LOJA","NUTRIÇÃO",IF(R301="RELACIONAMENTO","CS",IF(OR(R301="ORÇAMENTO",R301="CADASTRO"),"PROSPECÇÃO",IF(R301="EM ATENDIMENTO","EM ATENDIMENTO",IF(OR(R301="NÃO ATENDE",R301="NÃO RESPONDE",R301="RECUSOU LIGAÇÃO"),"RECUPERAÇÃO","")))))))))</f>
        <v/>
      </c>
      <c r="L301" s="58">
        <f>IF(H301="","",IF(G301="PROSPECT","🟣",IF(G301="LEAD","🟣",IF(G301="NOVO","🟢",IF(H301&lt;=50,"🟢",IF(H301&lt;=90,"🟡","🔴"))))))</f>
        <v/>
      </c>
      <c r="M301" s="58" t="n"/>
      <c r="N301" s="58" t="inlineStr">
        <is>
          <t>SIM</t>
        </is>
      </c>
      <c r="O301" s="58" t="inlineStr">
        <is>
          <t>NÃO</t>
        </is>
      </c>
      <c r="P301" s="58" t="inlineStr">
        <is>
          <t>N/A</t>
        </is>
      </c>
      <c r="Q301" s="58" t="inlineStr">
        <is>
          <t>PÓS-VENDA / RELACIONAMENTO</t>
        </is>
      </c>
      <c r="R301" s="58" t="inlineStr">
        <is>
          <t>SUPORTE</t>
        </is>
      </c>
      <c r="S301" s="58" t="n"/>
      <c r="T301" s="71">
        <f>IF(R301="","",IF(OR(R301="SUPORTE",R301="PERDA / FECHOU LOJA"),"SEM",A301+VLOOKUP(R301,REGRAS!$B$2:$C$13,2,FALSE())))</f>
        <v/>
      </c>
      <c r="U301" s="58">
        <f>IF(R301="","",IF(R301="VENDA / PEDIDO","RECOMPRA",IF(R301="SUPORTE","PÓS-VENDA",IF(R301="RELACIONAMENTO","CS",IF(OR(R301="NÃO ATENDE",R301="NÃO RESPONDE",R301="RECUSOU LIGAÇÃO"),"REATIVAÇÃO",IF(R301="PERDA / FECHOU LOJA","NUTRIÇÃO",IF(OR(R301="FOLLOW UP 7",R301="FOLLOW UP 15"),"SALVAMENTO","PROSPECÇÃO")))))))</f>
        <v/>
      </c>
      <c r="V301" s="58" t="n"/>
      <c r="W301" s="58" t="inlineStr">
        <is>
          <t>SIM</t>
        </is>
      </c>
      <c r="X301" s="58" t="n"/>
    </row>
    <row r="302">
      <c r="A302" s="71" t="n">
        <v>46075</v>
      </c>
      <c r="B302" s="58" t="inlineStr">
        <is>
          <t>LARISSA PADILHA</t>
        </is>
      </c>
      <c r="C302" s="58" t="inlineStr">
        <is>
          <t>GRÃO DE OURO 15</t>
        </is>
      </c>
      <c r="D302" s="58" t="inlineStr">
        <is>
          <t>16.348.735/2420-46</t>
        </is>
      </c>
      <c r="E302" s="58" t="inlineStr">
        <is>
          <t>PR</t>
        </is>
      </c>
      <c r="F302" s="58" t="inlineStr">
        <is>
          <t>TUDO EM GRAOS</t>
        </is>
      </c>
      <c r="G302" s="58" t="inlineStr">
        <is>
          <t>ATIVO</t>
        </is>
      </c>
      <c r="H302" s="58" t="n">
        <v>33</v>
      </c>
      <c r="I302" s="58">
        <f>IF(R302="","",VLOOKUP(R302,REGRAS!$B$2:$D$13,3,FALSE()))</f>
        <v/>
      </c>
      <c r="J302" s="58" t="n"/>
      <c r="K302" s="58">
        <f>IF(R302="","",IF(R302="VENDA / PEDIDO","RECOMPRA",IF(R302="SUPORTE","PÓS-VENDA",IF(OR(R302="FOLLOW UP 7",R302="FOLLOW UP 15"),"SALVAMENTO",IF(R302="PERDA / FECHOU LOJA","NUTRIÇÃO",IF(R302="RELACIONAMENTO","CS",IF(OR(R302="ORÇAMENTO",R302="CADASTRO"),"PROSPECÇÃO",IF(R302="EM ATENDIMENTO","EM ATENDIMENTO",IF(OR(R302="NÃO ATENDE",R302="NÃO RESPONDE",R302="RECUSOU LIGAÇÃO"),"RECUPERAÇÃO","")))))))))</f>
        <v/>
      </c>
      <c r="L302" s="58">
        <f>IF(H302="","",IF(G302="PROSPECT","🟣",IF(G302="LEAD","🟣",IF(G302="NOVO","🟢",IF(H302&lt;=50,"🟢",IF(H302&lt;=90,"🟡","🔴"))))))</f>
        <v/>
      </c>
      <c r="M302" s="58" t="n"/>
      <c r="N302" s="58" t="inlineStr">
        <is>
          <t>NÃO</t>
        </is>
      </c>
      <c r="O302" s="58" t="inlineStr">
        <is>
          <t>SIM</t>
        </is>
      </c>
      <c r="P302" s="58" t="inlineStr">
        <is>
          <t>SIM</t>
        </is>
      </c>
      <c r="Q302" s="58" t="inlineStr">
        <is>
          <t>ATEND. CLIENTES ATIVOS</t>
        </is>
      </c>
      <c r="R302" s="58" t="inlineStr">
        <is>
          <t>ORÇAMENTO</t>
        </is>
      </c>
      <c r="S302" s="58" t="n"/>
      <c r="T302" s="71">
        <f>IF(R302="","",IF(OR(R302="SUPORTE",R302="PERDA / FECHOU LOJA"),"SEM",A302+VLOOKUP(R302,REGRAS!$B$2:$C$13,2,FALSE())))</f>
        <v/>
      </c>
      <c r="U302" s="58">
        <f>IF(R302="","",IF(R302="VENDA / PEDIDO","RECOMPRA",IF(R302="SUPORTE","PÓS-VENDA",IF(R302="RELACIONAMENTO","CS",IF(OR(R302="NÃO ATENDE",R302="NÃO RESPONDE",R302="RECUSOU LIGAÇÃO"),"REATIVAÇÃO",IF(R302="PERDA / FECHOU LOJA","NUTRIÇÃO",IF(OR(R302="FOLLOW UP 7",R302="FOLLOW UP 15"),"SALVAMENTO","PROSPECÇÃO")))))))</f>
        <v/>
      </c>
      <c r="V302" s="58" t="n"/>
      <c r="W302" s="58" t="inlineStr">
        <is>
          <t>NÃO</t>
        </is>
      </c>
      <c r="X302" s="58" t="n"/>
    </row>
    <row r="303">
      <c r="A303" s="71" t="n">
        <v>46071</v>
      </c>
      <c r="B303" s="58" t="inlineStr">
        <is>
          <t>LARISSA PADILHA</t>
        </is>
      </c>
      <c r="C303" s="58" t="inlineStr">
        <is>
          <t>SABOR NATURAL 89</t>
        </is>
      </c>
      <c r="D303" s="58" t="inlineStr">
        <is>
          <t>99.784.118/6171-84</t>
        </is>
      </c>
      <c r="E303" s="58" t="inlineStr">
        <is>
          <t>GO</t>
        </is>
      </c>
      <c r="F303" s="58" t="inlineStr">
        <is>
          <t>DIVINA TERRA</t>
        </is>
      </c>
      <c r="G303" s="58" t="inlineStr">
        <is>
          <t>ATIVO</t>
        </is>
      </c>
      <c r="H303" s="58" t="n">
        <v>8</v>
      </c>
      <c r="I303" s="58">
        <f>IF(R303="","",VLOOKUP(R303,REGRAS!$B$2:$D$13,3,FALSE()))</f>
        <v/>
      </c>
      <c r="J303" s="58" t="n"/>
      <c r="K303" s="58">
        <f>IF(R303="","",IF(R303="VENDA / PEDIDO","RECOMPRA",IF(R303="SUPORTE","PÓS-VENDA",IF(OR(R303="FOLLOW UP 7",R303="FOLLOW UP 15"),"SALVAMENTO",IF(R303="PERDA / FECHOU LOJA","NUTRIÇÃO",IF(R303="RELACIONAMENTO","CS",IF(OR(R303="ORÇAMENTO",R303="CADASTRO"),"PROSPECÇÃO",IF(R303="EM ATENDIMENTO","EM ATENDIMENTO",IF(OR(R303="NÃO ATENDE",R303="NÃO RESPONDE",R303="RECUSOU LIGAÇÃO"),"RECUPERAÇÃO","")))))))))</f>
        <v/>
      </c>
      <c r="L303" s="58">
        <f>IF(H303="","",IF(G303="PROSPECT","🟣",IF(G303="LEAD","🟣",IF(G303="NOVO","🟢",IF(H303&lt;=50,"🟢",IF(H303&lt;=90,"🟡","🔴"))))))</f>
        <v/>
      </c>
      <c r="M303" s="58" t="n"/>
      <c r="N303" s="58" t="inlineStr">
        <is>
          <t>SIM</t>
        </is>
      </c>
      <c r="O303" s="58" t="inlineStr">
        <is>
          <t>SIM</t>
        </is>
      </c>
      <c r="P303" s="58" t="inlineStr">
        <is>
          <t>NÃO</t>
        </is>
      </c>
      <c r="Q303" s="58" t="inlineStr">
        <is>
          <t>FOLLOW UP</t>
        </is>
      </c>
      <c r="R303" s="58" t="inlineStr">
        <is>
          <t>NÃO ATENDE</t>
        </is>
      </c>
      <c r="S303" s="58" t="inlineStr">
        <is>
          <t>AINDA TEM ESTOQUE</t>
        </is>
      </c>
      <c r="T303" s="71">
        <f>IF(R303="","",IF(OR(R303="SUPORTE",R303="PERDA / FECHOU LOJA"),"SEM",A303+VLOOKUP(R303,REGRAS!$B$2:$C$13,2,FALSE())))</f>
        <v/>
      </c>
      <c r="U303" s="58">
        <f>IF(R303="","",IF(R303="VENDA / PEDIDO","RECOMPRA",IF(R303="SUPORTE","PÓS-VENDA",IF(R303="RELACIONAMENTO","CS",IF(OR(R303="NÃO ATENDE",R303="NÃO RESPONDE",R303="RECUSOU LIGAÇÃO"),"REATIVAÇÃO",IF(R303="PERDA / FECHOU LOJA","NUTRIÇÃO",IF(OR(R303="FOLLOW UP 7",R303="FOLLOW UP 15"),"SALVAMENTO","PROSPECÇÃO")))))))</f>
        <v/>
      </c>
      <c r="V303" s="58" t="n"/>
      <c r="W303" s="58" t="inlineStr">
        <is>
          <t>SIM</t>
        </is>
      </c>
      <c r="X303" s="58" t="n"/>
    </row>
    <row r="304">
      <c r="A304" s="71" t="n">
        <v>46062</v>
      </c>
      <c r="B304" s="58" t="inlineStr">
        <is>
          <t>JULIO GADRET</t>
        </is>
      </c>
      <c r="C304" s="58" t="inlineStr">
        <is>
          <t>GRANEL &amp; CIA 14</t>
        </is>
      </c>
      <c r="D304" s="58" t="inlineStr">
        <is>
          <t>12.399.988/6333-39</t>
        </is>
      </c>
      <c r="E304" s="58" t="inlineStr">
        <is>
          <t>CE</t>
        </is>
      </c>
      <c r="F304" s="58" t="inlineStr">
        <is>
          <t>DIVINA TERRA</t>
        </is>
      </c>
      <c r="G304" s="58" t="inlineStr">
        <is>
          <t>INAT.ANT</t>
        </is>
      </c>
      <c r="H304" s="58" t="n">
        <v>171</v>
      </c>
      <c r="I304" s="58">
        <f>IF(R304="","",VLOOKUP(R304,REGRAS!$B$2:$D$13,3,FALSE()))</f>
        <v/>
      </c>
      <c r="J304" s="58" t="n"/>
      <c r="K304" s="58">
        <f>IF(R304="","",IF(R304="VENDA / PEDIDO","RECOMPRA",IF(R304="SUPORTE","PÓS-VENDA",IF(OR(R304="FOLLOW UP 7",R304="FOLLOW UP 15"),"SALVAMENTO",IF(R304="PERDA / FECHOU LOJA","NUTRIÇÃO",IF(R304="RELACIONAMENTO","CS",IF(OR(R304="ORÇAMENTO",R304="CADASTRO"),"PROSPECÇÃO",IF(R304="EM ATENDIMENTO","EM ATENDIMENTO",IF(OR(R304="NÃO ATENDE",R304="NÃO RESPONDE",R304="RECUSOU LIGAÇÃO"),"RECUPERAÇÃO","")))))))))</f>
        <v/>
      </c>
      <c r="L304" s="58">
        <f>IF(H304="","",IF(G304="PROSPECT","🟣",IF(G304="LEAD","🟣",IF(G304="NOVO","🟢",IF(H304&lt;=50,"🟢",IF(H304&lt;=90,"🟡","🔴"))))))</f>
        <v/>
      </c>
      <c r="M304" s="58" t="n"/>
      <c r="N304" s="58" t="inlineStr">
        <is>
          <t>SIM</t>
        </is>
      </c>
      <c r="O304" s="58" t="inlineStr">
        <is>
          <t>SIM</t>
        </is>
      </c>
      <c r="P304" s="58" t="inlineStr">
        <is>
          <t>NÃO</t>
        </is>
      </c>
      <c r="Q304" s="58" t="inlineStr">
        <is>
          <t>ATEND. CLIENTES ATIVOS</t>
        </is>
      </c>
      <c r="R304" s="58" t="inlineStr">
        <is>
          <t>FOLLOW UP 7</t>
        </is>
      </c>
      <c r="S304" s="58" t="inlineStr">
        <is>
          <t>PROBLEMA LOGÍSTICO / ENTREGA</t>
        </is>
      </c>
      <c r="T304" s="71">
        <f>IF(R304="","",IF(OR(R304="SUPORTE",R304="PERDA / FECHOU LOJA"),"SEM",A304+VLOOKUP(R304,REGRAS!$B$2:$C$13,2,FALSE())))</f>
        <v/>
      </c>
      <c r="U304" s="58">
        <f>IF(R304="","",IF(R304="VENDA / PEDIDO","RECOMPRA",IF(R304="SUPORTE","PÓS-VENDA",IF(R304="RELACIONAMENTO","CS",IF(OR(R304="NÃO ATENDE",R304="NÃO RESPONDE",R304="RECUSOU LIGAÇÃO"),"REATIVAÇÃO",IF(R304="PERDA / FECHOU LOJA","NUTRIÇÃO",IF(OR(R304="FOLLOW UP 7",R304="FOLLOW UP 15"),"SALVAMENTO","PROSPECÇÃO")))))))</f>
        <v/>
      </c>
      <c r="V304" s="58" t="n"/>
      <c r="W304" s="58" t="inlineStr">
        <is>
          <t>NÃO</t>
        </is>
      </c>
      <c r="X304" s="58" t="n"/>
    </row>
    <row r="305">
      <c r="A305" s="71" t="n">
        <v>46055</v>
      </c>
      <c r="B305" s="58" t="inlineStr">
        <is>
          <t>MANU DITZEL</t>
        </is>
      </c>
      <c r="C305" s="58" t="inlineStr">
        <is>
          <t>LOJA NATURAL 40</t>
        </is>
      </c>
      <c r="D305" s="58" t="inlineStr">
        <is>
          <t>52.601.502/2573-12</t>
        </is>
      </c>
      <c r="E305" s="58" t="inlineStr">
        <is>
          <t>SC</t>
        </is>
      </c>
      <c r="F305" s="58" t="inlineStr">
        <is>
          <t>CIA DA SAUDE</t>
        </is>
      </c>
      <c r="G305" s="58" t="inlineStr">
        <is>
          <t>INAT.ANT</t>
        </is>
      </c>
      <c r="H305" s="58" t="n">
        <v>151</v>
      </c>
      <c r="I305" s="58">
        <f>IF(R305="","",VLOOKUP(R305,REGRAS!$B$2:$D$13,3,FALSE()))</f>
        <v/>
      </c>
      <c r="J305" s="58" t="n"/>
      <c r="K305" s="58">
        <f>IF(R305="","",IF(R305="VENDA / PEDIDO","RECOMPRA",IF(R305="SUPORTE","PÓS-VENDA",IF(OR(R305="FOLLOW UP 7",R305="FOLLOW UP 15"),"SALVAMENTO",IF(R305="PERDA / FECHOU LOJA","NUTRIÇÃO",IF(R305="RELACIONAMENTO","CS",IF(OR(R305="ORÇAMENTO",R305="CADASTRO"),"PROSPECÇÃO",IF(R305="EM ATENDIMENTO","EM ATENDIMENTO",IF(OR(R305="NÃO ATENDE",R305="NÃO RESPONDE",R305="RECUSOU LIGAÇÃO"),"RECUPERAÇÃO","")))))))))</f>
        <v/>
      </c>
      <c r="L305" s="58">
        <f>IF(H305="","",IF(G305="PROSPECT","🟣",IF(G305="LEAD","🟣",IF(G305="NOVO","🟢",IF(H305&lt;=50,"🟢",IF(H305&lt;=90,"🟡","🔴"))))))</f>
        <v/>
      </c>
      <c r="M305" s="58" t="n"/>
      <c r="N305" s="58" t="inlineStr">
        <is>
          <t>SIM</t>
        </is>
      </c>
      <c r="O305" s="58" t="inlineStr">
        <is>
          <t>SIM</t>
        </is>
      </c>
      <c r="P305" s="58" t="inlineStr">
        <is>
          <t>SIM</t>
        </is>
      </c>
      <c r="Q305" s="58" t="inlineStr">
        <is>
          <t>PERDA / NUTRIÇÃO</t>
        </is>
      </c>
      <c r="R305" s="58" t="inlineStr">
        <is>
          <t>SUPORTE</t>
        </is>
      </c>
      <c r="S305" s="58" t="n"/>
      <c r="T305" s="71">
        <f>IF(R305="","",IF(OR(R305="SUPORTE",R305="PERDA / FECHOU LOJA"),"SEM",A305+VLOOKUP(R305,REGRAS!$B$2:$C$13,2,FALSE())))</f>
        <v/>
      </c>
      <c r="U305" s="58">
        <f>IF(R305="","",IF(R305="VENDA / PEDIDO","RECOMPRA",IF(R305="SUPORTE","PÓS-VENDA",IF(R305="RELACIONAMENTO","CS",IF(OR(R305="NÃO ATENDE",R305="NÃO RESPONDE",R305="RECUSOU LIGAÇÃO"),"REATIVAÇÃO",IF(R305="PERDA / FECHOU LOJA","NUTRIÇÃO",IF(OR(R305="FOLLOW UP 7",R305="FOLLOW UP 15"),"SALVAMENTO","PROSPECÇÃO")))))))</f>
        <v/>
      </c>
      <c r="V305" s="58" t="n"/>
      <c r="W305" s="58" t="inlineStr">
        <is>
          <t>SIM</t>
        </is>
      </c>
      <c r="X305" s="58" t="n"/>
    </row>
    <row r="306">
      <c r="A306" s="71" t="n">
        <v>46080</v>
      </c>
      <c r="B306" s="58" t="inlineStr">
        <is>
          <t>DAIANE STAVICKI</t>
        </is>
      </c>
      <c r="C306" s="58" t="inlineStr">
        <is>
          <t>ESSENCE FOOD 36</t>
        </is>
      </c>
      <c r="D306" s="58" t="inlineStr">
        <is>
          <t>38.255.449/6437-94</t>
        </is>
      </c>
      <c r="E306" s="58" t="inlineStr">
        <is>
          <t>PR</t>
        </is>
      </c>
      <c r="F306" s="58" t="inlineStr">
        <is>
          <t>DEMAIS CLIENTES</t>
        </is>
      </c>
      <c r="G306" s="58" t="inlineStr">
        <is>
          <t>INAT.REC</t>
        </is>
      </c>
      <c r="H306" s="58" t="n">
        <v>82</v>
      </c>
      <c r="I306" s="58">
        <f>IF(R306="","",VLOOKUP(R306,REGRAS!$B$2:$D$13,3,FALSE()))</f>
        <v/>
      </c>
      <c r="J306" s="58" t="n"/>
      <c r="K306" s="58">
        <f>IF(R306="","",IF(R306="VENDA / PEDIDO","RECOMPRA",IF(R306="SUPORTE","PÓS-VENDA",IF(OR(R306="FOLLOW UP 7",R306="FOLLOW UP 15"),"SALVAMENTO",IF(R306="PERDA / FECHOU LOJA","NUTRIÇÃO",IF(R306="RELACIONAMENTO","CS",IF(OR(R306="ORÇAMENTO",R306="CADASTRO"),"PROSPECÇÃO",IF(R306="EM ATENDIMENTO","EM ATENDIMENTO",IF(OR(R306="NÃO ATENDE",R306="NÃO RESPONDE",R306="RECUSOU LIGAÇÃO"),"RECUPERAÇÃO","")))))))))</f>
        <v/>
      </c>
      <c r="L306" s="58">
        <f>IF(H306="","",IF(G306="PROSPECT","🟣",IF(G306="LEAD","🟣",IF(G306="NOVO","🟢",IF(H306&lt;=50,"🟢",IF(H306&lt;=90,"🟡","🔴"))))))</f>
        <v/>
      </c>
      <c r="M306" s="58" t="n"/>
      <c r="N306" s="58" t="inlineStr">
        <is>
          <t>SIM</t>
        </is>
      </c>
      <c r="O306" s="58" t="inlineStr">
        <is>
          <t>SIM</t>
        </is>
      </c>
      <c r="P306" s="58" t="inlineStr">
        <is>
          <t>SIM</t>
        </is>
      </c>
      <c r="Q306" s="58" t="inlineStr">
        <is>
          <t>ATEND. CLIENTES ATIVOS</t>
        </is>
      </c>
      <c r="R306" s="58" t="inlineStr">
        <is>
          <t>FOLLOW UP 7</t>
        </is>
      </c>
      <c r="S306" s="58" t="inlineStr">
        <is>
          <t>PRIMEIRO CONTATO / SEM RESPOSTA</t>
        </is>
      </c>
      <c r="T306" s="71">
        <f>IF(R306="","",IF(OR(R306="SUPORTE",R306="PERDA / FECHOU LOJA"),"SEM",A306+VLOOKUP(R306,REGRAS!$B$2:$C$13,2,FALSE())))</f>
        <v/>
      </c>
      <c r="U306" s="58">
        <f>IF(R306="","",IF(R306="VENDA / PEDIDO","RECOMPRA",IF(R306="SUPORTE","PÓS-VENDA",IF(R306="RELACIONAMENTO","CS",IF(OR(R306="NÃO ATENDE",R306="NÃO RESPONDE",R306="RECUSOU LIGAÇÃO"),"REATIVAÇÃO",IF(R306="PERDA / FECHOU LOJA","NUTRIÇÃO",IF(OR(R306="FOLLOW UP 7",R306="FOLLOW UP 15"),"SALVAMENTO","PROSPECÇÃO")))))))</f>
        <v/>
      </c>
      <c r="V306" s="58" t="n"/>
      <c r="W306" s="58" t="inlineStr">
        <is>
          <t>NÃO</t>
        </is>
      </c>
      <c r="X306" s="58" t="n"/>
    </row>
    <row r="307">
      <c r="A307" s="71" t="n">
        <v>46064</v>
      </c>
      <c r="B307" s="58" t="inlineStr">
        <is>
          <t>LARISSA PADILHA</t>
        </is>
      </c>
      <c r="C307" s="58" t="inlineStr">
        <is>
          <t>FIT STORE 27</t>
        </is>
      </c>
      <c r="D307" s="58" t="inlineStr">
        <is>
          <t>93.241.694/8870-97</t>
        </is>
      </c>
      <c r="E307" s="58" t="inlineStr">
        <is>
          <t>MG</t>
        </is>
      </c>
      <c r="F307" s="58" t="inlineStr">
        <is>
          <t>DEMAIS CLIENTES</t>
        </is>
      </c>
      <c r="G307" s="58" t="inlineStr">
        <is>
          <t>ATIVO</t>
        </is>
      </c>
      <c r="H307" s="58" t="n">
        <v>50</v>
      </c>
      <c r="I307" s="58">
        <f>IF(R307="","",VLOOKUP(R307,REGRAS!$B$2:$D$13,3,FALSE()))</f>
        <v/>
      </c>
      <c r="J307" s="58" t="n"/>
      <c r="K307" s="58">
        <f>IF(R307="","",IF(R307="VENDA / PEDIDO","RECOMPRA",IF(R307="SUPORTE","PÓS-VENDA",IF(OR(R307="FOLLOW UP 7",R307="FOLLOW UP 15"),"SALVAMENTO",IF(R307="PERDA / FECHOU LOJA","NUTRIÇÃO",IF(R307="RELACIONAMENTO","CS",IF(OR(R307="ORÇAMENTO",R307="CADASTRO"),"PROSPECÇÃO",IF(R307="EM ATENDIMENTO","EM ATENDIMENTO",IF(OR(R307="NÃO ATENDE",R307="NÃO RESPONDE",R307="RECUSOU LIGAÇÃO"),"RECUPERAÇÃO","")))))))))</f>
        <v/>
      </c>
      <c r="L307" s="58">
        <f>IF(H307="","",IF(G307="PROSPECT","🟣",IF(G307="LEAD","🟣",IF(G307="NOVO","🟢",IF(H307&lt;=50,"🟢",IF(H307&lt;=90,"🟡","🔴"))))))</f>
        <v/>
      </c>
      <c r="M307" s="58" t="n"/>
      <c r="N307" s="58" t="inlineStr">
        <is>
          <t>SIM</t>
        </is>
      </c>
      <c r="O307" s="58" t="inlineStr">
        <is>
          <t>NÃO</t>
        </is>
      </c>
      <c r="P307" s="58" t="inlineStr">
        <is>
          <t>N/A</t>
        </is>
      </c>
      <c r="Q307" s="58" t="inlineStr">
        <is>
          <t>PÓS-VENDA / RELACIONAMENTO</t>
        </is>
      </c>
      <c r="R307" s="58" t="inlineStr">
        <is>
          <t>NÃO RESPONDE</t>
        </is>
      </c>
      <c r="S307" s="58" t="inlineStr">
        <is>
          <t>PROPRIETARIO / INDISPONÍVEL</t>
        </is>
      </c>
      <c r="T307" s="71">
        <f>IF(R307="","",IF(OR(R307="SUPORTE",R307="PERDA / FECHOU LOJA"),"SEM",A307+VLOOKUP(R307,REGRAS!$B$2:$C$13,2,FALSE())))</f>
        <v/>
      </c>
      <c r="U307" s="58">
        <f>IF(R307="","",IF(R307="VENDA / PEDIDO","RECOMPRA",IF(R307="SUPORTE","PÓS-VENDA",IF(R307="RELACIONAMENTO","CS",IF(OR(R307="NÃO ATENDE",R307="NÃO RESPONDE",R307="RECUSOU LIGAÇÃO"),"REATIVAÇÃO",IF(R307="PERDA / FECHOU LOJA","NUTRIÇÃO",IF(OR(R307="FOLLOW UP 7",R307="FOLLOW UP 15"),"SALVAMENTO","PROSPECÇÃO")))))))</f>
        <v/>
      </c>
      <c r="V307" s="58" t="n"/>
      <c r="W307" s="58" t="inlineStr">
        <is>
          <t>NÃO</t>
        </is>
      </c>
      <c r="X307" s="58" t="n"/>
    </row>
    <row r="308">
      <c r="A308" s="71" t="n">
        <v>46072</v>
      </c>
      <c r="B308" s="58" t="inlineStr">
        <is>
          <t>DAIANE STAVICKI</t>
        </is>
      </c>
      <c r="C308" s="58" t="inlineStr">
        <is>
          <t>BIO GRÃOS 09</t>
        </is>
      </c>
      <c r="D308" s="58" t="inlineStr">
        <is>
          <t>81.645.836/1940-33</t>
        </is>
      </c>
      <c r="E308" s="58" t="inlineStr">
        <is>
          <t>SC</t>
        </is>
      </c>
      <c r="F308" s="58" t="inlineStr">
        <is>
          <t>DEMAIS CLIENTES</t>
        </is>
      </c>
      <c r="G308" s="58" t="inlineStr">
        <is>
          <t>INAT.ANT</t>
        </is>
      </c>
      <c r="H308" s="58" t="n">
        <v>286</v>
      </c>
      <c r="I308" s="58">
        <f>IF(R308="","",VLOOKUP(R308,REGRAS!$B$2:$D$13,3,FALSE()))</f>
        <v/>
      </c>
      <c r="J308" s="58" t="n"/>
      <c r="K308" s="58">
        <f>IF(R308="","",IF(R308="VENDA / PEDIDO","RECOMPRA",IF(R308="SUPORTE","PÓS-VENDA",IF(OR(R308="FOLLOW UP 7",R308="FOLLOW UP 15"),"SALVAMENTO",IF(R308="PERDA / FECHOU LOJA","NUTRIÇÃO",IF(R308="RELACIONAMENTO","CS",IF(OR(R308="ORÇAMENTO",R308="CADASTRO"),"PROSPECÇÃO",IF(R308="EM ATENDIMENTO","EM ATENDIMENTO",IF(OR(R308="NÃO ATENDE",R308="NÃO RESPONDE",R308="RECUSOU LIGAÇÃO"),"RECUPERAÇÃO","")))))))))</f>
        <v/>
      </c>
      <c r="L308" s="58">
        <f>IF(H308="","",IF(G308="PROSPECT","🟣",IF(G308="LEAD","🟣",IF(G308="NOVO","🟢",IF(H308&lt;=50,"🟢",IF(H308&lt;=90,"🟡","🔴"))))))</f>
        <v/>
      </c>
      <c r="M308" s="58" t="n"/>
      <c r="N308" s="58" t="inlineStr">
        <is>
          <t>NÃO</t>
        </is>
      </c>
      <c r="O308" s="58" t="inlineStr">
        <is>
          <t>SIM</t>
        </is>
      </c>
      <c r="P308" s="58" t="inlineStr">
        <is>
          <t>NÃO</t>
        </is>
      </c>
      <c r="Q308" s="58" t="inlineStr">
        <is>
          <t>FOLLOW UP</t>
        </is>
      </c>
      <c r="R308" s="58" t="inlineStr">
        <is>
          <t>SUPORTE</t>
        </is>
      </c>
      <c r="S308" s="58" t="n"/>
      <c r="T308" s="71">
        <f>IF(R308="","",IF(OR(R308="SUPORTE",R308="PERDA / FECHOU LOJA"),"SEM",A308+VLOOKUP(R308,REGRAS!$B$2:$C$13,2,FALSE())))</f>
        <v/>
      </c>
      <c r="U308" s="58">
        <f>IF(R308="","",IF(R308="VENDA / PEDIDO","RECOMPRA",IF(R308="SUPORTE","PÓS-VENDA",IF(R308="RELACIONAMENTO","CS",IF(OR(R308="NÃO ATENDE",R308="NÃO RESPONDE",R308="RECUSOU LIGAÇÃO"),"REATIVAÇÃO",IF(R308="PERDA / FECHOU LOJA","NUTRIÇÃO",IF(OR(R308="FOLLOW UP 7",R308="FOLLOW UP 15"),"SALVAMENTO","PROSPECÇÃO")))))))</f>
        <v/>
      </c>
      <c r="V308" s="58" t="n"/>
      <c r="W308" s="58" t="inlineStr">
        <is>
          <t>NÃO</t>
        </is>
      </c>
      <c r="X308" s="58" t="n"/>
    </row>
    <row r="309">
      <c r="A309" s="71" t="n">
        <v>46074</v>
      </c>
      <c r="B309" s="58" t="inlineStr">
        <is>
          <t>DAIANE STAVICKI</t>
        </is>
      </c>
      <c r="C309" s="58" t="inlineStr">
        <is>
          <t>NATUR LIFE 20</t>
        </is>
      </c>
      <c r="D309" s="58" t="inlineStr">
        <is>
          <t>34.209.234/3027-13</t>
        </is>
      </c>
      <c r="E309" s="58" t="inlineStr">
        <is>
          <t>RJ</t>
        </is>
      </c>
      <c r="F309" s="58" t="inlineStr">
        <is>
          <t>VIDA LEVE</t>
        </is>
      </c>
      <c r="G309" s="58" t="inlineStr">
        <is>
          <t>ATIVO</t>
        </is>
      </c>
      <c r="H309" s="58" t="n">
        <v>41</v>
      </c>
      <c r="I309" s="58">
        <f>IF(R309="","",VLOOKUP(R309,REGRAS!$B$2:$D$13,3,FALSE()))</f>
        <v/>
      </c>
      <c r="J309" s="58" t="n"/>
      <c r="K309" s="58">
        <f>IF(R309="","",IF(R309="VENDA / PEDIDO","RECOMPRA",IF(R309="SUPORTE","PÓS-VENDA",IF(OR(R309="FOLLOW UP 7",R309="FOLLOW UP 15"),"SALVAMENTO",IF(R309="PERDA / FECHOU LOJA","NUTRIÇÃO",IF(R309="RELACIONAMENTO","CS",IF(OR(R309="ORÇAMENTO",R309="CADASTRO"),"PROSPECÇÃO",IF(R309="EM ATENDIMENTO","EM ATENDIMENTO",IF(OR(R309="NÃO ATENDE",R309="NÃO RESPONDE",R309="RECUSOU LIGAÇÃO"),"RECUPERAÇÃO","")))))))))</f>
        <v/>
      </c>
      <c r="L309" s="58">
        <f>IF(H309="","",IF(G309="PROSPECT","🟣",IF(G309="LEAD","🟣",IF(G309="NOVO","🟢",IF(H309&lt;=50,"🟢",IF(H309&lt;=90,"🟡","🔴"))))))</f>
        <v/>
      </c>
      <c r="M309" s="58" t="n"/>
      <c r="N309" s="58" t="inlineStr">
        <is>
          <t>SIM</t>
        </is>
      </c>
      <c r="O309" s="58" t="inlineStr">
        <is>
          <t>SIM</t>
        </is>
      </c>
      <c r="P309" s="58" t="inlineStr">
        <is>
          <t>SIM</t>
        </is>
      </c>
      <c r="Q309" s="58" t="inlineStr">
        <is>
          <t>ATEND. CLIENTES ATIVOS</t>
        </is>
      </c>
      <c r="R309" s="58" t="inlineStr">
        <is>
          <t>FOLLOW UP 7</t>
        </is>
      </c>
      <c r="S309" s="58" t="inlineStr">
        <is>
          <t>PROPRIETARIO / INDISPONÍVEL</t>
        </is>
      </c>
      <c r="T309" s="71">
        <f>IF(R309="","",IF(OR(R309="SUPORTE",R309="PERDA / FECHOU LOJA"),"SEM",A309+VLOOKUP(R309,REGRAS!$B$2:$C$13,2,FALSE())))</f>
        <v/>
      </c>
      <c r="U309" s="58">
        <f>IF(R309="","",IF(R309="VENDA / PEDIDO","RECOMPRA",IF(R309="SUPORTE","PÓS-VENDA",IF(R309="RELACIONAMENTO","CS",IF(OR(R309="NÃO ATENDE",R309="NÃO RESPONDE",R309="RECUSOU LIGAÇÃO"),"REATIVAÇÃO",IF(R309="PERDA / FECHOU LOJA","NUTRIÇÃO",IF(OR(R309="FOLLOW UP 7",R309="FOLLOW UP 15"),"SALVAMENTO","PROSPECÇÃO")))))))</f>
        <v/>
      </c>
      <c r="V309" s="58" t="n"/>
      <c r="W309" s="58" t="inlineStr">
        <is>
          <t>SIM</t>
        </is>
      </c>
      <c r="X309" s="58" t="n"/>
    </row>
    <row r="310">
      <c r="A310" s="71" t="n">
        <v>46081</v>
      </c>
      <c r="B310" s="58" t="inlineStr">
        <is>
          <t>JULIO GADRET</t>
        </is>
      </c>
      <c r="C310" s="58" t="inlineStr">
        <is>
          <t>GRANEL &amp; CIA 24</t>
        </is>
      </c>
      <c r="D310" s="58" t="inlineStr">
        <is>
          <t>59.603.585/2254-30</t>
        </is>
      </c>
      <c r="E310" s="58" t="inlineStr">
        <is>
          <t>PR</t>
        </is>
      </c>
      <c r="F310" s="58" t="inlineStr">
        <is>
          <t>MUNDO VERDE</t>
        </is>
      </c>
      <c r="G310" s="58" t="inlineStr">
        <is>
          <t>INAT.ANT</t>
        </is>
      </c>
      <c r="H310" s="58" t="n">
        <v>94</v>
      </c>
      <c r="I310" s="58">
        <f>IF(R310="","",VLOOKUP(R310,REGRAS!$B$2:$D$13,3,FALSE()))</f>
        <v/>
      </c>
      <c r="J310" s="58" t="n"/>
      <c r="K310" s="58">
        <f>IF(R310="","",IF(R310="VENDA / PEDIDO","RECOMPRA",IF(R310="SUPORTE","PÓS-VENDA",IF(OR(R310="FOLLOW UP 7",R310="FOLLOW UP 15"),"SALVAMENTO",IF(R310="PERDA / FECHOU LOJA","NUTRIÇÃO",IF(R310="RELACIONAMENTO","CS",IF(OR(R310="ORÇAMENTO",R310="CADASTRO"),"PROSPECÇÃO",IF(R310="EM ATENDIMENTO","EM ATENDIMENTO",IF(OR(R310="NÃO ATENDE",R310="NÃO RESPONDE",R310="RECUSOU LIGAÇÃO"),"RECUPERAÇÃO","")))))))))</f>
        <v/>
      </c>
      <c r="L310" s="58">
        <f>IF(H310="","",IF(G310="PROSPECT","🟣",IF(G310="LEAD","🟣",IF(G310="NOVO","🟢",IF(H310&lt;=50,"🟢",IF(H310&lt;=90,"🟡","🔴"))))))</f>
        <v/>
      </c>
      <c r="M310" s="58" t="n"/>
      <c r="N310" s="58" t="inlineStr">
        <is>
          <t>SIM</t>
        </is>
      </c>
      <c r="O310" s="58" t="inlineStr">
        <is>
          <t>NÃO</t>
        </is>
      </c>
      <c r="P310" s="58" t="inlineStr">
        <is>
          <t>N/A</t>
        </is>
      </c>
      <c r="Q310" s="58" t="inlineStr">
        <is>
          <t>PÓS-VENDA / RELACIONAMENTO</t>
        </is>
      </c>
      <c r="R310" s="58" t="inlineStr">
        <is>
          <t>ORÇAMENTO</t>
        </is>
      </c>
      <c r="S310" s="58" t="n"/>
      <c r="T310" s="71">
        <f>IF(R310="","",IF(OR(R310="SUPORTE",R310="PERDA / FECHOU LOJA"),"SEM",A310+VLOOKUP(R310,REGRAS!$B$2:$C$13,2,FALSE())))</f>
        <v/>
      </c>
      <c r="U310" s="58">
        <f>IF(R310="","",IF(R310="VENDA / PEDIDO","RECOMPRA",IF(R310="SUPORTE","PÓS-VENDA",IF(R310="RELACIONAMENTO","CS",IF(OR(R310="NÃO ATENDE",R310="NÃO RESPONDE",R310="RECUSOU LIGAÇÃO"),"REATIVAÇÃO",IF(R310="PERDA / FECHOU LOJA","NUTRIÇÃO",IF(OR(R310="FOLLOW UP 7",R310="FOLLOW UP 15"),"SALVAMENTO","PROSPECÇÃO")))))))</f>
        <v/>
      </c>
      <c r="V310" s="58" t="n"/>
      <c r="W310" s="58" t="inlineStr">
        <is>
          <t>SIM</t>
        </is>
      </c>
      <c r="X310" s="58" t="n"/>
    </row>
    <row r="311">
      <c r="A311" s="71" t="n">
        <v>46060</v>
      </c>
      <c r="B311" s="58" t="inlineStr">
        <is>
          <t>MANU DITZEL</t>
        </is>
      </c>
      <c r="C311" s="58" t="inlineStr">
        <is>
          <t>EMPÓRIO BIO 79</t>
        </is>
      </c>
      <c r="D311" s="58" t="inlineStr">
        <is>
          <t>72.804.432/7497-41</t>
        </is>
      </c>
      <c r="E311" s="58" t="inlineStr">
        <is>
          <t>RS</t>
        </is>
      </c>
      <c r="F311" s="58" t="inlineStr">
        <is>
          <t>DEMAIS CLIENTES</t>
        </is>
      </c>
      <c r="G311" s="58" t="inlineStr">
        <is>
          <t>INAT.REC</t>
        </is>
      </c>
      <c r="H311" s="58" t="n">
        <v>87</v>
      </c>
      <c r="I311" s="58">
        <f>IF(R311="","",VLOOKUP(R311,REGRAS!$B$2:$D$13,3,FALSE()))</f>
        <v/>
      </c>
      <c r="J311" s="58" t="n"/>
      <c r="K311" s="58">
        <f>IF(R311="","",IF(R311="VENDA / PEDIDO","RECOMPRA",IF(R311="SUPORTE","PÓS-VENDA",IF(OR(R311="FOLLOW UP 7",R311="FOLLOW UP 15"),"SALVAMENTO",IF(R311="PERDA / FECHOU LOJA","NUTRIÇÃO",IF(R311="RELACIONAMENTO","CS",IF(OR(R311="ORÇAMENTO",R311="CADASTRO"),"PROSPECÇÃO",IF(R311="EM ATENDIMENTO","EM ATENDIMENTO",IF(OR(R311="NÃO ATENDE",R311="NÃO RESPONDE",R311="RECUSOU LIGAÇÃO"),"RECUPERAÇÃO","")))))))))</f>
        <v/>
      </c>
      <c r="L311" s="58">
        <f>IF(H311="","",IF(G311="PROSPECT","🟣",IF(G311="LEAD","🟣",IF(G311="NOVO","🟢",IF(H311&lt;=50,"🟢",IF(H311&lt;=90,"🟡","🔴"))))))</f>
        <v/>
      </c>
      <c r="M311" s="58" t="n"/>
      <c r="N311" s="58" t="inlineStr">
        <is>
          <t>SIM</t>
        </is>
      </c>
      <c r="O311" s="58" t="inlineStr">
        <is>
          <t>NÃO</t>
        </is>
      </c>
      <c r="P311" s="58" t="inlineStr">
        <is>
          <t>N/A</t>
        </is>
      </c>
      <c r="Q311" s="58" t="inlineStr">
        <is>
          <t>ATEND. CLIENTES ATIVOS</t>
        </is>
      </c>
      <c r="R311" s="58" t="inlineStr">
        <is>
          <t>ORÇAMENTO</t>
        </is>
      </c>
      <c r="S311" s="58" t="n"/>
      <c r="T311" s="71">
        <f>IF(R311="","",IF(OR(R311="SUPORTE",R311="PERDA / FECHOU LOJA"),"SEM",A311+VLOOKUP(R311,REGRAS!$B$2:$C$13,2,FALSE())))</f>
        <v/>
      </c>
      <c r="U311" s="58">
        <f>IF(R311="","",IF(R311="VENDA / PEDIDO","RECOMPRA",IF(R311="SUPORTE","PÓS-VENDA",IF(R311="RELACIONAMENTO","CS",IF(OR(R311="NÃO ATENDE",R311="NÃO RESPONDE",R311="RECUSOU LIGAÇÃO"),"REATIVAÇÃO",IF(R311="PERDA / FECHOU LOJA","NUTRIÇÃO",IF(OR(R311="FOLLOW UP 7",R311="FOLLOW UP 15"),"SALVAMENTO","PROSPECÇÃO")))))))</f>
        <v/>
      </c>
      <c r="V311" s="58" t="n"/>
      <c r="W311" s="58" t="inlineStr">
        <is>
          <t>SIM</t>
        </is>
      </c>
      <c r="X311" s="58" t="n"/>
    </row>
    <row r="312">
      <c r="A312" s="71" t="n">
        <v>46070</v>
      </c>
      <c r="B312" s="58" t="inlineStr">
        <is>
          <t>JULIO GADRET</t>
        </is>
      </c>
      <c r="C312" s="58" t="inlineStr">
        <is>
          <t>MUNDO VERDE CWB 67</t>
        </is>
      </c>
      <c r="D312" s="58" t="inlineStr">
        <is>
          <t>23.562.567/0695-41</t>
        </is>
      </c>
      <c r="E312" s="58" t="inlineStr">
        <is>
          <t>RS</t>
        </is>
      </c>
      <c r="F312" s="58" t="inlineStr">
        <is>
          <t>FIT LAND</t>
        </is>
      </c>
      <c r="G312" s="58" t="inlineStr">
        <is>
          <t>INAT.ANT</t>
        </is>
      </c>
      <c r="H312" s="58" t="n">
        <v>233</v>
      </c>
      <c r="I312" s="58">
        <f>IF(R312="","",VLOOKUP(R312,REGRAS!$B$2:$D$13,3,FALSE()))</f>
        <v/>
      </c>
      <c r="J312" s="58" t="n"/>
      <c r="K312" s="58">
        <f>IF(R312="","",IF(R312="VENDA / PEDIDO","RECOMPRA",IF(R312="SUPORTE","PÓS-VENDA",IF(OR(R312="FOLLOW UP 7",R312="FOLLOW UP 15"),"SALVAMENTO",IF(R312="PERDA / FECHOU LOJA","NUTRIÇÃO",IF(R312="RELACIONAMENTO","CS",IF(OR(R312="ORÇAMENTO",R312="CADASTRO"),"PROSPECÇÃO",IF(R312="EM ATENDIMENTO","EM ATENDIMENTO",IF(OR(R312="NÃO ATENDE",R312="NÃO RESPONDE",R312="RECUSOU LIGAÇÃO"),"RECUPERAÇÃO","")))))))))</f>
        <v/>
      </c>
      <c r="L312" s="58">
        <f>IF(H312="","",IF(G312="PROSPECT","🟣",IF(G312="LEAD","🟣",IF(G312="NOVO","🟢",IF(H312&lt;=50,"🟢",IF(H312&lt;=90,"🟡","🔴"))))))</f>
        <v/>
      </c>
      <c r="M312" s="58" t="n"/>
      <c r="N312" s="58" t="inlineStr">
        <is>
          <t>NÃO</t>
        </is>
      </c>
      <c r="O312" s="58" t="inlineStr">
        <is>
          <t>SIM</t>
        </is>
      </c>
      <c r="P312" s="58" t="inlineStr">
        <is>
          <t>SIM</t>
        </is>
      </c>
      <c r="Q312" s="58" t="inlineStr">
        <is>
          <t>ATEND. CLIENTES ATIVOS</t>
        </is>
      </c>
      <c r="R312" s="58" t="inlineStr">
        <is>
          <t>SUPORTE</t>
        </is>
      </c>
      <c r="S312" s="58" t="n"/>
      <c r="T312" s="71">
        <f>IF(R312="","",IF(OR(R312="SUPORTE",R312="PERDA / FECHOU LOJA"),"SEM",A312+VLOOKUP(R312,REGRAS!$B$2:$C$13,2,FALSE())))</f>
        <v/>
      </c>
      <c r="U312" s="58">
        <f>IF(R312="","",IF(R312="VENDA / PEDIDO","RECOMPRA",IF(R312="SUPORTE","PÓS-VENDA",IF(R312="RELACIONAMENTO","CS",IF(OR(R312="NÃO ATENDE",R312="NÃO RESPONDE",R312="RECUSOU LIGAÇÃO"),"REATIVAÇÃO",IF(R312="PERDA / FECHOU LOJA","NUTRIÇÃO",IF(OR(R312="FOLLOW UP 7",R312="FOLLOW UP 15"),"SALVAMENTO","PROSPECÇÃO")))))))</f>
        <v/>
      </c>
      <c r="V312" s="58" t="n"/>
      <c r="W312" s="58" t="inlineStr">
        <is>
          <t>NÃO</t>
        </is>
      </c>
      <c r="X312" s="58" t="n"/>
    </row>
    <row r="313">
      <c r="A313" s="71" t="n">
        <v>46078</v>
      </c>
      <c r="B313" s="58" t="inlineStr">
        <is>
          <t>DAIANE STAVICKI</t>
        </is>
      </c>
      <c r="C313" s="58" t="inlineStr">
        <is>
          <t>NATURAL HOUSE 22</t>
        </is>
      </c>
      <c r="D313" s="58" t="inlineStr">
        <is>
          <t>64.401.727/0894-98</t>
        </is>
      </c>
      <c r="E313" s="58" t="inlineStr">
        <is>
          <t>RS</t>
        </is>
      </c>
      <c r="F313" s="58" t="inlineStr">
        <is>
          <t>MUNDO VERDE</t>
        </is>
      </c>
      <c r="G313" s="58" t="inlineStr">
        <is>
          <t>NOVO</t>
        </is>
      </c>
      <c r="H313" s="58" t="n"/>
      <c r="I313" s="58">
        <f>IF(R313="","",VLOOKUP(R313,REGRAS!$B$2:$D$13,3,FALSE()))</f>
        <v/>
      </c>
      <c r="J313" s="58" t="n"/>
      <c r="K313" s="58">
        <f>IF(R313="","",IF(R313="VENDA / PEDIDO","RECOMPRA",IF(R313="SUPORTE","PÓS-VENDA",IF(OR(R313="FOLLOW UP 7",R313="FOLLOW UP 15"),"SALVAMENTO",IF(R313="PERDA / FECHOU LOJA","NUTRIÇÃO",IF(R313="RELACIONAMENTO","CS",IF(OR(R313="ORÇAMENTO",R313="CADASTRO"),"PROSPECÇÃO",IF(R313="EM ATENDIMENTO","EM ATENDIMENTO",IF(OR(R313="NÃO ATENDE",R313="NÃO RESPONDE",R313="RECUSOU LIGAÇÃO"),"RECUPERAÇÃO","")))))))))</f>
        <v/>
      </c>
      <c r="L313" s="58">
        <f>IF(H313="","",IF(G313="PROSPECT","🟣",IF(G313="LEAD","🟣",IF(G313="NOVO","🟢",IF(H313&lt;=50,"🟢",IF(H313&lt;=90,"🟡","🔴"))))))</f>
        <v/>
      </c>
      <c r="M313" s="58" t="n"/>
      <c r="N313" s="58" t="inlineStr">
        <is>
          <t>SIM</t>
        </is>
      </c>
      <c r="O313" s="58" t="inlineStr">
        <is>
          <t>NÃO</t>
        </is>
      </c>
      <c r="P313" s="58" t="inlineStr">
        <is>
          <t>N/A</t>
        </is>
      </c>
      <c r="Q313" s="58" t="inlineStr">
        <is>
          <t>ATEND. CLIENTES ATIVOS</t>
        </is>
      </c>
      <c r="R313" s="58" t="inlineStr">
        <is>
          <t>SUPORTE</t>
        </is>
      </c>
      <c r="S313" s="58" t="n"/>
      <c r="T313" s="71">
        <f>IF(R313="","",IF(OR(R313="SUPORTE",R313="PERDA / FECHOU LOJA"),"SEM",A313+VLOOKUP(R313,REGRAS!$B$2:$C$13,2,FALSE())))</f>
        <v/>
      </c>
      <c r="U313" s="58">
        <f>IF(R313="","",IF(R313="VENDA / PEDIDO","RECOMPRA",IF(R313="SUPORTE","PÓS-VENDA",IF(R313="RELACIONAMENTO","CS",IF(OR(R313="NÃO ATENDE",R313="NÃO RESPONDE",R313="RECUSOU LIGAÇÃO"),"REATIVAÇÃO",IF(R313="PERDA / FECHOU LOJA","NUTRIÇÃO",IF(OR(R313="FOLLOW UP 7",R313="FOLLOW UP 15"),"SALVAMENTO","PROSPECÇÃO")))))))</f>
        <v/>
      </c>
      <c r="V313" s="58" t="n"/>
      <c r="W313" s="58" t="inlineStr">
        <is>
          <t>NÃO</t>
        </is>
      </c>
      <c r="X313" s="58" t="n"/>
    </row>
    <row r="314">
      <c r="A314" s="71" t="n">
        <v>46076</v>
      </c>
      <c r="B314" s="58" t="inlineStr">
        <is>
          <t>LARISSA PADILHA</t>
        </is>
      </c>
      <c r="C314" s="58" t="inlineStr">
        <is>
          <t>TUDO GRÃOS SC 53</t>
        </is>
      </c>
      <c r="D314" s="58" t="inlineStr">
        <is>
          <t>51.561.125/2931-68</t>
        </is>
      </c>
      <c r="E314" s="58" t="inlineStr">
        <is>
          <t>SP</t>
        </is>
      </c>
      <c r="F314" s="58" t="inlineStr">
        <is>
          <t>DEMAIS CLIENTES</t>
        </is>
      </c>
      <c r="G314" s="58" t="inlineStr">
        <is>
          <t>ATIVO</t>
        </is>
      </c>
      <c r="H314" s="58" t="n">
        <v>34</v>
      </c>
      <c r="I314" s="58">
        <f>IF(R314="","",VLOOKUP(R314,REGRAS!$B$2:$D$13,3,FALSE()))</f>
        <v/>
      </c>
      <c r="J314" s="58" t="n"/>
      <c r="K314" s="58">
        <f>IF(R314="","",IF(R314="VENDA / PEDIDO","RECOMPRA",IF(R314="SUPORTE","PÓS-VENDA",IF(OR(R314="FOLLOW UP 7",R314="FOLLOW UP 15"),"SALVAMENTO",IF(R314="PERDA / FECHOU LOJA","NUTRIÇÃO",IF(R314="RELACIONAMENTO","CS",IF(OR(R314="ORÇAMENTO",R314="CADASTRO"),"PROSPECÇÃO",IF(R314="EM ATENDIMENTO","EM ATENDIMENTO",IF(OR(R314="NÃO ATENDE",R314="NÃO RESPONDE",R314="RECUSOU LIGAÇÃO"),"RECUPERAÇÃO","")))))))))</f>
        <v/>
      </c>
      <c r="L314" s="58">
        <f>IF(H314="","",IF(G314="PROSPECT","🟣",IF(G314="LEAD","🟣",IF(G314="NOVO","🟢",IF(H314&lt;=50,"🟢",IF(H314&lt;=90,"🟡","🔴"))))))</f>
        <v/>
      </c>
      <c r="M314" s="58" t="n"/>
      <c r="N314" s="58" t="inlineStr">
        <is>
          <t>SIM</t>
        </is>
      </c>
      <c r="O314" s="58" t="inlineStr">
        <is>
          <t>NÃO</t>
        </is>
      </c>
      <c r="P314" s="58" t="inlineStr">
        <is>
          <t>N/A</t>
        </is>
      </c>
      <c r="Q314" s="58" t="inlineStr">
        <is>
          <t>PROSPECÇÃO</t>
        </is>
      </c>
      <c r="R314" s="58" t="inlineStr">
        <is>
          <t>ORÇAMENTO</t>
        </is>
      </c>
      <c r="S314" s="58" t="n"/>
      <c r="T314" s="71">
        <f>IF(R314="","",IF(OR(R314="SUPORTE",R314="PERDA / FECHOU LOJA"),"SEM",A314+VLOOKUP(R314,REGRAS!$B$2:$C$13,2,FALSE())))</f>
        <v/>
      </c>
      <c r="U314" s="58">
        <f>IF(R314="","",IF(R314="VENDA / PEDIDO","RECOMPRA",IF(R314="SUPORTE","PÓS-VENDA",IF(R314="RELACIONAMENTO","CS",IF(OR(R314="NÃO ATENDE",R314="NÃO RESPONDE",R314="RECUSOU LIGAÇÃO"),"REATIVAÇÃO",IF(R314="PERDA / FECHOU LOJA","NUTRIÇÃO",IF(OR(R314="FOLLOW UP 7",R314="FOLLOW UP 15"),"SALVAMENTO","PROSPECÇÃO")))))))</f>
        <v/>
      </c>
      <c r="V314" s="58" t="n"/>
      <c r="W314" s="58" t="inlineStr">
        <is>
          <t>SIM</t>
        </is>
      </c>
      <c r="X314" s="58" t="n"/>
    </row>
    <row r="315">
      <c r="A315" s="71" t="n">
        <v>46077</v>
      </c>
      <c r="B315" s="58" t="inlineStr">
        <is>
          <t>MANU DITZEL</t>
        </is>
      </c>
      <c r="C315" s="58" t="inlineStr">
        <is>
          <t>CASA DO GRANEL 91</t>
        </is>
      </c>
      <c r="D315" s="58" t="inlineStr">
        <is>
          <t>67.749.471/1398-77</t>
        </is>
      </c>
      <c r="E315" s="58" t="inlineStr">
        <is>
          <t>RJ</t>
        </is>
      </c>
      <c r="F315" s="58" t="inlineStr">
        <is>
          <t>DEMAIS CLIENTES</t>
        </is>
      </c>
      <c r="G315" s="58" t="inlineStr">
        <is>
          <t>PROSPECT</t>
        </is>
      </c>
      <c r="H315" s="58" t="n"/>
      <c r="I315" s="58">
        <f>IF(R315="","",VLOOKUP(R315,REGRAS!$B$2:$D$13,3,FALSE()))</f>
        <v/>
      </c>
      <c r="J315" s="58" t="n"/>
      <c r="K315" s="58">
        <f>IF(R315="","",IF(R315="VENDA / PEDIDO","RECOMPRA",IF(R315="SUPORTE","PÓS-VENDA",IF(OR(R315="FOLLOW UP 7",R315="FOLLOW UP 15"),"SALVAMENTO",IF(R315="PERDA / FECHOU LOJA","NUTRIÇÃO",IF(R315="RELACIONAMENTO","CS",IF(OR(R315="ORÇAMENTO",R315="CADASTRO"),"PROSPECÇÃO",IF(R315="EM ATENDIMENTO","EM ATENDIMENTO",IF(OR(R315="NÃO ATENDE",R315="NÃO RESPONDE",R315="RECUSOU LIGAÇÃO"),"RECUPERAÇÃO","")))))))))</f>
        <v/>
      </c>
      <c r="L315" s="58">
        <f>IF(H315="","",IF(G315="PROSPECT","🟣",IF(G315="LEAD","🟣",IF(G315="NOVO","🟢",IF(H315&lt;=50,"🟢",IF(H315&lt;=90,"🟡","🔴"))))))</f>
        <v/>
      </c>
      <c r="M315" s="58" t="n"/>
      <c r="N315" s="58" t="inlineStr">
        <is>
          <t>SIM</t>
        </is>
      </c>
      <c r="O315" s="58" t="inlineStr">
        <is>
          <t>SIM</t>
        </is>
      </c>
      <c r="P315" s="58" t="inlineStr">
        <is>
          <t>SIM</t>
        </is>
      </c>
      <c r="Q315" s="58" t="inlineStr">
        <is>
          <t>ATEND. CLIENTES ATIVOS</t>
        </is>
      </c>
      <c r="R315" s="58" t="inlineStr">
        <is>
          <t>VENDA / PEDIDO</t>
        </is>
      </c>
      <c r="S315" s="58" t="n"/>
      <c r="T315" s="71">
        <f>IF(R315="","",IF(OR(R315="SUPORTE",R315="PERDA / FECHOU LOJA"),"SEM",A315+VLOOKUP(R315,REGRAS!$B$2:$C$13,2,FALSE())))</f>
        <v/>
      </c>
      <c r="U315" s="58">
        <f>IF(R315="","",IF(R315="VENDA / PEDIDO","RECOMPRA",IF(R315="SUPORTE","PÓS-VENDA",IF(R315="RELACIONAMENTO","CS",IF(OR(R315="NÃO ATENDE",R315="NÃO RESPONDE",R315="RECUSOU LIGAÇÃO"),"REATIVAÇÃO",IF(R315="PERDA / FECHOU LOJA","NUTRIÇÃO",IF(OR(R315="FOLLOW UP 7",R315="FOLLOW UP 15"),"SALVAMENTO","PROSPECÇÃO")))))))</f>
        <v/>
      </c>
      <c r="V315" s="58" t="n"/>
      <c r="W315" s="58" t="inlineStr">
        <is>
          <t>SIM</t>
        </is>
      </c>
      <c r="X315" s="58" t="n"/>
    </row>
    <row r="316">
      <c r="A316" s="71" t="n">
        <v>46081</v>
      </c>
      <c r="B316" s="58" t="inlineStr">
        <is>
          <t>JULIO GADRET</t>
        </is>
      </c>
      <c r="C316" s="58" t="inlineStr">
        <is>
          <t>SABOR NATURAL 21</t>
        </is>
      </c>
      <c r="D316" s="58" t="inlineStr">
        <is>
          <t>28.283.887/0841-63</t>
        </is>
      </c>
      <c r="E316" s="58" t="inlineStr">
        <is>
          <t>SC</t>
        </is>
      </c>
      <c r="F316" s="58" t="inlineStr">
        <is>
          <t>DEMAIS CLIENTES</t>
        </is>
      </c>
      <c r="G316" s="58" t="inlineStr">
        <is>
          <t>PROSPECT</t>
        </is>
      </c>
      <c r="H316" s="58" t="n"/>
      <c r="I316" s="58">
        <f>IF(R316="","",VLOOKUP(R316,REGRAS!$B$2:$D$13,3,FALSE()))</f>
        <v/>
      </c>
      <c r="J316" s="58" t="n"/>
      <c r="K316" s="58">
        <f>IF(R316="","",IF(R316="VENDA / PEDIDO","RECOMPRA",IF(R316="SUPORTE","PÓS-VENDA",IF(OR(R316="FOLLOW UP 7",R316="FOLLOW UP 15"),"SALVAMENTO",IF(R316="PERDA / FECHOU LOJA","NUTRIÇÃO",IF(R316="RELACIONAMENTO","CS",IF(OR(R316="ORÇAMENTO",R316="CADASTRO"),"PROSPECÇÃO",IF(R316="EM ATENDIMENTO","EM ATENDIMENTO",IF(OR(R316="NÃO ATENDE",R316="NÃO RESPONDE",R316="RECUSOU LIGAÇÃO"),"RECUPERAÇÃO","")))))))))</f>
        <v/>
      </c>
      <c r="L316" s="58">
        <f>IF(H316="","",IF(G316="PROSPECT","🟣",IF(G316="LEAD","🟣",IF(G316="NOVO","🟢",IF(H316&lt;=50,"🟢",IF(H316&lt;=90,"🟡","🔴"))))))</f>
        <v/>
      </c>
      <c r="M316" s="58" t="n"/>
      <c r="N316" s="58" t="inlineStr">
        <is>
          <t>NÃO</t>
        </is>
      </c>
      <c r="O316" s="58" t="inlineStr">
        <is>
          <t>NÃO</t>
        </is>
      </c>
      <c r="P316" s="58" t="inlineStr">
        <is>
          <t>N/A</t>
        </is>
      </c>
      <c r="Q316" s="58" t="inlineStr">
        <is>
          <t>FOLLOW UP</t>
        </is>
      </c>
      <c r="R316" s="58" t="inlineStr">
        <is>
          <t>ORÇAMENTO</t>
        </is>
      </c>
      <c r="S316" s="58" t="n"/>
      <c r="T316" s="71">
        <f>IF(R316="","",IF(OR(R316="SUPORTE",R316="PERDA / FECHOU LOJA"),"SEM",A316+VLOOKUP(R316,REGRAS!$B$2:$C$13,2,FALSE())))</f>
        <v/>
      </c>
      <c r="U316" s="58">
        <f>IF(R316="","",IF(R316="VENDA / PEDIDO","RECOMPRA",IF(R316="SUPORTE","PÓS-VENDA",IF(R316="RELACIONAMENTO","CS",IF(OR(R316="NÃO ATENDE",R316="NÃO RESPONDE",R316="RECUSOU LIGAÇÃO"),"REATIVAÇÃO",IF(R316="PERDA / FECHOU LOJA","NUTRIÇÃO",IF(OR(R316="FOLLOW UP 7",R316="FOLLOW UP 15"),"SALVAMENTO","PROSPECÇÃO")))))))</f>
        <v/>
      </c>
      <c r="V316" s="58" t="n"/>
      <c r="W316" s="58" t="inlineStr">
        <is>
          <t>SIM</t>
        </is>
      </c>
      <c r="X316" s="58" t="n"/>
    </row>
    <row r="317">
      <c r="A317" s="71" t="n">
        <v>46078</v>
      </c>
      <c r="B317" s="58" t="inlineStr">
        <is>
          <t>MANU DITZEL</t>
        </is>
      </c>
      <c r="C317" s="58" t="inlineStr">
        <is>
          <t>NATURAL HOUSE 64</t>
        </is>
      </c>
      <c r="D317" s="58" t="inlineStr">
        <is>
          <t>73.656.926/0095-87</t>
        </is>
      </c>
      <c r="E317" s="58" t="inlineStr">
        <is>
          <t>BA</t>
        </is>
      </c>
      <c r="F317" s="58" t="inlineStr">
        <is>
          <t>BIOMUNDO</t>
        </is>
      </c>
      <c r="G317" s="58" t="inlineStr">
        <is>
          <t>INAT.REC</t>
        </is>
      </c>
      <c r="H317" s="58" t="n">
        <v>76</v>
      </c>
      <c r="I317" s="58">
        <f>IF(R317="","",VLOOKUP(R317,REGRAS!$B$2:$D$13,3,FALSE()))</f>
        <v/>
      </c>
      <c r="J317" s="58" t="n"/>
      <c r="K317" s="58">
        <f>IF(R317="","",IF(R317="VENDA / PEDIDO","RECOMPRA",IF(R317="SUPORTE","PÓS-VENDA",IF(OR(R317="FOLLOW UP 7",R317="FOLLOW UP 15"),"SALVAMENTO",IF(R317="PERDA / FECHOU LOJA","NUTRIÇÃO",IF(R317="RELACIONAMENTO","CS",IF(OR(R317="ORÇAMENTO",R317="CADASTRO"),"PROSPECÇÃO",IF(R317="EM ATENDIMENTO","EM ATENDIMENTO",IF(OR(R317="NÃO ATENDE",R317="NÃO RESPONDE",R317="RECUSOU LIGAÇÃO"),"RECUPERAÇÃO","")))))))))</f>
        <v/>
      </c>
      <c r="L317" s="58">
        <f>IF(H317="","",IF(G317="PROSPECT","🟣",IF(G317="LEAD","🟣",IF(G317="NOVO","🟢",IF(H317&lt;=50,"🟢",IF(H317&lt;=90,"🟡","🔴"))))))</f>
        <v/>
      </c>
      <c r="M317" s="58" t="n"/>
      <c r="N317" s="58" t="inlineStr">
        <is>
          <t>SIM</t>
        </is>
      </c>
      <c r="O317" s="58" t="inlineStr">
        <is>
          <t>SIM</t>
        </is>
      </c>
      <c r="P317" s="58" t="inlineStr">
        <is>
          <t>NÃO</t>
        </is>
      </c>
      <c r="Q317" s="58" t="inlineStr">
        <is>
          <t>ATEND. CLIENTES ATIVOS</t>
        </is>
      </c>
      <c r="R317" s="58" t="inlineStr">
        <is>
          <t>RELACIONAMENTO</t>
        </is>
      </c>
      <c r="S317" s="58" t="n"/>
      <c r="T317" s="71">
        <f>IF(R317="","",IF(OR(R317="SUPORTE",R317="PERDA / FECHOU LOJA"),"SEM",A317+VLOOKUP(R317,REGRAS!$B$2:$C$13,2,FALSE())))</f>
        <v/>
      </c>
      <c r="U317" s="58">
        <f>IF(R317="","",IF(R317="VENDA / PEDIDO","RECOMPRA",IF(R317="SUPORTE","PÓS-VENDA",IF(R317="RELACIONAMENTO","CS",IF(OR(R317="NÃO ATENDE",R317="NÃO RESPONDE",R317="RECUSOU LIGAÇÃO"),"REATIVAÇÃO",IF(R317="PERDA / FECHOU LOJA","NUTRIÇÃO",IF(OR(R317="FOLLOW UP 7",R317="FOLLOW UP 15"),"SALVAMENTO","PROSPECÇÃO")))))))</f>
        <v/>
      </c>
      <c r="V317" s="58" t="n"/>
      <c r="W317" s="58" t="inlineStr">
        <is>
          <t>SIM</t>
        </is>
      </c>
      <c r="X317" s="58" t="n"/>
    </row>
    <row r="318">
      <c r="A318" s="71" t="n">
        <v>46074</v>
      </c>
      <c r="B318" s="58" t="inlineStr">
        <is>
          <t>LARISSA PADILHA</t>
        </is>
      </c>
      <c r="C318" s="58" t="inlineStr">
        <is>
          <t>DIVINA TERRA RJ 07</t>
        </is>
      </c>
      <c r="D318" s="58" t="inlineStr">
        <is>
          <t>33.251.156/5719-14</t>
        </is>
      </c>
      <c r="E318" s="58" t="inlineStr">
        <is>
          <t>PR</t>
        </is>
      </c>
      <c r="F318" s="58" t="inlineStr">
        <is>
          <t>MUNDO VERDE</t>
        </is>
      </c>
      <c r="G318" s="58" t="inlineStr">
        <is>
          <t>INAT.REC</t>
        </is>
      </c>
      <c r="H318" s="58" t="n">
        <v>80</v>
      </c>
      <c r="I318" s="58">
        <f>IF(R318="","",VLOOKUP(R318,REGRAS!$B$2:$D$13,3,FALSE()))</f>
        <v/>
      </c>
      <c r="J318" s="58" t="n"/>
      <c r="K318" s="58">
        <f>IF(R318="","",IF(R318="VENDA / PEDIDO","RECOMPRA",IF(R318="SUPORTE","PÓS-VENDA",IF(OR(R318="FOLLOW UP 7",R318="FOLLOW UP 15"),"SALVAMENTO",IF(R318="PERDA / FECHOU LOJA","NUTRIÇÃO",IF(R318="RELACIONAMENTO","CS",IF(OR(R318="ORÇAMENTO",R318="CADASTRO"),"PROSPECÇÃO",IF(R318="EM ATENDIMENTO","EM ATENDIMENTO",IF(OR(R318="NÃO ATENDE",R318="NÃO RESPONDE",R318="RECUSOU LIGAÇÃO"),"RECUPERAÇÃO","")))))))))</f>
        <v/>
      </c>
      <c r="L318" s="58">
        <f>IF(H318="","",IF(G318="PROSPECT","🟣",IF(G318="LEAD","🟣",IF(G318="NOVO","🟢",IF(H318&lt;=50,"🟢",IF(H318&lt;=90,"🟡","🔴"))))))</f>
        <v/>
      </c>
      <c r="M318" s="58" t="n"/>
      <c r="N318" s="58" t="inlineStr">
        <is>
          <t>SIM</t>
        </is>
      </c>
      <c r="O318" s="58" t="inlineStr">
        <is>
          <t>SIM</t>
        </is>
      </c>
      <c r="P318" s="58" t="inlineStr">
        <is>
          <t>SIM</t>
        </is>
      </c>
      <c r="Q318" s="58" t="inlineStr">
        <is>
          <t>FOLLOW UP</t>
        </is>
      </c>
      <c r="R318" s="58" t="inlineStr">
        <is>
          <t>RELACIONAMENTO</t>
        </is>
      </c>
      <c r="S318" s="58" t="n"/>
      <c r="T318" s="71">
        <f>IF(R318="","",IF(OR(R318="SUPORTE",R318="PERDA / FECHOU LOJA"),"SEM",A318+VLOOKUP(R318,REGRAS!$B$2:$C$13,2,FALSE())))</f>
        <v/>
      </c>
      <c r="U318" s="58">
        <f>IF(R318="","",IF(R318="VENDA / PEDIDO","RECOMPRA",IF(R318="SUPORTE","PÓS-VENDA",IF(R318="RELACIONAMENTO","CS",IF(OR(R318="NÃO ATENDE",R318="NÃO RESPONDE",R318="RECUSOU LIGAÇÃO"),"REATIVAÇÃO",IF(R318="PERDA / FECHOU LOJA","NUTRIÇÃO",IF(OR(R318="FOLLOW UP 7",R318="FOLLOW UP 15"),"SALVAMENTO","PROSPECÇÃO")))))))</f>
        <v/>
      </c>
      <c r="V318" s="58" t="n"/>
      <c r="W318" s="58" t="inlineStr">
        <is>
          <t>NÃO</t>
        </is>
      </c>
      <c r="X318" s="58" t="n"/>
    </row>
    <row r="319">
      <c r="A319" s="71" t="n">
        <v>46073</v>
      </c>
      <c r="B319" s="58" t="inlineStr">
        <is>
          <t>JULIO GADRET</t>
        </is>
      </c>
      <c r="C319" s="58" t="inlineStr">
        <is>
          <t>MUNDO BIO 74</t>
        </is>
      </c>
      <c r="D319" s="58" t="inlineStr">
        <is>
          <t>81.281.566/9486-56</t>
        </is>
      </c>
      <c r="E319" s="58" t="inlineStr">
        <is>
          <t>GO</t>
        </is>
      </c>
      <c r="F319" s="58" t="inlineStr">
        <is>
          <t>MUNDO VERDE</t>
        </is>
      </c>
      <c r="G319" s="58" t="inlineStr">
        <is>
          <t>ATIVO</t>
        </is>
      </c>
      <c r="H319" s="58" t="n">
        <v>28</v>
      </c>
      <c r="I319" s="58">
        <f>IF(R319="","",VLOOKUP(R319,REGRAS!$B$2:$D$13,3,FALSE()))</f>
        <v/>
      </c>
      <c r="J319" s="58" t="n"/>
      <c r="K319" s="58">
        <f>IF(R319="","",IF(R319="VENDA / PEDIDO","RECOMPRA",IF(R319="SUPORTE","PÓS-VENDA",IF(OR(R319="FOLLOW UP 7",R319="FOLLOW UP 15"),"SALVAMENTO",IF(R319="PERDA / FECHOU LOJA","NUTRIÇÃO",IF(R319="RELACIONAMENTO","CS",IF(OR(R319="ORÇAMENTO",R319="CADASTRO"),"PROSPECÇÃO",IF(R319="EM ATENDIMENTO","EM ATENDIMENTO",IF(OR(R319="NÃO ATENDE",R319="NÃO RESPONDE",R319="RECUSOU LIGAÇÃO"),"RECUPERAÇÃO","")))))))))</f>
        <v/>
      </c>
      <c r="L319" s="58">
        <f>IF(H319="","",IF(G319="PROSPECT","🟣",IF(G319="LEAD","🟣",IF(G319="NOVO","🟢",IF(H319&lt;=50,"🟢",IF(H319&lt;=90,"🟡","🔴"))))))</f>
        <v/>
      </c>
      <c r="M319" s="58" t="n"/>
      <c r="N319" s="58" t="inlineStr">
        <is>
          <t>NÃO</t>
        </is>
      </c>
      <c r="O319" s="58" t="inlineStr">
        <is>
          <t>NÃO</t>
        </is>
      </c>
      <c r="P319" s="58" t="inlineStr">
        <is>
          <t>N/A</t>
        </is>
      </c>
      <c r="Q319" s="58" t="inlineStr">
        <is>
          <t>PÓS-VENDA / RELACIONAMENTO</t>
        </is>
      </c>
      <c r="R319" s="58" t="inlineStr">
        <is>
          <t>VENDA / PEDIDO</t>
        </is>
      </c>
      <c r="S319" s="58" t="n"/>
      <c r="T319" s="71">
        <f>IF(R319="","",IF(OR(R319="SUPORTE",R319="PERDA / FECHOU LOJA"),"SEM",A319+VLOOKUP(R319,REGRAS!$B$2:$C$13,2,FALSE())))</f>
        <v/>
      </c>
      <c r="U319" s="58">
        <f>IF(R319="","",IF(R319="VENDA / PEDIDO","RECOMPRA",IF(R319="SUPORTE","PÓS-VENDA",IF(R319="RELACIONAMENTO","CS",IF(OR(R319="NÃO ATENDE",R319="NÃO RESPONDE",R319="RECUSOU LIGAÇÃO"),"REATIVAÇÃO",IF(R319="PERDA / FECHOU LOJA","NUTRIÇÃO",IF(OR(R319="FOLLOW UP 7",R319="FOLLOW UP 15"),"SALVAMENTO","PROSPECÇÃO")))))))</f>
        <v/>
      </c>
      <c r="V319" s="58" t="n"/>
      <c r="W319" s="58" t="inlineStr">
        <is>
          <t>SIM</t>
        </is>
      </c>
      <c r="X319" s="58" t="n"/>
    </row>
    <row r="320">
      <c r="A320" s="71" t="n">
        <v>46069</v>
      </c>
      <c r="B320" s="58" t="inlineStr">
        <is>
          <t>MANU DITZEL</t>
        </is>
      </c>
      <c r="C320" s="58" t="inlineStr">
        <is>
          <t>NATUR LIFE 43</t>
        </is>
      </c>
      <c r="D320" s="58" t="inlineStr">
        <is>
          <t>77.523.637/3439-99</t>
        </is>
      </c>
      <c r="E320" s="58" t="inlineStr">
        <is>
          <t>PR</t>
        </is>
      </c>
      <c r="F320" s="58" t="inlineStr">
        <is>
          <t>MUNDO VERDE</t>
        </is>
      </c>
      <c r="G320" s="58" t="inlineStr">
        <is>
          <t>INAT.REC</t>
        </is>
      </c>
      <c r="H320" s="58" t="n">
        <v>81</v>
      </c>
      <c r="I320" s="58">
        <f>IF(R320="","",VLOOKUP(R320,REGRAS!$B$2:$D$13,3,FALSE()))</f>
        <v/>
      </c>
      <c r="J320" s="58" t="n"/>
      <c r="K320" s="58">
        <f>IF(R320="","",IF(R320="VENDA / PEDIDO","RECOMPRA",IF(R320="SUPORTE","PÓS-VENDA",IF(OR(R320="FOLLOW UP 7",R320="FOLLOW UP 15"),"SALVAMENTO",IF(R320="PERDA / FECHOU LOJA","NUTRIÇÃO",IF(R320="RELACIONAMENTO","CS",IF(OR(R320="ORÇAMENTO",R320="CADASTRO"),"PROSPECÇÃO",IF(R320="EM ATENDIMENTO","EM ATENDIMENTO",IF(OR(R320="NÃO ATENDE",R320="NÃO RESPONDE",R320="RECUSOU LIGAÇÃO"),"RECUPERAÇÃO","")))))))))</f>
        <v/>
      </c>
      <c r="L320" s="58">
        <f>IF(H320="","",IF(G320="PROSPECT","🟣",IF(G320="LEAD","🟣",IF(G320="NOVO","🟢",IF(H320&lt;=50,"🟢",IF(H320&lt;=90,"🟡","🔴"))))))</f>
        <v/>
      </c>
      <c r="M320" s="58" t="n"/>
      <c r="N320" s="58" t="inlineStr">
        <is>
          <t>NÃO</t>
        </is>
      </c>
      <c r="O320" s="58" t="inlineStr">
        <is>
          <t>NÃO</t>
        </is>
      </c>
      <c r="P320" s="58" t="inlineStr">
        <is>
          <t>N/A</t>
        </is>
      </c>
      <c r="Q320" s="58" t="inlineStr">
        <is>
          <t>ATEND. CLIENTES ATIVOS</t>
        </is>
      </c>
      <c r="R320" s="58" t="inlineStr">
        <is>
          <t>VENDA / PEDIDO</t>
        </is>
      </c>
      <c r="S320" s="58" t="n"/>
      <c r="T320" s="71">
        <f>IF(R320="","",IF(OR(R320="SUPORTE",R320="PERDA / FECHOU LOJA"),"SEM",A320+VLOOKUP(R320,REGRAS!$B$2:$C$13,2,FALSE())))</f>
        <v/>
      </c>
      <c r="U320" s="58">
        <f>IF(R320="","",IF(R320="VENDA / PEDIDO","RECOMPRA",IF(R320="SUPORTE","PÓS-VENDA",IF(R320="RELACIONAMENTO","CS",IF(OR(R320="NÃO ATENDE",R320="NÃO RESPONDE",R320="RECUSOU LIGAÇÃO"),"REATIVAÇÃO",IF(R320="PERDA / FECHOU LOJA","NUTRIÇÃO",IF(OR(R320="FOLLOW UP 7",R320="FOLLOW UP 15"),"SALVAMENTO","PROSPECÇÃO")))))))</f>
        <v/>
      </c>
      <c r="V320" s="58" t="n"/>
      <c r="W320" s="58" t="inlineStr">
        <is>
          <t>NÃO</t>
        </is>
      </c>
      <c r="X320" s="58" t="n"/>
    </row>
    <row r="321">
      <c r="A321" s="71" t="n">
        <v>46076</v>
      </c>
      <c r="B321" s="58" t="inlineStr">
        <is>
          <t>MANU DITZEL</t>
        </is>
      </c>
      <c r="C321" s="58" t="inlineStr">
        <is>
          <t>MUNDO BIO 41</t>
        </is>
      </c>
      <c r="D321" s="58" t="inlineStr">
        <is>
          <t>43.638.688/5798-26</t>
        </is>
      </c>
      <c r="E321" s="58" t="inlineStr">
        <is>
          <t>SP</t>
        </is>
      </c>
      <c r="F321" s="58" t="inlineStr">
        <is>
          <t>DIVINA TERRA</t>
        </is>
      </c>
      <c r="G321" s="58" t="inlineStr">
        <is>
          <t>INAT.ANT</t>
        </is>
      </c>
      <c r="H321" s="58" t="n">
        <v>218</v>
      </c>
      <c r="I321" s="58">
        <f>IF(R321="","",VLOOKUP(R321,REGRAS!$B$2:$D$13,3,FALSE()))</f>
        <v/>
      </c>
      <c r="J321" s="58" t="n"/>
      <c r="K321" s="58">
        <f>IF(R321="","",IF(R321="VENDA / PEDIDO","RECOMPRA",IF(R321="SUPORTE","PÓS-VENDA",IF(OR(R321="FOLLOW UP 7",R321="FOLLOW UP 15"),"SALVAMENTO",IF(R321="PERDA / FECHOU LOJA","NUTRIÇÃO",IF(R321="RELACIONAMENTO","CS",IF(OR(R321="ORÇAMENTO",R321="CADASTRO"),"PROSPECÇÃO",IF(R321="EM ATENDIMENTO","EM ATENDIMENTO",IF(OR(R321="NÃO ATENDE",R321="NÃO RESPONDE",R321="RECUSOU LIGAÇÃO"),"RECUPERAÇÃO","")))))))))</f>
        <v/>
      </c>
      <c r="L321" s="58">
        <f>IF(H321="","",IF(G321="PROSPECT","🟣",IF(G321="LEAD","🟣",IF(G321="NOVO","🟢",IF(H321&lt;=50,"🟢",IF(H321&lt;=90,"🟡","🔴"))))))</f>
        <v/>
      </c>
      <c r="M321" s="58" t="n"/>
      <c r="N321" s="58" t="inlineStr">
        <is>
          <t>SIM</t>
        </is>
      </c>
      <c r="O321" s="58" t="inlineStr">
        <is>
          <t>NÃO</t>
        </is>
      </c>
      <c r="P321" s="58" t="inlineStr">
        <is>
          <t>N/A</t>
        </is>
      </c>
      <c r="Q321" s="58" t="inlineStr">
        <is>
          <t>ATEND. CLIENTES ATIVOS</t>
        </is>
      </c>
      <c r="R321" s="58" t="inlineStr">
        <is>
          <t>VENDA / PEDIDO</t>
        </is>
      </c>
      <c r="S321" s="58" t="n"/>
      <c r="T321" s="71">
        <f>IF(R321="","",IF(OR(R321="SUPORTE",R321="PERDA / FECHOU LOJA"),"SEM",A321+VLOOKUP(R321,REGRAS!$B$2:$C$13,2,FALSE())))</f>
        <v/>
      </c>
      <c r="U321" s="58">
        <f>IF(R321="","",IF(R321="VENDA / PEDIDO","RECOMPRA",IF(R321="SUPORTE","PÓS-VENDA",IF(R321="RELACIONAMENTO","CS",IF(OR(R321="NÃO ATENDE",R321="NÃO RESPONDE",R321="RECUSOU LIGAÇÃO"),"REATIVAÇÃO",IF(R321="PERDA / FECHOU LOJA","NUTRIÇÃO",IF(OR(R321="FOLLOW UP 7",R321="FOLLOW UP 15"),"SALVAMENTO","PROSPECÇÃO")))))))</f>
        <v/>
      </c>
      <c r="V321" s="58" t="n"/>
      <c r="W321" s="58" t="inlineStr">
        <is>
          <t>NÃO</t>
        </is>
      </c>
      <c r="X321" s="58" t="n"/>
    </row>
    <row r="322">
      <c r="A322" s="71" t="n">
        <v>46054</v>
      </c>
      <c r="B322" s="58" t="inlineStr">
        <is>
          <t>MANU DITZEL</t>
        </is>
      </c>
      <c r="C322" s="58" t="inlineStr">
        <is>
          <t>NATURAL HOUSE 81</t>
        </is>
      </c>
      <c r="D322" s="58" t="inlineStr">
        <is>
          <t>25.855.968/3397-88</t>
        </is>
      </c>
      <c r="E322" s="58" t="inlineStr">
        <is>
          <t>CE</t>
        </is>
      </c>
      <c r="F322" s="58" t="inlineStr">
        <is>
          <t>FIT LAND</t>
        </is>
      </c>
      <c r="G322" s="58" t="inlineStr">
        <is>
          <t>ATIVO</t>
        </is>
      </c>
      <c r="H322" s="58" t="n">
        <v>40</v>
      </c>
      <c r="I322" s="58">
        <f>IF(R322="","",VLOOKUP(R322,REGRAS!$B$2:$D$13,3,FALSE()))</f>
        <v/>
      </c>
      <c r="J322" s="58" t="n"/>
      <c r="K322" s="58">
        <f>IF(R322="","",IF(R322="VENDA / PEDIDO","RECOMPRA",IF(R322="SUPORTE","PÓS-VENDA",IF(OR(R322="FOLLOW UP 7",R322="FOLLOW UP 15"),"SALVAMENTO",IF(R322="PERDA / FECHOU LOJA","NUTRIÇÃO",IF(R322="RELACIONAMENTO","CS",IF(OR(R322="ORÇAMENTO",R322="CADASTRO"),"PROSPECÇÃO",IF(R322="EM ATENDIMENTO","EM ATENDIMENTO",IF(OR(R322="NÃO ATENDE",R322="NÃO RESPONDE",R322="RECUSOU LIGAÇÃO"),"RECUPERAÇÃO","")))))))))</f>
        <v/>
      </c>
      <c r="L322" s="58">
        <f>IF(H322="","",IF(G322="PROSPECT","🟣",IF(G322="LEAD","🟣",IF(G322="NOVO","🟢",IF(H322&lt;=50,"🟢",IF(H322&lt;=90,"🟡","🔴"))))))</f>
        <v/>
      </c>
      <c r="M322" s="58" t="n"/>
      <c r="N322" s="58" t="inlineStr">
        <is>
          <t>SIM</t>
        </is>
      </c>
      <c r="O322" s="58" t="inlineStr">
        <is>
          <t>NÃO</t>
        </is>
      </c>
      <c r="P322" s="58" t="inlineStr">
        <is>
          <t>N/A</t>
        </is>
      </c>
      <c r="Q322" s="58" t="inlineStr">
        <is>
          <t>PÓS-VENDA / RELACIONAMENTO</t>
        </is>
      </c>
      <c r="R322" s="58" t="inlineStr">
        <is>
          <t>RELACIONAMENTO</t>
        </is>
      </c>
      <c r="S322" s="58" t="n"/>
      <c r="T322" s="71">
        <f>IF(R322="","",IF(OR(R322="SUPORTE",R322="PERDA / FECHOU LOJA"),"SEM",A322+VLOOKUP(R322,REGRAS!$B$2:$C$13,2,FALSE())))</f>
        <v/>
      </c>
      <c r="U322" s="58">
        <f>IF(R322="","",IF(R322="VENDA / PEDIDO","RECOMPRA",IF(R322="SUPORTE","PÓS-VENDA",IF(R322="RELACIONAMENTO","CS",IF(OR(R322="NÃO ATENDE",R322="NÃO RESPONDE",R322="RECUSOU LIGAÇÃO"),"REATIVAÇÃO",IF(R322="PERDA / FECHOU LOJA","NUTRIÇÃO",IF(OR(R322="FOLLOW UP 7",R322="FOLLOW UP 15"),"SALVAMENTO","PROSPECÇÃO")))))))</f>
        <v/>
      </c>
      <c r="V322" s="58" t="n"/>
      <c r="W322" s="58" t="inlineStr">
        <is>
          <t>SIM</t>
        </is>
      </c>
      <c r="X322" s="58" t="n"/>
    </row>
    <row r="323">
      <c r="A323" s="71" t="n">
        <v>46056</v>
      </c>
      <c r="B323" s="58" t="inlineStr">
        <is>
          <t>MANU DITZEL</t>
        </is>
      </c>
      <c r="C323" s="58" t="inlineStr">
        <is>
          <t>GRÃO FINO 71</t>
        </is>
      </c>
      <c r="D323" s="58" t="inlineStr">
        <is>
          <t>51.885.106/1866-97</t>
        </is>
      </c>
      <c r="E323" s="58" t="inlineStr">
        <is>
          <t>SC</t>
        </is>
      </c>
      <c r="F323" s="58" t="inlineStr">
        <is>
          <t>FIT LAND</t>
        </is>
      </c>
      <c r="G323" s="58" t="inlineStr">
        <is>
          <t>INAT.REC</t>
        </is>
      </c>
      <c r="H323" s="58" t="n">
        <v>61</v>
      </c>
      <c r="I323" s="58">
        <f>IF(R323="","",VLOOKUP(R323,REGRAS!$B$2:$D$13,3,FALSE()))</f>
        <v/>
      </c>
      <c r="J323" s="58" t="n"/>
      <c r="K323" s="58">
        <f>IF(R323="","",IF(R323="VENDA / PEDIDO","RECOMPRA",IF(R323="SUPORTE","PÓS-VENDA",IF(OR(R323="FOLLOW UP 7",R323="FOLLOW UP 15"),"SALVAMENTO",IF(R323="PERDA / FECHOU LOJA","NUTRIÇÃO",IF(R323="RELACIONAMENTO","CS",IF(OR(R323="ORÇAMENTO",R323="CADASTRO"),"PROSPECÇÃO",IF(R323="EM ATENDIMENTO","EM ATENDIMENTO",IF(OR(R323="NÃO ATENDE",R323="NÃO RESPONDE",R323="RECUSOU LIGAÇÃO"),"RECUPERAÇÃO","")))))))))</f>
        <v/>
      </c>
      <c r="L323" s="58">
        <f>IF(H323="","",IF(G323="PROSPECT","🟣",IF(G323="LEAD","🟣",IF(G323="NOVO","🟢",IF(H323&lt;=50,"🟢",IF(H323&lt;=90,"🟡","🔴"))))))</f>
        <v/>
      </c>
      <c r="M323" s="58" t="n"/>
      <c r="N323" s="58" t="inlineStr">
        <is>
          <t>NÃO</t>
        </is>
      </c>
      <c r="O323" s="58" t="inlineStr">
        <is>
          <t>NÃO</t>
        </is>
      </c>
      <c r="P323" s="58" t="inlineStr">
        <is>
          <t>N/A</t>
        </is>
      </c>
      <c r="Q323" s="58" t="inlineStr">
        <is>
          <t>PÓS-VENDA / RELACIONAMENTO</t>
        </is>
      </c>
      <c r="R323" s="58" t="inlineStr">
        <is>
          <t>RELACIONAMENTO</t>
        </is>
      </c>
      <c r="S323" s="58" t="n"/>
      <c r="T323" s="71">
        <f>IF(R323="","",IF(OR(R323="SUPORTE",R323="PERDA / FECHOU LOJA"),"SEM",A323+VLOOKUP(R323,REGRAS!$B$2:$C$13,2,FALSE())))</f>
        <v/>
      </c>
      <c r="U323" s="58">
        <f>IF(R323="","",IF(R323="VENDA / PEDIDO","RECOMPRA",IF(R323="SUPORTE","PÓS-VENDA",IF(R323="RELACIONAMENTO","CS",IF(OR(R323="NÃO ATENDE",R323="NÃO RESPONDE",R323="RECUSOU LIGAÇÃO"),"REATIVAÇÃO",IF(R323="PERDA / FECHOU LOJA","NUTRIÇÃO",IF(OR(R323="FOLLOW UP 7",R323="FOLLOW UP 15"),"SALVAMENTO","PROSPECÇÃO")))))))</f>
        <v/>
      </c>
      <c r="V323" s="58" t="n"/>
      <c r="W323" s="58" t="inlineStr">
        <is>
          <t>SIM</t>
        </is>
      </c>
      <c r="X323" s="58" t="n"/>
    </row>
    <row r="324">
      <c r="A324" s="71" t="n">
        <v>46069</v>
      </c>
      <c r="B324" s="58" t="inlineStr">
        <is>
          <t>DAIANE STAVICKI</t>
        </is>
      </c>
      <c r="C324" s="58" t="inlineStr">
        <is>
          <t>FIT STORE 62</t>
        </is>
      </c>
      <c r="D324" s="58" t="inlineStr">
        <is>
          <t>29.742.571/8798-52</t>
        </is>
      </c>
      <c r="E324" s="58" t="inlineStr">
        <is>
          <t>RS</t>
        </is>
      </c>
      <c r="F324" s="58" t="inlineStr">
        <is>
          <t>DEMAIS CLIENTES</t>
        </is>
      </c>
      <c r="G324" s="58" t="inlineStr">
        <is>
          <t>PROSPECT</t>
        </is>
      </c>
      <c r="H324" s="58" t="n"/>
      <c r="I324" s="58">
        <f>IF(R324="","",VLOOKUP(R324,REGRAS!$B$2:$D$13,3,FALSE()))</f>
        <v/>
      </c>
      <c r="J324" s="58" t="n"/>
      <c r="K324" s="58">
        <f>IF(R324="","",IF(R324="VENDA / PEDIDO","RECOMPRA",IF(R324="SUPORTE","PÓS-VENDA",IF(OR(R324="FOLLOW UP 7",R324="FOLLOW UP 15"),"SALVAMENTO",IF(R324="PERDA / FECHOU LOJA","NUTRIÇÃO",IF(R324="RELACIONAMENTO","CS",IF(OR(R324="ORÇAMENTO",R324="CADASTRO"),"PROSPECÇÃO",IF(R324="EM ATENDIMENTO","EM ATENDIMENTO",IF(OR(R324="NÃO ATENDE",R324="NÃO RESPONDE",R324="RECUSOU LIGAÇÃO"),"RECUPERAÇÃO","")))))))))</f>
        <v/>
      </c>
      <c r="L324" s="58">
        <f>IF(H324="","",IF(G324="PROSPECT","🟣",IF(G324="LEAD","🟣",IF(G324="NOVO","🟢",IF(H324&lt;=50,"🟢",IF(H324&lt;=90,"🟡","🔴"))))))</f>
        <v/>
      </c>
      <c r="M324" s="58" t="n"/>
      <c r="N324" s="58" t="inlineStr">
        <is>
          <t>SIM</t>
        </is>
      </c>
      <c r="O324" s="58" t="inlineStr">
        <is>
          <t>NÃO</t>
        </is>
      </c>
      <c r="P324" s="58" t="inlineStr">
        <is>
          <t>N/A</t>
        </is>
      </c>
      <c r="Q324" s="58" t="inlineStr">
        <is>
          <t>PROSPECÇÃO</t>
        </is>
      </c>
      <c r="R324" s="58" t="inlineStr">
        <is>
          <t>NÃO ATENDE</t>
        </is>
      </c>
      <c r="S324" s="58" t="inlineStr">
        <is>
          <t>PROBLEMA LOGÍSTICO / ENTREGA</t>
        </is>
      </c>
      <c r="T324" s="71">
        <f>IF(R324="","",IF(OR(R324="SUPORTE",R324="PERDA / FECHOU LOJA"),"SEM",A324+VLOOKUP(R324,REGRAS!$B$2:$C$13,2,FALSE())))</f>
        <v/>
      </c>
      <c r="U324" s="58">
        <f>IF(R324="","",IF(R324="VENDA / PEDIDO","RECOMPRA",IF(R324="SUPORTE","PÓS-VENDA",IF(R324="RELACIONAMENTO","CS",IF(OR(R324="NÃO ATENDE",R324="NÃO RESPONDE",R324="RECUSOU LIGAÇÃO"),"REATIVAÇÃO",IF(R324="PERDA / FECHOU LOJA","NUTRIÇÃO",IF(OR(R324="FOLLOW UP 7",R324="FOLLOW UP 15"),"SALVAMENTO","PROSPECÇÃO")))))))</f>
        <v/>
      </c>
      <c r="V324" s="58" t="n"/>
      <c r="W324" s="58" t="inlineStr">
        <is>
          <t>SIM</t>
        </is>
      </c>
      <c r="X324" s="58" t="n"/>
    </row>
    <row r="325">
      <c r="A325" s="71" t="n">
        <v>46072</v>
      </c>
      <c r="B325" s="58" t="inlineStr">
        <is>
          <t>JULIO GADRET</t>
        </is>
      </c>
      <c r="C325" s="58" t="inlineStr">
        <is>
          <t>MARKET FIT 09</t>
        </is>
      </c>
      <c r="D325" s="58" t="inlineStr">
        <is>
          <t>29.387.960/0511-53</t>
        </is>
      </c>
      <c r="E325" s="58" t="inlineStr">
        <is>
          <t>CE</t>
        </is>
      </c>
      <c r="F325" s="58" t="inlineStr">
        <is>
          <t>VIDA LEVE</t>
        </is>
      </c>
      <c r="G325" s="58" t="inlineStr">
        <is>
          <t>NOVO</t>
        </is>
      </c>
      <c r="H325" s="58" t="n"/>
      <c r="I325" s="58">
        <f>IF(R325="","",VLOOKUP(R325,REGRAS!$B$2:$D$13,3,FALSE()))</f>
        <v/>
      </c>
      <c r="J325" s="58" t="n"/>
      <c r="K325" s="58">
        <f>IF(R325="","",IF(R325="VENDA / PEDIDO","RECOMPRA",IF(R325="SUPORTE","PÓS-VENDA",IF(OR(R325="FOLLOW UP 7",R325="FOLLOW UP 15"),"SALVAMENTO",IF(R325="PERDA / FECHOU LOJA","NUTRIÇÃO",IF(R325="RELACIONAMENTO","CS",IF(OR(R325="ORÇAMENTO",R325="CADASTRO"),"PROSPECÇÃO",IF(R325="EM ATENDIMENTO","EM ATENDIMENTO",IF(OR(R325="NÃO ATENDE",R325="NÃO RESPONDE",R325="RECUSOU LIGAÇÃO"),"RECUPERAÇÃO","")))))))))</f>
        <v/>
      </c>
      <c r="L325" s="58">
        <f>IF(H325="","",IF(G325="PROSPECT","🟣",IF(G325="LEAD","🟣",IF(G325="NOVO","🟢",IF(H325&lt;=50,"🟢",IF(H325&lt;=90,"🟡","🔴"))))))</f>
        <v/>
      </c>
      <c r="M325" s="58" t="n"/>
      <c r="N325" s="58" t="inlineStr">
        <is>
          <t>SIM</t>
        </is>
      </c>
      <c r="O325" s="58" t="inlineStr">
        <is>
          <t>NÃO</t>
        </is>
      </c>
      <c r="P325" s="58" t="inlineStr">
        <is>
          <t>N/A</t>
        </is>
      </c>
      <c r="Q325" s="58" t="inlineStr">
        <is>
          <t>ATEND. CLIENTES ATIVOS</t>
        </is>
      </c>
      <c r="R325" s="58" t="inlineStr">
        <is>
          <t>RELACIONAMENTO</t>
        </is>
      </c>
      <c r="S325" s="58" t="n"/>
      <c r="T325" s="71">
        <f>IF(R325="","",IF(OR(R325="SUPORTE",R325="PERDA / FECHOU LOJA"),"SEM",A325+VLOOKUP(R325,REGRAS!$B$2:$C$13,2,FALSE())))</f>
        <v/>
      </c>
      <c r="U325" s="58">
        <f>IF(R325="","",IF(R325="VENDA / PEDIDO","RECOMPRA",IF(R325="SUPORTE","PÓS-VENDA",IF(R325="RELACIONAMENTO","CS",IF(OR(R325="NÃO ATENDE",R325="NÃO RESPONDE",R325="RECUSOU LIGAÇÃO"),"REATIVAÇÃO",IF(R325="PERDA / FECHOU LOJA","NUTRIÇÃO",IF(OR(R325="FOLLOW UP 7",R325="FOLLOW UP 15"),"SALVAMENTO","PROSPECÇÃO")))))))</f>
        <v/>
      </c>
      <c r="V325" s="58" t="n"/>
      <c r="W325" s="58" t="inlineStr">
        <is>
          <t>NÃO</t>
        </is>
      </c>
      <c r="X325" s="58" t="n"/>
    </row>
    <row r="326">
      <c r="A326" s="71" t="n">
        <v>46076</v>
      </c>
      <c r="B326" s="58" t="inlineStr">
        <is>
          <t>DAIANE STAVICKI</t>
        </is>
      </c>
      <c r="C326" s="58" t="inlineStr">
        <is>
          <t>MUNDO VERDE CWB 35</t>
        </is>
      </c>
      <c r="D326" s="58" t="inlineStr">
        <is>
          <t>62.188.608/3894-57</t>
        </is>
      </c>
      <c r="E326" s="58" t="inlineStr">
        <is>
          <t>RS</t>
        </is>
      </c>
      <c r="F326" s="58" t="inlineStr">
        <is>
          <t>DEMAIS CLIENTES</t>
        </is>
      </c>
      <c r="G326" s="58" t="inlineStr">
        <is>
          <t>ATIVO</t>
        </is>
      </c>
      <c r="H326" s="58" t="n">
        <v>24</v>
      </c>
      <c r="I326" s="58">
        <f>IF(R326="","",VLOOKUP(R326,REGRAS!$B$2:$D$13,3,FALSE()))</f>
        <v/>
      </c>
      <c r="J326" s="58" t="n"/>
      <c r="K326" s="58">
        <f>IF(R326="","",IF(R326="VENDA / PEDIDO","RECOMPRA",IF(R326="SUPORTE","PÓS-VENDA",IF(OR(R326="FOLLOW UP 7",R326="FOLLOW UP 15"),"SALVAMENTO",IF(R326="PERDA / FECHOU LOJA","NUTRIÇÃO",IF(R326="RELACIONAMENTO","CS",IF(OR(R326="ORÇAMENTO",R326="CADASTRO"),"PROSPECÇÃO",IF(R326="EM ATENDIMENTO","EM ATENDIMENTO",IF(OR(R326="NÃO ATENDE",R326="NÃO RESPONDE",R326="RECUSOU LIGAÇÃO"),"RECUPERAÇÃO","")))))))))</f>
        <v/>
      </c>
      <c r="L326" s="58">
        <f>IF(H326="","",IF(G326="PROSPECT","🟣",IF(G326="LEAD","🟣",IF(G326="NOVO","🟢",IF(H326&lt;=50,"🟢",IF(H326&lt;=90,"🟡","🔴"))))))</f>
        <v/>
      </c>
      <c r="M326" s="58" t="n"/>
      <c r="N326" s="58" t="inlineStr">
        <is>
          <t>SIM</t>
        </is>
      </c>
      <c r="O326" s="58" t="inlineStr">
        <is>
          <t>SIM</t>
        </is>
      </c>
      <c r="P326" s="58" t="inlineStr">
        <is>
          <t>SIM</t>
        </is>
      </c>
      <c r="Q326" s="58" t="inlineStr">
        <is>
          <t>NEGOCIAÇÃO</t>
        </is>
      </c>
      <c r="R326" s="58" t="inlineStr">
        <is>
          <t>ORÇAMENTO</t>
        </is>
      </c>
      <c r="S326" s="58" t="n"/>
      <c r="T326" s="71">
        <f>IF(R326="","",IF(OR(R326="SUPORTE",R326="PERDA / FECHOU LOJA"),"SEM",A326+VLOOKUP(R326,REGRAS!$B$2:$C$13,2,FALSE())))</f>
        <v/>
      </c>
      <c r="U326" s="58">
        <f>IF(R326="","",IF(R326="VENDA / PEDIDO","RECOMPRA",IF(R326="SUPORTE","PÓS-VENDA",IF(R326="RELACIONAMENTO","CS",IF(OR(R326="NÃO ATENDE",R326="NÃO RESPONDE",R326="RECUSOU LIGAÇÃO"),"REATIVAÇÃO",IF(R326="PERDA / FECHOU LOJA","NUTRIÇÃO",IF(OR(R326="FOLLOW UP 7",R326="FOLLOW UP 15"),"SALVAMENTO","PROSPECÇÃO")))))))</f>
        <v/>
      </c>
      <c r="V326" s="58" t="n"/>
      <c r="W326" s="58" t="inlineStr">
        <is>
          <t>SIM</t>
        </is>
      </c>
      <c r="X326" s="58" t="n"/>
    </row>
    <row r="327">
      <c r="A327" s="71" t="n">
        <v>46079</v>
      </c>
      <c r="B327" s="58" t="inlineStr">
        <is>
          <t>LARISSA PADILHA</t>
        </is>
      </c>
      <c r="C327" s="58" t="inlineStr">
        <is>
          <t>GRÃO FINO 20</t>
        </is>
      </c>
      <c r="D327" s="58" t="inlineStr">
        <is>
          <t>34.448.595/8580-49</t>
        </is>
      </c>
      <c r="E327" s="58" t="inlineStr">
        <is>
          <t>RJ</t>
        </is>
      </c>
      <c r="F327" s="58" t="inlineStr">
        <is>
          <t>MUNDO VERDE</t>
        </is>
      </c>
      <c r="G327" s="58" t="inlineStr">
        <is>
          <t>NOVO</t>
        </is>
      </c>
      <c r="H327" s="58" t="n"/>
      <c r="I327" s="58">
        <f>IF(R327="","",VLOOKUP(R327,REGRAS!$B$2:$D$13,3,FALSE()))</f>
        <v/>
      </c>
      <c r="J327" s="58" t="n"/>
      <c r="K327" s="58">
        <f>IF(R327="","",IF(R327="VENDA / PEDIDO","RECOMPRA",IF(R327="SUPORTE","PÓS-VENDA",IF(OR(R327="FOLLOW UP 7",R327="FOLLOW UP 15"),"SALVAMENTO",IF(R327="PERDA / FECHOU LOJA","NUTRIÇÃO",IF(R327="RELACIONAMENTO","CS",IF(OR(R327="ORÇAMENTO",R327="CADASTRO"),"PROSPECÇÃO",IF(R327="EM ATENDIMENTO","EM ATENDIMENTO",IF(OR(R327="NÃO ATENDE",R327="NÃO RESPONDE",R327="RECUSOU LIGAÇÃO"),"RECUPERAÇÃO","")))))))))</f>
        <v/>
      </c>
      <c r="L327" s="58">
        <f>IF(H327="","",IF(G327="PROSPECT","🟣",IF(G327="LEAD","🟣",IF(G327="NOVO","🟢",IF(H327&lt;=50,"🟢",IF(H327&lt;=90,"🟡","🔴"))))))</f>
        <v/>
      </c>
      <c r="M327" s="58" t="n"/>
      <c r="N327" s="58" t="inlineStr">
        <is>
          <t>SIM</t>
        </is>
      </c>
      <c r="O327" s="58" t="inlineStr">
        <is>
          <t>SIM</t>
        </is>
      </c>
      <c r="P327" s="58" t="inlineStr">
        <is>
          <t>NÃO</t>
        </is>
      </c>
      <c r="Q327" s="58" t="inlineStr">
        <is>
          <t>PÓS-VENDA / RELACIONAMENTO</t>
        </is>
      </c>
      <c r="R327" s="58" t="inlineStr">
        <is>
          <t>NÃO RESPONDE</t>
        </is>
      </c>
      <c r="S327" s="58" t="inlineStr">
        <is>
          <t>SÓ QUER COMPRAR GRANEL</t>
        </is>
      </c>
      <c r="T327" s="71">
        <f>IF(R327="","",IF(OR(R327="SUPORTE",R327="PERDA / FECHOU LOJA"),"SEM",A327+VLOOKUP(R327,REGRAS!$B$2:$C$13,2,FALSE())))</f>
        <v/>
      </c>
      <c r="U327" s="58">
        <f>IF(R327="","",IF(R327="VENDA / PEDIDO","RECOMPRA",IF(R327="SUPORTE","PÓS-VENDA",IF(R327="RELACIONAMENTO","CS",IF(OR(R327="NÃO ATENDE",R327="NÃO RESPONDE",R327="RECUSOU LIGAÇÃO"),"REATIVAÇÃO",IF(R327="PERDA / FECHOU LOJA","NUTRIÇÃO",IF(OR(R327="FOLLOW UP 7",R327="FOLLOW UP 15"),"SALVAMENTO","PROSPECÇÃO")))))))</f>
        <v/>
      </c>
      <c r="V327" s="58" t="n"/>
      <c r="W327" s="58" t="inlineStr">
        <is>
          <t>NÃO</t>
        </is>
      </c>
      <c r="X327" s="58" t="n"/>
    </row>
    <row r="328">
      <c r="A328" s="71" t="n">
        <v>46070</v>
      </c>
      <c r="B328" s="58" t="inlineStr">
        <is>
          <t>MANU DITZEL</t>
        </is>
      </c>
      <c r="C328" s="58" t="inlineStr">
        <is>
          <t>EMPÓRIO DO CAMPO 06</t>
        </is>
      </c>
      <c r="D328" s="58" t="inlineStr">
        <is>
          <t>97.968.708/1427-52</t>
        </is>
      </c>
      <c r="E328" s="58" t="inlineStr">
        <is>
          <t>RS</t>
        </is>
      </c>
      <c r="F328" s="58" t="inlineStr">
        <is>
          <t>MUNDO VERDE</t>
        </is>
      </c>
      <c r="G328" s="58" t="inlineStr">
        <is>
          <t>INAT.REC</t>
        </is>
      </c>
      <c r="H328" s="58" t="n">
        <v>82</v>
      </c>
      <c r="I328" s="58">
        <f>IF(R328="","",VLOOKUP(R328,REGRAS!$B$2:$D$13,3,FALSE()))</f>
        <v/>
      </c>
      <c r="J328" s="58" t="n"/>
      <c r="K328" s="58">
        <f>IF(R328="","",IF(R328="VENDA / PEDIDO","RECOMPRA",IF(R328="SUPORTE","PÓS-VENDA",IF(OR(R328="FOLLOW UP 7",R328="FOLLOW UP 15"),"SALVAMENTO",IF(R328="PERDA / FECHOU LOJA","NUTRIÇÃO",IF(R328="RELACIONAMENTO","CS",IF(OR(R328="ORÇAMENTO",R328="CADASTRO"),"PROSPECÇÃO",IF(R328="EM ATENDIMENTO","EM ATENDIMENTO",IF(OR(R328="NÃO ATENDE",R328="NÃO RESPONDE",R328="RECUSOU LIGAÇÃO"),"RECUPERAÇÃO","")))))))))</f>
        <v/>
      </c>
      <c r="L328" s="58">
        <f>IF(H328="","",IF(G328="PROSPECT","🟣",IF(G328="LEAD","🟣",IF(G328="NOVO","🟢",IF(H328&lt;=50,"🟢",IF(H328&lt;=90,"🟡","🔴"))))))</f>
        <v/>
      </c>
      <c r="M328" s="58" t="n"/>
      <c r="N328" s="58" t="inlineStr">
        <is>
          <t>NÃO</t>
        </is>
      </c>
      <c r="O328" s="58" t="inlineStr">
        <is>
          <t>NÃO</t>
        </is>
      </c>
      <c r="P328" s="58" t="inlineStr">
        <is>
          <t>N/A</t>
        </is>
      </c>
      <c r="Q328" s="58" t="inlineStr">
        <is>
          <t>ATEND. CLIENTES INATIVOS</t>
        </is>
      </c>
      <c r="R328" s="58" t="inlineStr">
        <is>
          <t>EM ATENDIMENTO</t>
        </is>
      </c>
      <c r="S328" s="58" t="n"/>
      <c r="T328" s="71">
        <f>IF(R328="","",IF(OR(R328="SUPORTE",R328="PERDA / FECHOU LOJA"),"SEM",A328+VLOOKUP(R328,REGRAS!$B$2:$C$13,2,FALSE())))</f>
        <v/>
      </c>
      <c r="U328" s="58">
        <f>IF(R328="","",IF(R328="VENDA / PEDIDO","RECOMPRA",IF(R328="SUPORTE","PÓS-VENDA",IF(R328="RELACIONAMENTO","CS",IF(OR(R328="NÃO ATENDE",R328="NÃO RESPONDE",R328="RECUSOU LIGAÇÃO"),"REATIVAÇÃO",IF(R328="PERDA / FECHOU LOJA","NUTRIÇÃO",IF(OR(R328="FOLLOW UP 7",R328="FOLLOW UP 15"),"SALVAMENTO","PROSPECÇÃO")))))))</f>
        <v/>
      </c>
      <c r="V328" s="58" t="n"/>
      <c r="W328" s="58" t="inlineStr">
        <is>
          <t>SIM</t>
        </is>
      </c>
      <c r="X328" s="58" t="n"/>
    </row>
    <row r="329">
      <c r="A329" s="71" t="n">
        <v>46060</v>
      </c>
      <c r="B329" s="58" t="inlineStr">
        <is>
          <t>MANU DITZEL</t>
        </is>
      </c>
      <c r="C329" s="58" t="inlineStr">
        <is>
          <t>NATUR LIFE 69</t>
        </is>
      </c>
      <c r="D329" s="58" t="inlineStr">
        <is>
          <t>50.891.551/1928-44</t>
        </is>
      </c>
      <c r="E329" s="58" t="inlineStr">
        <is>
          <t>PR</t>
        </is>
      </c>
      <c r="F329" s="58" t="inlineStr">
        <is>
          <t>CIA DA SAUDE</t>
        </is>
      </c>
      <c r="G329" s="58" t="inlineStr">
        <is>
          <t>ATIVO</t>
        </is>
      </c>
      <c r="H329" s="58" t="n">
        <v>44</v>
      </c>
      <c r="I329" s="58">
        <f>IF(R329="","",VLOOKUP(R329,REGRAS!$B$2:$D$13,3,FALSE()))</f>
        <v/>
      </c>
      <c r="J329" s="58" t="n"/>
      <c r="K329" s="58">
        <f>IF(R329="","",IF(R329="VENDA / PEDIDO","RECOMPRA",IF(R329="SUPORTE","PÓS-VENDA",IF(OR(R329="FOLLOW UP 7",R329="FOLLOW UP 15"),"SALVAMENTO",IF(R329="PERDA / FECHOU LOJA","NUTRIÇÃO",IF(R329="RELACIONAMENTO","CS",IF(OR(R329="ORÇAMENTO",R329="CADASTRO"),"PROSPECÇÃO",IF(R329="EM ATENDIMENTO","EM ATENDIMENTO",IF(OR(R329="NÃO ATENDE",R329="NÃO RESPONDE",R329="RECUSOU LIGAÇÃO"),"RECUPERAÇÃO","")))))))))</f>
        <v/>
      </c>
      <c r="L329" s="58">
        <f>IF(H329="","",IF(G329="PROSPECT","🟣",IF(G329="LEAD","🟣",IF(G329="NOVO","🟢",IF(H329&lt;=50,"🟢",IF(H329&lt;=90,"🟡","🔴"))))))</f>
        <v/>
      </c>
      <c r="M329" s="58" t="n"/>
      <c r="N329" s="58" t="inlineStr">
        <is>
          <t>SIM</t>
        </is>
      </c>
      <c r="O329" s="58" t="inlineStr">
        <is>
          <t>NÃO</t>
        </is>
      </c>
      <c r="P329" s="58" t="inlineStr">
        <is>
          <t>N/A</t>
        </is>
      </c>
      <c r="Q329" s="58" t="inlineStr">
        <is>
          <t>ATEND. CLIENTES ATIVOS</t>
        </is>
      </c>
      <c r="R329" s="58" t="inlineStr">
        <is>
          <t>VENDA / PEDIDO</t>
        </is>
      </c>
      <c r="S329" s="58" t="n"/>
      <c r="T329" s="71">
        <f>IF(R329="","",IF(OR(R329="SUPORTE",R329="PERDA / FECHOU LOJA"),"SEM",A329+VLOOKUP(R329,REGRAS!$B$2:$C$13,2,FALSE())))</f>
        <v/>
      </c>
      <c r="U329" s="58">
        <f>IF(R329="","",IF(R329="VENDA / PEDIDO","RECOMPRA",IF(R329="SUPORTE","PÓS-VENDA",IF(R329="RELACIONAMENTO","CS",IF(OR(R329="NÃO ATENDE",R329="NÃO RESPONDE",R329="RECUSOU LIGAÇÃO"),"REATIVAÇÃO",IF(R329="PERDA / FECHOU LOJA","NUTRIÇÃO",IF(OR(R329="FOLLOW UP 7",R329="FOLLOW UP 15"),"SALVAMENTO","PROSPECÇÃO")))))))</f>
        <v/>
      </c>
      <c r="V329" s="58" t="n"/>
      <c r="W329" s="58" t="inlineStr">
        <is>
          <t>SIM</t>
        </is>
      </c>
      <c r="X329" s="58" t="n"/>
    </row>
    <row r="330">
      <c r="A330" s="71" t="n">
        <v>46076</v>
      </c>
      <c r="B330" s="58" t="inlineStr">
        <is>
          <t>DAIANE STAVICKI</t>
        </is>
      </c>
      <c r="C330" s="58" t="inlineStr">
        <is>
          <t>PURA VIDA 32</t>
        </is>
      </c>
      <c r="D330" s="58" t="inlineStr">
        <is>
          <t>31.172.418/5550-79</t>
        </is>
      </c>
      <c r="E330" s="58" t="inlineStr">
        <is>
          <t>RS</t>
        </is>
      </c>
      <c r="F330" s="58" t="inlineStr">
        <is>
          <t>MUNDO VERDE</t>
        </is>
      </c>
      <c r="G330" s="58" t="inlineStr">
        <is>
          <t>EM RISCO</t>
        </is>
      </c>
      <c r="H330" s="58" t="n">
        <v>51</v>
      </c>
      <c r="I330" s="58">
        <f>IF(R330="","",VLOOKUP(R330,REGRAS!$B$2:$D$13,3,FALSE()))</f>
        <v/>
      </c>
      <c r="J330" s="58" t="n"/>
      <c r="K330" s="58">
        <f>IF(R330="","",IF(R330="VENDA / PEDIDO","RECOMPRA",IF(R330="SUPORTE","PÓS-VENDA",IF(OR(R330="FOLLOW UP 7",R330="FOLLOW UP 15"),"SALVAMENTO",IF(R330="PERDA / FECHOU LOJA","NUTRIÇÃO",IF(R330="RELACIONAMENTO","CS",IF(OR(R330="ORÇAMENTO",R330="CADASTRO"),"PROSPECÇÃO",IF(R330="EM ATENDIMENTO","EM ATENDIMENTO",IF(OR(R330="NÃO ATENDE",R330="NÃO RESPONDE",R330="RECUSOU LIGAÇÃO"),"RECUPERAÇÃO","")))))))))</f>
        <v/>
      </c>
      <c r="L330" s="58">
        <f>IF(H330="","",IF(G330="PROSPECT","🟣",IF(G330="LEAD","🟣",IF(G330="NOVO","🟢",IF(H330&lt;=50,"🟢",IF(H330&lt;=90,"🟡","🔴"))))))</f>
        <v/>
      </c>
      <c r="M330" s="58" t="n"/>
      <c r="N330" s="58" t="inlineStr">
        <is>
          <t>SIM</t>
        </is>
      </c>
      <c r="O330" s="58" t="inlineStr">
        <is>
          <t>SIM</t>
        </is>
      </c>
      <c r="P330" s="58" t="inlineStr">
        <is>
          <t>NÃO</t>
        </is>
      </c>
      <c r="Q330" s="58" t="inlineStr">
        <is>
          <t>PROSPECÇÃO</t>
        </is>
      </c>
      <c r="R330" s="58" t="inlineStr">
        <is>
          <t>EM ATENDIMENTO</t>
        </is>
      </c>
      <c r="S330" s="58" t="n"/>
      <c r="T330" s="71">
        <f>IF(R330="","",IF(OR(R330="SUPORTE",R330="PERDA / FECHOU LOJA"),"SEM",A330+VLOOKUP(R330,REGRAS!$B$2:$C$13,2,FALSE())))</f>
        <v/>
      </c>
      <c r="U330" s="58">
        <f>IF(R330="","",IF(R330="VENDA / PEDIDO","RECOMPRA",IF(R330="SUPORTE","PÓS-VENDA",IF(R330="RELACIONAMENTO","CS",IF(OR(R330="NÃO ATENDE",R330="NÃO RESPONDE",R330="RECUSOU LIGAÇÃO"),"REATIVAÇÃO",IF(R330="PERDA / FECHOU LOJA","NUTRIÇÃO",IF(OR(R330="FOLLOW UP 7",R330="FOLLOW UP 15"),"SALVAMENTO","PROSPECÇÃO")))))))</f>
        <v/>
      </c>
      <c r="V330" s="58" t="n"/>
      <c r="W330" s="58" t="inlineStr">
        <is>
          <t>SIM</t>
        </is>
      </c>
      <c r="X330" s="58" t="n"/>
    </row>
    <row r="331">
      <c r="A331" s="71" t="n">
        <v>46080</v>
      </c>
      <c r="B331" s="58" t="inlineStr">
        <is>
          <t>JULIO GADRET</t>
        </is>
      </c>
      <c r="C331" s="58" t="inlineStr">
        <is>
          <t>EMPÓRIO BIO 79</t>
        </is>
      </c>
      <c r="D331" s="58" t="inlineStr">
        <is>
          <t>55.419.440/3247-95</t>
        </is>
      </c>
      <c r="E331" s="58" t="inlineStr">
        <is>
          <t>MG</t>
        </is>
      </c>
      <c r="F331" s="58" t="inlineStr">
        <is>
          <t>MUNDO VERDE</t>
        </is>
      </c>
      <c r="G331" s="58" t="inlineStr">
        <is>
          <t>PROSPECT</t>
        </is>
      </c>
      <c r="H331" s="58" t="n"/>
      <c r="I331" s="58">
        <f>IF(R331="","",VLOOKUP(R331,REGRAS!$B$2:$D$13,3,FALSE()))</f>
        <v/>
      </c>
      <c r="J331" s="58" t="n"/>
      <c r="K331" s="58">
        <f>IF(R331="","",IF(R331="VENDA / PEDIDO","RECOMPRA",IF(R331="SUPORTE","PÓS-VENDA",IF(OR(R331="FOLLOW UP 7",R331="FOLLOW UP 15"),"SALVAMENTO",IF(R331="PERDA / FECHOU LOJA","NUTRIÇÃO",IF(R331="RELACIONAMENTO","CS",IF(OR(R331="ORÇAMENTO",R331="CADASTRO"),"PROSPECÇÃO",IF(R331="EM ATENDIMENTO","EM ATENDIMENTO",IF(OR(R331="NÃO ATENDE",R331="NÃO RESPONDE",R331="RECUSOU LIGAÇÃO"),"RECUPERAÇÃO","")))))))))</f>
        <v/>
      </c>
      <c r="L331" s="58">
        <f>IF(H331="","",IF(G331="PROSPECT","🟣",IF(G331="LEAD","🟣",IF(G331="NOVO","🟢",IF(H331&lt;=50,"🟢",IF(H331&lt;=90,"🟡","🔴"))))))</f>
        <v/>
      </c>
      <c r="M331" s="58" t="n"/>
      <c r="N331" s="58" t="inlineStr">
        <is>
          <t>SIM</t>
        </is>
      </c>
      <c r="O331" s="58" t="inlineStr">
        <is>
          <t>NÃO</t>
        </is>
      </c>
      <c r="P331" s="58" t="inlineStr">
        <is>
          <t>N/A</t>
        </is>
      </c>
      <c r="Q331" s="58" t="inlineStr">
        <is>
          <t>PÓS-VENDA / RELACIONAMENTO</t>
        </is>
      </c>
      <c r="R331" s="58" t="inlineStr">
        <is>
          <t>SUPORTE</t>
        </is>
      </c>
      <c r="S331" s="58" t="n"/>
      <c r="T331" s="71">
        <f>IF(R331="","",IF(OR(R331="SUPORTE",R331="PERDA / FECHOU LOJA"),"SEM",A331+VLOOKUP(R331,REGRAS!$B$2:$C$13,2,FALSE())))</f>
        <v/>
      </c>
      <c r="U331" s="58">
        <f>IF(R331="","",IF(R331="VENDA / PEDIDO","RECOMPRA",IF(R331="SUPORTE","PÓS-VENDA",IF(R331="RELACIONAMENTO","CS",IF(OR(R331="NÃO ATENDE",R331="NÃO RESPONDE",R331="RECUSOU LIGAÇÃO"),"REATIVAÇÃO",IF(R331="PERDA / FECHOU LOJA","NUTRIÇÃO",IF(OR(R331="FOLLOW UP 7",R331="FOLLOW UP 15"),"SALVAMENTO","PROSPECÇÃO")))))))</f>
        <v/>
      </c>
      <c r="V331" s="58" t="n"/>
      <c r="W331" s="58" t="inlineStr">
        <is>
          <t>NÃO</t>
        </is>
      </c>
      <c r="X331" s="58" t="n"/>
    </row>
    <row r="332">
      <c r="A332" s="71" t="n">
        <v>46057</v>
      </c>
      <c r="B332" s="58" t="inlineStr">
        <is>
          <t>LARISSA PADILHA</t>
        </is>
      </c>
      <c r="C332" s="58" t="inlineStr">
        <is>
          <t>NATURAL HOUSE 61</t>
        </is>
      </c>
      <c r="D332" s="58" t="inlineStr">
        <is>
          <t>39.329.247/4228-56</t>
        </is>
      </c>
      <c r="E332" s="58" t="inlineStr">
        <is>
          <t>SC</t>
        </is>
      </c>
      <c r="F332" s="58" t="inlineStr">
        <is>
          <t>TUDO EM GRAOS</t>
        </is>
      </c>
      <c r="G332" s="58" t="inlineStr">
        <is>
          <t>INAT.ANT</t>
        </is>
      </c>
      <c r="H332" s="58" t="n">
        <v>292</v>
      </c>
      <c r="I332" s="58">
        <f>IF(R332="","",VLOOKUP(R332,REGRAS!$B$2:$D$13,3,FALSE()))</f>
        <v/>
      </c>
      <c r="J332" s="58" t="n"/>
      <c r="K332" s="58">
        <f>IF(R332="","",IF(R332="VENDA / PEDIDO","RECOMPRA",IF(R332="SUPORTE","PÓS-VENDA",IF(OR(R332="FOLLOW UP 7",R332="FOLLOW UP 15"),"SALVAMENTO",IF(R332="PERDA / FECHOU LOJA","NUTRIÇÃO",IF(R332="RELACIONAMENTO","CS",IF(OR(R332="ORÇAMENTO",R332="CADASTRO"),"PROSPECÇÃO",IF(R332="EM ATENDIMENTO","EM ATENDIMENTO",IF(OR(R332="NÃO ATENDE",R332="NÃO RESPONDE",R332="RECUSOU LIGAÇÃO"),"RECUPERAÇÃO","")))))))))</f>
        <v/>
      </c>
      <c r="L332" s="58">
        <f>IF(H332="","",IF(G332="PROSPECT","🟣",IF(G332="LEAD","🟣",IF(G332="NOVO","🟢",IF(H332&lt;=50,"🟢",IF(H332&lt;=90,"🟡","🔴"))))))</f>
        <v/>
      </c>
      <c r="M332" s="58" t="n"/>
      <c r="N332" s="58" t="inlineStr">
        <is>
          <t>SIM</t>
        </is>
      </c>
      <c r="O332" s="58" t="inlineStr">
        <is>
          <t>SIM</t>
        </is>
      </c>
      <c r="P332" s="58" t="inlineStr">
        <is>
          <t>SIM</t>
        </is>
      </c>
      <c r="Q332" s="58" t="inlineStr">
        <is>
          <t>PÓS-VENDA / RELACIONAMENTO</t>
        </is>
      </c>
      <c r="R332" s="58" t="inlineStr">
        <is>
          <t>FOLLOW UP 7</t>
        </is>
      </c>
      <c r="S332" s="58" t="inlineStr">
        <is>
          <t>SÓ QUER COMPRAR GRANEL</t>
        </is>
      </c>
      <c r="T332" s="71">
        <f>IF(R332="","",IF(OR(R332="SUPORTE",R332="PERDA / FECHOU LOJA"),"SEM",A332+VLOOKUP(R332,REGRAS!$B$2:$C$13,2,FALSE())))</f>
        <v/>
      </c>
      <c r="U332" s="58">
        <f>IF(R332="","",IF(R332="VENDA / PEDIDO","RECOMPRA",IF(R332="SUPORTE","PÓS-VENDA",IF(R332="RELACIONAMENTO","CS",IF(OR(R332="NÃO ATENDE",R332="NÃO RESPONDE",R332="RECUSOU LIGAÇÃO"),"REATIVAÇÃO",IF(R332="PERDA / FECHOU LOJA","NUTRIÇÃO",IF(OR(R332="FOLLOW UP 7",R332="FOLLOW UP 15"),"SALVAMENTO","PROSPECÇÃO")))))))</f>
        <v/>
      </c>
      <c r="V332" s="58" t="n"/>
      <c r="W332" s="58" t="inlineStr">
        <is>
          <t>NÃO</t>
        </is>
      </c>
      <c r="X332" s="58" t="n"/>
    </row>
    <row r="333">
      <c r="A333" s="71" t="n">
        <v>46063</v>
      </c>
      <c r="B333" s="58" t="inlineStr">
        <is>
          <t>DAIANE STAVICKI</t>
        </is>
      </c>
      <c r="C333" s="58" t="inlineStr">
        <is>
          <t>MUNDO BIO 74</t>
        </is>
      </c>
      <c r="D333" s="58" t="inlineStr">
        <is>
          <t>26.620.205/6647-23</t>
        </is>
      </c>
      <c r="E333" s="58" t="inlineStr">
        <is>
          <t>SC</t>
        </is>
      </c>
      <c r="F333" s="58" t="inlineStr">
        <is>
          <t>TUDO EM GRAOS</t>
        </is>
      </c>
      <c r="G333" s="58" t="inlineStr">
        <is>
          <t>INAT.ANT</t>
        </is>
      </c>
      <c r="H333" s="58" t="n">
        <v>227</v>
      </c>
      <c r="I333" s="58">
        <f>IF(R333="","",VLOOKUP(R333,REGRAS!$B$2:$D$13,3,FALSE()))</f>
        <v/>
      </c>
      <c r="J333" s="58" t="n"/>
      <c r="K333" s="58">
        <f>IF(R333="","",IF(R333="VENDA / PEDIDO","RECOMPRA",IF(R333="SUPORTE","PÓS-VENDA",IF(OR(R333="FOLLOW UP 7",R333="FOLLOW UP 15"),"SALVAMENTO",IF(R333="PERDA / FECHOU LOJA","NUTRIÇÃO",IF(R333="RELACIONAMENTO","CS",IF(OR(R333="ORÇAMENTO",R333="CADASTRO"),"PROSPECÇÃO",IF(R333="EM ATENDIMENTO","EM ATENDIMENTO",IF(OR(R333="NÃO ATENDE",R333="NÃO RESPONDE",R333="RECUSOU LIGAÇÃO"),"RECUPERAÇÃO","")))))))))</f>
        <v/>
      </c>
      <c r="L333" s="58">
        <f>IF(H333="","",IF(G333="PROSPECT","🟣",IF(G333="LEAD","🟣",IF(G333="NOVO","🟢",IF(H333&lt;=50,"🟢",IF(H333&lt;=90,"🟡","🔴"))))))</f>
        <v/>
      </c>
      <c r="M333" s="58" t="n"/>
      <c r="N333" s="58" t="inlineStr">
        <is>
          <t>SIM</t>
        </is>
      </c>
      <c r="O333" s="58" t="inlineStr">
        <is>
          <t>SIM</t>
        </is>
      </c>
      <c r="P333" s="58" t="inlineStr">
        <is>
          <t>SIM</t>
        </is>
      </c>
      <c r="Q333" s="58" t="inlineStr">
        <is>
          <t>ATEND. CLIENTES ATIVOS</t>
        </is>
      </c>
      <c r="R333" s="58" t="inlineStr">
        <is>
          <t>FOLLOW UP 7</t>
        </is>
      </c>
      <c r="S333" s="58" t="inlineStr">
        <is>
          <t>SÓ QUER COMPRAR GRANEL</t>
        </is>
      </c>
      <c r="T333" s="71">
        <f>IF(R333="","",IF(OR(R333="SUPORTE",R333="PERDA / FECHOU LOJA"),"SEM",A333+VLOOKUP(R333,REGRAS!$B$2:$C$13,2,FALSE())))</f>
        <v/>
      </c>
      <c r="U333" s="58">
        <f>IF(R333="","",IF(R333="VENDA / PEDIDO","RECOMPRA",IF(R333="SUPORTE","PÓS-VENDA",IF(R333="RELACIONAMENTO","CS",IF(OR(R333="NÃO ATENDE",R333="NÃO RESPONDE",R333="RECUSOU LIGAÇÃO"),"REATIVAÇÃO",IF(R333="PERDA / FECHOU LOJA","NUTRIÇÃO",IF(OR(R333="FOLLOW UP 7",R333="FOLLOW UP 15"),"SALVAMENTO","PROSPECÇÃO")))))))</f>
        <v/>
      </c>
      <c r="V333" s="58" t="n"/>
      <c r="W333" s="58" t="inlineStr">
        <is>
          <t>SIM</t>
        </is>
      </c>
      <c r="X333" s="58" t="n"/>
    </row>
    <row r="334">
      <c r="A334" s="71" t="n">
        <v>46060</v>
      </c>
      <c r="B334" s="58" t="inlineStr">
        <is>
          <t>DAIANE STAVICKI</t>
        </is>
      </c>
      <c r="C334" s="58" t="inlineStr">
        <is>
          <t>VERDE ESSENCE 56</t>
        </is>
      </c>
      <c r="D334" s="58" t="inlineStr">
        <is>
          <t>65.680.906/5607-79</t>
        </is>
      </c>
      <c r="E334" s="58" t="inlineStr">
        <is>
          <t>SP</t>
        </is>
      </c>
      <c r="F334" s="58" t="inlineStr">
        <is>
          <t>BIOMUNDO</t>
        </is>
      </c>
      <c r="G334" s="58" t="inlineStr">
        <is>
          <t>INAT.ANT</t>
        </is>
      </c>
      <c r="H334" s="58" t="n">
        <v>280</v>
      </c>
      <c r="I334" s="58">
        <f>IF(R334="","",VLOOKUP(R334,REGRAS!$B$2:$D$13,3,FALSE()))</f>
        <v/>
      </c>
      <c r="J334" s="58" t="n"/>
      <c r="K334" s="58">
        <f>IF(R334="","",IF(R334="VENDA / PEDIDO","RECOMPRA",IF(R334="SUPORTE","PÓS-VENDA",IF(OR(R334="FOLLOW UP 7",R334="FOLLOW UP 15"),"SALVAMENTO",IF(R334="PERDA / FECHOU LOJA","NUTRIÇÃO",IF(R334="RELACIONAMENTO","CS",IF(OR(R334="ORÇAMENTO",R334="CADASTRO"),"PROSPECÇÃO",IF(R334="EM ATENDIMENTO","EM ATENDIMENTO",IF(OR(R334="NÃO ATENDE",R334="NÃO RESPONDE",R334="RECUSOU LIGAÇÃO"),"RECUPERAÇÃO","")))))))))</f>
        <v/>
      </c>
      <c r="L334" s="58">
        <f>IF(H334="","",IF(G334="PROSPECT","🟣",IF(G334="LEAD","🟣",IF(G334="NOVO","🟢",IF(H334&lt;=50,"🟢",IF(H334&lt;=90,"🟡","🔴"))))))</f>
        <v/>
      </c>
      <c r="M334" s="58" t="n"/>
      <c r="N334" s="58" t="inlineStr">
        <is>
          <t>SIM</t>
        </is>
      </c>
      <c r="O334" s="58" t="inlineStr">
        <is>
          <t>NÃO</t>
        </is>
      </c>
      <c r="P334" s="58" t="inlineStr">
        <is>
          <t>N/A</t>
        </is>
      </c>
      <c r="Q334" s="58" t="inlineStr">
        <is>
          <t>PERDA / NUTRIÇÃO</t>
        </is>
      </c>
      <c r="R334" s="58" t="inlineStr">
        <is>
          <t>NÃO RESPONDE</t>
        </is>
      </c>
      <c r="S334" s="58" t="inlineStr">
        <is>
          <t>SÓ QUER COMPRAR GRANEL</t>
        </is>
      </c>
      <c r="T334" s="71">
        <f>IF(R334="","",IF(OR(R334="SUPORTE",R334="PERDA / FECHOU LOJA"),"SEM",A334+VLOOKUP(R334,REGRAS!$B$2:$C$13,2,FALSE())))</f>
        <v/>
      </c>
      <c r="U334" s="58">
        <f>IF(R334="","",IF(R334="VENDA / PEDIDO","RECOMPRA",IF(R334="SUPORTE","PÓS-VENDA",IF(R334="RELACIONAMENTO","CS",IF(OR(R334="NÃO ATENDE",R334="NÃO RESPONDE",R334="RECUSOU LIGAÇÃO"),"REATIVAÇÃO",IF(R334="PERDA / FECHOU LOJA","NUTRIÇÃO",IF(OR(R334="FOLLOW UP 7",R334="FOLLOW UP 15"),"SALVAMENTO","PROSPECÇÃO")))))))</f>
        <v/>
      </c>
      <c r="V334" s="58" t="n"/>
      <c r="W334" s="58" t="inlineStr">
        <is>
          <t>SIM</t>
        </is>
      </c>
      <c r="X334" s="58" t="n"/>
    </row>
    <row r="335">
      <c r="A335" s="71" t="n">
        <v>46080</v>
      </c>
      <c r="B335" s="58" t="inlineStr">
        <is>
          <t>LARISSA PADILHA</t>
        </is>
      </c>
      <c r="C335" s="58" t="inlineStr">
        <is>
          <t>EMPÓRIO DO CAMPO 52</t>
        </is>
      </c>
      <c r="D335" s="58" t="inlineStr">
        <is>
          <t>18.712.211/9772-58</t>
        </is>
      </c>
      <c r="E335" s="58" t="inlineStr">
        <is>
          <t>SC</t>
        </is>
      </c>
      <c r="F335" s="58" t="inlineStr">
        <is>
          <t>TUDO EM GRAOS</t>
        </is>
      </c>
      <c r="G335" s="58" t="inlineStr">
        <is>
          <t>ATIVO</t>
        </is>
      </c>
      <c r="H335" s="58" t="n">
        <v>18</v>
      </c>
      <c r="I335" s="58">
        <f>IF(R335="","",VLOOKUP(R335,REGRAS!$B$2:$D$13,3,FALSE()))</f>
        <v/>
      </c>
      <c r="J335" s="58" t="n"/>
      <c r="K335" s="58">
        <f>IF(R335="","",IF(R335="VENDA / PEDIDO","RECOMPRA",IF(R335="SUPORTE","PÓS-VENDA",IF(OR(R335="FOLLOW UP 7",R335="FOLLOW UP 15"),"SALVAMENTO",IF(R335="PERDA / FECHOU LOJA","NUTRIÇÃO",IF(R335="RELACIONAMENTO","CS",IF(OR(R335="ORÇAMENTO",R335="CADASTRO"),"PROSPECÇÃO",IF(R335="EM ATENDIMENTO","EM ATENDIMENTO",IF(OR(R335="NÃO ATENDE",R335="NÃO RESPONDE",R335="RECUSOU LIGAÇÃO"),"RECUPERAÇÃO","")))))))))</f>
        <v/>
      </c>
      <c r="L335" s="58">
        <f>IF(H335="","",IF(G335="PROSPECT","🟣",IF(G335="LEAD","🟣",IF(G335="NOVO","🟢",IF(H335&lt;=50,"🟢",IF(H335&lt;=90,"🟡","🔴"))))))</f>
        <v/>
      </c>
      <c r="M335" s="58" t="n"/>
      <c r="N335" s="58" t="inlineStr">
        <is>
          <t>NÃO</t>
        </is>
      </c>
      <c r="O335" s="58" t="inlineStr">
        <is>
          <t>NÃO</t>
        </is>
      </c>
      <c r="P335" s="58" t="inlineStr">
        <is>
          <t>N/A</t>
        </is>
      </c>
      <c r="Q335" s="58" t="inlineStr">
        <is>
          <t>PÓS-VENDA / RELACIONAMENTO</t>
        </is>
      </c>
      <c r="R335" s="58" t="inlineStr">
        <is>
          <t>NÃO ATENDE</t>
        </is>
      </c>
      <c r="S335" s="58" t="inlineStr">
        <is>
          <t>AINDA TEM ESTOQUE</t>
        </is>
      </c>
      <c r="T335" s="71">
        <f>IF(R335="","",IF(OR(R335="SUPORTE",R335="PERDA / FECHOU LOJA"),"SEM",A335+VLOOKUP(R335,REGRAS!$B$2:$C$13,2,FALSE())))</f>
        <v/>
      </c>
      <c r="U335" s="58">
        <f>IF(R335="","",IF(R335="VENDA / PEDIDO","RECOMPRA",IF(R335="SUPORTE","PÓS-VENDA",IF(R335="RELACIONAMENTO","CS",IF(OR(R335="NÃO ATENDE",R335="NÃO RESPONDE",R335="RECUSOU LIGAÇÃO"),"REATIVAÇÃO",IF(R335="PERDA / FECHOU LOJA","NUTRIÇÃO",IF(OR(R335="FOLLOW UP 7",R335="FOLLOW UP 15"),"SALVAMENTO","PROSPECÇÃO")))))))</f>
        <v/>
      </c>
      <c r="V335" s="58" t="n"/>
      <c r="W335" s="58" t="inlineStr">
        <is>
          <t>SIM</t>
        </is>
      </c>
      <c r="X335" s="58" t="n"/>
    </row>
    <row r="336">
      <c r="A336" s="71" t="n">
        <v>46058</v>
      </c>
      <c r="B336" s="58" t="inlineStr">
        <is>
          <t>LARISSA PADILHA</t>
        </is>
      </c>
      <c r="C336" s="58" t="inlineStr">
        <is>
          <t>ECO SAUDE 50</t>
        </is>
      </c>
      <c r="D336" s="58" t="inlineStr">
        <is>
          <t>88.691.557/3206-36</t>
        </is>
      </c>
      <c r="E336" s="58" t="inlineStr">
        <is>
          <t>SP</t>
        </is>
      </c>
      <c r="F336" s="58" t="inlineStr">
        <is>
          <t>CIA DA SAUDE</t>
        </is>
      </c>
      <c r="G336" s="58" t="inlineStr">
        <is>
          <t>INAT.REC</t>
        </is>
      </c>
      <c r="H336" s="58" t="n">
        <v>90</v>
      </c>
      <c r="I336" s="58">
        <f>IF(R336="","",VLOOKUP(R336,REGRAS!$B$2:$D$13,3,FALSE()))</f>
        <v/>
      </c>
      <c r="J336" s="58" t="n"/>
      <c r="K336" s="58">
        <f>IF(R336="","",IF(R336="VENDA / PEDIDO","RECOMPRA",IF(R336="SUPORTE","PÓS-VENDA",IF(OR(R336="FOLLOW UP 7",R336="FOLLOW UP 15"),"SALVAMENTO",IF(R336="PERDA / FECHOU LOJA","NUTRIÇÃO",IF(R336="RELACIONAMENTO","CS",IF(OR(R336="ORÇAMENTO",R336="CADASTRO"),"PROSPECÇÃO",IF(R336="EM ATENDIMENTO","EM ATENDIMENTO",IF(OR(R336="NÃO ATENDE",R336="NÃO RESPONDE",R336="RECUSOU LIGAÇÃO"),"RECUPERAÇÃO","")))))))))</f>
        <v/>
      </c>
      <c r="L336" s="58">
        <f>IF(H336="","",IF(G336="PROSPECT","🟣",IF(G336="LEAD","🟣",IF(G336="NOVO","🟢",IF(H336&lt;=50,"🟢",IF(H336&lt;=90,"🟡","🔴"))))))</f>
        <v/>
      </c>
      <c r="M336" s="58" t="n"/>
      <c r="N336" s="58" t="inlineStr">
        <is>
          <t>NÃO</t>
        </is>
      </c>
      <c r="O336" s="58" t="inlineStr">
        <is>
          <t>NÃO</t>
        </is>
      </c>
      <c r="P336" s="58" t="inlineStr">
        <is>
          <t>N/A</t>
        </is>
      </c>
      <c r="Q336" s="58" t="inlineStr">
        <is>
          <t>ATEND. CLIENTES INATIVOS</t>
        </is>
      </c>
      <c r="R336" s="58" t="inlineStr">
        <is>
          <t>FOLLOW UP 7</t>
        </is>
      </c>
      <c r="S336" s="58" t="inlineStr">
        <is>
          <t>SEM INTERESSE NO MOMENTO</t>
        </is>
      </c>
      <c r="T336" s="71">
        <f>IF(R336="","",IF(OR(R336="SUPORTE",R336="PERDA / FECHOU LOJA"),"SEM",A336+VLOOKUP(R336,REGRAS!$B$2:$C$13,2,FALSE())))</f>
        <v/>
      </c>
      <c r="U336" s="58">
        <f>IF(R336="","",IF(R336="VENDA / PEDIDO","RECOMPRA",IF(R336="SUPORTE","PÓS-VENDA",IF(R336="RELACIONAMENTO","CS",IF(OR(R336="NÃO ATENDE",R336="NÃO RESPONDE",R336="RECUSOU LIGAÇÃO"),"REATIVAÇÃO",IF(R336="PERDA / FECHOU LOJA","NUTRIÇÃO",IF(OR(R336="FOLLOW UP 7",R336="FOLLOW UP 15"),"SALVAMENTO","PROSPECÇÃO")))))))</f>
        <v/>
      </c>
      <c r="V336" s="58" t="n"/>
      <c r="W336" s="58" t="inlineStr">
        <is>
          <t>NÃO</t>
        </is>
      </c>
      <c r="X336" s="58" t="n"/>
    </row>
    <row r="337">
      <c r="A337" s="71" t="n">
        <v>46072</v>
      </c>
      <c r="B337" s="58" t="inlineStr">
        <is>
          <t>MANU DITZEL</t>
        </is>
      </c>
      <c r="C337" s="58" t="inlineStr">
        <is>
          <t>GRÃO FINO 52</t>
        </is>
      </c>
      <c r="D337" s="58" t="inlineStr">
        <is>
          <t>26.972.401/1023-57</t>
        </is>
      </c>
      <c r="E337" s="58" t="inlineStr">
        <is>
          <t>GO</t>
        </is>
      </c>
      <c r="F337" s="58" t="inlineStr">
        <is>
          <t>DEMAIS CLIENTES</t>
        </is>
      </c>
      <c r="G337" s="58" t="inlineStr">
        <is>
          <t>ATIVO</t>
        </is>
      </c>
      <c r="H337" s="58" t="n">
        <v>40</v>
      </c>
      <c r="I337" s="58">
        <f>IF(R337="","",VLOOKUP(R337,REGRAS!$B$2:$D$13,3,FALSE()))</f>
        <v/>
      </c>
      <c r="J337" s="58" t="n"/>
      <c r="K337" s="58">
        <f>IF(R337="","",IF(R337="VENDA / PEDIDO","RECOMPRA",IF(R337="SUPORTE","PÓS-VENDA",IF(OR(R337="FOLLOW UP 7",R337="FOLLOW UP 15"),"SALVAMENTO",IF(R337="PERDA / FECHOU LOJA","NUTRIÇÃO",IF(R337="RELACIONAMENTO","CS",IF(OR(R337="ORÇAMENTO",R337="CADASTRO"),"PROSPECÇÃO",IF(R337="EM ATENDIMENTO","EM ATENDIMENTO",IF(OR(R337="NÃO ATENDE",R337="NÃO RESPONDE",R337="RECUSOU LIGAÇÃO"),"RECUPERAÇÃO","")))))))))</f>
        <v/>
      </c>
      <c r="L337" s="58">
        <f>IF(H337="","",IF(G337="PROSPECT","🟣",IF(G337="LEAD","🟣",IF(G337="NOVO","🟢",IF(H337&lt;=50,"🟢",IF(H337&lt;=90,"🟡","🔴"))))))</f>
        <v/>
      </c>
      <c r="M337" s="58" t="n"/>
      <c r="N337" s="58" t="inlineStr">
        <is>
          <t>NÃO</t>
        </is>
      </c>
      <c r="O337" s="58" t="inlineStr">
        <is>
          <t>NÃO</t>
        </is>
      </c>
      <c r="P337" s="58" t="inlineStr">
        <is>
          <t>N/A</t>
        </is>
      </c>
      <c r="Q337" s="58" t="inlineStr">
        <is>
          <t>PÓS-VENDA / RELACIONAMENTO</t>
        </is>
      </c>
      <c r="R337" s="58" t="inlineStr">
        <is>
          <t>FOLLOW UP 7</t>
        </is>
      </c>
      <c r="S337" s="58" t="inlineStr">
        <is>
          <t>AINDA TEM ESTOQUE</t>
        </is>
      </c>
      <c r="T337" s="71">
        <f>IF(R337="","",IF(OR(R337="SUPORTE",R337="PERDA / FECHOU LOJA"),"SEM",A337+VLOOKUP(R337,REGRAS!$B$2:$C$13,2,FALSE())))</f>
        <v/>
      </c>
      <c r="U337" s="58">
        <f>IF(R337="","",IF(R337="VENDA / PEDIDO","RECOMPRA",IF(R337="SUPORTE","PÓS-VENDA",IF(R337="RELACIONAMENTO","CS",IF(OR(R337="NÃO ATENDE",R337="NÃO RESPONDE",R337="RECUSOU LIGAÇÃO"),"REATIVAÇÃO",IF(R337="PERDA / FECHOU LOJA","NUTRIÇÃO",IF(OR(R337="FOLLOW UP 7",R337="FOLLOW UP 15"),"SALVAMENTO","PROSPECÇÃO")))))))</f>
        <v/>
      </c>
      <c r="V337" s="58" t="n"/>
      <c r="W337" s="58" t="inlineStr">
        <is>
          <t>NÃO</t>
        </is>
      </c>
      <c r="X337" s="58" t="n"/>
    </row>
    <row r="338">
      <c r="A338" s="71" t="n">
        <v>46066</v>
      </c>
      <c r="B338" s="58" t="inlineStr">
        <is>
          <t>JULIO GADRET</t>
        </is>
      </c>
      <c r="C338" s="58" t="inlineStr">
        <is>
          <t>VIDA LEVE PR 52</t>
        </is>
      </c>
      <c r="D338" s="58" t="inlineStr">
        <is>
          <t>58.545.658/3461-94</t>
        </is>
      </c>
      <c r="E338" s="58" t="inlineStr">
        <is>
          <t>PR</t>
        </is>
      </c>
      <c r="F338" s="58" t="inlineStr">
        <is>
          <t>MUNDO VERDE</t>
        </is>
      </c>
      <c r="G338" s="58" t="inlineStr">
        <is>
          <t>INAT.REC</t>
        </is>
      </c>
      <c r="H338" s="58" t="n">
        <v>87</v>
      </c>
      <c r="I338" s="58">
        <f>IF(R338="","",VLOOKUP(R338,REGRAS!$B$2:$D$13,3,FALSE()))</f>
        <v/>
      </c>
      <c r="J338" s="58" t="n"/>
      <c r="K338" s="58">
        <f>IF(R338="","",IF(R338="VENDA / PEDIDO","RECOMPRA",IF(R338="SUPORTE","PÓS-VENDA",IF(OR(R338="FOLLOW UP 7",R338="FOLLOW UP 15"),"SALVAMENTO",IF(R338="PERDA / FECHOU LOJA","NUTRIÇÃO",IF(R338="RELACIONAMENTO","CS",IF(OR(R338="ORÇAMENTO",R338="CADASTRO"),"PROSPECÇÃO",IF(R338="EM ATENDIMENTO","EM ATENDIMENTO",IF(OR(R338="NÃO ATENDE",R338="NÃO RESPONDE",R338="RECUSOU LIGAÇÃO"),"RECUPERAÇÃO","")))))))))</f>
        <v/>
      </c>
      <c r="L338" s="58">
        <f>IF(H338="","",IF(G338="PROSPECT","🟣",IF(G338="LEAD","🟣",IF(G338="NOVO","🟢",IF(H338&lt;=50,"🟢",IF(H338&lt;=90,"🟡","🔴"))))))</f>
        <v/>
      </c>
      <c r="M338" s="58" t="n"/>
      <c r="N338" s="58" t="inlineStr">
        <is>
          <t>SIM</t>
        </is>
      </c>
      <c r="O338" s="58" t="inlineStr">
        <is>
          <t>NÃO</t>
        </is>
      </c>
      <c r="P338" s="58" t="inlineStr">
        <is>
          <t>N/A</t>
        </is>
      </c>
      <c r="Q338" s="58" t="inlineStr">
        <is>
          <t>PÓS-VENDA / RELACIONAMENTO</t>
        </is>
      </c>
      <c r="R338" s="58" t="inlineStr">
        <is>
          <t>VENDA / PEDIDO</t>
        </is>
      </c>
      <c r="S338" s="58" t="n"/>
      <c r="T338" s="71">
        <f>IF(R338="","",IF(OR(R338="SUPORTE",R338="PERDA / FECHOU LOJA"),"SEM",A338+VLOOKUP(R338,REGRAS!$B$2:$C$13,2,FALSE())))</f>
        <v/>
      </c>
      <c r="U338" s="58">
        <f>IF(R338="","",IF(R338="VENDA / PEDIDO","RECOMPRA",IF(R338="SUPORTE","PÓS-VENDA",IF(R338="RELACIONAMENTO","CS",IF(OR(R338="NÃO ATENDE",R338="NÃO RESPONDE",R338="RECUSOU LIGAÇÃO"),"REATIVAÇÃO",IF(R338="PERDA / FECHOU LOJA","NUTRIÇÃO",IF(OR(R338="FOLLOW UP 7",R338="FOLLOW UP 15"),"SALVAMENTO","PROSPECÇÃO")))))))</f>
        <v/>
      </c>
      <c r="V338" s="58" t="n"/>
      <c r="W338" s="58" t="inlineStr">
        <is>
          <t>NÃO</t>
        </is>
      </c>
      <c r="X338" s="58" t="n"/>
    </row>
    <row r="339">
      <c r="A339" s="71" t="n">
        <v>46058</v>
      </c>
      <c r="B339" s="58" t="inlineStr">
        <is>
          <t>MANU DITZEL</t>
        </is>
      </c>
      <c r="C339" s="58" t="inlineStr">
        <is>
          <t>EMPÓRIO NATURAL 19</t>
        </is>
      </c>
      <c r="D339" s="58" t="inlineStr">
        <is>
          <t>72.773.547/2225-20</t>
        </is>
      </c>
      <c r="E339" s="58" t="inlineStr">
        <is>
          <t>PR</t>
        </is>
      </c>
      <c r="F339" s="58" t="inlineStr">
        <is>
          <t>DEMAIS CLIENTES</t>
        </is>
      </c>
      <c r="G339" s="58" t="inlineStr">
        <is>
          <t>NOVO</t>
        </is>
      </c>
      <c r="H339" s="58" t="n"/>
      <c r="I339" s="58">
        <f>IF(R339="","",VLOOKUP(R339,REGRAS!$B$2:$D$13,3,FALSE()))</f>
        <v/>
      </c>
      <c r="J339" s="58" t="n"/>
      <c r="K339" s="58">
        <f>IF(R339="","",IF(R339="VENDA / PEDIDO","RECOMPRA",IF(R339="SUPORTE","PÓS-VENDA",IF(OR(R339="FOLLOW UP 7",R339="FOLLOW UP 15"),"SALVAMENTO",IF(R339="PERDA / FECHOU LOJA","NUTRIÇÃO",IF(R339="RELACIONAMENTO","CS",IF(OR(R339="ORÇAMENTO",R339="CADASTRO"),"PROSPECÇÃO",IF(R339="EM ATENDIMENTO","EM ATENDIMENTO",IF(OR(R339="NÃO ATENDE",R339="NÃO RESPONDE",R339="RECUSOU LIGAÇÃO"),"RECUPERAÇÃO","")))))))))</f>
        <v/>
      </c>
      <c r="L339" s="58">
        <f>IF(H339="","",IF(G339="PROSPECT","🟣",IF(G339="LEAD","🟣",IF(G339="NOVO","🟢",IF(H339&lt;=50,"🟢",IF(H339&lt;=90,"🟡","🔴"))))))</f>
        <v/>
      </c>
      <c r="M339" s="58" t="n"/>
      <c r="N339" s="58" t="inlineStr">
        <is>
          <t>NÃO</t>
        </is>
      </c>
      <c r="O339" s="58" t="inlineStr">
        <is>
          <t>NÃO</t>
        </is>
      </c>
      <c r="P339" s="58" t="inlineStr">
        <is>
          <t>N/A</t>
        </is>
      </c>
      <c r="Q339" s="58" t="inlineStr">
        <is>
          <t>PÓS-VENDA / RELACIONAMENTO</t>
        </is>
      </c>
      <c r="R339" s="58" t="inlineStr">
        <is>
          <t>SUPORTE</t>
        </is>
      </c>
      <c r="S339" s="58" t="n"/>
      <c r="T339" s="71">
        <f>IF(R339="","",IF(OR(R339="SUPORTE",R339="PERDA / FECHOU LOJA"),"SEM",A339+VLOOKUP(R339,REGRAS!$B$2:$C$13,2,FALSE())))</f>
        <v/>
      </c>
      <c r="U339" s="58">
        <f>IF(R339="","",IF(R339="VENDA / PEDIDO","RECOMPRA",IF(R339="SUPORTE","PÓS-VENDA",IF(R339="RELACIONAMENTO","CS",IF(OR(R339="NÃO ATENDE",R339="NÃO RESPONDE",R339="RECUSOU LIGAÇÃO"),"REATIVAÇÃO",IF(R339="PERDA / FECHOU LOJA","NUTRIÇÃO",IF(OR(R339="FOLLOW UP 7",R339="FOLLOW UP 15"),"SALVAMENTO","PROSPECÇÃO")))))))</f>
        <v/>
      </c>
      <c r="V339" s="58" t="n"/>
      <c r="W339" s="58" t="inlineStr">
        <is>
          <t>SIM</t>
        </is>
      </c>
      <c r="X339" s="58" t="n"/>
    </row>
    <row r="340">
      <c r="A340" s="71" t="n">
        <v>46067</v>
      </c>
      <c r="B340" s="58" t="inlineStr">
        <is>
          <t>LARISSA PADILHA</t>
        </is>
      </c>
      <c r="C340" s="58" t="inlineStr">
        <is>
          <t>EMPÓRIO BIO 50</t>
        </is>
      </c>
      <c r="D340" s="58" t="inlineStr">
        <is>
          <t>55.331.290/6960-87</t>
        </is>
      </c>
      <c r="E340" s="58" t="inlineStr">
        <is>
          <t>PR</t>
        </is>
      </c>
      <c r="F340" s="58" t="inlineStr">
        <is>
          <t>DIVINA TERRA</t>
        </is>
      </c>
      <c r="G340" s="58" t="inlineStr">
        <is>
          <t>INAT.ANT</t>
        </is>
      </c>
      <c r="H340" s="58" t="n">
        <v>273</v>
      </c>
      <c r="I340" s="58">
        <f>IF(R340="","",VLOOKUP(R340,REGRAS!$B$2:$D$13,3,FALSE()))</f>
        <v/>
      </c>
      <c r="J340" s="58" t="n"/>
      <c r="K340" s="58">
        <f>IF(R340="","",IF(R340="VENDA / PEDIDO","RECOMPRA",IF(R340="SUPORTE","PÓS-VENDA",IF(OR(R340="FOLLOW UP 7",R340="FOLLOW UP 15"),"SALVAMENTO",IF(R340="PERDA / FECHOU LOJA","NUTRIÇÃO",IF(R340="RELACIONAMENTO","CS",IF(OR(R340="ORÇAMENTO",R340="CADASTRO"),"PROSPECÇÃO",IF(R340="EM ATENDIMENTO","EM ATENDIMENTO",IF(OR(R340="NÃO ATENDE",R340="NÃO RESPONDE",R340="RECUSOU LIGAÇÃO"),"RECUPERAÇÃO","")))))))))</f>
        <v/>
      </c>
      <c r="L340" s="58">
        <f>IF(H340="","",IF(G340="PROSPECT","🟣",IF(G340="LEAD","🟣",IF(G340="NOVO","🟢",IF(H340&lt;=50,"🟢",IF(H340&lt;=90,"🟡","🔴"))))))</f>
        <v/>
      </c>
      <c r="M340" s="58" t="n"/>
      <c r="N340" s="58" t="inlineStr">
        <is>
          <t>SIM</t>
        </is>
      </c>
      <c r="O340" s="58" t="inlineStr">
        <is>
          <t>SIM</t>
        </is>
      </c>
      <c r="P340" s="58" t="inlineStr">
        <is>
          <t>NÃO</t>
        </is>
      </c>
      <c r="Q340" s="58" t="inlineStr">
        <is>
          <t>ATEND. CLIENTES ATIVOS</t>
        </is>
      </c>
      <c r="R340" s="58" t="inlineStr">
        <is>
          <t>RELACIONAMENTO</t>
        </is>
      </c>
      <c r="S340" s="58" t="n"/>
      <c r="T340" s="71">
        <f>IF(R340="","",IF(OR(R340="SUPORTE",R340="PERDA / FECHOU LOJA"),"SEM",A340+VLOOKUP(R340,REGRAS!$B$2:$C$13,2,FALSE())))</f>
        <v/>
      </c>
      <c r="U340" s="58">
        <f>IF(R340="","",IF(R340="VENDA / PEDIDO","RECOMPRA",IF(R340="SUPORTE","PÓS-VENDA",IF(R340="RELACIONAMENTO","CS",IF(OR(R340="NÃO ATENDE",R340="NÃO RESPONDE",R340="RECUSOU LIGAÇÃO"),"REATIVAÇÃO",IF(R340="PERDA / FECHOU LOJA","NUTRIÇÃO",IF(OR(R340="FOLLOW UP 7",R340="FOLLOW UP 15"),"SALVAMENTO","PROSPECÇÃO")))))))</f>
        <v/>
      </c>
      <c r="V340" s="58" t="n"/>
      <c r="W340" s="58" t="inlineStr">
        <is>
          <t>SIM</t>
        </is>
      </c>
      <c r="X340" s="58" t="n"/>
    </row>
    <row r="341">
      <c r="A341" s="71" t="n">
        <v>46076</v>
      </c>
      <c r="B341" s="58" t="inlineStr">
        <is>
          <t>LARISSA PADILHA</t>
        </is>
      </c>
      <c r="C341" s="58" t="inlineStr">
        <is>
          <t>VERDE ESSENCE 62</t>
        </is>
      </c>
      <c r="D341" s="58" t="inlineStr">
        <is>
          <t>98.181.245/8625-45</t>
        </is>
      </c>
      <c r="E341" s="58" t="inlineStr">
        <is>
          <t>RS</t>
        </is>
      </c>
      <c r="F341" s="58" t="inlineStr">
        <is>
          <t>MUNDO VERDE</t>
        </is>
      </c>
      <c r="G341" s="58" t="inlineStr">
        <is>
          <t>NOVO</t>
        </is>
      </c>
      <c r="H341" s="58" t="n"/>
      <c r="I341" s="58">
        <f>IF(R341="","",VLOOKUP(R341,REGRAS!$B$2:$D$13,3,FALSE()))</f>
        <v/>
      </c>
      <c r="J341" s="58" t="n"/>
      <c r="K341" s="58">
        <f>IF(R341="","",IF(R341="VENDA / PEDIDO","RECOMPRA",IF(R341="SUPORTE","PÓS-VENDA",IF(OR(R341="FOLLOW UP 7",R341="FOLLOW UP 15"),"SALVAMENTO",IF(R341="PERDA / FECHOU LOJA","NUTRIÇÃO",IF(R341="RELACIONAMENTO","CS",IF(OR(R341="ORÇAMENTO",R341="CADASTRO"),"PROSPECÇÃO",IF(R341="EM ATENDIMENTO","EM ATENDIMENTO",IF(OR(R341="NÃO ATENDE",R341="NÃO RESPONDE",R341="RECUSOU LIGAÇÃO"),"RECUPERAÇÃO","")))))))))</f>
        <v/>
      </c>
      <c r="L341" s="58">
        <f>IF(H341="","",IF(G341="PROSPECT","🟣",IF(G341="LEAD","🟣",IF(G341="NOVO","🟢",IF(H341&lt;=50,"🟢",IF(H341&lt;=90,"🟡","🔴"))))))</f>
        <v/>
      </c>
      <c r="M341" s="58" t="n"/>
      <c r="N341" s="58" t="inlineStr">
        <is>
          <t>NÃO</t>
        </is>
      </c>
      <c r="O341" s="58" t="inlineStr">
        <is>
          <t>NÃO</t>
        </is>
      </c>
      <c r="P341" s="58" t="inlineStr">
        <is>
          <t>N/A</t>
        </is>
      </c>
      <c r="Q341" s="58" t="inlineStr">
        <is>
          <t>PROSPECÇÃO</t>
        </is>
      </c>
      <c r="R341" s="58" t="inlineStr">
        <is>
          <t>CADASTRO</t>
        </is>
      </c>
      <c r="S341" s="58" t="n"/>
      <c r="T341" s="71">
        <f>IF(R341="","",IF(OR(R341="SUPORTE",R341="PERDA / FECHOU LOJA"),"SEM",A341+VLOOKUP(R341,REGRAS!$B$2:$C$13,2,FALSE())))</f>
        <v/>
      </c>
      <c r="U341" s="58">
        <f>IF(R341="","",IF(R341="VENDA / PEDIDO","RECOMPRA",IF(R341="SUPORTE","PÓS-VENDA",IF(R341="RELACIONAMENTO","CS",IF(OR(R341="NÃO ATENDE",R341="NÃO RESPONDE",R341="RECUSOU LIGAÇÃO"),"REATIVAÇÃO",IF(R341="PERDA / FECHOU LOJA","NUTRIÇÃO",IF(OR(R341="FOLLOW UP 7",R341="FOLLOW UP 15"),"SALVAMENTO","PROSPECÇÃO")))))))</f>
        <v/>
      </c>
      <c r="V341" s="58" t="n"/>
      <c r="W341" s="58" t="inlineStr">
        <is>
          <t>SIM</t>
        </is>
      </c>
      <c r="X341" s="58" t="n"/>
    </row>
    <row r="342">
      <c r="A342" s="71" t="n">
        <v>46074</v>
      </c>
      <c r="B342" s="58" t="inlineStr">
        <is>
          <t>LARISSA PADILHA</t>
        </is>
      </c>
      <c r="C342" s="58" t="inlineStr">
        <is>
          <t>VERDE ESSENCE 40</t>
        </is>
      </c>
      <c r="D342" s="58" t="inlineStr">
        <is>
          <t>88.154.451/8766-11</t>
        </is>
      </c>
      <c r="E342" s="58" t="inlineStr">
        <is>
          <t>RS</t>
        </is>
      </c>
      <c r="F342" s="58" t="inlineStr">
        <is>
          <t>DIVINA TERRA</t>
        </is>
      </c>
      <c r="G342" s="58" t="inlineStr">
        <is>
          <t>EM RISCO</t>
        </is>
      </c>
      <c r="H342" s="58" t="n">
        <v>56</v>
      </c>
      <c r="I342" s="58">
        <f>IF(R342="","",VLOOKUP(R342,REGRAS!$B$2:$D$13,3,FALSE()))</f>
        <v/>
      </c>
      <c r="J342" s="58" t="n"/>
      <c r="K342" s="58">
        <f>IF(R342="","",IF(R342="VENDA / PEDIDO","RECOMPRA",IF(R342="SUPORTE","PÓS-VENDA",IF(OR(R342="FOLLOW UP 7",R342="FOLLOW UP 15"),"SALVAMENTO",IF(R342="PERDA / FECHOU LOJA","NUTRIÇÃO",IF(R342="RELACIONAMENTO","CS",IF(OR(R342="ORÇAMENTO",R342="CADASTRO"),"PROSPECÇÃO",IF(R342="EM ATENDIMENTO","EM ATENDIMENTO",IF(OR(R342="NÃO ATENDE",R342="NÃO RESPONDE",R342="RECUSOU LIGAÇÃO"),"RECUPERAÇÃO","")))))))))</f>
        <v/>
      </c>
      <c r="L342" s="58">
        <f>IF(H342="","",IF(G342="PROSPECT","🟣",IF(G342="LEAD","🟣",IF(G342="NOVO","🟢",IF(H342&lt;=50,"🟢",IF(H342&lt;=90,"🟡","🔴"))))))</f>
        <v/>
      </c>
      <c r="M342" s="58" t="n"/>
      <c r="N342" s="58" t="inlineStr">
        <is>
          <t>NÃO</t>
        </is>
      </c>
      <c r="O342" s="58" t="inlineStr">
        <is>
          <t>SIM</t>
        </is>
      </c>
      <c r="P342" s="58" t="inlineStr">
        <is>
          <t>SIM</t>
        </is>
      </c>
      <c r="Q342" s="58" t="inlineStr">
        <is>
          <t>ATEND. CLIENTES ATIVOS</t>
        </is>
      </c>
      <c r="R342" s="58" t="inlineStr">
        <is>
          <t>NÃO ATENDE</t>
        </is>
      </c>
      <c r="S342" s="58" t="inlineStr">
        <is>
          <t>SEM INTERESSE NO MOMENTO</t>
        </is>
      </c>
      <c r="T342" s="71">
        <f>IF(R342="","",IF(OR(R342="SUPORTE",R342="PERDA / FECHOU LOJA"),"SEM",A342+VLOOKUP(R342,REGRAS!$B$2:$C$13,2,FALSE())))</f>
        <v/>
      </c>
      <c r="U342" s="58">
        <f>IF(R342="","",IF(R342="VENDA / PEDIDO","RECOMPRA",IF(R342="SUPORTE","PÓS-VENDA",IF(R342="RELACIONAMENTO","CS",IF(OR(R342="NÃO ATENDE",R342="NÃO RESPONDE",R342="RECUSOU LIGAÇÃO"),"REATIVAÇÃO",IF(R342="PERDA / FECHOU LOJA","NUTRIÇÃO",IF(OR(R342="FOLLOW UP 7",R342="FOLLOW UP 15"),"SALVAMENTO","PROSPECÇÃO")))))))</f>
        <v/>
      </c>
      <c r="V342" s="58" t="n"/>
      <c r="W342" s="58" t="inlineStr">
        <is>
          <t>NÃO</t>
        </is>
      </c>
      <c r="X342" s="58" t="n"/>
    </row>
    <row r="343">
      <c r="A343" s="71" t="n">
        <v>46077</v>
      </c>
      <c r="B343" s="58" t="inlineStr">
        <is>
          <t>DAIANE STAVICKI</t>
        </is>
      </c>
      <c r="C343" s="58" t="inlineStr">
        <is>
          <t>PONTO VERDE 08</t>
        </is>
      </c>
      <c r="D343" s="58" t="inlineStr">
        <is>
          <t>90.584.692/2771-83</t>
        </is>
      </c>
      <c r="E343" s="58" t="inlineStr">
        <is>
          <t>PR</t>
        </is>
      </c>
      <c r="F343" s="58" t="inlineStr">
        <is>
          <t>DEMAIS CLIENTES</t>
        </is>
      </c>
      <c r="G343" s="58" t="inlineStr">
        <is>
          <t>NOVO</t>
        </is>
      </c>
      <c r="H343" s="58" t="n"/>
      <c r="I343" s="58">
        <f>IF(R343="","",VLOOKUP(R343,REGRAS!$B$2:$D$13,3,FALSE()))</f>
        <v/>
      </c>
      <c r="J343" s="58" t="n"/>
      <c r="K343" s="58">
        <f>IF(R343="","",IF(R343="VENDA / PEDIDO","RECOMPRA",IF(R343="SUPORTE","PÓS-VENDA",IF(OR(R343="FOLLOW UP 7",R343="FOLLOW UP 15"),"SALVAMENTO",IF(R343="PERDA / FECHOU LOJA","NUTRIÇÃO",IF(R343="RELACIONAMENTO","CS",IF(OR(R343="ORÇAMENTO",R343="CADASTRO"),"PROSPECÇÃO",IF(R343="EM ATENDIMENTO","EM ATENDIMENTO",IF(OR(R343="NÃO ATENDE",R343="NÃO RESPONDE",R343="RECUSOU LIGAÇÃO"),"RECUPERAÇÃO","")))))))))</f>
        <v/>
      </c>
      <c r="L343" s="58">
        <f>IF(H343="","",IF(G343="PROSPECT","🟣",IF(G343="LEAD","🟣",IF(G343="NOVO","🟢",IF(H343&lt;=50,"🟢",IF(H343&lt;=90,"🟡","🔴"))))))</f>
        <v/>
      </c>
      <c r="M343" s="58" t="n"/>
      <c r="N343" s="58" t="inlineStr">
        <is>
          <t>SIM</t>
        </is>
      </c>
      <c r="O343" s="58" t="inlineStr">
        <is>
          <t>NÃO</t>
        </is>
      </c>
      <c r="P343" s="58" t="inlineStr">
        <is>
          <t>N/A</t>
        </is>
      </c>
      <c r="Q343" s="58" t="inlineStr">
        <is>
          <t>ATEND. CLIENTES INATIVOS</t>
        </is>
      </c>
      <c r="R343" s="58" t="inlineStr">
        <is>
          <t>NÃO ATENDE</t>
        </is>
      </c>
      <c r="S343" s="58" t="inlineStr">
        <is>
          <t>SEM INTERESSE NO MOMENTO</t>
        </is>
      </c>
      <c r="T343" s="71">
        <f>IF(R343="","",IF(OR(R343="SUPORTE",R343="PERDA / FECHOU LOJA"),"SEM",A343+VLOOKUP(R343,REGRAS!$B$2:$C$13,2,FALSE())))</f>
        <v/>
      </c>
      <c r="U343" s="58">
        <f>IF(R343="","",IF(R343="VENDA / PEDIDO","RECOMPRA",IF(R343="SUPORTE","PÓS-VENDA",IF(R343="RELACIONAMENTO","CS",IF(OR(R343="NÃO ATENDE",R343="NÃO RESPONDE",R343="RECUSOU LIGAÇÃO"),"REATIVAÇÃO",IF(R343="PERDA / FECHOU LOJA","NUTRIÇÃO",IF(OR(R343="FOLLOW UP 7",R343="FOLLOW UP 15"),"SALVAMENTO","PROSPECÇÃO")))))))</f>
        <v/>
      </c>
      <c r="V343" s="58" t="n"/>
      <c r="W343" s="58" t="inlineStr">
        <is>
          <t>SIM</t>
        </is>
      </c>
      <c r="X343" s="58" t="n"/>
    </row>
    <row r="344">
      <c r="A344" s="71" t="n">
        <v>46058</v>
      </c>
      <c r="B344" s="58" t="inlineStr">
        <is>
          <t>JULIO GADRET</t>
        </is>
      </c>
      <c r="C344" s="58" t="inlineStr">
        <is>
          <t>NATUR LIFE 33</t>
        </is>
      </c>
      <c r="D344" s="58" t="inlineStr">
        <is>
          <t>11.859.214/9894-32</t>
        </is>
      </c>
      <c r="E344" s="58" t="inlineStr">
        <is>
          <t>GO</t>
        </is>
      </c>
      <c r="F344" s="58" t="inlineStr">
        <is>
          <t>DEMAIS CLIENTES</t>
        </is>
      </c>
      <c r="G344" s="58" t="inlineStr">
        <is>
          <t>INAT.ANT</t>
        </is>
      </c>
      <c r="H344" s="58" t="n">
        <v>185</v>
      </c>
      <c r="I344" s="58">
        <f>IF(R344="","",VLOOKUP(R344,REGRAS!$B$2:$D$13,3,FALSE()))</f>
        <v/>
      </c>
      <c r="J344" s="58" t="n"/>
      <c r="K344" s="58">
        <f>IF(R344="","",IF(R344="VENDA / PEDIDO","RECOMPRA",IF(R344="SUPORTE","PÓS-VENDA",IF(OR(R344="FOLLOW UP 7",R344="FOLLOW UP 15"),"SALVAMENTO",IF(R344="PERDA / FECHOU LOJA","NUTRIÇÃO",IF(R344="RELACIONAMENTO","CS",IF(OR(R344="ORÇAMENTO",R344="CADASTRO"),"PROSPECÇÃO",IF(R344="EM ATENDIMENTO","EM ATENDIMENTO",IF(OR(R344="NÃO ATENDE",R344="NÃO RESPONDE",R344="RECUSOU LIGAÇÃO"),"RECUPERAÇÃO","")))))))))</f>
        <v/>
      </c>
      <c r="L344" s="58">
        <f>IF(H344="","",IF(G344="PROSPECT","🟣",IF(G344="LEAD","🟣",IF(G344="NOVO","🟢",IF(H344&lt;=50,"🟢",IF(H344&lt;=90,"🟡","🔴"))))))</f>
        <v/>
      </c>
      <c r="M344" s="58" t="n"/>
      <c r="N344" s="58" t="inlineStr">
        <is>
          <t>NÃO</t>
        </is>
      </c>
      <c r="O344" s="58" t="inlineStr">
        <is>
          <t>NÃO</t>
        </is>
      </c>
      <c r="P344" s="58" t="inlineStr">
        <is>
          <t>N/A</t>
        </is>
      </c>
      <c r="Q344" s="58" t="inlineStr">
        <is>
          <t>PÓS-VENDA / RELACIONAMENTO</t>
        </is>
      </c>
      <c r="R344" s="58" t="inlineStr">
        <is>
          <t>RELACIONAMENTO</t>
        </is>
      </c>
      <c r="S344" s="58" t="n"/>
      <c r="T344" s="71">
        <f>IF(R344="","",IF(OR(R344="SUPORTE",R344="PERDA / FECHOU LOJA"),"SEM",A344+VLOOKUP(R344,REGRAS!$B$2:$C$13,2,FALSE())))</f>
        <v/>
      </c>
      <c r="U344" s="58">
        <f>IF(R344="","",IF(R344="VENDA / PEDIDO","RECOMPRA",IF(R344="SUPORTE","PÓS-VENDA",IF(R344="RELACIONAMENTO","CS",IF(OR(R344="NÃO ATENDE",R344="NÃO RESPONDE",R344="RECUSOU LIGAÇÃO"),"REATIVAÇÃO",IF(R344="PERDA / FECHOU LOJA","NUTRIÇÃO",IF(OR(R344="FOLLOW UP 7",R344="FOLLOW UP 15"),"SALVAMENTO","PROSPECÇÃO")))))))</f>
        <v/>
      </c>
      <c r="V344" s="58" t="n"/>
      <c r="W344" s="58" t="inlineStr">
        <is>
          <t>NÃO</t>
        </is>
      </c>
      <c r="X344" s="58" t="n"/>
    </row>
    <row r="345">
      <c r="A345" s="71" t="n">
        <v>46081</v>
      </c>
      <c r="B345" s="58" t="inlineStr">
        <is>
          <t>MANU DITZEL</t>
        </is>
      </c>
      <c r="C345" s="58" t="inlineStr">
        <is>
          <t>GRÃO DE OURO 19</t>
        </is>
      </c>
      <c r="D345" s="58" t="inlineStr">
        <is>
          <t>86.941.257/8126-62</t>
        </is>
      </c>
      <c r="E345" s="58" t="inlineStr">
        <is>
          <t>RJ</t>
        </is>
      </c>
      <c r="F345" s="58" t="inlineStr">
        <is>
          <t>BIOMUNDO</t>
        </is>
      </c>
      <c r="G345" s="58" t="inlineStr">
        <is>
          <t>EM RISCO</t>
        </is>
      </c>
      <c r="H345" s="58" t="n">
        <v>53</v>
      </c>
      <c r="I345" s="58">
        <f>IF(R345="","",VLOOKUP(R345,REGRAS!$B$2:$D$13,3,FALSE()))</f>
        <v/>
      </c>
      <c r="J345" s="58" t="n"/>
      <c r="K345" s="58">
        <f>IF(R345="","",IF(R345="VENDA / PEDIDO","RECOMPRA",IF(R345="SUPORTE","PÓS-VENDA",IF(OR(R345="FOLLOW UP 7",R345="FOLLOW UP 15"),"SALVAMENTO",IF(R345="PERDA / FECHOU LOJA","NUTRIÇÃO",IF(R345="RELACIONAMENTO","CS",IF(OR(R345="ORÇAMENTO",R345="CADASTRO"),"PROSPECÇÃO",IF(R345="EM ATENDIMENTO","EM ATENDIMENTO",IF(OR(R345="NÃO ATENDE",R345="NÃO RESPONDE",R345="RECUSOU LIGAÇÃO"),"RECUPERAÇÃO","")))))))))</f>
        <v/>
      </c>
      <c r="L345" s="58">
        <f>IF(H345="","",IF(G345="PROSPECT","🟣",IF(G345="LEAD","🟣",IF(G345="NOVO","🟢",IF(H345&lt;=50,"🟢",IF(H345&lt;=90,"🟡","🔴"))))))</f>
        <v/>
      </c>
      <c r="M345" s="58" t="n"/>
      <c r="N345" s="58" t="inlineStr">
        <is>
          <t>SIM</t>
        </is>
      </c>
      <c r="O345" s="58" t="inlineStr">
        <is>
          <t>NÃO</t>
        </is>
      </c>
      <c r="P345" s="58" t="inlineStr">
        <is>
          <t>N/A</t>
        </is>
      </c>
      <c r="Q345" s="58" t="inlineStr">
        <is>
          <t>NEGOCIAÇÃO</t>
        </is>
      </c>
      <c r="R345" s="58" t="inlineStr">
        <is>
          <t>VENDA / PEDIDO</t>
        </is>
      </c>
      <c r="S345" s="58" t="n"/>
      <c r="T345" s="71">
        <f>IF(R345="","",IF(OR(R345="SUPORTE",R345="PERDA / FECHOU LOJA"),"SEM",A345+VLOOKUP(R345,REGRAS!$B$2:$C$13,2,FALSE())))</f>
        <v/>
      </c>
      <c r="U345" s="58">
        <f>IF(R345="","",IF(R345="VENDA / PEDIDO","RECOMPRA",IF(R345="SUPORTE","PÓS-VENDA",IF(R345="RELACIONAMENTO","CS",IF(OR(R345="NÃO ATENDE",R345="NÃO RESPONDE",R345="RECUSOU LIGAÇÃO"),"REATIVAÇÃO",IF(R345="PERDA / FECHOU LOJA","NUTRIÇÃO",IF(OR(R345="FOLLOW UP 7",R345="FOLLOW UP 15"),"SALVAMENTO","PROSPECÇÃO")))))))</f>
        <v/>
      </c>
      <c r="V345" s="58" t="n"/>
      <c r="W345" s="58" t="inlineStr">
        <is>
          <t>NÃO</t>
        </is>
      </c>
      <c r="X345" s="58" t="n"/>
    </row>
    <row r="346">
      <c r="A346" s="71" t="n">
        <v>46057</v>
      </c>
      <c r="B346" s="58" t="inlineStr">
        <is>
          <t>MANU DITZEL</t>
        </is>
      </c>
      <c r="C346" s="58" t="inlineStr">
        <is>
          <t>NATURAL HOUSE 52</t>
        </is>
      </c>
      <c r="D346" s="58" t="inlineStr">
        <is>
          <t>70.408.587/8725-39</t>
        </is>
      </c>
      <c r="E346" s="58" t="inlineStr">
        <is>
          <t>SC</t>
        </is>
      </c>
      <c r="F346" s="58" t="inlineStr">
        <is>
          <t>DEMAIS CLIENTES</t>
        </is>
      </c>
      <c r="G346" s="58" t="inlineStr">
        <is>
          <t>EM RISCO</t>
        </is>
      </c>
      <c r="H346" s="58" t="n">
        <v>53</v>
      </c>
      <c r="I346" s="58">
        <f>IF(R346="","",VLOOKUP(R346,REGRAS!$B$2:$D$13,3,FALSE()))</f>
        <v/>
      </c>
      <c r="J346" s="58" t="n"/>
      <c r="K346" s="58">
        <f>IF(R346="","",IF(R346="VENDA / PEDIDO","RECOMPRA",IF(R346="SUPORTE","PÓS-VENDA",IF(OR(R346="FOLLOW UP 7",R346="FOLLOW UP 15"),"SALVAMENTO",IF(R346="PERDA / FECHOU LOJA","NUTRIÇÃO",IF(R346="RELACIONAMENTO","CS",IF(OR(R346="ORÇAMENTO",R346="CADASTRO"),"PROSPECÇÃO",IF(R346="EM ATENDIMENTO","EM ATENDIMENTO",IF(OR(R346="NÃO ATENDE",R346="NÃO RESPONDE",R346="RECUSOU LIGAÇÃO"),"RECUPERAÇÃO","")))))))))</f>
        <v/>
      </c>
      <c r="L346" s="58">
        <f>IF(H346="","",IF(G346="PROSPECT","🟣",IF(G346="LEAD","🟣",IF(G346="NOVO","🟢",IF(H346&lt;=50,"🟢",IF(H346&lt;=90,"🟡","🔴"))))))</f>
        <v/>
      </c>
      <c r="M346" s="58" t="n"/>
      <c r="N346" s="58" t="inlineStr">
        <is>
          <t>SIM</t>
        </is>
      </c>
      <c r="O346" s="58" t="inlineStr">
        <is>
          <t>NÃO</t>
        </is>
      </c>
      <c r="P346" s="58" t="inlineStr">
        <is>
          <t>N/A</t>
        </is>
      </c>
      <c r="Q346" s="58" t="inlineStr">
        <is>
          <t>ATEND. CLIENTES ATIVOS</t>
        </is>
      </c>
      <c r="R346" s="58" t="inlineStr">
        <is>
          <t>RELACIONAMENTO</t>
        </is>
      </c>
      <c r="S346" s="58" t="n"/>
      <c r="T346" s="71">
        <f>IF(R346="","",IF(OR(R346="SUPORTE",R346="PERDA / FECHOU LOJA"),"SEM",A346+VLOOKUP(R346,REGRAS!$B$2:$C$13,2,FALSE())))</f>
        <v/>
      </c>
      <c r="U346" s="58">
        <f>IF(R346="","",IF(R346="VENDA / PEDIDO","RECOMPRA",IF(R346="SUPORTE","PÓS-VENDA",IF(R346="RELACIONAMENTO","CS",IF(OR(R346="NÃO ATENDE",R346="NÃO RESPONDE",R346="RECUSOU LIGAÇÃO"),"REATIVAÇÃO",IF(R346="PERDA / FECHOU LOJA","NUTRIÇÃO",IF(OR(R346="FOLLOW UP 7",R346="FOLLOW UP 15"),"SALVAMENTO","PROSPECÇÃO")))))))</f>
        <v/>
      </c>
      <c r="V346" s="58" t="n"/>
      <c r="W346" s="58" t="inlineStr">
        <is>
          <t>SIM</t>
        </is>
      </c>
      <c r="X346" s="58" t="n"/>
    </row>
    <row r="347">
      <c r="A347" s="71" t="n">
        <v>46064</v>
      </c>
      <c r="B347" s="58" t="inlineStr">
        <is>
          <t>DAIANE STAVICKI</t>
        </is>
      </c>
      <c r="C347" s="58" t="inlineStr">
        <is>
          <t>MUNDO VERDE CWB 13</t>
        </is>
      </c>
      <c r="D347" s="58" t="inlineStr">
        <is>
          <t>78.752.462/7075-88</t>
        </is>
      </c>
      <c r="E347" s="58" t="inlineStr">
        <is>
          <t>GO</t>
        </is>
      </c>
      <c r="F347" s="58" t="inlineStr">
        <is>
          <t>DEMAIS CLIENTES</t>
        </is>
      </c>
      <c r="G347" s="58" t="inlineStr">
        <is>
          <t>ATIVO</t>
        </is>
      </c>
      <c r="H347" s="58" t="n">
        <v>22</v>
      </c>
      <c r="I347" s="58">
        <f>IF(R347="","",VLOOKUP(R347,REGRAS!$B$2:$D$13,3,FALSE()))</f>
        <v/>
      </c>
      <c r="J347" s="58" t="n"/>
      <c r="K347" s="58">
        <f>IF(R347="","",IF(R347="VENDA / PEDIDO","RECOMPRA",IF(R347="SUPORTE","PÓS-VENDA",IF(OR(R347="FOLLOW UP 7",R347="FOLLOW UP 15"),"SALVAMENTO",IF(R347="PERDA / FECHOU LOJA","NUTRIÇÃO",IF(R347="RELACIONAMENTO","CS",IF(OR(R347="ORÇAMENTO",R347="CADASTRO"),"PROSPECÇÃO",IF(R347="EM ATENDIMENTO","EM ATENDIMENTO",IF(OR(R347="NÃO ATENDE",R347="NÃO RESPONDE",R347="RECUSOU LIGAÇÃO"),"RECUPERAÇÃO","")))))))))</f>
        <v/>
      </c>
      <c r="L347" s="58">
        <f>IF(H347="","",IF(G347="PROSPECT","🟣",IF(G347="LEAD","🟣",IF(G347="NOVO","🟢",IF(H347&lt;=50,"🟢",IF(H347&lt;=90,"🟡","🔴"))))))</f>
        <v/>
      </c>
      <c r="M347" s="58" t="n"/>
      <c r="N347" s="58" t="inlineStr">
        <is>
          <t>SIM</t>
        </is>
      </c>
      <c r="O347" s="58" t="inlineStr">
        <is>
          <t>NÃO</t>
        </is>
      </c>
      <c r="P347" s="58" t="inlineStr">
        <is>
          <t>N/A</t>
        </is>
      </c>
      <c r="Q347" s="58" t="inlineStr">
        <is>
          <t>PÓS-VENDA / RELACIONAMENTO</t>
        </is>
      </c>
      <c r="R347" s="58" t="inlineStr">
        <is>
          <t>RELACIONAMENTO</t>
        </is>
      </c>
      <c r="S347" s="58" t="n"/>
      <c r="T347" s="71">
        <f>IF(R347="","",IF(OR(R347="SUPORTE",R347="PERDA / FECHOU LOJA"),"SEM",A347+VLOOKUP(R347,REGRAS!$B$2:$C$13,2,FALSE())))</f>
        <v/>
      </c>
      <c r="U347" s="58">
        <f>IF(R347="","",IF(R347="VENDA / PEDIDO","RECOMPRA",IF(R347="SUPORTE","PÓS-VENDA",IF(R347="RELACIONAMENTO","CS",IF(OR(R347="NÃO ATENDE",R347="NÃO RESPONDE",R347="RECUSOU LIGAÇÃO"),"REATIVAÇÃO",IF(R347="PERDA / FECHOU LOJA","NUTRIÇÃO",IF(OR(R347="FOLLOW UP 7",R347="FOLLOW UP 15"),"SALVAMENTO","PROSPECÇÃO")))))))</f>
        <v/>
      </c>
      <c r="V347" s="58" t="n"/>
      <c r="W347" s="58" t="inlineStr">
        <is>
          <t>NÃO</t>
        </is>
      </c>
      <c r="X347" s="58" t="n"/>
    </row>
    <row r="348">
      <c r="A348" s="71" t="n">
        <v>46061</v>
      </c>
      <c r="B348" s="58" t="inlineStr">
        <is>
          <t>JULIO GADRET</t>
        </is>
      </c>
      <c r="C348" s="58" t="inlineStr">
        <is>
          <t>VERDE ESSENCE 99</t>
        </is>
      </c>
      <c r="D348" s="58" t="inlineStr">
        <is>
          <t>34.632.445/2948-50</t>
        </is>
      </c>
      <c r="E348" s="58" t="inlineStr">
        <is>
          <t>RS</t>
        </is>
      </c>
      <c r="F348" s="58" t="inlineStr">
        <is>
          <t>TUDO EM GRAOS</t>
        </is>
      </c>
      <c r="G348" s="58" t="inlineStr">
        <is>
          <t>NOVO</t>
        </is>
      </c>
      <c r="H348" s="58" t="n"/>
      <c r="I348" s="58">
        <f>IF(R348="","",VLOOKUP(R348,REGRAS!$B$2:$D$13,3,FALSE()))</f>
        <v/>
      </c>
      <c r="J348" s="58" t="n"/>
      <c r="K348" s="58">
        <f>IF(R348="","",IF(R348="VENDA / PEDIDO","RECOMPRA",IF(R348="SUPORTE","PÓS-VENDA",IF(OR(R348="FOLLOW UP 7",R348="FOLLOW UP 15"),"SALVAMENTO",IF(R348="PERDA / FECHOU LOJA","NUTRIÇÃO",IF(R348="RELACIONAMENTO","CS",IF(OR(R348="ORÇAMENTO",R348="CADASTRO"),"PROSPECÇÃO",IF(R348="EM ATENDIMENTO","EM ATENDIMENTO",IF(OR(R348="NÃO ATENDE",R348="NÃO RESPONDE",R348="RECUSOU LIGAÇÃO"),"RECUPERAÇÃO","")))))))))</f>
        <v/>
      </c>
      <c r="L348" s="58">
        <f>IF(H348="","",IF(G348="PROSPECT","🟣",IF(G348="LEAD","🟣",IF(G348="NOVO","🟢",IF(H348&lt;=50,"🟢",IF(H348&lt;=90,"🟡","🔴"))))))</f>
        <v/>
      </c>
      <c r="M348" s="58" t="n"/>
      <c r="N348" s="58" t="inlineStr">
        <is>
          <t>SIM</t>
        </is>
      </c>
      <c r="O348" s="58" t="inlineStr">
        <is>
          <t>SIM</t>
        </is>
      </c>
      <c r="P348" s="58" t="inlineStr">
        <is>
          <t>SIM</t>
        </is>
      </c>
      <c r="Q348" s="58" t="inlineStr">
        <is>
          <t>PROSPECÇÃO</t>
        </is>
      </c>
      <c r="R348" s="58" t="inlineStr">
        <is>
          <t>EM ATENDIMENTO</t>
        </is>
      </c>
      <c r="S348" s="58" t="n"/>
      <c r="T348" s="71">
        <f>IF(R348="","",IF(OR(R348="SUPORTE",R348="PERDA / FECHOU LOJA"),"SEM",A348+VLOOKUP(R348,REGRAS!$B$2:$C$13,2,FALSE())))</f>
        <v/>
      </c>
      <c r="U348" s="58">
        <f>IF(R348="","",IF(R348="VENDA / PEDIDO","RECOMPRA",IF(R348="SUPORTE","PÓS-VENDA",IF(R348="RELACIONAMENTO","CS",IF(OR(R348="NÃO ATENDE",R348="NÃO RESPONDE",R348="RECUSOU LIGAÇÃO"),"REATIVAÇÃO",IF(R348="PERDA / FECHOU LOJA","NUTRIÇÃO",IF(OR(R348="FOLLOW UP 7",R348="FOLLOW UP 15"),"SALVAMENTO","PROSPECÇÃO")))))))</f>
        <v/>
      </c>
      <c r="V348" s="58" t="n"/>
      <c r="W348" s="58" t="inlineStr">
        <is>
          <t>SIM</t>
        </is>
      </c>
      <c r="X348" s="58" t="n"/>
    </row>
    <row r="349">
      <c r="A349" s="71" t="n">
        <v>46060</v>
      </c>
      <c r="B349" s="58" t="inlineStr">
        <is>
          <t>MANU DITZEL</t>
        </is>
      </c>
      <c r="C349" s="58" t="inlineStr">
        <is>
          <t>CORPO E MENTE 12</t>
        </is>
      </c>
      <c r="D349" s="58" t="inlineStr">
        <is>
          <t>17.708.772/3553-86</t>
        </is>
      </c>
      <c r="E349" s="58" t="inlineStr">
        <is>
          <t>SP</t>
        </is>
      </c>
      <c r="F349" s="58" t="inlineStr">
        <is>
          <t>DEMAIS CLIENTES</t>
        </is>
      </c>
      <c r="G349" s="58" t="inlineStr">
        <is>
          <t>ATIVO</t>
        </is>
      </c>
      <c r="H349" s="58" t="n">
        <v>43</v>
      </c>
      <c r="I349" s="58">
        <f>IF(R349="","",VLOOKUP(R349,REGRAS!$B$2:$D$13,3,FALSE()))</f>
        <v/>
      </c>
      <c r="J349" s="58" t="n"/>
      <c r="K349" s="58">
        <f>IF(R349="","",IF(R349="VENDA / PEDIDO","RECOMPRA",IF(R349="SUPORTE","PÓS-VENDA",IF(OR(R349="FOLLOW UP 7",R349="FOLLOW UP 15"),"SALVAMENTO",IF(R349="PERDA / FECHOU LOJA","NUTRIÇÃO",IF(R349="RELACIONAMENTO","CS",IF(OR(R349="ORÇAMENTO",R349="CADASTRO"),"PROSPECÇÃO",IF(R349="EM ATENDIMENTO","EM ATENDIMENTO",IF(OR(R349="NÃO ATENDE",R349="NÃO RESPONDE",R349="RECUSOU LIGAÇÃO"),"RECUPERAÇÃO","")))))))))</f>
        <v/>
      </c>
      <c r="L349" s="58">
        <f>IF(H349="","",IF(G349="PROSPECT","🟣",IF(G349="LEAD","🟣",IF(G349="NOVO","🟢",IF(H349&lt;=50,"🟢",IF(H349&lt;=90,"🟡","🔴"))))))</f>
        <v/>
      </c>
      <c r="M349" s="58" t="n"/>
      <c r="N349" s="58" t="inlineStr">
        <is>
          <t>NÃO</t>
        </is>
      </c>
      <c r="O349" s="58" t="inlineStr">
        <is>
          <t>NÃO</t>
        </is>
      </c>
      <c r="P349" s="58" t="inlineStr">
        <is>
          <t>N/A</t>
        </is>
      </c>
      <c r="Q349" s="58" t="inlineStr">
        <is>
          <t>PROSPECÇÃO</t>
        </is>
      </c>
      <c r="R349" s="58" t="inlineStr">
        <is>
          <t>NÃO ATENDE</t>
        </is>
      </c>
      <c r="S349" s="58" t="inlineStr">
        <is>
          <t>PRIMEIRO CONTATO / SEM RESPOSTA</t>
        </is>
      </c>
      <c r="T349" s="71">
        <f>IF(R349="","",IF(OR(R349="SUPORTE",R349="PERDA / FECHOU LOJA"),"SEM",A349+VLOOKUP(R349,REGRAS!$B$2:$C$13,2,FALSE())))</f>
        <v/>
      </c>
      <c r="U349" s="58">
        <f>IF(R349="","",IF(R349="VENDA / PEDIDO","RECOMPRA",IF(R349="SUPORTE","PÓS-VENDA",IF(R349="RELACIONAMENTO","CS",IF(OR(R349="NÃO ATENDE",R349="NÃO RESPONDE",R349="RECUSOU LIGAÇÃO"),"REATIVAÇÃO",IF(R349="PERDA / FECHOU LOJA","NUTRIÇÃO",IF(OR(R349="FOLLOW UP 7",R349="FOLLOW UP 15"),"SALVAMENTO","PROSPECÇÃO")))))))</f>
        <v/>
      </c>
      <c r="V349" s="58" t="n"/>
      <c r="W349" s="58" t="inlineStr">
        <is>
          <t>NÃO</t>
        </is>
      </c>
      <c r="X349" s="58" t="n"/>
    </row>
    <row r="350">
      <c r="A350" s="71" t="n">
        <v>46076</v>
      </c>
      <c r="B350" s="58" t="inlineStr">
        <is>
          <t>MANU DITZEL</t>
        </is>
      </c>
      <c r="C350" s="58" t="inlineStr">
        <is>
          <t>ECO SAUDE 60</t>
        </is>
      </c>
      <c r="D350" s="58" t="inlineStr">
        <is>
          <t>94.177.754/7430-45</t>
        </is>
      </c>
      <c r="E350" s="58" t="inlineStr">
        <is>
          <t>RJ</t>
        </is>
      </c>
      <c r="F350" s="58" t="inlineStr">
        <is>
          <t>TUDO EM GRAOS</t>
        </is>
      </c>
      <c r="G350" s="58" t="inlineStr">
        <is>
          <t>INAT.ANT</t>
        </is>
      </c>
      <c r="H350" s="58" t="n">
        <v>288</v>
      </c>
      <c r="I350" s="58">
        <f>IF(R350="","",VLOOKUP(R350,REGRAS!$B$2:$D$13,3,FALSE()))</f>
        <v/>
      </c>
      <c r="J350" s="58" t="n"/>
      <c r="K350" s="58">
        <f>IF(R350="","",IF(R350="VENDA / PEDIDO","RECOMPRA",IF(R350="SUPORTE","PÓS-VENDA",IF(OR(R350="FOLLOW UP 7",R350="FOLLOW UP 15"),"SALVAMENTO",IF(R350="PERDA / FECHOU LOJA","NUTRIÇÃO",IF(R350="RELACIONAMENTO","CS",IF(OR(R350="ORÇAMENTO",R350="CADASTRO"),"PROSPECÇÃO",IF(R350="EM ATENDIMENTO","EM ATENDIMENTO",IF(OR(R350="NÃO ATENDE",R350="NÃO RESPONDE",R350="RECUSOU LIGAÇÃO"),"RECUPERAÇÃO","")))))))))</f>
        <v/>
      </c>
      <c r="L350" s="58">
        <f>IF(H350="","",IF(G350="PROSPECT","🟣",IF(G350="LEAD","🟣",IF(G350="NOVO","🟢",IF(H350&lt;=50,"🟢",IF(H350&lt;=90,"🟡","🔴"))))))</f>
        <v/>
      </c>
      <c r="M350" s="58" t="n"/>
      <c r="N350" s="58" t="inlineStr">
        <is>
          <t>SIM</t>
        </is>
      </c>
      <c r="O350" s="58" t="inlineStr">
        <is>
          <t>NÃO</t>
        </is>
      </c>
      <c r="P350" s="58" t="inlineStr">
        <is>
          <t>N/A</t>
        </is>
      </c>
      <c r="Q350" s="58" t="inlineStr">
        <is>
          <t>FOLLOW UP</t>
        </is>
      </c>
      <c r="R350" s="58" t="inlineStr">
        <is>
          <t>ORÇAMENTO</t>
        </is>
      </c>
      <c r="S350" s="58" t="n"/>
      <c r="T350" s="71">
        <f>IF(R350="","",IF(OR(R350="SUPORTE",R350="PERDA / FECHOU LOJA"),"SEM",A350+VLOOKUP(R350,REGRAS!$B$2:$C$13,2,FALSE())))</f>
        <v/>
      </c>
      <c r="U350" s="58">
        <f>IF(R350="","",IF(R350="VENDA / PEDIDO","RECOMPRA",IF(R350="SUPORTE","PÓS-VENDA",IF(R350="RELACIONAMENTO","CS",IF(OR(R350="NÃO ATENDE",R350="NÃO RESPONDE",R350="RECUSOU LIGAÇÃO"),"REATIVAÇÃO",IF(R350="PERDA / FECHOU LOJA","NUTRIÇÃO",IF(OR(R350="FOLLOW UP 7",R350="FOLLOW UP 15"),"SALVAMENTO","PROSPECÇÃO")))))))</f>
        <v/>
      </c>
      <c r="V350" s="58" t="n"/>
      <c r="W350" s="58" t="inlineStr">
        <is>
          <t>SIM</t>
        </is>
      </c>
      <c r="X350" s="58" t="n"/>
    </row>
    <row r="351">
      <c r="A351" s="71" t="n">
        <v>46064</v>
      </c>
      <c r="B351" s="58" t="inlineStr">
        <is>
          <t>DAIANE STAVICKI</t>
        </is>
      </c>
      <c r="C351" s="58" t="inlineStr">
        <is>
          <t>PONTO VERDE 34</t>
        </is>
      </c>
      <c r="D351" s="58" t="inlineStr">
        <is>
          <t>32.551.171/8057-35</t>
        </is>
      </c>
      <c r="E351" s="58" t="inlineStr">
        <is>
          <t>SP</t>
        </is>
      </c>
      <c r="F351" s="58" t="inlineStr">
        <is>
          <t>BIOMUNDO</t>
        </is>
      </c>
      <c r="G351" s="58" t="inlineStr">
        <is>
          <t>EM RISCO</t>
        </is>
      </c>
      <c r="H351" s="58" t="n">
        <v>53</v>
      </c>
      <c r="I351" s="58">
        <f>IF(R351="","",VLOOKUP(R351,REGRAS!$B$2:$D$13,3,FALSE()))</f>
        <v/>
      </c>
      <c r="J351" s="58" t="n"/>
      <c r="K351" s="58">
        <f>IF(R351="","",IF(R351="VENDA / PEDIDO","RECOMPRA",IF(R351="SUPORTE","PÓS-VENDA",IF(OR(R351="FOLLOW UP 7",R351="FOLLOW UP 15"),"SALVAMENTO",IF(R351="PERDA / FECHOU LOJA","NUTRIÇÃO",IF(R351="RELACIONAMENTO","CS",IF(OR(R351="ORÇAMENTO",R351="CADASTRO"),"PROSPECÇÃO",IF(R351="EM ATENDIMENTO","EM ATENDIMENTO",IF(OR(R351="NÃO ATENDE",R351="NÃO RESPONDE",R351="RECUSOU LIGAÇÃO"),"RECUPERAÇÃO","")))))))))</f>
        <v/>
      </c>
      <c r="L351" s="58">
        <f>IF(H351="","",IF(G351="PROSPECT","🟣",IF(G351="LEAD","🟣",IF(G351="NOVO","🟢",IF(H351&lt;=50,"🟢",IF(H351&lt;=90,"🟡","🔴"))))))</f>
        <v/>
      </c>
      <c r="M351" s="58" t="n"/>
      <c r="N351" s="58" t="inlineStr">
        <is>
          <t>SIM</t>
        </is>
      </c>
      <c r="O351" s="58" t="inlineStr">
        <is>
          <t>SIM</t>
        </is>
      </c>
      <c r="P351" s="58" t="inlineStr">
        <is>
          <t>SIM</t>
        </is>
      </c>
      <c r="Q351" s="58" t="inlineStr">
        <is>
          <t>ATEND. CLIENTES ATIVOS</t>
        </is>
      </c>
      <c r="R351" s="58" t="inlineStr">
        <is>
          <t>RELACIONAMENTO</t>
        </is>
      </c>
      <c r="S351" s="58" t="n"/>
      <c r="T351" s="71">
        <f>IF(R351="","",IF(OR(R351="SUPORTE",R351="PERDA / FECHOU LOJA"),"SEM",A351+VLOOKUP(R351,REGRAS!$B$2:$C$13,2,FALSE())))</f>
        <v/>
      </c>
      <c r="U351" s="58">
        <f>IF(R351="","",IF(R351="VENDA / PEDIDO","RECOMPRA",IF(R351="SUPORTE","PÓS-VENDA",IF(R351="RELACIONAMENTO","CS",IF(OR(R351="NÃO ATENDE",R351="NÃO RESPONDE",R351="RECUSOU LIGAÇÃO"),"REATIVAÇÃO",IF(R351="PERDA / FECHOU LOJA","NUTRIÇÃO",IF(OR(R351="FOLLOW UP 7",R351="FOLLOW UP 15"),"SALVAMENTO","PROSPECÇÃO")))))))</f>
        <v/>
      </c>
      <c r="V351" s="58" t="n"/>
      <c r="W351" s="58" t="inlineStr">
        <is>
          <t>SIM</t>
        </is>
      </c>
      <c r="X351" s="58" t="n"/>
    </row>
    <row r="352">
      <c r="A352" s="71" t="n">
        <v>46055</v>
      </c>
      <c r="B352" s="58" t="inlineStr">
        <is>
          <t>MANU DITZEL</t>
        </is>
      </c>
      <c r="C352" s="58" t="inlineStr">
        <is>
          <t>PURA VIDA 94</t>
        </is>
      </c>
      <c r="D352" s="58" t="inlineStr">
        <is>
          <t>42.895.556/0308-73</t>
        </is>
      </c>
      <c r="E352" s="58" t="inlineStr">
        <is>
          <t>PR</t>
        </is>
      </c>
      <c r="F352" s="58" t="inlineStr">
        <is>
          <t>TUDO EM GRAOS</t>
        </is>
      </c>
      <c r="G352" s="58" t="inlineStr">
        <is>
          <t>PROSPECT</t>
        </is>
      </c>
      <c r="H352" s="58" t="n"/>
      <c r="I352" s="58">
        <f>IF(R352="","",VLOOKUP(R352,REGRAS!$B$2:$D$13,3,FALSE()))</f>
        <v/>
      </c>
      <c r="J352" s="58" t="n"/>
      <c r="K352" s="58">
        <f>IF(R352="","",IF(R352="VENDA / PEDIDO","RECOMPRA",IF(R352="SUPORTE","PÓS-VENDA",IF(OR(R352="FOLLOW UP 7",R352="FOLLOW UP 15"),"SALVAMENTO",IF(R352="PERDA / FECHOU LOJA","NUTRIÇÃO",IF(R352="RELACIONAMENTO","CS",IF(OR(R352="ORÇAMENTO",R352="CADASTRO"),"PROSPECÇÃO",IF(R352="EM ATENDIMENTO","EM ATENDIMENTO",IF(OR(R352="NÃO ATENDE",R352="NÃO RESPONDE",R352="RECUSOU LIGAÇÃO"),"RECUPERAÇÃO","")))))))))</f>
        <v/>
      </c>
      <c r="L352" s="58">
        <f>IF(H352="","",IF(G352="PROSPECT","🟣",IF(G352="LEAD","🟣",IF(G352="NOVO","🟢",IF(H352&lt;=50,"🟢",IF(H352&lt;=90,"🟡","🔴"))))))</f>
        <v/>
      </c>
      <c r="M352" s="58" t="n"/>
      <c r="N352" s="58" t="inlineStr">
        <is>
          <t>NÃO</t>
        </is>
      </c>
      <c r="O352" s="58" t="inlineStr">
        <is>
          <t>NÃO</t>
        </is>
      </c>
      <c r="P352" s="58" t="inlineStr">
        <is>
          <t>N/A</t>
        </is>
      </c>
      <c r="Q352" s="58" t="inlineStr">
        <is>
          <t>ATEND. CLIENTES INATIVOS</t>
        </is>
      </c>
      <c r="R352" s="58" t="inlineStr">
        <is>
          <t>NÃO ATENDE</t>
        </is>
      </c>
      <c r="S352" s="58" t="inlineStr">
        <is>
          <t>PROBLEMA LOGÍSTICO / ENTREGA</t>
        </is>
      </c>
      <c r="T352" s="71">
        <f>IF(R352="","",IF(OR(R352="SUPORTE",R352="PERDA / FECHOU LOJA"),"SEM",A352+VLOOKUP(R352,REGRAS!$B$2:$C$13,2,FALSE())))</f>
        <v/>
      </c>
      <c r="U352" s="58">
        <f>IF(R352="","",IF(R352="VENDA / PEDIDO","RECOMPRA",IF(R352="SUPORTE","PÓS-VENDA",IF(R352="RELACIONAMENTO","CS",IF(OR(R352="NÃO ATENDE",R352="NÃO RESPONDE",R352="RECUSOU LIGAÇÃO"),"REATIVAÇÃO",IF(R352="PERDA / FECHOU LOJA","NUTRIÇÃO",IF(OR(R352="FOLLOW UP 7",R352="FOLLOW UP 15"),"SALVAMENTO","PROSPECÇÃO")))))))</f>
        <v/>
      </c>
      <c r="V352" s="58" t="n"/>
      <c r="W352" s="58" t="inlineStr">
        <is>
          <t>SIM</t>
        </is>
      </c>
      <c r="X352" s="58" t="n"/>
    </row>
    <row r="353">
      <c r="A353" s="71" t="n">
        <v>46078</v>
      </c>
      <c r="B353" s="58" t="inlineStr">
        <is>
          <t>LARISSA PADILHA</t>
        </is>
      </c>
      <c r="C353" s="58" t="inlineStr">
        <is>
          <t>SAUDE NA MESA 52</t>
        </is>
      </c>
      <c r="D353" s="58" t="inlineStr">
        <is>
          <t>18.653.331/0055-59</t>
        </is>
      </c>
      <c r="E353" s="58" t="inlineStr">
        <is>
          <t>DF</t>
        </is>
      </c>
      <c r="F353" s="58" t="inlineStr">
        <is>
          <t>DEMAIS CLIENTES</t>
        </is>
      </c>
      <c r="G353" s="58" t="inlineStr">
        <is>
          <t>EM RISCO</t>
        </is>
      </c>
      <c r="H353" s="58" t="n">
        <v>60</v>
      </c>
      <c r="I353" s="58">
        <f>IF(R353="","",VLOOKUP(R353,REGRAS!$B$2:$D$13,3,FALSE()))</f>
        <v/>
      </c>
      <c r="J353" s="58" t="n"/>
      <c r="K353" s="58">
        <f>IF(R353="","",IF(R353="VENDA / PEDIDO","RECOMPRA",IF(R353="SUPORTE","PÓS-VENDA",IF(OR(R353="FOLLOW UP 7",R353="FOLLOW UP 15"),"SALVAMENTO",IF(R353="PERDA / FECHOU LOJA","NUTRIÇÃO",IF(R353="RELACIONAMENTO","CS",IF(OR(R353="ORÇAMENTO",R353="CADASTRO"),"PROSPECÇÃO",IF(R353="EM ATENDIMENTO","EM ATENDIMENTO",IF(OR(R353="NÃO ATENDE",R353="NÃO RESPONDE",R353="RECUSOU LIGAÇÃO"),"RECUPERAÇÃO","")))))))))</f>
        <v/>
      </c>
      <c r="L353" s="58">
        <f>IF(H353="","",IF(G353="PROSPECT","🟣",IF(G353="LEAD","🟣",IF(G353="NOVO","🟢",IF(H353&lt;=50,"🟢",IF(H353&lt;=90,"🟡","🔴"))))))</f>
        <v/>
      </c>
      <c r="M353" s="58" t="n"/>
      <c r="N353" s="58" t="inlineStr">
        <is>
          <t>SIM</t>
        </is>
      </c>
      <c r="O353" s="58" t="inlineStr">
        <is>
          <t>SIM</t>
        </is>
      </c>
      <c r="P353" s="58" t="inlineStr">
        <is>
          <t>SIM</t>
        </is>
      </c>
      <c r="Q353" s="58" t="inlineStr">
        <is>
          <t>ATEND. CLIENTES ATIVOS</t>
        </is>
      </c>
      <c r="R353" s="58" t="inlineStr">
        <is>
          <t>NÃO ATENDE</t>
        </is>
      </c>
      <c r="S353" s="58" t="inlineStr">
        <is>
          <t>PRIMEIRO CONTATO / SEM RESPOSTA</t>
        </is>
      </c>
      <c r="T353" s="71">
        <f>IF(R353="","",IF(OR(R353="SUPORTE",R353="PERDA / FECHOU LOJA"),"SEM",A353+VLOOKUP(R353,REGRAS!$B$2:$C$13,2,FALSE())))</f>
        <v/>
      </c>
      <c r="U353" s="58">
        <f>IF(R353="","",IF(R353="VENDA / PEDIDO","RECOMPRA",IF(R353="SUPORTE","PÓS-VENDA",IF(R353="RELACIONAMENTO","CS",IF(OR(R353="NÃO ATENDE",R353="NÃO RESPONDE",R353="RECUSOU LIGAÇÃO"),"REATIVAÇÃO",IF(R353="PERDA / FECHOU LOJA","NUTRIÇÃO",IF(OR(R353="FOLLOW UP 7",R353="FOLLOW UP 15"),"SALVAMENTO","PROSPECÇÃO")))))))</f>
        <v/>
      </c>
      <c r="V353" s="58" t="n"/>
      <c r="W353" s="58" t="inlineStr">
        <is>
          <t>SIM</t>
        </is>
      </c>
      <c r="X353" s="58" t="n"/>
    </row>
    <row r="354">
      <c r="A354" s="71" t="n">
        <v>46065</v>
      </c>
      <c r="B354" s="58" t="inlineStr">
        <is>
          <t>LARISSA PADILHA</t>
        </is>
      </c>
      <c r="C354" s="58" t="inlineStr">
        <is>
          <t>SAUDE TOTAL 11</t>
        </is>
      </c>
      <c r="D354" s="58" t="inlineStr">
        <is>
          <t>68.878.884/4751-92</t>
        </is>
      </c>
      <c r="E354" s="58" t="inlineStr">
        <is>
          <t>PR</t>
        </is>
      </c>
      <c r="F354" s="58" t="inlineStr">
        <is>
          <t>VIDA LEVE</t>
        </is>
      </c>
      <c r="G354" s="58" t="inlineStr">
        <is>
          <t>PROSPECT</t>
        </is>
      </c>
      <c r="H354" s="58" t="n"/>
      <c r="I354" s="58">
        <f>IF(R354="","",VLOOKUP(R354,REGRAS!$B$2:$D$13,3,FALSE()))</f>
        <v/>
      </c>
      <c r="J354" s="58" t="n"/>
      <c r="K354" s="58">
        <f>IF(R354="","",IF(R354="VENDA / PEDIDO","RECOMPRA",IF(R354="SUPORTE","PÓS-VENDA",IF(OR(R354="FOLLOW UP 7",R354="FOLLOW UP 15"),"SALVAMENTO",IF(R354="PERDA / FECHOU LOJA","NUTRIÇÃO",IF(R354="RELACIONAMENTO","CS",IF(OR(R354="ORÇAMENTO",R354="CADASTRO"),"PROSPECÇÃO",IF(R354="EM ATENDIMENTO","EM ATENDIMENTO",IF(OR(R354="NÃO ATENDE",R354="NÃO RESPONDE",R354="RECUSOU LIGAÇÃO"),"RECUPERAÇÃO","")))))))))</f>
        <v/>
      </c>
      <c r="L354" s="58">
        <f>IF(H354="","",IF(G354="PROSPECT","🟣",IF(G354="LEAD","🟣",IF(G354="NOVO","🟢",IF(H354&lt;=50,"🟢",IF(H354&lt;=90,"🟡","🔴"))))))</f>
        <v/>
      </c>
      <c r="M354" s="58" t="n"/>
      <c r="N354" s="58" t="inlineStr">
        <is>
          <t>SIM</t>
        </is>
      </c>
      <c r="O354" s="58" t="inlineStr">
        <is>
          <t>SIM</t>
        </is>
      </c>
      <c r="P354" s="58" t="inlineStr">
        <is>
          <t>NÃO</t>
        </is>
      </c>
      <c r="Q354" s="58" t="inlineStr">
        <is>
          <t>ATEND. CLIENTES INATIVOS</t>
        </is>
      </c>
      <c r="R354" s="58" t="inlineStr">
        <is>
          <t>NÃO ATENDE</t>
        </is>
      </c>
      <c r="S354" s="58" t="inlineStr">
        <is>
          <t>SÓ QUER COMPRAR GRANEL</t>
        </is>
      </c>
      <c r="T354" s="71">
        <f>IF(R354="","",IF(OR(R354="SUPORTE",R354="PERDA / FECHOU LOJA"),"SEM",A354+VLOOKUP(R354,REGRAS!$B$2:$C$13,2,FALSE())))</f>
        <v/>
      </c>
      <c r="U354" s="58">
        <f>IF(R354="","",IF(R354="VENDA / PEDIDO","RECOMPRA",IF(R354="SUPORTE","PÓS-VENDA",IF(R354="RELACIONAMENTO","CS",IF(OR(R354="NÃO ATENDE",R354="NÃO RESPONDE",R354="RECUSOU LIGAÇÃO"),"REATIVAÇÃO",IF(R354="PERDA / FECHOU LOJA","NUTRIÇÃO",IF(OR(R354="FOLLOW UP 7",R354="FOLLOW UP 15"),"SALVAMENTO","PROSPECÇÃO")))))))</f>
        <v/>
      </c>
      <c r="V354" s="58" t="n"/>
      <c r="W354" s="58" t="inlineStr">
        <is>
          <t>NÃO</t>
        </is>
      </c>
      <c r="X354" s="58" t="n"/>
    </row>
    <row r="355">
      <c r="A355" s="71" t="n">
        <v>46068</v>
      </c>
      <c r="B355" s="58" t="inlineStr">
        <is>
          <t>JULIO GADRET</t>
        </is>
      </c>
      <c r="C355" s="58" t="inlineStr">
        <is>
          <t>FIT STORE 05</t>
        </is>
      </c>
      <c r="D355" s="58" t="inlineStr">
        <is>
          <t>34.125.837/9715-40</t>
        </is>
      </c>
      <c r="E355" s="58" t="inlineStr">
        <is>
          <t>RS</t>
        </is>
      </c>
      <c r="F355" s="58" t="inlineStr">
        <is>
          <t>MUNDO VERDE</t>
        </is>
      </c>
      <c r="G355" s="58" t="inlineStr">
        <is>
          <t>INAT.REC</t>
        </is>
      </c>
      <c r="H355" s="58" t="n">
        <v>70</v>
      </c>
      <c r="I355" s="58">
        <f>IF(R355="","",VLOOKUP(R355,REGRAS!$B$2:$D$13,3,FALSE()))</f>
        <v/>
      </c>
      <c r="J355" s="58" t="n"/>
      <c r="K355" s="58">
        <f>IF(R355="","",IF(R355="VENDA / PEDIDO","RECOMPRA",IF(R355="SUPORTE","PÓS-VENDA",IF(OR(R355="FOLLOW UP 7",R355="FOLLOW UP 15"),"SALVAMENTO",IF(R355="PERDA / FECHOU LOJA","NUTRIÇÃO",IF(R355="RELACIONAMENTO","CS",IF(OR(R355="ORÇAMENTO",R355="CADASTRO"),"PROSPECÇÃO",IF(R355="EM ATENDIMENTO","EM ATENDIMENTO",IF(OR(R355="NÃO ATENDE",R355="NÃO RESPONDE",R355="RECUSOU LIGAÇÃO"),"RECUPERAÇÃO","")))))))))</f>
        <v/>
      </c>
      <c r="L355" s="58">
        <f>IF(H355="","",IF(G355="PROSPECT","🟣",IF(G355="LEAD","🟣",IF(G355="NOVO","🟢",IF(H355&lt;=50,"🟢",IF(H355&lt;=90,"🟡","🔴"))))))</f>
        <v/>
      </c>
      <c r="M355" s="58" t="n"/>
      <c r="N355" s="58" t="inlineStr">
        <is>
          <t>NÃO</t>
        </is>
      </c>
      <c r="O355" s="58" t="inlineStr">
        <is>
          <t>NÃO</t>
        </is>
      </c>
      <c r="P355" s="58" t="inlineStr">
        <is>
          <t>N/A</t>
        </is>
      </c>
      <c r="Q355" s="58" t="inlineStr">
        <is>
          <t>ATEND. CLIENTES ATIVOS</t>
        </is>
      </c>
      <c r="R355" s="58" t="inlineStr">
        <is>
          <t>NÃO ATENDE</t>
        </is>
      </c>
      <c r="S355" s="58" t="inlineStr">
        <is>
          <t>AINDA TEM ESTOQUE</t>
        </is>
      </c>
      <c r="T355" s="71">
        <f>IF(R355="","",IF(OR(R355="SUPORTE",R355="PERDA / FECHOU LOJA"),"SEM",A355+VLOOKUP(R355,REGRAS!$B$2:$C$13,2,FALSE())))</f>
        <v/>
      </c>
      <c r="U355" s="58">
        <f>IF(R355="","",IF(R355="VENDA / PEDIDO","RECOMPRA",IF(R355="SUPORTE","PÓS-VENDA",IF(R355="RELACIONAMENTO","CS",IF(OR(R355="NÃO ATENDE",R355="NÃO RESPONDE",R355="RECUSOU LIGAÇÃO"),"REATIVAÇÃO",IF(R355="PERDA / FECHOU LOJA","NUTRIÇÃO",IF(OR(R355="FOLLOW UP 7",R355="FOLLOW UP 15"),"SALVAMENTO","PROSPECÇÃO")))))))</f>
        <v/>
      </c>
      <c r="V355" s="58" t="n"/>
      <c r="W355" s="58" t="inlineStr">
        <is>
          <t>SIM</t>
        </is>
      </c>
      <c r="X355" s="58" t="n"/>
    </row>
    <row r="356">
      <c r="A356" s="71" t="n">
        <v>46064</v>
      </c>
      <c r="B356" s="58" t="inlineStr">
        <is>
          <t>DAIANE STAVICKI</t>
        </is>
      </c>
      <c r="C356" s="58" t="inlineStr">
        <is>
          <t>MUNDO VERDE CWB 52</t>
        </is>
      </c>
      <c r="D356" s="58" t="inlineStr">
        <is>
          <t>25.316.926/8571-68</t>
        </is>
      </c>
      <c r="E356" s="58" t="inlineStr">
        <is>
          <t>DF</t>
        </is>
      </c>
      <c r="F356" s="58" t="inlineStr">
        <is>
          <t>DEMAIS CLIENTES</t>
        </is>
      </c>
      <c r="G356" s="58" t="inlineStr">
        <is>
          <t>INAT.REC</t>
        </is>
      </c>
      <c r="H356" s="58" t="n">
        <v>84</v>
      </c>
      <c r="I356" s="58">
        <f>IF(R356="","",VLOOKUP(R356,REGRAS!$B$2:$D$13,3,FALSE()))</f>
        <v/>
      </c>
      <c r="J356" s="58" t="n"/>
      <c r="K356" s="58">
        <f>IF(R356="","",IF(R356="VENDA / PEDIDO","RECOMPRA",IF(R356="SUPORTE","PÓS-VENDA",IF(OR(R356="FOLLOW UP 7",R356="FOLLOW UP 15"),"SALVAMENTO",IF(R356="PERDA / FECHOU LOJA","NUTRIÇÃO",IF(R356="RELACIONAMENTO","CS",IF(OR(R356="ORÇAMENTO",R356="CADASTRO"),"PROSPECÇÃO",IF(R356="EM ATENDIMENTO","EM ATENDIMENTO",IF(OR(R356="NÃO ATENDE",R356="NÃO RESPONDE",R356="RECUSOU LIGAÇÃO"),"RECUPERAÇÃO","")))))))))</f>
        <v/>
      </c>
      <c r="L356" s="58">
        <f>IF(H356="","",IF(G356="PROSPECT","🟣",IF(G356="LEAD","🟣",IF(G356="NOVO","🟢",IF(H356&lt;=50,"🟢",IF(H356&lt;=90,"🟡","🔴"))))))</f>
        <v/>
      </c>
      <c r="M356" s="58" t="n"/>
      <c r="N356" s="58" t="inlineStr">
        <is>
          <t>SIM</t>
        </is>
      </c>
      <c r="O356" s="58" t="inlineStr">
        <is>
          <t>SIM</t>
        </is>
      </c>
      <c r="P356" s="58" t="inlineStr">
        <is>
          <t>NÃO</t>
        </is>
      </c>
      <c r="Q356" s="58" t="inlineStr">
        <is>
          <t>ATEND. CLIENTES ATIVOS</t>
        </is>
      </c>
      <c r="R356" s="58" t="inlineStr">
        <is>
          <t>EM ATENDIMENTO</t>
        </is>
      </c>
      <c r="S356" s="58" t="n"/>
      <c r="T356" s="71">
        <f>IF(R356="","",IF(OR(R356="SUPORTE",R356="PERDA / FECHOU LOJA"),"SEM",A356+VLOOKUP(R356,REGRAS!$B$2:$C$13,2,FALSE())))</f>
        <v/>
      </c>
      <c r="U356" s="58">
        <f>IF(R356="","",IF(R356="VENDA / PEDIDO","RECOMPRA",IF(R356="SUPORTE","PÓS-VENDA",IF(R356="RELACIONAMENTO","CS",IF(OR(R356="NÃO ATENDE",R356="NÃO RESPONDE",R356="RECUSOU LIGAÇÃO"),"REATIVAÇÃO",IF(R356="PERDA / FECHOU LOJA","NUTRIÇÃO",IF(OR(R356="FOLLOW UP 7",R356="FOLLOW UP 15"),"SALVAMENTO","PROSPECÇÃO")))))))</f>
        <v/>
      </c>
      <c r="V356" s="58" t="n"/>
      <c r="W356" s="58" t="inlineStr">
        <is>
          <t>SIM</t>
        </is>
      </c>
      <c r="X356" s="58" t="n"/>
    </row>
    <row r="357">
      <c r="A357" s="71" t="n">
        <v>46073</v>
      </c>
      <c r="B357" s="58" t="inlineStr">
        <is>
          <t>MANU DITZEL</t>
        </is>
      </c>
      <c r="C357" s="58" t="inlineStr">
        <is>
          <t>FIT STORE 02</t>
        </is>
      </c>
      <c r="D357" s="58" t="inlineStr">
        <is>
          <t>32.747.151/5036-22</t>
        </is>
      </c>
      <c r="E357" s="58" t="inlineStr">
        <is>
          <t>RS</t>
        </is>
      </c>
      <c r="F357" s="58" t="inlineStr">
        <is>
          <t>BIOMUNDO</t>
        </is>
      </c>
      <c r="G357" s="58" t="inlineStr">
        <is>
          <t>INAT.REC</t>
        </is>
      </c>
      <c r="H357" s="58" t="n">
        <v>87</v>
      </c>
      <c r="I357" s="58">
        <f>IF(R357="","",VLOOKUP(R357,REGRAS!$B$2:$D$13,3,FALSE()))</f>
        <v/>
      </c>
      <c r="J357" s="58" t="n"/>
      <c r="K357" s="58">
        <f>IF(R357="","",IF(R357="VENDA / PEDIDO","RECOMPRA",IF(R357="SUPORTE","PÓS-VENDA",IF(OR(R357="FOLLOW UP 7",R357="FOLLOW UP 15"),"SALVAMENTO",IF(R357="PERDA / FECHOU LOJA","NUTRIÇÃO",IF(R357="RELACIONAMENTO","CS",IF(OR(R357="ORÇAMENTO",R357="CADASTRO"),"PROSPECÇÃO",IF(R357="EM ATENDIMENTO","EM ATENDIMENTO",IF(OR(R357="NÃO ATENDE",R357="NÃO RESPONDE",R357="RECUSOU LIGAÇÃO"),"RECUPERAÇÃO","")))))))))</f>
        <v/>
      </c>
      <c r="L357" s="58">
        <f>IF(H357="","",IF(G357="PROSPECT","🟣",IF(G357="LEAD","🟣",IF(G357="NOVO","🟢",IF(H357&lt;=50,"🟢",IF(H357&lt;=90,"🟡","🔴"))))))</f>
        <v/>
      </c>
      <c r="M357" s="58" t="n"/>
      <c r="N357" s="58" t="inlineStr">
        <is>
          <t>SIM</t>
        </is>
      </c>
      <c r="O357" s="58" t="inlineStr">
        <is>
          <t>NÃO</t>
        </is>
      </c>
      <c r="P357" s="58" t="inlineStr">
        <is>
          <t>N/A</t>
        </is>
      </c>
      <c r="Q357" s="58" t="inlineStr">
        <is>
          <t>PÓS-VENDA / RELACIONAMENTO</t>
        </is>
      </c>
      <c r="R357" s="58" t="inlineStr">
        <is>
          <t>RELACIONAMENTO</t>
        </is>
      </c>
      <c r="S357" s="58" t="n"/>
      <c r="T357" s="71">
        <f>IF(R357="","",IF(OR(R357="SUPORTE",R357="PERDA / FECHOU LOJA"),"SEM",A357+VLOOKUP(R357,REGRAS!$B$2:$C$13,2,FALSE())))</f>
        <v/>
      </c>
      <c r="U357" s="58">
        <f>IF(R357="","",IF(R357="VENDA / PEDIDO","RECOMPRA",IF(R357="SUPORTE","PÓS-VENDA",IF(R357="RELACIONAMENTO","CS",IF(OR(R357="NÃO ATENDE",R357="NÃO RESPONDE",R357="RECUSOU LIGAÇÃO"),"REATIVAÇÃO",IF(R357="PERDA / FECHOU LOJA","NUTRIÇÃO",IF(OR(R357="FOLLOW UP 7",R357="FOLLOW UP 15"),"SALVAMENTO","PROSPECÇÃO")))))))</f>
        <v/>
      </c>
      <c r="V357" s="58" t="n"/>
      <c r="W357" s="58" t="inlineStr">
        <is>
          <t>SIM</t>
        </is>
      </c>
      <c r="X357" s="58" t="n"/>
    </row>
    <row r="358">
      <c r="A358" s="71" t="n">
        <v>46060</v>
      </c>
      <c r="B358" s="58" t="inlineStr">
        <is>
          <t>LARISSA PADILHA</t>
        </is>
      </c>
      <c r="C358" s="58" t="inlineStr">
        <is>
          <t>TUDO GRÃOS SC 42</t>
        </is>
      </c>
      <c r="D358" s="58" t="inlineStr">
        <is>
          <t>25.800.689/8944-27</t>
        </is>
      </c>
      <c r="E358" s="58" t="inlineStr">
        <is>
          <t>SC</t>
        </is>
      </c>
      <c r="F358" s="58" t="inlineStr">
        <is>
          <t>DEMAIS CLIENTES</t>
        </is>
      </c>
      <c r="G358" s="58" t="inlineStr">
        <is>
          <t>ATIVO</t>
        </is>
      </c>
      <c r="H358" s="58" t="n">
        <v>7</v>
      </c>
      <c r="I358" s="58">
        <f>IF(R358="","",VLOOKUP(R358,REGRAS!$B$2:$D$13,3,FALSE()))</f>
        <v/>
      </c>
      <c r="J358" s="58" t="n"/>
      <c r="K358" s="58">
        <f>IF(R358="","",IF(R358="VENDA / PEDIDO","RECOMPRA",IF(R358="SUPORTE","PÓS-VENDA",IF(OR(R358="FOLLOW UP 7",R358="FOLLOW UP 15"),"SALVAMENTO",IF(R358="PERDA / FECHOU LOJA","NUTRIÇÃO",IF(R358="RELACIONAMENTO","CS",IF(OR(R358="ORÇAMENTO",R358="CADASTRO"),"PROSPECÇÃO",IF(R358="EM ATENDIMENTO","EM ATENDIMENTO",IF(OR(R358="NÃO ATENDE",R358="NÃO RESPONDE",R358="RECUSOU LIGAÇÃO"),"RECUPERAÇÃO","")))))))))</f>
        <v/>
      </c>
      <c r="L358" s="58">
        <f>IF(H358="","",IF(G358="PROSPECT","🟣",IF(G358="LEAD","🟣",IF(G358="NOVO","🟢",IF(H358&lt;=50,"🟢",IF(H358&lt;=90,"🟡","🔴"))))))</f>
        <v/>
      </c>
      <c r="M358" s="58" t="n"/>
      <c r="N358" s="58" t="inlineStr">
        <is>
          <t>SIM</t>
        </is>
      </c>
      <c r="O358" s="58" t="inlineStr">
        <is>
          <t>SIM</t>
        </is>
      </c>
      <c r="P358" s="58" t="inlineStr">
        <is>
          <t>SIM</t>
        </is>
      </c>
      <c r="Q358" s="58" t="inlineStr">
        <is>
          <t>ATEND. CLIENTES ATIVOS</t>
        </is>
      </c>
      <c r="R358" s="58" t="inlineStr">
        <is>
          <t>ORÇAMENTO</t>
        </is>
      </c>
      <c r="S358" s="58" t="n"/>
      <c r="T358" s="71">
        <f>IF(R358="","",IF(OR(R358="SUPORTE",R358="PERDA / FECHOU LOJA"),"SEM",A358+VLOOKUP(R358,REGRAS!$B$2:$C$13,2,FALSE())))</f>
        <v/>
      </c>
      <c r="U358" s="58">
        <f>IF(R358="","",IF(R358="VENDA / PEDIDO","RECOMPRA",IF(R358="SUPORTE","PÓS-VENDA",IF(R358="RELACIONAMENTO","CS",IF(OR(R358="NÃO ATENDE",R358="NÃO RESPONDE",R358="RECUSOU LIGAÇÃO"),"REATIVAÇÃO",IF(R358="PERDA / FECHOU LOJA","NUTRIÇÃO",IF(OR(R358="FOLLOW UP 7",R358="FOLLOW UP 15"),"SALVAMENTO","PROSPECÇÃO")))))))</f>
        <v/>
      </c>
      <c r="V358" s="58" t="n"/>
      <c r="W358" s="58" t="inlineStr">
        <is>
          <t>NÃO</t>
        </is>
      </c>
      <c r="X358" s="58" t="n"/>
    </row>
    <row r="359">
      <c r="A359" s="71" t="n">
        <v>46071</v>
      </c>
      <c r="B359" s="58" t="inlineStr">
        <is>
          <t>MANU DITZEL</t>
        </is>
      </c>
      <c r="C359" s="58" t="inlineStr">
        <is>
          <t>ARMAZEM FIT 75</t>
        </is>
      </c>
      <c r="D359" s="58" t="inlineStr">
        <is>
          <t>15.236.202/6163-30</t>
        </is>
      </c>
      <c r="E359" s="58" t="inlineStr">
        <is>
          <t>PR</t>
        </is>
      </c>
      <c r="F359" s="58" t="inlineStr">
        <is>
          <t>DIVINA TERRA</t>
        </is>
      </c>
      <c r="G359" s="58" t="inlineStr">
        <is>
          <t>ATIVO</t>
        </is>
      </c>
      <c r="H359" s="58" t="n">
        <v>16</v>
      </c>
      <c r="I359" s="58">
        <f>IF(R359="","",VLOOKUP(R359,REGRAS!$B$2:$D$13,3,FALSE()))</f>
        <v/>
      </c>
      <c r="J359" s="58" t="n"/>
      <c r="K359" s="58">
        <f>IF(R359="","",IF(R359="VENDA / PEDIDO","RECOMPRA",IF(R359="SUPORTE","PÓS-VENDA",IF(OR(R359="FOLLOW UP 7",R359="FOLLOW UP 15"),"SALVAMENTO",IF(R359="PERDA / FECHOU LOJA","NUTRIÇÃO",IF(R359="RELACIONAMENTO","CS",IF(OR(R359="ORÇAMENTO",R359="CADASTRO"),"PROSPECÇÃO",IF(R359="EM ATENDIMENTO","EM ATENDIMENTO",IF(OR(R359="NÃO ATENDE",R359="NÃO RESPONDE",R359="RECUSOU LIGAÇÃO"),"RECUPERAÇÃO","")))))))))</f>
        <v/>
      </c>
      <c r="L359" s="58">
        <f>IF(H359="","",IF(G359="PROSPECT","🟣",IF(G359="LEAD","🟣",IF(G359="NOVO","🟢",IF(H359&lt;=50,"🟢",IF(H359&lt;=90,"🟡","🔴"))))))</f>
        <v/>
      </c>
      <c r="M359" s="58" t="n"/>
      <c r="N359" s="58" t="inlineStr">
        <is>
          <t>SIM</t>
        </is>
      </c>
      <c r="O359" s="58" t="inlineStr">
        <is>
          <t>SIM</t>
        </is>
      </c>
      <c r="P359" s="58" t="inlineStr">
        <is>
          <t>NÃO</t>
        </is>
      </c>
      <c r="Q359" s="58" t="inlineStr">
        <is>
          <t>PÓS-VENDA / RELACIONAMENTO</t>
        </is>
      </c>
      <c r="R359" s="58" t="inlineStr">
        <is>
          <t>SUPORTE</t>
        </is>
      </c>
      <c r="S359" s="58" t="n"/>
      <c r="T359" s="71">
        <f>IF(R359="","",IF(OR(R359="SUPORTE",R359="PERDA / FECHOU LOJA"),"SEM",A359+VLOOKUP(R359,REGRAS!$B$2:$C$13,2,FALSE())))</f>
        <v/>
      </c>
      <c r="U359" s="58">
        <f>IF(R359="","",IF(R359="VENDA / PEDIDO","RECOMPRA",IF(R359="SUPORTE","PÓS-VENDA",IF(R359="RELACIONAMENTO","CS",IF(OR(R359="NÃO ATENDE",R359="NÃO RESPONDE",R359="RECUSOU LIGAÇÃO"),"REATIVAÇÃO",IF(R359="PERDA / FECHOU LOJA","NUTRIÇÃO",IF(OR(R359="FOLLOW UP 7",R359="FOLLOW UP 15"),"SALVAMENTO","PROSPECÇÃO")))))))</f>
        <v/>
      </c>
      <c r="V359" s="58" t="n"/>
      <c r="W359" s="58" t="inlineStr">
        <is>
          <t>NÃO</t>
        </is>
      </c>
      <c r="X359" s="58" t="n"/>
    </row>
    <row r="360">
      <c r="A360" s="71" t="n">
        <v>46069</v>
      </c>
      <c r="B360" s="58" t="inlineStr">
        <is>
          <t>JULIO GADRET</t>
        </is>
      </c>
      <c r="C360" s="58" t="inlineStr">
        <is>
          <t>DIVINA TERRA RJ 19</t>
        </is>
      </c>
      <c r="D360" s="58" t="inlineStr">
        <is>
          <t>91.377.635/7380-62</t>
        </is>
      </c>
      <c r="E360" s="58" t="inlineStr">
        <is>
          <t>PR</t>
        </is>
      </c>
      <c r="F360" s="58" t="inlineStr">
        <is>
          <t>BIOMUNDO</t>
        </is>
      </c>
      <c r="G360" s="58" t="inlineStr">
        <is>
          <t>INAT.ANT</t>
        </is>
      </c>
      <c r="H360" s="58" t="n">
        <v>243</v>
      </c>
      <c r="I360" s="58">
        <f>IF(R360="","",VLOOKUP(R360,REGRAS!$B$2:$D$13,3,FALSE()))</f>
        <v/>
      </c>
      <c r="J360" s="58" t="n"/>
      <c r="K360" s="58">
        <f>IF(R360="","",IF(R360="VENDA / PEDIDO","RECOMPRA",IF(R360="SUPORTE","PÓS-VENDA",IF(OR(R360="FOLLOW UP 7",R360="FOLLOW UP 15"),"SALVAMENTO",IF(R360="PERDA / FECHOU LOJA","NUTRIÇÃO",IF(R360="RELACIONAMENTO","CS",IF(OR(R360="ORÇAMENTO",R360="CADASTRO"),"PROSPECÇÃO",IF(R360="EM ATENDIMENTO","EM ATENDIMENTO",IF(OR(R360="NÃO ATENDE",R360="NÃO RESPONDE",R360="RECUSOU LIGAÇÃO"),"RECUPERAÇÃO","")))))))))</f>
        <v/>
      </c>
      <c r="L360" s="58">
        <f>IF(H360="","",IF(G360="PROSPECT","🟣",IF(G360="LEAD","🟣",IF(G360="NOVO","🟢",IF(H360&lt;=50,"🟢",IF(H360&lt;=90,"🟡","🔴"))))))</f>
        <v/>
      </c>
      <c r="M360" s="58" t="n"/>
      <c r="N360" s="58" t="inlineStr">
        <is>
          <t>NÃO</t>
        </is>
      </c>
      <c r="O360" s="58" t="inlineStr">
        <is>
          <t>NÃO</t>
        </is>
      </c>
      <c r="P360" s="58" t="inlineStr">
        <is>
          <t>N/A</t>
        </is>
      </c>
      <c r="Q360" s="58" t="inlineStr">
        <is>
          <t>NEGOCIAÇÃO</t>
        </is>
      </c>
      <c r="R360" s="58" t="inlineStr">
        <is>
          <t>CADASTRO</t>
        </is>
      </c>
      <c r="S360" s="58" t="n"/>
      <c r="T360" s="71">
        <f>IF(R360="","",IF(OR(R360="SUPORTE",R360="PERDA / FECHOU LOJA"),"SEM",A360+VLOOKUP(R360,REGRAS!$B$2:$C$13,2,FALSE())))</f>
        <v/>
      </c>
      <c r="U360" s="58">
        <f>IF(R360="","",IF(R360="VENDA / PEDIDO","RECOMPRA",IF(R360="SUPORTE","PÓS-VENDA",IF(R360="RELACIONAMENTO","CS",IF(OR(R360="NÃO ATENDE",R360="NÃO RESPONDE",R360="RECUSOU LIGAÇÃO"),"REATIVAÇÃO",IF(R360="PERDA / FECHOU LOJA","NUTRIÇÃO",IF(OR(R360="FOLLOW UP 7",R360="FOLLOW UP 15"),"SALVAMENTO","PROSPECÇÃO")))))))</f>
        <v/>
      </c>
      <c r="V360" s="58" t="n"/>
      <c r="W360" s="58" t="inlineStr">
        <is>
          <t>NÃO</t>
        </is>
      </c>
      <c r="X360" s="58" t="n"/>
    </row>
    <row r="361">
      <c r="A361" s="71" t="n">
        <v>46065</v>
      </c>
      <c r="B361" s="58" t="inlineStr">
        <is>
          <t>LARISSA PADILHA</t>
        </is>
      </c>
      <c r="C361" s="58" t="inlineStr">
        <is>
          <t>ESSENCE FOOD 31</t>
        </is>
      </c>
      <c r="D361" s="58" t="inlineStr">
        <is>
          <t>34.220.642/1568-89</t>
        </is>
      </c>
      <c r="E361" s="58" t="inlineStr">
        <is>
          <t>SC</t>
        </is>
      </c>
      <c r="F361" s="58" t="inlineStr">
        <is>
          <t>DEMAIS CLIENTES</t>
        </is>
      </c>
      <c r="G361" s="58" t="inlineStr">
        <is>
          <t>INAT.REC</t>
        </is>
      </c>
      <c r="H361" s="58" t="n">
        <v>68</v>
      </c>
      <c r="I361" s="58">
        <f>IF(R361="","",VLOOKUP(R361,REGRAS!$B$2:$D$13,3,FALSE()))</f>
        <v/>
      </c>
      <c r="J361" s="58" t="n"/>
      <c r="K361" s="58">
        <f>IF(R361="","",IF(R361="VENDA / PEDIDO","RECOMPRA",IF(R361="SUPORTE","PÓS-VENDA",IF(OR(R361="FOLLOW UP 7",R361="FOLLOW UP 15"),"SALVAMENTO",IF(R361="PERDA / FECHOU LOJA","NUTRIÇÃO",IF(R361="RELACIONAMENTO","CS",IF(OR(R361="ORÇAMENTO",R361="CADASTRO"),"PROSPECÇÃO",IF(R361="EM ATENDIMENTO","EM ATENDIMENTO",IF(OR(R361="NÃO ATENDE",R361="NÃO RESPONDE",R361="RECUSOU LIGAÇÃO"),"RECUPERAÇÃO","")))))))))</f>
        <v/>
      </c>
      <c r="L361" s="58">
        <f>IF(H361="","",IF(G361="PROSPECT","🟣",IF(G361="LEAD","🟣",IF(G361="NOVO","🟢",IF(H361&lt;=50,"🟢",IF(H361&lt;=90,"🟡","🔴"))))))</f>
        <v/>
      </c>
      <c r="M361" s="58" t="n"/>
      <c r="N361" s="58" t="inlineStr">
        <is>
          <t>SIM</t>
        </is>
      </c>
      <c r="O361" s="58" t="inlineStr">
        <is>
          <t>SIM</t>
        </is>
      </c>
      <c r="P361" s="58" t="inlineStr">
        <is>
          <t>SIM</t>
        </is>
      </c>
      <c r="Q361" s="58" t="inlineStr">
        <is>
          <t>ATEND. CLIENTES ATIVOS</t>
        </is>
      </c>
      <c r="R361" s="58" t="inlineStr">
        <is>
          <t>FOLLOW UP 7</t>
        </is>
      </c>
      <c r="S361" s="58" t="inlineStr">
        <is>
          <t>AINDA TEM ESTOQUE</t>
        </is>
      </c>
      <c r="T361" s="71">
        <f>IF(R361="","",IF(OR(R361="SUPORTE",R361="PERDA / FECHOU LOJA"),"SEM",A361+VLOOKUP(R361,REGRAS!$B$2:$C$13,2,FALSE())))</f>
        <v/>
      </c>
      <c r="U361" s="58">
        <f>IF(R361="","",IF(R361="VENDA / PEDIDO","RECOMPRA",IF(R361="SUPORTE","PÓS-VENDA",IF(R361="RELACIONAMENTO","CS",IF(OR(R361="NÃO ATENDE",R361="NÃO RESPONDE",R361="RECUSOU LIGAÇÃO"),"REATIVAÇÃO",IF(R361="PERDA / FECHOU LOJA","NUTRIÇÃO",IF(OR(R361="FOLLOW UP 7",R361="FOLLOW UP 15"),"SALVAMENTO","PROSPECÇÃO")))))))</f>
        <v/>
      </c>
      <c r="V361" s="58" t="n"/>
      <c r="W361" s="58" t="inlineStr">
        <is>
          <t>NÃO</t>
        </is>
      </c>
      <c r="X361" s="58" t="n"/>
    </row>
    <row r="362">
      <c r="A362" s="71" t="n">
        <v>46069</v>
      </c>
      <c r="B362" s="58" t="inlineStr">
        <is>
          <t>LARISSA PADILHA</t>
        </is>
      </c>
      <c r="C362" s="58" t="inlineStr">
        <is>
          <t>BEM ESTAR 86</t>
        </is>
      </c>
      <c r="D362" s="58" t="inlineStr">
        <is>
          <t>15.155.760/5967-46</t>
        </is>
      </c>
      <c r="E362" s="58" t="inlineStr">
        <is>
          <t>PR</t>
        </is>
      </c>
      <c r="F362" s="58" t="inlineStr">
        <is>
          <t>CIA DA SAUDE</t>
        </is>
      </c>
      <c r="G362" s="58" t="inlineStr">
        <is>
          <t>INAT.REC</t>
        </is>
      </c>
      <c r="H362" s="58" t="n">
        <v>89</v>
      </c>
      <c r="I362" s="58">
        <f>IF(R362="","",VLOOKUP(R362,REGRAS!$B$2:$D$13,3,FALSE()))</f>
        <v/>
      </c>
      <c r="J362" s="58" t="n"/>
      <c r="K362" s="58">
        <f>IF(R362="","",IF(R362="VENDA / PEDIDO","RECOMPRA",IF(R362="SUPORTE","PÓS-VENDA",IF(OR(R362="FOLLOW UP 7",R362="FOLLOW UP 15"),"SALVAMENTO",IF(R362="PERDA / FECHOU LOJA","NUTRIÇÃO",IF(R362="RELACIONAMENTO","CS",IF(OR(R362="ORÇAMENTO",R362="CADASTRO"),"PROSPECÇÃO",IF(R362="EM ATENDIMENTO","EM ATENDIMENTO",IF(OR(R362="NÃO ATENDE",R362="NÃO RESPONDE",R362="RECUSOU LIGAÇÃO"),"RECUPERAÇÃO","")))))))))</f>
        <v/>
      </c>
      <c r="L362" s="58">
        <f>IF(H362="","",IF(G362="PROSPECT","🟣",IF(G362="LEAD","🟣",IF(G362="NOVO","🟢",IF(H362&lt;=50,"🟢",IF(H362&lt;=90,"🟡","🔴"))))))</f>
        <v/>
      </c>
      <c r="M362" s="58" t="n"/>
      <c r="N362" s="58" t="inlineStr">
        <is>
          <t>NÃO</t>
        </is>
      </c>
      <c r="O362" s="58" t="inlineStr">
        <is>
          <t>NÃO</t>
        </is>
      </c>
      <c r="P362" s="58" t="inlineStr">
        <is>
          <t>N/A</t>
        </is>
      </c>
      <c r="Q362" s="58" t="inlineStr">
        <is>
          <t>PÓS-VENDA / RELACIONAMENTO</t>
        </is>
      </c>
      <c r="R362" s="58" t="inlineStr">
        <is>
          <t>RELACIONAMENTO</t>
        </is>
      </c>
      <c r="S362" s="58" t="n"/>
      <c r="T362" s="71">
        <f>IF(R362="","",IF(OR(R362="SUPORTE",R362="PERDA / FECHOU LOJA"),"SEM",A362+VLOOKUP(R362,REGRAS!$B$2:$C$13,2,FALSE())))</f>
        <v/>
      </c>
      <c r="U362" s="58">
        <f>IF(R362="","",IF(R362="VENDA / PEDIDO","RECOMPRA",IF(R362="SUPORTE","PÓS-VENDA",IF(R362="RELACIONAMENTO","CS",IF(OR(R362="NÃO ATENDE",R362="NÃO RESPONDE",R362="RECUSOU LIGAÇÃO"),"REATIVAÇÃO",IF(R362="PERDA / FECHOU LOJA","NUTRIÇÃO",IF(OR(R362="FOLLOW UP 7",R362="FOLLOW UP 15"),"SALVAMENTO","PROSPECÇÃO")))))))</f>
        <v/>
      </c>
      <c r="V362" s="58" t="n"/>
      <c r="W362" s="58" t="inlineStr">
        <is>
          <t>SIM</t>
        </is>
      </c>
      <c r="X362" s="58" t="n"/>
    </row>
    <row r="363">
      <c r="A363" s="71" t="n">
        <v>46079</v>
      </c>
      <c r="B363" s="58" t="inlineStr">
        <is>
          <t>MANU DITZEL</t>
        </is>
      </c>
      <c r="C363" s="58" t="inlineStr">
        <is>
          <t>GRÃO FINO 15</t>
        </is>
      </c>
      <c r="D363" s="58" t="inlineStr">
        <is>
          <t>19.340.838/7288-85</t>
        </is>
      </c>
      <c r="E363" s="58" t="inlineStr">
        <is>
          <t>SP</t>
        </is>
      </c>
      <c r="F363" s="58" t="inlineStr">
        <is>
          <t>FIT LAND</t>
        </is>
      </c>
      <c r="G363" s="58" t="inlineStr">
        <is>
          <t>INAT.ANT</t>
        </is>
      </c>
      <c r="H363" s="58" t="n">
        <v>174</v>
      </c>
      <c r="I363" s="58">
        <f>IF(R363="","",VLOOKUP(R363,REGRAS!$B$2:$D$13,3,FALSE()))</f>
        <v/>
      </c>
      <c r="J363" s="58" t="n"/>
      <c r="K363" s="58">
        <f>IF(R363="","",IF(R363="VENDA / PEDIDO","RECOMPRA",IF(R363="SUPORTE","PÓS-VENDA",IF(OR(R363="FOLLOW UP 7",R363="FOLLOW UP 15"),"SALVAMENTO",IF(R363="PERDA / FECHOU LOJA","NUTRIÇÃO",IF(R363="RELACIONAMENTO","CS",IF(OR(R363="ORÇAMENTO",R363="CADASTRO"),"PROSPECÇÃO",IF(R363="EM ATENDIMENTO","EM ATENDIMENTO",IF(OR(R363="NÃO ATENDE",R363="NÃO RESPONDE",R363="RECUSOU LIGAÇÃO"),"RECUPERAÇÃO","")))))))))</f>
        <v/>
      </c>
      <c r="L363" s="58">
        <f>IF(H363="","",IF(G363="PROSPECT","🟣",IF(G363="LEAD","🟣",IF(G363="NOVO","🟢",IF(H363&lt;=50,"🟢",IF(H363&lt;=90,"🟡","🔴"))))))</f>
        <v/>
      </c>
      <c r="M363" s="58" t="n"/>
      <c r="N363" s="58" t="inlineStr">
        <is>
          <t>SIM</t>
        </is>
      </c>
      <c r="O363" s="58" t="inlineStr">
        <is>
          <t>SIM</t>
        </is>
      </c>
      <c r="P363" s="58" t="inlineStr">
        <is>
          <t>SIM</t>
        </is>
      </c>
      <c r="Q363" s="58" t="inlineStr">
        <is>
          <t>NEGOCIAÇÃO</t>
        </is>
      </c>
      <c r="R363" s="58" t="inlineStr">
        <is>
          <t>EM ATENDIMENTO</t>
        </is>
      </c>
      <c r="S363" s="58" t="n"/>
      <c r="T363" s="71">
        <f>IF(R363="","",IF(OR(R363="SUPORTE",R363="PERDA / FECHOU LOJA"),"SEM",A363+VLOOKUP(R363,REGRAS!$B$2:$C$13,2,FALSE())))</f>
        <v/>
      </c>
      <c r="U363" s="58">
        <f>IF(R363="","",IF(R363="VENDA / PEDIDO","RECOMPRA",IF(R363="SUPORTE","PÓS-VENDA",IF(R363="RELACIONAMENTO","CS",IF(OR(R363="NÃO ATENDE",R363="NÃO RESPONDE",R363="RECUSOU LIGAÇÃO"),"REATIVAÇÃO",IF(R363="PERDA / FECHOU LOJA","NUTRIÇÃO",IF(OR(R363="FOLLOW UP 7",R363="FOLLOW UP 15"),"SALVAMENTO","PROSPECÇÃO")))))))</f>
        <v/>
      </c>
      <c r="V363" s="58" t="n"/>
      <c r="W363" s="58" t="inlineStr">
        <is>
          <t>SIM</t>
        </is>
      </c>
      <c r="X363" s="58" t="n"/>
    </row>
    <row r="364">
      <c r="A364" s="71" t="n">
        <v>46061</v>
      </c>
      <c r="B364" s="58" t="inlineStr">
        <is>
          <t>MANU DITZEL</t>
        </is>
      </c>
      <c r="C364" s="58" t="inlineStr">
        <is>
          <t>VERDE ESSENCE 63</t>
        </is>
      </c>
      <c r="D364" s="58" t="inlineStr">
        <is>
          <t>16.546.248/3542-88</t>
        </is>
      </c>
      <c r="E364" s="58" t="inlineStr">
        <is>
          <t>RS</t>
        </is>
      </c>
      <c r="F364" s="58" t="inlineStr">
        <is>
          <t>FIT LAND</t>
        </is>
      </c>
      <c r="G364" s="58" t="inlineStr">
        <is>
          <t>ATIVO</t>
        </is>
      </c>
      <c r="H364" s="58" t="n">
        <v>17</v>
      </c>
      <c r="I364" s="58">
        <f>IF(R364="","",VLOOKUP(R364,REGRAS!$B$2:$D$13,3,FALSE()))</f>
        <v/>
      </c>
      <c r="J364" s="58" t="n"/>
      <c r="K364" s="58">
        <f>IF(R364="","",IF(R364="VENDA / PEDIDO","RECOMPRA",IF(R364="SUPORTE","PÓS-VENDA",IF(OR(R364="FOLLOW UP 7",R364="FOLLOW UP 15"),"SALVAMENTO",IF(R364="PERDA / FECHOU LOJA","NUTRIÇÃO",IF(R364="RELACIONAMENTO","CS",IF(OR(R364="ORÇAMENTO",R364="CADASTRO"),"PROSPECÇÃO",IF(R364="EM ATENDIMENTO","EM ATENDIMENTO",IF(OR(R364="NÃO ATENDE",R364="NÃO RESPONDE",R364="RECUSOU LIGAÇÃO"),"RECUPERAÇÃO","")))))))))</f>
        <v/>
      </c>
      <c r="L364" s="58">
        <f>IF(H364="","",IF(G364="PROSPECT","🟣",IF(G364="LEAD","🟣",IF(G364="NOVO","🟢",IF(H364&lt;=50,"🟢",IF(H364&lt;=90,"🟡","🔴"))))))</f>
        <v/>
      </c>
      <c r="M364" s="58" t="n"/>
      <c r="N364" s="58" t="inlineStr">
        <is>
          <t>SIM</t>
        </is>
      </c>
      <c r="O364" s="58" t="inlineStr">
        <is>
          <t>SIM</t>
        </is>
      </c>
      <c r="P364" s="58" t="inlineStr">
        <is>
          <t>NÃO</t>
        </is>
      </c>
      <c r="Q364" s="58" t="inlineStr">
        <is>
          <t>ATEND. CLIENTES INATIVOS</t>
        </is>
      </c>
      <c r="R364" s="58" t="inlineStr">
        <is>
          <t>FOLLOW UP 15</t>
        </is>
      </c>
      <c r="S364" s="58" t="inlineStr">
        <is>
          <t>AINDA TEM ESTOQUE</t>
        </is>
      </c>
      <c r="T364" s="71">
        <f>IF(R364="","",IF(OR(R364="SUPORTE",R364="PERDA / FECHOU LOJA"),"SEM",A364+VLOOKUP(R364,REGRAS!$B$2:$C$13,2,FALSE())))</f>
        <v/>
      </c>
      <c r="U364" s="58">
        <f>IF(R364="","",IF(R364="VENDA / PEDIDO","RECOMPRA",IF(R364="SUPORTE","PÓS-VENDA",IF(R364="RELACIONAMENTO","CS",IF(OR(R364="NÃO ATENDE",R364="NÃO RESPONDE",R364="RECUSOU LIGAÇÃO"),"REATIVAÇÃO",IF(R364="PERDA / FECHOU LOJA","NUTRIÇÃO",IF(OR(R364="FOLLOW UP 7",R364="FOLLOW UP 15"),"SALVAMENTO","PROSPECÇÃO")))))))</f>
        <v/>
      </c>
      <c r="V364" s="58" t="n"/>
      <c r="W364" s="58" t="inlineStr">
        <is>
          <t>SIM</t>
        </is>
      </c>
      <c r="X364" s="58" t="n"/>
    </row>
    <row r="365">
      <c r="A365" s="71" t="n">
        <v>46081</v>
      </c>
      <c r="B365" s="58" t="inlineStr">
        <is>
          <t>LARISSA PADILHA</t>
        </is>
      </c>
      <c r="C365" s="58" t="inlineStr">
        <is>
          <t>NUTRI SHOP 22</t>
        </is>
      </c>
      <c r="D365" s="58" t="inlineStr">
        <is>
          <t>53.325.402/9890-30</t>
        </is>
      </c>
      <c r="E365" s="58" t="inlineStr">
        <is>
          <t>MG</t>
        </is>
      </c>
      <c r="F365" s="58" t="inlineStr">
        <is>
          <t>TUDO EM GRAOS</t>
        </is>
      </c>
      <c r="G365" s="58" t="inlineStr">
        <is>
          <t>INAT.REC</t>
        </is>
      </c>
      <c r="H365" s="58" t="n">
        <v>66</v>
      </c>
      <c r="I365" s="58">
        <f>IF(R365="","",VLOOKUP(R365,REGRAS!$B$2:$D$13,3,FALSE()))</f>
        <v/>
      </c>
      <c r="J365" s="58" t="n"/>
      <c r="K365" s="58">
        <f>IF(R365="","",IF(R365="VENDA / PEDIDO","RECOMPRA",IF(R365="SUPORTE","PÓS-VENDA",IF(OR(R365="FOLLOW UP 7",R365="FOLLOW UP 15"),"SALVAMENTO",IF(R365="PERDA / FECHOU LOJA","NUTRIÇÃO",IF(R365="RELACIONAMENTO","CS",IF(OR(R365="ORÇAMENTO",R365="CADASTRO"),"PROSPECÇÃO",IF(R365="EM ATENDIMENTO","EM ATENDIMENTO",IF(OR(R365="NÃO ATENDE",R365="NÃO RESPONDE",R365="RECUSOU LIGAÇÃO"),"RECUPERAÇÃO","")))))))))</f>
        <v/>
      </c>
      <c r="L365" s="58">
        <f>IF(H365="","",IF(G365="PROSPECT","🟣",IF(G365="LEAD","🟣",IF(G365="NOVO","🟢",IF(H365&lt;=50,"🟢",IF(H365&lt;=90,"🟡","🔴"))))))</f>
        <v/>
      </c>
      <c r="M365" s="58" t="n"/>
      <c r="N365" s="58" t="inlineStr">
        <is>
          <t>SIM</t>
        </is>
      </c>
      <c r="O365" s="58" t="inlineStr">
        <is>
          <t>SIM</t>
        </is>
      </c>
      <c r="P365" s="58" t="inlineStr">
        <is>
          <t>SIM</t>
        </is>
      </c>
      <c r="Q365" s="58" t="inlineStr">
        <is>
          <t>ATEND. CLIENTES ATIVOS</t>
        </is>
      </c>
      <c r="R365" s="58" t="inlineStr">
        <is>
          <t>FOLLOW UP 7</t>
        </is>
      </c>
      <c r="S365" s="58" t="inlineStr">
        <is>
          <t>SEM INTERESSE NO MOMENTO</t>
        </is>
      </c>
      <c r="T365" s="71">
        <f>IF(R365="","",IF(OR(R365="SUPORTE",R365="PERDA / FECHOU LOJA"),"SEM",A365+VLOOKUP(R365,REGRAS!$B$2:$C$13,2,FALSE())))</f>
        <v/>
      </c>
      <c r="U365" s="58">
        <f>IF(R365="","",IF(R365="VENDA / PEDIDO","RECOMPRA",IF(R365="SUPORTE","PÓS-VENDA",IF(R365="RELACIONAMENTO","CS",IF(OR(R365="NÃO ATENDE",R365="NÃO RESPONDE",R365="RECUSOU LIGAÇÃO"),"REATIVAÇÃO",IF(R365="PERDA / FECHOU LOJA","NUTRIÇÃO",IF(OR(R365="FOLLOW UP 7",R365="FOLLOW UP 15"),"SALVAMENTO","PROSPECÇÃO")))))))</f>
        <v/>
      </c>
      <c r="V365" s="58" t="n"/>
      <c r="W365" s="58" t="inlineStr">
        <is>
          <t>SIM</t>
        </is>
      </c>
      <c r="X365" s="58" t="n"/>
    </row>
    <row r="366">
      <c r="A366" s="71" t="n">
        <v>46069</v>
      </c>
      <c r="B366" s="58" t="inlineStr">
        <is>
          <t>DAIANE STAVICKI</t>
        </is>
      </c>
      <c r="C366" s="58" t="inlineStr">
        <is>
          <t>NATUR LIFE 02</t>
        </is>
      </c>
      <c r="D366" s="58" t="inlineStr">
        <is>
          <t>64.853.993/4042-41</t>
        </is>
      </c>
      <c r="E366" s="58" t="inlineStr">
        <is>
          <t>SC</t>
        </is>
      </c>
      <c r="F366" s="58" t="inlineStr">
        <is>
          <t>VIDA LEVE</t>
        </is>
      </c>
      <c r="G366" s="58" t="inlineStr">
        <is>
          <t>NOVO</t>
        </is>
      </c>
      <c r="H366" s="58" t="n"/>
      <c r="I366" s="58">
        <f>IF(R366="","",VLOOKUP(R366,REGRAS!$B$2:$D$13,3,FALSE()))</f>
        <v/>
      </c>
      <c r="J366" s="58" t="n"/>
      <c r="K366" s="58">
        <f>IF(R366="","",IF(R366="VENDA / PEDIDO","RECOMPRA",IF(R366="SUPORTE","PÓS-VENDA",IF(OR(R366="FOLLOW UP 7",R366="FOLLOW UP 15"),"SALVAMENTO",IF(R366="PERDA / FECHOU LOJA","NUTRIÇÃO",IF(R366="RELACIONAMENTO","CS",IF(OR(R366="ORÇAMENTO",R366="CADASTRO"),"PROSPECÇÃO",IF(R366="EM ATENDIMENTO","EM ATENDIMENTO",IF(OR(R366="NÃO ATENDE",R366="NÃO RESPONDE",R366="RECUSOU LIGAÇÃO"),"RECUPERAÇÃO","")))))))))</f>
        <v/>
      </c>
      <c r="L366" s="58">
        <f>IF(H366="","",IF(G366="PROSPECT","🟣",IF(G366="LEAD","🟣",IF(G366="NOVO","🟢",IF(H366&lt;=50,"🟢",IF(H366&lt;=90,"🟡","🔴"))))))</f>
        <v/>
      </c>
      <c r="M366" s="58" t="n"/>
      <c r="N366" s="58" t="inlineStr">
        <is>
          <t>SIM</t>
        </is>
      </c>
      <c r="O366" s="58" t="inlineStr">
        <is>
          <t>SIM</t>
        </is>
      </c>
      <c r="P366" s="58" t="inlineStr">
        <is>
          <t>NÃO</t>
        </is>
      </c>
      <c r="Q366" s="58" t="inlineStr">
        <is>
          <t>ATEND. CLIENTES ATIVOS</t>
        </is>
      </c>
      <c r="R366" s="58" t="inlineStr">
        <is>
          <t>VENDA / PEDIDO</t>
        </is>
      </c>
      <c r="S366" s="58" t="n"/>
      <c r="T366" s="71">
        <f>IF(R366="","",IF(OR(R366="SUPORTE",R366="PERDA / FECHOU LOJA"),"SEM",A366+VLOOKUP(R366,REGRAS!$B$2:$C$13,2,FALSE())))</f>
        <v/>
      </c>
      <c r="U366" s="58">
        <f>IF(R366="","",IF(R366="VENDA / PEDIDO","RECOMPRA",IF(R366="SUPORTE","PÓS-VENDA",IF(R366="RELACIONAMENTO","CS",IF(OR(R366="NÃO ATENDE",R366="NÃO RESPONDE",R366="RECUSOU LIGAÇÃO"),"REATIVAÇÃO",IF(R366="PERDA / FECHOU LOJA","NUTRIÇÃO",IF(OR(R366="FOLLOW UP 7",R366="FOLLOW UP 15"),"SALVAMENTO","PROSPECÇÃO")))))))</f>
        <v/>
      </c>
      <c r="V366" s="58" t="n"/>
      <c r="W366" s="58" t="inlineStr">
        <is>
          <t>SIM</t>
        </is>
      </c>
      <c r="X366" s="58" t="n"/>
    </row>
    <row r="367">
      <c r="A367" s="71" t="n">
        <v>46069</v>
      </c>
      <c r="B367" s="58" t="inlineStr">
        <is>
          <t>JULIO GADRET</t>
        </is>
      </c>
      <c r="C367" s="58" t="inlineStr">
        <is>
          <t>GRÃO FINO 05</t>
        </is>
      </c>
      <c r="D367" s="58" t="inlineStr">
        <is>
          <t>64.643.503/7853-99</t>
        </is>
      </c>
      <c r="E367" s="58" t="inlineStr">
        <is>
          <t>MG</t>
        </is>
      </c>
      <c r="F367" s="58" t="inlineStr">
        <is>
          <t>DIVINA TERRA</t>
        </is>
      </c>
      <c r="G367" s="58" t="inlineStr">
        <is>
          <t>ATIVO</t>
        </is>
      </c>
      <c r="H367" s="58" t="n">
        <v>40</v>
      </c>
      <c r="I367" s="58">
        <f>IF(R367="","",VLOOKUP(R367,REGRAS!$B$2:$D$13,3,FALSE()))</f>
        <v/>
      </c>
      <c r="J367" s="58" t="n"/>
      <c r="K367" s="58">
        <f>IF(R367="","",IF(R367="VENDA / PEDIDO","RECOMPRA",IF(R367="SUPORTE","PÓS-VENDA",IF(OR(R367="FOLLOW UP 7",R367="FOLLOW UP 15"),"SALVAMENTO",IF(R367="PERDA / FECHOU LOJA","NUTRIÇÃO",IF(R367="RELACIONAMENTO","CS",IF(OR(R367="ORÇAMENTO",R367="CADASTRO"),"PROSPECÇÃO",IF(R367="EM ATENDIMENTO","EM ATENDIMENTO",IF(OR(R367="NÃO ATENDE",R367="NÃO RESPONDE",R367="RECUSOU LIGAÇÃO"),"RECUPERAÇÃO","")))))))))</f>
        <v/>
      </c>
      <c r="L367" s="58">
        <f>IF(H367="","",IF(G367="PROSPECT","🟣",IF(G367="LEAD","🟣",IF(G367="NOVO","🟢",IF(H367&lt;=50,"🟢",IF(H367&lt;=90,"🟡","🔴"))))))</f>
        <v/>
      </c>
      <c r="M367" s="58" t="n"/>
      <c r="N367" s="58" t="inlineStr">
        <is>
          <t>SIM</t>
        </is>
      </c>
      <c r="O367" s="58" t="inlineStr">
        <is>
          <t>SIM</t>
        </is>
      </c>
      <c r="P367" s="58" t="inlineStr">
        <is>
          <t>SIM</t>
        </is>
      </c>
      <c r="Q367" s="58" t="inlineStr">
        <is>
          <t>PÓS-VENDA / RELACIONAMENTO</t>
        </is>
      </c>
      <c r="R367" s="58" t="inlineStr">
        <is>
          <t>SUPORTE</t>
        </is>
      </c>
      <c r="S367" s="58" t="n"/>
      <c r="T367" s="71">
        <f>IF(R367="","",IF(OR(R367="SUPORTE",R367="PERDA / FECHOU LOJA"),"SEM",A367+VLOOKUP(R367,REGRAS!$B$2:$C$13,2,FALSE())))</f>
        <v/>
      </c>
      <c r="U367" s="58">
        <f>IF(R367="","",IF(R367="VENDA / PEDIDO","RECOMPRA",IF(R367="SUPORTE","PÓS-VENDA",IF(R367="RELACIONAMENTO","CS",IF(OR(R367="NÃO ATENDE",R367="NÃO RESPONDE",R367="RECUSOU LIGAÇÃO"),"REATIVAÇÃO",IF(R367="PERDA / FECHOU LOJA","NUTRIÇÃO",IF(OR(R367="FOLLOW UP 7",R367="FOLLOW UP 15"),"SALVAMENTO","PROSPECÇÃO")))))))</f>
        <v/>
      </c>
      <c r="V367" s="58" t="n"/>
      <c r="W367" s="58" t="inlineStr">
        <is>
          <t>SIM</t>
        </is>
      </c>
      <c r="X367" s="58" t="n"/>
    </row>
    <row r="368">
      <c r="A368" s="71" t="n">
        <v>46056</v>
      </c>
      <c r="B368" s="58" t="inlineStr">
        <is>
          <t>MANU DITZEL</t>
        </is>
      </c>
      <c r="C368" s="58" t="inlineStr">
        <is>
          <t>EMPÓRIO DO CAMPO 21</t>
        </is>
      </c>
      <c r="D368" s="58" t="inlineStr">
        <is>
          <t>68.978.684/9563-13</t>
        </is>
      </c>
      <c r="E368" s="58" t="inlineStr">
        <is>
          <t>CE</t>
        </is>
      </c>
      <c r="F368" s="58" t="inlineStr">
        <is>
          <t>DIVINA TERRA</t>
        </is>
      </c>
      <c r="G368" s="58" t="inlineStr">
        <is>
          <t>ATIVO</t>
        </is>
      </c>
      <c r="H368" s="58" t="n">
        <v>50</v>
      </c>
      <c r="I368" s="58">
        <f>IF(R368="","",VLOOKUP(R368,REGRAS!$B$2:$D$13,3,FALSE()))</f>
        <v/>
      </c>
      <c r="J368" s="58" t="n"/>
      <c r="K368" s="58">
        <f>IF(R368="","",IF(R368="VENDA / PEDIDO","RECOMPRA",IF(R368="SUPORTE","PÓS-VENDA",IF(OR(R368="FOLLOW UP 7",R368="FOLLOW UP 15"),"SALVAMENTO",IF(R368="PERDA / FECHOU LOJA","NUTRIÇÃO",IF(R368="RELACIONAMENTO","CS",IF(OR(R368="ORÇAMENTO",R368="CADASTRO"),"PROSPECÇÃO",IF(R368="EM ATENDIMENTO","EM ATENDIMENTO",IF(OR(R368="NÃO ATENDE",R368="NÃO RESPONDE",R368="RECUSOU LIGAÇÃO"),"RECUPERAÇÃO","")))))))))</f>
        <v/>
      </c>
      <c r="L368" s="58">
        <f>IF(H368="","",IF(G368="PROSPECT","🟣",IF(G368="LEAD","🟣",IF(G368="NOVO","🟢",IF(H368&lt;=50,"🟢",IF(H368&lt;=90,"🟡","🔴"))))))</f>
        <v/>
      </c>
      <c r="M368" s="58" t="n"/>
      <c r="N368" s="58" t="inlineStr">
        <is>
          <t>SIM</t>
        </is>
      </c>
      <c r="O368" s="58" t="inlineStr">
        <is>
          <t>NÃO</t>
        </is>
      </c>
      <c r="P368" s="58" t="inlineStr">
        <is>
          <t>N/A</t>
        </is>
      </c>
      <c r="Q368" s="58" t="inlineStr">
        <is>
          <t>ATEND. CLIENTES ATIVOS</t>
        </is>
      </c>
      <c r="R368" s="58" t="inlineStr">
        <is>
          <t>SUPORTE</t>
        </is>
      </c>
      <c r="S368" s="58" t="n"/>
      <c r="T368" s="71">
        <f>IF(R368="","",IF(OR(R368="SUPORTE",R368="PERDA / FECHOU LOJA"),"SEM",A368+VLOOKUP(R368,REGRAS!$B$2:$C$13,2,FALSE())))</f>
        <v/>
      </c>
      <c r="U368" s="58">
        <f>IF(R368="","",IF(R368="VENDA / PEDIDO","RECOMPRA",IF(R368="SUPORTE","PÓS-VENDA",IF(R368="RELACIONAMENTO","CS",IF(OR(R368="NÃO ATENDE",R368="NÃO RESPONDE",R368="RECUSOU LIGAÇÃO"),"REATIVAÇÃO",IF(R368="PERDA / FECHOU LOJA","NUTRIÇÃO",IF(OR(R368="FOLLOW UP 7",R368="FOLLOW UP 15"),"SALVAMENTO","PROSPECÇÃO")))))))</f>
        <v/>
      </c>
      <c r="V368" s="58" t="n"/>
      <c r="W368" s="58" t="inlineStr">
        <is>
          <t>SIM</t>
        </is>
      </c>
      <c r="X368" s="58" t="n"/>
    </row>
    <row r="369">
      <c r="A369" s="71" t="n">
        <v>46081</v>
      </c>
      <c r="B369" s="58" t="inlineStr">
        <is>
          <t>JULIO GADRET</t>
        </is>
      </c>
      <c r="C369" s="58" t="inlineStr">
        <is>
          <t>VIDA LEVE PR 89</t>
        </is>
      </c>
      <c r="D369" s="58" t="inlineStr">
        <is>
          <t>52.643.133/4860-64</t>
        </is>
      </c>
      <c r="E369" s="58" t="inlineStr">
        <is>
          <t>RJ</t>
        </is>
      </c>
      <c r="F369" s="58" t="inlineStr">
        <is>
          <t>TUDO EM GRAOS</t>
        </is>
      </c>
      <c r="G369" s="58" t="inlineStr">
        <is>
          <t>INAT.REC</t>
        </is>
      </c>
      <c r="H369" s="58" t="n">
        <v>79</v>
      </c>
      <c r="I369" s="58">
        <f>IF(R369="","",VLOOKUP(R369,REGRAS!$B$2:$D$13,3,FALSE()))</f>
        <v/>
      </c>
      <c r="J369" s="58" t="n"/>
      <c r="K369" s="58">
        <f>IF(R369="","",IF(R369="VENDA / PEDIDO","RECOMPRA",IF(R369="SUPORTE","PÓS-VENDA",IF(OR(R369="FOLLOW UP 7",R369="FOLLOW UP 15"),"SALVAMENTO",IF(R369="PERDA / FECHOU LOJA","NUTRIÇÃO",IF(R369="RELACIONAMENTO","CS",IF(OR(R369="ORÇAMENTO",R369="CADASTRO"),"PROSPECÇÃO",IF(R369="EM ATENDIMENTO","EM ATENDIMENTO",IF(OR(R369="NÃO ATENDE",R369="NÃO RESPONDE",R369="RECUSOU LIGAÇÃO"),"RECUPERAÇÃO","")))))))))</f>
        <v/>
      </c>
      <c r="L369" s="58">
        <f>IF(H369="","",IF(G369="PROSPECT","🟣",IF(G369="LEAD","🟣",IF(G369="NOVO","🟢",IF(H369&lt;=50,"🟢",IF(H369&lt;=90,"🟡","🔴"))))))</f>
        <v/>
      </c>
      <c r="M369" s="58" t="n"/>
      <c r="N369" s="58" t="inlineStr">
        <is>
          <t>SIM</t>
        </is>
      </c>
      <c r="O369" s="58" t="inlineStr">
        <is>
          <t>NÃO</t>
        </is>
      </c>
      <c r="P369" s="58" t="inlineStr">
        <is>
          <t>N/A</t>
        </is>
      </c>
      <c r="Q369" s="58" t="inlineStr">
        <is>
          <t>PÓS-VENDA / RELACIONAMENTO</t>
        </is>
      </c>
      <c r="R369" s="58" t="inlineStr">
        <is>
          <t>VENDA / PEDIDO</t>
        </is>
      </c>
      <c r="S369" s="58" t="n"/>
      <c r="T369" s="71">
        <f>IF(R369="","",IF(OR(R369="SUPORTE",R369="PERDA / FECHOU LOJA"),"SEM",A369+VLOOKUP(R369,REGRAS!$B$2:$C$13,2,FALSE())))</f>
        <v/>
      </c>
      <c r="U369" s="58">
        <f>IF(R369="","",IF(R369="VENDA / PEDIDO","RECOMPRA",IF(R369="SUPORTE","PÓS-VENDA",IF(R369="RELACIONAMENTO","CS",IF(OR(R369="NÃO ATENDE",R369="NÃO RESPONDE",R369="RECUSOU LIGAÇÃO"),"REATIVAÇÃO",IF(R369="PERDA / FECHOU LOJA","NUTRIÇÃO",IF(OR(R369="FOLLOW UP 7",R369="FOLLOW UP 15"),"SALVAMENTO","PROSPECÇÃO")))))))</f>
        <v/>
      </c>
      <c r="V369" s="58" t="n"/>
      <c r="W369" s="58" t="inlineStr">
        <is>
          <t>NÃO</t>
        </is>
      </c>
      <c r="X369" s="58" t="n"/>
    </row>
    <row r="370">
      <c r="A370" s="71" t="n">
        <v>46055</v>
      </c>
      <c r="B370" s="58" t="inlineStr">
        <is>
          <t>LARISSA PADILHA</t>
        </is>
      </c>
      <c r="C370" s="58" t="inlineStr">
        <is>
          <t>GRANEL &amp; CIA 07</t>
        </is>
      </c>
      <c r="D370" s="58" t="inlineStr">
        <is>
          <t>24.492.474/7625-89</t>
        </is>
      </c>
      <c r="E370" s="58" t="inlineStr">
        <is>
          <t>PR</t>
        </is>
      </c>
      <c r="F370" s="58" t="inlineStr">
        <is>
          <t>CIA DA SAUDE</t>
        </is>
      </c>
      <c r="G370" s="58" t="inlineStr">
        <is>
          <t>INAT.ANT</t>
        </is>
      </c>
      <c r="H370" s="58" t="n">
        <v>271</v>
      </c>
      <c r="I370" s="58">
        <f>IF(R370="","",VLOOKUP(R370,REGRAS!$B$2:$D$13,3,FALSE()))</f>
        <v/>
      </c>
      <c r="J370" s="58" t="n"/>
      <c r="K370" s="58">
        <f>IF(R370="","",IF(R370="VENDA / PEDIDO","RECOMPRA",IF(R370="SUPORTE","PÓS-VENDA",IF(OR(R370="FOLLOW UP 7",R370="FOLLOW UP 15"),"SALVAMENTO",IF(R370="PERDA / FECHOU LOJA","NUTRIÇÃO",IF(R370="RELACIONAMENTO","CS",IF(OR(R370="ORÇAMENTO",R370="CADASTRO"),"PROSPECÇÃO",IF(R370="EM ATENDIMENTO","EM ATENDIMENTO",IF(OR(R370="NÃO ATENDE",R370="NÃO RESPONDE",R370="RECUSOU LIGAÇÃO"),"RECUPERAÇÃO","")))))))))</f>
        <v/>
      </c>
      <c r="L370" s="58">
        <f>IF(H370="","",IF(G370="PROSPECT","🟣",IF(G370="LEAD","🟣",IF(G370="NOVO","🟢",IF(H370&lt;=50,"🟢",IF(H370&lt;=90,"🟡","🔴"))))))</f>
        <v/>
      </c>
      <c r="M370" s="58" t="n"/>
      <c r="N370" s="58" t="inlineStr">
        <is>
          <t>SIM</t>
        </is>
      </c>
      <c r="O370" s="58" t="inlineStr">
        <is>
          <t>NÃO</t>
        </is>
      </c>
      <c r="P370" s="58" t="inlineStr">
        <is>
          <t>N/A</t>
        </is>
      </c>
      <c r="Q370" s="58" t="inlineStr">
        <is>
          <t>PROSPECÇÃO</t>
        </is>
      </c>
      <c r="R370" s="58" t="inlineStr">
        <is>
          <t>NÃO RESPONDE</t>
        </is>
      </c>
      <c r="S370" s="58" t="inlineStr">
        <is>
          <t>AINDA TEM ESTOQUE</t>
        </is>
      </c>
      <c r="T370" s="71">
        <f>IF(R370="","",IF(OR(R370="SUPORTE",R370="PERDA / FECHOU LOJA"),"SEM",A370+VLOOKUP(R370,REGRAS!$B$2:$C$13,2,FALSE())))</f>
        <v/>
      </c>
      <c r="U370" s="58">
        <f>IF(R370="","",IF(R370="VENDA / PEDIDO","RECOMPRA",IF(R370="SUPORTE","PÓS-VENDA",IF(R370="RELACIONAMENTO","CS",IF(OR(R370="NÃO ATENDE",R370="NÃO RESPONDE",R370="RECUSOU LIGAÇÃO"),"REATIVAÇÃO",IF(R370="PERDA / FECHOU LOJA","NUTRIÇÃO",IF(OR(R370="FOLLOW UP 7",R370="FOLLOW UP 15"),"SALVAMENTO","PROSPECÇÃO")))))))</f>
        <v/>
      </c>
      <c r="V370" s="58" t="n"/>
      <c r="W370" s="58" t="inlineStr">
        <is>
          <t>SIM</t>
        </is>
      </c>
      <c r="X370" s="58" t="n"/>
    </row>
    <row r="371">
      <c r="A371" s="71" t="n">
        <v>46069</v>
      </c>
      <c r="B371" s="58" t="inlineStr">
        <is>
          <t>JULIO GADRET</t>
        </is>
      </c>
      <c r="C371" s="58" t="inlineStr">
        <is>
          <t>VERDE ESSENCE 90</t>
        </is>
      </c>
      <c r="D371" s="58" t="inlineStr">
        <is>
          <t>36.871.862/3694-51</t>
        </is>
      </c>
      <c r="E371" s="58" t="inlineStr">
        <is>
          <t>SC</t>
        </is>
      </c>
      <c r="F371" s="58" t="inlineStr">
        <is>
          <t>CIA DA SAUDE</t>
        </is>
      </c>
      <c r="G371" s="58" t="inlineStr">
        <is>
          <t>INAT.ANT</t>
        </is>
      </c>
      <c r="H371" s="58" t="n">
        <v>161</v>
      </c>
      <c r="I371" s="58">
        <f>IF(R371="","",VLOOKUP(R371,REGRAS!$B$2:$D$13,3,FALSE()))</f>
        <v/>
      </c>
      <c r="J371" s="58" t="n"/>
      <c r="K371" s="58">
        <f>IF(R371="","",IF(R371="VENDA / PEDIDO","RECOMPRA",IF(R371="SUPORTE","PÓS-VENDA",IF(OR(R371="FOLLOW UP 7",R371="FOLLOW UP 15"),"SALVAMENTO",IF(R371="PERDA / FECHOU LOJA","NUTRIÇÃO",IF(R371="RELACIONAMENTO","CS",IF(OR(R371="ORÇAMENTO",R371="CADASTRO"),"PROSPECÇÃO",IF(R371="EM ATENDIMENTO","EM ATENDIMENTO",IF(OR(R371="NÃO ATENDE",R371="NÃO RESPONDE",R371="RECUSOU LIGAÇÃO"),"RECUPERAÇÃO","")))))))))</f>
        <v/>
      </c>
      <c r="L371" s="58">
        <f>IF(H371="","",IF(G371="PROSPECT","🟣",IF(G371="LEAD","🟣",IF(G371="NOVO","🟢",IF(H371&lt;=50,"🟢",IF(H371&lt;=90,"🟡","🔴"))))))</f>
        <v/>
      </c>
      <c r="M371" s="58" t="n"/>
      <c r="N371" s="58" t="inlineStr">
        <is>
          <t>SIM</t>
        </is>
      </c>
      <c r="O371" s="58" t="inlineStr">
        <is>
          <t>NÃO</t>
        </is>
      </c>
      <c r="P371" s="58" t="inlineStr">
        <is>
          <t>N/A</t>
        </is>
      </c>
      <c r="Q371" s="58" t="inlineStr">
        <is>
          <t>PROSPECÇÃO</t>
        </is>
      </c>
      <c r="R371" s="58" t="inlineStr">
        <is>
          <t>CADASTRO</t>
        </is>
      </c>
      <c r="S371" s="58" t="n"/>
      <c r="T371" s="71">
        <f>IF(R371="","",IF(OR(R371="SUPORTE",R371="PERDA / FECHOU LOJA"),"SEM",A371+VLOOKUP(R371,REGRAS!$B$2:$C$13,2,FALSE())))</f>
        <v/>
      </c>
      <c r="U371" s="58">
        <f>IF(R371="","",IF(R371="VENDA / PEDIDO","RECOMPRA",IF(R371="SUPORTE","PÓS-VENDA",IF(R371="RELACIONAMENTO","CS",IF(OR(R371="NÃO ATENDE",R371="NÃO RESPONDE",R371="RECUSOU LIGAÇÃO"),"REATIVAÇÃO",IF(R371="PERDA / FECHOU LOJA","NUTRIÇÃO",IF(OR(R371="FOLLOW UP 7",R371="FOLLOW UP 15"),"SALVAMENTO","PROSPECÇÃO")))))))</f>
        <v/>
      </c>
      <c r="V371" s="58" t="n"/>
      <c r="W371" s="58" t="inlineStr">
        <is>
          <t>NÃO</t>
        </is>
      </c>
      <c r="X371" s="58" t="n"/>
    </row>
    <row r="372">
      <c r="A372" s="71" t="n">
        <v>46069</v>
      </c>
      <c r="B372" s="58" t="inlineStr">
        <is>
          <t>JULIO GADRET</t>
        </is>
      </c>
      <c r="C372" s="58" t="inlineStr">
        <is>
          <t>BIO FIT 38</t>
        </is>
      </c>
      <c r="D372" s="58" t="inlineStr">
        <is>
          <t>67.735.476/1076-34</t>
        </is>
      </c>
      <c r="E372" s="58" t="inlineStr">
        <is>
          <t>BA</t>
        </is>
      </c>
      <c r="F372" s="58" t="inlineStr">
        <is>
          <t>DIVINA TERRA</t>
        </is>
      </c>
      <c r="G372" s="58" t="inlineStr">
        <is>
          <t>ATIVO</t>
        </is>
      </c>
      <c r="H372" s="58" t="n">
        <v>16</v>
      </c>
      <c r="I372" s="58">
        <f>IF(R372="","",VLOOKUP(R372,REGRAS!$B$2:$D$13,3,FALSE()))</f>
        <v/>
      </c>
      <c r="J372" s="58" t="n"/>
      <c r="K372" s="58">
        <f>IF(R372="","",IF(R372="VENDA / PEDIDO","RECOMPRA",IF(R372="SUPORTE","PÓS-VENDA",IF(OR(R372="FOLLOW UP 7",R372="FOLLOW UP 15"),"SALVAMENTO",IF(R372="PERDA / FECHOU LOJA","NUTRIÇÃO",IF(R372="RELACIONAMENTO","CS",IF(OR(R372="ORÇAMENTO",R372="CADASTRO"),"PROSPECÇÃO",IF(R372="EM ATENDIMENTO","EM ATENDIMENTO",IF(OR(R372="NÃO ATENDE",R372="NÃO RESPONDE",R372="RECUSOU LIGAÇÃO"),"RECUPERAÇÃO","")))))))))</f>
        <v/>
      </c>
      <c r="L372" s="58">
        <f>IF(H372="","",IF(G372="PROSPECT","🟣",IF(G372="LEAD","🟣",IF(G372="NOVO","🟢",IF(H372&lt;=50,"🟢",IF(H372&lt;=90,"🟡","🔴"))))))</f>
        <v/>
      </c>
      <c r="M372" s="58" t="n"/>
      <c r="N372" s="58" t="inlineStr">
        <is>
          <t>SIM</t>
        </is>
      </c>
      <c r="O372" s="58" t="inlineStr">
        <is>
          <t>SIM</t>
        </is>
      </c>
      <c r="P372" s="58" t="inlineStr">
        <is>
          <t>NÃO</t>
        </is>
      </c>
      <c r="Q372" s="58" t="inlineStr">
        <is>
          <t>FOLLOW UP</t>
        </is>
      </c>
      <c r="R372" s="58" t="inlineStr">
        <is>
          <t>SUPORTE</t>
        </is>
      </c>
      <c r="S372" s="58" t="n"/>
      <c r="T372" s="71">
        <f>IF(R372="","",IF(OR(R372="SUPORTE",R372="PERDA / FECHOU LOJA"),"SEM",A372+VLOOKUP(R372,REGRAS!$B$2:$C$13,2,FALSE())))</f>
        <v/>
      </c>
      <c r="U372" s="58">
        <f>IF(R372="","",IF(R372="VENDA / PEDIDO","RECOMPRA",IF(R372="SUPORTE","PÓS-VENDA",IF(R372="RELACIONAMENTO","CS",IF(OR(R372="NÃO ATENDE",R372="NÃO RESPONDE",R372="RECUSOU LIGAÇÃO"),"REATIVAÇÃO",IF(R372="PERDA / FECHOU LOJA","NUTRIÇÃO",IF(OR(R372="FOLLOW UP 7",R372="FOLLOW UP 15"),"SALVAMENTO","PROSPECÇÃO")))))))</f>
        <v/>
      </c>
      <c r="V372" s="58" t="n"/>
      <c r="W372" s="58" t="inlineStr">
        <is>
          <t>SIM</t>
        </is>
      </c>
      <c r="X372" s="58" t="n"/>
    </row>
    <row r="373">
      <c r="A373" s="71" t="n">
        <v>46081</v>
      </c>
      <c r="B373" s="58" t="inlineStr">
        <is>
          <t>MANU DITZEL</t>
        </is>
      </c>
      <c r="C373" s="58" t="inlineStr">
        <is>
          <t>EMPÓRIO NATURAL 38</t>
        </is>
      </c>
      <c r="D373" s="58" t="inlineStr">
        <is>
          <t>63.798.654/2164-70</t>
        </is>
      </c>
      <c r="E373" s="58" t="inlineStr">
        <is>
          <t>SC</t>
        </is>
      </c>
      <c r="F373" s="58" t="inlineStr">
        <is>
          <t>FIT LAND</t>
        </is>
      </c>
      <c r="G373" s="58" t="inlineStr">
        <is>
          <t>INAT.ANT</t>
        </is>
      </c>
      <c r="H373" s="58" t="n">
        <v>165</v>
      </c>
      <c r="I373" s="58">
        <f>IF(R373="","",VLOOKUP(R373,REGRAS!$B$2:$D$13,3,FALSE()))</f>
        <v/>
      </c>
      <c r="J373" s="58" t="n"/>
      <c r="K373" s="58">
        <f>IF(R373="","",IF(R373="VENDA / PEDIDO","RECOMPRA",IF(R373="SUPORTE","PÓS-VENDA",IF(OR(R373="FOLLOW UP 7",R373="FOLLOW UP 15"),"SALVAMENTO",IF(R373="PERDA / FECHOU LOJA","NUTRIÇÃO",IF(R373="RELACIONAMENTO","CS",IF(OR(R373="ORÇAMENTO",R373="CADASTRO"),"PROSPECÇÃO",IF(R373="EM ATENDIMENTO","EM ATENDIMENTO",IF(OR(R373="NÃO ATENDE",R373="NÃO RESPONDE",R373="RECUSOU LIGAÇÃO"),"RECUPERAÇÃO","")))))))))</f>
        <v/>
      </c>
      <c r="L373" s="58">
        <f>IF(H373="","",IF(G373="PROSPECT","🟣",IF(G373="LEAD","🟣",IF(G373="NOVO","🟢",IF(H373&lt;=50,"🟢",IF(H373&lt;=90,"🟡","🔴"))))))</f>
        <v/>
      </c>
      <c r="M373" s="58" t="n"/>
      <c r="N373" s="58" t="inlineStr">
        <is>
          <t>NÃO</t>
        </is>
      </c>
      <c r="O373" s="58" t="inlineStr">
        <is>
          <t>NÃO</t>
        </is>
      </c>
      <c r="P373" s="58" t="inlineStr">
        <is>
          <t>N/A</t>
        </is>
      </c>
      <c r="Q373" s="58" t="inlineStr">
        <is>
          <t>NEGOCIAÇÃO</t>
        </is>
      </c>
      <c r="R373" s="58" t="inlineStr">
        <is>
          <t>EM ATENDIMENTO</t>
        </is>
      </c>
      <c r="S373" s="58" t="n"/>
      <c r="T373" s="71">
        <f>IF(R373="","",IF(OR(R373="SUPORTE",R373="PERDA / FECHOU LOJA"),"SEM",A373+VLOOKUP(R373,REGRAS!$B$2:$C$13,2,FALSE())))</f>
        <v/>
      </c>
      <c r="U373" s="58">
        <f>IF(R373="","",IF(R373="VENDA / PEDIDO","RECOMPRA",IF(R373="SUPORTE","PÓS-VENDA",IF(R373="RELACIONAMENTO","CS",IF(OR(R373="NÃO ATENDE",R373="NÃO RESPONDE",R373="RECUSOU LIGAÇÃO"),"REATIVAÇÃO",IF(R373="PERDA / FECHOU LOJA","NUTRIÇÃO",IF(OR(R373="FOLLOW UP 7",R373="FOLLOW UP 15"),"SALVAMENTO","PROSPECÇÃO")))))))</f>
        <v/>
      </c>
      <c r="V373" s="58" t="n"/>
      <c r="W373" s="58" t="inlineStr">
        <is>
          <t>SIM</t>
        </is>
      </c>
      <c r="X373" s="58" t="n"/>
    </row>
    <row r="374">
      <c r="A374" s="71" t="n">
        <v>46064</v>
      </c>
      <c r="B374" s="58" t="inlineStr">
        <is>
          <t>LARISSA PADILHA</t>
        </is>
      </c>
      <c r="C374" s="58" t="inlineStr">
        <is>
          <t>SAUDE TOTAL 84</t>
        </is>
      </c>
      <c r="D374" s="58" t="inlineStr">
        <is>
          <t>92.905.434/7966-85</t>
        </is>
      </c>
      <c r="E374" s="58" t="inlineStr">
        <is>
          <t>SP</t>
        </is>
      </c>
      <c r="F374" s="58" t="inlineStr">
        <is>
          <t>VIDA LEVE</t>
        </is>
      </c>
      <c r="G374" s="58" t="inlineStr">
        <is>
          <t>INAT.REC</t>
        </is>
      </c>
      <c r="H374" s="58" t="n">
        <v>75</v>
      </c>
      <c r="I374" s="58">
        <f>IF(R374="","",VLOOKUP(R374,REGRAS!$B$2:$D$13,3,FALSE()))</f>
        <v/>
      </c>
      <c r="J374" s="58" t="n"/>
      <c r="K374" s="58">
        <f>IF(R374="","",IF(R374="VENDA / PEDIDO","RECOMPRA",IF(R374="SUPORTE","PÓS-VENDA",IF(OR(R374="FOLLOW UP 7",R374="FOLLOW UP 15"),"SALVAMENTO",IF(R374="PERDA / FECHOU LOJA","NUTRIÇÃO",IF(R374="RELACIONAMENTO","CS",IF(OR(R374="ORÇAMENTO",R374="CADASTRO"),"PROSPECÇÃO",IF(R374="EM ATENDIMENTO","EM ATENDIMENTO",IF(OR(R374="NÃO ATENDE",R374="NÃO RESPONDE",R374="RECUSOU LIGAÇÃO"),"RECUPERAÇÃO","")))))))))</f>
        <v/>
      </c>
      <c r="L374" s="58">
        <f>IF(H374="","",IF(G374="PROSPECT","🟣",IF(G374="LEAD","🟣",IF(G374="NOVO","🟢",IF(H374&lt;=50,"🟢",IF(H374&lt;=90,"🟡","🔴"))))))</f>
        <v/>
      </c>
      <c r="M374" s="58" t="n"/>
      <c r="N374" s="58" t="inlineStr">
        <is>
          <t>NÃO</t>
        </is>
      </c>
      <c r="O374" s="58" t="inlineStr">
        <is>
          <t>SIM</t>
        </is>
      </c>
      <c r="P374" s="58" t="inlineStr">
        <is>
          <t>SIM</t>
        </is>
      </c>
      <c r="Q374" s="58" t="inlineStr">
        <is>
          <t>FOLLOW UP</t>
        </is>
      </c>
      <c r="R374" s="58" t="inlineStr">
        <is>
          <t>EM ATENDIMENTO</t>
        </is>
      </c>
      <c r="S374" s="58" t="n"/>
      <c r="T374" s="71">
        <f>IF(R374="","",IF(OR(R374="SUPORTE",R374="PERDA / FECHOU LOJA"),"SEM",A374+VLOOKUP(R374,REGRAS!$B$2:$C$13,2,FALSE())))</f>
        <v/>
      </c>
      <c r="U374" s="58">
        <f>IF(R374="","",IF(R374="VENDA / PEDIDO","RECOMPRA",IF(R374="SUPORTE","PÓS-VENDA",IF(R374="RELACIONAMENTO","CS",IF(OR(R374="NÃO ATENDE",R374="NÃO RESPONDE",R374="RECUSOU LIGAÇÃO"),"REATIVAÇÃO",IF(R374="PERDA / FECHOU LOJA","NUTRIÇÃO",IF(OR(R374="FOLLOW UP 7",R374="FOLLOW UP 15"),"SALVAMENTO","PROSPECÇÃO")))))))</f>
        <v/>
      </c>
      <c r="V374" s="58" t="n"/>
      <c r="W374" s="58" t="inlineStr">
        <is>
          <t>SIM</t>
        </is>
      </c>
      <c r="X374" s="58" t="n"/>
    </row>
    <row r="375">
      <c r="A375" s="71" t="n">
        <v>46063</v>
      </c>
      <c r="B375" s="58" t="inlineStr">
        <is>
          <t>DAIANE STAVICKI</t>
        </is>
      </c>
      <c r="C375" s="58" t="inlineStr">
        <is>
          <t>BIOMUNDO CTB 19</t>
        </is>
      </c>
      <c r="D375" s="58" t="inlineStr">
        <is>
          <t>55.391.566/2726-89</t>
        </is>
      </c>
      <c r="E375" s="58" t="inlineStr">
        <is>
          <t>GO</t>
        </is>
      </c>
      <c r="F375" s="58" t="inlineStr">
        <is>
          <t>DEMAIS CLIENTES</t>
        </is>
      </c>
      <c r="G375" s="58" t="inlineStr">
        <is>
          <t>ATIVO</t>
        </is>
      </c>
      <c r="H375" s="58" t="n">
        <v>16</v>
      </c>
      <c r="I375" s="58">
        <f>IF(R375="","",VLOOKUP(R375,REGRAS!$B$2:$D$13,3,FALSE()))</f>
        <v/>
      </c>
      <c r="J375" s="58" t="n"/>
      <c r="K375" s="58">
        <f>IF(R375="","",IF(R375="VENDA / PEDIDO","RECOMPRA",IF(R375="SUPORTE","PÓS-VENDA",IF(OR(R375="FOLLOW UP 7",R375="FOLLOW UP 15"),"SALVAMENTO",IF(R375="PERDA / FECHOU LOJA","NUTRIÇÃO",IF(R375="RELACIONAMENTO","CS",IF(OR(R375="ORÇAMENTO",R375="CADASTRO"),"PROSPECÇÃO",IF(R375="EM ATENDIMENTO","EM ATENDIMENTO",IF(OR(R375="NÃO ATENDE",R375="NÃO RESPONDE",R375="RECUSOU LIGAÇÃO"),"RECUPERAÇÃO","")))))))))</f>
        <v/>
      </c>
      <c r="L375" s="58">
        <f>IF(H375="","",IF(G375="PROSPECT","🟣",IF(G375="LEAD","🟣",IF(G375="NOVO","🟢",IF(H375&lt;=50,"🟢",IF(H375&lt;=90,"🟡","🔴"))))))</f>
        <v/>
      </c>
      <c r="M375" s="58" t="n"/>
      <c r="N375" s="58" t="inlineStr">
        <is>
          <t>SIM</t>
        </is>
      </c>
      <c r="O375" s="58" t="inlineStr">
        <is>
          <t>SIM</t>
        </is>
      </c>
      <c r="P375" s="58" t="inlineStr">
        <is>
          <t>SIM</t>
        </is>
      </c>
      <c r="Q375" s="58" t="inlineStr">
        <is>
          <t>PÓS-VENDA / RELACIONAMENTO</t>
        </is>
      </c>
      <c r="R375" s="58" t="inlineStr">
        <is>
          <t>SUPORTE</t>
        </is>
      </c>
      <c r="S375" s="58" t="n"/>
      <c r="T375" s="71">
        <f>IF(R375="","",IF(OR(R375="SUPORTE",R375="PERDA / FECHOU LOJA"),"SEM",A375+VLOOKUP(R375,REGRAS!$B$2:$C$13,2,FALSE())))</f>
        <v/>
      </c>
      <c r="U375" s="58">
        <f>IF(R375="","",IF(R375="VENDA / PEDIDO","RECOMPRA",IF(R375="SUPORTE","PÓS-VENDA",IF(R375="RELACIONAMENTO","CS",IF(OR(R375="NÃO ATENDE",R375="NÃO RESPONDE",R375="RECUSOU LIGAÇÃO"),"REATIVAÇÃO",IF(R375="PERDA / FECHOU LOJA","NUTRIÇÃO",IF(OR(R375="FOLLOW UP 7",R375="FOLLOW UP 15"),"SALVAMENTO","PROSPECÇÃO")))))))</f>
        <v/>
      </c>
      <c r="V375" s="58" t="n"/>
      <c r="W375" s="58" t="inlineStr">
        <is>
          <t>SIM</t>
        </is>
      </c>
      <c r="X375" s="58" t="n"/>
    </row>
    <row r="376">
      <c r="A376" s="71" t="n">
        <v>46064</v>
      </c>
      <c r="B376" s="58" t="inlineStr">
        <is>
          <t>LARISSA PADILHA</t>
        </is>
      </c>
      <c r="C376" s="58" t="inlineStr">
        <is>
          <t>EMPÓRIO BIO 34</t>
        </is>
      </c>
      <c r="D376" s="58" t="inlineStr">
        <is>
          <t>57.288.310/9216-14</t>
        </is>
      </c>
      <c r="E376" s="58" t="inlineStr">
        <is>
          <t>SP</t>
        </is>
      </c>
      <c r="F376" s="58" t="inlineStr">
        <is>
          <t>DEMAIS CLIENTES</t>
        </is>
      </c>
      <c r="G376" s="58" t="inlineStr">
        <is>
          <t>ATIVO</t>
        </is>
      </c>
      <c r="H376" s="58" t="n">
        <v>33</v>
      </c>
      <c r="I376" s="58">
        <f>IF(R376="","",VLOOKUP(R376,REGRAS!$B$2:$D$13,3,FALSE()))</f>
        <v/>
      </c>
      <c r="J376" s="58" t="n"/>
      <c r="K376" s="58">
        <f>IF(R376="","",IF(R376="VENDA / PEDIDO","RECOMPRA",IF(R376="SUPORTE","PÓS-VENDA",IF(OR(R376="FOLLOW UP 7",R376="FOLLOW UP 15"),"SALVAMENTO",IF(R376="PERDA / FECHOU LOJA","NUTRIÇÃO",IF(R376="RELACIONAMENTO","CS",IF(OR(R376="ORÇAMENTO",R376="CADASTRO"),"PROSPECÇÃO",IF(R376="EM ATENDIMENTO","EM ATENDIMENTO",IF(OR(R376="NÃO ATENDE",R376="NÃO RESPONDE",R376="RECUSOU LIGAÇÃO"),"RECUPERAÇÃO","")))))))))</f>
        <v/>
      </c>
      <c r="L376" s="58">
        <f>IF(H376="","",IF(G376="PROSPECT","🟣",IF(G376="LEAD","🟣",IF(G376="NOVO","🟢",IF(H376&lt;=50,"🟢",IF(H376&lt;=90,"🟡","🔴"))))))</f>
        <v/>
      </c>
      <c r="M376" s="58" t="n"/>
      <c r="N376" s="58" t="inlineStr">
        <is>
          <t>SIM</t>
        </is>
      </c>
      <c r="O376" s="58" t="inlineStr">
        <is>
          <t>NÃO</t>
        </is>
      </c>
      <c r="P376" s="58" t="inlineStr">
        <is>
          <t>N/A</t>
        </is>
      </c>
      <c r="Q376" s="58" t="inlineStr">
        <is>
          <t>ATEND. CLIENTES ATIVOS</t>
        </is>
      </c>
      <c r="R376" s="58" t="inlineStr">
        <is>
          <t>VENDA / PEDIDO</t>
        </is>
      </c>
      <c r="S376" s="58" t="n"/>
      <c r="T376" s="71">
        <f>IF(R376="","",IF(OR(R376="SUPORTE",R376="PERDA / FECHOU LOJA"),"SEM",A376+VLOOKUP(R376,REGRAS!$B$2:$C$13,2,FALSE())))</f>
        <v/>
      </c>
      <c r="U376" s="58">
        <f>IF(R376="","",IF(R376="VENDA / PEDIDO","RECOMPRA",IF(R376="SUPORTE","PÓS-VENDA",IF(R376="RELACIONAMENTO","CS",IF(OR(R376="NÃO ATENDE",R376="NÃO RESPONDE",R376="RECUSOU LIGAÇÃO"),"REATIVAÇÃO",IF(R376="PERDA / FECHOU LOJA","NUTRIÇÃO",IF(OR(R376="FOLLOW UP 7",R376="FOLLOW UP 15"),"SALVAMENTO","PROSPECÇÃO")))))))</f>
        <v/>
      </c>
      <c r="V376" s="58" t="n"/>
      <c r="W376" s="58" t="inlineStr">
        <is>
          <t>SIM</t>
        </is>
      </c>
      <c r="X376" s="58" t="n"/>
    </row>
    <row r="377">
      <c r="A377" s="71" t="n">
        <v>46069</v>
      </c>
      <c r="B377" s="58" t="inlineStr">
        <is>
          <t>DAIANE STAVICKI</t>
        </is>
      </c>
      <c r="C377" s="58" t="inlineStr">
        <is>
          <t>NATURAL HOUSE 41</t>
        </is>
      </c>
      <c r="D377" s="58" t="inlineStr">
        <is>
          <t>29.104.856/8949-74</t>
        </is>
      </c>
      <c r="E377" s="58" t="inlineStr">
        <is>
          <t>SC</t>
        </is>
      </c>
      <c r="F377" s="58" t="inlineStr">
        <is>
          <t>DEMAIS CLIENTES</t>
        </is>
      </c>
      <c r="G377" s="58" t="inlineStr">
        <is>
          <t>EM RISCO</t>
        </is>
      </c>
      <c r="H377" s="58" t="n">
        <v>55</v>
      </c>
      <c r="I377" s="58">
        <f>IF(R377="","",VLOOKUP(R377,REGRAS!$B$2:$D$13,3,FALSE()))</f>
        <v/>
      </c>
      <c r="J377" s="58" t="n"/>
      <c r="K377" s="58">
        <f>IF(R377="","",IF(R377="VENDA / PEDIDO","RECOMPRA",IF(R377="SUPORTE","PÓS-VENDA",IF(OR(R377="FOLLOW UP 7",R377="FOLLOW UP 15"),"SALVAMENTO",IF(R377="PERDA / FECHOU LOJA","NUTRIÇÃO",IF(R377="RELACIONAMENTO","CS",IF(OR(R377="ORÇAMENTO",R377="CADASTRO"),"PROSPECÇÃO",IF(R377="EM ATENDIMENTO","EM ATENDIMENTO",IF(OR(R377="NÃO ATENDE",R377="NÃO RESPONDE",R377="RECUSOU LIGAÇÃO"),"RECUPERAÇÃO","")))))))))</f>
        <v/>
      </c>
      <c r="L377" s="58">
        <f>IF(H377="","",IF(G377="PROSPECT","🟣",IF(G377="LEAD","🟣",IF(G377="NOVO","🟢",IF(H377&lt;=50,"🟢",IF(H377&lt;=90,"🟡","🔴"))))))</f>
        <v/>
      </c>
      <c r="M377" s="58" t="n"/>
      <c r="N377" s="58" t="inlineStr">
        <is>
          <t>NÃO</t>
        </is>
      </c>
      <c r="O377" s="58" t="inlineStr">
        <is>
          <t>NÃO</t>
        </is>
      </c>
      <c r="P377" s="58" t="inlineStr">
        <is>
          <t>N/A</t>
        </is>
      </c>
      <c r="Q377" s="58" t="inlineStr">
        <is>
          <t>PERDA / NUTRIÇÃO</t>
        </is>
      </c>
      <c r="R377" s="58" t="inlineStr">
        <is>
          <t>RECUSOU LIGAÇÃO</t>
        </is>
      </c>
      <c r="S377" s="58" t="inlineStr">
        <is>
          <t>PROPRIETARIO / INDISPONÍVEL</t>
        </is>
      </c>
      <c r="T377" s="71">
        <f>IF(R377="","",IF(OR(R377="SUPORTE",R377="PERDA / FECHOU LOJA"),"SEM",A377+VLOOKUP(R377,REGRAS!$B$2:$C$13,2,FALSE())))</f>
        <v/>
      </c>
      <c r="U377" s="58">
        <f>IF(R377="","",IF(R377="VENDA / PEDIDO","RECOMPRA",IF(R377="SUPORTE","PÓS-VENDA",IF(R377="RELACIONAMENTO","CS",IF(OR(R377="NÃO ATENDE",R377="NÃO RESPONDE",R377="RECUSOU LIGAÇÃO"),"REATIVAÇÃO",IF(R377="PERDA / FECHOU LOJA","NUTRIÇÃO",IF(OR(R377="FOLLOW UP 7",R377="FOLLOW UP 15"),"SALVAMENTO","PROSPECÇÃO")))))))</f>
        <v/>
      </c>
      <c r="V377" s="58" t="n"/>
      <c r="W377" s="58" t="inlineStr">
        <is>
          <t>NÃO</t>
        </is>
      </c>
      <c r="X377" s="58" t="n"/>
    </row>
    <row r="378">
      <c r="A378" s="71" t="n">
        <v>46068</v>
      </c>
      <c r="B378" s="58" t="inlineStr">
        <is>
          <t>MANU DITZEL</t>
        </is>
      </c>
      <c r="C378" s="58" t="inlineStr">
        <is>
          <t>CASA DO GRANEL 94</t>
        </is>
      </c>
      <c r="D378" s="58" t="inlineStr">
        <is>
          <t>71.141.242/9027-24</t>
        </is>
      </c>
      <c r="E378" s="58" t="inlineStr">
        <is>
          <t>SC</t>
        </is>
      </c>
      <c r="F378" s="58" t="inlineStr">
        <is>
          <t>FIT LAND</t>
        </is>
      </c>
      <c r="G378" s="58" t="inlineStr">
        <is>
          <t>NOVO</t>
        </is>
      </c>
      <c r="H378" s="58" t="n"/>
      <c r="I378" s="58">
        <f>IF(R378="","",VLOOKUP(R378,REGRAS!$B$2:$D$13,3,FALSE()))</f>
        <v/>
      </c>
      <c r="J378" s="58" t="n"/>
      <c r="K378" s="58">
        <f>IF(R378="","",IF(R378="VENDA / PEDIDO","RECOMPRA",IF(R378="SUPORTE","PÓS-VENDA",IF(OR(R378="FOLLOW UP 7",R378="FOLLOW UP 15"),"SALVAMENTO",IF(R378="PERDA / FECHOU LOJA","NUTRIÇÃO",IF(R378="RELACIONAMENTO","CS",IF(OR(R378="ORÇAMENTO",R378="CADASTRO"),"PROSPECÇÃO",IF(R378="EM ATENDIMENTO","EM ATENDIMENTO",IF(OR(R378="NÃO ATENDE",R378="NÃO RESPONDE",R378="RECUSOU LIGAÇÃO"),"RECUPERAÇÃO","")))))))))</f>
        <v/>
      </c>
      <c r="L378" s="58">
        <f>IF(H378="","",IF(G378="PROSPECT","🟣",IF(G378="LEAD","🟣",IF(G378="NOVO","🟢",IF(H378&lt;=50,"🟢",IF(H378&lt;=90,"🟡","🔴"))))))</f>
        <v/>
      </c>
      <c r="M378" s="58" t="n"/>
      <c r="N378" s="58" t="inlineStr">
        <is>
          <t>SIM</t>
        </is>
      </c>
      <c r="O378" s="58" t="inlineStr">
        <is>
          <t>NÃO</t>
        </is>
      </c>
      <c r="P378" s="58" t="inlineStr">
        <is>
          <t>N/A</t>
        </is>
      </c>
      <c r="Q378" s="58" t="inlineStr">
        <is>
          <t>ATEND. CLIENTES ATIVOS</t>
        </is>
      </c>
      <c r="R378" s="58" t="inlineStr">
        <is>
          <t>VENDA / PEDIDO</t>
        </is>
      </c>
      <c r="S378" s="58" t="n"/>
      <c r="T378" s="71">
        <f>IF(R378="","",IF(OR(R378="SUPORTE",R378="PERDA / FECHOU LOJA"),"SEM",A378+VLOOKUP(R378,REGRAS!$B$2:$C$13,2,FALSE())))</f>
        <v/>
      </c>
      <c r="U378" s="58">
        <f>IF(R378="","",IF(R378="VENDA / PEDIDO","RECOMPRA",IF(R378="SUPORTE","PÓS-VENDA",IF(R378="RELACIONAMENTO","CS",IF(OR(R378="NÃO ATENDE",R378="NÃO RESPONDE",R378="RECUSOU LIGAÇÃO"),"REATIVAÇÃO",IF(R378="PERDA / FECHOU LOJA","NUTRIÇÃO",IF(OR(R378="FOLLOW UP 7",R378="FOLLOW UP 15"),"SALVAMENTO","PROSPECÇÃO")))))))</f>
        <v/>
      </c>
      <c r="V378" s="58" t="n"/>
      <c r="W378" s="58" t="inlineStr">
        <is>
          <t>SIM</t>
        </is>
      </c>
      <c r="X378" s="58" t="n"/>
    </row>
    <row r="379">
      <c r="A379" s="71" t="n">
        <v>46061</v>
      </c>
      <c r="B379" s="58" t="inlineStr">
        <is>
          <t>DAIANE STAVICKI</t>
        </is>
      </c>
      <c r="C379" s="58" t="inlineStr">
        <is>
          <t>NATUR LIFE 26</t>
        </is>
      </c>
      <c r="D379" s="58" t="inlineStr">
        <is>
          <t>12.185.651/7299-96</t>
        </is>
      </c>
      <c r="E379" s="58" t="inlineStr">
        <is>
          <t>SP</t>
        </is>
      </c>
      <c r="F379" s="58" t="inlineStr">
        <is>
          <t>MUNDO VERDE</t>
        </is>
      </c>
      <c r="G379" s="58" t="inlineStr">
        <is>
          <t>INAT.REC</t>
        </is>
      </c>
      <c r="H379" s="58" t="n">
        <v>67</v>
      </c>
      <c r="I379" s="58">
        <f>IF(R379="","",VLOOKUP(R379,REGRAS!$B$2:$D$13,3,FALSE()))</f>
        <v/>
      </c>
      <c r="J379" s="58" t="n"/>
      <c r="K379" s="58">
        <f>IF(R379="","",IF(R379="VENDA / PEDIDO","RECOMPRA",IF(R379="SUPORTE","PÓS-VENDA",IF(OR(R379="FOLLOW UP 7",R379="FOLLOW UP 15"),"SALVAMENTO",IF(R379="PERDA / FECHOU LOJA","NUTRIÇÃO",IF(R379="RELACIONAMENTO","CS",IF(OR(R379="ORÇAMENTO",R379="CADASTRO"),"PROSPECÇÃO",IF(R379="EM ATENDIMENTO","EM ATENDIMENTO",IF(OR(R379="NÃO ATENDE",R379="NÃO RESPONDE",R379="RECUSOU LIGAÇÃO"),"RECUPERAÇÃO","")))))))))</f>
        <v/>
      </c>
      <c r="L379" s="58">
        <f>IF(H379="","",IF(G379="PROSPECT","🟣",IF(G379="LEAD","🟣",IF(G379="NOVO","🟢",IF(H379&lt;=50,"🟢",IF(H379&lt;=90,"🟡","🔴"))))))</f>
        <v/>
      </c>
      <c r="M379" s="58" t="n"/>
      <c r="N379" s="58" t="inlineStr">
        <is>
          <t>SIM</t>
        </is>
      </c>
      <c r="O379" s="58" t="inlineStr">
        <is>
          <t>SIM</t>
        </is>
      </c>
      <c r="P379" s="58" t="inlineStr">
        <is>
          <t>NÃO</t>
        </is>
      </c>
      <c r="Q379" s="58" t="inlineStr">
        <is>
          <t>ATEND. CLIENTES ATIVOS</t>
        </is>
      </c>
      <c r="R379" s="58" t="inlineStr">
        <is>
          <t>FOLLOW UP 7</t>
        </is>
      </c>
      <c r="S379" s="58" t="inlineStr">
        <is>
          <t>PRODUTO NÃO VENDEU / SEM GIRO</t>
        </is>
      </c>
      <c r="T379" s="71">
        <f>IF(R379="","",IF(OR(R379="SUPORTE",R379="PERDA / FECHOU LOJA"),"SEM",A379+VLOOKUP(R379,REGRAS!$B$2:$C$13,2,FALSE())))</f>
        <v/>
      </c>
      <c r="U379" s="58">
        <f>IF(R379="","",IF(R379="VENDA / PEDIDO","RECOMPRA",IF(R379="SUPORTE","PÓS-VENDA",IF(R379="RELACIONAMENTO","CS",IF(OR(R379="NÃO ATENDE",R379="NÃO RESPONDE",R379="RECUSOU LIGAÇÃO"),"REATIVAÇÃO",IF(R379="PERDA / FECHOU LOJA","NUTRIÇÃO",IF(OR(R379="FOLLOW UP 7",R379="FOLLOW UP 15"),"SALVAMENTO","PROSPECÇÃO")))))))</f>
        <v/>
      </c>
      <c r="V379" s="58" t="n"/>
      <c r="W379" s="58" t="inlineStr">
        <is>
          <t>NÃO</t>
        </is>
      </c>
      <c r="X379" s="58" t="n"/>
    </row>
    <row r="380">
      <c r="A380" s="71" t="n">
        <v>46067</v>
      </c>
      <c r="B380" s="58" t="inlineStr">
        <is>
          <t>LARISSA PADILHA</t>
        </is>
      </c>
      <c r="C380" s="58" t="inlineStr">
        <is>
          <t>GRANEL &amp; CIA 02</t>
        </is>
      </c>
      <c r="D380" s="58" t="inlineStr">
        <is>
          <t>46.453.459/5048-67</t>
        </is>
      </c>
      <c r="E380" s="58" t="inlineStr">
        <is>
          <t>BA</t>
        </is>
      </c>
      <c r="F380" s="58" t="inlineStr">
        <is>
          <t>MUNDO VERDE</t>
        </is>
      </c>
      <c r="G380" s="58" t="inlineStr">
        <is>
          <t>INAT.ANT</t>
        </is>
      </c>
      <c r="H380" s="58" t="n">
        <v>204</v>
      </c>
      <c r="I380" s="58">
        <f>IF(R380="","",VLOOKUP(R380,REGRAS!$B$2:$D$13,3,FALSE()))</f>
        <v/>
      </c>
      <c r="J380" s="58" t="n"/>
      <c r="K380" s="58">
        <f>IF(R380="","",IF(R380="VENDA / PEDIDO","RECOMPRA",IF(R380="SUPORTE","PÓS-VENDA",IF(OR(R380="FOLLOW UP 7",R380="FOLLOW UP 15"),"SALVAMENTO",IF(R380="PERDA / FECHOU LOJA","NUTRIÇÃO",IF(R380="RELACIONAMENTO","CS",IF(OR(R380="ORÇAMENTO",R380="CADASTRO"),"PROSPECÇÃO",IF(R380="EM ATENDIMENTO","EM ATENDIMENTO",IF(OR(R380="NÃO ATENDE",R380="NÃO RESPONDE",R380="RECUSOU LIGAÇÃO"),"RECUPERAÇÃO","")))))))))</f>
        <v/>
      </c>
      <c r="L380" s="58">
        <f>IF(H380="","",IF(G380="PROSPECT","🟣",IF(G380="LEAD","🟣",IF(G380="NOVO","🟢",IF(H380&lt;=50,"🟢",IF(H380&lt;=90,"🟡","🔴"))))))</f>
        <v/>
      </c>
      <c r="M380" s="58" t="n"/>
      <c r="N380" s="58" t="inlineStr">
        <is>
          <t>SIM</t>
        </is>
      </c>
      <c r="O380" s="58" t="inlineStr">
        <is>
          <t>SIM</t>
        </is>
      </c>
      <c r="P380" s="58" t="inlineStr">
        <is>
          <t>NÃO</t>
        </is>
      </c>
      <c r="Q380" s="58" t="inlineStr">
        <is>
          <t>ATEND. CLIENTES INATIVOS</t>
        </is>
      </c>
      <c r="R380" s="58" t="inlineStr">
        <is>
          <t>NÃO RESPONDE</t>
        </is>
      </c>
      <c r="S380" s="58" t="inlineStr">
        <is>
          <t>SEM INTERESSE NO MOMENTO</t>
        </is>
      </c>
      <c r="T380" s="71">
        <f>IF(R380="","",IF(OR(R380="SUPORTE",R380="PERDA / FECHOU LOJA"),"SEM",A380+VLOOKUP(R380,REGRAS!$B$2:$C$13,2,FALSE())))</f>
        <v/>
      </c>
      <c r="U380" s="58">
        <f>IF(R380="","",IF(R380="VENDA / PEDIDO","RECOMPRA",IF(R380="SUPORTE","PÓS-VENDA",IF(R380="RELACIONAMENTO","CS",IF(OR(R380="NÃO ATENDE",R380="NÃO RESPONDE",R380="RECUSOU LIGAÇÃO"),"REATIVAÇÃO",IF(R380="PERDA / FECHOU LOJA","NUTRIÇÃO",IF(OR(R380="FOLLOW UP 7",R380="FOLLOW UP 15"),"SALVAMENTO","PROSPECÇÃO")))))))</f>
        <v/>
      </c>
      <c r="V380" s="58" t="n"/>
      <c r="W380" s="58" t="inlineStr">
        <is>
          <t>NÃO</t>
        </is>
      </c>
      <c r="X380" s="58" t="n"/>
    </row>
    <row r="381">
      <c r="A381" s="71" t="n">
        <v>46067</v>
      </c>
      <c r="B381" s="58" t="inlineStr">
        <is>
          <t>MANU DITZEL</t>
        </is>
      </c>
      <c r="C381" s="58" t="inlineStr">
        <is>
          <t>VERDE ESSENCE 77</t>
        </is>
      </c>
      <c r="D381" s="58" t="inlineStr">
        <is>
          <t>21.247.312/4969-70</t>
        </is>
      </c>
      <c r="E381" s="58" t="inlineStr">
        <is>
          <t>CE</t>
        </is>
      </c>
      <c r="F381" s="58" t="inlineStr">
        <is>
          <t>DIVINA TERRA</t>
        </is>
      </c>
      <c r="G381" s="58" t="inlineStr">
        <is>
          <t>ATIVO</t>
        </is>
      </c>
      <c r="H381" s="58" t="n">
        <v>42</v>
      </c>
      <c r="I381" s="58">
        <f>IF(R381="","",VLOOKUP(R381,REGRAS!$B$2:$D$13,3,FALSE()))</f>
        <v/>
      </c>
      <c r="J381" s="58" t="n"/>
      <c r="K381" s="58">
        <f>IF(R381="","",IF(R381="VENDA / PEDIDO","RECOMPRA",IF(R381="SUPORTE","PÓS-VENDA",IF(OR(R381="FOLLOW UP 7",R381="FOLLOW UP 15"),"SALVAMENTO",IF(R381="PERDA / FECHOU LOJA","NUTRIÇÃO",IF(R381="RELACIONAMENTO","CS",IF(OR(R381="ORÇAMENTO",R381="CADASTRO"),"PROSPECÇÃO",IF(R381="EM ATENDIMENTO","EM ATENDIMENTO",IF(OR(R381="NÃO ATENDE",R381="NÃO RESPONDE",R381="RECUSOU LIGAÇÃO"),"RECUPERAÇÃO","")))))))))</f>
        <v/>
      </c>
      <c r="L381" s="58">
        <f>IF(H381="","",IF(G381="PROSPECT","🟣",IF(G381="LEAD","🟣",IF(G381="NOVO","🟢",IF(H381&lt;=50,"🟢",IF(H381&lt;=90,"🟡","🔴"))))))</f>
        <v/>
      </c>
      <c r="M381" s="58" t="n"/>
      <c r="N381" s="58" t="inlineStr">
        <is>
          <t>SIM</t>
        </is>
      </c>
      <c r="O381" s="58" t="inlineStr">
        <is>
          <t>NÃO</t>
        </is>
      </c>
      <c r="P381" s="58" t="inlineStr">
        <is>
          <t>N/A</t>
        </is>
      </c>
      <c r="Q381" s="58" t="inlineStr">
        <is>
          <t>PÓS-VENDA / RELACIONAMENTO</t>
        </is>
      </c>
      <c r="R381" s="58" t="inlineStr">
        <is>
          <t>RELACIONAMENTO</t>
        </is>
      </c>
      <c r="S381" s="58" t="n"/>
      <c r="T381" s="71">
        <f>IF(R381="","",IF(OR(R381="SUPORTE",R381="PERDA / FECHOU LOJA"),"SEM",A381+VLOOKUP(R381,REGRAS!$B$2:$C$13,2,FALSE())))</f>
        <v/>
      </c>
      <c r="U381" s="58">
        <f>IF(R381="","",IF(R381="VENDA / PEDIDO","RECOMPRA",IF(R381="SUPORTE","PÓS-VENDA",IF(R381="RELACIONAMENTO","CS",IF(OR(R381="NÃO ATENDE",R381="NÃO RESPONDE",R381="RECUSOU LIGAÇÃO"),"REATIVAÇÃO",IF(R381="PERDA / FECHOU LOJA","NUTRIÇÃO",IF(OR(R381="FOLLOW UP 7",R381="FOLLOW UP 15"),"SALVAMENTO","PROSPECÇÃO")))))))</f>
        <v/>
      </c>
      <c r="V381" s="58" t="n"/>
      <c r="W381" s="58" t="inlineStr">
        <is>
          <t>SIM</t>
        </is>
      </c>
      <c r="X381" s="58" t="n"/>
    </row>
    <row r="382">
      <c r="A382" s="71" t="n">
        <v>46071</v>
      </c>
      <c r="B382" s="58" t="inlineStr">
        <is>
          <t>LARISSA PADILHA</t>
        </is>
      </c>
      <c r="C382" s="58" t="inlineStr">
        <is>
          <t>PURA VIDA 97</t>
        </is>
      </c>
      <c r="D382" s="58" t="inlineStr">
        <is>
          <t>27.304.290/6255-47</t>
        </is>
      </c>
      <c r="E382" s="58" t="inlineStr">
        <is>
          <t>SP</t>
        </is>
      </c>
      <c r="F382" s="58" t="inlineStr">
        <is>
          <t>MUNDO VERDE</t>
        </is>
      </c>
      <c r="G382" s="58" t="inlineStr">
        <is>
          <t>NOVO</t>
        </is>
      </c>
      <c r="H382" s="58" t="n"/>
      <c r="I382" s="58">
        <f>IF(R382="","",VLOOKUP(R382,REGRAS!$B$2:$D$13,3,FALSE()))</f>
        <v/>
      </c>
      <c r="J382" s="58" t="n"/>
      <c r="K382" s="58">
        <f>IF(R382="","",IF(R382="VENDA / PEDIDO","RECOMPRA",IF(R382="SUPORTE","PÓS-VENDA",IF(OR(R382="FOLLOW UP 7",R382="FOLLOW UP 15"),"SALVAMENTO",IF(R382="PERDA / FECHOU LOJA","NUTRIÇÃO",IF(R382="RELACIONAMENTO","CS",IF(OR(R382="ORÇAMENTO",R382="CADASTRO"),"PROSPECÇÃO",IF(R382="EM ATENDIMENTO","EM ATENDIMENTO",IF(OR(R382="NÃO ATENDE",R382="NÃO RESPONDE",R382="RECUSOU LIGAÇÃO"),"RECUPERAÇÃO","")))))))))</f>
        <v/>
      </c>
      <c r="L382" s="58">
        <f>IF(H382="","",IF(G382="PROSPECT","🟣",IF(G382="LEAD","🟣",IF(G382="NOVO","🟢",IF(H382&lt;=50,"🟢",IF(H382&lt;=90,"🟡","🔴"))))))</f>
        <v/>
      </c>
      <c r="M382" s="58" t="n"/>
      <c r="N382" s="58" t="inlineStr">
        <is>
          <t>SIM</t>
        </is>
      </c>
      <c r="O382" s="58" t="inlineStr">
        <is>
          <t>NÃO</t>
        </is>
      </c>
      <c r="P382" s="58" t="inlineStr">
        <is>
          <t>N/A</t>
        </is>
      </c>
      <c r="Q382" s="58" t="inlineStr">
        <is>
          <t>PÓS-VENDA / RELACIONAMENTO</t>
        </is>
      </c>
      <c r="R382" s="58" t="inlineStr">
        <is>
          <t>FOLLOW UP 7</t>
        </is>
      </c>
      <c r="S382" s="58" t="inlineStr">
        <is>
          <t>AINDA TEM ESTOQUE</t>
        </is>
      </c>
      <c r="T382" s="71">
        <f>IF(R382="","",IF(OR(R382="SUPORTE",R382="PERDA / FECHOU LOJA"),"SEM",A382+VLOOKUP(R382,REGRAS!$B$2:$C$13,2,FALSE())))</f>
        <v/>
      </c>
      <c r="U382" s="58">
        <f>IF(R382="","",IF(R382="VENDA / PEDIDO","RECOMPRA",IF(R382="SUPORTE","PÓS-VENDA",IF(R382="RELACIONAMENTO","CS",IF(OR(R382="NÃO ATENDE",R382="NÃO RESPONDE",R382="RECUSOU LIGAÇÃO"),"REATIVAÇÃO",IF(R382="PERDA / FECHOU LOJA","NUTRIÇÃO",IF(OR(R382="FOLLOW UP 7",R382="FOLLOW UP 15"),"SALVAMENTO","PROSPECÇÃO")))))))</f>
        <v/>
      </c>
      <c r="V382" s="58" t="n"/>
      <c r="W382" s="58" t="inlineStr">
        <is>
          <t>SIM</t>
        </is>
      </c>
      <c r="X382" s="58" t="n"/>
    </row>
    <row r="383">
      <c r="A383" s="71" t="n">
        <v>46062</v>
      </c>
      <c r="B383" s="58" t="inlineStr">
        <is>
          <t>MANU DITZEL</t>
        </is>
      </c>
      <c r="C383" s="58" t="inlineStr">
        <is>
          <t>FEIRA VERDE 16</t>
        </is>
      </c>
      <c r="D383" s="58" t="inlineStr">
        <is>
          <t>93.781.394/6835-32</t>
        </is>
      </c>
      <c r="E383" s="58" t="inlineStr">
        <is>
          <t>RS</t>
        </is>
      </c>
      <c r="F383" s="58" t="inlineStr">
        <is>
          <t>TUDO EM GRAOS</t>
        </is>
      </c>
      <c r="G383" s="58" t="inlineStr">
        <is>
          <t>ATIVO</t>
        </is>
      </c>
      <c r="H383" s="58" t="n">
        <v>12</v>
      </c>
      <c r="I383" s="58">
        <f>IF(R383="","",VLOOKUP(R383,REGRAS!$B$2:$D$13,3,FALSE()))</f>
        <v/>
      </c>
      <c r="J383" s="58" t="n"/>
      <c r="K383" s="58">
        <f>IF(R383="","",IF(R383="VENDA / PEDIDO","RECOMPRA",IF(R383="SUPORTE","PÓS-VENDA",IF(OR(R383="FOLLOW UP 7",R383="FOLLOW UP 15"),"SALVAMENTO",IF(R383="PERDA / FECHOU LOJA","NUTRIÇÃO",IF(R383="RELACIONAMENTO","CS",IF(OR(R383="ORÇAMENTO",R383="CADASTRO"),"PROSPECÇÃO",IF(R383="EM ATENDIMENTO","EM ATENDIMENTO",IF(OR(R383="NÃO ATENDE",R383="NÃO RESPONDE",R383="RECUSOU LIGAÇÃO"),"RECUPERAÇÃO","")))))))))</f>
        <v/>
      </c>
      <c r="L383" s="58">
        <f>IF(H383="","",IF(G383="PROSPECT","🟣",IF(G383="LEAD","🟣",IF(G383="NOVO","🟢",IF(H383&lt;=50,"🟢",IF(H383&lt;=90,"🟡","🔴"))))))</f>
        <v/>
      </c>
      <c r="M383" s="58" t="n"/>
      <c r="N383" s="58" t="inlineStr">
        <is>
          <t>NÃO</t>
        </is>
      </c>
      <c r="O383" s="58" t="inlineStr">
        <is>
          <t>NÃO</t>
        </is>
      </c>
      <c r="P383" s="58" t="inlineStr">
        <is>
          <t>N/A</t>
        </is>
      </c>
      <c r="Q383" s="58" t="inlineStr">
        <is>
          <t>PÓS-VENDA / RELACIONAMENTO</t>
        </is>
      </c>
      <c r="R383" s="58" t="inlineStr">
        <is>
          <t>FOLLOW UP 15</t>
        </is>
      </c>
      <c r="S383" s="58" t="inlineStr">
        <is>
          <t>PRODUTO NÃO VENDEU / SEM GIRO</t>
        </is>
      </c>
      <c r="T383" s="71">
        <f>IF(R383="","",IF(OR(R383="SUPORTE",R383="PERDA / FECHOU LOJA"),"SEM",A383+VLOOKUP(R383,REGRAS!$B$2:$C$13,2,FALSE())))</f>
        <v/>
      </c>
      <c r="U383" s="58">
        <f>IF(R383="","",IF(R383="VENDA / PEDIDO","RECOMPRA",IF(R383="SUPORTE","PÓS-VENDA",IF(R383="RELACIONAMENTO","CS",IF(OR(R383="NÃO ATENDE",R383="NÃO RESPONDE",R383="RECUSOU LIGAÇÃO"),"REATIVAÇÃO",IF(R383="PERDA / FECHOU LOJA","NUTRIÇÃO",IF(OR(R383="FOLLOW UP 7",R383="FOLLOW UP 15"),"SALVAMENTO","PROSPECÇÃO")))))))</f>
        <v/>
      </c>
      <c r="V383" s="58" t="n"/>
      <c r="W383" s="58" t="inlineStr">
        <is>
          <t>SIM</t>
        </is>
      </c>
      <c r="X383" s="58" t="n"/>
    </row>
    <row r="384">
      <c r="A384" s="71" t="n">
        <v>46067</v>
      </c>
      <c r="B384" s="58" t="inlineStr">
        <is>
          <t>DAIANE STAVICKI</t>
        </is>
      </c>
      <c r="C384" s="58" t="inlineStr">
        <is>
          <t>FEIRA VERDE 89</t>
        </is>
      </c>
      <c r="D384" s="58" t="inlineStr">
        <is>
          <t>25.482.624/9426-12</t>
        </is>
      </c>
      <c r="E384" s="58" t="inlineStr">
        <is>
          <t>MG</t>
        </is>
      </c>
      <c r="F384" s="58" t="inlineStr">
        <is>
          <t>BIOMUNDO</t>
        </is>
      </c>
      <c r="G384" s="58" t="inlineStr">
        <is>
          <t>ATIVO</t>
        </is>
      </c>
      <c r="H384" s="58" t="n">
        <v>25</v>
      </c>
      <c r="I384" s="58">
        <f>IF(R384="","",VLOOKUP(R384,REGRAS!$B$2:$D$13,3,FALSE()))</f>
        <v/>
      </c>
      <c r="J384" s="58" t="n"/>
      <c r="K384" s="58">
        <f>IF(R384="","",IF(R384="VENDA / PEDIDO","RECOMPRA",IF(R384="SUPORTE","PÓS-VENDA",IF(OR(R384="FOLLOW UP 7",R384="FOLLOW UP 15"),"SALVAMENTO",IF(R384="PERDA / FECHOU LOJA","NUTRIÇÃO",IF(R384="RELACIONAMENTO","CS",IF(OR(R384="ORÇAMENTO",R384="CADASTRO"),"PROSPECÇÃO",IF(R384="EM ATENDIMENTO","EM ATENDIMENTO",IF(OR(R384="NÃO ATENDE",R384="NÃO RESPONDE",R384="RECUSOU LIGAÇÃO"),"RECUPERAÇÃO","")))))))))</f>
        <v/>
      </c>
      <c r="L384" s="58">
        <f>IF(H384="","",IF(G384="PROSPECT","🟣",IF(G384="LEAD","🟣",IF(G384="NOVO","🟢",IF(H384&lt;=50,"🟢",IF(H384&lt;=90,"🟡","🔴"))))))</f>
        <v/>
      </c>
      <c r="M384" s="58" t="n"/>
      <c r="N384" s="58" t="inlineStr">
        <is>
          <t>SIM</t>
        </is>
      </c>
      <c r="O384" s="58" t="inlineStr">
        <is>
          <t>SIM</t>
        </is>
      </c>
      <c r="P384" s="58" t="inlineStr">
        <is>
          <t>SIM</t>
        </is>
      </c>
      <c r="Q384" s="58" t="inlineStr">
        <is>
          <t>ATEND. CLIENTES ATIVOS</t>
        </is>
      </c>
      <c r="R384" s="58" t="inlineStr">
        <is>
          <t>FOLLOW UP 15</t>
        </is>
      </c>
      <c r="S384" s="58" t="inlineStr">
        <is>
          <t>PROBLEMA LOGÍSTICO / ENTREGA</t>
        </is>
      </c>
      <c r="T384" s="71">
        <f>IF(R384="","",IF(OR(R384="SUPORTE",R384="PERDA / FECHOU LOJA"),"SEM",A384+VLOOKUP(R384,REGRAS!$B$2:$C$13,2,FALSE())))</f>
        <v/>
      </c>
      <c r="U384" s="58">
        <f>IF(R384="","",IF(R384="VENDA / PEDIDO","RECOMPRA",IF(R384="SUPORTE","PÓS-VENDA",IF(R384="RELACIONAMENTO","CS",IF(OR(R384="NÃO ATENDE",R384="NÃO RESPONDE",R384="RECUSOU LIGAÇÃO"),"REATIVAÇÃO",IF(R384="PERDA / FECHOU LOJA","NUTRIÇÃO",IF(OR(R384="FOLLOW UP 7",R384="FOLLOW UP 15"),"SALVAMENTO","PROSPECÇÃO")))))))</f>
        <v/>
      </c>
      <c r="V384" s="58" t="n"/>
      <c r="W384" s="58" t="inlineStr">
        <is>
          <t>NÃO</t>
        </is>
      </c>
      <c r="X384" s="58" t="n"/>
    </row>
    <row r="385">
      <c r="A385" s="71" t="n">
        <v>46055</v>
      </c>
      <c r="B385" s="58" t="inlineStr">
        <is>
          <t>MANU DITZEL</t>
        </is>
      </c>
      <c r="C385" s="58" t="inlineStr">
        <is>
          <t>LOJA NATURAL 82</t>
        </is>
      </c>
      <c r="D385" s="58" t="inlineStr">
        <is>
          <t>19.626.298/3003-22</t>
        </is>
      </c>
      <c r="E385" s="58" t="inlineStr">
        <is>
          <t>SP</t>
        </is>
      </c>
      <c r="F385" s="58" t="inlineStr">
        <is>
          <t>BIOMUNDO</t>
        </is>
      </c>
      <c r="G385" s="58" t="inlineStr">
        <is>
          <t>ATIVO</t>
        </is>
      </c>
      <c r="H385" s="58" t="n">
        <v>25</v>
      </c>
      <c r="I385" s="58">
        <f>IF(R385="","",VLOOKUP(R385,REGRAS!$B$2:$D$13,3,FALSE()))</f>
        <v/>
      </c>
      <c r="J385" s="58" t="n"/>
      <c r="K385" s="58">
        <f>IF(R385="","",IF(R385="VENDA / PEDIDO","RECOMPRA",IF(R385="SUPORTE","PÓS-VENDA",IF(OR(R385="FOLLOW UP 7",R385="FOLLOW UP 15"),"SALVAMENTO",IF(R385="PERDA / FECHOU LOJA","NUTRIÇÃO",IF(R385="RELACIONAMENTO","CS",IF(OR(R385="ORÇAMENTO",R385="CADASTRO"),"PROSPECÇÃO",IF(R385="EM ATENDIMENTO","EM ATENDIMENTO",IF(OR(R385="NÃO ATENDE",R385="NÃO RESPONDE",R385="RECUSOU LIGAÇÃO"),"RECUPERAÇÃO","")))))))))</f>
        <v/>
      </c>
      <c r="L385" s="58">
        <f>IF(H385="","",IF(G385="PROSPECT","🟣",IF(G385="LEAD","🟣",IF(G385="NOVO","🟢",IF(H385&lt;=50,"🟢",IF(H385&lt;=90,"🟡","🔴"))))))</f>
        <v/>
      </c>
      <c r="M385" s="58" t="n"/>
      <c r="N385" s="58" t="inlineStr">
        <is>
          <t>SIM</t>
        </is>
      </c>
      <c r="O385" s="58" t="inlineStr">
        <is>
          <t>NÃO</t>
        </is>
      </c>
      <c r="P385" s="58" t="inlineStr">
        <is>
          <t>N/A</t>
        </is>
      </c>
      <c r="Q385" s="58" t="inlineStr">
        <is>
          <t>PÓS-VENDA / RELACIONAMENTO</t>
        </is>
      </c>
      <c r="R385" s="58" t="inlineStr">
        <is>
          <t>SUPORTE</t>
        </is>
      </c>
      <c r="S385" s="58" t="n"/>
      <c r="T385" s="71">
        <f>IF(R385="","",IF(OR(R385="SUPORTE",R385="PERDA / FECHOU LOJA"),"SEM",A385+VLOOKUP(R385,REGRAS!$B$2:$C$13,2,FALSE())))</f>
        <v/>
      </c>
      <c r="U385" s="58">
        <f>IF(R385="","",IF(R385="VENDA / PEDIDO","RECOMPRA",IF(R385="SUPORTE","PÓS-VENDA",IF(R385="RELACIONAMENTO","CS",IF(OR(R385="NÃO ATENDE",R385="NÃO RESPONDE",R385="RECUSOU LIGAÇÃO"),"REATIVAÇÃO",IF(R385="PERDA / FECHOU LOJA","NUTRIÇÃO",IF(OR(R385="FOLLOW UP 7",R385="FOLLOW UP 15"),"SALVAMENTO","PROSPECÇÃO")))))))</f>
        <v/>
      </c>
      <c r="V385" s="58" t="n"/>
      <c r="W385" s="58" t="inlineStr">
        <is>
          <t>NÃO</t>
        </is>
      </c>
      <c r="X385" s="58" t="n"/>
    </row>
    <row r="386">
      <c r="A386" s="71" t="n">
        <v>46057</v>
      </c>
      <c r="B386" s="58" t="inlineStr">
        <is>
          <t>LARISSA PADILHA</t>
        </is>
      </c>
      <c r="C386" s="58" t="inlineStr">
        <is>
          <t>MARKET FIT 19</t>
        </is>
      </c>
      <c r="D386" s="58" t="inlineStr">
        <is>
          <t>11.240.630/4611-57</t>
        </is>
      </c>
      <c r="E386" s="58" t="inlineStr">
        <is>
          <t>RJ</t>
        </is>
      </c>
      <c r="F386" s="58" t="inlineStr">
        <is>
          <t>FIT LAND</t>
        </is>
      </c>
      <c r="G386" s="58" t="inlineStr">
        <is>
          <t>PROSPECT</t>
        </is>
      </c>
      <c r="H386" s="58" t="n"/>
      <c r="I386" s="58">
        <f>IF(R386="","",VLOOKUP(R386,REGRAS!$B$2:$D$13,3,FALSE()))</f>
        <v/>
      </c>
      <c r="J386" s="58" t="n"/>
      <c r="K386" s="58">
        <f>IF(R386="","",IF(R386="VENDA / PEDIDO","RECOMPRA",IF(R386="SUPORTE","PÓS-VENDA",IF(OR(R386="FOLLOW UP 7",R386="FOLLOW UP 15"),"SALVAMENTO",IF(R386="PERDA / FECHOU LOJA","NUTRIÇÃO",IF(R386="RELACIONAMENTO","CS",IF(OR(R386="ORÇAMENTO",R386="CADASTRO"),"PROSPECÇÃO",IF(R386="EM ATENDIMENTO","EM ATENDIMENTO",IF(OR(R386="NÃO ATENDE",R386="NÃO RESPONDE",R386="RECUSOU LIGAÇÃO"),"RECUPERAÇÃO","")))))))))</f>
        <v/>
      </c>
      <c r="L386" s="58">
        <f>IF(H386="","",IF(G386="PROSPECT","🟣",IF(G386="LEAD","🟣",IF(G386="NOVO","🟢",IF(H386&lt;=50,"🟢",IF(H386&lt;=90,"🟡","🔴"))))))</f>
        <v/>
      </c>
      <c r="M386" s="58" t="n"/>
      <c r="N386" s="58" t="inlineStr">
        <is>
          <t>SIM</t>
        </is>
      </c>
      <c r="O386" s="58" t="inlineStr">
        <is>
          <t>NÃO</t>
        </is>
      </c>
      <c r="P386" s="58" t="inlineStr">
        <is>
          <t>N/A</t>
        </is>
      </c>
      <c r="Q386" s="58" t="inlineStr">
        <is>
          <t>NEGOCIAÇÃO</t>
        </is>
      </c>
      <c r="R386" s="58" t="inlineStr">
        <is>
          <t>ORÇAMENTO</t>
        </is>
      </c>
      <c r="S386" s="58" t="n"/>
      <c r="T386" s="71">
        <f>IF(R386="","",IF(OR(R386="SUPORTE",R386="PERDA / FECHOU LOJA"),"SEM",A386+VLOOKUP(R386,REGRAS!$B$2:$C$13,2,FALSE())))</f>
        <v/>
      </c>
      <c r="U386" s="58">
        <f>IF(R386="","",IF(R386="VENDA / PEDIDO","RECOMPRA",IF(R386="SUPORTE","PÓS-VENDA",IF(R386="RELACIONAMENTO","CS",IF(OR(R386="NÃO ATENDE",R386="NÃO RESPONDE",R386="RECUSOU LIGAÇÃO"),"REATIVAÇÃO",IF(R386="PERDA / FECHOU LOJA","NUTRIÇÃO",IF(OR(R386="FOLLOW UP 7",R386="FOLLOW UP 15"),"SALVAMENTO","PROSPECÇÃO")))))))</f>
        <v/>
      </c>
      <c r="V386" s="58" t="n"/>
      <c r="W386" s="58" t="inlineStr">
        <is>
          <t>NÃO</t>
        </is>
      </c>
      <c r="X386" s="58" t="n"/>
    </row>
    <row r="387">
      <c r="A387" s="71" t="n">
        <v>46071</v>
      </c>
      <c r="B387" s="58" t="inlineStr">
        <is>
          <t>JULIO GADRET</t>
        </is>
      </c>
      <c r="C387" s="58" t="inlineStr">
        <is>
          <t>LOJA NATURAL 69</t>
        </is>
      </c>
      <c r="D387" s="58" t="inlineStr">
        <is>
          <t>80.819.874/1868-63</t>
        </is>
      </c>
      <c r="E387" s="58" t="inlineStr">
        <is>
          <t>RS</t>
        </is>
      </c>
      <c r="F387" s="58" t="inlineStr">
        <is>
          <t>MUNDO VERDE</t>
        </is>
      </c>
      <c r="G387" s="58" t="inlineStr">
        <is>
          <t>NOVO</t>
        </is>
      </c>
      <c r="H387" s="58" t="n"/>
      <c r="I387" s="58">
        <f>IF(R387="","",VLOOKUP(R387,REGRAS!$B$2:$D$13,3,FALSE()))</f>
        <v/>
      </c>
      <c r="J387" s="58" t="n"/>
      <c r="K387" s="58">
        <f>IF(R387="","",IF(R387="VENDA / PEDIDO","RECOMPRA",IF(R387="SUPORTE","PÓS-VENDA",IF(OR(R387="FOLLOW UP 7",R387="FOLLOW UP 15"),"SALVAMENTO",IF(R387="PERDA / FECHOU LOJA","NUTRIÇÃO",IF(R387="RELACIONAMENTO","CS",IF(OR(R387="ORÇAMENTO",R387="CADASTRO"),"PROSPECÇÃO",IF(R387="EM ATENDIMENTO","EM ATENDIMENTO",IF(OR(R387="NÃO ATENDE",R387="NÃO RESPONDE",R387="RECUSOU LIGAÇÃO"),"RECUPERAÇÃO","")))))))))</f>
        <v/>
      </c>
      <c r="L387" s="58">
        <f>IF(H387="","",IF(G387="PROSPECT","🟣",IF(G387="LEAD","🟣",IF(G387="NOVO","🟢",IF(H387&lt;=50,"🟢",IF(H387&lt;=90,"🟡","🔴"))))))</f>
        <v/>
      </c>
      <c r="M387" s="58" t="n"/>
      <c r="N387" s="58" t="inlineStr">
        <is>
          <t>SIM</t>
        </is>
      </c>
      <c r="O387" s="58" t="inlineStr">
        <is>
          <t>SIM</t>
        </is>
      </c>
      <c r="P387" s="58" t="inlineStr">
        <is>
          <t>NÃO</t>
        </is>
      </c>
      <c r="Q387" s="58" t="inlineStr">
        <is>
          <t>PÓS-VENDA / RELACIONAMENTO</t>
        </is>
      </c>
      <c r="R387" s="58" t="inlineStr">
        <is>
          <t>FOLLOW UP 15</t>
        </is>
      </c>
      <c r="S387" s="58" t="inlineStr">
        <is>
          <t>SEM INTERESSE NO MOMENTO</t>
        </is>
      </c>
      <c r="T387" s="71">
        <f>IF(R387="","",IF(OR(R387="SUPORTE",R387="PERDA / FECHOU LOJA"),"SEM",A387+VLOOKUP(R387,REGRAS!$B$2:$C$13,2,FALSE())))</f>
        <v/>
      </c>
      <c r="U387" s="58">
        <f>IF(R387="","",IF(R387="VENDA / PEDIDO","RECOMPRA",IF(R387="SUPORTE","PÓS-VENDA",IF(R387="RELACIONAMENTO","CS",IF(OR(R387="NÃO ATENDE",R387="NÃO RESPONDE",R387="RECUSOU LIGAÇÃO"),"REATIVAÇÃO",IF(R387="PERDA / FECHOU LOJA","NUTRIÇÃO",IF(OR(R387="FOLLOW UP 7",R387="FOLLOW UP 15"),"SALVAMENTO","PROSPECÇÃO")))))))</f>
        <v/>
      </c>
      <c r="V387" s="58" t="n"/>
      <c r="W387" s="58" t="inlineStr">
        <is>
          <t>SIM</t>
        </is>
      </c>
      <c r="X387" s="58" t="n"/>
    </row>
    <row r="388">
      <c r="A388" s="71" t="n">
        <v>46078</v>
      </c>
      <c r="B388" s="58" t="inlineStr">
        <is>
          <t>DAIANE STAVICKI</t>
        </is>
      </c>
      <c r="C388" s="58" t="inlineStr">
        <is>
          <t>VERDE VIDA 91</t>
        </is>
      </c>
      <c r="D388" s="58" t="inlineStr">
        <is>
          <t>48.129.862/1944-38</t>
        </is>
      </c>
      <c r="E388" s="58" t="inlineStr">
        <is>
          <t>PR</t>
        </is>
      </c>
      <c r="F388" s="58" t="inlineStr">
        <is>
          <t>TUDO EM GRAOS</t>
        </is>
      </c>
      <c r="G388" s="58" t="inlineStr">
        <is>
          <t>INAT.ANT</t>
        </is>
      </c>
      <c r="H388" s="58" t="n">
        <v>169</v>
      </c>
      <c r="I388" s="58">
        <f>IF(R388="","",VLOOKUP(R388,REGRAS!$B$2:$D$13,3,FALSE()))</f>
        <v/>
      </c>
      <c r="J388" s="58" t="n"/>
      <c r="K388" s="58">
        <f>IF(R388="","",IF(R388="VENDA / PEDIDO","RECOMPRA",IF(R388="SUPORTE","PÓS-VENDA",IF(OR(R388="FOLLOW UP 7",R388="FOLLOW UP 15"),"SALVAMENTO",IF(R388="PERDA / FECHOU LOJA","NUTRIÇÃO",IF(R388="RELACIONAMENTO","CS",IF(OR(R388="ORÇAMENTO",R388="CADASTRO"),"PROSPECÇÃO",IF(R388="EM ATENDIMENTO","EM ATENDIMENTO",IF(OR(R388="NÃO ATENDE",R388="NÃO RESPONDE",R388="RECUSOU LIGAÇÃO"),"RECUPERAÇÃO","")))))))))</f>
        <v/>
      </c>
      <c r="L388" s="58">
        <f>IF(H388="","",IF(G388="PROSPECT","🟣",IF(G388="LEAD","🟣",IF(G388="NOVO","🟢",IF(H388&lt;=50,"🟢",IF(H388&lt;=90,"🟡","🔴"))))))</f>
        <v/>
      </c>
      <c r="M388" s="58" t="n"/>
      <c r="N388" s="58" t="inlineStr">
        <is>
          <t>SIM</t>
        </is>
      </c>
      <c r="O388" s="58" t="inlineStr">
        <is>
          <t>NÃO</t>
        </is>
      </c>
      <c r="P388" s="58" t="inlineStr">
        <is>
          <t>N/A</t>
        </is>
      </c>
      <c r="Q388" s="58" t="inlineStr">
        <is>
          <t>PROSPECÇÃO</t>
        </is>
      </c>
      <c r="R388" s="58" t="inlineStr">
        <is>
          <t>EM ATENDIMENTO</t>
        </is>
      </c>
      <c r="S388" s="58" t="n"/>
      <c r="T388" s="71">
        <f>IF(R388="","",IF(OR(R388="SUPORTE",R388="PERDA / FECHOU LOJA"),"SEM",A388+VLOOKUP(R388,REGRAS!$B$2:$C$13,2,FALSE())))</f>
        <v/>
      </c>
      <c r="U388" s="58">
        <f>IF(R388="","",IF(R388="VENDA / PEDIDO","RECOMPRA",IF(R388="SUPORTE","PÓS-VENDA",IF(R388="RELACIONAMENTO","CS",IF(OR(R388="NÃO ATENDE",R388="NÃO RESPONDE",R388="RECUSOU LIGAÇÃO"),"REATIVAÇÃO",IF(R388="PERDA / FECHOU LOJA","NUTRIÇÃO",IF(OR(R388="FOLLOW UP 7",R388="FOLLOW UP 15"),"SALVAMENTO","PROSPECÇÃO")))))))</f>
        <v/>
      </c>
      <c r="V388" s="58" t="n"/>
      <c r="W388" s="58" t="inlineStr">
        <is>
          <t>NÃO</t>
        </is>
      </c>
      <c r="X388" s="58" t="n"/>
    </row>
    <row r="389">
      <c r="A389" s="71" t="n">
        <v>46056</v>
      </c>
      <c r="B389" s="58" t="inlineStr">
        <is>
          <t>MANU DITZEL</t>
        </is>
      </c>
      <c r="C389" s="58" t="inlineStr">
        <is>
          <t>FEIRA VERDE 97</t>
        </is>
      </c>
      <c r="D389" s="58" t="inlineStr">
        <is>
          <t>65.143.301/1767-14</t>
        </is>
      </c>
      <c r="E389" s="58" t="inlineStr">
        <is>
          <t>MG</t>
        </is>
      </c>
      <c r="F389" s="58" t="inlineStr">
        <is>
          <t>DIVINA TERRA</t>
        </is>
      </c>
      <c r="G389" s="58" t="inlineStr">
        <is>
          <t>ATIVO</t>
        </is>
      </c>
      <c r="H389" s="58" t="n">
        <v>12</v>
      </c>
      <c r="I389" s="58">
        <f>IF(R389="","",VLOOKUP(R389,REGRAS!$B$2:$D$13,3,FALSE()))</f>
        <v/>
      </c>
      <c r="J389" s="58" t="n"/>
      <c r="K389" s="58">
        <f>IF(R389="","",IF(R389="VENDA / PEDIDO","RECOMPRA",IF(R389="SUPORTE","PÓS-VENDA",IF(OR(R389="FOLLOW UP 7",R389="FOLLOW UP 15"),"SALVAMENTO",IF(R389="PERDA / FECHOU LOJA","NUTRIÇÃO",IF(R389="RELACIONAMENTO","CS",IF(OR(R389="ORÇAMENTO",R389="CADASTRO"),"PROSPECÇÃO",IF(R389="EM ATENDIMENTO","EM ATENDIMENTO",IF(OR(R389="NÃO ATENDE",R389="NÃO RESPONDE",R389="RECUSOU LIGAÇÃO"),"RECUPERAÇÃO","")))))))))</f>
        <v/>
      </c>
      <c r="L389" s="58">
        <f>IF(H389="","",IF(G389="PROSPECT","🟣",IF(G389="LEAD","🟣",IF(G389="NOVO","🟢",IF(H389&lt;=50,"🟢",IF(H389&lt;=90,"🟡","🔴"))))))</f>
        <v/>
      </c>
      <c r="M389" s="58" t="n"/>
      <c r="N389" s="58" t="inlineStr">
        <is>
          <t>SIM</t>
        </is>
      </c>
      <c r="O389" s="58" t="inlineStr">
        <is>
          <t>SIM</t>
        </is>
      </c>
      <c r="P389" s="58" t="inlineStr">
        <is>
          <t>SIM</t>
        </is>
      </c>
      <c r="Q389" s="58" t="inlineStr">
        <is>
          <t>PÓS-VENDA / RELACIONAMENTO</t>
        </is>
      </c>
      <c r="R389" s="58" t="inlineStr">
        <is>
          <t>RELACIONAMENTO</t>
        </is>
      </c>
      <c r="S389" s="58" t="n"/>
      <c r="T389" s="71">
        <f>IF(R389="","",IF(OR(R389="SUPORTE",R389="PERDA / FECHOU LOJA"),"SEM",A389+VLOOKUP(R389,REGRAS!$B$2:$C$13,2,FALSE())))</f>
        <v/>
      </c>
      <c r="U389" s="58">
        <f>IF(R389="","",IF(R389="VENDA / PEDIDO","RECOMPRA",IF(R389="SUPORTE","PÓS-VENDA",IF(R389="RELACIONAMENTO","CS",IF(OR(R389="NÃO ATENDE",R389="NÃO RESPONDE",R389="RECUSOU LIGAÇÃO"),"REATIVAÇÃO",IF(R389="PERDA / FECHOU LOJA","NUTRIÇÃO",IF(OR(R389="FOLLOW UP 7",R389="FOLLOW UP 15"),"SALVAMENTO","PROSPECÇÃO")))))))</f>
        <v/>
      </c>
      <c r="V389" s="58" t="n"/>
      <c r="W389" s="58" t="inlineStr">
        <is>
          <t>SIM</t>
        </is>
      </c>
      <c r="X389" s="58" t="n"/>
    </row>
    <row r="390">
      <c r="A390" s="71" t="n">
        <v>46073</v>
      </c>
      <c r="B390" s="58" t="inlineStr">
        <is>
          <t>MANU DITZEL</t>
        </is>
      </c>
      <c r="C390" s="58" t="inlineStr">
        <is>
          <t>CIA SAUDE SP 24</t>
        </is>
      </c>
      <c r="D390" s="58" t="inlineStr">
        <is>
          <t>95.459.129/1488-28</t>
        </is>
      </c>
      <c r="E390" s="58" t="inlineStr">
        <is>
          <t>MG</t>
        </is>
      </c>
      <c r="F390" s="58" t="inlineStr">
        <is>
          <t>DEMAIS CLIENTES</t>
        </is>
      </c>
      <c r="G390" s="58" t="inlineStr">
        <is>
          <t>PROSPECT</t>
        </is>
      </c>
      <c r="H390" s="58" t="n"/>
      <c r="I390" s="58">
        <f>IF(R390="","",VLOOKUP(R390,REGRAS!$B$2:$D$13,3,FALSE()))</f>
        <v/>
      </c>
      <c r="J390" s="58" t="n"/>
      <c r="K390" s="58">
        <f>IF(R390="","",IF(R390="VENDA / PEDIDO","RECOMPRA",IF(R390="SUPORTE","PÓS-VENDA",IF(OR(R390="FOLLOW UP 7",R390="FOLLOW UP 15"),"SALVAMENTO",IF(R390="PERDA / FECHOU LOJA","NUTRIÇÃO",IF(R390="RELACIONAMENTO","CS",IF(OR(R390="ORÇAMENTO",R390="CADASTRO"),"PROSPECÇÃO",IF(R390="EM ATENDIMENTO","EM ATENDIMENTO",IF(OR(R390="NÃO ATENDE",R390="NÃO RESPONDE",R390="RECUSOU LIGAÇÃO"),"RECUPERAÇÃO","")))))))))</f>
        <v/>
      </c>
      <c r="L390" s="58">
        <f>IF(H390="","",IF(G390="PROSPECT","🟣",IF(G390="LEAD","🟣",IF(G390="NOVO","🟢",IF(H390&lt;=50,"🟢",IF(H390&lt;=90,"🟡","🔴"))))))</f>
        <v/>
      </c>
      <c r="M390" s="58" t="n"/>
      <c r="N390" s="58" t="inlineStr">
        <is>
          <t>SIM</t>
        </is>
      </c>
      <c r="O390" s="58" t="inlineStr">
        <is>
          <t>NÃO</t>
        </is>
      </c>
      <c r="P390" s="58" t="inlineStr">
        <is>
          <t>N/A</t>
        </is>
      </c>
      <c r="Q390" s="58" t="inlineStr">
        <is>
          <t>FOLLOW UP</t>
        </is>
      </c>
      <c r="R390" s="58" t="inlineStr">
        <is>
          <t>ORÇAMENTO</t>
        </is>
      </c>
      <c r="S390" s="58" t="n"/>
      <c r="T390" s="71">
        <f>IF(R390="","",IF(OR(R390="SUPORTE",R390="PERDA / FECHOU LOJA"),"SEM",A390+VLOOKUP(R390,REGRAS!$B$2:$C$13,2,FALSE())))</f>
        <v/>
      </c>
      <c r="U390" s="58">
        <f>IF(R390="","",IF(R390="VENDA / PEDIDO","RECOMPRA",IF(R390="SUPORTE","PÓS-VENDA",IF(R390="RELACIONAMENTO","CS",IF(OR(R390="NÃO ATENDE",R390="NÃO RESPONDE",R390="RECUSOU LIGAÇÃO"),"REATIVAÇÃO",IF(R390="PERDA / FECHOU LOJA","NUTRIÇÃO",IF(OR(R390="FOLLOW UP 7",R390="FOLLOW UP 15"),"SALVAMENTO","PROSPECÇÃO")))))))</f>
        <v/>
      </c>
      <c r="V390" s="58" t="n"/>
      <c r="W390" s="58" t="inlineStr">
        <is>
          <t>SIM</t>
        </is>
      </c>
      <c r="X390" s="58" t="n"/>
    </row>
    <row r="391">
      <c r="A391" s="71" t="n">
        <v>46072</v>
      </c>
      <c r="B391" s="58" t="inlineStr">
        <is>
          <t>MANU DITZEL</t>
        </is>
      </c>
      <c r="C391" s="58" t="inlineStr">
        <is>
          <t>VERDE ESSENCE 98</t>
        </is>
      </c>
      <c r="D391" s="58" t="inlineStr">
        <is>
          <t>11.641.322/3139-46</t>
        </is>
      </c>
      <c r="E391" s="58" t="inlineStr">
        <is>
          <t>PR</t>
        </is>
      </c>
      <c r="F391" s="58" t="inlineStr">
        <is>
          <t>DEMAIS CLIENTES</t>
        </is>
      </c>
      <c r="G391" s="58" t="inlineStr">
        <is>
          <t>ATIVO</t>
        </is>
      </c>
      <c r="H391" s="58" t="n">
        <v>11</v>
      </c>
      <c r="I391" s="58">
        <f>IF(R391="","",VLOOKUP(R391,REGRAS!$B$2:$D$13,3,FALSE()))</f>
        <v/>
      </c>
      <c r="J391" s="58" t="n"/>
      <c r="K391" s="58">
        <f>IF(R391="","",IF(R391="VENDA / PEDIDO","RECOMPRA",IF(R391="SUPORTE","PÓS-VENDA",IF(OR(R391="FOLLOW UP 7",R391="FOLLOW UP 15"),"SALVAMENTO",IF(R391="PERDA / FECHOU LOJA","NUTRIÇÃO",IF(R391="RELACIONAMENTO","CS",IF(OR(R391="ORÇAMENTO",R391="CADASTRO"),"PROSPECÇÃO",IF(R391="EM ATENDIMENTO","EM ATENDIMENTO",IF(OR(R391="NÃO ATENDE",R391="NÃO RESPONDE",R391="RECUSOU LIGAÇÃO"),"RECUPERAÇÃO","")))))))))</f>
        <v/>
      </c>
      <c r="L391" s="58">
        <f>IF(H391="","",IF(G391="PROSPECT","🟣",IF(G391="LEAD","🟣",IF(G391="NOVO","🟢",IF(H391&lt;=50,"🟢",IF(H391&lt;=90,"🟡","🔴"))))))</f>
        <v/>
      </c>
      <c r="M391" s="58" t="n"/>
      <c r="N391" s="58" t="inlineStr">
        <is>
          <t>NÃO</t>
        </is>
      </c>
      <c r="O391" s="58" t="inlineStr">
        <is>
          <t>NÃO</t>
        </is>
      </c>
      <c r="P391" s="58" t="inlineStr">
        <is>
          <t>N/A</t>
        </is>
      </c>
      <c r="Q391" s="58" t="inlineStr">
        <is>
          <t>PÓS-VENDA / RELACIONAMENTO</t>
        </is>
      </c>
      <c r="R391" s="58" t="inlineStr">
        <is>
          <t>NÃO RESPONDE</t>
        </is>
      </c>
      <c r="S391" s="58" t="inlineStr">
        <is>
          <t>PROBLEMA FINANCEIRO / CRÉDITO</t>
        </is>
      </c>
      <c r="T391" s="71">
        <f>IF(R391="","",IF(OR(R391="SUPORTE",R391="PERDA / FECHOU LOJA"),"SEM",A391+VLOOKUP(R391,REGRAS!$B$2:$C$13,2,FALSE())))</f>
        <v/>
      </c>
      <c r="U391" s="58">
        <f>IF(R391="","",IF(R391="VENDA / PEDIDO","RECOMPRA",IF(R391="SUPORTE","PÓS-VENDA",IF(R391="RELACIONAMENTO","CS",IF(OR(R391="NÃO ATENDE",R391="NÃO RESPONDE",R391="RECUSOU LIGAÇÃO"),"REATIVAÇÃO",IF(R391="PERDA / FECHOU LOJA","NUTRIÇÃO",IF(OR(R391="FOLLOW UP 7",R391="FOLLOW UP 15"),"SALVAMENTO","PROSPECÇÃO")))))))</f>
        <v/>
      </c>
      <c r="V391" s="58" t="n"/>
      <c r="W391" s="58" t="inlineStr">
        <is>
          <t>SIM</t>
        </is>
      </c>
      <c r="X391" s="58" t="n"/>
    </row>
    <row r="392">
      <c r="A392" s="71" t="n">
        <v>46075</v>
      </c>
      <c r="B392" s="58" t="inlineStr">
        <is>
          <t>DAIANE STAVICKI</t>
        </is>
      </c>
      <c r="C392" s="58" t="inlineStr">
        <is>
          <t>VERDE VIDA 46</t>
        </is>
      </c>
      <c r="D392" s="58" t="inlineStr">
        <is>
          <t>58.534.319/8426-39</t>
        </is>
      </c>
      <c r="E392" s="58" t="inlineStr">
        <is>
          <t>RS</t>
        </is>
      </c>
      <c r="F392" s="58" t="inlineStr">
        <is>
          <t>DEMAIS CLIENTES</t>
        </is>
      </c>
      <c r="G392" s="58" t="inlineStr">
        <is>
          <t>ATIVO</t>
        </is>
      </c>
      <c r="H392" s="58" t="n">
        <v>34</v>
      </c>
      <c r="I392" s="58">
        <f>IF(R392="","",VLOOKUP(R392,REGRAS!$B$2:$D$13,3,FALSE()))</f>
        <v/>
      </c>
      <c r="J392" s="58" t="n"/>
      <c r="K392" s="58">
        <f>IF(R392="","",IF(R392="VENDA / PEDIDO","RECOMPRA",IF(R392="SUPORTE","PÓS-VENDA",IF(OR(R392="FOLLOW UP 7",R392="FOLLOW UP 15"),"SALVAMENTO",IF(R392="PERDA / FECHOU LOJA","NUTRIÇÃO",IF(R392="RELACIONAMENTO","CS",IF(OR(R392="ORÇAMENTO",R392="CADASTRO"),"PROSPECÇÃO",IF(R392="EM ATENDIMENTO","EM ATENDIMENTO",IF(OR(R392="NÃO ATENDE",R392="NÃO RESPONDE",R392="RECUSOU LIGAÇÃO"),"RECUPERAÇÃO","")))))))))</f>
        <v/>
      </c>
      <c r="L392" s="58">
        <f>IF(H392="","",IF(G392="PROSPECT","🟣",IF(G392="LEAD","🟣",IF(G392="NOVO","🟢",IF(H392&lt;=50,"🟢",IF(H392&lt;=90,"🟡","🔴"))))))</f>
        <v/>
      </c>
      <c r="M392" s="58" t="n"/>
      <c r="N392" s="58" t="inlineStr">
        <is>
          <t>NÃO</t>
        </is>
      </c>
      <c r="O392" s="58" t="inlineStr">
        <is>
          <t>NÃO</t>
        </is>
      </c>
      <c r="P392" s="58" t="inlineStr">
        <is>
          <t>N/A</t>
        </is>
      </c>
      <c r="Q392" s="58" t="inlineStr">
        <is>
          <t>PROSPECÇÃO</t>
        </is>
      </c>
      <c r="R392" s="58" t="inlineStr">
        <is>
          <t>EM ATENDIMENTO</t>
        </is>
      </c>
      <c r="S392" s="58" t="n"/>
      <c r="T392" s="71">
        <f>IF(R392="","",IF(OR(R392="SUPORTE",R392="PERDA / FECHOU LOJA"),"SEM",A392+VLOOKUP(R392,REGRAS!$B$2:$C$13,2,FALSE())))</f>
        <v/>
      </c>
      <c r="U392" s="58">
        <f>IF(R392="","",IF(R392="VENDA / PEDIDO","RECOMPRA",IF(R392="SUPORTE","PÓS-VENDA",IF(R392="RELACIONAMENTO","CS",IF(OR(R392="NÃO ATENDE",R392="NÃO RESPONDE",R392="RECUSOU LIGAÇÃO"),"REATIVAÇÃO",IF(R392="PERDA / FECHOU LOJA","NUTRIÇÃO",IF(OR(R392="FOLLOW UP 7",R392="FOLLOW UP 15"),"SALVAMENTO","PROSPECÇÃO")))))))</f>
        <v/>
      </c>
      <c r="V392" s="58" t="n"/>
      <c r="W392" s="58" t="inlineStr">
        <is>
          <t>SIM</t>
        </is>
      </c>
      <c r="X392" s="58" t="n"/>
    </row>
    <row r="393">
      <c r="A393" s="71" t="n">
        <v>46055</v>
      </c>
      <c r="B393" s="58" t="inlineStr">
        <is>
          <t>MANU DITZEL</t>
        </is>
      </c>
      <c r="C393" s="58" t="inlineStr">
        <is>
          <t>POWER NATURAL 15</t>
        </is>
      </c>
      <c r="D393" s="58" t="inlineStr">
        <is>
          <t>59.390.567/9837-49</t>
        </is>
      </c>
      <c r="E393" s="58" t="inlineStr">
        <is>
          <t>SP</t>
        </is>
      </c>
      <c r="F393" s="58" t="inlineStr">
        <is>
          <t>DEMAIS CLIENTES</t>
        </is>
      </c>
      <c r="G393" s="58" t="inlineStr">
        <is>
          <t>ATIVO</t>
        </is>
      </c>
      <c r="H393" s="58" t="n">
        <v>31</v>
      </c>
      <c r="I393" s="58">
        <f>IF(R393="","",VLOOKUP(R393,REGRAS!$B$2:$D$13,3,FALSE()))</f>
        <v/>
      </c>
      <c r="J393" s="58" t="n"/>
      <c r="K393" s="58">
        <f>IF(R393="","",IF(R393="VENDA / PEDIDO","RECOMPRA",IF(R393="SUPORTE","PÓS-VENDA",IF(OR(R393="FOLLOW UP 7",R393="FOLLOW UP 15"),"SALVAMENTO",IF(R393="PERDA / FECHOU LOJA","NUTRIÇÃO",IF(R393="RELACIONAMENTO","CS",IF(OR(R393="ORÇAMENTO",R393="CADASTRO"),"PROSPECÇÃO",IF(R393="EM ATENDIMENTO","EM ATENDIMENTO",IF(OR(R393="NÃO ATENDE",R393="NÃO RESPONDE",R393="RECUSOU LIGAÇÃO"),"RECUPERAÇÃO","")))))))))</f>
        <v/>
      </c>
      <c r="L393" s="58">
        <f>IF(H393="","",IF(G393="PROSPECT","🟣",IF(G393="LEAD","🟣",IF(G393="NOVO","🟢",IF(H393&lt;=50,"🟢",IF(H393&lt;=90,"🟡","🔴"))))))</f>
        <v/>
      </c>
      <c r="M393" s="58" t="n"/>
      <c r="N393" s="58" t="inlineStr">
        <is>
          <t>SIM</t>
        </is>
      </c>
      <c r="O393" s="58" t="inlineStr">
        <is>
          <t>SIM</t>
        </is>
      </c>
      <c r="P393" s="58" t="inlineStr">
        <is>
          <t>NÃO</t>
        </is>
      </c>
      <c r="Q393" s="58" t="inlineStr">
        <is>
          <t>FOLLOW UP</t>
        </is>
      </c>
      <c r="R393" s="58" t="inlineStr">
        <is>
          <t>NÃO RESPONDE</t>
        </is>
      </c>
      <c r="S393" s="58" t="inlineStr">
        <is>
          <t>SÓ QUER COMPRAR GRANEL</t>
        </is>
      </c>
      <c r="T393" s="71">
        <f>IF(R393="","",IF(OR(R393="SUPORTE",R393="PERDA / FECHOU LOJA"),"SEM",A393+VLOOKUP(R393,REGRAS!$B$2:$C$13,2,FALSE())))</f>
        <v/>
      </c>
      <c r="U393" s="58">
        <f>IF(R393="","",IF(R393="VENDA / PEDIDO","RECOMPRA",IF(R393="SUPORTE","PÓS-VENDA",IF(R393="RELACIONAMENTO","CS",IF(OR(R393="NÃO ATENDE",R393="NÃO RESPONDE",R393="RECUSOU LIGAÇÃO"),"REATIVAÇÃO",IF(R393="PERDA / FECHOU LOJA","NUTRIÇÃO",IF(OR(R393="FOLLOW UP 7",R393="FOLLOW UP 15"),"SALVAMENTO","PROSPECÇÃO")))))))</f>
        <v/>
      </c>
      <c r="V393" s="58" t="n"/>
      <c r="W393" s="58" t="inlineStr">
        <is>
          <t>NÃO</t>
        </is>
      </c>
      <c r="X393" s="58" t="n"/>
    </row>
    <row r="394">
      <c r="A394" s="71" t="n">
        <v>46059</v>
      </c>
      <c r="B394" s="58" t="inlineStr">
        <is>
          <t>MANU DITZEL</t>
        </is>
      </c>
      <c r="C394" s="58" t="inlineStr">
        <is>
          <t>POWER NATURAL 87</t>
        </is>
      </c>
      <c r="D394" s="58" t="inlineStr">
        <is>
          <t>23.505.548/8564-94</t>
        </is>
      </c>
      <c r="E394" s="58" t="inlineStr">
        <is>
          <t>SP</t>
        </is>
      </c>
      <c r="F394" s="58" t="inlineStr">
        <is>
          <t>MUNDO VERDE</t>
        </is>
      </c>
      <c r="G394" s="58" t="inlineStr">
        <is>
          <t>EM RISCO</t>
        </is>
      </c>
      <c r="H394" s="58" t="n">
        <v>60</v>
      </c>
      <c r="I394" s="58">
        <f>IF(R394="","",VLOOKUP(R394,REGRAS!$B$2:$D$13,3,FALSE()))</f>
        <v/>
      </c>
      <c r="J394" s="58" t="n"/>
      <c r="K394" s="58">
        <f>IF(R394="","",IF(R394="VENDA / PEDIDO","RECOMPRA",IF(R394="SUPORTE","PÓS-VENDA",IF(OR(R394="FOLLOW UP 7",R394="FOLLOW UP 15"),"SALVAMENTO",IF(R394="PERDA / FECHOU LOJA","NUTRIÇÃO",IF(R394="RELACIONAMENTO","CS",IF(OR(R394="ORÇAMENTO",R394="CADASTRO"),"PROSPECÇÃO",IF(R394="EM ATENDIMENTO","EM ATENDIMENTO",IF(OR(R394="NÃO ATENDE",R394="NÃO RESPONDE",R394="RECUSOU LIGAÇÃO"),"RECUPERAÇÃO","")))))))))</f>
        <v/>
      </c>
      <c r="L394" s="58">
        <f>IF(H394="","",IF(G394="PROSPECT","🟣",IF(G394="LEAD","🟣",IF(G394="NOVO","🟢",IF(H394&lt;=50,"🟢",IF(H394&lt;=90,"🟡","🔴"))))))</f>
        <v/>
      </c>
      <c r="M394" s="58" t="n"/>
      <c r="N394" s="58" t="inlineStr">
        <is>
          <t>NÃO</t>
        </is>
      </c>
      <c r="O394" s="58" t="inlineStr">
        <is>
          <t>SIM</t>
        </is>
      </c>
      <c r="P394" s="58" t="inlineStr">
        <is>
          <t>SIM</t>
        </is>
      </c>
      <c r="Q394" s="58" t="inlineStr">
        <is>
          <t>PERDA / NUTRIÇÃO</t>
        </is>
      </c>
      <c r="R394" s="58" t="inlineStr">
        <is>
          <t>RECUSOU LIGAÇÃO</t>
        </is>
      </c>
      <c r="S394" s="58" t="inlineStr">
        <is>
          <t>AINDA TEM ESTOQUE</t>
        </is>
      </c>
      <c r="T394" s="71">
        <f>IF(R394="","",IF(OR(R394="SUPORTE",R394="PERDA / FECHOU LOJA"),"SEM",A394+VLOOKUP(R394,REGRAS!$B$2:$C$13,2,FALSE())))</f>
        <v/>
      </c>
      <c r="U394" s="58">
        <f>IF(R394="","",IF(R394="VENDA / PEDIDO","RECOMPRA",IF(R394="SUPORTE","PÓS-VENDA",IF(R394="RELACIONAMENTO","CS",IF(OR(R394="NÃO ATENDE",R394="NÃO RESPONDE",R394="RECUSOU LIGAÇÃO"),"REATIVAÇÃO",IF(R394="PERDA / FECHOU LOJA","NUTRIÇÃO",IF(OR(R394="FOLLOW UP 7",R394="FOLLOW UP 15"),"SALVAMENTO","PROSPECÇÃO")))))))</f>
        <v/>
      </c>
      <c r="V394" s="58" t="n"/>
      <c r="W394" s="58" t="inlineStr">
        <is>
          <t>SIM</t>
        </is>
      </c>
      <c r="X394" s="58" t="n"/>
    </row>
    <row r="395">
      <c r="A395" s="71" t="n">
        <v>46081</v>
      </c>
      <c r="B395" s="58" t="inlineStr">
        <is>
          <t>DAIANE STAVICKI</t>
        </is>
      </c>
      <c r="C395" s="58" t="inlineStr">
        <is>
          <t>CASA DO GRANEL 30</t>
        </is>
      </c>
      <c r="D395" s="58" t="inlineStr">
        <is>
          <t>64.842.611/4564-84</t>
        </is>
      </c>
      <c r="E395" s="58" t="inlineStr">
        <is>
          <t>SP</t>
        </is>
      </c>
      <c r="F395" s="58" t="inlineStr">
        <is>
          <t>DEMAIS CLIENTES</t>
        </is>
      </c>
      <c r="G395" s="58" t="inlineStr">
        <is>
          <t>NOVO</t>
        </is>
      </c>
      <c r="H395" s="58" t="n"/>
      <c r="I395" s="58">
        <f>IF(R395="","",VLOOKUP(R395,REGRAS!$B$2:$D$13,3,FALSE()))</f>
        <v/>
      </c>
      <c r="J395" s="58" t="n"/>
      <c r="K395" s="58">
        <f>IF(R395="","",IF(R395="VENDA / PEDIDO","RECOMPRA",IF(R395="SUPORTE","PÓS-VENDA",IF(OR(R395="FOLLOW UP 7",R395="FOLLOW UP 15"),"SALVAMENTO",IF(R395="PERDA / FECHOU LOJA","NUTRIÇÃO",IF(R395="RELACIONAMENTO","CS",IF(OR(R395="ORÇAMENTO",R395="CADASTRO"),"PROSPECÇÃO",IF(R395="EM ATENDIMENTO","EM ATENDIMENTO",IF(OR(R395="NÃO ATENDE",R395="NÃO RESPONDE",R395="RECUSOU LIGAÇÃO"),"RECUPERAÇÃO","")))))))))</f>
        <v/>
      </c>
      <c r="L395" s="58">
        <f>IF(H395="","",IF(G395="PROSPECT","🟣",IF(G395="LEAD","🟣",IF(G395="NOVO","🟢",IF(H395&lt;=50,"🟢",IF(H395&lt;=90,"🟡","🔴"))))))</f>
        <v/>
      </c>
      <c r="M395" s="58" t="n"/>
      <c r="N395" s="58" t="inlineStr">
        <is>
          <t>SIM</t>
        </is>
      </c>
      <c r="O395" s="58" t="inlineStr">
        <is>
          <t>NÃO</t>
        </is>
      </c>
      <c r="P395" s="58" t="inlineStr">
        <is>
          <t>N/A</t>
        </is>
      </c>
      <c r="Q395" s="58" t="inlineStr">
        <is>
          <t>PERDA / NUTRIÇÃO</t>
        </is>
      </c>
      <c r="R395" s="58" t="inlineStr">
        <is>
          <t>NÃO ATENDE</t>
        </is>
      </c>
      <c r="S395" s="58" t="inlineStr">
        <is>
          <t>PRIMEIRO CONTATO / SEM RESPOSTA</t>
        </is>
      </c>
      <c r="T395" s="71">
        <f>IF(R395="","",IF(OR(R395="SUPORTE",R395="PERDA / FECHOU LOJA"),"SEM",A395+VLOOKUP(R395,REGRAS!$B$2:$C$13,2,FALSE())))</f>
        <v/>
      </c>
      <c r="U395" s="58">
        <f>IF(R395="","",IF(R395="VENDA / PEDIDO","RECOMPRA",IF(R395="SUPORTE","PÓS-VENDA",IF(R395="RELACIONAMENTO","CS",IF(OR(R395="NÃO ATENDE",R395="NÃO RESPONDE",R395="RECUSOU LIGAÇÃO"),"REATIVAÇÃO",IF(R395="PERDA / FECHOU LOJA","NUTRIÇÃO",IF(OR(R395="FOLLOW UP 7",R395="FOLLOW UP 15"),"SALVAMENTO","PROSPECÇÃO")))))))</f>
        <v/>
      </c>
      <c r="V395" s="58" t="n"/>
      <c r="W395" s="58" t="inlineStr">
        <is>
          <t>SIM</t>
        </is>
      </c>
      <c r="X395" s="58" t="n"/>
    </row>
    <row r="396">
      <c r="A396" s="71" t="n">
        <v>46058</v>
      </c>
      <c r="B396" s="58" t="inlineStr">
        <is>
          <t>DAIANE STAVICKI</t>
        </is>
      </c>
      <c r="C396" s="58" t="inlineStr">
        <is>
          <t>NATURAL POINT 16</t>
        </is>
      </c>
      <c r="D396" s="58" t="inlineStr">
        <is>
          <t>42.601.609/3782-90</t>
        </is>
      </c>
      <c r="E396" s="58" t="inlineStr">
        <is>
          <t>DF</t>
        </is>
      </c>
      <c r="F396" s="58" t="inlineStr">
        <is>
          <t>MUNDO VERDE</t>
        </is>
      </c>
      <c r="G396" s="58" t="inlineStr">
        <is>
          <t>INAT.ANT</t>
        </is>
      </c>
      <c r="H396" s="58" t="n">
        <v>108</v>
      </c>
      <c r="I396" s="58">
        <f>IF(R396="","",VLOOKUP(R396,REGRAS!$B$2:$D$13,3,FALSE()))</f>
        <v/>
      </c>
      <c r="J396" s="58" t="n"/>
      <c r="K396" s="58">
        <f>IF(R396="","",IF(R396="VENDA / PEDIDO","RECOMPRA",IF(R396="SUPORTE","PÓS-VENDA",IF(OR(R396="FOLLOW UP 7",R396="FOLLOW UP 15"),"SALVAMENTO",IF(R396="PERDA / FECHOU LOJA","NUTRIÇÃO",IF(R396="RELACIONAMENTO","CS",IF(OR(R396="ORÇAMENTO",R396="CADASTRO"),"PROSPECÇÃO",IF(R396="EM ATENDIMENTO","EM ATENDIMENTO",IF(OR(R396="NÃO ATENDE",R396="NÃO RESPONDE",R396="RECUSOU LIGAÇÃO"),"RECUPERAÇÃO","")))))))))</f>
        <v/>
      </c>
      <c r="L396" s="58">
        <f>IF(H396="","",IF(G396="PROSPECT","🟣",IF(G396="LEAD","🟣",IF(G396="NOVO","🟢",IF(H396&lt;=50,"🟢",IF(H396&lt;=90,"🟡","🔴"))))))</f>
        <v/>
      </c>
      <c r="M396" s="58" t="n"/>
      <c r="N396" s="58" t="inlineStr">
        <is>
          <t>SIM</t>
        </is>
      </c>
      <c r="O396" s="58" t="inlineStr">
        <is>
          <t>NÃO</t>
        </is>
      </c>
      <c r="P396" s="58" t="inlineStr">
        <is>
          <t>N/A</t>
        </is>
      </c>
      <c r="Q396" s="58" t="inlineStr">
        <is>
          <t>ATEND. CLIENTES ATIVOS</t>
        </is>
      </c>
      <c r="R396" s="58" t="inlineStr">
        <is>
          <t>VENDA / PEDIDO</t>
        </is>
      </c>
      <c r="S396" s="58" t="n"/>
      <c r="T396" s="71">
        <f>IF(R396="","",IF(OR(R396="SUPORTE",R396="PERDA / FECHOU LOJA"),"SEM",A396+VLOOKUP(R396,REGRAS!$B$2:$C$13,2,FALSE())))</f>
        <v/>
      </c>
      <c r="U396" s="58">
        <f>IF(R396="","",IF(R396="VENDA / PEDIDO","RECOMPRA",IF(R396="SUPORTE","PÓS-VENDA",IF(R396="RELACIONAMENTO","CS",IF(OR(R396="NÃO ATENDE",R396="NÃO RESPONDE",R396="RECUSOU LIGAÇÃO"),"REATIVAÇÃO",IF(R396="PERDA / FECHOU LOJA","NUTRIÇÃO",IF(OR(R396="FOLLOW UP 7",R396="FOLLOW UP 15"),"SALVAMENTO","PROSPECÇÃO")))))))</f>
        <v/>
      </c>
      <c r="V396" s="58" t="n"/>
      <c r="W396" s="58" t="inlineStr">
        <is>
          <t>SIM</t>
        </is>
      </c>
      <c r="X396" s="58" t="n"/>
    </row>
    <row r="397">
      <c r="A397" s="71" t="n">
        <v>46063</v>
      </c>
      <c r="B397" s="58" t="inlineStr">
        <is>
          <t>JULIO GADRET</t>
        </is>
      </c>
      <c r="C397" s="58" t="inlineStr">
        <is>
          <t>NATURAL POINT 98</t>
        </is>
      </c>
      <c r="D397" s="58" t="inlineStr">
        <is>
          <t>19.776.869/8519-73</t>
        </is>
      </c>
      <c r="E397" s="58" t="inlineStr">
        <is>
          <t>MG</t>
        </is>
      </c>
      <c r="F397" s="58" t="inlineStr">
        <is>
          <t>BIOMUNDO</t>
        </is>
      </c>
      <c r="G397" s="58" t="inlineStr">
        <is>
          <t>INAT.ANT</t>
        </is>
      </c>
      <c r="H397" s="58" t="n">
        <v>216</v>
      </c>
      <c r="I397" s="58">
        <f>IF(R397="","",VLOOKUP(R397,REGRAS!$B$2:$D$13,3,FALSE()))</f>
        <v/>
      </c>
      <c r="J397" s="58" t="n"/>
      <c r="K397" s="58">
        <f>IF(R397="","",IF(R397="VENDA / PEDIDO","RECOMPRA",IF(R397="SUPORTE","PÓS-VENDA",IF(OR(R397="FOLLOW UP 7",R397="FOLLOW UP 15"),"SALVAMENTO",IF(R397="PERDA / FECHOU LOJA","NUTRIÇÃO",IF(R397="RELACIONAMENTO","CS",IF(OR(R397="ORÇAMENTO",R397="CADASTRO"),"PROSPECÇÃO",IF(R397="EM ATENDIMENTO","EM ATENDIMENTO",IF(OR(R397="NÃO ATENDE",R397="NÃO RESPONDE",R397="RECUSOU LIGAÇÃO"),"RECUPERAÇÃO","")))))))))</f>
        <v/>
      </c>
      <c r="L397" s="58">
        <f>IF(H397="","",IF(G397="PROSPECT","🟣",IF(G397="LEAD","🟣",IF(G397="NOVO","🟢",IF(H397&lt;=50,"🟢",IF(H397&lt;=90,"🟡","🔴"))))))</f>
        <v/>
      </c>
      <c r="M397" s="58" t="n"/>
      <c r="N397" s="58" t="inlineStr">
        <is>
          <t>NÃO</t>
        </is>
      </c>
      <c r="O397" s="58" t="inlineStr">
        <is>
          <t>NÃO</t>
        </is>
      </c>
      <c r="P397" s="58" t="inlineStr">
        <is>
          <t>N/A</t>
        </is>
      </c>
      <c r="Q397" s="58" t="inlineStr">
        <is>
          <t>ATEND. CLIENTES ATIVOS</t>
        </is>
      </c>
      <c r="R397" s="58" t="inlineStr">
        <is>
          <t>RELACIONAMENTO</t>
        </is>
      </c>
      <c r="S397" s="58" t="n"/>
      <c r="T397" s="71">
        <f>IF(R397="","",IF(OR(R397="SUPORTE",R397="PERDA / FECHOU LOJA"),"SEM",A397+VLOOKUP(R397,REGRAS!$B$2:$C$13,2,FALSE())))</f>
        <v/>
      </c>
      <c r="U397" s="58">
        <f>IF(R397="","",IF(R397="VENDA / PEDIDO","RECOMPRA",IF(R397="SUPORTE","PÓS-VENDA",IF(R397="RELACIONAMENTO","CS",IF(OR(R397="NÃO ATENDE",R397="NÃO RESPONDE",R397="RECUSOU LIGAÇÃO"),"REATIVAÇÃO",IF(R397="PERDA / FECHOU LOJA","NUTRIÇÃO",IF(OR(R397="FOLLOW UP 7",R397="FOLLOW UP 15"),"SALVAMENTO","PROSPECÇÃO")))))))</f>
        <v/>
      </c>
      <c r="V397" s="58" t="n"/>
      <c r="W397" s="58" t="inlineStr">
        <is>
          <t>SIM</t>
        </is>
      </c>
      <c r="X397" s="58" t="n"/>
    </row>
    <row r="398">
      <c r="A398" s="71" t="n">
        <v>46078</v>
      </c>
      <c r="B398" s="58" t="inlineStr">
        <is>
          <t>MANU DITZEL</t>
        </is>
      </c>
      <c r="C398" s="58" t="inlineStr">
        <is>
          <t>SAUDE NA MESA 16</t>
        </is>
      </c>
      <c r="D398" s="58" t="inlineStr">
        <is>
          <t>59.560.422/6166-66</t>
        </is>
      </c>
      <c r="E398" s="58" t="inlineStr">
        <is>
          <t>RS</t>
        </is>
      </c>
      <c r="F398" s="58" t="inlineStr">
        <is>
          <t>MUNDO VERDE</t>
        </is>
      </c>
      <c r="G398" s="58" t="inlineStr">
        <is>
          <t>INAT.REC</t>
        </is>
      </c>
      <c r="H398" s="58" t="n">
        <v>88</v>
      </c>
      <c r="I398" s="58">
        <f>IF(R398="","",VLOOKUP(R398,REGRAS!$B$2:$D$13,3,FALSE()))</f>
        <v/>
      </c>
      <c r="J398" s="58" t="n"/>
      <c r="K398" s="58">
        <f>IF(R398="","",IF(R398="VENDA / PEDIDO","RECOMPRA",IF(R398="SUPORTE","PÓS-VENDA",IF(OR(R398="FOLLOW UP 7",R398="FOLLOW UP 15"),"SALVAMENTO",IF(R398="PERDA / FECHOU LOJA","NUTRIÇÃO",IF(R398="RELACIONAMENTO","CS",IF(OR(R398="ORÇAMENTO",R398="CADASTRO"),"PROSPECÇÃO",IF(R398="EM ATENDIMENTO","EM ATENDIMENTO",IF(OR(R398="NÃO ATENDE",R398="NÃO RESPONDE",R398="RECUSOU LIGAÇÃO"),"RECUPERAÇÃO","")))))))))</f>
        <v/>
      </c>
      <c r="L398" s="58">
        <f>IF(H398="","",IF(G398="PROSPECT","🟣",IF(G398="LEAD","🟣",IF(G398="NOVO","🟢",IF(H398&lt;=50,"🟢",IF(H398&lt;=90,"🟡","🔴"))))))</f>
        <v/>
      </c>
      <c r="M398" s="58" t="n"/>
      <c r="N398" s="58" t="inlineStr">
        <is>
          <t>SIM</t>
        </is>
      </c>
      <c r="O398" s="58" t="inlineStr">
        <is>
          <t>SIM</t>
        </is>
      </c>
      <c r="P398" s="58" t="inlineStr">
        <is>
          <t>SIM</t>
        </is>
      </c>
      <c r="Q398" s="58" t="inlineStr">
        <is>
          <t>PÓS-VENDA / RELACIONAMENTO</t>
        </is>
      </c>
      <c r="R398" s="58" t="inlineStr">
        <is>
          <t>NÃO ATENDE</t>
        </is>
      </c>
      <c r="S398" s="58" t="inlineStr">
        <is>
          <t>PRODUTO NÃO VENDEU / SEM GIRO</t>
        </is>
      </c>
      <c r="T398" s="71">
        <f>IF(R398="","",IF(OR(R398="SUPORTE",R398="PERDA / FECHOU LOJA"),"SEM",A398+VLOOKUP(R398,REGRAS!$B$2:$C$13,2,FALSE())))</f>
        <v/>
      </c>
      <c r="U398" s="58">
        <f>IF(R398="","",IF(R398="VENDA / PEDIDO","RECOMPRA",IF(R398="SUPORTE","PÓS-VENDA",IF(R398="RELACIONAMENTO","CS",IF(OR(R398="NÃO ATENDE",R398="NÃO RESPONDE",R398="RECUSOU LIGAÇÃO"),"REATIVAÇÃO",IF(R398="PERDA / FECHOU LOJA","NUTRIÇÃO",IF(OR(R398="FOLLOW UP 7",R398="FOLLOW UP 15"),"SALVAMENTO","PROSPECÇÃO")))))))</f>
        <v/>
      </c>
      <c r="V398" s="58" t="n"/>
      <c r="W398" s="58" t="inlineStr">
        <is>
          <t>NÃO</t>
        </is>
      </c>
      <c r="X398" s="58" t="n"/>
    </row>
    <row r="399">
      <c r="A399" s="71" t="n">
        <v>46072</v>
      </c>
      <c r="B399" s="58" t="inlineStr">
        <is>
          <t>JULIO GADRET</t>
        </is>
      </c>
      <c r="C399" s="58" t="inlineStr">
        <is>
          <t>ESSENCE FOOD 88</t>
        </is>
      </c>
      <c r="D399" s="58" t="inlineStr">
        <is>
          <t>79.685.581/7798-81</t>
        </is>
      </c>
      <c r="E399" s="58" t="inlineStr">
        <is>
          <t>BA</t>
        </is>
      </c>
      <c r="F399" s="58" t="inlineStr">
        <is>
          <t>DIVINA TERRA</t>
        </is>
      </c>
      <c r="G399" s="58" t="inlineStr">
        <is>
          <t>EM RISCO</t>
        </is>
      </c>
      <c r="H399" s="58" t="n">
        <v>58</v>
      </c>
      <c r="I399" s="58">
        <f>IF(R399="","",VLOOKUP(R399,REGRAS!$B$2:$D$13,3,FALSE()))</f>
        <v/>
      </c>
      <c r="J399" s="58" t="n"/>
      <c r="K399" s="58">
        <f>IF(R399="","",IF(R399="VENDA / PEDIDO","RECOMPRA",IF(R399="SUPORTE","PÓS-VENDA",IF(OR(R399="FOLLOW UP 7",R399="FOLLOW UP 15"),"SALVAMENTO",IF(R399="PERDA / FECHOU LOJA","NUTRIÇÃO",IF(R399="RELACIONAMENTO","CS",IF(OR(R399="ORÇAMENTO",R399="CADASTRO"),"PROSPECÇÃO",IF(R399="EM ATENDIMENTO","EM ATENDIMENTO",IF(OR(R399="NÃO ATENDE",R399="NÃO RESPONDE",R399="RECUSOU LIGAÇÃO"),"RECUPERAÇÃO","")))))))))</f>
        <v/>
      </c>
      <c r="L399" s="58">
        <f>IF(H399="","",IF(G399="PROSPECT","🟣",IF(G399="LEAD","🟣",IF(G399="NOVO","🟢",IF(H399&lt;=50,"🟢",IF(H399&lt;=90,"🟡","🔴"))))))</f>
        <v/>
      </c>
      <c r="M399" s="58" t="n"/>
      <c r="N399" s="58" t="inlineStr">
        <is>
          <t>SIM</t>
        </is>
      </c>
      <c r="O399" s="58" t="inlineStr">
        <is>
          <t>NÃO</t>
        </is>
      </c>
      <c r="P399" s="58" t="inlineStr">
        <is>
          <t>N/A</t>
        </is>
      </c>
      <c r="Q399" s="58" t="inlineStr">
        <is>
          <t>ATEND. CLIENTES ATIVOS</t>
        </is>
      </c>
      <c r="R399" s="58" t="inlineStr">
        <is>
          <t>RELACIONAMENTO</t>
        </is>
      </c>
      <c r="S399" s="58" t="n"/>
      <c r="T399" s="71">
        <f>IF(R399="","",IF(OR(R399="SUPORTE",R399="PERDA / FECHOU LOJA"),"SEM",A399+VLOOKUP(R399,REGRAS!$B$2:$C$13,2,FALSE())))</f>
        <v/>
      </c>
      <c r="U399" s="58">
        <f>IF(R399="","",IF(R399="VENDA / PEDIDO","RECOMPRA",IF(R399="SUPORTE","PÓS-VENDA",IF(R399="RELACIONAMENTO","CS",IF(OR(R399="NÃO ATENDE",R399="NÃO RESPONDE",R399="RECUSOU LIGAÇÃO"),"REATIVAÇÃO",IF(R399="PERDA / FECHOU LOJA","NUTRIÇÃO",IF(OR(R399="FOLLOW UP 7",R399="FOLLOW UP 15"),"SALVAMENTO","PROSPECÇÃO")))))))</f>
        <v/>
      </c>
      <c r="V399" s="58" t="n"/>
      <c r="W399" s="58" t="inlineStr">
        <is>
          <t>SIM</t>
        </is>
      </c>
      <c r="X399" s="58" t="n"/>
    </row>
    <row r="400">
      <c r="A400" s="71" t="n">
        <v>46055</v>
      </c>
      <c r="B400" s="58" t="inlineStr">
        <is>
          <t>MANU DITZEL</t>
        </is>
      </c>
      <c r="C400" s="58" t="inlineStr">
        <is>
          <t>MUNDO VERDE CWB 17</t>
        </is>
      </c>
      <c r="D400" s="58" t="inlineStr">
        <is>
          <t>56.457.928/9568-13</t>
        </is>
      </c>
      <c r="E400" s="58" t="inlineStr">
        <is>
          <t>RJ</t>
        </is>
      </c>
      <c r="F400" s="58" t="inlineStr">
        <is>
          <t>VIDA LEVE</t>
        </is>
      </c>
      <c r="G400" s="58" t="inlineStr">
        <is>
          <t>EM RISCO</t>
        </is>
      </c>
      <c r="H400" s="58" t="n">
        <v>57</v>
      </c>
      <c r="I400" s="58">
        <f>IF(R400="","",VLOOKUP(R400,REGRAS!$B$2:$D$13,3,FALSE()))</f>
        <v/>
      </c>
      <c r="J400" s="58" t="n"/>
      <c r="K400" s="58">
        <f>IF(R400="","",IF(R400="VENDA / PEDIDO","RECOMPRA",IF(R400="SUPORTE","PÓS-VENDA",IF(OR(R400="FOLLOW UP 7",R400="FOLLOW UP 15"),"SALVAMENTO",IF(R400="PERDA / FECHOU LOJA","NUTRIÇÃO",IF(R400="RELACIONAMENTO","CS",IF(OR(R400="ORÇAMENTO",R400="CADASTRO"),"PROSPECÇÃO",IF(R400="EM ATENDIMENTO","EM ATENDIMENTO",IF(OR(R400="NÃO ATENDE",R400="NÃO RESPONDE",R400="RECUSOU LIGAÇÃO"),"RECUPERAÇÃO","")))))))))</f>
        <v/>
      </c>
      <c r="L400" s="58">
        <f>IF(H400="","",IF(G400="PROSPECT","🟣",IF(G400="LEAD","🟣",IF(G400="NOVO","🟢",IF(H400&lt;=50,"🟢",IF(H400&lt;=90,"🟡","🔴"))))))</f>
        <v/>
      </c>
      <c r="M400" s="58" t="n"/>
      <c r="N400" s="58" t="inlineStr">
        <is>
          <t>SIM</t>
        </is>
      </c>
      <c r="O400" s="58" t="inlineStr">
        <is>
          <t>NÃO</t>
        </is>
      </c>
      <c r="P400" s="58" t="inlineStr">
        <is>
          <t>N/A</t>
        </is>
      </c>
      <c r="Q400" s="58" t="inlineStr">
        <is>
          <t>FOLLOW UP</t>
        </is>
      </c>
      <c r="R400" s="58" t="inlineStr">
        <is>
          <t>VENDA / PEDIDO</t>
        </is>
      </c>
      <c r="S400" s="58" t="n"/>
      <c r="T400" s="71">
        <f>IF(R400="","",IF(OR(R400="SUPORTE",R400="PERDA / FECHOU LOJA"),"SEM",A400+VLOOKUP(R400,REGRAS!$B$2:$C$13,2,FALSE())))</f>
        <v/>
      </c>
      <c r="U400" s="58">
        <f>IF(R400="","",IF(R400="VENDA / PEDIDO","RECOMPRA",IF(R400="SUPORTE","PÓS-VENDA",IF(R400="RELACIONAMENTO","CS",IF(OR(R400="NÃO ATENDE",R400="NÃO RESPONDE",R400="RECUSOU LIGAÇÃO"),"REATIVAÇÃO",IF(R400="PERDA / FECHOU LOJA","NUTRIÇÃO",IF(OR(R400="FOLLOW UP 7",R400="FOLLOW UP 15"),"SALVAMENTO","PROSPECÇÃO")))))))</f>
        <v/>
      </c>
      <c r="V400" s="58" t="n"/>
      <c r="W400" s="58" t="inlineStr">
        <is>
          <t>SIM</t>
        </is>
      </c>
      <c r="X400" s="58" t="n"/>
    </row>
    <row r="401">
      <c r="A401" s="71" t="n">
        <v>46074</v>
      </c>
      <c r="B401" s="58" t="inlineStr">
        <is>
          <t>MANU DITZEL</t>
        </is>
      </c>
      <c r="C401" s="58" t="inlineStr">
        <is>
          <t>GRÃO DE OURO 89</t>
        </is>
      </c>
      <c r="D401" s="58" t="inlineStr">
        <is>
          <t>18.989.412/1876-53</t>
        </is>
      </c>
      <c r="E401" s="58" t="inlineStr">
        <is>
          <t>PR</t>
        </is>
      </c>
      <c r="F401" s="58" t="inlineStr">
        <is>
          <t>VIDA LEVE</t>
        </is>
      </c>
      <c r="G401" s="58" t="inlineStr">
        <is>
          <t>ATIVO</t>
        </is>
      </c>
      <c r="H401" s="58" t="n">
        <v>47</v>
      </c>
      <c r="I401" s="58">
        <f>IF(R401="","",VLOOKUP(R401,REGRAS!$B$2:$D$13,3,FALSE()))</f>
        <v/>
      </c>
      <c r="J401" s="58" t="n"/>
      <c r="K401" s="58">
        <f>IF(R401="","",IF(R401="VENDA / PEDIDO","RECOMPRA",IF(R401="SUPORTE","PÓS-VENDA",IF(OR(R401="FOLLOW UP 7",R401="FOLLOW UP 15"),"SALVAMENTO",IF(R401="PERDA / FECHOU LOJA","NUTRIÇÃO",IF(R401="RELACIONAMENTO","CS",IF(OR(R401="ORÇAMENTO",R401="CADASTRO"),"PROSPECÇÃO",IF(R401="EM ATENDIMENTO","EM ATENDIMENTO",IF(OR(R401="NÃO ATENDE",R401="NÃO RESPONDE",R401="RECUSOU LIGAÇÃO"),"RECUPERAÇÃO","")))))))))</f>
        <v/>
      </c>
      <c r="L401" s="58">
        <f>IF(H401="","",IF(G401="PROSPECT","🟣",IF(G401="LEAD","🟣",IF(G401="NOVO","🟢",IF(H401&lt;=50,"🟢",IF(H401&lt;=90,"🟡","🔴"))))))</f>
        <v/>
      </c>
      <c r="M401" s="58" t="n"/>
      <c r="N401" s="58" t="inlineStr">
        <is>
          <t>NÃO</t>
        </is>
      </c>
      <c r="O401" s="58" t="inlineStr">
        <is>
          <t>SIM</t>
        </is>
      </c>
      <c r="P401" s="58" t="inlineStr">
        <is>
          <t>NÃO</t>
        </is>
      </c>
      <c r="Q401" s="58" t="inlineStr">
        <is>
          <t>PÓS-VENDA / RELACIONAMENTO</t>
        </is>
      </c>
      <c r="R401" s="58" t="inlineStr">
        <is>
          <t>SUPORTE</t>
        </is>
      </c>
      <c r="S401" s="58" t="n"/>
      <c r="T401" s="71">
        <f>IF(R401="","",IF(OR(R401="SUPORTE",R401="PERDA / FECHOU LOJA"),"SEM",A401+VLOOKUP(R401,REGRAS!$B$2:$C$13,2,FALSE())))</f>
        <v/>
      </c>
      <c r="U401" s="58">
        <f>IF(R401="","",IF(R401="VENDA / PEDIDO","RECOMPRA",IF(R401="SUPORTE","PÓS-VENDA",IF(R401="RELACIONAMENTO","CS",IF(OR(R401="NÃO ATENDE",R401="NÃO RESPONDE",R401="RECUSOU LIGAÇÃO"),"REATIVAÇÃO",IF(R401="PERDA / FECHOU LOJA","NUTRIÇÃO",IF(OR(R401="FOLLOW UP 7",R401="FOLLOW UP 15"),"SALVAMENTO","PROSPECÇÃO")))))))</f>
        <v/>
      </c>
      <c r="V401" s="58" t="n"/>
      <c r="W401" s="58" t="inlineStr">
        <is>
          <t>SIM</t>
        </is>
      </c>
      <c r="X401" s="58" t="n"/>
    </row>
    <row r="402">
      <c r="A402" s="71" t="n">
        <v>46064</v>
      </c>
      <c r="B402" s="58" t="inlineStr">
        <is>
          <t>LARISSA PADILHA</t>
        </is>
      </c>
      <c r="C402" s="58" t="inlineStr">
        <is>
          <t>VIDA LEVE PR 42</t>
        </is>
      </c>
      <c r="D402" s="58" t="inlineStr">
        <is>
          <t>83.200.927/8002-22</t>
        </is>
      </c>
      <c r="E402" s="58" t="inlineStr">
        <is>
          <t>SP</t>
        </is>
      </c>
      <c r="F402" s="58" t="inlineStr">
        <is>
          <t>BIOMUNDO</t>
        </is>
      </c>
      <c r="G402" s="58" t="inlineStr">
        <is>
          <t>EM RISCO</t>
        </is>
      </c>
      <c r="H402" s="58" t="n">
        <v>56</v>
      </c>
      <c r="I402" s="58">
        <f>IF(R402="","",VLOOKUP(R402,REGRAS!$B$2:$D$13,3,FALSE()))</f>
        <v/>
      </c>
      <c r="J402" s="58" t="n"/>
      <c r="K402" s="58">
        <f>IF(R402="","",IF(R402="VENDA / PEDIDO","RECOMPRA",IF(R402="SUPORTE","PÓS-VENDA",IF(OR(R402="FOLLOW UP 7",R402="FOLLOW UP 15"),"SALVAMENTO",IF(R402="PERDA / FECHOU LOJA","NUTRIÇÃO",IF(R402="RELACIONAMENTO","CS",IF(OR(R402="ORÇAMENTO",R402="CADASTRO"),"PROSPECÇÃO",IF(R402="EM ATENDIMENTO","EM ATENDIMENTO",IF(OR(R402="NÃO ATENDE",R402="NÃO RESPONDE",R402="RECUSOU LIGAÇÃO"),"RECUPERAÇÃO","")))))))))</f>
        <v/>
      </c>
      <c r="L402" s="58">
        <f>IF(H402="","",IF(G402="PROSPECT","🟣",IF(G402="LEAD","🟣",IF(G402="NOVO","🟢",IF(H402&lt;=50,"🟢",IF(H402&lt;=90,"🟡","🔴"))))))</f>
        <v/>
      </c>
      <c r="M402" s="58" t="n"/>
      <c r="N402" s="58" t="inlineStr">
        <is>
          <t>NÃO</t>
        </is>
      </c>
      <c r="O402" s="58" t="inlineStr">
        <is>
          <t>SIM</t>
        </is>
      </c>
      <c r="P402" s="58" t="inlineStr">
        <is>
          <t>NÃO</t>
        </is>
      </c>
      <c r="Q402" s="58" t="inlineStr">
        <is>
          <t>NEGOCIAÇÃO</t>
        </is>
      </c>
      <c r="R402" s="58" t="inlineStr">
        <is>
          <t>ORÇAMENTO</t>
        </is>
      </c>
      <c r="S402" s="58" t="n"/>
      <c r="T402" s="71">
        <f>IF(R402="","",IF(OR(R402="SUPORTE",R402="PERDA / FECHOU LOJA"),"SEM",A402+VLOOKUP(R402,REGRAS!$B$2:$C$13,2,FALSE())))</f>
        <v/>
      </c>
      <c r="U402" s="58">
        <f>IF(R402="","",IF(R402="VENDA / PEDIDO","RECOMPRA",IF(R402="SUPORTE","PÓS-VENDA",IF(R402="RELACIONAMENTO","CS",IF(OR(R402="NÃO ATENDE",R402="NÃO RESPONDE",R402="RECUSOU LIGAÇÃO"),"REATIVAÇÃO",IF(R402="PERDA / FECHOU LOJA","NUTRIÇÃO",IF(OR(R402="FOLLOW UP 7",R402="FOLLOW UP 15"),"SALVAMENTO","PROSPECÇÃO")))))))</f>
        <v/>
      </c>
      <c r="V402" s="58" t="n"/>
      <c r="W402" s="58" t="inlineStr">
        <is>
          <t>NÃO</t>
        </is>
      </c>
      <c r="X402" s="58" t="n"/>
    </row>
    <row r="403">
      <c r="A403" s="71" t="n">
        <v>46056</v>
      </c>
      <c r="B403" s="58" t="inlineStr">
        <is>
          <t>DAIANE STAVICKI</t>
        </is>
      </c>
      <c r="C403" s="58" t="inlineStr">
        <is>
          <t>BIO FIT 28</t>
        </is>
      </c>
      <c r="D403" s="58" t="inlineStr">
        <is>
          <t>46.371.148/4872-83</t>
        </is>
      </c>
      <c r="E403" s="58" t="inlineStr">
        <is>
          <t>RS</t>
        </is>
      </c>
      <c r="F403" s="58" t="inlineStr">
        <is>
          <t>BIOMUNDO</t>
        </is>
      </c>
      <c r="G403" s="58" t="inlineStr">
        <is>
          <t>INAT.ANT</t>
        </is>
      </c>
      <c r="H403" s="58" t="n">
        <v>114</v>
      </c>
      <c r="I403" s="58">
        <f>IF(R403="","",VLOOKUP(R403,REGRAS!$B$2:$D$13,3,FALSE()))</f>
        <v/>
      </c>
      <c r="J403" s="58" t="n"/>
      <c r="K403" s="58">
        <f>IF(R403="","",IF(R403="VENDA / PEDIDO","RECOMPRA",IF(R403="SUPORTE","PÓS-VENDA",IF(OR(R403="FOLLOW UP 7",R403="FOLLOW UP 15"),"SALVAMENTO",IF(R403="PERDA / FECHOU LOJA","NUTRIÇÃO",IF(R403="RELACIONAMENTO","CS",IF(OR(R403="ORÇAMENTO",R403="CADASTRO"),"PROSPECÇÃO",IF(R403="EM ATENDIMENTO","EM ATENDIMENTO",IF(OR(R403="NÃO ATENDE",R403="NÃO RESPONDE",R403="RECUSOU LIGAÇÃO"),"RECUPERAÇÃO","")))))))))</f>
        <v/>
      </c>
      <c r="L403" s="58">
        <f>IF(H403="","",IF(G403="PROSPECT","🟣",IF(G403="LEAD","🟣",IF(G403="NOVO","🟢",IF(H403&lt;=50,"🟢",IF(H403&lt;=90,"🟡","🔴"))))))</f>
        <v/>
      </c>
      <c r="M403" s="58" t="n"/>
      <c r="N403" s="58" t="inlineStr">
        <is>
          <t>SIM</t>
        </is>
      </c>
      <c r="O403" s="58" t="inlineStr">
        <is>
          <t>SIM</t>
        </is>
      </c>
      <c r="P403" s="58" t="inlineStr">
        <is>
          <t>NÃO</t>
        </is>
      </c>
      <c r="Q403" s="58" t="inlineStr">
        <is>
          <t>ATEND. CLIENTES INATIVOS</t>
        </is>
      </c>
      <c r="R403" s="58" t="inlineStr">
        <is>
          <t>RECUSOU LIGAÇÃO</t>
        </is>
      </c>
      <c r="S403" s="58" t="inlineStr">
        <is>
          <t>PROBLEMA LOGÍSTICO / ENTREGA</t>
        </is>
      </c>
      <c r="T403" s="71">
        <f>IF(R403="","",IF(OR(R403="SUPORTE",R403="PERDA / FECHOU LOJA"),"SEM",A403+VLOOKUP(R403,REGRAS!$B$2:$C$13,2,FALSE())))</f>
        <v/>
      </c>
      <c r="U403" s="58">
        <f>IF(R403="","",IF(R403="VENDA / PEDIDO","RECOMPRA",IF(R403="SUPORTE","PÓS-VENDA",IF(R403="RELACIONAMENTO","CS",IF(OR(R403="NÃO ATENDE",R403="NÃO RESPONDE",R403="RECUSOU LIGAÇÃO"),"REATIVAÇÃO",IF(R403="PERDA / FECHOU LOJA","NUTRIÇÃO",IF(OR(R403="FOLLOW UP 7",R403="FOLLOW UP 15"),"SALVAMENTO","PROSPECÇÃO")))))))</f>
        <v/>
      </c>
      <c r="V403" s="58" t="n"/>
      <c r="W403" s="58" t="inlineStr">
        <is>
          <t>SIM</t>
        </is>
      </c>
      <c r="X403" s="58" t="n"/>
    </row>
    <row r="404">
      <c r="A404" s="71" t="n">
        <v>46065</v>
      </c>
      <c r="B404" s="58" t="inlineStr">
        <is>
          <t>DAIANE STAVICKI</t>
        </is>
      </c>
      <c r="C404" s="58" t="inlineStr">
        <is>
          <t>EMPÓRIO DO CAMPO 65</t>
        </is>
      </c>
      <c r="D404" s="58" t="inlineStr">
        <is>
          <t>48.543.779/8847-50</t>
        </is>
      </c>
      <c r="E404" s="58" t="inlineStr">
        <is>
          <t>PR</t>
        </is>
      </c>
      <c r="F404" s="58" t="inlineStr">
        <is>
          <t>FIT LAND</t>
        </is>
      </c>
      <c r="G404" s="58" t="inlineStr">
        <is>
          <t>INAT.ANT</t>
        </is>
      </c>
      <c r="H404" s="58" t="n">
        <v>207</v>
      </c>
      <c r="I404" s="58">
        <f>IF(R404="","",VLOOKUP(R404,REGRAS!$B$2:$D$13,3,FALSE()))</f>
        <v/>
      </c>
      <c r="J404" s="58" t="n"/>
      <c r="K404" s="58">
        <f>IF(R404="","",IF(R404="VENDA / PEDIDO","RECOMPRA",IF(R404="SUPORTE","PÓS-VENDA",IF(OR(R404="FOLLOW UP 7",R404="FOLLOW UP 15"),"SALVAMENTO",IF(R404="PERDA / FECHOU LOJA","NUTRIÇÃO",IF(R404="RELACIONAMENTO","CS",IF(OR(R404="ORÇAMENTO",R404="CADASTRO"),"PROSPECÇÃO",IF(R404="EM ATENDIMENTO","EM ATENDIMENTO",IF(OR(R404="NÃO ATENDE",R404="NÃO RESPONDE",R404="RECUSOU LIGAÇÃO"),"RECUPERAÇÃO","")))))))))</f>
        <v/>
      </c>
      <c r="L404" s="58">
        <f>IF(H404="","",IF(G404="PROSPECT","🟣",IF(G404="LEAD","🟣",IF(G404="NOVO","🟢",IF(H404&lt;=50,"🟢",IF(H404&lt;=90,"🟡","🔴"))))))</f>
        <v/>
      </c>
      <c r="M404" s="58" t="n"/>
      <c r="N404" s="58" t="inlineStr">
        <is>
          <t>NÃO</t>
        </is>
      </c>
      <c r="O404" s="58" t="inlineStr">
        <is>
          <t>NÃO</t>
        </is>
      </c>
      <c r="P404" s="58" t="inlineStr">
        <is>
          <t>N/A</t>
        </is>
      </c>
      <c r="Q404" s="58" t="inlineStr">
        <is>
          <t>ATEND. CLIENTES INATIVOS</t>
        </is>
      </c>
      <c r="R404" s="58" t="inlineStr">
        <is>
          <t>RECUSOU LIGAÇÃO</t>
        </is>
      </c>
      <c r="S404" s="58" t="inlineStr">
        <is>
          <t>SÓ QUER COMPRAR GRANEL</t>
        </is>
      </c>
      <c r="T404" s="71">
        <f>IF(R404="","",IF(OR(R404="SUPORTE",R404="PERDA / FECHOU LOJA"),"SEM",A404+VLOOKUP(R404,REGRAS!$B$2:$C$13,2,FALSE())))</f>
        <v/>
      </c>
      <c r="U404" s="58">
        <f>IF(R404="","",IF(R404="VENDA / PEDIDO","RECOMPRA",IF(R404="SUPORTE","PÓS-VENDA",IF(R404="RELACIONAMENTO","CS",IF(OR(R404="NÃO ATENDE",R404="NÃO RESPONDE",R404="RECUSOU LIGAÇÃO"),"REATIVAÇÃO",IF(R404="PERDA / FECHOU LOJA","NUTRIÇÃO",IF(OR(R404="FOLLOW UP 7",R404="FOLLOW UP 15"),"SALVAMENTO","PROSPECÇÃO")))))))</f>
        <v/>
      </c>
      <c r="V404" s="58" t="n"/>
      <c r="W404" s="58" t="inlineStr">
        <is>
          <t>SIM</t>
        </is>
      </c>
      <c r="X404" s="58" t="n"/>
    </row>
    <row r="405">
      <c r="A405" s="71" t="n">
        <v>46069</v>
      </c>
      <c r="B405" s="58" t="inlineStr">
        <is>
          <t>MANU DITZEL</t>
        </is>
      </c>
      <c r="C405" s="58" t="inlineStr">
        <is>
          <t>NATURAL HOUSE 35</t>
        </is>
      </c>
      <c r="D405" s="58" t="inlineStr">
        <is>
          <t>91.645.928/7107-82</t>
        </is>
      </c>
      <c r="E405" s="58" t="inlineStr">
        <is>
          <t>RJ</t>
        </is>
      </c>
      <c r="F405" s="58" t="inlineStr">
        <is>
          <t>MUNDO VERDE</t>
        </is>
      </c>
      <c r="G405" s="58" t="inlineStr">
        <is>
          <t>ATIVO</t>
        </is>
      </c>
      <c r="H405" s="58" t="n">
        <v>34</v>
      </c>
      <c r="I405" s="58">
        <f>IF(R405="","",VLOOKUP(R405,REGRAS!$B$2:$D$13,3,FALSE()))</f>
        <v/>
      </c>
      <c r="J405" s="58" t="n"/>
      <c r="K405" s="58">
        <f>IF(R405="","",IF(R405="VENDA / PEDIDO","RECOMPRA",IF(R405="SUPORTE","PÓS-VENDA",IF(OR(R405="FOLLOW UP 7",R405="FOLLOW UP 15"),"SALVAMENTO",IF(R405="PERDA / FECHOU LOJA","NUTRIÇÃO",IF(R405="RELACIONAMENTO","CS",IF(OR(R405="ORÇAMENTO",R405="CADASTRO"),"PROSPECÇÃO",IF(R405="EM ATENDIMENTO","EM ATENDIMENTO",IF(OR(R405="NÃO ATENDE",R405="NÃO RESPONDE",R405="RECUSOU LIGAÇÃO"),"RECUPERAÇÃO","")))))))))</f>
        <v/>
      </c>
      <c r="L405" s="58">
        <f>IF(H405="","",IF(G405="PROSPECT","🟣",IF(G405="LEAD","🟣",IF(G405="NOVO","🟢",IF(H405&lt;=50,"🟢",IF(H405&lt;=90,"🟡","🔴"))))))</f>
        <v/>
      </c>
      <c r="M405" s="58" t="n"/>
      <c r="N405" s="58" t="inlineStr">
        <is>
          <t>SIM</t>
        </is>
      </c>
      <c r="O405" s="58" t="inlineStr">
        <is>
          <t>SIM</t>
        </is>
      </c>
      <c r="P405" s="58" t="inlineStr">
        <is>
          <t>SIM</t>
        </is>
      </c>
      <c r="Q405" s="58" t="inlineStr">
        <is>
          <t>PROSPECÇÃO</t>
        </is>
      </c>
      <c r="R405" s="58" t="inlineStr">
        <is>
          <t>EM ATENDIMENTO</t>
        </is>
      </c>
      <c r="S405" s="58" t="n"/>
      <c r="T405" s="71">
        <f>IF(R405="","",IF(OR(R405="SUPORTE",R405="PERDA / FECHOU LOJA"),"SEM",A405+VLOOKUP(R405,REGRAS!$B$2:$C$13,2,FALSE())))</f>
        <v/>
      </c>
      <c r="U405" s="58">
        <f>IF(R405="","",IF(R405="VENDA / PEDIDO","RECOMPRA",IF(R405="SUPORTE","PÓS-VENDA",IF(R405="RELACIONAMENTO","CS",IF(OR(R405="NÃO ATENDE",R405="NÃO RESPONDE",R405="RECUSOU LIGAÇÃO"),"REATIVAÇÃO",IF(R405="PERDA / FECHOU LOJA","NUTRIÇÃO",IF(OR(R405="FOLLOW UP 7",R405="FOLLOW UP 15"),"SALVAMENTO","PROSPECÇÃO")))))))</f>
        <v/>
      </c>
      <c r="V405" s="58" t="n"/>
      <c r="W405" s="58" t="inlineStr">
        <is>
          <t>SIM</t>
        </is>
      </c>
      <c r="X405" s="58" t="n"/>
    </row>
    <row r="406">
      <c r="A406" s="71" t="n">
        <v>46080</v>
      </c>
      <c r="B406" s="58" t="inlineStr">
        <is>
          <t>DAIANE STAVICKI</t>
        </is>
      </c>
      <c r="C406" s="58" t="inlineStr">
        <is>
          <t>DIVINA TERRA RJ 53</t>
        </is>
      </c>
      <c r="D406" s="58" t="inlineStr">
        <is>
          <t>44.943.393/2632-42</t>
        </is>
      </c>
      <c r="E406" s="58" t="inlineStr">
        <is>
          <t>SP</t>
        </is>
      </c>
      <c r="F406" s="58" t="inlineStr">
        <is>
          <t>BIOMUNDO</t>
        </is>
      </c>
      <c r="G406" s="58" t="inlineStr">
        <is>
          <t>ATIVO</t>
        </is>
      </c>
      <c r="H406" s="58" t="n">
        <v>14</v>
      </c>
      <c r="I406" s="58">
        <f>IF(R406="","",VLOOKUP(R406,REGRAS!$B$2:$D$13,3,FALSE()))</f>
        <v/>
      </c>
      <c r="J406" s="58" t="n"/>
      <c r="K406" s="58">
        <f>IF(R406="","",IF(R406="VENDA / PEDIDO","RECOMPRA",IF(R406="SUPORTE","PÓS-VENDA",IF(OR(R406="FOLLOW UP 7",R406="FOLLOW UP 15"),"SALVAMENTO",IF(R406="PERDA / FECHOU LOJA","NUTRIÇÃO",IF(R406="RELACIONAMENTO","CS",IF(OR(R406="ORÇAMENTO",R406="CADASTRO"),"PROSPECÇÃO",IF(R406="EM ATENDIMENTO","EM ATENDIMENTO",IF(OR(R406="NÃO ATENDE",R406="NÃO RESPONDE",R406="RECUSOU LIGAÇÃO"),"RECUPERAÇÃO","")))))))))</f>
        <v/>
      </c>
      <c r="L406" s="58">
        <f>IF(H406="","",IF(G406="PROSPECT","🟣",IF(G406="LEAD","🟣",IF(G406="NOVO","🟢",IF(H406&lt;=50,"🟢",IF(H406&lt;=90,"🟡","🔴"))))))</f>
        <v/>
      </c>
      <c r="M406" s="58" t="n"/>
      <c r="N406" s="58" t="inlineStr">
        <is>
          <t>NÃO</t>
        </is>
      </c>
      <c r="O406" s="58" t="inlineStr">
        <is>
          <t>NÃO</t>
        </is>
      </c>
      <c r="P406" s="58" t="inlineStr">
        <is>
          <t>N/A</t>
        </is>
      </c>
      <c r="Q406" s="58" t="inlineStr">
        <is>
          <t>NEGOCIAÇÃO</t>
        </is>
      </c>
      <c r="R406" s="58" t="inlineStr">
        <is>
          <t>ORÇAMENTO</t>
        </is>
      </c>
      <c r="S406" s="58" t="n"/>
      <c r="T406" s="71">
        <f>IF(R406="","",IF(OR(R406="SUPORTE",R406="PERDA / FECHOU LOJA"),"SEM",A406+VLOOKUP(R406,REGRAS!$B$2:$C$13,2,FALSE())))</f>
        <v/>
      </c>
      <c r="U406" s="58">
        <f>IF(R406="","",IF(R406="VENDA / PEDIDO","RECOMPRA",IF(R406="SUPORTE","PÓS-VENDA",IF(R406="RELACIONAMENTO","CS",IF(OR(R406="NÃO ATENDE",R406="NÃO RESPONDE",R406="RECUSOU LIGAÇÃO"),"REATIVAÇÃO",IF(R406="PERDA / FECHOU LOJA","NUTRIÇÃO",IF(OR(R406="FOLLOW UP 7",R406="FOLLOW UP 15"),"SALVAMENTO","PROSPECÇÃO")))))))</f>
        <v/>
      </c>
      <c r="V406" s="58" t="n"/>
      <c r="W406" s="58" t="inlineStr">
        <is>
          <t>SIM</t>
        </is>
      </c>
      <c r="X406" s="58" t="n"/>
    </row>
    <row r="407">
      <c r="A407" s="71" t="n">
        <v>46067</v>
      </c>
      <c r="B407" s="58" t="inlineStr">
        <is>
          <t>LARISSA PADILHA</t>
        </is>
      </c>
      <c r="C407" s="58" t="inlineStr">
        <is>
          <t>MUNDO VERDE CWB 26</t>
        </is>
      </c>
      <c r="D407" s="58" t="inlineStr">
        <is>
          <t>30.379.239/0478-43</t>
        </is>
      </c>
      <c r="E407" s="58" t="inlineStr">
        <is>
          <t>MG</t>
        </is>
      </c>
      <c r="F407" s="58" t="inlineStr">
        <is>
          <t>CIA DA SAUDE</t>
        </is>
      </c>
      <c r="G407" s="58" t="inlineStr">
        <is>
          <t>INAT.REC</t>
        </is>
      </c>
      <c r="H407" s="58" t="n">
        <v>81</v>
      </c>
      <c r="I407" s="58">
        <f>IF(R407="","",VLOOKUP(R407,REGRAS!$B$2:$D$13,3,FALSE()))</f>
        <v/>
      </c>
      <c r="J407" s="58" t="n"/>
      <c r="K407" s="58">
        <f>IF(R407="","",IF(R407="VENDA / PEDIDO","RECOMPRA",IF(R407="SUPORTE","PÓS-VENDA",IF(OR(R407="FOLLOW UP 7",R407="FOLLOW UP 15"),"SALVAMENTO",IF(R407="PERDA / FECHOU LOJA","NUTRIÇÃO",IF(R407="RELACIONAMENTO","CS",IF(OR(R407="ORÇAMENTO",R407="CADASTRO"),"PROSPECÇÃO",IF(R407="EM ATENDIMENTO","EM ATENDIMENTO",IF(OR(R407="NÃO ATENDE",R407="NÃO RESPONDE",R407="RECUSOU LIGAÇÃO"),"RECUPERAÇÃO","")))))))))</f>
        <v/>
      </c>
      <c r="L407" s="58">
        <f>IF(H407="","",IF(G407="PROSPECT","🟣",IF(G407="LEAD","🟣",IF(G407="NOVO","🟢",IF(H407&lt;=50,"🟢",IF(H407&lt;=90,"🟡","🔴"))))))</f>
        <v/>
      </c>
      <c r="M407" s="58" t="n"/>
      <c r="N407" s="58" t="inlineStr">
        <is>
          <t>SIM</t>
        </is>
      </c>
      <c r="O407" s="58" t="inlineStr">
        <is>
          <t>SIM</t>
        </is>
      </c>
      <c r="P407" s="58" t="inlineStr">
        <is>
          <t>NÃO</t>
        </is>
      </c>
      <c r="Q407" s="58" t="inlineStr">
        <is>
          <t>PÓS-VENDA / RELACIONAMENTO</t>
        </is>
      </c>
      <c r="R407" s="58" t="inlineStr">
        <is>
          <t>ORÇAMENTO</t>
        </is>
      </c>
      <c r="S407" s="58" t="n"/>
      <c r="T407" s="71">
        <f>IF(R407="","",IF(OR(R407="SUPORTE",R407="PERDA / FECHOU LOJA"),"SEM",A407+VLOOKUP(R407,REGRAS!$B$2:$C$13,2,FALSE())))</f>
        <v/>
      </c>
      <c r="U407" s="58">
        <f>IF(R407="","",IF(R407="VENDA / PEDIDO","RECOMPRA",IF(R407="SUPORTE","PÓS-VENDA",IF(R407="RELACIONAMENTO","CS",IF(OR(R407="NÃO ATENDE",R407="NÃO RESPONDE",R407="RECUSOU LIGAÇÃO"),"REATIVAÇÃO",IF(R407="PERDA / FECHOU LOJA","NUTRIÇÃO",IF(OR(R407="FOLLOW UP 7",R407="FOLLOW UP 15"),"SALVAMENTO","PROSPECÇÃO")))))))</f>
        <v/>
      </c>
      <c r="V407" s="58" t="n"/>
      <c r="W407" s="58" t="inlineStr">
        <is>
          <t>SIM</t>
        </is>
      </c>
      <c r="X407" s="58" t="n"/>
    </row>
    <row r="408">
      <c r="A408" s="71" t="n">
        <v>46073</v>
      </c>
      <c r="B408" s="58" t="inlineStr">
        <is>
          <t>MANU DITZEL</t>
        </is>
      </c>
      <c r="C408" s="58" t="inlineStr">
        <is>
          <t>VIDA SAUDÁVEL 53</t>
        </is>
      </c>
      <c r="D408" s="58" t="inlineStr">
        <is>
          <t>56.787.773/1480-60</t>
        </is>
      </c>
      <c r="E408" s="58" t="inlineStr">
        <is>
          <t>DF</t>
        </is>
      </c>
      <c r="F408" s="58" t="inlineStr">
        <is>
          <t>DEMAIS CLIENTES</t>
        </is>
      </c>
      <c r="G408" s="58" t="inlineStr">
        <is>
          <t>ATIVO</t>
        </is>
      </c>
      <c r="H408" s="58" t="n">
        <v>12</v>
      </c>
      <c r="I408" s="58">
        <f>IF(R408="","",VLOOKUP(R408,REGRAS!$B$2:$D$13,3,FALSE()))</f>
        <v/>
      </c>
      <c r="J408" s="58" t="n"/>
      <c r="K408" s="58">
        <f>IF(R408="","",IF(R408="VENDA / PEDIDO","RECOMPRA",IF(R408="SUPORTE","PÓS-VENDA",IF(OR(R408="FOLLOW UP 7",R408="FOLLOW UP 15"),"SALVAMENTO",IF(R408="PERDA / FECHOU LOJA","NUTRIÇÃO",IF(R408="RELACIONAMENTO","CS",IF(OR(R408="ORÇAMENTO",R408="CADASTRO"),"PROSPECÇÃO",IF(R408="EM ATENDIMENTO","EM ATENDIMENTO",IF(OR(R408="NÃO ATENDE",R408="NÃO RESPONDE",R408="RECUSOU LIGAÇÃO"),"RECUPERAÇÃO","")))))))))</f>
        <v/>
      </c>
      <c r="L408" s="58">
        <f>IF(H408="","",IF(G408="PROSPECT","🟣",IF(G408="LEAD","🟣",IF(G408="NOVO","🟢",IF(H408&lt;=50,"🟢",IF(H408&lt;=90,"🟡","🔴"))))))</f>
        <v/>
      </c>
      <c r="M408" s="58" t="n"/>
      <c r="N408" s="58" t="inlineStr">
        <is>
          <t>SIM</t>
        </is>
      </c>
      <c r="O408" s="58" t="inlineStr">
        <is>
          <t>NÃO</t>
        </is>
      </c>
      <c r="P408" s="58" t="inlineStr">
        <is>
          <t>N/A</t>
        </is>
      </c>
      <c r="Q408" s="58" t="inlineStr">
        <is>
          <t>ATEND. CLIENTES ATIVOS</t>
        </is>
      </c>
      <c r="R408" s="58" t="inlineStr">
        <is>
          <t>RELACIONAMENTO</t>
        </is>
      </c>
      <c r="S408" s="58" t="n"/>
      <c r="T408" s="71">
        <f>IF(R408="","",IF(OR(R408="SUPORTE",R408="PERDA / FECHOU LOJA"),"SEM",A408+VLOOKUP(R408,REGRAS!$B$2:$C$13,2,FALSE())))</f>
        <v/>
      </c>
      <c r="U408" s="58">
        <f>IF(R408="","",IF(R408="VENDA / PEDIDO","RECOMPRA",IF(R408="SUPORTE","PÓS-VENDA",IF(R408="RELACIONAMENTO","CS",IF(OR(R408="NÃO ATENDE",R408="NÃO RESPONDE",R408="RECUSOU LIGAÇÃO"),"REATIVAÇÃO",IF(R408="PERDA / FECHOU LOJA","NUTRIÇÃO",IF(OR(R408="FOLLOW UP 7",R408="FOLLOW UP 15"),"SALVAMENTO","PROSPECÇÃO")))))))</f>
        <v/>
      </c>
      <c r="V408" s="58" t="n"/>
      <c r="W408" s="58" t="inlineStr">
        <is>
          <t>SIM</t>
        </is>
      </c>
      <c r="X408" s="58" t="n"/>
    </row>
    <row r="409">
      <c r="A409" s="71" t="n">
        <v>46078</v>
      </c>
      <c r="B409" s="58" t="inlineStr">
        <is>
          <t>DAIANE STAVICKI</t>
        </is>
      </c>
      <c r="C409" s="58" t="inlineStr">
        <is>
          <t>PONTO VERDE 64</t>
        </is>
      </c>
      <c r="D409" s="58" t="inlineStr">
        <is>
          <t>21.343.714/2004-50</t>
        </is>
      </c>
      <c r="E409" s="58" t="inlineStr">
        <is>
          <t>SC</t>
        </is>
      </c>
      <c r="F409" s="58" t="inlineStr">
        <is>
          <t>VIDA LEVE</t>
        </is>
      </c>
      <c r="G409" s="58" t="inlineStr">
        <is>
          <t>EM RISCO</t>
        </is>
      </c>
      <c r="H409" s="58" t="n">
        <v>54</v>
      </c>
      <c r="I409" s="58">
        <f>IF(R409="","",VLOOKUP(R409,REGRAS!$B$2:$D$13,3,FALSE()))</f>
        <v/>
      </c>
      <c r="J409" s="58" t="n"/>
      <c r="K409" s="58">
        <f>IF(R409="","",IF(R409="VENDA / PEDIDO","RECOMPRA",IF(R409="SUPORTE","PÓS-VENDA",IF(OR(R409="FOLLOW UP 7",R409="FOLLOW UP 15"),"SALVAMENTO",IF(R409="PERDA / FECHOU LOJA","NUTRIÇÃO",IF(R409="RELACIONAMENTO","CS",IF(OR(R409="ORÇAMENTO",R409="CADASTRO"),"PROSPECÇÃO",IF(R409="EM ATENDIMENTO","EM ATENDIMENTO",IF(OR(R409="NÃO ATENDE",R409="NÃO RESPONDE",R409="RECUSOU LIGAÇÃO"),"RECUPERAÇÃO","")))))))))</f>
        <v/>
      </c>
      <c r="L409" s="58">
        <f>IF(H409="","",IF(G409="PROSPECT","🟣",IF(G409="LEAD","🟣",IF(G409="NOVO","🟢",IF(H409&lt;=50,"🟢",IF(H409&lt;=90,"🟡","🔴"))))))</f>
        <v/>
      </c>
      <c r="M409" s="58" t="n"/>
      <c r="N409" s="58" t="inlineStr">
        <is>
          <t>SIM</t>
        </is>
      </c>
      <c r="O409" s="58" t="inlineStr">
        <is>
          <t>SIM</t>
        </is>
      </c>
      <c r="P409" s="58" t="inlineStr">
        <is>
          <t>SIM</t>
        </is>
      </c>
      <c r="Q409" s="58" t="inlineStr">
        <is>
          <t>PERDA / NUTRIÇÃO</t>
        </is>
      </c>
      <c r="R409" s="58" t="inlineStr">
        <is>
          <t>PERDA / FECHOU LOJA</t>
        </is>
      </c>
      <c r="S409" s="58" t="inlineStr">
        <is>
          <t>LOJA ANEXO/PROXIMO - SM</t>
        </is>
      </c>
      <c r="T409" s="71">
        <f>IF(R409="","",IF(OR(R409="SUPORTE",R409="PERDA / FECHOU LOJA"),"SEM",A409+VLOOKUP(R409,REGRAS!$B$2:$C$13,2,FALSE())))</f>
        <v/>
      </c>
      <c r="U409" s="58">
        <f>IF(R409="","",IF(R409="VENDA / PEDIDO","RECOMPRA",IF(R409="SUPORTE","PÓS-VENDA",IF(R409="RELACIONAMENTO","CS",IF(OR(R409="NÃO ATENDE",R409="NÃO RESPONDE",R409="RECUSOU LIGAÇÃO"),"REATIVAÇÃO",IF(R409="PERDA / FECHOU LOJA","NUTRIÇÃO",IF(OR(R409="FOLLOW UP 7",R409="FOLLOW UP 15"),"SALVAMENTO","PROSPECÇÃO")))))))</f>
        <v/>
      </c>
      <c r="V409" s="58" t="n"/>
      <c r="W409" s="58" t="inlineStr">
        <is>
          <t>NÃO</t>
        </is>
      </c>
      <c r="X409" s="58" t="n"/>
    </row>
    <row r="410">
      <c r="A410" s="71" t="n">
        <v>46055</v>
      </c>
      <c r="B410" s="58" t="inlineStr">
        <is>
          <t>LARISSA PADILHA</t>
        </is>
      </c>
      <c r="C410" s="58" t="inlineStr">
        <is>
          <t>GRANEL &amp; CIA 90</t>
        </is>
      </c>
      <c r="D410" s="58" t="inlineStr">
        <is>
          <t>24.424.658/6944-70</t>
        </is>
      </c>
      <c r="E410" s="58" t="inlineStr">
        <is>
          <t>SP</t>
        </is>
      </c>
      <c r="F410" s="58" t="inlineStr">
        <is>
          <t>DEMAIS CLIENTES</t>
        </is>
      </c>
      <c r="G410" s="58" t="inlineStr">
        <is>
          <t>NOVO</t>
        </is>
      </c>
      <c r="H410" s="58" t="n"/>
      <c r="I410" s="58">
        <f>IF(R410="","",VLOOKUP(R410,REGRAS!$B$2:$D$13,3,FALSE()))</f>
        <v/>
      </c>
      <c r="J410" s="58" t="n"/>
      <c r="K410" s="58">
        <f>IF(R410="","",IF(R410="VENDA / PEDIDO","RECOMPRA",IF(R410="SUPORTE","PÓS-VENDA",IF(OR(R410="FOLLOW UP 7",R410="FOLLOW UP 15"),"SALVAMENTO",IF(R410="PERDA / FECHOU LOJA","NUTRIÇÃO",IF(R410="RELACIONAMENTO","CS",IF(OR(R410="ORÇAMENTO",R410="CADASTRO"),"PROSPECÇÃO",IF(R410="EM ATENDIMENTO","EM ATENDIMENTO",IF(OR(R410="NÃO ATENDE",R410="NÃO RESPONDE",R410="RECUSOU LIGAÇÃO"),"RECUPERAÇÃO","")))))))))</f>
        <v/>
      </c>
      <c r="L410" s="58">
        <f>IF(H410="","",IF(G410="PROSPECT","🟣",IF(G410="LEAD","🟣",IF(G410="NOVO","🟢",IF(H410&lt;=50,"🟢",IF(H410&lt;=90,"🟡","🔴"))))))</f>
        <v/>
      </c>
      <c r="M410" s="58" t="n"/>
      <c r="N410" s="58" t="inlineStr">
        <is>
          <t>NÃO</t>
        </is>
      </c>
      <c r="O410" s="58" t="inlineStr">
        <is>
          <t>NÃO</t>
        </is>
      </c>
      <c r="P410" s="58" t="inlineStr">
        <is>
          <t>N/A</t>
        </is>
      </c>
      <c r="Q410" s="58" t="inlineStr">
        <is>
          <t>PERDA / NUTRIÇÃO</t>
        </is>
      </c>
      <c r="R410" s="58" t="inlineStr">
        <is>
          <t>NÃO ATENDE</t>
        </is>
      </c>
      <c r="S410" s="58" t="inlineStr">
        <is>
          <t>AINDA TEM ESTOQUE</t>
        </is>
      </c>
      <c r="T410" s="71">
        <f>IF(R410="","",IF(OR(R410="SUPORTE",R410="PERDA / FECHOU LOJA"),"SEM",A410+VLOOKUP(R410,REGRAS!$B$2:$C$13,2,FALSE())))</f>
        <v/>
      </c>
      <c r="U410" s="58">
        <f>IF(R410="","",IF(R410="VENDA / PEDIDO","RECOMPRA",IF(R410="SUPORTE","PÓS-VENDA",IF(R410="RELACIONAMENTO","CS",IF(OR(R410="NÃO ATENDE",R410="NÃO RESPONDE",R410="RECUSOU LIGAÇÃO"),"REATIVAÇÃO",IF(R410="PERDA / FECHOU LOJA","NUTRIÇÃO",IF(OR(R410="FOLLOW UP 7",R410="FOLLOW UP 15"),"SALVAMENTO","PROSPECÇÃO")))))))</f>
        <v/>
      </c>
      <c r="V410" s="58" t="n"/>
      <c r="W410" s="58" t="inlineStr">
        <is>
          <t>NÃO</t>
        </is>
      </c>
      <c r="X410" s="58" t="n"/>
    </row>
    <row r="411">
      <c r="A411" s="71" t="n">
        <v>46073</v>
      </c>
      <c r="B411" s="58" t="inlineStr">
        <is>
          <t>MANU DITZEL</t>
        </is>
      </c>
      <c r="C411" s="58" t="inlineStr">
        <is>
          <t>BIOMUNDO CTB 89</t>
        </is>
      </c>
      <c r="D411" s="58" t="inlineStr">
        <is>
          <t>95.345.359/9056-59</t>
        </is>
      </c>
      <c r="E411" s="58" t="inlineStr">
        <is>
          <t>SC</t>
        </is>
      </c>
      <c r="F411" s="58" t="inlineStr">
        <is>
          <t>DEMAIS CLIENTES</t>
        </is>
      </c>
      <c r="G411" s="58" t="inlineStr">
        <is>
          <t>EM RISCO</t>
        </is>
      </c>
      <c r="H411" s="58" t="n">
        <v>52</v>
      </c>
      <c r="I411" s="58">
        <f>IF(R411="","",VLOOKUP(R411,REGRAS!$B$2:$D$13,3,FALSE()))</f>
        <v/>
      </c>
      <c r="J411" s="58" t="n"/>
      <c r="K411" s="58">
        <f>IF(R411="","",IF(R411="VENDA / PEDIDO","RECOMPRA",IF(R411="SUPORTE","PÓS-VENDA",IF(OR(R411="FOLLOW UP 7",R411="FOLLOW UP 15"),"SALVAMENTO",IF(R411="PERDA / FECHOU LOJA","NUTRIÇÃO",IF(R411="RELACIONAMENTO","CS",IF(OR(R411="ORÇAMENTO",R411="CADASTRO"),"PROSPECÇÃO",IF(R411="EM ATENDIMENTO","EM ATENDIMENTO",IF(OR(R411="NÃO ATENDE",R411="NÃO RESPONDE",R411="RECUSOU LIGAÇÃO"),"RECUPERAÇÃO","")))))))))</f>
        <v/>
      </c>
      <c r="L411" s="58">
        <f>IF(H411="","",IF(G411="PROSPECT","🟣",IF(G411="LEAD","🟣",IF(G411="NOVO","🟢",IF(H411&lt;=50,"🟢",IF(H411&lt;=90,"🟡","🔴"))))))</f>
        <v/>
      </c>
      <c r="M411" s="58" t="n"/>
      <c r="N411" s="58" t="inlineStr">
        <is>
          <t>SIM</t>
        </is>
      </c>
      <c r="O411" s="58" t="inlineStr">
        <is>
          <t>SIM</t>
        </is>
      </c>
      <c r="P411" s="58" t="inlineStr">
        <is>
          <t>NÃO</t>
        </is>
      </c>
      <c r="Q411" s="58" t="inlineStr">
        <is>
          <t>ATEND. CLIENTES ATIVOS</t>
        </is>
      </c>
      <c r="R411" s="58" t="inlineStr">
        <is>
          <t>ORÇAMENTO</t>
        </is>
      </c>
      <c r="S411" s="58" t="n"/>
      <c r="T411" s="71">
        <f>IF(R411="","",IF(OR(R411="SUPORTE",R411="PERDA / FECHOU LOJA"),"SEM",A411+VLOOKUP(R411,REGRAS!$B$2:$C$13,2,FALSE())))</f>
        <v/>
      </c>
      <c r="U411" s="58">
        <f>IF(R411="","",IF(R411="VENDA / PEDIDO","RECOMPRA",IF(R411="SUPORTE","PÓS-VENDA",IF(R411="RELACIONAMENTO","CS",IF(OR(R411="NÃO ATENDE",R411="NÃO RESPONDE",R411="RECUSOU LIGAÇÃO"),"REATIVAÇÃO",IF(R411="PERDA / FECHOU LOJA","NUTRIÇÃO",IF(OR(R411="FOLLOW UP 7",R411="FOLLOW UP 15"),"SALVAMENTO","PROSPECÇÃO")))))))</f>
        <v/>
      </c>
      <c r="V411" s="58" t="n"/>
      <c r="W411" s="58" t="inlineStr">
        <is>
          <t>NÃO</t>
        </is>
      </c>
      <c r="X411" s="58" t="n"/>
    </row>
    <row r="412">
      <c r="A412" s="71" t="n">
        <v>46062</v>
      </c>
      <c r="B412" s="58" t="inlineStr">
        <is>
          <t>MANU DITZEL</t>
        </is>
      </c>
      <c r="C412" s="58" t="inlineStr">
        <is>
          <t>ARMAZEM FIT 39</t>
        </is>
      </c>
      <c r="D412" s="58" t="inlineStr">
        <is>
          <t>36.980.264/7191-90</t>
        </is>
      </c>
      <c r="E412" s="58" t="inlineStr">
        <is>
          <t>SC</t>
        </is>
      </c>
      <c r="F412" s="58" t="inlineStr">
        <is>
          <t>DEMAIS CLIENTES</t>
        </is>
      </c>
      <c r="G412" s="58" t="inlineStr">
        <is>
          <t>INAT.ANT</t>
        </is>
      </c>
      <c r="H412" s="58" t="n">
        <v>293</v>
      </c>
      <c r="I412" s="58">
        <f>IF(R412="","",VLOOKUP(R412,REGRAS!$B$2:$D$13,3,FALSE()))</f>
        <v/>
      </c>
      <c r="J412" s="58" t="n"/>
      <c r="K412" s="58">
        <f>IF(R412="","",IF(R412="VENDA / PEDIDO","RECOMPRA",IF(R412="SUPORTE","PÓS-VENDA",IF(OR(R412="FOLLOW UP 7",R412="FOLLOW UP 15"),"SALVAMENTO",IF(R412="PERDA / FECHOU LOJA","NUTRIÇÃO",IF(R412="RELACIONAMENTO","CS",IF(OR(R412="ORÇAMENTO",R412="CADASTRO"),"PROSPECÇÃO",IF(R412="EM ATENDIMENTO","EM ATENDIMENTO",IF(OR(R412="NÃO ATENDE",R412="NÃO RESPONDE",R412="RECUSOU LIGAÇÃO"),"RECUPERAÇÃO","")))))))))</f>
        <v/>
      </c>
      <c r="L412" s="58">
        <f>IF(H412="","",IF(G412="PROSPECT","🟣",IF(G412="LEAD","🟣",IF(G412="NOVO","🟢",IF(H412&lt;=50,"🟢",IF(H412&lt;=90,"🟡","🔴"))))))</f>
        <v/>
      </c>
      <c r="M412" s="58" t="n"/>
      <c r="N412" s="58" t="inlineStr">
        <is>
          <t>NÃO</t>
        </is>
      </c>
      <c r="O412" s="58" t="inlineStr">
        <is>
          <t>NÃO</t>
        </is>
      </c>
      <c r="P412" s="58" t="inlineStr">
        <is>
          <t>N/A</t>
        </is>
      </c>
      <c r="Q412" s="58" t="inlineStr">
        <is>
          <t>PROSPECÇÃO</t>
        </is>
      </c>
      <c r="R412" s="58" t="inlineStr">
        <is>
          <t>RECUSOU LIGAÇÃO</t>
        </is>
      </c>
      <c r="S412" s="58" t="inlineStr">
        <is>
          <t>SÓ QUER COMPRAR GRANEL</t>
        </is>
      </c>
      <c r="T412" s="71">
        <f>IF(R412="","",IF(OR(R412="SUPORTE",R412="PERDA / FECHOU LOJA"),"SEM",A412+VLOOKUP(R412,REGRAS!$B$2:$C$13,2,FALSE())))</f>
        <v/>
      </c>
      <c r="U412" s="58">
        <f>IF(R412="","",IF(R412="VENDA / PEDIDO","RECOMPRA",IF(R412="SUPORTE","PÓS-VENDA",IF(R412="RELACIONAMENTO","CS",IF(OR(R412="NÃO ATENDE",R412="NÃO RESPONDE",R412="RECUSOU LIGAÇÃO"),"REATIVAÇÃO",IF(R412="PERDA / FECHOU LOJA","NUTRIÇÃO",IF(OR(R412="FOLLOW UP 7",R412="FOLLOW UP 15"),"SALVAMENTO","PROSPECÇÃO")))))))</f>
        <v/>
      </c>
      <c r="V412" s="58" t="n"/>
      <c r="W412" s="58" t="inlineStr">
        <is>
          <t>SIM</t>
        </is>
      </c>
      <c r="X412" s="58" t="n"/>
    </row>
    <row r="413">
      <c r="A413" s="71" t="n">
        <v>46080</v>
      </c>
      <c r="B413" s="58" t="inlineStr">
        <is>
          <t>MANU DITZEL</t>
        </is>
      </c>
      <c r="C413" s="58" t="inlineStr">
        <is>
          <t>SAUDE NA MESA 13</t>
        </is>
      </c>
      <c r="D413" s="58" t="inlineStr">
        <is>
          <t>30.815.367/8296-18</t>
        </is>
      </c>
      <c r="E413" s="58" t="inlineStr">
        <is>
          <t>SC</t>
        </is>
      </c>
      <c r="F413" s="58" t="inlineStr">
        <is>
          <t>VIDA LEVE</t>
        </is>
      </c>
      <c r="G413" s="58" t="inlineStr">
        <is>
          <t>NOVO</t>
        </is>
      </c>
      <c r="H413" s="58" t="n"/>
      <c r="I413" s="58">
        <f>IF(R413="","",VLOOKUP(R413,REGRAS!$B$2:$D$13,3,FALSE()))</f>
        <v/>
      </c>
      <c r="J413" s="58" t="n"/>
      <c r="K413" s="58">
        <f>IF(R413="","",IF(R413="VENDA / PEDIDO","RECOMPRA",IF(R413="SUPORTE","PÓS-VENDA",IF(OR(R413="FOLLOW UP 7",R413="FOLLOW UP 15"),"SALVAMENTO",IF(R413="PERDA / FECHOU LOJA","NUTRIÇÃO",IF(R413="RELACIONAMENTO","CS",IF(OR(R413="ORÇAMENTO",R413="CADASTRO"),"PROSPECÇÃO",IF(R413="EM ATENDIMENTO","EM ATENDIMENTO",IF(OR(R413="NÃO ATENDE",R413="NÃO RESPONDE",R413="RECUSOU LIGAÇÃO"),"RECUPERAÇÃO","")))))))))</f>
        <v/>
      </c>
      <c r="L413" s="58">
        <f>IF(H413="","",IF(G413="PROSPECT","🟣",IF(G413="LEAD","🟣",IF(G413="NOVO","🟢",IF(H413&lt;=50,"🟢",IF(H413&lt;=90,"🟡","🔴"))))))</f>
        <v/>
      </c>
      <c r="M413" s="58" t="n"/>
      <c r="N413" s="58" t="inlineStr">
        <is>
          <t>SIM</t>
        </is>
      </c>
      <c r="O413" s="58" t="inlineStr">
        <is>
          <t>SIM</t>
        </is>
      </c>
      <c r="P413" s="58" t="inlineStr">
        <is>
          <t>NÃO</t>
        </is>
      </c>
      <c r="Q413" s="58" t="inlineStr">
        <is>
          <t>ATEND. CLIENTES INATIVOS</t>
        </is>
      </c>
      <c r="R413" s="58" t="inlineStr">
        <is>
          <t>NÃO RESPONDE</t>
        </is>
      </c>
      <c r="S413" s="58" t="inlineStr">
        <is>
          <t>PROBLEMA LOGÍSTICO / ENTREGA</t>
        </is>
      </c>
      <c r="T413" s="71">
        <f>IF(R413="","",IF(OR(R413="SUPORTE",R413="PERDA / FECHOU LOJA"),"SEM",A413+VLOOKUP(R413,REGRAS!$B$2:$C$13,2,FALSE())))</f>
        <v/>
      </c>
      <c r="U413" s="58">
        <f>IF(R413="","",IF(R413="VENDA / PEDIDO","RECOMPRA",IF(R413="SUPORTE","PÓS-VENDA",IF(R413="RELACIONAMENTO","CS",IF(OR(R413="NÃO ATENDE",R413="NÃO RESPONDE",R413="RECUSOU LIGAÇÃO"),"REATIVAÇÃO",IF(R413="PERDA / FECHOU LOJA","NUTRIÇÃO",IF(OR(R413="FOLLOW UP 7",R413="FOLLOW UP 15"),"SALVAMENTO","PROSPECÇÃO")))))))</f>
        <v/>
      </c>
      <c r="V413" s="58" t="n"/>
      <c r="W413" s="58" t="inlineStr">
        <is>
          <t>NÃO</t>
        </is>
      </c>
      <c r="X413" s="58" t="n"/>
    </row>
    <row r="414">
      <c r="A414" s="71" t="n">
        <v>46058</v>
      </c>
      <c r="B414" s="58" t="inlineStr">
        <is>
          <t>MANU DITZEL</t>
        </is>
      </c>
      <c r="C414" s="58" t="inlineStr">
        <is>
          <t>CIA SAUDE SP 81</t>
        </is>
      </c>
      <c r="D414" s="58" t="inlineStr">
        <is>
          <t>49.421.689/1348-24</t>
        </is>
      </c>
      <c r="E414" s="58" t="inlineStr">
        <is>
          <t>PR</t>
        </is>
      </c>
      <c r="F414" s="58" t="inlineStr">
        <is>
          <t>DIVINA TERRA</t>
        </is>
      </c>
      <c r="G414" s="58" t="inlineStr">
        <is>
          <t>PROSPECT</t>
        </is>
      </c>
      <c r="H414" s="58" t="n"/>
      <c r="I414" s="58">
        <f>IF(R414="","",VLOOKUP(R414,REGRAS!$B$2:$D$13,3,FALSE()))</f>
        <v/>
      </c>
      <c r="J414" s="58" t="n"/>
      <c r="K414" s="58">
        <f>IF(R414="","",IF(R414="VENDA / PEDIDO","RECOMPRA",IF(R414="SUPORTE","PÓS-VENDA",IF(OR(R414="FOLLOW UP 7",R414="FOLLOW UP 15"),"SALVAMENTO",IF(R414="PERDA / FECHOU LOJA","NUTRIÇÃO",IF(R414="RELACIONAMENTO","CS",IF(OR(R414="ORÇAMENTO",R414="CADASTRO"),"PROSPECÇÃO",IF(R414="EM ATENDIMENTO","EM ATENDIMENTO",IF(OR(R414="NÃO ATENDE",R414="NÃO RESPONDE",R414="RECUSOU LIGAÇÃO"),"RECUPERAÇÃO","")))))))))</f>
        <v/>
      </c>
      <c r="L414" s="58">
        <f>IF(H414="","",IF(G414="PROSPECT","🟣",IF(G414="LEAD","🟣",IF(G414="NOVO","🟢",IF(H414&lt;=50,"🟢",IF(H414&lt;=90,"🟡","🔴"))))))</f>
        <v/>
      </c>
      <c r="M414" s="58" t="n"/>
      <c r="N414" s="58" t="inlineStr">
        <is>
          <t>NÃO</t>
        </is>
      </c>
      <c r="O414" s="58" t="inlineStr">
        <is>
          <t>NÃO</t>
        </is>
      </c>
      <c r="P414" s="58" t="inlineStr">
        <is>
          <t>N/A</t>
        </is>
      </c>
      <c r="Q414" s="58" t="inlineStr">
        <is>
          <t>PÓS-VENDA / RELACIONAMENTO</t>
        </is>
      </c>
      <c r="R414" s="58" t="inlineStr">
        <is>
          <t>VENDA / PEDIDO</t>
        </is>
      </c>
      <c r="S414" s="58" t="n"/>
      <c r="T414" s="71">
        <f>IF(R414="","",IF(OR(R414="SUPORTE",R414="PERDA / FECHOU LOJA"),"SEM",A414+VLOOKUP(R414,REGRAS!$B$2:$C$13,2,FALSE())))</f>
        <v/>
      </c>
      <c r="U414" s="58">
        <f>IF(R414="","",IF(R414="VENDA / PEDIDO","RECOMPRA",IF(R414="SUPORTE","PÓS-VENDA",IF(R414="RELACIONAMENTO","CS",IF(OR(R414="NÃO ATENDE",R414="NÃO RESPONDE",R414="RECUSOU LIGAÇÃO"),"REATIVAÇÃO",IF(R414="PERDA / FECHOU LOJA","NUTRIÇÃO",IF(OR(R414="FOLLOW UP 7",R414="FOLLOW UP 15"),"SALVAMENTO","PROSPECÇÃO")))))))</f>
        <v/>
      </c>
      <c r="V414" s="58" t="n"/>
      <c r="W414" s="58" t="inlineStr">
        <is>
          <t>NÃO</t>
        </is>
      </c>
      <c r="X414" s="58" t="n"/>
    </row>
    <row r="415">
      <c r="A415" s="71" t="n">
        <v>46064</v>
      </c>
      <c r="B415" s="58" t="inlineStr">
        <is>
          <t>LARISSA PADILHA</t>
        </is>
      </c>
      <c r="C415" s="58" t="inlineStr">
        <is>
          <t>FIT STORE 34</t>
        </is>
      </c>
      <c r="D415" s="58" t="inlineStr">
        <is>
          <t>32.803.707/5368-46</t>
        </is>
      </c>
      <c r="E415" s="58" t="inlineStr">
        <is>
          <t>PR</t>
        </is>
      </c>
      <c r="F415" s="58" t="inlineStr">
        <is>
          <t>FIT LAND</t>
        </is>
      </c>
      <c r="G415" s="58" t="inlineStr">
        <is>
          <t>ATIVO</t>
        </is>
      </c>
      <c r="H415" s="58" t="n">
        <v>29</v>
      </c>
      <c r="I415" s="58">
        <f>IF(R415="","",VLOOKUP(R415,REGRAS!$B$2:$D$13,3,FALSE()))</f>
        <v/>
      </c>
      <c r="J415" s="58" t="n"/>
      <c r="K415" s="58">
        <f>IF(R415="","",IF(R415="VENDA / PEDIDO","RECOMPRA",IF(R415="SUPORTE","PÓS-VENDA",IF(OR(R415="FOLLOW UP 7",R415="FOLLOW UP 15"),"SALVAMENTO",IF(R415="PERDA / FECHOU LOJA","NUTRIÇÃO",IF(R415="RELACIONAMENTO","CS",IF(OR(R415="ORÇAMENTO",R415="CADASTRO"),"PROSPECÇÃO",IF(R415="EM ATENDIMENTO","EM ATENDIMENTO",IF(OR(R415="NÃO ATENDE",R415="NÃO RESPONDE",R415="RECUSOU LIGAÇÃO"),"RECUPERAÇÃO","")))))))))</f>
        <v/>
      </c>
      <c r="L415" s="58">
        <f>IF(H415="","",IF(G415="PROSPECT","🟣",IF(G415="LEAD","🟣",IF(G415="NOVO","🟢",IF(H415&lt;=50,"🟢",IF(H415&lt;=90,"🟡","🔴"))))))</f>
        <v/>
      </c>
      <c r="M415" s="58" t="n"/>
      <c r="N415" s="58" t="inlineStr">
        <is>
          <t>SIM</t>
        </is>
      </c>
      <c r="O415" s="58" t="inlineStr">
        <is>
          <t>NÃO</t>
        </is>
      </c>
      <c r="P415" s="58" t="inlineStr">
        <is>
          <t>N/A</t>
        </is>
      </c>
      <c r="Q415" s="58" t="inlineStr">
        <is>
          <t>PERDA / NUTRIÇÃO</t>
        </is>
      </c>
      <c r="R415" s="58" t="inlineStr">
        <is>
          <t>FOLLOW UP 15</t>
        </is>
      </c>
      <c r="S415" s="58" t="inlineStr">
        <is>
          <t>SEM INTERESSE NO MOMENTO</t>
        </is>
      </c>
      <c r="T415" s="71">
        <f>IF(R415="","",IF(OR(R415="SUPORTE",R415="PERDA / FECHOU LOJA"),"SEM",A415+VLOOKUP(R415,REGRAS!$B$2:$C$13,2,FALSE())))</f>
        <v/>
      </c>
      <c r="U415" s="58">
        <f>IF(R415="","",IF(R415="VENDA / PEDIDO","RECOMPRA",IF(R415="SUPORTE","PÓS-VENDA",IF(R415="RELACIONAMENTO","CS",IF(OR(R415="NÃO ATENDE",R415="NÃO RESPONDE",R415="RECUSOU LIGAÇÃO"),"REATIVAÇÃO",IF(R415="PERDA / FECHOU LOJA","NUTRIÇÃO",IF(OR(R415="FOLLOW UP 7",R415="FOLLOW UP 15"),"SALVAMENTO","PROSPECÇÃO")))))))</f>
        <v/>
      </c>
      <c r="V415" s="58" t="n"/>
      <c r="W415" s="58" t="inlineStr">
        <is>
          <t>SIM</t>
        </is>
      </c>
      <c r="X415" s="58" t="n"/>
    </row>
    <row r="416">
      <c r="A416" s="71" t="n">
        <v>46074</v>
      </c>
      <c r="B416" s="58" t="inlineStr">
        <is>
          <t>MANU DITZEL</t>
        </is>
      </c>
      <c r="C416" s="58" t="inlineStr">
        <is>
          <t>GRÃO DE OURO 60</t>
        </is>
      </c>
      <c r="D416" s="58" t="inlineStr">
        <is>
          <t>35.368.818/2765-16</t>
        </is>
      </c>
      <c r="E416" s="58" t="inlineStr">
        <is>
          <t>RS</t>
        </is>
      </c>
      <c r="F416" s="58" t="inlineStr">
        <is>
          <t>FIT LAND</t>
        </is>
      </c>
      <c r="G416" s="58" t="inlineStr">
        <is>
          <t>ATIVO</t>
        </is>
      </c>
      <c r="H416" s="58" t="n">
        <v>10</v>
      </c>
      <c r="I416" s="58">
        <f>IF(R416="","",VLOOKUP(R416,REGRAS!$B$2:$D$13,3,FALSE()))</f>
        <v/>
      </c>
      <c r="J416" s="58" t="n"/>
      <c r="K416" s="58">
        <f>IF(R416="","",IF(R416="VENDA / PEDIDO","RECOMPRA",IF(R416="SUPORTE","PÓS-VENDA",IF(OR(R416="FOLLOW UP 7",R416="FOLLOW UP 15"),"SALVAMENTO",IF(R416="PERDA / FECHOU LOJA","NUTRIÇÃO",IF(R416="RELACIONAMENTO","CS",IF(OR(R416="ORÇAMENTO",R416="CADASTRO"),"PROSPECÇÃO",IF(R416="EM ATENDIMENTO","EM ATENDIMENTO",IF(OR(R416="NÃO ATENDE",R416="NÃO RESPONDE",R416="RECUSOU LIGAÇÃO"),"RECUPERAÇÃO","")))))))))</f>
        <v/>
      </c>
      <c r="L416" s="58">
        <f>IF(H416="","",IF(G416="PROSPECT","🟣",IF(G416="LEAD","🟣",IF(G416="NOVO","🟢",IF(H416&lt;=50,"🟢",IF(H416&lt;=90,"🟡","🔴"))))))</f>
        <v/>
      </c>
      <c r="M416" s="58" t="n"/>
      <c r="N416" s="58" t="inlineStr">
        <is>
          <t>SIM</t>
        </is>
      </c>
      <c r="O416" s="58" t="inlineStr">
        <is>
          <t>SIM</t>
        </is>
      </c>
      <c r="P416" s="58" t="inlineStr">
        <is>
          <t>SIM</t>
        </is>
      </c>
      <c r="Q416" s="58" t="inlineStr">
        <is>
          <t>PERDA / NUTRIÇÃO</t>
        </is>
      </c>
      <c r="R416" s="58" t="inlineStr">
        <is>
          <t>PERDA / FECHOU LOJA</t>
        </is>
      </c>
      <c r="S416" s="58" t="inlineStr">
        <is>
          <t>PROPRIETARIO / INDISPONÍVEL</t>
        </is>
      </c>
      <c r="T416" s="71">
        <f>IF(R416="","",IF(OR(R416="SUPORTE",R416="PERDA / FECHOU LOJA"),"SEM",A416+VLOOKUP(R416,REGRAS!$B$2:$C$13,2,FALSE())))</f>
        <v/>
      </c>
      <c r="U416" s="58">
        <f>IF(R416="","",IF(R416="VENDA / PEDIDO","RECOMPRA",IF(R416="SUPORTE","PÓS-VENDA",IF(R416="RELACIONAMENTO","CS",IF(OR(R416="NÃO ATENDE",R416="NÃO RESPONDE",R416="RECUSOU LIGAÇÃO"),"REATIVAÇÃO",IF(R416="PERDA / FECHOU LOJA","NUTRIÇÃO",IF(OR(R416="FOLLOW UP 7",R416="FOLLOW UP 15"),"SALVAMENTO","PROSPECÇÃO")))))))</f>
        <v/>
      </c>
      <c r="V416" s="58" t="n"/>
      <c r="W416" s="58" t="inlineStr">
        <is>
          <t>NÃO</t>
        </is>
      </c>
      <c r="X416" s="58" t="n"/>
    </row>
    <row r="417">
      <c r="A417" s="71" t="n">
        <v>46080</v>
      </c>
      <c r="B417" s="58" t="inlineStr">
        <is>
          <t>JULIO GADRET</t>
        </is>
      </c>
      <c r="C417" s="58" t="inlineStr">
        <is>
          <t>CASA DO GRANEL 29</t>
        </is>
      </c>
      <c r="D417" s="58" t="inlineStr">
        <is>
          <t>36.295.982/4362-46</t>
        </is>
      </c>
      <c r="E417" s="58" t="inlineStr">
        <is>
          <t>RJ</t>
        </is>
      </c>
      <c r="F417" s="58" t="inlineStr">
        <is>
          <t>FIT LAND</t>
        </is>
      </c>
      <c r="G417" s="58" t="inlineStr">
        <is>
          <t>EM RISCO</t>
        </is>
      </c>
      <c r="H417" s="58" t="n">
        <v>54</v>
      </c>
      <c r="I417" s="58">
        <f>IF(R417="","",VLOOKUP(R417,REGRAS!$B$2:$D$13,3,FALSE()))</f>
        <v/>
      </c>
      <c r="J417" s="58" t="n"/>
      <c r="K417" s="58">
        <f>IF(R417="","",IF(R417="VENDA / PEDIDO","RECOMPRA",IF(R417="SUPORTE","PÓS-VENDA",IF(OR(R417="FOLLOW UP 7",R417="FOLLOW UP 15"),"SALVAMENTO",IF(R417="PERDA / FECHOU LOJA","NUTRIÇÃO",IF(R417="RELACIONAMENTO","CS",IF(OR(R417="ORÇAMENTO",R417="CADASTRO"),"PROSPECÇÃO",IF(R417="EM ATENDIMENTO","EM ATENDIMENTO",IF(OR(R417="NÃO ATENDE",R417="NÃO RESPONDE",R417="RECUSOU LIGAÇÃO"),"RECUPERAÇÃO","")))))))))</f>
        <v/>
      </c>
      <c r="L417" s="58">
        <f>IF(H417="","",IF(G417="PROSPECT","🟣",IF(G417="LEAD","🟣",IF(G417="NOVO","🟢",IF(H417&lt;=50,"🟢",IF(H417&lt;=90,"🟡","🔴"))))))</f>
        <v/>
      </c>
      <c r="M417" s="58" t="n"/>
      <c r="N417" s="58" t="inlineStr">
        <is>
          <t>SIM</t>
        </is>
      </c>
      <c r="O417" s="58" t="inlineStr">
        <is>
          <t>NÃO</t>
        </is>
      </c>
      <c r="P417" s="58" t="inlineStr">
        <is>
          <t>N/A</t>
        </is>
      </c>
      <c r="Q417" s="58" t="inlineStr">
        <is>
          <t>ATEND. CLIENTES ATIVOS</t>
        </is>
      </c>
      <c r="R417" s="58" t="inlineStr">
        <is>
          <t>NÃO ATENDE</t>
        </is>
      </c>
      <c r="S417" s="58" t="inlineStr">
        <is>
          <t>LOJA ANEXO/PROXIMO - SM</t>
        </is>
      </c>
      <c r="T417" s="71">
        <f>IF(R417="","",IF(OR(R417="SUPORTE",R417="PERDA / FECHOU LOJA"),"SEM",A417+VLOOKUP(R417,REGRAS!$B$2:$C$13,2,FALSE())))</f>
        <v/>
      </c>
      <c r="U417" s="58">
        <f>IF(R417="","",IF(R417="VENDA / PEDIDO","RECOMPRA",IF(R417="SUPORTE","PÓS-VENDA",IF(R417="RELACIONAMENTO","CS",IF(OR(R417="NÃO ATENDE",R417="NÃO RESPONDE",R417="RECUSOU LIGAÇÃO"),"REATIVAÇÃO",IF(R417="PERDA / FECHOU LOJA","NUTRIÇÃO",IF(OR(R417="FOLLOW UP 7",R417="FOLLOW UP 15"),"SALVAMENTO","PROSPECÇÃO")))))))</f>
        <v/>
      </c>
      <c r="V417" s="58" t="n"/>
      <c r="W417" s="58" t="inlineStr">
        <is>
          <t>SIM</t>
        </is>
      </c>
      <c r="X417" s="58" t="n"/>
    </row>
    <row r="418">
      <c r="A418" s="71" t="n">
        <v>46058</v>
      </c>
      <c r="B418" s="58" t="inlineStr">
        <is>
          <t>MANU DITZEL</t>
        </is>
      </c>
      <c r="C418" s="58" t="inlineStr">
        <is>
          <t>PONTO VERDE 31</t>
        </is>
      </c>
      <c r="D418" s="58" t="inlineStr">
        <is>
          <t>89.561.354/6057-84</t>
        </is>
      </c>
      <c r="E418" s="58" t="inlineStr">
        <is>
          <t>SP</t>
        </is>
      </c>
      <c r="F418" s="58" t="inlineStr">
        <is>
          <t>DIVINA TERRA</t>
        </is>
      </c>
      <c r="G418" s="58" t="inlineStr">
        <is>
          <t>ATIVO</t>
        </is>
      </c>
      <c r="H418" s="58" t="n">
        <v>13</v>
      </c>
      <c r="I418" s="58">
        <f>IF(R418="","",VLOOKUP(R418,REGRAS!$B$2:$D$13,3,FALSE()))</f>
        <v/>
      </c>
      <c r="J418" s="58" t="n"/>
      <c r="K418" s="58">
        <f>IF(R418="","",IF(R418="VENDA / PEDIDO","RECOMPRA",IF(R418="SUPORTE","PÓS-VENDA",IF(OR(R418="FOLLOW UP 7",R418="FOLLOW UP 15"),"SALVAMENTO",IF(R418="PERDA / FECHOU LOJA","NUTRIÇÃO",IF(R418="RELACIONAMENTO","CS",IF(OR(R418="ORÇAMENTO",R418="CADASTRO"),"PROSPECÇÃO",IF(R418="EM ATENDIMENTO","EM ATENDIMENTO",IF(OR(R418="NÃO ATENDE",R418="NÃO RESPONDE",R418="RECUSOU LIGAÇÃO"),"RECUPERAÇÃO","")))))))))</f>
        <v/>
      </c>
      <c r="L418" s="58">
        <f>IF(H418="","",IF(G418="PROSPECT","🟣",IF(G418="LEAD","🟣",IF(G418="NOVO","🟢",IF(H418&lt;=50,"🟢",IF(H418&lt;=90,"🟡","🔴"))))))</f>
        <v/>
      </c>
      <c r="M418" s="58" t="n"/>
      <c r="N418" s="58" t="inlineStr">
        <is>
          <t>SIM</t>
        </is>
      </c>
      <c r="O418" s="58" t="inlineStr">
        <is>
          <t>SIM</t>
        </is>
      </c>
      <c r="P418" s="58" t="inlineStr">
        <is>
          <t>SIM</t>
        </is>
      </c>
      <c r="Q418" s="58" t="inlineStr">
        <is>
          <t>PÓS-VENDA / RELACIONAMENTO</t>
        </is>
      </c>
      <c r="R418" s="58" t="inlineStr">
        <is>
          <t>ORÇAMENTO</t>
        </is>
      </c>
      <c r="S418" s="58" t="n"/>
      <c r="T418" s="71">
        <f>IF(R418="","",IF(OR(R418="SUPORTE",R418="PERDA / FECHOU LOJA"),"SEM",A418+VLOOKUP(R418,REGRAS!$B$2:$C$13,2,FALSE())))</f>
        <v/>
      </c>
      <c r="U418" s="58">
        <f>IF(R418="","",IF(R418="VENDA / PEDIDO","RECOMPRA",IF(R418="SUPORTE","PÓS-VENDA",IF(R418="RELACIONAMENTO","CS",IF(OR(R418="NÃO ATENDE",R418="NÃO RESPONDE",R418="RECUSOU LIGAÇÃO"),"REATIVAÇÃO",IF(R418="PERDA / FECHOU LOJA","NUTRIÇÃO",IF(OR(R418="FOLLOW UP 7",R418="FOLLOW UP 15"),"SALVAMENTO","PROSPECÇÃO")))))))</f>
        <v/>
      </c>
      <c r="V418" s="58" t="n"/>
      <c r="W418" s="58" t="inlineStr">
        <is>
          <t>SIM</t>
        </is>
      </c>
      <c r="X418" s="58" t="n"/>
    </row>
    <row r="419">
      <c r="A419" s="71" t="n">
        <v>46073</v>
      </c>
      <c r="B419" s="58" t="inlineStr">
        <is>
          <t>MANU DITZEL</t>
        </is>
      </c>
      <c r="C419" s="58" t="inlineStr">
        <is>
          <t>NATURAL POINT 72</t>
        </is>
      </c>
      <c r="D419" s="58" t="inlineStr">
        <is>
          <t>17.153.440/3848-70</t>
        </is>
      </c>
      <c r="E419" s="58" t="inlineStr">
        <is>
          <t>GO</t>
        </is>
      </c>
      <c r="F419" s="58" t="inlineStr">
        <is>
          <t>DEMAIS CLIENTES</t>
        </is>
      </c>
      <c r="G419" s="58" t="inlineStr">
        <is>
          <t>PROSPECT</t>
        </is>
      </c>
      <c r="H419" s="58" t="n"/>
      <c r="I419" s="58">
        <f>IF(R419="","",VLOOKUP(R419,REGRAS!$B$2:$D$13,3,FALSE()))</f>
        <v/>
      </c>
      <c r="J419" s="58" t="n"/>
      <c r="K419" s="58">
        <f>IF(R419="","",IF(R419="VENDA / PEDIDO","RECOMPRA",IF(R419="SUPORTE","PÓS-VENDA",IF(OR(R419="FOLLOW UP 7",R419="FOLLOW UP 15"),"SALVAMENTO",IF(R419="PERDA / FECHOU LOJA","NUTRIÇÃO",IF(R419="RELACIONAMENTO","CS",IF(OR(R419="ORÇAMENTO",R419="CADASTRO"),"PROSPECÇÃO",IF(R419="EM ATENDIMENTO","EM ATENDIMENTO",IF(OR(R419="NÃO ATENDE",R419="NÃO RESPONDE",R419="RECUSOU LIGAÇÃO"),"RECUPERAÇÃO","")))))))))</f>
        <v/>
      </c>
      <c r="L419" s="58">
        <f>IF(H419="","",IF(G419="PROSPECT","🟣",IF(G419="LEAD","🟣",IF(G419="NOVO","🟢",IF(H419&lt;=50,"🟢",IF(H419&lt;=90,"🟡","🔴"))))))</f>
        <v/>
      </c>
      <c r="M419" s="58" t="n"/>
      <c r="N419" s="58" t="inlineStr">
        <is>
          <t>NÃO</t>
        </is>
      </c>
      <c r="O419" s="58" t="inlineStr">
        <is>
          <t>SIM</t>
        </is>
      </c>
      <c r="P419" s="58" t="inlineStr">
        <is>
          <t>SIM</t>
        </is>
      </c>
      <c r="Q419" s="58" t="inlineStr">
        <is>
          <t>PERDA / NUTRIÇÃO</t>
        </is>
      </c>
      <c r="R419" s="58" t="inlineStr">
        <is>
          <t>NÃO RESPONDE</t>
        </is>
      </c>
      <c r="S419" s="58" t="inlineStr">
        <is>
          <t>PROBLEMA LOGÍSTICO / ENTREGA</t>
        </is>
      </c>
      <c r="T419" s="71">
        <f>IF(R419="","",IF(OR(R419="SUPORTE",R419="PERDA / FECHOU LOJA"),"SEM",A419+VLOOKUP(R419,REGRAS!$B$2:$C$13,2,FALSE())))</f>
        <v/>
      </c>
      <c r="U419" s="58">
        <f>IF(R419="","",IF(R419="VENDA / PEDIDO","RECOMPRA",IF(R419="SUPORTE","PÓS-VENDA",IF(R419="RELACIONAMENTO","CS",IF(OR(R419="NÃO ATENDE",R419="NÃO RESPONDE",R419="RECUSOU LIGAÇÃO"),"REATIVAÇÃO",IF(R419="PERDA / FECHOU LOJA","NUTRIÇÃO",IF(OR(R419="FOLLOW UP 7",R419="FOLLOW UP 15"),"SALVAMENTO","PROSPECÇÃO")))))))</f>
        <v/>
      </c>
      <c r="V419" s="58" t="n"/>
      <c r="W419" s="58" t="inlineStr">
        <is>
          <t>SIM</t>
        </is>
      </c>
      <c r="X419" s="58" t="n"/>
    </row>
    <row r="420">
      <c r="A420" s="71" t="n">
        <v>46066</v>
      </c>
      <c r="B420" s="58" t="inlineStr">
        <is>
          <t>JULIO GADRET</t>
        </is>
      </c>
      <c r="C420" s="58" t="inlineStr">
        <is>
          <t>FIT STORE 72</t>
        </is>
      </c>
      <c r="D420" s="58" t="inlineStr">
        <is>
          <t>15.694.283/4265-31</t>
        </is>
      </c>
      <c r="E420" s="58" t="inlineStr">
        <is>
          <t>RS</t>
        </is>
      </c>
      <c r="F420" s="58" t="inlineStr">
        <is>
          <t>DEMAIS CLIENTES</t>
        </is>
      </c>
      <c r="G420" s="58" t="inlineStr">
        <is>
          <t>NOVO</t>
        </is>
      </c>
      <c r="H420" s="58" t="n"/>
      <c r="I420" s="58">
        <f>IF(R420="","",VLOOKUP(R420,REGRAS!$B$2:$D$13,3,FALSE()))</f>
        <v/>
      </c>
      <c r="J420" s="58" t="n"/>
      <c r="K420" s="58">
        <f>IF(R420="","",IF(R420="VENDA / PEDIDO","RECOMPRA",IF(R420="SUPORTE","PÓS-VENDA",IF(OR(R420="FOLLOW UP 7",R420="FOLLOW UP 15"),"SALVAMENTO",IF(R420="PERDA / FECHOU LOJA","NUTRIÇÃO",IF(R420="RELACIONAMENTO","CS",IF(OR(R420="ORÇAMENTO",R420="CADASTRO"),"PROSPECÇÃO",IF(R420="EM ATENDIMENTO","EM ATENDIMENTO",IF(OR(R420="NÃO ATENDE",R420="NÃO RESPONDE",R420="RECUSOU LIGAÇÃO"),"RECUPERAÇÃO","")))))))))</f>
        <v/>
      </c>
      <c r="L420" s="58">
        <f>IF(H420="","",IF(G420="PROSPECT","🟣",IF(G420="LEAD","🟣",IF(G420="NOVO","🟢",IF(H420&lt;=50,"🟢",IF(H420&lt;=90,"🟡","🔴"))))))</f>
        <v/>
      </c>
      <c r="M420" s="58" t="n"/>
      <c r="N420" s="58" t="inlineStr">
        <is>
          <t>SIM</t>
        </is>
      </c>
      <c r="O420" s="58" t="inlineStr">
        <is>
          <t>SIM</t>
        </is>
      </c>
      <c r="P420" s="58" t="inlineStr">
        <is>
          <t>SIM</t>
        </is>
      </c>
      <c r="Q420" s="58" t="inlineStr">
        <is>
          <t>PROSPECÇÃO</t>
        </is>
      </c>
      <c r="R420" s="58" t="inlineStr">
        <is>
          <t>ORÇAMENTO</t>
        </is>
      </c>
      <c r="S420" s="58" t="n"/>
      <c r="T420" s="71">
        <f>IF(R420="","",IF(OR(R420="SUPORTE",R420="PERDA / FECHOU LOJA"),"SEM",A420+VLOOKUP(R420,REGRAS!$B$2:$C$13,2,FALSE())))</f>
        <v/>
      </c>
      <c r="U420" s="58">
        <f>IF(R420="","",IF(R420="VENDA / PEDIDO","RECOMPRA",IF(R420="SUPORTE","PÓS-VENDA",IF(R420="RELACIONAMENTO","CS",IF(OR(R420="NÃO ATENDE",R420="NÃO RESPONDE",R420="RECUSOU LIGAÇÃO"),"REATIVAÇÃO",IF(R420="PERDA / FECHOU LOJA","NUTRIÇÃO",IF(OR(R420="FOLLOW UP 7",R420="FOLLOW UP 15"),"SALVAMENTO","PROSPECÇÃO")))))))</f>
        <v/>
      </c>
      <c r="V420" s="58" t="n"/>
      <c r="W420" s="58" t="inlineStr">
        <is>
          <t>SIM</t>
        </is>
      </c>
      <c r="X420" s="58" t="n"/>
    </row>
    <row r="421">
      <c r="A421" s="71" t="n">
        <v>46058</v>
      </c>
      <c r="B421" s="58" t="inlineStr">
        <is>
          <t>LARISSA PADILHA</t>
        </is>
      </c>
      <c r="C421" s="58" t="inlineStr">
        <is>
          <t>NATUR LIFE 96</t>
        </is>
      </c>
      <c r="D421" s="58" t="inlineStr">
        <is>
          <t>56.540.389/4313-88</t>
        </is>
      </c>
      <c r="E421" s="58" t="inlineStr">
        <is>
          <t>MG</t>
        </is>
      </c>
      <c r="F421" s="58" t="inlineStr">
        <is>
          <t>DEMAIS CLIENTES</t>
        </is>
      </c>
      <c r="G421" s="58" t="inlineStr">
        <is>
          <t>INAT.REC</t>
        </is>
      </c>
      <c r="H421" s="58" t="n">
        <v>74</v>
      </c>
      <c r="I421" s="58">
        <f>IF(R421="","",VLOOKUP(R421,REGRAS!$B$2:$D$13,3,FALSE()))</f>
        <v/>
      </c>
      <c r="J421" s="58" t="n"/>
      <c r="K421" s="58">
        <f>IF(R421="","",IF(R421="VENDA / PEDIDO","RECOMPRA",IF(R421="SUPORTE","PÓS-VENDA",IF(OR(R421="FOLLOW UP 7",R421="FOLLOW UP 15"),"SALVAMENTO",IF(R421="PERDA / FECHOU LOJA","NUTRIÇÃO",IF(R421="RELACIONAMENTO","CS",IF(OR(R421="ORÇAMENTO",R421="CADASTRO"),"PROSPECÇÃO",IF(R421="EM ATENDIMENTO","EM ATENDIMENTO",IF(OR(R421="NÃO ATENDE",R421="NÃO RESPONDE",R421="RECUSOU LIGAÇÃO"),"RECUPERAÇÃO","")))))))))</f>
        <v/>
      </c>
      <c r="L421" s="58">
        <f>IF(H421="","",IF(G421="PROSPECT","🟣",IF(G421="LEAD","🟣",IF(G421="NOVO","🟢",IF(H421&lt;=50,"🟢",IF(H421&lt;=90,"🟡","🔴"))))))</f>
        <v/>
      </c>
      <c r="M421" s="58" t="n"/>
      <c r="N421" s="58" t="inlineStr">
        <is>
          <t>NÃO</t>
        </is>
      </c>
      <c r="O421" s="58" t="inlineStr">
        <is>
          <t>NÃO</t>
        </is>
      </c>
      <c r="P421" s="58" t="inlineStr">
        <is>
          <t>N/A</t>
        </is>
      </c>
      <c r="Q421" s="58" t="inlineStr">
        <is>
          <t>PÓS-VENDA / RELACIONAMENTO</t>
        </is>
      </c>
      <c r="R421" s="58" t="inlineStr">
        <is>
          <t>FOLLOW UP 7</t>
        </is>
      </c>
      <c r="S421" s="58" t="inlineStr">
        <is>
          <t>AINDA TEM ESTOQUE</t>
        </is>
      </c>
      <c r="T421" s="71">
        <f>IF(R421="","",IF(OR(R421="SUPORTE",R421="PERDA / FECHOU LOJA"),"SEM",A421+VLOOKUP(R421,REGRAS!$B$2:$C$13,2,FALSE())))</f>
        <v/>
      </c>
      <c r="U421" s="58">
        <f>IF(R421="","",IF(R421="VENDA / PEDIDO","RECOMPRA",IF(R421="SUPORTE","PÓS-VENDA",IF(R421="RELACIONAMENTO","CS",IF(OR(R421="NÃO ATENDE",R421="NÃO RESPONDE",R421="RECUSOU LIGAÇÃO"),"REATIVAÇÃO",IF(R421="PERDA / FECHOU LOJA","NUTRIÇÃO",IF(OR(R421="FOLLOW UP 7",R421="FOLLOW UP 15"),"SALVAMENTO","PROSPECÇÃO")))))))</f>
        <v/>
      </c>
      <c r="V421" s="58" t="n"/>
      <c r="W421" s="58" t="inlineStr">
        <is>
          <t>NÃO</t>
        </is>
      </c>
      <c r="X421" s="58" t="n"/>
    </row>
    <row r="422">
      <c r="A422" s="71" t="n">
        <v>46075</v>
      </c>
      <c r="B422" s="58" t="inlineStr">
        <is>
          <t>JULIO GADRET</t>
        </is>
      </c>
      <c r="C422" s="58" t="inlineStr">
        <is>
          <t>EMPÓRIO BIO 07</t>
        </is>
      </c>
      <c r="D422" s="58" t="inlineStr">
        <is>
          <t>34.252.155/3767-33</t>
        </is>
      </c>
      <c r="E422" s="58" t="inlineStr">
        <is>
          <t>PR</t>
        </is>
      </c>
      <c r="F422" s="58" t="inlineStr">
        <is>
          <t>CIA DA SAUDE</t>
        </is>
      </c>
      <c r="G422" s="58" t="inlineStr">
        <is>
          <t>INAT.ANT</t>
        </is>
      </c>
      <c r="H422" s="58" t="n">
        <v>202</v>
      </c>
      <c r="I422" s="58">
        <f>IF(R422="","",VLOOKUP(R422,REGRAS!$B$2:$D$13,3,FALSE()))</f>
        <v/>
      </c>
      <c r="J422" s="58" t="n"/>
      <c r="K422" s="58">
        <f>IF(R422="","",IF(R422="VENDA / PEDIDO","RECOMPRA",IF(R422="SUPORTE","PÓS-VENDA",IF(OR(R422="FOLLOW UP 7",R422="FOLLOW UP 15"),"SALVAMENTO",IF(R422="PERDA / FECHOU LOJA","NUTRIÇÃO",IF(R422="RELACIONAMENTO","CS",IF(OR(R422="ORÇAMENTO",R422="CADASTRO"),"PROSPECÇÃO",IF(R422="EM ATENDIMENTO","EM ATENDIMENTO",IF(OR(R422="NÃO ATENDE",R422="NÃO RESPONDE",R422="RECUSOU LIGAÇÃO"),"RECUPERAÇÃO","")))))))))</f>
        <v/>
      </c>
      <c r="L422" s="58">
        <f>IF(H422="","",IF(G422="PROSPECT","🟣",IF(G422="LEAD","🟣",IF(G422="NOVO","🟢",IF(H422&lt;=50,"🟢",IF(H422&lt;=90,"🟡","🔴"))))))</f>
        <v/>
      </c>
      <c r="M422" s="58" t="n"/>
      <c r="N422" s="58" t="inlineStr">
        <is>
          <t>SIM</t>
        </is>
      </c>
      <c r="O422" s="58" t="inlineStr">
        <is>
          <t>SIM</t>
        </is>
      </c>
      <c r="P422" s="58" t="inlineStr">
        <is>
          <t>NÃO</t>
        </is>
      </c>
      <c r="Q422" s="58" t="inlineStr">
        <is>
          <t>PROSPECÇÃO</t>
        </is>
      </c>
      <c r="R422" s="58" t="inlineStr">
        <is>
          <t>RECUSOU LIGAÇÃO</t>
        </is>
      </c>
      <c r="S422" s="58" t="inlineStr">
        <is>
          <t>PROBLEMA LOGÍSTICO / ENTREGA</t>
        </is>
      </c>
      <c r="T422" s="71">
        <f>IF(R422="","",IF(OR(R422="SUPORTE",R422="PERDA / FECHOU LOJA"),"SEM",A422+VLOOKUP(R422,REGRAS!$B$2:$C$13,2,FALSE())))</f>
        <v/>
      </c>
      <c r="U422" s="58">
        <f>IF(R422="","",IF(R422="VENDA / PEDIDO","RECOMPRA",IF(R422="SUPORTE","PÓS-VENDA",IF(R422="RELACIONAMENTO","CS",IF(OR(R422="NÃO ATENDE",R422="NÃO RESPONDE",R422="RECUSOU LIGAÇÃO"),"REATIVAÇÃO",IF(R422="PERDA / FECHOU LOJA","NUTRIÇÃO",IF(OR(R422="FOLLOW UP 7",R422="FOLLOW UP 15"),"SALVAMENTO","PROSPECÇÃO")))))))</f>
        <v/>
      </c>
      <c r="V422" s="58" t="n"/>
      <c r="W422" s="58" t="inlineStr">
        <is>
          <t>SIM</t>
        </is>
      </c>
      <c r="X422" s="58" t="n"/>
    </row>
    <row r="423">
      <c r="A423" s="71" t="n">
        <v>46057</v>
      </c>
      <c r="B423" s="58" t="inlineStr">
        <is>
          <t>DAIANE STAVICKI</t>
        </is>
      </c>
      <c r="C423" s="58" t="inlineStr">
        <is>
          <t>SABOR NATURAL 16</t>
        </is>
      </c>
      <c r="D423" s="58" t="inlineStr">
        <is>
          <t>54.195.308/4655-33</t>
        </is>
      </c>
      <c r="E423" s="58" t="inlineStr">
        <is>
          <t>MG</t>
        </is>
      </c>
      <c r="F423" s="58" t="inlineStr">
        <is>
          <t>DEMAIS CLIENTES</t>
        </is>
      </c>
      <c r="G423" s="58" t="inlineStr">
        <is>
          <t>NOVO</t>
        </is>
      </c>
      <c r="H423" s="58" t="n"/>
      <c r="I423" s="58">
        <f>IF(R423="","",VLOOKUP(R423,REGRAS!$B$2:$D$13,3,FALSE()))</f>
        <v/>
      </c>
      <c r="J423" s="58" t="n"/>
      <c r="K423" s="58">
        <f>IF(R423="","",IF(R423="VENDA / PEDIDO","RECOMPRA",IF(R423="SUPORTE","PÓS-VENDA",IF(OR(R423="FOLLOW UP 7",R423="FOLLOW UP 15"),"SALVAMENTO",IF(R423="PERDA / FECHOU LOJA","NUTRIÇÃO",IF(R423="RELACIONAMENTO","CS",IF(OR(R423="ORÇAMENTO",R423="CADASTRO"),"PROSPECÇÃO",IF(R423="EM ATENDIMENTO","EM ATENDIMENTO",IF(OR(R423="NÃO ATENDE",R423="NÃO RESPONDE",R423="RECUSOU LIGAÇÃO"),"RECUPERAÇÃO","")))))))))</f>
        <v/>
      </c>
      <c r="L423" s="58">
        <f>IF(H423="","",IF(G423="PROSPECT","🟣",IF(G423="LEAD","🟣",IF(G423="NOVO","🟢",IF(H423&lt;=50,"🟢",IF(H423&lt;=90,"🟡","🔴"))))))</f>
        <v/>
      </c>
      <c r="M423" s="58" t="n"/>
      <c r="N423" s="58" t="inlineStr">
        <is>
          <t>SIM</t>
        </is>
      </c>
      <c r="O423" s="58" t="inlineStr">
        <is>
          <t>NÃO</t>
        </is>
      </c>
      <c r="P423" s="58" t="inlineStr">
        <is>
          <t>N/A</t>
        </is>
      </c>
      <c r="Q423" s="58" t="inlineStr">
        <is>
          <t>ATEND. CLIENTES ATIVOS</t>
        </is>
      </c>
      <c r="R423" s="58" t="inlineStr">
        <is>
          <t>FOLLOW UP 15</t>
        </is>
      </c>
      <c r="S423" s="58" t="inlineStr">
        <is>
          <t>AINDA TEM ESTOQUE</t>
        </is>
      </c>
      <c r="T423" s="71">
        <f>IF(R423="","",IF(OR(R423="SUPORTE",R423="PERDA / FECHOU LOJA"),"SEM",A423+VLOOKUP(R423,REGRAS!$B$2:$C$13,2,FALSE())))</f>
        <v/>
      </c>
      <c r="U423" s="58">
        <f>IF(R423="","",IF(R423="VENDA / PEDIDO","RECOMPRA",IF(R423="SUPORTE","PÓS-VENDA",IF(R423="RELACIONAMENTO","CS",IF(OR(R423="NÃO ATENDE",R423="NÃO RESPONDE",R423="RECUSOU LIGAÇÃO"),"REATIVAÇÃO",IF(R423="PERDA / FECHOU LOJA","NUTRIÇÃO",IF(OR(R423="FOLLOW UP 7",R423="FOLLOW UP 15"),"SALVAMENTO","PROSPECÇÃO")))))))</f>
        <v/>
      </c>
      <c r="V423" s="58" t="n"/>
      <c r="W423" s="58" t="inlineStr">
        <is>
          <t>NÃO</t>
        </is>
      </c>
      <c r="X423" s="58" t="n"/>
    </row>
    <row r="424">
      <c r="A424" s="71" t="n">
        <v>46059</v>
      </c>
      <c r="B424" s="58" t="inlineStr">
        <is>
          <t>LARISSA PADILHA</t>
        </is>
      </c>
      <c r="C424" s="58" t="inlineStr">
        <is>
          <t>VIDA SAUDÁVEL 32</t>
        </is>
      </c>
      <c r="D424" s="58" t="inlineStr">
        <is>
          <t>73.793.196/5385-13</t>
        </is>
      </c>
      <c r="E424" s="58" t="inlineStr">
        <is>
          <t>SC</t>
        </is>
      </c>
      <c r="F424" s="58" t="inlineStr">
        <is>
          <t>DEMAIS CLIENTES</t>
        </is>
      </c>
      <c r="G424" s="58" t="inlineStr">
        <is>
          <t>ATIVO</t>
        </is>
      </c>
      <c r="H424" s="58" t="n">
        <v>28</v>
      </c>
      <c r="I424" s="58">
        <f>IF(R424="","",VLOOKUP(R424,REGRAS!$B$2:$D$13,3,FALSE()))</f>
        <v/>
      </c>
      <c r="J424" s="58" t="n"/>
      <c r="K424" s="58">
        <f>IF(R424="","",IF(R424="VENDA / PEDIDO","RECOMPRA",IF(R424="SUPORTE","PÓS-VENDA",IF(OR(R424="FOLLOW UP 7",R424="FOLLOW UP 15"),"SALVAMENTO",IF(R424="PERDA / FECHOU LOJA","NUTRIÇÃO",IF(R424="RELACIONAMENTO","CS",IF(OR(R424="ORÇAMENTO",R424="CADASTRO"),"PROSPECÇÃO",IF(R424="EM ATENDIMENTO","EM ATENDIMENTO",IF(OR(R424="NÃO ATENDE",R424="NÃO RESPONDE",R424="RECUSOU LIGAÇÃO"),"RECUPERAÇÃO","")))))))))</f>
        <v/>
      </c>
      <c r="L424" s="58">
        <f>IF(H424="","",IF(G424="PROSPECT","🟣",IF(G424="LEAD","🟣",IF(G424="NOVO","🟢",IF(H424&lt;=50,"🟢",IF(H424&lt;=90,"🟡","🔴"))))))</f>
        <v/>
      </c>
      <c r="M424" s="58" t="n"/>
      <c r="N424" s="58" t="inlineStr">
        <is>
          <t>NÃO</t>
        </is>
      </c>
      <c r="O424" s="58" t="inlineStr">
        <is>
          <t>SIM</t>
        </is>
      </c>
      <c r="P424" s="58" t="inlineStr">
        <is>
          <t>SIM</t>
        </is>
      </c>
      <c r="Q424" s="58" t="inlineStr">
        <is>
          <t>ATEND. CLIENTES ATIVOS</t>
        </is>
      </c>
      <c r="R424" s="58" t="inlineStr">
        <is>
          <t>NÃO ATENDE</t>
        </is>
      </c>
      <c r="S424" s="58" t="inlineStr">
        <is>
          <t>SEM INTERESSE NO MOMENTO</t>
        </is>
      </c>
      <c r="T424" s="71">
        <f>IF(R424="","",IF(OR(R424="SUPORTE",R424="PERDA / FECHOU LOJA"),"SEM",A424+VLOOKUP(R424,REGRAS!$B$2:$C$13,2,FALSE())))</f>
        <v/>
      </c>
      <c r="U424" s="58">
        <f>IF(R424="","",IF(R424="VENDA / PEDIDO","RECOMPRA",IF(R424="SUPORTE","PÓS-VENDA",IF(R424="RELACIONAMENTO","CS",IF(OR(R424="NÃO ATENDE",R424="NÃO RESPONDE",R424="RECUSOU LIGAÇÃO"),"REATIVAÇÃO",IF(R424="PERDA / FECHOU LOJA","NUTRIÇÃO",IF(OR(R424="FOLLOW UP 7",R424="FOLLOW UP 15"),"SALVAMENTO","PROSPECÇÃO")))))))</f>
        <v/>
      </c>
      <c r="V424" s="58" t="n"/>
      <c r="W424" s="58" t="inlineStr">
        <is>
          <t>NÃO</t>
        </is>
      </c>
      <c r="X424" s="58" t="n"/>
    </row>
    <row r="425">
      <c r="A425" s="71" t="n">
        <v>46068</v>
      </c>
      <c r="B425" s="58" t="inlineStr">
        <is>
          <t>JULIO GADRET</t>
        </is>
      </c>
      <c r="C425" s="58" t="inlineStr">
        <is>
          <t>NATUR LIFE 77</t>
        </is>
      </c>
      <c r="D425" s="58" t="inlineStr">
        <is>
          <t>94.105.437/0719-93</t>
        </is>
      </c>
      <c r="E425" s="58" t="inlineStr">
        <is>
          <t>SP</t>
        </is>
      </c>
      <c r="F425" s="58" t="inlineStr">
        <is>
          <t>DIVINA TERRA</t>
        </is>
      </c>
      <c r="G425" s="58" t="inlineStr">
        <is>
          <t>PROSPECT</t>
        </is>
      </c>
      <c r="H425" s="58" t="n"/>
      <c r="I425" s="58">
        <f>IF(R425="","",VLOOKUP(R425,REGRAS!$B$2:$D$13,3,FALSE()))</f>
        <v/>
      </c>
      <c r="J425" s="58" t="n"/>
      <c r="K425" s="58">
        <f>IF(R425="","",IF(R425="VENDA / PEDIDO","RECOMPRA",IF(R425="SUPORTE","PÓS-VENDA",IF(OR(R425="FOLLOW UP 7",R425="FOLLOW UP 15"),"SALVAMENTO",IF(R425="PERDA / FECHOU LOJA","NUTRIÇÃO",IF(R425="RELACIONAMENTO","CS",IF(OR(R425="ORÇAMENTO",R425="CADASTRO"),"PROSPECÇÃO",IF(R425="EM ATENDIMENTO","EM ATENDIMENTO",IF(OR(R425="NÃO ATENDE",R425="NÃO RESPONDE",R425="RECUSOU LIGAÇÃO"),"RECUPERAÇÃO","")))))))))</f>
        <v/>
      </c>
      <c r="L425" s="58">
        <f>IF(H425="","",IF(G425="PROSPECT","🟣",IF(G425="LEAD","🟣",IF(G425="NOVO","🟢",IF(H425&lt;=50,"🟢",IF(H425&lt;=90,"🟡","🔴"))))))</f>
        <v/>
      </c>
      <c r="M425" s="58" t="n"/>
      <c r="N425" s="58" t="inlineStr">
        <is>
          <t>NÃO</t>
        </is>
      </c>
      <c r="O425" s="58" t="inlineStr">
        <is>
          <t>SIM</t>
        </is>
      </c>
      <c r="P425" s="58" t="inlineStr">
        <is>
          <t>NÃO</t>
        </is>
      </c>
      <c r="Q425" s="58" t="inlineStr">
        <is>
          <t>PERDA / NUTRIÇÃO</t>
        </is>
      </c>
      <c r="R425" s="58" t="inlineStr">
        <is>
          <t>EM ATENDIMENTO</t>
        </is>
      </c>
      <c r="S425" s="58" t="n"/>
      <c r="T425" s="71">
        <f>IF(R425="","",IF(OR(R425="SUPORTE",R425="PERDA / FECHOU LOJA"),"SEM",A425+VLOOKUP(R425,REGRAS!$B$2:$C$13,2,FALSE())))</f>
        <v/>
      </c>
      <c r="U425" s="58">
        <f>IF(R425="","",IF(R425="VENDA / PEDIDO","RECOMPRA",IF(R425="SUPORTE","PÓS-VENDA",IF(R425="RELACIONAMENTO","CS",IF(OR(R425="NÃO ATENDE",R425="NÃO RESPONDE",R425="RECUSOU LIGAÇÃO"),"REATIVAÇÃO",IF(R425="PERDA / FECHOU LOJA","NUTRIÇÃO",IF(OR(R425="FOLLOW UP 7",R425="FOLLOW UP 15"),"SALVAMENTO","PROSPECÇÃO")))))))</f>
        <v/>
      </c>
      <c r="V425" s="58" t="n"/>
      <c r="W425" s="58" t="inlineStr">
        <is>
          <t>NÃO</t>
        </is>
      </c>
      <c r="X425" s="58" t="n"/>
    </row>
    <row r="426">
      <c r="A426" s="71" t="n">
        <v>46063</v>
      </c>
      <c r="B426" s="58" t="inlineStr">
        <is>
          <t>MANU DITZEL</t>
        </is>
      </c>
      <c r="C426" s="58" t="inlineStr">
        <is>
          <t>BIOMUNDO CTB 96</t>
        </is>
      </c>
      <c r="D426" s="58" t="inlineStr">
        <is>
          <t>19.660.716/6249-21</t>
        </is>
      </c>
      <c r="E426" s="58" t="inlineStr">
        <is>
          <t>SC</t>
        </is>
      </c>
      <c r="F426" s="58" t="inlineStr">
        <is>
          <t>BIOMUNDO</t>
        </is>
      </c>
      <c r="G426" s="58" t="inlineStr">
        <is>
          <t>PROSPECT</t>
        </is>
      </c>
      <c r="H426" s="58" t="n"/>
      <c r="I426" s="58">
        <f>IF(R426="","",VLOOKUP(R426,REGRAS!$B$2:$D$13,3,FALSE()))</f>
        <v/>
      </c>
      <c r="J426" s="58" t="n"/>
      <c r="K426" s="58">
        <f>IF(R426="","",IF(R426="VENDA / PEDIDO","RECOMPRA",IF(R426="SUPORTE","PÓS-VENDA",IF(OR(R426="FOLLOW UP 7",R426="FOLLOW UP 15"),"SALVAMENTO",IF(R426="PERDA / FECHOU LOJA","NUTRIÇÃO",IF(R426="RELACIONAMENTO","CS",IF(OR(R426="ORÇAMENTO",R426="CADASTRO"),"PROSPECÇÃO",IF(R426="EM ATENDIMENTO","EM ATENDIMENTO",IF(OR(R426="NÃO ATENDE",R426="NÃO RESPONDE",R426="RECUSOU LIGAÇÃO"),"RECUPERAÇÃO","")))))))))</f>
        <v/>
      </c>
      <c r="L426" s="58">
        <f>IF(H426="","",IF(G426="PROSPECT","🟣",IF(G426="LEAD","🟣",IF(G426="NOVO","🟢",IF(H426&lt;=50,"🟢",IF(H426&lt;=90,"🟡","🔴"))))))</f>
        <v/>
      </c>
      <c r="M426" s="58" t="n"/>
      <c r="N426" s="58" t="inlineStr">
        <is>
          <t>NÃO</t>
        </is>
      </c>
      <c r="O426" s="58" t="inlineStr">
        <is>
          <t>SIM</t>
        </is>
      </c>
      <c r="P426" s="58" t="inlineStr">
        <is>
          <t>NÃO</t>
        </is>
      </c>
      <c r="Q426" s="58" t="inlineStr">
        <is>
          <t>PÓS-VENDA / RELACIONAMENTO</t>
        </is>
      </c>
      <c r="R426" s="58" t="inlineStr">
        <is>
          <t>RELACIONAMENTO</t>
        </is>
      </c>
      <c r="S426" s="58" t="n"/>
      <c r="T426" s="71">
        <f>IF(R426="","",IF(OR(R426="SUPORTE",R426="PERDA / FECHOU LOJA"),"SEM",A426+VLOOKUP(R426,REGRAS!$B$2:$C$13,2,FALSE())))</f>
        <v/>
      </c>
      <c r="U426" s="58">
        <f>IF(R426="","",IF(R426="VENDA / PEDIDO","RECOMPRA",IF(R426="SUPORTE","PÓS-VENDA",IF(R426="RELACIONAMENTO","CS",IF(OR(R426="NÃO ATENDE",R426="NÃO RESPONDE",R426="RECUSOU LIGAÇÃO"),"REATIVAÇÃO",IF(R426="PERDA / FECHOU LOJA","NUTRIÇÃO",IF(OR(R426="FOLLOW UP 7",R426="FOLLOW UP 15"),"SALVAMENTO","PROSPECÇÃO")))))))</f>
        <v/>
      </c>
      <c r="V426" s="58" t="n"/>
      <c r="W426" s="58" t="inlineStr">
        <is>
          <t>SIM</t>
        </is>
      </c>
      <c r="X426" s="58" t="n"/>
    </row>
    <row r="427">
      <c r="A427" s="71" t="n">
        <v>46078</v>
      </c>
      <c r="B427" s="58" t="inlineStr">
        <is>
          <t>DAIANE STAVICKI</t>
        </is>
      </c>
      <c r="C427" s="58" t="inlineStr">
        <is>
          <t>SABOR NATURAL 16</t>
        </is>
      </c>
      <c r="D427" s="58" t="inlineStr">
        <is>
          <t>48.602.920/7084-49</t>
        </is>
      </c>
      <c r="E427" s="58" t="inlineStr">
        <is>
          <t>GO</t>
        </is>
      </c>
      <c r="F427" s="58" t="inlineStr">
        <is>
          <t>VIDA LEVE</t>
        </is>
      </c>
      <c r="G427" s="58" t="inlineStr">
        <is>
          <t>EM RISCO</t>
        </is>
      </c>
      <c r="H427" s="58" t="n">
        <v>52</v>
      </c>
      <c r="I427" s="58">
        <f>IF(R427="","",VLOOKUP(R427,REGRAS!$B$2:$D$13,3,FALSE()))</f>
        <v/>
      </c>
      <c r="J427" s="58" t="n"/>
      <c r="K427" s="58">
        <f>IF(R427="","",IF(R427="VENDA / PEDIDO","RECOMPRA",IF(R427="SUPORTE","PÓS-VENDA",IF(OR(R427="FOLLOW UP 7",R427="FOLLOW UP 15"),"SALVAMENTO",IF(R427="PERDA / FECHOU LOJA","NUTRIÇÃO",IF(R427="RELACIONAMENTO","CS",IF(OR(R427="ORÇAMENTO",R427="CADASTRO"),"PROSPECÇÃO",IF(R427="EM ATENDIMENTO","EM ATENDIMENTO",IF(OR(R427="NÃO ATENDE",R427="NÃO RESPONDE",R427="RECUSOU LIGAÇÃO"),"RECUPERAÇÃO","")))))))))</f>
        <v/>
      </c>
      <c r="L427" s="58">
        <f>IF(H427="","",IF(G427="PROSPECT","🟣",IF(G427="LEAD","🟣",IF(G427="NOVO","🟢",IF(H427&lt;=50,"🟢",IF(H427&lt;=90,"🟡","🔴"))))))</f>
        <v/>
      </c>
      <c r="M427" s="58" t="n"/>
      <c r="N427" s="58" t="inlineStr">
        <is>
          <t>SIM</t>
        </is>
      </c>
      <c r="O427" s="58" t="inlineStr">
        <is>
          <t>NÃO</t>
        </is>
      </c>
      <c r="P427" s="58" t="inlineStr">
        <is>
          <t>N/A</t>
        </is>
      </c>
      <c r="Q427" s="58" t="inlineStr">
        <is>
          <t>PÓS-VENDA / RELACIONAMENTO</t>
        </is>
      </c>
      <c r="R427" s="58" t="inlineStr">
        <is>
          <t>FOLLOW UP 15</t>
        </is>
      </c>
      <c r="S427" s="58" t="inlineStr">
        <is>
          <t>SÓ QUER COMPRAR GRANEL</t>
        </is>
      </c>
      <c r="T427" s="71">
        <f>IF(R427="","",IF(OR(R427="SUPORTE",R427="PERDA / FECHOU LOJA"),"SEM",A427+VLOOKUP(R427,REGRAS!$B$2:$C$13,2,FALSE())))</f>
        <v/>
      </c>
      <c r="U427" s="58">
        <f>IF(R427="","",IF(R427="VENDA / PEDIDO","RECOMPRA",IF(R427="SUPORTE","PÓS-VENDA",IF(R427="RELACIONAMENTO","CS",IF(OR(R427="NÃO ATENDE",R427="NÃO RESPONDE",R427="RECUSOU LIGAÇÃO"),"REATIVAÇÃO",IF(R427="PERDA / FECHOU LOJA","NUTRIÇÃO",IF(OR(R427="FOLLOW UP 7",R427="FOLLOW UP 15"),"SALVAMENTO","PROSPECÇÃO")))))))</f>
        <v/>
      </c>
      <c r="V427" s="58" t="n"/>
      <c r="W427" s="58" t="inlineStr">
        <is>
          <t>SIM</t>
        </is>
      </c>
      <c r="X427" s="58" t="n"/>
    </row>
    <row r="428">
      <c r="A428" s="71" t="n">
        <v>46067</v>
      </c>
      <c r="B428" s="58" t="inlineStr">
        <is>
          <t>MANU DITZEL</t>
        </is>
      </c>
      <c r="C428" s="58" t="inlineStr">
        <is>
          <t>SAUDE NA MESA 48</t>
        </is>
      </c>
      <c r="D428" s="58" t="inlineStr">
        <is>
          <t>88.290.544/6980-21</t>
        </is>
      </c>
      <c r="E428" s="58" t="inlineStr">
        <is>
          <t>PR</t>
        </is>
      </c>
      <c r="F428" s="58" t="inlineStr">
        <is>
          <t>CIA DA SAUDE</t>
        </is>
      </c>
      <c r="G428" s="58" t="inlineStr">
        <is>
          <t>EM RISCO</t>
        </is>
      </c>
      <c r="H428" s="58" t="n">
        <v>54</v>
      </c>
      <c r="I428" s="58">
        <f>IF(R428="","",VLOOKUP(R428,REGRAS!$B$2:$D$13,3,FALSE()))</f>
        <v/>
      </c>
      <c r="J428" s="58" t="n"/>
      <c r="K428" s="58">
        <f>IF(R428="","",IF(R428="VENDA / PEDIDO","RECOMPRA",IF(R428="SUPORTE","PÓS-VENDA",IF(OR(R428="FOLLOW UP 7",R428="FOLLOW UP 15"),"SALVAMENTO",IF(R428="PERDA / FECHOU LOJA","NUTRIÇÃO",IF(R428="RELACIONAMENTO","CS",IF(OR(R428="ORÇAMENTO",R428="CADASTRO"),"PROSPECÇÃO",IF(R428="EM ATENDIMENTO","EM ATENDIMENTO",IF(OR(R428="NÃO ATENDE",R428="NÃO RESPONDE",R428="RECUSOU LIGAÇÃO"),"RECUPERAÇÃO","")))))))))</f>
        <v/>
      </c>
      <c r="L428" s="58">
        <f>IF(H428="","",IF(G428="PROSPECT","🟣",IF(G428="LEAD","🟣",IF(G428="NOVO","🟢",IF(H428&lt;=50,"🟢",IF(H428&lt;=90,"🟡","🔴"))))))</f>
        <v/>
      </c>
      <c r="M428" s="58" t="n"/>
      <c r="N428" s="58" t="inlineStr">
        <is>
          <t>NÃO</t>
        </is>
      </c>
      <c r="O428" s="58" t="inlineStr">
        <is>
          <t>NÃO</t>
        </is>
      </c>
      <c r="P428" s="58" t="inlineStr">
        <is>
          <t>N/A</t>
        </is>
      </c>
      <c r="Q428" s="58" t="inlineStr">
        <is>
          <t>ATEND. CLIENTES INATIVOS</t>
        </is>
      </c>
      <c r="R428" s="58" t="inlineStr">
        <is>
          <t>CADASTRO</t>
        </is>
      </c>
      <c r="S428" s="58" t="n"/>
      <c r="T428" s="71">
        <f>IF(R428="","",IF(OR(R428="SUPORTE",R428="PERDA / FECHOU LOJA"),"SEM",A428+VLOOKUP(R428,REGRAS!$B$2:$C$13,2,FALSE())))</f>
        <v/>
      </c>
      <c r="U428" s="58">
        <f>IF(R428="","",IF(R428="VENDA / PEDIDO","RECOMPRA",IF(R428="SUPORTE","PÓS-VENDA",IF(R428="RELACIONAMENTO","CS",IF(OR(R428="NÃO ATENDE",R428="NÃO RESPONDE",R428="RECUSOU LIGAÇÃO"),"REATIVAÇÃO",IF(R428="PERDA / FECHOU LOJA","NUTRIÇÃO",IF(OR(R428="FOLLOW UP 7",R428="FOLLOW UP 15"),"SALVAMENTO","PROSPECÇÃO")))))))</f>
        <v/>
      </c>
      <c r="V428" s="58" t="n"/>
      <c r="W428" s="58" t="inlineStr">
        <is>
          <t>SIM</t>
        </is>
      </c>
      <c r="X428" s="58" t="n"/>
    </row>
    <row r="429">
      <c r="A429" s="71" t="n">
        <v>46056</v>
      </c>
      <c r="B429" s="58" t="inlineStr">
        <is>
          <t>MANU DITZEL</t>
        </is>
      </c>
      <c r="C429" s="58" t="inlineStr">
        <is>
          <t>SAUDE NA MESA 11</t>
        </is>
      </c>
      <c r="D429" s="58" t="inlineStr">
        <is>
          <t>71.407.252/2094-97</t>
        </is>
      </c>
      <c r="E429" s="58" t="inlineStr">
        <is>
          <t>GO</t>
        </is>
      </c>
      <c r="F429" s="58" t="inlineStr">
        <is>
          <t>DEMAIS CLIENTES</t>
        </is>
      </c>
      <c r="G429" s="58" t="inlineStr">
        <is>
          <t>INAT.REC</t>
        </is>
      </c>
      <c r="H429" s="58" t="n">
        <v>70</v>
      </c>
      <c r="I429" s="58">
        <f>IF(R429="","",VLOOKUP(R429,REGRAS!$B$2:$D$13,3,FALSE()))</f>
        <v/>
      </c>
      <c r="J429" s="58" t="n"/>
      <c r="K429" s="58">
        <f>IF(R429="","",IF(R429="VENDA / PEDIDO","RECOMPRA",IF(R429="SUPORTE","PÓS-VENDA",IF(OR(R429="FOLLOW UP 7",R429="FOLLOW UP 15"),"SALVAMENTO",IF(R429="PERDA / FECHOU LOJA","NUTRIÇÃO",IF(R429="RELACIONAMENTO","CS",IF(OR(R429="ORÇAMENTO",R429="CADASTRO"),"PROSPECÇÃO",IF(R429="EM ATENDIMENTO","EM ATENDIMENTO",IF(OR(R429="NÃO ATENDE",R429="NÃO RESPONDE",R429="RECUSOU LIGAÇÃO"),"RECUPERAÇÃO","")))))))))</f>
        <v/>
      </c>
      <c r="L429" s="58">
        <f>IF(H429="","",IF(G429="PROSPECT","🟣",IF(G429="LEAD","🟣",IF(G429="NOVO","🟢",IF(H429&lt;=50,"🟢",IF(H429&lt;=90,"🟡","🔴"))))))</f>
        <v/>
      </c>
      <c r="M429" s="58" t="n"/>
      <c r="N429" s="58" t="inlineStr">
        <is>
          <t>NÃO</t>
        </is>
      </c>
      <c r="O429" s="58" t="inlineStr">
        <is>
          <t>NÃO</t>
        </is>
      </c>
      <c r="P429" s="58" t="inlineStr">
        <is>
          <t>N/A</t>
        </is>
      </c>
      <c r="Q429" s="58" t="inlineStr">
        <is>
          <t>ATEND. CLIENTES ATIVOS</t>
        </is>
      </c>
      <c r="R429" s="58" t="inlineStr">
        <is>
          <t>FOLLOW UP 7</t>
        </is>
      </c>
      <c r="S429" s="58" t="inlineStr">
        <is>
          <t>SÓ QUER COMPRAR GRANEL</t>
        </is>
      </c>
      <c r="T429" s="71">
        <f>IF(R429="","",IF(OR(R429="SUPORTE",R429="PERDA / FECHOU LOJA"),"SEM",A429+VLOOKUP(R429,REGRAS!$B$2:$C$13,2,FALSE())))</f>
        <v/>
      </c>
      <c r="U429" s="58">
        <f>IF(R429="","",IF(R429="VENDA / PEDIDO","RECOMPRA",IF(R429="SUPORTE","PÓS-VENDA",IF(R429="RELACIONAMENTO","CS",IF(OR(R429="NÃO ATENDE",R429="NÃO RESPONDE",R429="RECUSOU LIGAÇÃO"),"REATIVAÇÃO",IF(R429="PERDA / FECHOU LOJA","NUTRIÇÃO",IF(OR(R429="FOLLOW UP 7",R429="FOLLOW UP 15"),"SALVAMENTO","PROSPECÇÃO")))))))</f>
        <v/>
      </c>
      <c r="V429" s="58" t="n"/>
      <c r="W429" s="58" t="inlineStr">
        <is>
          <t>SIM</t>
        </is>
      </c>
      <c r="X429" s="58" t="n"/>
    </row>
    <row r="430">
      <c r="A430" s="71" t="n">
        <v>46068</v>
      </c>
      <c r="B430" s="58" t="inlineStr">
        <is>
          <t>JULIO GADRET</t>
        </is>
      </c>
      <c r="C430" s="58" t="inlineStr">
        <is>
          <t>PURA VIDA 33</t>
        </is>
      </c>
      <c r="D430" s="58" t="inlineStr">
        <is>
          <t>55.360.699/1340-74</t>
        </is>
      </c>
      <c r="E430" s="58" t="inlineStr">
        <is>
          <t>PR</t>
        </is>
      </c>
      <c r="F430" s="58" t="inlineStr">
        <is>
          <t>DEMAIS CLIENTES</t>
        </is>
      </c>
      <c r="G430" s="58" t="inlineStr">
        <is>
          <t>EM RISCO</t>
        </is>
      </c>
      <c r="H430" s="58" t="n">
        <v>53</v>
      </c>
      <c r="I430" s="58">
        <f>IF(R430="","",VLOOKUP(R430,REGRAS!$B$2:$D$13,3,FALSE()))</f>
        <v/>
      </c>
      <c r="J430" s="58" t="n"/>
      <c r="K430" s="58">
        <f>IF(R430="","",IF(R430="VENDA / PEDIDO","RECOMPRA",IF(R430="SUPORTE","PÓS-VENDA",IF(OR(R430="FOLLOW UP 7",R430="FOLLOW UP 15"),"SALVAMENTO",IF(R430="PERDA / FECHOU LOJA","NUTRIÇÃO",IF(R430="RELACIONAMENTO","CS",IF(OR(R430="ORÇAMENTO",R430="CADASTRO"),"PROSPECÇÃO",IF(R430="EM ATENDIMENTO","EM ATENDIMENTO",IF(OR(R430="NÃO ATENDE",R430="NÃO RESPONDE",R430="RECUSOU LIGAÇÃO"),"RECUPERAÇÃO","")))))))))</f>
        <v/>
      </c>
      <c r="L430" s="58">
        <f>IF(H430="","",IF(G430="PROSPECT","🟣",IF(G430="LEAD","🟣",IF(G430="NOVO","🟢",IF(H430&lt;=50,"🟢",IF(H430&lt;=90,"🟡","🔴"))))))</f>
        <v/>
      </c>
      <c r="M430" s="58" t="n"/>
      <c r="N430" s="58" t="inlineStr">
        <is>
          <t>SIM</t>
        </is>
      </c>
      <c r="O430" s="58" t="inlineStr">
        <is>
          <t>NÃO</t>
        </is>
      </c>
      <c r="P430" s="58" t="inlineStr">
        <is>
          <t>N/A</t>
        </is>
      </c>
      <c r="Q430" s="58" t="inlineStr">
        <is>
          <t>PÓS-VENDA / RELACIONAMENTO</t>
        </is>
      </c>
      <c r="R430" s="58" t="inlineStr">
        <is>
          <t>RELACIONAMENTO</t>
        </is>
      </c>
      <c r="S430" s="58" t="n"/>
      <c r="T430" s="71">
        <f>IF(R430="","",IF(OR(R430="SUPORTE",R430="PERDA / FECHOU LOJA"),"SEM",A430+VLOOKUP(R430,REGRAS!$B$2:$C$13,2,FALSE())))</f>
        <v/>
      </c>
      <c r="U430" s="58">
        <f>IF(R430="","",IF(R430="VENDA / PEDIDO","RECOMPRA",IF(R430="SUPORTE","PÓS-VENDA",IF(R430="RELACIONAMENTO","CS",IF(OR(R430="NÃO ATENDE",R430="NÃO RESPONDE",R430="RECUSOU LIGAÇÃO"),"REATIVAÇÃO",IF(R430="PERDA / FECHOU LOJA","NUTRIÇÃO",IF(OR(R430="FOLLOW UP 7",R430="FOLLOW UP 15"),"SALVAMENTO","PROSPECÇÃO")))))))</f>
        <v/>
      </c>
      <c r="V430" s="58" t="n"/>
      <c r="W430" s="58" t="inlineStr">
        <is>
          <t>SIM</t>
        </is>
      </c>
      <c r="X430" s="58" t="n"/>
    </row>
    <row r="431">
      <c r="A431" s="71" t="n">
        <v>46077</v>
      </c>
      <c r="B431" s="58" t="inlineStr">
        <is>
          <t>LARISSA PADILHA</t>
        </is>
      </c>
      <c r="C431" s="58" t="inlineStr">
        <is>
          <t>EMPÓRIO BIO 80</t>
        </is>
      </c>
      <c r="D431" s="58" t="inlineStr">
        <is>
          <t>43.449.992/3067-37</t>
        </is>
      </c>
      <c r="E431" s="58" t="inlineStr">
        <is>
          <t>PR</t>
        </is>
      </c>
      <c r="F431" s="58" t="inlineStr">
        <is>
          <t>DEMAIS CLIENTES</t>
        </is>
      </c>
      <c r="G431" s="58" t="inlineStr">
        <is>
          <t>INAT.REC</t>
        </is>
      </c>
      <c r="H431" s="58" t="n">
        <v>88</v>
      </c>
      <c r="I431" s="58">
        <f>IF(R431="","",VLOOKUP(R431,REGRAS!$B$2:$D$13,3,FALSE()))</f>
        <v/>
      </c>
      <c r="J431" s="58" t="n"/>
      <c r="K431" s="58">
        <f>IF(R431="","",IF(R431="VENDA / PEDIDO","RECOMPRA",IF(R431="SUPORTE","PÓS-VENDA",IF(OR(R431="FOLLOW UP 7",R431="FOLLOW UP 15"),"SALVAMENTO",IF(R431="PERDA / FECHOU LOJA","NUTRIÇÃO",IF(R431="RELACIONAMENTO","CS",IF(OR(R431="ORÇAMENTO",R431="CADASTRO"),"PROSPECÇÃO",IF(R431="EM ATENDIMENTO","EM ATENDIMENTO",IF(OR(R431="NÃO ATENDE",R431="NÃO RESPONDE",R431="RECUSOU LIGAÇÃO"),"RECUPERAÇÃO","")))))))))</f>
        <v/>
      </c>
      <c r="L431" s="58">
        <f>IF(H431="","",IF(G431="PROSPECT","🟣",IF(G431="LEAD","🟣",IF(G431="NOVO","🟢",IF(H431&lt;=50,"🟢",IF(H431&lt;=90,"🟡","🔴"))))))</f>
        <v/>
      </c>
      <c r="M431" s="58" t="n"/>
      <c r="N431" s="58" t="inlineStr">
        <is>
          <t>SIM</t>
        </is>
      </c>
      <c r="O431" s="58" t="inlineStr">
        <is>
          <t>SIM</t>
        </is>
      </c>
      <c r="P431" s="58" t="inlineStr">
        <is>
          <t>SIM</t>
        </is>
      </c>
      <c r="Q431" s="58" t="inlineStr">
        <is>
          <t>ATEND. CLIENTES INATIVOS</t>
        </is>
      </c>
      <c r="R431" s="58" t="inlineStr">
        <is>
          <t>NÃO RESPONDE</t>
        </is>
      </c>
      <c r="S431" s="58" t="inlineStr">
        <is>
          <t>PROBLEMA FINANCEIRO / CRÉDITO</t>
        </is>
      </c>
      <c r="T431" s="71">
        <f>IF(R431="","",IF(OR(R431="SUPORTE",R431="PERDA / FECHOU LOJA"),"SEM",A431+VLOOKUP(R431,REGRAS!$B$2:$C$13,2,FALSE())))</f>
        <v/>
      </c>
      <c r="U431" s="58">
        <f>IF(R431="","",IF(R431="VENDA / PEDIDO","RECOMPRA",IF(R431="SUPORTE","PÓS-VENDA",IF(R431="RELACIONAMENTO","CS",IF(OR(R431="NÃO ATENDE",R431="NÃO RESPONDE",R431="RECUSOU LIGAÇÃO"),"REATIVAÇÃO",IF(R431="PERDA / FECHOU LOJA","NUTRIÇÃO",IF(OR(R431="FOLLOW UP 7",R431="FOLLOW UP 15"),"SALVAMENTO","PROSPECÇÃO")))))))</f>
        <v/>
      </c>
      <c r="V431" s="58" t="n"/>
      <c r="W431" s="58" t="inlineStr">
        <is>
          <t>SIM</t>
        </is>
      </c>
      <c r="X431" s="58" t="n"/>
    </row>
    <row r="432">
      <c r="A432" s="71" t="n">
        <v>46066</v>
      </c>
      <c r="B432" s="58" t="inlineStr">
        <is>
          <t>DAIANE STAVICKI</t>
        </is>
      </c>
      <c r="C432" s="58" t="inlineStr">
        <is>
          <t>MUNDO BIO 93</t>
        </is>
      </c>
      <c r="D432" s="58" t="inlineStr">
        <is>
          <t>72.410.733/5911-98</t>
        </is>
      </c>
      <c r="E432" s="58" t="inlineStr">
        <is>
          <t>SP</t>
        </is>
      </c>
      <c r="F432" s="58" t="inlineStr">
        <is>
          <t>TUDO EM GRAOS</t>
        </is>
      </c>
      <c r="G432" s="58" t="inlineStr">
        <is>
          <t>EM RISCO</t>
        </is>
      </c>
      <c r="H432" s="58" t="n">
        <v>55</v>
      </c>
      <c r="I432" s="58">
        <f>IF(R432="","",VLOOKUP(R432,REGRAS!$B$2:$D$13,3,FALSE()))</f>
        <v/>
      </c>
      <c r="J432" s="58" t="n"/>
      <c r="K432" s="58">
        <f>IF(R432="","",IF(R432="VENDA / PEDIDO","RECOMPRA",IF(R432="SUPORTE","PÓS-VENDA",IF(OR(R432="FOLLOW UP 7",R432="FOLLOW UP 15"),"SALVAMENTO",IF(R432="PERDA / FECHOU LOJA","NUTRIÇÃO",IF(R432="RELACIONAMENTO","CS",IF(OR(R432="ORÇAMENTO",R432="CADASTRO"),"PROSPECÇÃO",IF(R432="EM ATENDIMENTO","EM ATENDIMENTO",IF(OR(R432="NÃO ATENDE",R432="NÃO RESPONDE",R432="RECUSOU LIGAÇÃO"),"RECUPERAÇÃO","")))))))))</f>
        <v/>
      </c>
      <c r="L432" s="58">
        <f>IF(H432="","",IF(G432="PROSPECT","🟣",IF(G432="LEAD","🟣",IF(G432="NOVO","🟢",IF(H432&lt;=50,"🟢",IF(H432&lt;=90,"🟡","🔴"))))))</f>
        <v/>
      </c>
      <c r="M432" s="58" t="n"/>
      <c r="N432" s="58" t="inlineStr">
        <is>
          <t>SIM</t>
        </is>
      </c>
      <c r="O432" s="58" t="inlineStr">
        <is>
          <t>NÃO</t>
        </is>
      </c>
      <c r="P432" s="58" t="inlineStr">
        <is>
          <t>N/A</t>
        </is>
      </c>
      <c r="Q432" s="58" t="inlineStr">
        <is>
          <t>PROSPECÇÃO</t>
        </is>
      </c>
      <c r="R432" s="58" t="inlineStr">
        <is>
          <t>EM ATENDIMENTO</t>
        </is>
      </c>
      <c r="S432" s="58" t="n"/>
      <c r="T432" s="71">
        <f>IF(R432="","",IF(OR(R432="SUPORTE",R432="PERDA / FECHOU LOJA"),"SEM",A432+VLOOKUP(R432,REGRAS!$B$2:$C$13,2,FALSE())))</f>
        <v/>
      </c>
      <c r="U432" s="58">
        <f>IF(R432="","",IF(R432="VENDA / PEDIDO","RECOMPRA",IF(R432="SUPORTE","PÓS-VENDA",IF(R432="RELACIONAMENTO","CS",IF(OR(R432="NÃO ATENDE",R432="NÃO RESPONDE",R432="RECUSOU LIGAÇÃO"),"REATIVAÇÃO",IF(R432="PERDA / FECHOU LOJA","NUTRIÇÃO",IF(OR(R432="FOLLOW UP 7",R432="FOLLOW UP 15"),"SALVAMENTO","PROSPECÇÃO")))))))</f>
        <v/>
      </c>
      <c r="V432" s="58" t="n"/>
      <c r="W432" s="58" t="inlineStr">
        <is>
          <t>NÃO</t>
        </is>
      </c>
      <c r="X432" s="58" t="n"/>
    </row>
    <row r="433">
      <c r="A433" s="71" t="n">
        <v>46060</v>
      </c>
      <c r="B433" s="58" t="inlineStr">
        <is>
          <t>DAIANE STAVICKI</t>
        </is>
      </c>
      <c r="C433" s="58" t="inlineStr">
        <is>
          <t>DIVINA TERRA RJ 62</t>
        </is>
      </c>
      <c r="D433" s="58" t="inlineStr">
        <is>
          <t>93.248.765/3962-65</t>
        </is>
      </c>
      <c r="E433" s="58" t="inlineStr">
        <is>
          <t>MG</t>
        </is>
      </c>
      <c r="F433" s="58" t="inlineStr">
        <is>
          <t>DEMAIS CLIENTES</t>
        </is>
      </c>
      <c r="G433" s="58" t="inlineStr">
        <is>
          <t>INAT.REC</t>
        </is>
      </c>
      <c r="H433" s="58" t="n">
        <v>63</v>
      </c>
      <c r="I433" s="58">
        <f>IF(R433="","",VLOOKUP(R433,REGRAS!$B$2:$D$13,3,FALSE()))</f>
        <v/>
      </c>
      <c r="J433" s="58" t="n"/>
      <c r="K433" s="58">
        <f>IF(R433="","",IF(R433="VENDA / PEDIDO","RECOMPRA",IF(R433="SUPORTE","PÓS-VENDA",IF(OR(R433="FOLLOW UP 7",R433="FOLLOW UP 15"),"SALVAMENTO",IF(R433="PERDA / FECHOU LOJA","NUTRIÇÃO",IF(R433="RELACIONAMENTO","CS",IF(OR(R433="ORÇAMENTO",R433="CADASTRO"),"PROSPECÇÃO",IF(R433="EM ATENDIMENTO","EM ATENDIMENTO",IF(OR(R433="NÃO ATENDE",R433="NÃO RESPONDE",R433="RECUSOU LIGAÇÃO"),"RECUPERAÇÃO","")))))))))</f>
        <v/>
      </c>
      <c r="L433" s="58">
        <f>IF(H433="","",IF(G433="PROSPECT","🟣",IF(G433="LEAD","🟣",IF(G433="NOVO","🟢",IF(H433&lt;=50,"🟢",IF(H433&lt;=90,"🟡","🔴"))))))</f>
        <v/>
      </c>
      <c r="M433" s="58" t="n"/>
      <c r="N433" s="58" t="inlineStr">
        <is>
          <t>SIM</t>
        </is>
      </c>
      <c r="O433" s="58" t="inlineStr">
        <is>
          <t>SIM</t>
        </is>
      </c>
      <c r="P433" s="58" t="inlineStr">
        <is>
          <t>SIM</t>
        </is>
      </c>
      <c r="Q433" s="58" t="inlineStr">
        <is>
          <t>FOLLOW UP</t>
        </is>
      </c>
      <c r="R433" s="58" t="inlineStr">
        <is>
          <t>FOLLOW UP 7</t>
        </is>
      </c>
      <c r="S433" s="58" t="inlineStr">
        <is>
          <t>AINDA TEM ESTOQUE</t>
        </is>
      </c>
      <c r="T433" s="71">
        <f>IF(R433="","",IF(OR(R433="SUPORTE",R433="PERDA / FECHOU LOJA"),"SEM",A433+VLOOKUP(R433,REGRAS!$B$2:$C$13,2,FALSE())))</f>
        <v/>
      </c>
      <c r="U433" s="58">
        <f>IF(R433="","",IF(R433="VENDA / PEDIDO","RECOMPRA",IF(R433="SUPORTE","PÓS-VENDA",IF(R433="RELACIONAMENTO","CS",IF(OR(R433="NÃO ATENDE",R433="NÃO RESPONDE",R433="RECUSOU LIGAÇÃO"),"REATIVAÇÃO",IF(R433="PERDA / FECHOU LOJA","NUTRIÇÃO",IF(OR(R433="FOLLOW UP 7",R433="FOLLOW UP 15"),"SALVAMENTO","PROSPECÇÃO")))))))</f>
        <v/>
      </c>
      <c r="V433" s="58" t="n"/>
      <c r="W433" s="58" t="inlineStr">
        <is>
          <t>NÃO</t>
        </is>
      </c>
      <c r="X433" s="58" t="n"/>
    </row>
    <row r="434">
      <c r="A434" s="71" t="n">
        <v>46069</v>
      </c>
      <c r="B434" s="58" t="inlineStr">
        <is>
          <t>LARISSA PADILHA</t>
        </is>
      </c>
      <c r="C434" s="58" t="inlineStr">
        <is>
          <t>EMPÓRIO BIO 75</t>
        </is>
      </c>
      <c r="D434" s="58" t="inlineStr">
        <is>
          <t>41.306.401/9330-60</t>
        </is>
      </c>
      <c r="E434" s="58" t="inlineStr">
        <is>
          <t>PR</t>
        </is>
      </c>
      <c r="F434" s="58" t="inlineStr">
        <is>
          <t>MUNDO VERDE</t>
        </is>
      </c>
      <c r="G434" s="58" t="inlineStr">
        <is>
          <t>INAT.ANT</t>
        </is>
      </c>
      <c r="H434" s="58" t="n">
        <v>273</v>
      </c>
      <c r="I434" s="58">
        <f>IF(R434="","",VLOOKUP(R434,REGRAS!$B$2:$D$13,3,FALSE()))</f>
        <v/>
      </c>
      <c r="J434" s="58" t="n"/>
      <c r="K434" s="58">
        <f>IF(R434="","",IF(R434="VENDA / PEDIDO","RECOMPRA",IF(R434="SUPORTE","PÓS-VENDA",IF(OR(R434="FOLLOW UP 7",R434="FOLLOW UP 15"),"SALVAMENTO",IF(R434="PERDA / FECHOU LOJA","NUTRIÇÃO",IF(R434="RELACIONAMENTO","CS",IF(OR(R434="ORÇAMENTO",R434="CADASTRO"),"PROSPECÇÃO",IF(R434="EM ATENDIMENTO","EM ATENDIMENTO",IF(OR(R434="NÃO ATENDE",R434="NÃO RESPONDE",R434="RECUSOU LIGAÇÃO"),"RECUPERAÇÃO","")))))))))</f>
        <v/>
      </c>
      <c r="L434" s="58">
        <f>IF(H434="","",IF(G434="PROSPECT","🟣",IF(G434="LEAD","🟣",IF(G434="NOVO","🟢",IF(H434&lt;=50,"🟢",IF(H434&lt;=90,"🟡","🔴"))))))</f>
        <v/>
      </c>
      <c r="M434" s="58" t="n"/>
      <c r="N434" s="58" t="inlineStr">
        <is>
          <t>SIM</t>
        </is>
      </c>
      <c r="O434" s="58" t="inlineStr">
        <is>
          <t>NÃO</t>
        </is>
      </c>
      <c r="P434" s="58" t="inlineStr">
        <is>
          <t>N/A</t>
        </is>
      </c>
      <c r="Q434" s="58" t="inlineStr">
        <is>
          <t>ATEND. CLIENTES ATIVOS</t>
        </is>
      </c>
      <c r="R434" s="58" t="inlineStr">
        <is>
          <t>RELACIONAMENTO</t>
        </is>
      </c>
      <c r="S434" s="58" t="n"/>
      <c r="T434" s="71">
        <f>IF(R434="","",IF(OR(R434="SUPORTE",R434="PERDA / FECHOU LOJA"),"SEM",A434+VLOOKUP(R434,REGRAS!$B$2:$C$13,2,FALSE())))</f>
        <v/>
      </c>
      <c r="U434" s="58">
        <f>IF(R434="","",IF(R434="VENDA / PEDIDO","RECOMPRA",IF(R434="SUPORTE","PÓS-VENDA",IF(R434="RELACIONAMENTO","CS",IF(OR(R434="NÃO ATENDE",R434="NÃO RESPONDE",R434="RECUSOU LIGAÇÃO"),"REATIVAÇÃO",IF(R434="PERDA / FECHOU LOJA","NUTRIÇÃO",IF(OR(R434="FOLLOW UP 7",R434="FOLLOW UP 15"),"SALVAMENTO","PROSPECÇÃO")))))))</f>
        <v/>
      </c>
      <c r="V434" s="58" t="n"/>
      <c r="W434" s="58" t="inlineStr">
        <is>
          <t>NÃO</t>
        </is>
      </c>
      <c r="X434" s="58" t="n"/>
    </row>
    <row r="435">
      <c r="A435" s="71" t="n">
        <v>46063</v>
      </c>
      <c r="B435" s="58" t="inlineStr">
        <is>
          <t>MANU DITZEL</t>
        </is>
      </c>
      <c r="C435" s="58" t="inlineStr">
        <is>
          <t>TUDO GRÃOS SC 63</t>
        </is>
      </c>
      <c r="D435" s="58" t="inlineStr">
        <is>
          <t>75.705.842/7994-39</t>
        </is>
      </c>
      <c r="E435" s="58" t="inlineStr">
        <is>
          <t>RJ</t>
        </is>
      </c>
      <c r="F435" s="58" t="inlineStr">
        <is>
          <t>DIVINA TERRA</t>
        </is>
      </c>
      <c r="G435" s="58" t="inlineStr">
        <is>
          <t>EM RISCO</t>
        </is>
      </c>
      <c r="H435" s="58" t="n">
        <v>56</v>
      </c>
      <c r="I435" s="58">
        <f>IF(R435="","",VLOOKUP(R435,REGRAS!$B$2:$D$13,3,FALSE()))</f>
        <v/>
      </c>
      <c r="J435" s="58" t="n"/>
      <c r="K435" s="58">
        <f>IF(R435="","",IF(R435="VENDA / PEDIDO","RECOMPRA",IF(R435="SUPORTE","PÓS-VENDA",IF(OR(R435="FOLLOW UP 7",R435="FOLLOW UP 15"),"SALVAMENTO",IF(R435="PERDA / FECHOU LOJA","NUTRIÇÃO",IF(R435="RELACIONAMENTO","CS",IF(OR(R435="ORÇAMENTO",R435="CADASTRO"),"PROSPECÇÃO",IF(R435="EM ATENDIMENTO","EM ATENDIMENTO",IF(OR(R435="NÃO ATENDE",R435="NÃO RESPONDE",R435="RECUSOU LIGAÇÃO"),"RECUPERAÇÃO","")))))))))</f>
        <v/>
      </c>
      <c r="L435" s="58">
        <f>IF(H435="","",IF(G435="PROSPECT","🟣",IF(G435="LEAD","🟣",IF(G435="NOVO","🟢",IF(H435&lt;=50,"🟢",IF(H435&lt;=90,"🟡","🔴"))))))</f>
        <v/>
      </c>
      <c r="M435" s="58" t="n"/>
      <c r="N435" s="58" t="inlineStr">
        <is>
          <t>SIM</t>
        </is>
      </c>
      <c r="O435" s="58" t="inlineStr">
        <is>
          <t>NÃO</t>
        </is>
      </c>
      <c r="P435" s="58" t="inlineStr">
        <is>
          <t>N/A</t>
        </is>
      </c>
      <c r="Q435" s="58" t="inlineStr">
        <is>
          <t>ATEND. CLIENTES ATIVOS</t>
        </is>
      </c>
      <c r="R435" s="58" t="inlineStr">
        <is>
          <t>ORÇAMENTO</t>
        </is>
      </c>
      <c r="S435" s="58" t="n"/>
      <c r="T435" s="71">
        <f>IF(R435="","",IF(OR(R435="SUPORTE",R435="PERDA / FECHOU LOJA"),"SEM",A435+VLOOKUP(R435,REGRAS!$B$2:$C$13,2,FALSE())))</f>
        <v/>
      </c>
      <c r="U435" s="58">
        <f>IF(R435="","",IF(R435="VENDA / PEDIDO","RECOMPRA",IF(R435="SUPORTE","PÓS-VENDA",IF(R435="RELACIONAMENTO","CS",IF(OR(R435="NÃO ATENDE",R435="NÃO RESPONDE",R435="RECUSOU LIGAÇÃO"),"REATIVAÇÃO",IF(R435="PERDA / FECHOU LOJA","NUTRIÇÃO",IF(OR(R435="FOLLOW UP 7",R435="FOLLOW UP 15"),"SALVAMENTO","PROSPECÇÃO")))))))</f>
        <v/>
      </c>
      <c r="V435" s="58" t="n"/>
      <c r="W435" s="58" t="inlineStr">
        <is>
          <t>SIM</t>
        </is>
      </c>
      <c r="X435" s="58" t="n"/>
    </row>
    <row r="436">
      <c r="A436" s="71" t="n">
        <v>46073</v>
      </c>
      <c r="B436" s="58" t="inlineStr">
        <is>
          <t>DAIANE STAVICKI</t>
        </is>
      </c>
      <c r="C436" s="58" t="inlineStr">
        <is>
          <t>MARKET FIT 58</t>
        </is>
      </c>
      <c r="D436" s="58" t="inlineStr">
        <is>
          <t>99.546.121/2644-46</t>
        </is>
      </c>
      <c r="E436" s="58" t="inlineStr">
        <is>
          <t>RJ</t>
        </is>
      </c>
      <c r="F436" s="58" t="inlineStr">
        <is>
          <t>DIVINA TERRA</t>
        </is>
      </c>
      <c r="G436" s="58" t="inlineStr">
        <is>
          <t>EM RISCO</t>
        </is>
      </c>
      <c r="H436" s="58" t="n">
        <v>59</v>
      </c>
      <c r="I436" s="58">
        <f>IF(R436="","",VLOOKUP(R436,REGRAS!$B$2:$D$13,3,FALSE()))</f>
        <v/>
      </c>
      <c r="J436" s="58" t="n"/>
      <c r="K436" s="58">
        <f>IF(R436="","",IF(R436="VENDA / PEDIDO","RECOMPRA",IF(R436="SUPORTE","PÓS-VENDA",IF(OR(R436="FOLLOW UP 7",R436="FOLLOW UP 15"),"SALVAMENTO",IF(R436="PERDA / FECHOU LOJA","NUTRIÇÃO",IF(R436="RELACIONAMENTO","CS",IF(OR(R436="ORÇAMENTO",R436="CADASTRO"),"PROSPECÇÃO",IF(R436="EM ATENDIMENTO","EM ATENDIMENTO",IF(OR(R436="NÃO ATENDE",R436="NÃO RESPONDE",R436="RECUSOU LIGAÇÃO"),"RECUPERAÇÃO","")))))))))</f>
        <v/>
      </c>
      <c r="L436" s="58">
        <f>IF(H436="","",IF(G436="PROSPECT","🟣",IF(G436="LEAD","🟣",IF(G436="NOVO","🟢",IF(H436&lt;=50,"🟢",IF(H436&lt;=90,"🟡","🔴"))))))</f>
        <v/>
      </c>
      <c r="M436" s="58" t="n"/>
      <c r="N436" s="58" t="inlineStr">
        <is>
          <t>SIM</t>
        </is>
      </c>
      <c r="O436" s="58" t="inlineStr">
        <is>
          <t>NÃO</t>
        </is>
      </c>
      <c r="P436" s="58" t="inlineStr">
        <is>
          <t>N/A</t>
        </is>
      </c>
      <c r="Q436" s="58" t="inlineStr">
        <is>
          <t>NEGOCIAÇÃO</t>
        </is>
      </c>
      <c r="R436" s="58" t="inlineStr">
        <is>
          <t>FOLLOW UP 7</t>
        </is>
      </c>
      <c r="S436" s="58" t="inlineStr">
        <is>
          <t>SEM INTERESSE NO MOMENTO</t>
        </is>
      </c>
      <c r="T436" s="71">
        <f>IF(R436="","",IF(OR(R436="SUPORTE",R436="PERDA / FECHOU LOJA"),"SEM",A436+VLOOKUP(R436,REGRAS!$B$2:$C$13,2,FALSE())))</f>
        <v/>
      </c>
      <c r="U436" s="58">
        <f>IF(R436="","",IF(R436="VENDA / PEDIDO","RECOMPRA",IF(R436="SUPORTE","PÓS-VENDA",IF(R436="RELACIONAMENTO","CS",IF(OR(R436="NÃO ATENDE",R436="NÃO RESPONDE",R436="RECUSOU LIGAÇÃO"),"REATIVAÇÃO",IF(R436="PERDA / FECHOU LOJA","NUTRIÇÃO",IF(OR(R436="FOLLOW UP 7",R436="FOLLOW UP 15"),"SALVAMENTO","PROSPECÇÃO")))))))</f>
        <v/>
      </c>
      <c r="V436" s="58" t="n"/>
      <c r="W436" s="58" t="inlineStr">
        <is>
          <t>NÃO</t>
        </is>
      </c>
      <c r="X436" s="58" t="n"/>
    </row>
    <row r="437">
      <c r="A437" s="71" t="n">
        <v>46058</v>
      </c>
      <c r="B437" s="58" t="inlineStr">
        <is>
          <t>DAIANE STAVICKI</t>
        </is>
      </c>
      <c r="C437" s="58" t="inlineStr">
        <is>
          <t>VIDA LEVE PR 54</t>
        </is>
      </c>
      <c r="D437" s="58" t="inlineStr">
        <is>
          <t>96.768.852/5903-70</t>
        </is>
      </c>
      <c r="E437" s="58" t="inlineStr">
        <is>
          <t>MG</t>
        </is>
      </c>
      <c r="F437" s="58" t="inlineStr">
        <is>
          <t>DEMAIS CLIENTES</t>
        </is>
      </c>
      <c r="G437" s="58" t="inlineStr">
        <is>
          <t>INAT.ANT</t>
        </is>
      </c>
      <c r="H437" s="58" t="n">
        <v>163</v>
      </c>
      <c r="I437" s="58">
        <f>IF(R437="","",VLOOKUP(R437,REGRAS!$B$2:$D$13,3,FALSE()))</f>
        <v/>
      </c>
      <c r="J437" s="58" t="n"/>
      <c r="K437" s="58">
        <f>IF(R437="","",IF(R437="VENDA / PEDIDO","RECOMPRA",IF(R437="SUPORTE","PÓS-VENDA",IF(OR(R437="FOLLOW UP 7",R437="FOLLOW UP 15"),"SALVAMENTO",IF(R437="PERDA / FECHOU LOJA","NUTRIÇÃO",IF(R437="RELACIONAMENTO","CS",IF(OR(R437="ORÇAMENTO",R437="CADASTRO"),"PROSPECÇÃO",IF(R437="EM ATENDIMENTO","EM ATENDIMENTO",IF(OR(R437="NÃO ATENDE",R437="NÃO RESPONDE",R437="RECUSOU LIGAÇÃO"),"RECUPERAÇÃO","")))))))))</f>
        <v/>
      </c>
      <c r="L437" s="58">
        <f>IF(H437="","",IF(G437="PROSPECT","🟣",IF(G437="LEAD","🟣",IF(G437="NOVO","🟢",IF(H437&lt;=50,"🟢",IF(H437&lt;=90,"🟡","🔴"))))))</f>
        <v/>
      </c>
      <c r="M437" s="58" t="n"/>
      <c r="N437" s="58" t="inlineStr">
        <is>
          <t>SIM</t>
        </is>
      </c>
      <c r="O437" s="58" t="inlineStr">
        <is>
          <t>SIM</t>
        </is>
      </c>
      <c r="P437" s="58" t="inlineStr">
        <is>
          <t>SIM</t>
        </is>
      </c>
      <c r="Q437" s="58" t="inlineStr">
        <is>
          <t>ATEND. CLIENTES INATIVOS</t>
        </is>
      </c>
      <c r="R437" s="58" t="inlineStr">
        <is>
          <t>EM ATENDIMENTO</t>
        </is>
      </c>
      <c r="S437" s="58" t="n"/>
      <c r="T437" s="71">
        <f>IF(R437="","",IF(OR(R437="SUPORTE",R437="PERDA / FECHOU LOJA"),"SEM",A437+VLOOKUP(R437,REGRAS!$B$2:$C$13,2,FALSE())))</f>
        <v/>
      </c>
      <c r="U437" s="58">
        <f>IF(R437="","",IF(R437="VENDA / PEDIDO","RECOMPRA",IF(R437="SUPORTE","PÓS-VENDA",IF(R437="RELACIONAMENTO","CS",IF(OR(R437="NÃO ATENDE",R437="NÃO RESPONDE",R437="RECUSOU LIGAÇÃO"),"REATIVAÇÃO",IF(R437="PERDA / FECHOU LOJA","NUTRIÇÃO",IF(OR(R437="FOLLOW UP 7",R437="FOLLOW UP 15"),"SALVAMENTO","PROSPECÇÃO")))))))</f>
        <v/>
      </c>
      <c r="V437" s="58" t="n"/>
      <c r="W437" s="58" t="inlineStr">
        <is>
          <t>SIM</t>
        </is>
      </c>
      <c r="X437" s="58" t="n"/>
    </row>
    <row r="438">
      <c r="A438" s="71" t="n">
        <v>46079</v>
      </c>
      <c r="B438" s="58" t="inlineStr">
        <is>
          <t>LARISSA PADILHA</t>
        </is>
      </c>
      <c r="C438" s="58" t="inlineStr">
        <is>
          <t>POWER NATURAL 39</t>
        </is>
      </c>
      <c r="D438" s="58" t="inlineStr">
        <is>
          <t>40.314.670/0771-12</t>
        </is>
      </c>
      <c r="E438" s="58" t="inlineStr">
        <is>
          <t>SC</t>
        </is>
      </c>
      <c r="F438" s="58" t="inlineStr">
        <is>
          <t>CIA DA SAUDE</t>
        </is>
      </c>
      <c r="G438" s="58" t="inlineStr">
        <is>
          <t>INAT.ANT</t>
        </is>
      </c>
      <c r="H438" s="58" t="n">
        <v>135</v>
      </c>
      <c r="I438" s="58">
        <f>IF(R438="","",VLOOKUP(R438,REGRAS!$B$2:$D$13,3,FALSE()))</f>
        <v/>
      </c>
      <c r="J438" s="58" t="n"/>
      <c r="K438" s="58">
        <f>IF(R438="","",IF(R438="VENDA / PEDIDO","RECOMPRA",IF(R438="SUPORTE","PÓS-VENDA",IF(OR(R438="FOLLOW UP 7",R438="FOLLOW UP 15"),"SALVAMENTO",IF(R438="PERDA / FECHOU LOJA","NUTRIÇÃO",IF(R438="RELACIONAMENTO","CS",IF(OR(R438="ORÇAMENTO",R438="CADASTRO"),"PROSPECÇÃO",IF(R438="EM ATENDIMENTO","EM ATENDIMENTO",IF(OR(R438="NÃO ATENDE",R438="NÃO RESPONDE",R438="RECUSOU LIGAÇÃO"),"RECUPERAÇÃO","")))))))))</f>
        <v/>
      </c>
      <c r="L438" s="58">
        <f>IF(H438="","",IF(G438="PROSPECT","🟣",IF(G438="LEAD","🟣",IF(G438="NOVO","🟢",IF(H438&lt;=50,"🟢",IF(H438&lt;=90,"🟡","🔴"))))))</f>
        <v/>
      </c>
      <c r="M438" s="58" t="n"/>
      <c r="N438" s="58" t="inlineStr">
        <is>
          <t>SIM</t>
        </is>
      </c>
      <c r="O438" s="58" t="inlineStr">
        <is>
          <t>SIM</t>
        </is>
      </c>
      <c r="P438" s="58" t="inlineStr">
        <is>
          <t>SIM</t>
        </is>
      </c>
      <c r="Q438" s="58" t="inlineStr">
        <is>
          <t>PÓS-VENDA / RELACIONAMENTO</t>
        </is>
      </c>
      <c r="R438" s="58" t="inlineStr">
        <is>
          <t>NÃO ATENDE</t>
        </is>
      </c>
      <c r="S438" s="58" t="inlineStr">
        <is>
          <t>PROBLEMA LOGÍSTICO / ENTREGA</t>
        </is>
      </c>
      <c r="T438" s="71">
        <f>IF(R438="","",IF(OR(R438="SUPORTE",R438="PERDA / FECHOU LOJA"),"SEM",A438+VLOOKUP(R438,REGRAS!$B$2:$C$13,2,FALSE())))</f>
        <v/>
      </c>
      <c r="U438" s="58">
        <f>IF(R438="","",IF(R438="VENDA / PEDIDO","RECOMPRA",IF(R438="SUPORTE","PÓS-VENDA",IF(R438="RELACIONAMENTO","CS",IF(OR(R438="NÃO ATENDE",R438="NÃO RESPONDE",R438="RECUSOU LIGAÇÃO"),"REATIVAÇÃO",IF(R438="PERDA / FECHOU LOJA","NUTRIÇÃO",IF(OR(R438="FOLLOW UP 7",R438="FOLLOW UP 15"),"SALVAMENTO","PROSPECÇÃO")))))))</f>
        <v/>
      </c>
      <c r="V438" s="58" t="n"/>
      <c r="W438" s="58" t="inlineStr">
        <is>
          <t>SIM</t>
        </is>
      </c>
      <c r="X438" s="58" t="n"/>
    </row>
    <row r="439">
      <c r="A439" s="71" t="n">
        <v>46061</v>
      </c>
      <c r="B439" s="58" t="inlineStr">
        <is>
          <t>LARISSA PADILHA</t>
        </is>
      </c>
      <c r="C439" s="58" t="inlineStr">
        <is>
          <t>SAUDE TOTAL 46</t>
        </is>
      </c>
      <c r="D439" s="58" t="inlineStr">
        <is>
          <t>15.888.998/9127-44</t>
        </is>
      </c>
      <c r="E439" s="58" t="inlineStr">
        <is>
          <t>BA</t>
        </is>
      </c>
      <c r="F439" s="58" t="inlineStr">
        <is>
          <t>DEMAIS CLIENTES</t>
        </is>
      </c>
      <c r="G439" s="58" t="inlineStr">
        <is>
          <t>NOVO</t>
        </is>
      </c>
      <c r="H439" s="58" t="n"/>
      <c r="I439" s="58">
        <f>IF(R439="","",VLOOKUP(R439,REGRAS!$B$2:$D$13,3,FALSE()))</f>
        <v/>
      </c>
      <c r="J439" s="58" t="n"/>
      <c r="K439" s="58">
        <f>IF(R439="","",IF(R439="VENDA / PEDIDO","RECOMPRA",IF(R439="SUPORTE","PÓS-VENDA",IF(OR(R439="FOLLOW UP 7",R439="FOLLOW UP 15"),"SALVAMENTO",IF(R439="PERDA / FECHOU LOJA","NUTRIÇÃO",IF(R439="RELACIONAMENTO","CS",IF(OR(R439="ORÇAMENTO",R439="CADASTRO"),"PROSPECÇÃO",IF(R439="EM ATENDIMENTO","EM ATENDIMENTO",IF(OR(R439="NÃO ATENDE",R439="NÃO RESPONDE",R439="RECUSOU LIGAÇÃO"),"RECUPERAÇÃO","")))))))))</f>
        <v/>
      </c>
      <c r="L439" s="58">
        <f>IF(H439="","",IF(G439="PROSPECT","🟣",IF(G439="LEAD","🟣",IF(G439="NOVO","🟢",IF(H439&lt;=50,"🟢",IF(H439&lt;=90,"🟡","🔴"))))))</f>
        <v/>
      </c>
      <c r="M439" s="58" t="n"/>
      <c r="N439" s="58" t="inlineStr">
        <is>
          <t>SIM</t>
        </is>
      </c>
      <c r="O439" s="58" t="inlineStr">
        <is>
          <t>NÃO</t>
        </is>
      </c>
      <c r="P439" s="58" t="inlineStr">
        <is>
          <t>N/A</t>
        </is>
      </c>
      <c r="Q439" s="58" t="inlineStr">
        <is>
          <t>ATEND. CLIENTES ATIVOS</t>
        </is>
      </c>
      <c r="R439" s="58" t="inlineStr">
        <is>
          <t>VENDA / PEDIDO</t>
        </is>
      </c>
      <c r="S439" s="58" t="n"/>
      <c r="T439" s="71">
        <f>IF(R439="","",IF(OR(R439="SUPORTE",R439="PERDA / FECHOU LOJA"),"SEM",A439+VLOOKUP(R439,REGRAS!$B$2:$C$13,2,FALSE())))</f>
        <v/>
      </c>
      <c r="U439" s="58">
        <f>IF(R439="","",IF(R439="VENDA / PEDIDO","RECOMPRA",IF(R439="SUPORTE","PÓS-VENDA",IF(R439="RELACIONAMENTO","CS",IF(OR(R439="NÃO ATENDE",R439="NÃO RESPONDE",R439="RECUSOU LIGAÇÃO"),"REATIVAÇÃO",IF(R439="PERDA / FECHOU LOJA","NUTRIÇÃO",IF(OR(R439="FOLLOW UP 7",R439="FOLLOW UP 15"),"SALVAMENTO","PROSPECÇÃO")))))))</f>
        <v/>
      </c>
      <c r="V439" s="58" t="n"/>
      <c r="W439" s="58" t="inlineStr">
        <is>
          <t>NÃO</t>
        </is>
      </c>
      <c r="X439" s="58" t="n"/>
    </row>
    <row r="440">
      <c r="A440" s="71" t="n">
        <v>46080</v>
      </c>
      <c r="B440" s="58" t="inlineStr">
        <is>
          <t>DAIANE STAVICKI</t>
        </is>
      </c>
      <c r="C440" s="58" t="inlineStr">
        <is>
          <t>NATURAL POINT 79</t>
        </is>
      </c>
      <c r="D440" s="58" t="inlineStr">
        <is>
          <t>88.900.978/1670-81</t>
        </is>
      </c>
      <c r="E440" s="58" t="inlineStr">
        <is>
          <t>PR</t>
        </is>
      </c>
      <c r="F440" s="58" t="inlineStr">
        <is>
          <t>MUNDO VERDE</t>
        </is>
      </c>
      <c r="G440" s="58" t="inlineStr">
        <is>
          <t>INAT.ANT</t>
        </is>
      </c>
      <c r="H440" s="58" t="n">
        <v>143</v>
      </c>
      <c r="I440" s="58">
        <f>IF(R440="","",VLOOKUP(R440,REGRAS!$B$2:$D$13,3,FALSE()))</f>
        <v/>
      </c>
      <c r="J440" s="58" t="n"/>
      <c r="K440" s="58">
        <f>IF(R440="","",IF(R440="VENDA / PEDIDO","RECOMPRA",IF(R440="SUPORTE","PÓS-VENDA",IF(OR(R440="FOLLOW UP 7",R440="FOLLOW UP 15"),"SALVAMENTO",IF(R440="PERDA / FECHOU LOJA","NUTRIÇÃO",IF(R440="RELACIONAMENTO","CS",IF(OR(R440="ORÇAMENTO",R440="CADASTRO"),"PROSPECÇÃO",IF(R440="EM ATENDIMENTO","EM ATENDIMENTO",IF(OR(R440="NÃO ATENDE",R440="NÃO RESPONDE",R440="RECUSOU LIGAÇÃO"),"RECUPERAÇÃO","")))))))))</f>
        <v/>
      </c>
      <c r="L440" s="58">
        <f>IF(H440="","",IF(G440="PROSPECT","🟣",IF(G440="LEAD","🟣",IF(G440="NOVO","🟢",IF(H440&lt;=50,"🟢",IF(H440&lt;=90,"🟡","🔴"))))))</f>
        <v/>
      </c>
      <c r="M440" s="58" t="n"/>
      <c r="N440" s="58" t="inlineStr">
        <is>
          <t>SIM</t>
        </is>
      </c>
      <c r="O440" s="58" t="inlineStr">
        <is>
          <t>SIM</t>
        </is>
      </c>
      <c r="P440" s="58" t="inlineStr">
        <is>
          <t>SIM</t>
        </is>
      </c>
      <c r="Q440" s="58" t="inlineStr">
        <is>
          <t>PÓS-VENDA / RELACIONAMENTO</t>
        </is>
      </c>
      <c r="R440" s="58" t="inlineStr">
        <is>
          <t>RELACIONAMENTO</t>
        </is>
      </c>
      <c r="S440" s="58" t="n"/>
      <c r="T440" s="71">
        <f>IF(R440="","",IF(OR(R440="SUPORTE",R440="PERDA / FECHOU LOJA"),"SEM",A440+VLOOKUP(R440,REGRAS!$B$2:$C$13,2,FALSE())))</f>
        <v/>
      </c>
      <c r="U440" s="58">
        <f>IF(R440="","",IF(R440="VENDA / PEDIDO","RECOMPRA",IF(R440="SUPORTE","PÓS-VENDA",IF(R440="RELACIONAMENTO","CS",IF(OR(R440="NÃO ATENDE",R440="NÃO RESPONDE",R440="RECUSOU LIGAÇÃO"),"REATIVAÇÃO",IF(R440="PERDA / FECHOU LOJA","NUTRIÇÃO",IF(OR(R440="FOLLOW UP 7",R440="FOLLOW UP 15"),"SALVAMENTO","PROSPECÇÃO")))))))</f>
        <v/>
      </c>
      <c r="V440" s="58" t="n"/>
      <c r="W440" s="58" t="inlineStr">
        <is>
          <t>NÃO</t>
        </is>
      </c>
      <c r="X440" s="58" t="n"/>
    </row>
    <row r="441">
      <c r="A441" s="71" t="n">
        <v>46057</v>
      </c>
      <c r="B441" s="58" t="inlineStr">
        <is>
          <t>MANU DITZEL</t>
        </is>
      </c>
      <c r="C441" s="58" t="inlineStr">
        <is>
          <t>GRANEL &amp; CIA 43</t>
        </is>
      </c>
      <c r="D441" s="58" t="inlineStr">
        <is>
          <t>27.225.968/3308-66</t>
        </is>
      </c>
      <c r="E441" s="58" t="inlineStr">
        <is>
          <t>DF</t>
        </is>
      </c>
      <c r="F441" s="58" t="inlineStr">
        <is>
          <t>DEMAIS CLIENTES</t>
        </is>
      </c>
      <c r="G441" s="58" t="inlineStr">
        <is>
          <t>ATIVO</t>
        </is>
      </c>
      <c r="H441" s="58" t="n">
        <v>35</v>
      </c>
      <c r="I441" s="58">
        <f>IF(R441="","",VLOOKUP(R441,REGRAS!$B$2:$D$13,3,FALSE()))</f>
        <v/>
      </c>
      <c r="J441" s="58" t="n"/>
      <c r="K441" s="58">
        <f>IF(R441="","",IF(R441="VENDA / PEDIDO","RECOMPRA",IF(R441="SUPORTE","PÓS-VENDA",IF(OR(R441="FOLLOW UP 7",R441="FOLLOW UP 15"),"SALVAMENTO",IF(R441="PERDA / FECHOU LOJA","NUTRIÇÃO",IF(R441="RELACIONAMENTO","CS",IF(OR(R441="ORÇAMENTO",R441="CADASTRO"),"PROSPECÇÃO",IF(R441="EM ATENDIMENTO","EM ATENDIMENTO",IF(OR(R441="NÃO ATENDE",R441="NÃO RESPONDE",R441="RECUSOU LIGAÇÃO"),"RECUPERAÇÃO","")))))))))</f>
        <v/>
      </c>
      <c r="L441" s="58">
        <f>IF(H441="","",IF(G441="PROSPECT","🟣",IF(G441="LEAD","🟣",IF(G441="NOVO","🟢",IF(H441&lt;=50,"🟢",IF(H441&lt;=90,"🟡","🔴"))))))</f>
        <v/>
      </c>
      <c r="M441" s="58" t="n"/>
      <c r="N441" s="58" t="inlineStr">
        <is>
          <t>SIM</t>
        </is>
      </c>
      <c r="O441" s="58" t="inlineStr">
        <is>
          <t>SIM</t>
        </is>
      </c>
      <c r="P441" s="58" t="inlineStr">
        <is>
          <t>NÃO</t>
        </is>
      </c>
      <c r="Q441" s="58" t="inlineStr">
        <is>
          <t>FOLLOW UP</t>
        </is>
      </c>
      <c r="R441" s="58" t="inlineStr">
        <is>
          <t>FOLLOW UP 7</t>
        </is>
      </c>
      <c r="S441" s="58" t="inlineStr">
        <is>
          <t>PRODUTO NÃO VENDEU / SEM GIRO</t>
        </is>
      </c>
      <c r="T441" s="71">
        <f>IF(R441="","",IF(OR(R441="SUPORTE",R441="PERDA / FECHOU LOJA"),"SEM",A441+VLOOKUP(R441,REGRAS!$B$2:$C$13,2,FALSE())))</f>
        <v/>
      </c>
      <c r="U441" s="58">
        <f>IF(R441="","",IF(R441="VENDA / PEDIDO","RECOMPRA",IF(R441="SUPORTE","PÓS-VENDA",IF(R441="RELACIONAMENTO","CS",IF(OR(R441="NÃO ATENDE",R441="NÃO RESPONDE",R441="RECUSOU LIGAÇÃO"),"REATIVAÇÃO",IF(R441="PERDA / FECHOU LOJA","NUTRIÇÃO",IF(OR(R441="FOLLOW UP 7",R441="FOLLOW UP 15"),"SALVAMENTO","PROSPECÇÃO")))))))</f>
        <v/>
      </c>
      <c r="V441" s="58" t="n"/>
      <c r="W441" s="58" t="inlineStr">
        <is>
          <t>NÃO</t>
        </is>
      </c>
      <c r="X441" s="58" t="n"/>
    </row>
    <row r="442">
      <c r="A442" s="71" t="n">
        <v>46058</v>
      </c>
      <c r="B442" s="58" t="inlineStr">
        <is>
          <t>DAIANE STAVICKI</t>
        </is>
      </c>
      <c r="C442" s="58" t="inlineStr">
        <is>
          <t>LOJA NATURAL 54</t>
        </is>
      </c>
      <c r="D442" s="58" t="inlineStr">
        <is>
          <t>39.241.921/7026-62</t>
        </is>
      </c>
      <c r="E442" s="58" t="inlineStr">
        <is>
          <t>GO</t>
        </is>
      </c>
      <c r="F442" s="58" t="inlineStr">
        <is>
          <t>DEMAIS CLIENTES</t>
        </is>
      </c>
      <c r="G442" s="58" t="inlineStr">
        <is>
          <t>PROSPECT</t>
        </is>
      </c>
      <c r="H442" s="58" t="n"/>
      <c r="I442" s="58">
        <f>IF(R442="","",VLOOKUP(R442,REGRAS!$B$2:$D$13,3,FALSE()))</f>
        <v/>
      </c>
      <c r="J442" s="58" t="n"/>
      <c r="K442" s="58">
        <f>IF(R442="","",IF(R442="VENDA / PEDIDO","RECOMPRA",IF(R442="SUPORTE","PÓS-VENDA",IF(OR(R442="FOLLOW UP 7",R442="FOLLOW UP 15"),"SALVAMENTO",IF(R442="PERDA / FECHOU LOJA","NUTRIÇÃO",IF(R442="RELACIONAMENTO","CS",IF(OR(R442="ORÇAMENTO",R442="CADASTRO"),"PROSPECÇÃO",IF(R442="EM ATENDIMENTO","EM ATENDIMENTO",IF(OR(R442="NÃO ATENDE",R442="NÃO RESPONDE",R442="RECUSOU LIGAÇÃO"),"RECUPERAÇÃO","")))))))))</f>
        <v/>
      </c>
      <c r="L442" s="58">
        <f>IF(H442="","",IF(G442="PROSPECT","🟣",IF(G442="LEAD","🟣",IF(G442="NOVO","🟢",IF(H442&lt;=50,"🟢",IF(H442&lt;=90,"🟡","🔴"))))))</f>
        <v/>
      </c>
      <c r="M442" s="58" t="n"/>
      <c r="N442" s="58" t="inlineStr">
        <is>
          <t>NÃO</t>
        </is>
      </c>
      <c r="O442" s="58" t="inlineStr">
        <is>
          <t>SIM</t>
        </is>
      </c>
      <c r="P442" s="58" t="inlineStr">
        <is>
          <t>NÃO</t>
        </is>
      </c>
      <c r="Q442" s="58" t="inlineStr">
        <is>
          <t>ATEND. CLIENTES ATIVOS</t>
        </is>
      </c>
      <c r="R442" s="58" t="inlineStr">
        <is>
          <t>FOLLOW UP 15</t>
        </is>
      </c>
      <c r="S442" s="58" t="inlineStr">
        <is>
          <t>PROBLEMA FINANCEIRO / CRÉDITO</t>
        </is>
      </c>
      <c r="T442" s="71">
        <f>IF(R442="","",IF(OR(R442="SUPORTE",R442="PERDA / FECHOU LOJA"),"SEM",A442+VLOOKUP(R442,REGRAS!$B$2:$C$13,2,FALSE())))</f>
        <v/>
      </c>
      <c r="U442" s="58">
        <f>IF(R442="","",IF(R442="VENDA / PEDIDO","RECOMPRA",IF(R442="SUPORTE","PÓS-VENDA",IF(R442="RELACIONAMENTO","CS",IF(OR(R442="NÃO ATENDE",R442="NÃO RESPONDE",R442="RECUSOU LIGAÇÃO"),"REATIVAÇÃO",IF(R442="PERDA / FECHOU LOJA","NUTRIÇÃO",IF(OR(R442="FOLLOW UP 7",R442="FOLLOW UP 15"),"SALVAMENTO","PROSPECÇÃO")))))))</f>
        <v/>
      </c>
      <c r="V442" s="58" t="n"/>
      <c r="W442" s="58" t="inlineStr">
        <is>
          <t>SIM</t>
        </is>
      </c>
      <c r="X442" s="58" t="n"/>
    </row>
    <row r="443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</row>
    <row r="444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</row>
    <row r="445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</row>
    <row r="446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</row>
    <row r="447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</row>
    <row r="448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</row>
    <row r="44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</row>
    <row r="450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</row>
    <row r="451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</row>
    <row r="452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</row>
    <row r="453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</row>
    <row r="454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</row>
    <row r="455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</row>
    <row r="456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</row>
    <row r="457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</row>
    <row r="458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</row>
    <row r="4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</row>
    <row r="460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</row>
    <row r="461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</row>
    <row r="462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</row>
    <row r="463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</row>
    <row r="464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</row>
    <row r="465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</row>
    <row r="466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</row>
    <row r="467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</row>
    <row r="468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</row>
    <row r="46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</row>
    <row r="470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</row>
    <row r="471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</row>
    <row r="472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</row>
    <row r="473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</row>
    <row r="474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</row>
    <row r="475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</row>
    <row r="476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</row>
    <row r="477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</row>
    <row r="478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</row>
    <row r="47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</row>
    <row r="480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</row>
    <row r="481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</row>
    <row r="482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</row>
    <row r="483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</row>
    <row r="484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</row>
    <row r="485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</row>
    <row r="486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</row>
    <row r="487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</row>
    <row r="488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</row>
    <row r="48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</row>
    <row r="490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</row>
    <row r="491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</row>
    <row r="492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</row>
    <row r="493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</row>
    <row r="494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</row>
    <row r="495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</row>
    <row r="496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</row>
    <row r="497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</row>
    <row r="498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</row>
    <row r="49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</row>
    <row r="500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</row>
    <row r="501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</row>
    <row r="502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</row>
  </sheetData>
  <mergeCells count="1">
    <mergeCell ref="A1:X1"/>
  </mergeCells>
  <dataValidations count="7">
    <dataValidation sqref="R3:R5000" showDropDown="0" showInputMessage="1" showErrorMessage="1" allowBlank="1" type="list">
      <formula1>"REGRAS!$B$2:$B$13"</formula1>
    </dataValidation>
    <dataValidation sqref="Q3:Q5000" showDropDown="0" showInputMessage="1" showErrorMessage="1" allowBlank="1" type="list">
      <formula1>"REGRAS!$B$18:$B$24"</formula1>
    </dataValidation>
    <dataValidation sqref="S3:S5000" showDropDown="0" showInputMessage="1" showErrorMessage="1" allowBlank="1" type="list">
      <formula1>"REGRAS!$B$28:$B$37"</formula1>
    </dataValidation>
    <dataValidation sqref="G3:G5000" showDropDown="0" showInputMessage="1" showErrorMessage="1" allowBlank="1" type="list">
      <formula1>"REGRAS!$B$41:$B$47"</formula1>
    </dataValidation>
    <dataValidation sqref="B3:B5000" showDropDown="0" showInputMessage="1" showErrorMessage="1" allowBlank="1" type="list">
      <formula1>"REGRAS!$A$88:$A$91"</formula1>
    </dataValidation>
    <dataValidation sqref="N3:N5000 O3:O5000 W3:W5000" showDropDown="0" showInputMessage="1" showErrorMessage="1" allowBlank="1" type="list">
      <formula1>"REGRAS!$B$95:$B$96"</formula1>
    </dataValidation>
    <dataValidation sqref="P3:P5000" showDropDown="0" showInputMessage="1" showErrorMessage="1" allowBlank="1" type="list">
      <formula1>"REGRAS!$B$97:$B$99"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A1:X5000"/>
  <sheetViews>
    <sheetView workbookViewId="0">
      <pane ySplit="4" topLeftCell="A5" activePane="bottomLeft" state="frozen"/>
      <selection pane="bottomLeft" activeCell="A1" sqref="A1:X1"/>
    </sheetView>
  </sheetViews>
  <sheetFormatPr baseColWidth="8" defaultRowHeight="14.4"/>
  <cols>
    <col width="25" customWidth="1" style="108" min="1" max="1"/>
    <col width="18" customWidth="1" style="108" min="2" max="2"/>
    <col width="5" customWidth="1" style="108" min="3" max="3"/>
    <col width="18" customWidth="1" style="108" min="4" max="4"/>
    <col width="12" customWidth="1" style="108" min="5" max="5"/>
    <col width="14" customWidth="1" style="108" min="6" max="6"/>
    <col width="15" customWidth="1" style="108" min="7" max="7"/>
    <col width="14" customWidth="1" style="108" min="8" max="8"/>
    <col width="15" customWidth="1" style="108" min="9" max="9"/>
    <col width="14" customWidth="1" style="108" min="10" max="10"/>
    <col width="12" customWidth="1" style="108" min="11" max="11"/>
    <col width="20" customWidth="1" style="108" min="12" max="12"/>
    <col width="10" customWidth="1" style="108" min="13" max="15"/>
    <col width="14" customWidth="1" style="108" min="16" max="16"/>
    <col width="22" customWidth="1" style="108" min="17" max="18"/>
    <col width="30" customWidth="1" style="108" min="19" max="19"/>
    <col width="12" customWidth="1" style="108" min="20" max="20"/>
    <col width="25" customWidth="1" style="108" min="21" max="21"/>
    <col width="30" customWidth="1" style="108" min="22" max="22"/>
    <col width="14" customWidth="1" style="108" min="23" max="23"/>
    <col width="30" customWidth="1" style="108" min="24" max="24"/>
  </cols>
  <sheetData>
    <row r="1" ht="30" customHeight="1" s="108">
      <c r="A1" s="346" t="inlineStr">
        <is>
          <t>📋 AGENDA DIÁRIA — [CONSULTOR]</t>
        </is>
      </c>
    </row>
    <row r="2" ht="19.95" customHeight="1" s="108">
      <c r="A2" s="347" t="inlineStr">
        <is>
          <t>Cart:__ | Prosp:__ | Follow-ups:__ | Novos:__ | Data: ___/___/2026</t>
        </is>
      </c>
    </row>
    <row r="3" ht="22.05" customHeight="1" s="108">
      <c r="A3" s="348" t="inlineStr">
        <is>
          <t>🔵 CONTEXTO DO CLIENTE (automático — não editar)</t>
        </is>
      </c>
      <c r="N3" s="349" t="inlineStr">
        <is>
          <t>✅ RESULTADO DO ATENDIMENTO (preencher)</t>
        </is>
      </c>
    </row>
    <row r="4" ht="28.05" customHeight="1" s="108">
      <c r="A4" s="60" t="inlineStr">
        <is>
          <t>NOME FANTASIA</t>
        </is>
      </c>
      <c r="B4" s="60" t="inlineStr">
        <is>
          <t>CNPJ</t>
        </is>
      </c>
      <c r="C4" s="60" t="inlineStr">
        <is>
          <t>UF</t>
        </is>
      </c>
      <c r="D4" s="60" t="inlineStr">
        <is>
          <t>REDE / REGIONAL</t>
        </is>
      </c>
      <c r="E4" s="60" t="inlineStr">
        <is>
          <t>SITUAÇÃO</t>
        </is>
      </c>
      <c r="F4" s="60" t="inlineStr">
        <is>
          <t>DIAS SEM COMPRA</t>
        </is>
      </c>
      <c r="G4" s="60" t="inlineStr">
        <is>
          <t>ESTÁGIO FUNIL</t>
        </is>
      </c>
      <c r="H4" s="60" t="inlineStr">
        <is>
          <t>TIPO CLIENTE</t>
        </is>
      </c>
      <c r="I4" s="60" t="inlineStr">
        <is>
          <t>FASE</t>
        </is>
      </c>
      <c r="J4" s="60" t="inlineStr">
        <is>
          <t>🔥 TEMPERATURA</t>
        </is>
      </c>
      <c r="K4" s="60" t="inlineStr">
        <is>
          <t>🚦 SINALEIRO</t>
        </is>
      </c>
      <c r="L4" s="60" t="inlineStr">
        <is>
          <t>PRÓX. AÇÃO</t>
        </is>
      </c>
      <c r="M4" s="60" t="inlineStr">
        <is>
          <t>TENTATIVA</t>
        </is>
      </c>
      <c r="N4" s="61" t="inlineStr">
        <is>
          <t>WHATSAPP</t>
        </is>
      </c>
      <c r="O4" s="61" t="inlineStr">
        <is>
          <t>LIGAÇÃO</t>
        </is>
      </c>
      <c r="P4" s="61" t="inlineStr">
        <is>
          <t>LIGAÇÃO ATENDIDA</t>
        </is>
      </c>
      <c r="Q4" s="61" t="inlineStr">
        <is>
          <t>TIPO DO CONTATO</t>
        </is>
      </c>
      <c r="R4" s="61" t="inlineStr">
        <is>
          <t>RESULTADO</t>
        </is>
      </c>
      <c r="S4" s="61" t="inlineStr">
        <is>
          <t>MOTIVO</t>
        </is>
      </c>
      <c r="T4" s="61" t="inlineStr">
        <is>
          <t>FOLLOW-UP</t>
        </is>
      </c>
      <c r="U4" s="61" t="inlineStr">
        <is>
          <t>AÇÃO FUTURA</t>
        </is>
      </c>
      <c r="V4" s="61" t="inlineStr">
        <is>
          <t>AÇÃO DETALHADA</t>
        </is>
      </c>
      <c r="W4" s="61" t="inlineStr">
        <is>
          <t>MERCOS ATUALIZADO</t>
        </is>
      </c>
      <c r="X4" s="61" t="inlineStr">
        <is>
          <t>NOTA DO DIA</t>
        </is>
      </c>
    </row>
    <row r="5">
      <c r="A5" s="62" t="inlineStr">
        <is>
          <t>[cliente carregado da CARTEIRA]</t>
        </is>
      </c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4" t="n"/>
      <c r="O5" s="64" t="n"/>
      <c r="P5" s="64" t="n"/>
      <c r="Q5" s="64" t="n"/>
      <c r="R5" s="64" t="n"/>
      <c r="S5" s="64" t="n"/>
      <c r="T5" s="70">
        <f>IF(R5="","",IFERROR(TODAY()+VLOOKUP(R5,REGRAS!$B$2:$C$13,2,0),""))</f>
        <v/>
      </c>
      <c r="U5" s="64" t="n"/>
      <c r="V5" s="64" t="n"/>
      <c r="W5" s="64" t="n"/>
      <c r="X5" s="64" t="n"/>
    </row>
    <row r="6">
      <c r="A6" s="63" t="n"/>
      <c r="B6" s="63" t="n"/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4" t="n"/>
      <c r="O6" s="64" t="n"/>
      <c r="P6" s="64" t="n"/>
      <c r="Q6" s="64" t="n"/>
      <c r="R6" s="64" t="n"/>
      <c r="S6" s="64" t="n"/>
      <c r="T6" s="70">
        <f>IF(R6="","",IFERROR(TODAY()+VLOOKUP(R6,REGRAS!$B$2:$C$13,2,0),""))</f>
        <v/>
      </c>
      <c r="U6" s="64" t="n"/>
      <c r="V6" s="64" t="n"/>
      <c r="W6" s="64" t="n"/>
      <c r="X6" s="64" t="n"/>
    </row>
    <row r="7">
      <c r="A7" s="63" t="n"/>
      <c r="B7" s="63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4" t="n"/>
      <c r="O7" s="64" t="n"/>
      <c r="P7" s="64" t="n"/>
      <c r="Q7" s="64" t="n"/>
      <c r="R7" s="64" t="n"/>
      <c r="S7" s="64" t="n"/>
      <c r="T7" s="70">
        <f>IF(R7="","",IFERROR(TODAY()+VLOOKUP(R7,REGRAS!$B$2:$C$13,2,0),""))</f>
        <v/>
      </c>
      <c r="U7" s="64" t="n"/>
      <c r="V7" s="64" t="n"/>
      <c r="W7" s="64" t="n"/>
      <c r="X7" s="64" t="n"/>
    </row>
    <row r="8">
      <c r="A8" s="63" t="n"/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4" t="n"/>
      <c r="O8" s="64" t="n"/>
      <c r="P8" s="64" t="n"/>
      <c r="Q8" s="64" t="n"/>
      <c r="R8" s="64" t="n"/>
      <c r="S8" s="64" t="n"/>
      <c r="T8" s="70">
        <f>IF(R8="","",IFERROR(TODAY()+VLOOKUP(R8,REGRAS!$B$2:$C$13,2,0),""))</f>
        <v/>
      </c>
      <c r="U8" s="64" t="n"/>
      <c r="V8" s="64" t="n"/>
      <c r="W8" s="64" t="n"/>
      <c r="X8" s="64" t="n"/>
    </row>
    <row r="9">
      <c r="A9" s="63" t="n"/>
      <c r="B9" s="63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3" t="n"/>
      <c r="M9" s="63" t="n"/>
      <c r="N9" s="64" t="n"/>
      <c r="O9" s="64" t="n"/>
      <c r="P9" s="64" t="n"/>
      <c r="Q9" s="64" t="n"/>
      <c r="R9" s="64" t="n"/>
      <c r="S9" s="64" t="n"/>
      <c r="T9" s="70">
        <f>IF(R9="","",IFERROR(TODAY()+VLOOKUP(R9,REGRAS!$B$2:$C$13,2,0),""))</f>
        <v/>
      </c>
      <c r="U9" s="64" t="n"/>
      <c r="V9" s="64" t="n"/>
      <c r="W9" s="64" t="n"/>
      <c r="X9" s="64" t="n"/>
    </row>
    <row r="10">
      <c r="A10" s="63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4" t="n"/>
      <c r="O10" s="64" t="n"/>
      <c r="P10" s="64" t="n"/>
      <c r="Q10" s="64" t="n"/>
      <c r="R10" s="64" t="n"/>
      <c r="S10" s="64" t="n"/>
      <c r="T10" s="70">
        <f>IF(R10="","",IFERROR(TODAY()+VLOOKUP(R10,REGRAS!$B$2:$C$13,2,0),""))</f>
        <v/>
      </c>
      <c r="U10" s="64" t="n"/>
      <c r="V10" s="64" t="n"/>
      <c r="W10" s="64" t="n"/>
      <c r="X10" s="64" t="n"/>
    </row>
    <row r="11">
      <c r="A11" s="63" t="n"/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4" t="n"/>
      <c r="O11" s="64" t="n"/>
      <c r="P11" s="64" t="n"/>
      <c r="Q11" s="64" t="n"/>
      <c r="R11" s="64" t="n"/>
      <c r="S11" s="64" t="n"/>
      <c r="T11" s="70">
        <f>IF(R11="","",IFERROR(TODAY()+VLOOKUP(R11,REGRAS!$B$2:$C$13,2,0),""))</f>
        <v/>
      </c>
      <c r="U11" s="64" t="n"/>
      <c r="V11" s="64" t="n"/>
      <c r="W11" s="64" t="n"/>
      <c r="X11" s="64" t="n"/>
    </row>
    <row r="12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4" t="n"/>
      <c r="O12" s="64" t="n"/>
      <c r="P12" s="64" t="n"/>
      <c r="Q12" s="64" t="n"/>
      <c r="R12" s="64" t="n"/>
      <c r="S12" s="64" t="n"/>
      <c r="T12" s="70">
        <f>IF(R12="","",IFERROR(TODAY()+VLOOKUP(R12,REGRAS!$B$2:$C$13,2,0),""))</f>
        <v/>
      </c>
      <c r="U12" s="64" t="n"/>
      <c r="V12" s="64" t="n"/>
      <c r="W12" s="64" t="n"/>
      <c r="X12" s="64" t="n"/>
    </row>
    <row r="13">
      <c r="A13" s="63" t="n"/>
      <c r="B13" s="63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4" t="n"/>
      <c r="O13" s="64" t="n"/>
      <c r="P13" s="64" t="n"/>
      <c r="Q13" s="64" t="n"/>
      <c r="R13" s="64" t="n"/>
      <c r="S13" s="64" t="n"/>
      <c r="T13" s="70">
        <f>IF(R13="","",IFERROR(TODAY()+VLOOKUP(R13,REGRAS!$B$2:$C$13,2,0),""))</f>
        <v/>
      </c>
      <c r="U13" s="64" t="n"/>
      <c r="V13" s="64" t="n"/>
      <c r="W13" s="64" t="n"/>
      <c r="X13" s="64" t="n"/>
    </row>
    <row r="14">
      <c r="A14" s="63" t="n"/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4" t="n"/>
      <c r="O14" s="64" t="n"/>
      <c r="P14" s="64" t="n"/>
      <c r="Q14" s="64" t="n"/>
      <c r="R14" s="64" t="n"/>
      <c r="S14" s="64" t="n"/>
      <c r="T14" s="70">
        <f>IF(R14="","",IFERROR(TODAY()+VLOOKUP(R14,REGRAS!$B$2:$C$13,2,0),""))</f>
        <v/>
      </c>
      <c r="U14" s="64" t="n"/>
      <c r="V14" s="64" t="n"/>
      <c r="W14" s="64" t="n"/>
      <c r="X14" s="64" t="n"/>
    </row>
    <row r="15">
      <c r="A15" s="63" t="n"/>
      <c r="B15" s="63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3" t="n"/>
      <c r="N15" s="64" t="n"/>
      <c r="O15" s="64" t="n"/>
      <c r="P15" s="64" t="n"/>
      <c r="Q15" s="64" t="n"/>
      <c r="R15" s="64" t="n"/>
      <c r="S15" s="64" t="n"/>
      <c r="T15" s="70">
        <f>IF(R15="","",IFERROR(TODAY()+VLOOKUP(R15,REGRAS!$B$2:$C$13,2,0),""))</f>
        <v/>
      </c>
      <c r="U15" s="64" t="n"/>
      <c r="V15" s="64" t="n"/>
      <c r="W15" s="64" t="n"/>
      <c r="X15" s="64" t="n"/>
    </row>
    <row r="16">
      <c r="A16" s="63" t="n"/>
      <c r="B16" s="63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63" t="n"/>
      <c r="L16" s="63" t="n"/>
      <c r="M16" s="63" t="n"/>
      <c r="N16" s="64" t="n"/>
      <c r="O16" s="64" t="n"/>
      <c r="P16" s="64" t="n"/>
      <c r="Q16" s="64" t="n"/>
      <c r="R16" s="64" t="n"/>
      <c r="S16" s="64" t="n"/>
      <c r="T16" s="70">
        <f>IF(R16="","",IFERROR(TODAY()+VLOOKUP(R16,REGRAS!$B$2:$C$13,2,0),""))</f>
        <v/>
      </c>
      <c r="U16" s="64" t="n"/>
      <c r="V16" s="64" t="n"/>
      <c r="W16" s="64" t="n"/>
      <c r="X16" s="64" t="n"/>
    </row>
    <row r="17">
      <c r="A17" s="63" t="n"/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4" t="n"/>
      <c r="O17" s="64" t="n"/>
      <c r="P17" s="64" t="n"/>
      <c r="Q17" s="64" t="n"/>
      <c r="R17" s="64" t="n"/>
      <c r="S17" s="64" t="n"/>
      <c r="T17" s="70">
        <f>IF(R17="","",IFERROR(TODAY()+VLOOKUP(R17,REGRAS!$B$2:$C$13,2,0),""))</f>
        <v/>
      </c>
      <c r="U17" s="64" t="n"/>
      <c r="V17" s="64" t="n"/>
      <c r="W17" s="64" t="n"/>
      <c r="X17" s="64" t="n"/>
    </row>
    <row r="18">
      <c r="A18" s="63" t="n"/>
      <c r="B18" s="63" t="n"/>
      <c r="C18" s="63" t="n"/>
      <c r="D18" s="63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4" t="n"/>
      <c r="O18" s="64" t="n"/>
      <c r="P18" s="64" t="n"/>
      <c r="Q18" s="64" t="n"/>
      <c r="R18" s="64" t="n"/>
      <c r="S18" s="64" t="n"/>
      <c r="T18" s="70">
        <f>IF(R18="","",IFERROR(TODAY()+VLOOKUP(R18,REGRAS!$B$2:$C$13,2,0),""))</f>
        <v/>
      </c>
      <c r="U18" s="64" t="n"/>
      <c r="V18" s="64" t="n"/>
      <c r="W18" s="64" t="n"/>
      <c r="X18" s="64" t="n"/>
    </row>
    <row r="19">
      <c r="A19" s="63" t="n"/>
      <c r="B19" s="63" t="n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3" t="n"/>
      <c r="N19" s="64" t="n"/>
      <c r="O19" s="64" t="n"/>
      <c r="P19" s="64" t="n"/>
      <c r="Q19" s="64" t="n"/>
      <c r="R19" s="64" t="n"/>
      <c r="S19" s="64" t="n"/>
      <c r="T19" s="70">
        <f>IF(R19="","",IFERROR(TODAY()+VLOOKUP(R19,REGRAS!$B$2:$C$13,2,0),""))</f>
        <v/>
      </c>
      <c r="U19" s="64" t="n"/>
      <c r="V19" s="64" t="n"/>
      <c r="W19" s="64" t="n"/>
      <c r="X19" s="64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4" t="n"/>
      <c r="O20" s="64" t="n"/>
      <c r="P20" s="64" t="n"/>
      <c r="Q20" s="64" t="n"/>
      <c r="R20" s="64" t="n"/>
      <c r="S20" s="64" t="n"/>
      <c r="T20" s="70">
        <f>IF(R20="","",IFERROR(TODAY()+VLOOKUP(R20,REGRAS!$B$2:$C$13,2,0),""))</f>
        <v/>
      </c>
      <c r="U20" s="64" t="n"/>
      <c r="V20" s="64" t="n"/>
      <c r="W20" s="64" t="n"/>
      <c r="X20" s="64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  <c r="M21" s="63" t="n"/>
      <c r="N21" s="64" t="n"/>
      <c r="O21" s="64" t="n"/>
      <c r="P21" s="64" t="n"/>
      <c r="Q21" s="64" t="n"/>
      <c r="R21" s="64" t="n"/>
      <c r="S21" s="64" t="n"/>
      <c r="T21" s="70">
        <f>IF(R21="","",IFERROR(TODAY()+VLOOKUP(R21,REGRAS!$B$2:$C$13,2,0),""))</f>
        <v/>
      </c>
      <c r="U21" s="64" t="n"/>
      <c r="V21" s="64" t="n"/>
      <c r="W21" s="64" t="n"/>
      <c r="X21" s="64" t="n"/>
    </row>
    <row r="22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4" t="n"/>
      <c r="O22" s="64" t="n"/>
      <c r="P22" s="64" t="n"/>
      <c r="Q22" s="64" t="n"/>
      <c r="R22" s="64" t="n"/>
      <c r="S22" s="64" t="n"/>
      <c r="T22" s="70">
        <f>IF(R22="","",IFERROR(TODAY()+VLOOKUP(R22,REGRAS!$B$2:$C$13,2,0),""))</f>
        <v/>
      </c>
      <c r="U22" s="64" t="n"/>
      <c r="V22" s="64" t="n"/>
      <c r="W22" s="64" t="n"/>
      <c r="X22" s="64" t="n"/>
    </row>
    <row r="23">
      <c r="A23" s="63" t="n"/>
      <c r="B23" s="63" t="n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4" t="n"/>
      <c r="O23" s="64" t="n"/>
      <c r="P23" s="64" t="n"/>
      <c r="Q23" s="64" t="n"/>
      <c r="R23" s="64" t="n"/>
      <c r="S23" s="64" t="n"/>
      <c r="T23" s="70">
        <f>IF(R23="","",IFERROR(TODAY()+VLOOKUP(R23,REGRAS!$B$2:$C$13,2,0),""))</f>
        <v/>
      </c>
      <c r="U23" s="64" t="n"/>
      <c r="V23" s="64" t="n"/>
      <c r="W23" s="64" t="n"/>
      <c r="X23" s="64" t="n"/>
    </row>
    <row r="24">
      <c r="A24" s="63" t="n"/>
      <c r="B24" s="63" t="n"/>
      <c r="C24" s="63" t="n"/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4" t="n"/>
      <c r="O24" s="64" t="n"/>
      <c r="P24" s="64" t="n"/>
      <c r="Q24" s="64" t="n"/>
      <c r="R24" s="64" t="n"/>
      <c r="S24" s="64" t="n"/>
      <c r="T24" s="70">
        <f>IF(R24="","",IFERROR(TODAY()+VLOOKUP(R24,REGRAS!$B$2:$C$13,2,0),""))</f>
        <v/>
      </c>
      <c r="U24" s="64" t="n"/>
      <c r="V24" s="64" t="n"/>
      <c r="W24" s="64" t="n"/>
      <c r="X24" s="64" t="n"/>
    </row>
    <row r="25">
      <c r="A25" s="63" t="n"/>
      <c r="B25" s="63" t="n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4" t="n"/>
      <c r="O25" s="64" t="n"/>
      <c r="P25" s="64" t="n"/>
      <c r="Q25" s="64" t="n"/>
      <c r="R25" s="64" t="n"/>
      <c r="S25" s="64" t="n"/>
      <c r="T25" s="70">
        <f>IF(R25="","",IFERROR(TODAY()+VLOOKUP(R25,REGRAS!$B$2:$C$13,2,0),""))</f>
        <v/>
      </c>
      <c r="U25" s="64" t="n"/>
      <c r="V25" s="64" t="n"/>
      <c r="W25" s="64" t="n"/>
      <c r="X25" s="64" t="n"/>
    </row>
    <row r="26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4" t="n"/>
      <c r="O26" s="64" t="n"/>
      <c r="P26" s="64" t="n"/>
      <c r="Q26" s="64" t="n"/>
      <c r="R26" s="64" t="n"/>
      <c r="S26" s="64" t="n"/>
      <c r="T26" s="70">
        <f>IF(R26="","",IFERROR(TODAY()+VLOOKUP(R26,REGRAS!$B$2:$C$13,2,0),""))</f>
        <v/>
      </c>
      <c r="U26" s="64" t="n"/>
      <c r="V26" s="64" t="n"/>
      <c r="W26" s="64" t="n"/>
      <c r="X26" s="64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4" t="n"/>
      <c r="O27" s="64" t="n"/>
      <c r="P27" s="64" t="n"/>
      <c r="Q27" s="64" t="n"/>
      <c r="R27" s="64" t="n"/>
      <c r="S27" s="64" t="n"/>
      <c r="T27" s="70">
        <f>IF(R27="","",IFERROR(TODAY()+VLOOKUP(R27,REGRAS!$B$2:$C$13,2,0),""))</f>
        <v/>
      </c>
      <c r="U27" s="64" t="n"/>
      <c r="V27" s="64" t="n"/>
      <c r="W27" s="64" t="n"/>
      <c r="X27" s="64" t="n"/>
    </row>
    <row r="28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4" t="n"/>
      <c r="O28" s="64" t="n"/>
      <c r="P28" s="64" t="n"/>
      <c r="Q28" s="64" t="n"/>
      <c r="R28" s="64" t="n"/>
      <c r="S28" s="64" t="n"/>
      <c r="T28" s="70">
        <f>IF(R28="","",IFERROR(TODAY()+VLOOKUP(R28,REGRAS!$B$2:$C$13,2,0),""))</f>
        <v/>
      </c>
      <c r="U28" s="64" t="n"/>
      <c r="V28" s="64" t="n"/>
      <c r="W28" s="64" t="n"/>
      <c r="X28" s="64" t="n"/>
    </row>
    <row r="29">
      <c r="A29" s="63" t="n"/>
      <c r="B29" s="63" t="n"/>
      <c r="C29" s="63" t="n"/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4" t="n"/>
      <c r="O29" s="64" t="n"/>
      <c r="P29" s="64" t="n"/>
      <c r="Q29" s="64" t="n"/>
      <c r="R29" s="64" t="n"/>
      <c r="S29" s="64" t="n"/>
      <c r="T29" s="70">
        <f>IF(R29="","",IFERROR(TODAY()+VLOOKUP(R29,REGRAS!$B$2:$C$13,2,0),""))</f>
        <v/>
      </c>
      <c r="U29" s="64" t="n"/>
      <c r="V29" s="64" t="n"/>
      <c r="W29" s="64" t="n"/>
      <c r="X29" s="64" t="n"/>
    </row>
    <row r="30">
      <c r="A30" s="63" t="n"/>
      <c r="B30" s="63" t="n"/>
      <c r="C30" s="63" t="n"/>
      <c r="D30" s="63" t="n"/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4" t="n"/>
      <c r="O30" s="64" t="n"/>
      <c r="P30" s="64" t="n"/>
      <c r="Q30" s="64" t="n"/>
      <c r="R30" s="64" t="n"/>
      <c r="S30" s="64" t="n"/>
      <c r="T30" s="70">
        <f>IF(R30="","",IFERROR(TODAY()+VLOOKUP(R30,REGRAS!$B$2:$C$13,2,0),""))</f>
        <v/>
      </c>
      <c r="U30" s="64" t="n"/>
      <c r="V30" s="64" t="n"/>
      <c r="W30" s="64" t="n"/>
      <c r="X30" s="64" t="n"/>
    </row>
    <row r="31">
      <c r="A31" s="63" t="n"/>
      <c r="B31" s="63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4" t="n"/>
      <c r="O31" s="64" t="n"/>
      <c r="P31" s="64" t="n"/>
      <c r="Q31" s="64" t="n"/>
      <c r="R31" s="64" t="n"/>
      <c r="S31" s="64" t="n"/>
      <c r="T31" s="70">
        <f>IF(R31="","",IFERROR(TODAY()+VLOOKUP(R31,REGRAS!$B$2:$C$13,2,0),""))</f>
        <v/>
      </c>
      <c r="U31" s="64" t="n"/>
      <c r="V31" s="64" t="n"/>
      <c r="W31" s="64" t="n"/>
      <c r="X31" s="64" t="n"/>
    </row>
    <row r="32">
      <c r="A32" s="63" t="n"/>
      <c r="B32" s="63" t="n"/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4" t="n"/>
      <c r="O32" s="64" t="n"/>
      <c r="P32" s="64" t="n"/>
      <c r="Q32" s="64" t="n"/>
      <c r="R32" s="64" t="n"/>
      <c r="S32" s="64" t="n"/>
      <c r="T32" s="70">
        <f>IF(R32="","",IFERROR(TODAY()+VLOOKUP(R32,REGRAS!$B$2:$C$13,2,0),""))</f>
        <v/>
      </c>
      <c r="U32" s="64" t="n"/>
      <c r="V32" s="64" t="n"/>
      <c r="W32" s="64" t="n"/>
      <c r="X32" s="64" t="n"/>
    </row>
    <row r="33">
      <c r="A33" s="63" t="n"/>
      <c r="B33" s="63" t="n"/>
      <c r="C33" s="63" t="n"/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4" t="n"/>
      <c r="O33" s="64" t="n"/>
      <c r="P33" s="64" t="n"/>
      <c r="Q33" s="64" t="n"/>
      <c r="R33" s="64" t="n"/>
      <c r="S33" s="64" t="n"/>
      <c r="T33" s="70">
        <f>IF(R33="","",IFERROR(TODAY()+VLOOKUP(R33,REGRAS!$B$2:$C$13,2,0),""))</f>
        <v/>
      </c>
      <c r="U33" s="64" t="n"/>
      <c r="V33" s="64" t="n"/>
      <c r="W33" s="64" t="n"/>
      <c r="X33" s="64" t="n"/>
    </row>
    <row r="34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4" t="n"/>
      <c r="O34" s="64" t="n"/>
      <c r="P34" s="64" t="n"/>
      <c r="Q34" s="64" t="n"/>
      <c r="R34" s="64" t="n"/>
      <c r="S34" s="64" t="n"/>
      <c r="T34" s="70">
        <f>IF(R34="","",IFERROR(TODAY()+VLOOKUP(R34,REGRAS!$B$2:$C$13,2,0),""))</f>
        <v/>
      </c>
      <c r="U34" s="64" t="n"/>
      <c r="V34" s="64" t="n"/>
      <c r="W34" s="64" t="n"/>
      <c r="X34" s="64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4" t="n"/>
      <c r="O35" s="64" t="n"/>
      <c r="P35" s="64" t="n"/>
      <c r="Q35" s="64" t="n"/>
      <c r="R35" s="64" t="n"/>
      <c r="S35" s="64" t="n"/>
      <c r="T35" s="70">
        <f>IF(R35="","",IFERROR(TODAY()+VLOOKUP(R35,REGRAS!$B$2:$C$13,2,0),""))</f>
        <v/>
      </c>
      <c r="U35" s="64" t="n"/>
      <c r="V35" s="64" t="n"/>
      <c r="W35" s="64" t="n"/>
      <c r="X35" s="64" t="n"/>
    </row>
    <row r="36">
      <c r="A36" s="63" t="n"/>
      <c r="B36" s="63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  <c r="M36" s="63" t="n"/>
      <c r="N36" s="64" t="n"/>
      <c r="O36" s="64" t="n"/>
      <c r="P36" s="64" t="n"/>
      <c r="Q36" s="64" t="n"/>
      <c r="R36" s="64" t="n"/>
      <c r="S36" s="64" t="n"/>
      <c r="T36" s="70">
        <f>IF(R36="","",IFERROR(TODAY()+VLOOKUP(R36,REGRAS!$B$2:$C$13,2,0),""))</f>
        <v/>
      </c>
      <c r="U36" s="64" t="n"/>
      <c r="V36" s="64" t="n"/>
      <c r="W36" s="64" t="n"/>
      <c r="X36" s="64" t="n"/>
    </row>
    <row r="37">
      <c r="A37" s="63" t="n"/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4" t="n"/>
      <c r="O37" s="64" t="n"/>
      <c r="P37" s="64" t="n"/>
      <c r="Q37" s="64" t="n"/>
      <c r="R37" s="64" t="n"/>
      <c r="S37" s="64" t="n"/>
      <c r="T37" s="70">
        <f>IF(R37="","",IFERROR(TODAY()+VLOOKUP(R37,REGRAS!$B$2:$C$13,2,0),""))</f>
        <v/>
      </c>
      <c r="U37" s="64" t="n"/>
      <c r="V37" s="64" t="n"/>
      <c r="W37" s="64" t="n"/>
      <c r="X37" s="64" t="n"/>
    </row>
    <row r="38">
      <c r="A38" s="63" t="n"/>
      <c r="B38" s="63" t="n"/>
      <c r="C38" s="63" t="n"/>
      <c r="D38" s="63" t="n"/>
      <c r="E38" s="63" t="n"/>
      <c r="F38" s="63" t="n"/>
      <c r="G38" s="63" t="n"/>
      <c r="H38" s="63" t="n"/>
      <c r="I38" s="63" t="n"/>
      <c r="J38" s="63" t="n"/>
      <c r="K38" s="63" t="n"/>
      <c r="L38" s="63" t="n"/>
      <c r="M38" s="63" t="n"/>
      <c r="N38" s="64" t="n"/>
      <c r="O38" s="64" t="n"/>
      <c r="P38" s="64" t="n"/>
      <c r="Q38" s="64" t="n"/>
      <c r="R38" s="64" t="n"/>
      <c r="S38" s="64" t="n"/>
      <c r="T38" s="70">
        <f>IF(R38="","",IFERROR(TODAY()+VLOOKUP(R38,REGRAS!$B$2:$C$13,2,0),""))</f>
        <v/>
      </c>
      <c r="U38" s="64" t="n"/>
      <c r="V38" s="64" t="n"/>
      <c r="W38" s="64" t="n"/>
      <c r="X38" s="64" t="n"/>
    </row>
    <row r="39">
      <c r="A39" s="63" t="n"/>
      <c r="B39" s="63" t="n"/>
      <c r="C39" s="63" t="n"/>
      <c r="D39" s="63" t="n"/>
      <c r="E39" s="63" t="n"/>
      <c r="F39" s="63" t="n"/>
      <c r="G39" s="63" t="n"/>
      <c r="H39" s="63" t="n"/>
      <c r="I39" s="63" t="n"/>
      <c r="J39" s="63" t="n"/>
      <c r="K39" s="63" t="n"/>
      <c r="L39" s="63" t="n"/>
      <c r="M39" s="63" t="n"/>
      <c r="N39" s="64" t="n"/>
      <c r="O39" s="64" t="n"/>
      <c r="P39" s="64" t="n"/>
      <c r="Q39" s="64" t="n"/>
      <c r="R39" s="64" t="n"/>
      <c r="S39" s="64" t="n"/>
      <c r="T39" s="70">
        <f>IF(R39="","",IFERROR(TODAY()+VLOOKUP(R39,REGRAS!$B$2:$C$13,2,0),""))</f>
        <v/>
      </c>
      <c r="U39" s="64" t="n"/>
      <c r="V39" s="64" t="n"/>
      <c r="W39" s="64" t="n"/>
      <c r="X39" s="64" t="n"/>
    </row>
    <row r="40">
      <c r="A40" s="63" t="n"/>
      <c r="B40" s="63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63" t="n"/>
      <c r="M40" s="63" t="n"/>
      <c r="N40" s="64" t="n"/>
      <c r="O40" s="64" t="n"/>
      <c r="P40" s="64" t="n"/>
      <c r="Q40" s="64" t="n"/>
      <c r="R40" s="64" t="n"/>
      <c r="S40" s="64" t="n"/>
      <c r="T40" s="70">
        <f>IF(R40="","",IFERROR(TODAY()+VLOOKUP(R40,REGRAS!$B$2:$C$13,2,0),""))</f>
        <v/>
      </c>
      <c r="U40" s="64" t="n"/>
      <c r="V40" s="64" t="n"/>
      <c r="W40" s="64" t="n"/>
      <c r="X40" s="64" t="n"/>
    </row>
    <row r="41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4" t="n"/>
      <c r="O41" s="64" t="n"/>
      <c r="P41" s="64" t="n"/>
      <c r="Q41" s="64" t="n"/>
      <c r="R41" s="64" t="n"/>
      <c r="S41" s="64" t="n"/>
      <c r="T41" s="70">
        <f>IF(R41="","",IFERROR(TODAY()+VLOOKUP(R41,REGRAS!$B$2:$C$13,2,0),""))</f>
        <v/>
      </c>
      <c r="U41" s="64" t="n"/>
      <c r="V41" s="64" t="n"/>
      <c r="W41" s="64" t="n"/>
      <c r="X41" s="64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4" t="n"/>
      <c r="O42" s="64" t="n"/>
      <c r="P42" s="64" t="n"/>
      <c r="Q42" s="64" t="n"/>
      <c r="R42" s="64" t="n"/>
      <c r="S42" s="64" t="n"/>
      <c r="T42" s="70">
        <f>IF(R42="","",IFERROR(TODAY()+VLOOKUP(R42,REGRAS!$B$2:$C$13,2,0),""))</f>
        <v/>
      </c>
      <c r="U42" s="64" t="n"/>
      <c r="V42" s="64" t="n"/>
      <c r="W42" s="64" t="n"/>
      <c r="X42" s="64" t="n"/>
    </row>
    <row r="43">
      <c r="A43" s="63" t="n"/>
      <c r="B43" s="63" t="n"/>
      <c r="C43" s="63" t="n"/>
      <c r="D43" s="63" t="n"/>
      <c r="E43" s="63" t="n"/>
      <c r="F43" s="63" t="n"/>
      <c r="G43" s="63" t="n"/>
      <c r="H43" s="63" t="n"/>
      <c r="I43" s="63" t="n"/>
      <c r="J43" s="63" t="n"/>
      <c r="K43" s="63" t="n"/>
      <c r="L43" s="63" t="n"/>
      <c r="M43" s="63" t="n"/>
      <c r="N43" s="64" t="n"/>
      <c r="O43" s="64" t="n"/>
      <c r="P43" s="64" t="n"/>
      <c r="Q43" s="64" t="n"/>
      <c r="R43" s="64" t="n"/>
      <c r="S43" s="64" t="n"/>
      <c r="T43" s="70">
        <f>IF(R43="","",IFERROR(TODAY()+VLOOKUP(R43,REGRAS!$B$2:$C$13,2,0),""))</f>
        <v/>
      </c>
      <c r="U43" s="64" t="n"/>
      <c r="V43" s="64" t="n"/>
      <c r="W43" s="64" t="n"/>
      <c r="X43" s="64" t="n"/>
    </row>
    <row r="44">
      <c r="A44" s="63" t="n"/>
      <c r="B44" s="63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3" t="n"/>
      <c r="M44" s="63" t="n"/>
      <c r="N44" s="64" t="n"/>
      <c r="O44" s="64" t="n"/>
      <c r="P44" s="64" t="n"/>
      <c r="Q44" s="64" t="n"/>
      <c r="R44" s="64" t="n"/>
      <c r="S44" s="64" t="n"/>
      <c r="T44" s="70">
        <f>IF(R44="","",IFERROR(TODAY()+VLOOKUP(R44,REGRAS!$B$2:$C$13,2,0),""))</f>
        <v/>
      </c>
      <c r="U44" s="64" t="n"/>
      <c r="V44" s="64" t="n"/>
      <c r="W44" s="64" t="n"/>
      <c r="X44" s="64" t="n"/>
    </row>
    <row r="45">
      <c r="A45" s="63" t="n"/>
      <c r="B45" s="63" t="n"/>
      <c r="C45" s="63" t="n"/>
      <c r="D45" s="63" t="n"/>
      <c r="E45" s="63" t="n"/>
      <c r="F45" s="63" t="n"/>
      <c r="G45" s="63" t="n"/>
      <c r="H45" s="63" t="n"/>
      <c r="I45" s="63" t="n"/>
      <c r="J45" s="63" t="n"/>
      <c r="K45" s="63" t="n"/>
      <c r="L45" s="63" t="n"/>
      <c r="M45" s="63" t="n"/>
      <c r="N45" s="64" t="n"/>
      <c r="O45" s="64" t="n"/>
      <c r="P45" s="64" t="n"/>
      <c r="Q45" s="64" t="n"/>
      <c r="R45" s="64" t="n"/>
      <c r="S45" s="64" t="n"/>
      <c r="T45" s="70">
        <f>IF(R45="","",IFERROR(TODAY()+VLOOKUP(R45,REGRAS!$B$2:$C$13,2,0),""))</f>
        <v/>
      </c>
      <c r="U45" s="64" t="n"/>
      <c r="V45" s="64" t="n"/>
      <c r="W45" s="64" t="n"/>
      <c r="X45" s="64" t="n"/>
    </row>
    <row r="46">
      <c r="A46" s="63" t="n"/>
      <c r="B46" s="63" t="n"/>
      <c r="C46" s="63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63" t="n"/>
      <c r="M46" s="63" t="n"/>
      <c r="N46" s="64" t="n"/>
      <c r="O46" s="64" t="n"/>
      <c r="P46" s="64" t="n"/>
      <c r="Q46" s="64" t="n"/>
      <c r="R46" s="64" t="n"/>
      <c r="S46" s="64" t="n"/>
      <c r="T46" s="70">
        <f>IF(R46="","",IFERROR(TODAY()+VLOOKUP(R46,REGRAS!$B$2:$C$13,2,0),""))</f>
        <v/>
      </c>
      <c r="U46" s="64" t="n"/>
      <c r="V46" s="64" t="n"/>
      <c r="W46" s="64" t="n"/>
      <c r="X46" s="64" t="n"/>
    </row>
    <row r="47">
      <c r="A47" s="63" t="n"/>
      <c r="B47" s="63" t="n"/>
      <c r="C47" s="63" t="n"/>
      <c r="D47" s="63" t="n"/>
      <c r="E47" s="63" t="n"/>
      <c r="F47" s="63" t="n"/>
      <c r="G47" s="63" t="n"/>
      <c r="H47" s="63" t="n"/>
      <c r="I47" s="63" t="n"/>
      <c r="J47" s="63" t="n"/>
      <c r="K47" s="63" t="n"/>
      <c r="L47" s="63" t="n"/>
      <c r="M47" s="63" t="n"/>
      <c r="N47" s="64" t="n"/>
      <c r="O47" s="64" t="n"/>
      <c r="P47" s="64" t="n"/>
      <c r="Q47" s="64" t="n"/>
      <c r="R47" s="64" t="n"/>
      <c r="S47" s="64" t="n"/>
      <c r="T47" s="70">
        <f>IF(R47="","",IFERROR(TODAY()+VLOOKUP(R47,REGRAS!$B$2:$C$13,2,0),""))</f>
        <v/>
      </c>
      <c r="U47" s="64" t="n"/>
      <c r="V47" s="64" t="n"/>
      <c r="W47" s="64" t="n"/>
      <c r="X47" s="64" t="n"/>
    </row>
    <row r="48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4" t="n"/>
      <c r="O48" s="64" t="n"/>
      <c r="P48" s="64" t="n"/>
      <c r="Q48" s="64" t="n"/>
      <c r="R48" s="64" t="n"/>
      <c r="S48" s="64" t="n"/>
      <c r="T48" s="70">
        <f>IF(R48="","",IFERROR(TODAY()+VLOOKUP(R48,REGRAS!$B$2:$C$13,2,0),""))</f>
        <v/>
      </c>
      <c r="U48" s="64" t="n"/>
      <c r="V48" s="64" t="n"/>
      <c r="W48" s="64" t="n"/>
      <c r="X48" s="64" t="n"/>
    </row>
    <row r="49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4" t="n"/>
      <c r="O49" s="64" t="n"/>
      <c r="P49" s="64" t="n"/>
      <c r="Q49" s="64" t="n"/>
      <c r="R49" s="64" t="n"/>
      <c r="S49" s="64" t="n"/>
      <c r="T49" s="70">
        <f>IF(R49="","",IFERROR(TODAY()+VLOOKUP(R49,REGRAS!$B$2:$C$13,2,0),""))</f>
        <v/>
      </c>
      <c r="U49" s="64" t="n"/>
      <c r="V49" s="64" t="n"/>
      <c r="W49" s="64" t="n"/>
      <c r="X49" s="64" t="n"/>
    </row>
    <row r="50">
      <c r="A50" s="63" t="n"/>
      <c r="B50" s="63" t="n"/>
      <c r="C50" s="63" t="n"/>
      <c r="D50" s="63" t="n"/>
      <c r="E50" s="63" t="n"/>
      <c r="F50" s="63" t="n"/>
      <c r="G50" s="63" t="n"/>
      <c r="H50" s="63" t="n"/>
      <c r="I50" s="63" t="n"/>
      <c r="J50" s="63" t="n"/>
      <c r="K50" s="63" t="n"/>
      <c r="L50" s="63" t="n"/>
      <c r="M50" s="63" t="n"/>
      <c r="N50" s="64" t="n"/>
      <c r="O50" s="64" t="n"/>
      <c r="P50" s="64" t="n"/>
      <c r="Q50" s="64" t="n"/>
      <c r="R50" s="64" t="n"/>
      <c r="S50" s="64" t="n"/>
      <c r="T50" s="70">
        <f>IF(R50="","",IFERROR(TODAY()+VLOOKUP(R50,REGRAS!$B$2:$C$13,2,0),""))</f>
        <v/>
      </c>
      <c r="U50" s="64" t="n"/>
      <c r="V50" s="64" t="n"/>
      <c r="W50" s="64" t="n"/>
      <c r="X50" s="64" t="n"/>
    </row>
    <row r="51">
      <c r="T51" s="47">
        <f>IF(R51="","",IFERROR(TODAY()+VLOOKUP(R51,REGRAS!$B$2:$C$13,2,0),""))</f>
        <v/>
      </c>
    </row>
    <row r="52">
      <c r="T52" s="47">
        <f>IF(R52="","",IFERROR(TODAY()+VLOOKUP(R52,REGRAS!$B$2:$C$13,2,0),""))</f>
        <v/>
      </c>
    </row>
    <row r="53">
      <c r="T53" s="47">
        <f>IF(R53="","",IFERROR(TODAY()+VLOOKUP(R53,REGRAS!$B$2:$C$13,2,0),""))</f>
        <v/>
      </c>
    </row>
    <row r="54">
      <c r="T54" s="47">
        <f>IF(R54="","",IFERROR(TODAY()+VLOOKUP(R54,REGRAS!$B$2:$C$13,2,0),""))</f>
        <v/>
      </c>
    </row>
    <row r="55">
      <c r="T55" s="47">
        <f>IF(R55="","",IFERROR(TODAY()+VLOOKUP(R55,REGRAS!$B$2:$C$13,2,0),""))</f>
        <v/>
      </c>
    </row>
    <row r="56">
      <c r="T56" s="47">
        <f>IF(R56="","",IFERROR(TODAY()+VLOOKUP(R56,REGRAS!$B$2:$C$13,2,0),""))</f>
        <v/>
      </c>
    </row>
    <row r="57">
      <c r="T57" s="47">
        <f>IF(R57="","",IFERROR(TODAY()+VLOOKUP(R57,REGRAS!$B$2:$C$13,2,0),""))</f>
        <v/>
      </c>
    </row>
    <row r="58">
      <c r="T58" s="47">
        <f>IF(R58="","",IFERROR(TODAY()+VLOOKUP(R58,REGRAS!$B$2:$C$13,2,0),""))</f>
        <v/>
      </c>
    </row>
    <row r="59">
      <c r="T59" s="47">
        <f>IF(R59="","",IFERROR(TODAY()+VLOOKUP(R59,REGRAS!$B$2:$C$13,2,0),""))</f>
        <v/>
      </c>
    </row>
    <row r="60">
      <c r="T60" s="47">
        <f>IF(R60="","",IFERROR(TODAY()+VLOOKUP(R60,REGRAS!$B$2:$C$13,2,0),""))</f>
        <v/>
      </c>
    </row>
    <row r="61">
      <c r="T61" s="47">
        <f>IF(R61="","",IFERROR(TODAY()+VLOOKUP(R61,REGRAS!$B$2:$C$13,2,0),""))</f>
        <v/>
      </c>
    </row>
    <row r="62">
      <c r="T62" s="47">
        <f>IF(R62="","",IFERROR(TODAY()+VLOOKUP(R62,REGRAS!$B$2:$C$13,2,0),""))</f>
        <v/>
      </c>
    </row>
    <row r="63">
      <c r="T63" s="47">
        <f>IF(R63="","",IFERROR(TODAY()+VLOOKUP(R63,REGRAS!$B$2:$C$13,2,0),""))</f>
        <v/>
      </c>
    </row>
    <row r="64">
      <c r="T64" s="47">
        <f>IF(R64="","",IFERROR(TODAY()+VLOOKUP(R64,REGRAS!$B$2:$C$13,2,0),""))</f>
        <v/>
      </c>
    </row>
    <row r="65">
      <c r="T65" s="47">
        <f>IF(R65="","",IFERROR(TODAY()+VLOOKUP(R65,REGRAS!$B$2:$C$13,2,0),""))</f>
        <v/>
      </c>
    </row>
    <row r="66">
      <c r="T66" s="47">
        <f>IF(R66="","",IFERROR(TODAY()+VLOOKUP(R66,REGRAS!$B$2:$C$13,2,0),""))</f>
        <v/>
      </c>
    </row>
    <row r="67">
      <c r="T67" s="47">
        <f>IF(R67="","",IFERROR(TODAY()+VLOOKUP(R67,REGRAS!$B$2:$C$13,2,0),""))</f>
        <v/>
      </c>
    </row>
    <row r="68">
      <c r="T68" s="47">
        <f>IF(R68="","",IFERROR(TODAY()+VLOOKUP(R68,REGRAS!$B$2:$C$13,2,0),""))</f>
        <v/>
      </c>
    </row>
    <row r="69">
      <c r="T69" s="47">
        <f>IF(R69="","",IFERROR(TODAY()+VLOOKUP(R69,REGRAS!$B$2:$C$13,2,0),""))</f>
        <v/>
      </c>
    </row>
    <row r="70">
      <c r="T70" s="47">
        <f>IF(R70="","",IFERROR(TODAY()+VLOOKUP(R70,REGRAS!$B$2:$C$13,2,0),""))</f>
        <v/>
      </c>
    </row>
    <row r="71">
      <c r="T71" s="47">
        <f>IF(R71="","",IFERROR(TODAY()+VLOOKUP(R71,REGRAS!$B$2:$C$13,2,0),""))</f>
        <v/>
      </c>
    </row>
    <row r="72">
      <c r="T72" s="47">
        <f>IF(R72="","",IFERROR(TODAY()+VLOOKUP(R72,REGRAS!$B$2:$C$13,2,0),""))</f>
        <v/>
      </c>
    </row>
    <row r="73">
      <c r="T73" s="47">
        <f>IF(R73="","",IFERROR(TODAY()+VLOOKUP(R73,REGRAS!$B$2:$C$13,2,0),""))</f>
        <v/>
      </c>
    </row>
    <row r="74">
      <c r="T74" s="47">
        <f>IF(R74="","",IFERROR(TODAY()+VLOOKUP(R74,REGRAS!$B$2:$C$13,2,0),""))</f>
        <v/>
      </c>
    </row>
    <row r="75">
      <c r="T75" s="47">
        <f>IF(R75="","",IFERROR(TODAY()+VLOOKUP(R75,REGRAS!$B$2:$C$13,2,0),""))</f>
        <v/>
      </c>
    </row>
    <row r="76">
      <c r="T76" s="47">
        <f>IF(R76="","",IFERROR(TODAY()+VLOOKUP(R76,REGRAS!$B$2:$C$13,2,0),""))</f>
        <v/>
      </c>
    </row>
    <row r="77">
      <c r="T77" s="47">
        <f>IF(R77="","",IFERROR(TODAY()+VLOOKUP(R77,REGRAS!$B$2:$C$13,2,0),""))</f>
        <v/>
      </c>
    </row>
    <row r="78">
      <c r="T78" s="47">
        <f>IF(R78="","",IFERROR(TODAY()+VLOOKUP(R78,REGRAS!$B$2:$C$13,2,0),""))</f>
        <v/>
      </c>
    </row>
    <row r="79">
      <c r="T79" s="47">
        <f>IF(R79="","",IFERROR(TODAY()+VLOOKUP(R79,REGRAS!$B$2:$C$13,2,0),""))</f>
        <v/>
      </c>
    </row>
    <row r="80">
      <c r="T80" s="47">
        <f>IF(R80="","",IFERROR(TODAY()+VLOOKUP(R80,REGRAS!$B$2:$C$13,2,0),""))</f>
        <v/>
      </c>
    </row>
    <row r="81">
      <c r="T81" s="47">
        <f>IF(R81="","",IFERROR(TODAY()+VLOOKUP(R81,REGRAS!$B$2:$C$13,2,0),""))</f>
        <v/>
      </c>
    </row>
    <row r="82">
      <c r="T82" s="47">
        <f>IF(R82="","",IFERROR(TODAY()+VLOOKUP(R82,REGRAS!$B$2:$C$13,2,0),""))</f>
        <v/>
      </c>
    </row>
    <row r="83">
      <c r="T83" s="47">
        <f>IF(R83="","",IFERROR(TODAY()+VLOOKUP(R83,REGRAS!$B$2:$C$13,2,0),""))</f>
        <v/>
      </c>
    </row>
    <row r="84">
      <c r="T84" s="47">
        <f>IF(R84="","",IFERROR(TODAY()+VLOOKUP(R84,REGRAS!$B$2:$C$13,2,0),""))</f>
        <v/>
      </c>
    </row>
    <row r="85">
      <c r="T85" s="47">
        <f>IF(R85="","",IFERROR(TODAY()+VLOOKUP(R85,REGRAS!$B$2:$C$13,2,0),""))</f>
        <v/>
      </c>
    </row>
    <row r="86">
      <c r="T86" s="47">
        <f>IF(R86="","",IFERROR(TODAY()+VLOOKUP(R86,REGRAS!$B$2:$C$13,2,0),""))</f>
        <v/>
      </c>
    </row>
    <row r="87">
      <c r="T87" s="47">
        <f>IF(R87="","",IFERROR(TODAY()+VLOOKUP(R87,REGRAS!$B$2:$C$13,2,0),""))</f>
        <v/>
      </c>
    </row>
    <row r="88">
      <c r="T88" s="47">
        <f>IF(R88="","",IFERROR(TODAY()+VLOOKUP(R88,REGRAS!$B$2:$C$13,2,0),""))</f>
        <v/>
      </c>
    </row>
    <row r="89">
      <c r="T89" s="47">
        <f>IF(R89="","",IFERROR(TODAY()+VLOOKUP(R89,REGRAS!$B$2:$C$13,2,0),""))</f>
        <v/>
      </c>
    </row>
    <row r="90">
      <c r="T90" s="47">
        <f>IF(R90="","",IFERROR(TODAY()+VLOOKUP(R90,REGRAS!$B$2:$C$13,2,0),""))</f>
        <v/>
      </c>
    </row>
    <row r="91">
      <c r="T91" s="47">
        <f>IF(R91="","",IFERROR(TODAY()+VLOOKUP(R91,REGRAS!$B$2:$C$13,2,0),""))</f>
        <v/>
      </c>
    </row>
    <row r="92">
      <c r="T92" s="47">
        <f>IF(R92="","",IFERROR(TODAY()+VLOOKUP(R92,REGRAS!$B$2:$C$13,2,0),""))</f>
        <v/>
      </c>
    </row>
    <row r="93">
      <c r="T93" s="47">
        <f>IF(R93="","",IFERROR(TODAY()+VLOOKUP(R93,REGRAS!$B$2:$C$13,2,0),""))</f>
        <v/>
      </c>
    </row>
    <row r="94">
      <c r="T94" s="47">
        <f>IF(R94="","",IFERROR(TODAY()+VLOOKUP(R94,REGRAS!$B$2:$C$13,2,0),""))</f>
        <v/>
      </c>
    </row>
    <row r="95">
      <c r="T95" s="47">
        <f>IF(R95="","",IFERROR(TODAY()+VLOOKUP(R95,REGRAS!$B$2:$C$13,2,0),""))</f>
        <v/>
      </c>
    </row>
    <row r="96">
      <c r="T96" s="47">
        <f>IF(R96="","",IFERROR(TODAY()+VLOOKUP(R96,REGRAS!$B$2:$C$13,2,0),""))</f>
        <v/>
      </c>
    </row>
    <row r="97">
      <c r="T97" s="47">
        <f>IF(R97="","",IFERROR(TODAY()+VLOOKUP(R97,REGRAS!$B$2:$C$13,2,0),""))</f>
        <v/>
      </c>
    </row>
    <row r="98">
      <c r="T98" s="47">
        <f>IF(R98="","",IFERROR(TODAY()+VLOOKUP(R98,REGRAS!$B$2:$C$13,2,0),""))</f>
        <v/>
      </c>
    </row>
    <row r="99">
      <c r="T99" s="47">
        <f>IF(R99="","",IFERROR(TODAY()+VLOOKUP(R99,REGRAS!$B$2:$C$13,2,0),""))</f>
        <v/>
      </c>
    </row>
    <row r="100">
      <c r="T100" s="47">
        <f>IF(R100="","",IFERROR(TODAY()+VLOOKUP(R100,REGRAS!$B$2:$C$13,2,0),""))</f>
        <v/>
      </c>
    </row>
    <row r="101">
      <c r="T101" s="47">
        <f>IF(R101="","",IFERROR(TODAY()+VLOOKUP(R101,REGRAS!$B$2:$C$13,2,0),""))</f>
        <v/>
      </c>
    </row>
    <row r="102">
      <c r="T102" s="47">
        <f>IF(R102="","",IFERROR(TODAY()+VLOOKUP(R102,REGRAS!$B$2:$C$13,2,0),""))</f>
        <v/>
      </c>
    </row>
    <row r="103">
      <c r="T103" s="47">
        <f>IF(R103="","",IFERROR(TODAY()+VLOOKUP(R103,REGRAS!$B$2:$C$13,2,0),""))</f>
        <v/>
      </c>
    </row>
    <row r="104">
      <c r="T104" s="47">
        <f>IF(R104="","",IFERROR(TODAY()+VLOOKUP(R104,REGRAS!$B$2:$C$13,2,0),""))</f>
        <v/>
      </c>
    </row>
    <row r="105">
      <c r="T105" s="47">
        <f>IF(R105="","",IFERROR(TODAY()+VLOOKUP(R105,REGRAS!$B$2:$C$13,2,0),""))</f>
        <v/>
      </c>
    </row>
    <row r="106">
      <c r="T106" s="47">
        <f>IF(R106="","",IFERROR(TODAY()+VLOOKUP(R106,REGRAS!$B$2:$C$13,2,0),""))</f>
        <v/>
      </c>
    </row>
    <row r="107">
      <c r="T107" s="47">
        <f>IF(R107="","",IFERROR(TODAY()+VLOOKUP(R107,REGRAS!$B$2:$C$13,2,0),""))</f>
        <v/>
      </c>
    </row>
    <row r="108">
      <c r="T108" s="47">
        <f>IF(R108="","",IFERROR(TODAY()+VLOOKUP(R108,REGRAS!$B$2:$C$13,2,0),""))</f>
        <v/>
      </c>
    </row>
    <row r="109">
      <c r="T109" s="47">
        <f>IF(R109="","",IFERROR(TODAY()+VLOOKUP(R109,REGRAS!$B$2:$C$13,2,0),""))</f>
        <v/>
      </c>
    </row>
    <row r="110">
      <c r="T110" s="47">
        <f>IF(R110="","",IFERROR(TODAY()+VLOOKUP(R110,REGRAS!$B$2:$C$13,2,0),""))</f>
        <v/>
      </c>
    </row>
    <row r="111">
      <c r="T111" s="47">
        <f>IF(R111="","",IFERROR(TODAY()+VLOOKUP(R111,REGRAS!$B$2:$C$13,2,0),""))</f>
        <v/>
      </c>
    </row>
    <row r="112">
      <c r="T112" s="47">
        <f>IF(R112="","",IFERROR(TODAY()+VLOOKUP(R112,REGRAS!$B$2:$C$13,2,0),""))</f>
        <v/>
      </c>
    </row>
    <row r="113">
      <c r="T113" s="47">
        <f>IF(R113="","",IFERROR(TODAY()+VLOOKUP(R113,REGRAS!$B$2:$C$13,2,0),""))</f>
        <v/>
      </c>
    </row>
    <row r="114">
      <c r="T114" s="47">
        <f>IF(R114="","",IFERROR(TODAY()+VLOOKUP(R114,REGRAS!$B$2:$C$13,2,0),""))</f>
        <v/>
      </c>
    </row>
    <row r="115">
      <c r="T115" s="47">
        <f>IF(R115="","",IFERROR(TODAY()+VLOOKUP(R115,REGRAS!$B$2:$C$13,2,0),""))</f>
        <v/>
      </c>
    </row>
    <row r="116">
      <c r="T116" s="47">
        <f>IF(R116="","",IFERROR(TODAY()+VLOOKUP(R116,REGRAS!$B$2:$C$13,2,0),""))</f>
        <v/>
      </c>
    </row>
    <row r="117">
      <c r="T117" s="47">
        <f>IF(R117="","",IFERROR(TODAY()+VLOOKUP(R117,REGRAS!$B$2:$C$13,2,0),""))</f>
        <v/>
      </c>
    </row>
    <row r="118">
      <c r="T118" s="47">
        <f>IF(R118="","",IFERROR(TODAY()+VLOOKUP(R118,REGRAS!$B$2:$C$13,2,0),""))</f>
        <v/>
      </c>
    </row>
    <row r="119">
      <c r="T119" s="47">
        <f>IF(R119="","",IFERROR(TODAY()+VLOOKUP(R119,REGRAS!$B$2:$C$13,2,0),""))</f>
        <v/>
      </c>
    </row>
    <row r="120">
      <c r="T120" s="47">
        <f>IF(R120="","",IFERROR(TODAY()+VLOOKUP(R120,REGRAS!$B$2:$C$13,2,0),""))</f>
        <v/>
      </c>
    </row>
    <row r="121">
      <c r="T121" s="47">
        <f>IF(R121="","",IFERROR(TODAY()+VLOOKUP(R121,REGRAS!$B$2:$C$13,2,0),""))</f>
        <v/>
      </c>
    </row>
    <row r="122">
      <c r="T122" s="47">
        <f>IF(R122="","",IFERROR(TODAY()+VLOOKUP(R122,REGRAS!$B$2:$C$13,2,0),""))</f>
        <v/>
      </c>
    </row>
    <row r="123">
      <c r="T123" s="47">
        <f>IF(R123="","",IFERROR(TODAY()+VLOOKUP(R123,REGRAS!$B$2:$C$13,2,0),""))</f>
        <v/>
      </c>
    </row>
    <row r="124">
      <c r="T124" s="47">
        <f>IF(R124="","",IFERROR(TODAY()+VLOOKUP(R124,REGRAS!$B$2:$C$13,2,0),""))</f>
        <v/>
      </c>
    </row>
    <row r="125">
      <c r="T125" s="47">
        <f>IF(R125="","",IFERROR(TODAY()+VLOOKUP(R125,REGRAS!$B$2:$C$13,2,0),""))</f>
        <v/>
      </c>
    </row>
    <row r="126">
      <c r="T126" s="47">
        <f>IF(R126="","",IFERROR(TODAY()+VLOOKUP(R126,REGRAS!$B$2:$C$13,2,0),""))</f>
        <v/>
      </c>
    </row>
    <row r="127">
      <c r="T127" s="47">
        <f>IF(R127="","",IFERROR(TODAY()+VLOOKUP(R127,REGRAS!$B$2:$C$13,2,0),""))</f>
        <v/>
      </c>
    </row>
    <row r="128">
      <c r="T128" s="47">
        <f>IF(R128="","",IFERROR(TODAY()+VLOOKUP(R128,REGRAS!$B$2:$C$13,2,0),""))</f>
        <v/>
      </c>
    </row>
    <row r="129">
      <c r="T129" s="47">
        <f>IF(R129="","",IFERROR(TODAY()+VLOOKUP(R129,REGRAS!$B$2:$C$13,2,0),""))</f>
        <v/>
      </c>
    </row>
    <row r="130">
      <c r="T130" s="47">
        <f>IF(R130="","",IFERROR(TODAY()+VLOOKUP(R130,REGRAS!$B$2:$C$13,2,0),""))</f>
        <v/>
      </c>
    </row>
    <row r="131">
      <c r="T131" s="47">
        <f>IF(R131="","",IFERROR(TODAY()+VLOOKUP(R131,REGRAS!$B$2:$C$13,2,0),""))</f>
        <v/>
      </c>
    </row>
    <row r="132">
      <c r="T132" s="47">
        <f>IF(R132="","",IFERROR(TODAY()+VLOOKUP(R132,REGRAS!$B$2:$C$13,2,0),""))</f>
        <v/>
      </c>
    </row>
    <row r="133">
      <c r="T133" s="47">
        <f>IF(R133="","",IFERROR(TODAY()+VLOOKUP(R133,REGRAS!$B$2:$C$13,2,0),""))</f>
        <v/>
      </c>
    </row>
    <row r="134">
      <c r="T134" s="47">
        <f>IF(R134="","",IFERROR(TODAY()+VLOOKUP(R134,REGRAS!$B$2:$C$13,2,0),""))</f>
        <v/>
      </c>
    </row>
    <row r="135">
      <c r="T135" s="47">
        <f>IF(R135="","",IFERROR(TODAY()+VLOOKUP(R135,REGRAS!$B$2:$C$13,2,0),""))</f>
        <v/>
      </c>
    </row>
    <row r="136">
      <c r="T136" s="47">
        <f>IF(R136="","",IFERROR(TODAY()+VLOOKUP(R136,REGRAS!$B$2:$C$13,2,0),""))</f>
        <v/>
      </c>
    </row>
    <row r="137">
      <c r="T137" s="47">
        <f>IF(R137="","",IFERROR(TODAY()+VLOOKUP(R137,REGRAS!$B$2:$C$13,2,0),""))</f>
        <v/>
      </c>
    </row>
    <row r="138">
      <c r="T138" s="47">
        <f>IF(R138="","",IFERROR(TODAY()+VLOOKUP(R138,REGRAS!$B$2:$C$13,2,0),""))</f>
        <v/>
      </c>
    </row>
    <row r="139">
      <c r="T139" s="47">
        <f>IF(R139="","",IFERROR(TODAY()+VLOOKUP(R139,REGRAS!$B$2:$C$13,2,0),""))</f>
        <v/>
      </c>
    </row>
    <row r="140">
      <c r="T140" s="47">
        <f>IF(R140="","",IFERROR(TODAY()+VLOOKUP(R140,REGRAS!$B$2:$C$13,2,0),""))</f>
        <v/>
      </c>
    </row>
    <row r="141">
      <c r="T141" s="47">
        <f>IF(R141="","",IFERROR(TODAY()+VLOOKUP(R141,REGRAS!$B$2:$C$13,2,0),""))</f>
        <v/>
      </c>
    </row>
    <row r="142">
      <c r="T142" s="47">
        <f>IF(R142="","",IFERROR(TODAY()+VLOOKUP(R142,REGRAS!$B$2:$C$13,2,0),""))</f>
        <v/>
      </c>
    </row>
    <row r="143">
      <c r="T143" s="47">
        <f>IF(R143="","",IFERROR(TODAY()+VLOOKUP(R143,REGRAS!$B$2:$C$13,2,0),""))</f>
        <v/>
      </c>
    </row>
    <row r="144">
      <c r="T144" s="47">
        <f>IF(R144="","",IFERROR(TODAY()+VLOOKUP(R144,REGRAS!$B$2:$C$13,2,0),""))</f>
        <v/>
      </c>
    </row>
    <row r="145">
      <c r="T145" s="47">
        <f>IF(R145="","",IFERROR(TODAY()+VLOOKUP(R145,REGRAS!$B$2:$C$13,2,0),""))</f>
        <v/>
      </c>
    </row>
    <row r="146">
      <c r="T146" s="47">
        <f>IF(R146="","",IFERROR(TODAY()+VLOOKUP(R146,REGRAS!$B$2:$C$13,2,0),""))</f>
        <v/>
      </c>
    </row>
    <row r="147">
      <c r="T147" s="47">
        <f>IF(R147="","",IFERROR(TODAY()+VLOOKUP(R147,REGRAS!$B$2:$C$13,2,0),""))</f>
        <v/>
      </c>
    </row>
    <row r="148">
      <c r="T148" s="47">
        <f>IF(R148="","",IFERROR(TODAY()+VLOOKUP(R148,REGRAS!$B$2:$C$13,2,0),""))</f>
        <v/>
      </c>
    </row>
    <row r="149">
      <c r="T149" s="47">
        <f>IF(R149="","",IFERROR(TODAY()+VLOOKUP(R149,REGRAS!$B$2:$C$13,2,0),""))</f>
        <v/>
      </c>
    </row>
    <row r="150">
      <c r="T150" s="47">
        <f>IF(R150="","",IFERROR(TODAY()+VLOOKUP(R150,REGRAS!$B$2:$C$13,2,0),""))</f>
        <v/>
      </c>
    </row>
    <row r="151">
      <c r="T151" s="47">
        <f>IF(R151="","",IFERROR(TODAY()+VLOOKUP(R151,REGRAS!$B$2:$C$13,2,0),""))</f>
        <v/>
      </c>
    </row>
    <row r="152">
      <c r="T152" s="47">
        <f>IF(R152="","",IFERROR(TODAY()+VLOOKUP(R152,REGRAS!$B$2:$C$13,2,0),""))</f>
        <v/>
      </c>
    </row>
    <row r="153">
      <c r="T153" s="47">
        <f>IF(R153="","",IFERROR(TODAY()+VLOOKUP(R153,REGRAS!$B$2:$C$13,2,0),""))</f>
        <v/>
      </c>
    </row>
    <row r="154">
      <c r="T154" s="47">
        <f>IF(R154="","",IFERROR(TODAY()+VLOOKUP(R154,REGRAS!$B$2:$C$13,2,0),""))</f>
        <v/>
      </c>
    </row>
    <row r="155">
      <c r="T155" s="47">
        <f>IF(R155="","",IFERROR(TODAY()+VLOOKUP(R155,REGRAS!$B$2:$C$13,2,0),""))</f>
        <v/>
      </c>
    </row>
    <row r="156">
      <c r="T156" s="47">
        <f>IF(R156="","",IFERROR(TODAY()+VLOOKUP(R156,REGRAS!$B$2:$C$13,2,0),""))</f>
        <v/>
      </c>
    </row>
    <row r="157">
      <c r="T157" s="47">
        <f>IF(R157="","",IFERROR(TODAY()+VLOOKUP(R157,REGRAS!$B$2:$C$13,2,0),""))</f>
        <v/>
      </c>
    </row>
    <row r="158">
      <c r="T158" s="47">
        <f>IF(R158="","",IFERROR(TODAY()+VLOOKUP(R158,REGRAS!$B$2:$C$13,2,0),""))</f>
        <v/>
      </c>
    </row>
    <row r="159">
      <c r="T159" s="47">
        <f>IF(R159="","",IFERROR(TODAY()+VLOOKUP(R159,REGRAS!$B$2:$C$13,2,0),""))</f>
        <v/>
      </c>
    </row>
    <row r="160">
      <c r="T160" s="47">
        <f>IF(R160="","",IFERROR(TODAY()+VLOOKUP(R160,REGRAS!$B$2:$C$13,2,0),""))</f>
        <v/>
      </c>
    </row>
    <row r="161">
      <c r="T161" s="47">
        <f>IF(R161="","",IFERROR(TODAY()+VLOOKUP(R161,REGRAS!$B$2:$C$13,2,0),""))</f>
        <v/>
      </c>
    </row>
    <row r="162">
      <c r="T162" s="47">
        <f>IF(R162="","",IFERROR(TODAY()+VLOOKUP(R162,REGRAS!$B$2:$C$13,2,0),""))</f>
        <v/>
      </c>
    </row>
    <row r="163">
      <c r="T163" s="47">
        <f>IF(R163="","",IFERROR(TODAY()+VLOOKUP(R163,REGRAS!$B$2:$C$13,2,0),""))</f>
        <v/>
      </c>
    </row>
    <row r="164">
      <c r="T164" s="47">
        <f>IF(R164="","",IFERROR(TODAY()+VLOOKUP(R164,REGRAS!$B$2:$C$13,2,0),""))</f>
        <v/>
      </c>
    </row>
    <row r="165">
      <c r="T165" s="47">
        <f>IF(R165="","",IFERROR(TODAY()+VLOOKUP(R165,REGRAS!$B$2:$C$13,2,0),""))</f>
        <v/>
      </c>
    </row>
    <row r="166">
      <c r="T166" s="47">
        <f>IF(R166="","",IFERROR(TODAY()+VLOOKUP(R166,REGRAS!$B$2:$C$13,2,0),""))</f>
        <v/>
      </c>
    </row>
    <row r="167">
      <c r="T167" s="47">
        <f>IF(R167="","",IFERROR(TODAY()+VLOOKUP(R167,REGRAS!$B$2:$C$13,2,0),""))</f>
        <v/>
      </c>
    </row>
    <row r="168">
      <c r="T168" s="47">
        <f>IF(R168="","",IFERROR(TODAY()+VLOOKUP(R168,REGRAS!$B$2:$C$13,2,0),""))</f>
        <v/>
      </c>
    </row>
    <row r="169">
      <c r="T169" s="47">
        <f>IF(R169="","",IFERROR(TODAY()+VLOOKUP(R169,REGRAS!$B$2:$C$13,2,0),""))</f>
        <v/>
      </c>
    </row>
    <row r="170">
      <c r="T170" s="47">
        <f>IF(R170="","",IFERROR(TODAY()+VLOOKUP(R170,REGRAS!$B$2:$C$13,2,0),""))</f>
        <v/>
      </c>
    </row>
    <row r="171">
      <c r="T171" s="47">
        <f>IF(R171="","",IFERROR(TODAY()+VLOOKUP(R171,REGRAS!$B$2:$C$13,2,0),""))</f>
        <v/>
      </c>
    </row>
    <row r="172">
      <c r="T172" s="47">
        <f>IF(R172="","",IFERROR(TODAY()+VLOOKUP(R172,REGRAS!$B$2:$C$13,2,0),""))</f>
        <v/>
      </c>
    </row>
    <row r="173">
      <c r="T173" s="47">
        <f>IF(R173="","",IFERROR(TODAY()+VLOOKUP(R173,REGRAS!$B$2:$C$13,2,0),""))</f>
        <v/>
      </c>
    </row>
    <row r="174">
      <c r="T174" s="47">
        <f>IF(R174="","",IFERROR(TODAY()+VLOOKUP(R174,REGRAS!$B$2:$C$13,2,0),""))</f>
        <v/>
      </c>
    </row>
    <row r="175">
      <c r="T175" s="47">
        <f>IF(R175="","",IFERROR(TODAY()+VLOOKUP(R175,REGRAS!$B$2:$C$13,2,0),""))</f>
        <v/>
      </c>
    </row>
    <row r="176">
      <c r="T176" s="47">
        <f>IF(R176="","",IFERROR(TODAY()+VLOOKUP(R176,REGRAS!$B$2:$C$13,2,0),""))</f>
        <v/>
      </c>
    </row>
    <row r="177">
      <c r="T177" s="47">
        <f>IF(R177="","",IFERROR(TODAY()+VLOOKUP(R177,REGRAS!$B$2:$C$13,2,0),""))</f>
        <v/>
      </c>
    </row>
    <row r="178">
      <c r="T178" s="47">
        <f>IF(R178="","",IFERROR(TODAY()+VLOOKUP(R178,REGRAS!$B$2:$C$13,2,0),""))</f>
        <v/>
      </c>
    </row>
    <row r="179">
      <c r="T179" s="47">
        <f>IF(R179="","",IFERROR(TODAY()+VLOOKUP(R179,REGRAS!$B$2:$C$13,2,0),""))</f>
        <v/>
      </c>
    </row>
    <row r="180">
      <c r="T180" s="47">
        <f>IF(R180="","",IFERROR(TODAY()+VLOOKUP(R180,REGRAS!$B$2:$C$13,2,0),""))</f>
        <v/>
      </c>
    </row>
    <row r="181">
      <c r="T181" s="47">
        <f>IF(R181="","",IFERROR(TODAY()+VLOOKUP(R181,REGRAS!$B$2:$C$13,2,0),""))</f>
        <v/>
      </c>
    </row>
    <row r="182">
      <c r="T182" s="47">
        <f>IF(R182="","",IFERROR(TODAY()+VLOOKUP(R182,REGRAS!$B$2:$C$13,2,0),""))</f>
        <v/>
      </c>
    </row>
    <row r="183">
      <c r="T183" s="47">
        <f>IF(R183="","",IFERROR(TODAY()+VLOOKUP(R183,REGRAS!$B$2:$C$13,2,0),""))</f>
        <v/>
      </c>
    </row>
    <row r="184">
      <c r="T184" s="47">
        <f>IF(R184="","",IFERROR(TODAY()+VLOOKUP(R184,REGRAS!$B$2:$C$13,2,0),""))</f>
        <v/>
      </c>
    </row>
    <row r="185">
      <c r="T185" s="47">
        <f>IF(R185="","",IFERROR(TODAY()+VLOOKUP(R185,REGRAS!$B$2:$C$13,2,0),""))</f>
        <v/>
      </c>
    </row>
    <row r="186">
      <c r="T186" s="47">
        <f>IF(R186="","",IFERROR(TODAY()+VLOOKUP(R186,REGRAS!$B$2:$C$13,2,0),""))</f>
        <v/>
      </c>
    </row>
    <row r="187">
      <c r="T187" s="47">
        <f>IF(R187="","",IFERROR(TODAY()+VLOOKUP(R187,REGRAS!$B$2:$C$13,2,0),""))</f>
        <v/>
      </c>
    </row>
    <row r="188">
      <c r="T188" s="47">
        <f>IF(R188="","",IFERROR(TODAY()+VLOOKUP(R188,REGRAS!$B$2:$C$13,2,0),""))</f>
        <v/>
      </c>
    </row>
    <row r="189">
      <c r="T189" s="47">
        <f>IF(R189="","",IFERROR(TODAY()+VLOOKUP(R189,REGRAS!$B$2:$C$13,2,0),""))</f>
        <v/>
      </c>
    </row>
    <row r="190">
      <c r="T190" s="47">
        <f>IF(R190="","",IFERROR(TODAY()+VLOOKUP(R190,REGRAS!$B$2:$C$13,2,0),""))</f>
        <v/>
      </c>
    </row>
    <row r="191">
      <c r="T191" s="47">
        <f>IF(R191="","",IFERROR(TODAY()+VLOOKUP(R191,REGRAS!$B$2:$C$13,2,0),""))</f>
        <v/>
      </c>
    </row>
    <row r="192">
      <c r="T192" s="47">
        <f>IF(R192="","",IFERROR(TODAY()+VLOOKUP(R192,REGRAS!$B$2:$C$13,2,0),""))</f>
        <v/>
      </c>
    </row>
    <row r="193">
      <c r="T193" s="47">
        <f>IF(R193="","",IFERROR(TODAY()+VLOOKUP(R193,REGRAS!$B$2:$C$13,2,0),""))</f>
        <v/>
      </c>
    </row>
    <row r="194">
      <c r="T194" s="47">
        <f>IF(R194="","",IFERROR(TODAY()+VLOOKUP(R194,REGRAS!$B$2:$C$13,2,0),""))</f>
        <v/>
      </c>
    </row>
    <row r="195">
      <c r="T195" s="47">
        <f>IF(R195="","",IFERROR(TODAY()+VLOOKUP(R195,REGRAS!$B$2:$C$13,2,0),""))</f>
        <v/>
      </c>
    </row>
    <row r="196">
      <c r="T196" s="47">
        <f>IF(R196="","",IFERROR(TODAY()+VLOOKUP(R196,REGRAS!$B$2:$C$13,2,0),""))</f>
        <v/>
      </c>
    </row>
    <row r="197">
      <c r="T197" s="47">
        <f>IF(R197="","",IFERROR(TODAY()+VLOOKUP(R197,REGRAS!$B$2:$C$13,2,0),""))</f>
        <v/>
      </c>
    </row>
    <row r="198">
      <c r="T198" s="47">
        <f>IF(R198="","",IFERROR(TODAY()+VLOOKUP(R198,REGRAS!$B$2:$C$13,2,0),""))</f>
        <v/>
      </c>
    </row>
    <row r="199">
      <c r="T199" s="47">
        <f>IF(R199="","",IFERROR(TODAY()+VLOOKUP(R199,REGRAS!$B$2:$C$13,2,0),""))</f>
        <v/>
      </c>
    </row>
    <row r="200">
      <c r="T200" s="47">
        <f>IF(R200="","",IFERROR(TODAY()+VLOOKUP(R200,REGRAS!$B$2:$C$13,2,0),""))</f>
        <v/>
      </c>
    </row>
    <row r="201">
      <c r="T201" s="47">
        <f>IF(R201="","",IFERROR(TODAY()+VLOOKUP(R201,REGRAS!$B$2:$C$13,2,0),""))</f>
        <v/>
      </c>
    </row>
    <row r="202">
      <c r="T202" s="47">
        <f>IF(R202="","",IFERROR(TODAY()+VLOOKUP(R202,REGRAS!$B$2:$C$13,2,0),""))</f>
        <v/>
      </c>
    </row>
    <row r="203">
      <c r="T203" s="47">
        <f>IF(R203="","",IFERROR(TODAY()+VLOOKUP(R203,REGRAS!$B$2:$C$13,2,0),""))</f>
        <v/>
      </c>
    </row>
    <row r="204">
      <c r="T204" s="47">
        <f>IF(R204="","",IFERROR(TODAY()+VLOOKUP(R204,REGRAS!$B$2:$C$13,2,0),""))</f>
        <v/>
      </c>
    </row>
    <row r="205">
      <c r="T205" s="47">
        <f>IF(R205="","",IFERROR(TODAY()+VLOOKUP(R205,REGRAS!$B$2:$C$13,2,0),""))</f>
        <v/>
      </c>
    </row>
    <row r="206">
      <c r="T206" s="47">
        <f>IF(R206="","",IFERROR(TODAY()+VLOOKUP(R206,REGRAS!$B$2:$C$13,2,0),""))</f>
        <v/>
      </c>
    </row>
    <row r="207">
      <c r="T207" s="47">
        <f>IF(R207="","",IFERROR(TODAY()+VLOOKUP(R207,REGRAS!$B$2:$C$13,2,0),""))</f>
        <v/>
      </c>
    </row>
    <row r="208">
      <c r="T208" s="47">
        <f>IF(R208="","",IFERROR(TODAY()+VLOOKUP(R208,REGRAS!$B$2:$C$13,2,0),""))</f>
        <v/>
      </c>
    </row>
    <row r="209">
      <c r="T209" s="47">
        <f>IF(R209="","",IFERROR(TODAY()+VLOOKUP(R209,REGRAS!$B$2:$C$13,2,0),""))</f>
        <v/>
      </c>
    </row>
    <row r="210">
      <c r="T210" s="47">
        <f>IF(R210="","",IFERROR(TODAY()+VLOOKUP(R210,REGRAS!$B$2:$C$13,2,0),""))</f>
        <v/>
      </c>
    </row>
    <row r="211">
      <c r="T211" s="47">
        <f>IF(R211="","",IFERROR(TODAY()+VLOOKUP(R211,REGRAS!$B$2:$C$13,2,0),""))</f>
        <v/>
      </c>
    </row>
    <row r="212">
      <c r="T212" s="47">
        <f>IF(R212="","",IFERROR(TODAY()+VLOOKUP(R212,REGRAS!$B$2:$C$13,2,0),""))</f>
        <v/>
      </c>
    </row>
    <row r="213">
      <c r="T213" s="47">
        <f>IF(R213="","",IFERROR(TODAY()+VLOOKUP(R213,REGRAS!$B$2:$C$13,2,0),""))</f>
        <v/>
      </c>
    </row>
    <row r="214">
      <c r="T214" s="47">
        <f>IF(R214="","",IFERROR(TODAY()+VLOOKUP(R214,REGRAS!$B$2:$C$13,2,0),""))</f>
        <v/>
      </c>
    </row>
    <row r="215">
      <c r="T215" s="47">
        <f>IF(R215="","",IFERROR(TODAY()+VLOOKUP(R215,REGRAS!$B$2:$C$13,2,0),""))</f>
        <v/>
      </c>
    </row>
    <row r="216">
      <c r="T216" s="47">
        <f>IF(R216="","",IFERROR(TODAY()+VLOOKUP(R216,REGRAS!$B$2:$C$13,2,0),""))</f>
        <v/>
      </c>
    </row>
    <row r="217">
      <c r="T217" s="47">
        <f>IF(R217="","",IFERROR(TODAY()+VLOOKUP(R217,REGRAS!$B$2:$C$13,2,0),""))</f>
        <v/>
      </c>
    </row>
    <row r="218">
      <c r="T218" s="47">
        <f>IF(R218="","",IFERROR(TODAY()+VLOOKUP(R218,REGRAS!$B$2:$C$13,2,0),""))</f>
        <v/>
      </c>
    </row>
    <row r="219">
      <c r="T219" s="47">
        <f>IF(R219="","",IFERROR(TODAY()+VLOOKUP(R219,REGRAS!$B$2:$C$13,2,0),""))</f>
        <v/>
      </c>
    </row>
    <row r="220">
      <c r="T220" s="47">
        <f>IF(R220="","",IFERROR(TODAY()+VLOOKUP(R220,REGRAS!$B$2:$C$13,2,0),""))</f>
        <v/>
      </c>
    </row>
    <row r="221">
      <c r="T221" s="47">
        <f>IF(R221="","",IFERROR(TODAY()+VLOOKUP(R221,REGRAS!$B$2:$C$13,2,0),""))</f>
        <v/>
      </c>
    </row>
    <row r="222">
      <c r="T222" s="47">
        <f>IF(R222="","",IFERROR(TODAY()+VLOOKUP(R222,REGRAS!$B$2:$C$13,2,0),""))</f>
        <v/>
      </c>
    </row>
    <row r="223">
      <c r="T223" s="47">
        <f>IF(R223="","",IFERROR(TODAY()+VLOOKUP(R223,REGRAS!$B$2:$C$13,2,0),""))</f>
        <v/>
      </c>
    </row>
    <row r="224">
      <c r="T224" s="47">
        <f>IF(R224="","",IFERROR(TODAY()+VLOOKUP(R224,REGRAS!$B$2:$C$13,2,0),""))</f>
        <v/>
      </c>
    </row>
    <row r="225">
      <c r="T225" s="47">
        <f>IF(R225="","",IFERROR(TODAY()+VLOOKUP(R225,REGRAS!$B$2:$C$13,2,0),""))</f>
        <v/>
      </c>
    </row>
    <row r="226">
      <c r="T226" s="47">
        <f>IF(R226="","",IFERROR(TODAY()+VLOOKUP(R226,REGRAS!$B$2:$C$13,2,0),""))</f>
        <v/>
      </c>
    </row>
    <row r="227">
      <c r="T227" s="47">
        <f>IF(R227="","",IFERROR(TODAY()+VLOOKUP(R227,REGRAS!$B$2:$C$13,2,0),""))</f>
        <v/>
      </c>
    </row>
    <row r="228">
      <c r="T228" s="47">
        <f>IF(R228="","",IFERROR(TODAY()+VLOOKUP(R228,REGRAS!$B$2:$C$13,2,0),""))</f>
        <v/>
      </c>
    </row>
    <row r="229">
      <c r="T229" s="47">
        <f>IF(R229="","",IFERROR(TODAY()+VLOOKUP(R229,REGRAS!$B$2:$C$13,2,0),""))</f>
        <v/>
      </c>
    </row>
    <row r="230">
      <c r="T230" s="47">
        <f>IF(R230="","",IFERROR(TODAY()+VLOOKUP(R230,REGRAS!$B$2:$C$13,2,0),""))</f>
        <v/>
      </c>
    </row>
    <row r="231">
      <c r="T231" s="47">
        <f>IF(R231="","",IFERROR(TODAY()+VLOOKUP(R231,REGRAS!$B$2:$C$13,2,0),""))</f>
        <v/>
      </c>
    </row>
    <row r="232">
      <c r="T232" s="47">
        <f>IF(R232="","",IFERROR(TODAY()+VLOOKUP(R232,REGRAS!$B$2:$C$13,2,0),""))</f>
        <v/>
      </c>
    </row>
    <row r="233">
      <c r="T233" s="47">
        <f>IF(R233="","",IFERROR(TODAY()+VLOOKUP(R233,REGRAS!$B$2:$C$13,2,0),""))</f>
        <v/>
      </c>
    </row>
    <row r="234">
      <c r="T234" s="47">
        <f>IF(R234="","",IFERROR(TODAY()+VLOOKUP(R234,REGRAS!$B$2:$C$13,2,0),""))</f>
        <v/>
      </c>
    </row>
    <row r="235">
      <c r="T235" s="47">
        <f>IF(R235="","",IFERROR(TODAY()+VLOOKUP(R235,REGRAS!$B$2:$C$13,2,0),""))</f>
        <v/>
      </c>
    </row>
    <row r="236">
      <c r="T236" s="47">
        <f>IF(R236="","",IFERROR(TODAY()+VLOOKUP(R236,REGRAS!$B$2:$C$13,2,0),""))</f>
        <v/>
      </c>
    </row>
    <row r="237">
      <c r="T237" s="47">
        <f>IF(R237="","",IFERROR(TODAY()+VLOOKUP(R237,REGRAS!$B$2:$C$13,2,0),""))</f>
        <v/>
      </c>
    </row>
    <row r="238">
      <c r="T238" s="47">
        <f>IF(R238="","",IFERROR(TODAY()+VLOOKUP(R238,REGRAS!$B$2:$C$13,2,0),""))</f>
        <v/>
      </c>
    </row>
    <row r="239">
      <c r="T239" s="47">
        <f>IF(R239="","",IFERROR(TODAY()+VLOOKUP(R239,REGRAS!$B$2:$C$13,2,0),""))</f>
        <v/>
      </c>
    </row>
    <row r="240">
      <c r="T240" s="47">
        <f>IF(R240="","",IFERROR(TODAY()+VLOOKUP(R240,REGRAS!$B$2:$C$13,2,0),""))</f>
        <v/>
      </c>
    </row>
    <row r="241">
      <c r="T241" s="47">
        <f>IF(R241="","",IFERROR(TODAY()+VLOOKUP(R241,REGRAS!$B$2:$C$13,2,0),""))</f>
        <v/>
      </c>
    </row>
    <row r="242">
      <c r="T242" s="47">
        <f>IF(R242="","",IFERROR(TODAY()+VLOOKUP(R242,REGRAS!$B$2:$C$13,2,0),""))</f>
        <v/>
      </c>
    </row>
    <row r="243">
      <c r="T243" s="47">
        <f>IF(R243="","",IFERROR(TODAY()+VLOOKUP(R243,REGRAS!$B$2:$C$13,2,0),""))</f>
        <v/>
      </c>
    </row>
    <row r="244">
      <c r="T244" s="47">
        <f>IF(R244="","",IFERROR(TODAY()+VLOOKUP(R244,REGRAS!$B$2:$C$13,2,0),""))</f>
        <v/>
      </c>
    </row>
    <row r="245">
      <c r="T245" s="47">
        <f>IF(R245="","",IFERROR(TODAY()+VLOOKUP(R245,REGRAS!$B$2:$C$13,2,0),""))</f>
        <v/>
      </c>
    </row>
    <row r="246">
      <c r="T246" s="47">
        <f>IF(R246="","",IFERROR(TODAY()+VLOOKUP(R246,REGRAS!$B$2:$C$13,2,0),""))</f>
        <v/>
      </c>
    </row>
    <row r="247">
      <c r="T247" s="47">
        <f>IF(R247="","",IFERROR(TODAY()+VLOOKUP(R247,REGRAS!$B$2:$C$13,2,0),""))</f>
        <v/>
      </c>
    </row>
    <row r="248">
      <c r="T248" s="47">
        <f>IF(R248="","",IFERROR(TODAY()+VLOOKUP(R248,REGRAS!$B$2:$C$13,2,0),""))</f>
        <v/>
      </c>
    </row>
    <row r="249">
      <c r="T249" s="47">
        <f>IF(R249="","",IFERROR(TODAY()+VLOOKUP(R249,REGRAS!$B$2:$C$13,2,0),""))</f>
        <v/>
      </c>
    </row>
    <row r="250">
      <c r="T250" s="47">
        <f>IF(R250="","",IFERROR(TODAY()+VLOOKUP(R250,REGRAS!$B$2:$C$13,2,0),""))</f>
        <v/>
      </c>
    </row>
    <row r="251">
      <c r="T251" s="47">
        <f>IF(R251="","",IFERROR(TODAY()+VLOOKUP(R251,REGRAS!$B$2:$C$13,2,0),""))</f>
        <v/>
      </c>
    </row>
    <row r="252">
      <c r="T252" s="47">
        <f>IF(R252="","",IFERROR(TODAY()+VLOOKUP(R252,REGRAS!$B$2:$C$13,2,0),""))</f>
        <v/>
      </c>
    </row>
    <row r="253">
      <c r="T253" s="47">
        <f>IF(R253="","",IFERROR(TODAY()+VLOOKUP(R253,REGRAS!$B$2:$C$13,2,0),""))</f>
        <v/>
      </c>
    </row>
    <row r="254">
      <c r="T254" s="47">
        <f>IF(R254="","",IFERROR(TODAY()+VLOOKUP(R254,REGRAS!$B$2:$C$13,2,0),""))</f>
        <v/>
      </c>
    </row>
    <row r="255">
      <c r="T255" s="47">
        <f>IF(R255="","",IFERROR(TODAY()+VLOOKUP(R255,REGRAS!$B$2:$C$13,2,0),""))</f>
        <v/>
      </c>
    </row>
    <row r="256">
      <c r="T256" s="47">
        <f>IF(R256="","",IFERROR(TODAY()+VLOOKUP(R256,REGRAS!$B$2:$C$13,2,0),""))</f>
        <v/>
      </c>
    </row>
    <row r="257">
      <c r="T257" s="47">
        <f>IF(R257="","",IFERROR(TODAY()+VLOOKUP(R257,REGRAS!$B$2:$C$13,2,0),""))</f>
        <v/>
      </c>
    </row>
    <row r="258">
      <c r="T258" s="47">
        <f>IF(R258="","",IFERROR(TODAY()+VLOOKUP(R258,REGRAS!$B$2:$C$13,2,0),""))</f>
        <v/>
      </c>
    </row>
    <row r="259">
      <c r="T259" s="47">
        <f>IF(R259="","",IFERROR(TODAY()+VLOOKUP(R259,REGRAS!$B$2:$C$13,2,0),""))</f>
        <v/>
      </c>
    </row>
    <row r="260">
      <c r="T260" s="47">
        <f>IF(R260="","",IFERROR(TODAY()+VLOOKUP(R260,REGRAS!$B$2:$C$13,2,0),""))</f>
        <v/>
      </c>
    </row>
    <row r="261">
      <c r="T261" s="47">
        <f>IF(R261="","",IFERROR(TODAY()+VLOOKUP(R261,REGRAS!$B$2:$C$13,2,0),""))</f>
        <v/>
      </c>
    </row>
    <row r="262">
      <c r="T262" s="47">
        <f>IF(R262="","",IFERROR(TODAY()+VLOOKUP(R262,REGRAS!$B$2:$C$13,2,0),""))</f>
        <v/>
      </c>
    </row>
    <row r="263">
      <c r="T263" s="47">
        <f>IF(R263="","",IFERROR(TODAY()+VLOOKUP(R263,REGRAS!$B$2:$C$13,2,0),""))</f>
        <v/>
      </c>
    </row>
    <row r="264">
      <c r="T264" s="47">
        <f>IF(R264="","",IFERROR(TODAY()+VLOOKUP(R264,REGRAS!$B$2:$C$13,2,0),""))</f>
        <v/>
      </c>
    </row>
    <row r="265">
      <c r="T265" s="47">
        <f>IF(R265="","",IFERROR(TODAY()+VLOOKUP(R265,REGRAS!$B$2:$C$13,2,0),""))</f>
        <v/>
      </c>
    </row>
    <row r="266">
      <c r="T266" s="47">
        <f>IF(R266="","",IFERROR(TODAY()+VLOOKUP(R266,REGRAS!$B$2:$C$13,2,0),""))</f>
        <v/>
      </c>
    </row>
    <row r="267">
      <c r="T267" s="47">
        <f>IF(R267="","",IFERROR(TODAY()+VLOOKUP(R267,REGRAS!$B$2:$C$13,2,0),""))</f>
        <v/>
      </c>
    </row>
    <row r="268">
      <c r="T268" s="47">
        <f>IF(R268="","",IFERROR(TODAY()+VLOOKUP(R268,REGRAS!$B$2:$C$13,2,0),""))</f>
        <v/>
      </c>
    </row>
    <row r="269">
      <c r="T269" s="47">
        <f>IF(R269="","",IFERROR(TODAY()+VLOOKUP(R269,REGRAS!$B$2:$C$13,2,0),""))</f>
        <v/>
      </c>
    </row>
    <row r="270">
      <c r="T270" s="47">
        <f>IF(R270="","",IFERROR(TODAY()+VLOOKUP(R270,REGRAS!$B$2:$C$13,2,0),""))</f>
        <v/>
      </c>
    </row>
    <row r="271">
      <c r="T271" s="47">
        <f>IF(R271="","",IFERROR(TODAY()+VLOOKUP(R271,REGRAS!$B$2:$C$13,2,0),""))</f>
        <v/>
      </c>
    </row>
    <row r="272">
      <c r="T272" s="47">
        <f>IF(R272="","",IFERROR(TODAY()+VLOOKUP(R272,REGRAS!$B$2:$C$13,2,0),""))</f>
        <v/>
      </c>
    </row>
    <row r="273">
      <c r="T273" s="47">
        <f>IF(R273="","",IFERROR(TODAY()+VLOOKUP(R273,REGRAS!$B$2:$C$13,2,0),""))</f>
        <v/>
      </c>
    </row>
    <row r="274">
      <c r="T274" s="47">
        <f>IF(R274="","",IFERROR(TODAY()+VLOOKUP(R274,REGRAS!$B$2:$C$13,2,0),""))</f>
        <v/>
      </c>
    </row>
    <row r="275">
      <c r="T275" s="47">
        <f>IF(R275="","",IFERROR(TODAY()+VLOOKUP(R275,REGRAS!$B$2:$C$13,2,0),""))</f>
        <v/>
      </c>
    </row>
    <row r="276">
      <c r="T276" s="47">
        <f>IF(R276="","",IFERROR(TODAY()+VLOOKUP(R276,REGRAS!$B$2:$C$13,2,0),""))</f>
        <v/>
      </c>
    </row>
    <row r="277">
      <c r="T277" s="47">
        <f>IF(R277="","",IFERROR(TODAY()+VLOOKUP(R277,REGRAS!$B$2:$C$13,2,0),""))</f>
        <v/>
      </c>
    </row>
    <row r="278">
      <c r="T278" s="47">
        <f>IF(R278="","",IFERROR(TODAY()+VLOOKUP(R278,REGRAS!$B$2:$C$13,2,0),""))</f>
        <v/>
      </c>
    </row>
    <row r="279">
      <c r="T279" s="47">
        <f>IF(R279="","",IFERROR(TODAY()+VLOOKUP(R279,REGRAS!$B$2:$C$13,2,0),""))</f>
        <v/>
      </c>
    </row>
    <row r="280">
      <c r="T280" s="47">
        <f>IF(R280="","",IFERROR(TODAY()+VLOOKUP(R280,REGRAS!$B$2:$C$13,2,0),""))</f>
        <v/>
      </c>
    </row>
    <row r="281">
      <c r="T281" s="47">
        <f>IF(R281="","",IFERROR(TODAY()+VLOOKUP(R281,REGRAS!$B$2:$C$13,2,0),""))</f>
        <v/>
      </c>
    </row>
    <row r="282">
      <c r="T282" s="47">
        <f>IF(R282="","",IFERROR(TODAY()+VLOOKUP(R282,REGRAS!$B$2:$C$13,2,0),""))</f>
        <v/>
      </c>
    </row>
    <row r="283">
      <c r="T283" s="47">
        <f>IF(R283="","",IFERROR(TODAY()+VLOOKUP(R283,REGRAS!$B$2:$C$13,2,0),""))</f>
        <v/>
      </c>
    </row>
    <row r="284">
      <c r="T284" s="47">
        <f>IF(R284="","",IFERROR(TODAY()+VLOOKUP(R284,REGRAS!$B$2:$C$13,2,0),""))</f>
        <v/>
      </c>
    </row>
    <row r="285">
      <c r="T285" s="47">
        <f>IF(R285="","",IFERROR(TODAY()+VLOOKUP(R285,REGRAS!$B$2:$C$13,2,0),""))</f>
        <v/>
      </c>
    </row>
    <row r="286">
      <c r="T286" s="47">
        <f>IF(R286="","",IFERROR(TODAY()+VLOOKUP(R286,REGRAS!$B$2:$C$13,2,0),""))</f>
        <v/>
      </c>
    </row>
    <row r="287">
      <c r="T287" s="47">
        <f>IF(R287="","",IFERROR(TODAY()+VLOOKUP(R287,REGRAS!$B$2:$C$13,2,0),""))</f>
        <v/>
      </c>
    </row>
    <row r="288">
      <c r="T288" s="47">
        <f>IF(R288="","",IFERROR(TODAY()+VLOOKUP(R288,REGRAS!$B$2:$C$13,2,0),""))</f>
        <v/>
      </c>
    </row>
    <row r="289">
      <c r="T289" s="47">
        <f>IF(R289="","",IFERROR(TODAY()+VLOOKUP(R289,REGRAS!$B$2:$C$13,2,0),""))</f>
        <v/>
      </c>
    </row>
    <row r="290">
      <c r="T290" s="47">
        <f>IF(R290="","",IFERROR(TODAY()+VLOOKUP(R290,REGRAS!$B$2:$C$13,2,0),""))</f>
        <v/>
      </c>
    </row>
    <row r="291">
      <c r="T291" s="47">
        <f>IF(R291="","",IFERROR(TODAY()+VLOOKUP(R291,REGRAS!$B$2:$C$13,2,0),""))</f>
        <v/>
      </c>
    </row>
    <row r="292">
      <c r="T292" s="47">
        <f>IF(R292="","",IFERROR(TODAY()+VLOOKUP(R292,REGRAS!$B$2:$C$13,2,0),""))</f>
        <v/>
      </c>
    </row>
    <row r="293">
      <c r="T293" s="47">
        <f>IF(R293="","",IFERROR(TODAY()+VLOOKUP(R293,REGRAS!$B$2:$C$13,2,0),""))</f>
        <v/>
      </c>
    </row>
    <row r="294">
      <c r="T294" s="47">
        <f>IF(R294="","",IFERROR(TODAY()+VLOOKUP(R294,REGRAS!$B$2:$C$13,2,0),""))</f>
        <v/>
      </c>
    </row>
    <row r="295">
      <c r="T295" s="47">
        <f>IF(R295="","",IFERROR(TODAY()+VLOOKUP(R295,REGRAS!$B$2:$C$13,2,0),""))</f>
        <v/>
      </c>
    </row>
    <row r="296">
      <c r="T296" s="47">
        <f>IF(R296="","",IFERROR(TODAY()+VLOOKUP(R296,REGRAS!$B$2:$C$13,2,0),""))</f>
        <v/>
      </c>
    </row>
    <row r="297">
      <c r="T297" s="47">
        <f>IF(R297="","",IFERROR(TODAY()+VLOOKUP(R297,REGRAS!$B$2:$C$13,2,0),""))</f>
        <v/>
      </c>
    </row>
    <row r="298">
      <c r="T298" s="47">
        <f>IF(R298="","",IFERROR(TODAY()+VLOOKUP(R298,REGRAS!$B$2:$C$13,2,0),""))</f>
        <v/>
      </c>
    </row>
    <row r="299">
      <c r="T299" s="47">
        <f>IF(R299="","",IFERROR(TODAY()+VLOOKUP(R299,REGRAS!$B$2:$C$13,2,0),""))</f>
        <v/>
      </c>
    </row>
    <row r="300">
      <c r="T300" s="47">
        <f>IF(R300="","",IFERROR(TODAY()+VLOOKUP(R300,REGRAS!$B$2:$C$13,2,0),""))</f>
        <v/>
      </c>
    </row>
    <row r="301">
      <c r="T301" s="47">
        <f>IF(R301="","",IFERROR(TODAY()+VLOOKUP(R301,REGRAS!$B$2:$C$13,2,0),""))</f>
        <v/>
      </c>
    </row>
    <row r="302">
      <c r="T302" s="47">
        <f>IF(R302="","",IFERROR(TODAY()+VLOOKUP(R302,REGRAS!$B$2:$C$13,2,0),""))</f>
        <v/>
      </c>
    </row>
    <row r="303">
      <c r="T303" s="47">
        <f>IF(R303="","",IFERROR(TODAY()+VLOOKUP(R303,REGRAS!$B$2:$C$13,2,0),""))</f>
        <v/>
      </c>
    </row>
    <row r="304">
      <c r="T304" s="47">
        <f>IF(R304="","",IFERROR(TODAY()+VLOOKUP(R304,REGRAS!$B$2:$C$13,2,0),""))</f>
        <v/>
      </c>
    </row>
    <row r="305">
      <c r="T305" s="47">
        <f>IF(R305="","",IFERROR(TODAY()+VLOOKUP(R305,REGRAS!$B$2:$C$13,2,0),""))</f>
        <v/>
      </c>
    </row>
    <row r="306">
      <c r="T306" s="47">
        <f>IF(R306="","",IFERROR(TODAY()+VLOOKUP(R306,REGRAS!$B$2:$C$13,2,0),""))</f>
        <v/>
      </c>
    </row>
    <row r="307">
      <c r="T307" s="47">
        <f>IF(R307="","",IFERROR(TODAY()+VLOOKUP(R307,REGRAS!$B$2:$C$13,2,0),""))</f>
        <v/>
      </c>
    </row>
    <row r="308">
      <c r="T308" s="47">
        <f>IF(R308="","",IFERROR(TODAY()+VLOOKUP(R308,REGRAS!$B$2:$C$13,2,0),""))</f>
        <v/>
      </c>
    </row>
    <row r="309">
      <c r="T309" s="47">
        <f>IF(R309="","",IFERROR(TODAY()+VLOOKUP(R309,REGRAS!$B$2:$C$13,2,0),""))</f>
        <v/>
      </c>
    </row>
    <row r="310">
      <c r="T310" s="47">
        <f>IF(R310="","",IFERROR(TODAY()+VLOOKUP(R310,REGRAS!$B$2:$C$13,2,0),""))</f>
        <v/>
      </c>
    </row>
    <row r="311">
      <c r="T311" s="47">
        <f>IF(R311="","",IFERROR(TODAY()+VLOOKUP(R311,REGRAS!$B$2:$C$13,2,0),""))</f>
        <v/>
      </c>
    </row>
    <row r="312">
      <c r="T312" s="47">
        <f>IF(R312="","",IFERROR(TODAY()+VLOOKUP(R312,REGRAS!$B$2:$C$13,2,0),""))</f>
        <v/>
      </c>
    </row>
    <row r="313">
      <c r="T313" s="47">
        <f>IF(R313="","",IFERROR(TODAY()+VLOOKUP(R313,REGRAS!$B$2:$C$13,2,0),""))</f>
        <v/>
      </c>
    </row>
    <row r="314">
      <c r="T314" s="47">
        <f>IF(R314="","",IFERROR(TODAY()+VLOOKUP(R314,REGRAS!$B$2:$C$13,2,0),""))</f>
        <v/>
      </c>
    </row>
    <row r="315">
      <c r="T315" s="47">
        <f>IF(R315="","",IFERROR(TODAY()+VLOOKUP(R315,REGRAS!$B$2:$C$13,2,0),""))</f>
        <v/>
      </c>
    </row>
    <row r="316">
      <c r="T316" s="47">
        <f>IF(R316="","",IFERROR(TODAY()+VLOOKUP(R316,REGRAS!$B$2:$C$13,2,0),""))</f>
        <v/>
      </c>
    </row>
    <row r="317">
      <c r="T317" s="47">
        <f>IF(R317="","",IFERROR(TODAY()+VLOOKUP(R317,REGRAS!$B$2:$C$13,2,0),""))</f>
        <v/>
      </c>
    </row>
    <row r="318">
      <c r="T318" s="47">
        <f>IF(R318="","",IFERROR(TODAY()+VLOOKUP(R318,REGRAS!$B$2:$C$13,2,0),""))</f>
        <v/>
      </c>
    </row>
    <row r="319">
      <c r="T319" s="47">
        <f>IF(R319="","",IFERROR(TODAY()+VLOOKUP(R319,REGRAS!$B$2:$C$13,2,0),""))</f>
        <v/>
      </c>
    </row>
    <row r="320">
      <c r="T320" s="47">
        <f>IF(R320="","",IFERROR(TODAY()+VLOOKUP(R320,REGRAS!$B$2:$C$13,2,0),""))</f>
        <v/>
      </c>
    </row>
    <row r="321">
      <c r="T321" s="47">
        <f>IF(R321="","",IFERROR(TODAY()+VLOOKUP(R321,REGRAS!$B$2:$C$13,2,0),""))</f>
        <v/>
      </c>
    </row>
    <row r="322">
      <c r="T322" s="47">
        <f>IF(R322="","",IFERROR(TODAY()+VLOOKUP(R322,REGRAS!$B$2:$C$13,2,0),""))</f>
        <v/>
      </c>
    </row>
    <row r="323">
      <c r="T323" s="47">
        <f>IF(R323="","",IFERROR(TODAY()+VLOOKUP(R323,REGRAS!$B$2:$C$13,2,0),""))</f>
        <v/>
      </c>
    </row>
    <row r="324">
      <c r="T324" s="47">
        <f>IF(R324="","",IFERROR(TODAY()+VLOOKUP(R324,REGRAS!$B$2:$C$13,2,0),""))</f>
        <v/>
      </c>
    </row>
    <row r="325">
      <c r="T325" s="47">
        <f>IF(R325="","",IFERROR(TODAY()+VLOOKUP(R325,REGRAS!$B$2:$C$13,2,0),""))</f>
        <v/>
      </c>
    </row>
    <row r="326">
      <c r="T326" s="47">
        <f>IF(R326="","",IFERROR(TODAY()+VLOOKUP(R326,REGRAS!$B$2:$C$13,2,0),""))</f>
        <v/>
      </c>
    </row>
    <row r="327">
      <c r="T327" s="47">
        <f>IF(R327="","",IFERROR(TODAY()+VLOOKUP(R327,REGRAS!$B$2:$C$13,2,0),""))</f>
        <v/>
      </c>
    </row>
    <row r="328">
      <c r="T328" s="47">
        <f>IF(R328="","",IFERROR(TODAY()+VLOOKUP(R328,REGRAS!$B$2:$C$13,2,0),""))</f>
        <v/>
      </c>
    </row>
    <row r="329">
      <c r="T329" s="47">
        <f>IF(R329="","",IFERROR(TODAY()+VLOOKUP(R329,REGRAS!$B$2:$C$13,2,0),""))</f>
        <v/>
      </c>
    </row>
    <row r="330">
      <c r="T330" s="47">
        <f>IF(R330="","",IFERROR(TODAY()+VLOOKUP(R330,REGRAS!$B$2:$C$13,2,0),""))</f>
        <v/>
      </c>
    </row>
    <row r="331">
      <c r="T331" s="47">
        <f>IF(R331="","",IFERROR(TODAY()+VLOOKUP(R331,REGRAS!$B$2:$C$13,2,0),""))</f>
        <v/>
      </c>
    </row>
    <row r="332">
      <c r="T332" s="47">
        <f>IF(R332="","",IFERROR(TODAY()+VLOOKUP(R332,REGRAS!$B$2:$C$13,2,0),""))</f>
        <v/>
      </c>
    </row>
    <row r="333">
      <c r="T333" s="47">
        <f>IF(R333="","",IFERROR(TODAY()+VLOOKUP(R333,REGRAS!$B$2:$C$13,2,0),""))</f>
        <v/>
      </c>
    </row>
    <row r="334">
      <c r="T334" s="47">
        <f>IF(R334="","",IFERROR(TODAY()+VLOOKUP(R334,REGRAS!$B$2:$C$13,2,0),""))</f>
        <v/>
      </c>
    </row>
    <row r="335">
      <c r="T335" s="47">
        <f>IF(R335="","",IFERROR(TODAY()+VLOOKUP(R335,REGRAS!$B$2:$C$13,2,0),""))</f>
        <v/>
      </c>
    </row>
    <row r="336">
      <c r="T336" s="47">
        <f>IF(R336="","",IFERROR(TODAY()+VLOOKUP(R336,REGRAS!$B$2:$C$13,2,0),""))</f>
        <v/>
      </c>
    </row>
    <row r="337">
      <c r="T337" s="47">
        <f>IF(R337="","",IFERROR(TODAY()+VLOOKUP(R337,REGRAS!$B$2:$C$13,2,0),""))</f>
        <v/>
      </c>
    </row>
    <row r="338">
      <c r="T338" s="47">
        <f>IF(R338="","",IFERROR(TODAY()+VLOOKUP(R338,REGRAS!$B$2:$C$13,2,0),""))</f>
        <v/>
      </c>
    </row>
    <row r="339">
      <c r="T339" s="47">
        <f>IF(R339="","",IFERROR(TODAY()+VLOOKUP(R339,REGRAS!$B$2:$C$13,2,0),""))</f>
        <v/>
      </c>
    </row>
    <row r="340">
      <c r="T340" s="47">
        <f>IF(R340="","",IFERROR(TODAY()+VLOOKUP(R340,REGRAS!$B$2:$C$13,2,0),""))</f>
        <v/>
      </c>
    </row>
    <row r="341">
      <c r="T341" s="47">
        <f>IF(R341="","",IFERROR(TODAY()+VLOOKUP(R341,REGRAS!$B$2:$C$13,2,0),""))</f>
        <v/>
      </c>
    </row>
    <row r="342">
      <c r="T342" s="47">
        <f>IF(R342="","",IFERROR(TODAY()+VLOOKUP(R342,REGRAS!$B$2:$C$13,2,0),""))</f>
        <v/>
      </c>
    </row>
    <row r="343">
      <c r="T343" s="47">
        <f>IF(R343="","",IFERROR(TODAY()+VLOOKUP(R343,REGRAS!$B$2:$C$13,2,0),""))</f>
        <v/>
      </c>
    </row>
    <row r="344">
      <c r="T344" s="47">
        <f>IF(R344="","",IFERROR(TODAY()+VLOOKUP(R344,REGRAS!$B$2:$C$13,2,0),""))</f>
        <v/>
      </c>
    </row>
    <row r="345">
      <c r="T345" s="47">
        <f>IF(R345="","",IFERROR(TODAY()+VLOOKUP(R345,REGRAS!$B$2:$C$13,2,0),""))</f>
        <v/>
      </c>
    </row>
    <row r="346">
      <c r="T346" s="47">
        <f>IF(R346="","",IFERROR(TODAY()+VLOOKUP(R346,REGRAS!$B$2:$C$13,2,0),""))</f>
        <v/>
      </c>
    </row>
    <row r="347">
      <c r="T347" s="47">
        <f>IF(R347="","",IFERROR(TODAY()+VLOOKUP(R347,REGRAS!$B$2:$C$13,2,0),""))</f>
        <v/>
      </c>
    </row>
    <row r="348">
      <c r="T348" s="47">
        <f>IF(R348="","",IFERROR(TODAY()+VLOOKUP(R348,REGRAS!$B$2:$C$13,2,0),""))</f>
        <v/>
      </c>
    </row>
    <row r="349">
      <c r="T349" s="47">
        <f>IF(R349="","",IFERROR(TODAY()+VLOOKUP(R349,REGRAS!$B$2:$C$13,2,0),""))</f>
        <v/>
      </c>
    </row>
    <row r="350">
      <c r="T350" s="47">
        <f>IF(R350="","",IFERROR(TODAY()+VLOOKUP(R350,REGRAS!$B$2:$C$13,2,0),""))</f>
        <v/>
      </c>
    </row>
    <row r="351">
      <c r="T351" s="47">
        <f>IF(R351="","",IFERROR(TODAY()+VLOOKUP(R351,REGRAS!$B$2:$C$13,2,0),""))</f>
        <v/>
      </c>
    </row>
    <row r="352">
      <c r="T352" s="47">
        <f>IF(R352="","",IFERROR(TODAY()+VLOOKUP(R352,REGRAS!$B$2:$C$13,2,0),""))</f>
        <v/>
      </c>
    </row>
    <row r="353">
      <c r="T353" s="47">
        <f>IF(R353="","",IFERROR(TODAY()+VLOOKUP(R353,REGRAS!$B$2:$C$13,2,0),""))</f>
        <v/>
      </c>
    </row>
    <row r="354">
      <c r="T354" s="47">
        <f>IF(R354="","",IFERROR(TODAY()+VLOOKUP(R354,REGRAS!$B$2:$C$13,2,0),""))</f>
        <v/>
      </c>
    </row>
    <row r="355">
      <c r="T355" s="47">
        <f>IF(R355="","",IFERROR(TODAY()+VLOOKUP(R355,REGRAS!$B$2:$C$13,2,0),""))</f>
        <v/>
      </c>
    </row>
    <row r="356">
      <c r="T356" s="47">
        <f>IF(R356="","",IFERROR(TODAY()+VLOOKUP(R356,REGRAS!$B$2:$C$13,2,0),""))</f>
        <v/>
      </c>
    </row>
    <row r="357">
      <c r="T357" s="47">
        <f>IF(R357="","",IFERROR(TODAY()+VLOOKUP(R357,REGRAS!$B$2:$C$13,2,0),""))</f>
        <v/>
      </c>
    </row>
    <row r="358">
      <c r="T358" s="47">
        <f>IF(R358="","",IFERROR(TODAY()+VLOOKUP(R358,REGRAS!$B$2:$C$13,2,0),""))</f>
        <v/>
      </c>
    </row>
    <row r="359">
      <c r="T359" s="47">
        <f>IF(R359="","",IFERROR(TODAY()+VLOOKUP(R359,REGRAS!$B$2:$C$13,2,0),""))</f>
        <v/>
      </c>
    </row>
    <row r="360">
      <c r="T360" s="47">
        <f>IF(R360="","",IFERROR(TODAY()+VLOOKUP(R360,REGRAS!$B$2:$C$13,2,0),""))</f>
        <v/>
      </c>
    </row>
    <row r="361">
      <c r="T361" s="47">
        <f>IF(R361="","",IFERROR(TODAY()+VLOOKUP(R361,REGRAS!$B$2:$C$13,2,0),""))</f>
        <v/>
      </c>
    </row>
    <row r="362">
      <c r="T362" s="47">
        <f>IF(R362="","",IFERROR(TODAY()+VLOOKUP(R362,REGRAS!$B$2:$C$13,2,0),""))</f>
        <v/>
      </c>
    </row>
    <row r="363">
      <c r="T363" s="47">
        <f>IF(R363="","",IFERROR(TODAY()+VLOOKUP(R363,REGRAS!$B$2:$C$13,2,0),""))</f>
        <v/>
      </c>
    </row>
    <row r="364">
      <c r="T364" s="47">
        <f>IF(R364="","",IFERROR(TODAY()+VLOOKUP(R364,REGRAS!$B$2:$C$13,2,0),""))</f>
        <v/>
      </c>
    </row>
    <row r="365">
      <c r="T365" s="47">
        <f>IF(R365="","",IFERROR(TODAY()+VLOOKUP(R365,REGRAS!$B$2:$C$13,2,0),""))</f>
        <v/>
      </c>
    </row>
    <row r="366">
      <c r="T366" s="47">
        <f>IF(R366="","",IFERROR(TODAY()+VLOOKUP(R366,REGRAS!$B$2:$C$13,2,0),""))</f>
        <v/>
      </c>
    </row>
    <row r="367">
      <c r="T367" s="47">
        <f>IF(R367="","",IFERROR(TODAY()+VLOOKUP(R367,REGRAS!$B$2:$C$13,2,0),""))</f>
        <v/>
      </c>
    </row>
    <row r="368">
      <c r="T368" s="47">
        <f>IF(R368="","",IFERROR(TODAY()+VLOOKUP(R368,REGRAS!$B$2:$C$13,2,0),""))</f>
        <v/>
      </c>
    </row>
    <row r="369">
      <c r="T369" s="47">
        <f>IF(R369="","",IFERROR(TODAY()+VLOOKUP(R369,REGRAS!$B$2:$C$13,2,0),""))</f>
        <v/>
      </c>
    </row>
    <row r="370">
      <c r="T370" s="47">
        <f>IF(R370="","",IFERROR(TODAY()+VLOOKUP(R370,REGRAS!$B$2:$C$13,2,0),""))</f>
        <v/>
      </c>
    </row>
    <row r="371">
      <c r="T371" s="47">
        <f>IF(R371="","",IFERROR(TODAY()+VLOOKUP(R371,REGRAS!$B$2:$C$13,2,0),""))</f>
        <v/>
      </c>
    </row>
    <row r="372">
      <c r="T372" s="47">
        <f>IF(R372="","",IFERROR(TODAY()+VLOOKUP(R372,REGRAS!$B$2:$C$13,2,0),""))</f>
        <v/>
      </c>
    </row>
    <row r="373">
      <c r="T373" s="47">
        <f>IF(R373="","",IFERROR(TODAY()+VLOOKUP(R373,REGRAS!$B$2:$C$13,2,0),""))</f>
        <v/>
      </c>
    </row>
    <row r="374">
      <c r="T374" s="47">
        <f>IF(R374="","",IFERROR(TODAY()+VLOOKUP(R374,REGRAS!$B$2:$C$13,2,0),""))</f>
        <v/>
      </c>
    </row>
    <row r="375">
      <c r="T375" s="47">
        <f>IF(R375="","",IFERROR(TODAY()+VLOOKUP(R375,REGRAS!$B$2:$C$13,2,0),""))</f>
        <v/>
      </c>
    </row>
    <row r="376">
      <c r="T376" s="47">
        <f>IF(R376="","",IFERROR(TODAY()+VLOOKUP(R376,REGRAS!$B$2:$C$13,2,0),""))</f>
        <v/>
      </c>
    </row>
    <row r="377">
      <c r="T377" s="47">
        <f>IF(R377="","",IFERROR(TODAY()+VLOOKUP(R377,REGRAS!$B$2:$C$13,2,0),""))</f>
        <v/>
      </c>
    </row>
    <row r="378">
      <c r="T378" s="47">
        <f>IF(R378="","",IFERROR(TODAY()+VLOOKUP(R378,REGRAS!$B$2:$C$13,2,0),""))</f>
        <v/>
      </c>
    </row>
    <row r="379">
      <c r="T379" s="47">
        <f>IF(R379="","",IFERROR(TODAY()+VLOOKUP(R379,REGRAS!$B$2:$C$13,2,0),""))</f>
        <v/>
      </c>
    </row>
    <row r="380">
      <c r="T380" s="47">
        <f>IF(R380="","",IFERROR(TODAY()+VLOOKUP(R380,REGRAS!$B$2:$C$13,2,0),""))</f>
        <v/>
      </c>
    </row>
    <row r="381">
      <c r="T381" s="47">
        <f>IF(R381="","",IFERROR(TODAY()+VLOOKUP(R381,REGRAS!$B$2:$C$13,2,0),""))</f>
        <v/>
      </c>
    </row>
    <row r="382">
      <c r="T382" s="47">
        <f>IF(R382="","",IFERROR(TODAY()+VLOOKUP(R382,REGRAS!$B$2:$C$13,2,0),""))</f>
        <v/>
      </c>
    </row>
    <row r="383">
      <c r="T383" s="47">
        <f>IF(R383="","",IFERROR(TODAY()+VLOOKUP(R383,REGRAS!$B$2:$C$13,2,0),""))</f>
        <v/>
      </c>
    </row>
    <row r="384">
      <c r="T384" s="47">
        <f>IF(R384="","",IFERROR(TODAY()+VLOOKUP(R384,REGRAS!$B$2:$C$13,2,0),""))</f>
        <v/>
      </c>
    </row>
    <row r="385">
      <c r="T385" s="47">
        <f>IF(R385="","",IFERROR(TODAY()+VLOOKUP(R385,REGRAS!$B$2:$C$13,2,0),""))</f>
        <v/>
      </c>
    </row>
    <row r="386">
      <c r="T386" s="47">
        <f>IF(R386="","",IFERROR(TODAY()+VLOOKUP(R386,REGRAS!$B$2:$C$13,2,0),""))</f>
        <v/>
      </c>
    </row>
    <row r="387">
      <c r="T387" s="47">
        <f>IF(R387="","",IFERROR(TODAY()+VLOOKUP(R387,REGRAS!$B$2:$C$13,2,0),""))</f>
        <v/>
      </c>
    </row>
    <row r="388">
      <c r="T388" s="47">
        <f>IF(R388="","",IFERROR(TODAY()+VLOOKUP(R388,REGRAS!$B$2:$C$13,2,0),""))</f>
        <v/>
      </c>
    </row>
    <row r="389">
      <c r="T389" s="47">
        <f>IF(R389="","",IFERROR(TODAY()+VLOOKUP(R389,REGRAS!$B$2:$C$13,2,0),""))</f>
        <v/>
      </c>
    </row>
    <row r="390">
      <c r="T390" s="47">
        <f>IF(R390="","",IFERROR(TODAY()+VLOOKUP(R390,REGRAS!$B$2:$C$13,2,0),""))</f>
        <v/>
      </c>
    </row>
    <row r="391">
      <c r="T391" s="47">
        <f>IF(R391="","",IFERROR(TODAY()+VLOOKUP(R391,REGRAS!$B$2:$C$13,2,0),""))</f>
        <v/>
      </c>
    </row>
    <row r="392">
      <c r="T392" s="47">
        <f>IF(R392="","",IFERROR(TODAY()+VLOOKUP(R392,REGRAS!$B$2:$C$13,2,0),""))</f>
        <v/>
      </c>
    </row>
    <row r="393">
      <c r="T393" s="47">
        <f>IF(R393="","",IFERROR(TODAY()+VLOOKUP(R393,REGRAS!$B$2:$C$13,2,0),""))</f>
        <v/>
      </c>
    </row>
    <row r="394">
      <c r="T394" s="47">
        <f>IF(R394="","",IFERROR(TODAY()+VLOOKUP(R394,REGRAS!$B$2:$C$13,2,0),""))</f>
        <v/>
      </c>
    </row>
    <row r="395">
      <c r="T395" s="47">
        <f>IF(R395="","",IFERROR(TODAY()+VLOOKUP(R395,REGRAS!$B$2:$C$13,2,0),""))</f>
        <v/>
      </c>
    </row>
    <row r="396">
      <c r="T396" s="47">
        <f>IF(R396="","",IFERROR(TODAY()+VLOOKUP(R396,REGRAS!$B$2:$C$13,2,0),""))</f>
        <v/>
      </c>
    </row>
    <row r="397">
      <c r="T397" s="47">
        <f>IF(R397="","",IFERROR(TODAY()+VLOOKUP(R397,REGRAS!$B$2:$C$13,2,0),""))</f>
        <v/>
      </c>
    </row>
    <row r="398">
      <c r="T398" s="47">
        <f>IF(R398="","",IFERROR(TODAY()+VLOOKUP(R398,REGRAS!$B$2:$C$13,2,0),""))</f>
        <v/>
      </c>
    </row>
    <row r="399">
      <c r="T399" s="47">
        <f>IF(R399="","",IFERROR(TODAY()+VLOOKUP(R399,REGRAS!$B$2:$C$13,2,0),""))</f>
        <v/>
      </c>
    </row>
    <row r="400">
      <c r="T400" s="47">
        <f>IF(R400="","",IFERROR(TODAY()+VLOOKUP(R400,REGRAS!$B$2:$C$13,2,0),""))</f>
        <v/>
      </c>
    </row>
    <row r="401">
      <c r="T401" s="47">
        <f>IF(R401="","",IFERROR(TODAY()+VLOOKUP(R401,REGRAS!$B$2:$C$13,2,0),""))</f>
        <v/>
      </c>
    </row>
    <row r="402">
      <c r="T402" s="47">
        <f>IF(R402="","",IFERROR(TODAY()+VLOOKUP(R402,REGRAS!$B$2:$C$13,2,0),""))</f>
        <v/>
      </c>
    </row>
    <row r="403">
      <c r="T403" s="47">
        <f>IF(R403="","",IFERROR(TODAY()+VLOOKUP(R403,REGRAS!$B$2:$C$13,2,0),""))</f>
        <v/>
      </c>
    </row>
    <row r="404">
      <c r="T404" s="47">
        <f>IF(R404="","",IFERROR(TODAY()+VLOOKUP(R404,REGRAS!$B$2:$C$13,2,0),""))</f>
        <v/>
      </c>
    </row>
    <row r="405">
      <c r="T405" s="47">
        <f>IF(R405="","",IFERROR(TODAY()+VLOOKUP(R405,REGRAS!$B$2:$C$13,2,0),""))</f>
        <v/>
      </c>
    </row>
    <row r="406">
      <c r="T406" s="47">
        <f>IF(R406="","",IFERROR(TODAY()+VLOOKUP(R406,REGRAS!$B$2:$C$13,2,0),""))</f>
        <v/>
      </c>
    </row>
    <row r="407">
      <c r="T407" s="47">
        <f>IF(R407="","",IFERROR(TODAY()+VLOOKUP(R407,REGRAS!$B$2:$C$13,2,0),""))</f>
        <v/>
      </c>
    </row>
    <row r="408">
      <c r="T408" s="47">
        <f>IF(R408="","",IFERROR(TODAY()+VLOOKUP(R408,REGRAS!$B$2:$C$13,2,0),""))</f>
        <v/>
      </c>
    </row>
    <row r="409">
      <c r="T409" s="47">
        <f>IF(R409="","",IFERROR(TODAY()+VLOOKUP(R409,REGRAS!$B$2:$C$13,2,0),""))</f>
        <v/>
      </c>
    </row>
    <row r="410">
      <c r="T410" s="47">
        <f>IF(R410="","",IFERROR(TODAY()+VLOOKUP(R410,REGRAS!$B$2:$C$13,2,0),""))</f>
        <v/>
      </c>
    </row>
    <row r="411">
      <c r="T411" s="47">
        <f>IF(R411="","",IFERROR(TODAY()+VLOOKUP(R411,REGRAS!$B$2:$C$13,2,0),""))</f>
        <v/>
      </c>
    </row>
    <row r="412">
      <c r="T412" s="47">
        <f>IF(R412="","",IFERROR(TODAY()+VLOOKUP(R412,REGRAS!$B$2:$C$13,2,0),""))</f>
        <v/>
      </c>
    </row>
    <row r="413">
      <c r="T413" s="47">
        <f>IF(R413="","",IFERROR(TODAY()+VLOOKUP(R413,REGRAS!$B$2:$C$13,2,0),""))</f>
        <v/>
      </c>
    </row>
    <row r="414">
      <c r="T414" s="47">
        <f>IF(R414="","",IFERROR(TODAY()+VLOOKUP(R414,REGRAS!$B$2:$C$13,2,0),""))</f>
        <v/>
      </c>
    </row>
    <row r="415">
      <c r="T415" s="47">
        <f>IF(R415="","",IFERROR(TODAY()+VLOOKUP(R415,REGRAS!$B$2:$C$13,2,0),""))</f>
        <v/>
      </c>
    </row>
    <row r="416">
      <c r="T416" s="47">
        <f>IF(R416="","",IFERROR(TODAY()+VLOOKUP(R416,REGRAS!$B$2:$C$13,2,0),""))</f>
        <v/>
      </c>
    </row>
    <row r="417">
      <c r="T417" s="47">
        <f>IF(R417="","",IFERROR(TODAY()+VLOOKUP(R417,REGRAS!$B$2:$C$13,2,0),""))</f>
        <v/>
      </c>
    </row>
    <row r="418">
      <c r="T418" s="47">
        <f>IF(R418="","",IFERROR(TODAY()+VLOOKUP(R418,REGRAS!$B$2:$C$13,2,0),""))</f>
        <v/>
      </c>
    </row>
    <row r="419">
      <c r="T419" s="47">
        <f>IF(R419="","",IFERROR(TODAY()+VLOOKUP(R419,REGRAS!$B$2:$C$13,2,0),""))</f>
        <v/>
      </c>
    </row>
    <row r="420">
      <c r="T420" s="47">
        <f>IF(R420="","",IFERROR(TODAY()+VLOOKUP(R420,REGRAS!$B$2:$C$13,2,0),""))</f>
        <v/>
      </c>
    </row>
    <row r="421">
      <c r="T421" s="47">
        <f>IF(R421="","",IFERROR(TODAY()+VLOOKUP(R421,REGRAS!$B$2:$C$13,2,0),""))</f>
        <v/>
      </c>
    </row>
    <row r="422">
      <c r="T422" s="47">
        <f>IF(R422="","",IFERROR(TODAY()+VLOOKUP(R422,REGRAS!$B$2:$C$13,2,0),""))</f>
        <v/>
      </c>
    </row>
    <row r="423">
      <c r="T423" s="47">
        <f>IF(R423="","",IFERROR(TODAY()+VLOOKUP(R423,REGRAS!$B$2:$C$13,2,0),""))</f>
        <v/>
      </c>
    </row>
    <row r="424">
      <c r="T424" s="47">
        <f>IF(R424="","",IFERROR(TODAY()+VLOOKUP(R424,REGRAS!$B$2:$C$13,2,0),""))</f>
        <v/>
      </c>
    </row>
    <row r="425">
      <c r="T425" s="47">
        <f>IF(R425="","",IFERROR(TODAY()+VLOOKUP(R425,REGRAS!$B$2:$C$13,2,0),""))</f>
        <v/>
      </c>
    </row>
    <row r="426">
      <c r="T426" s="47">
        <f>IF(R426="","",IFERROR(TODAY()+VLOOKUP(R426,REGRAS!$B$2:$C$13,2,0),""))</f>
        <v/>
      </c>
    </row>
    <row r="427">
      <c r="T427" s="47">
        <f>IF(R427="","",IFERROR(TODAY()+VLOOKUP(R427,REGRAS!$B$2:$C$13,2,0),""))</f>
        <v/>
      </c>
    </row>
    <row r="428">
      <c r="T428" s="47">
        <f>IF(R428="","",IFERROR(TODAY()+VLOOKUP(R428,REGRAS!$B$2:$C$13,2,0),""))</f>
        <v/>
      </c>
    </row>
    <row r="429">
      <c r="T429" s="47">
        <f>IF(R429="","",IFERROR(TODAY()+VLOOKUP(R429,REGRAS!$B$2:$C$13,2,0),""))</f>
        <v/>
      </c>
    </row>
    <row r="430">
      <c r="T430" s="47">
        <f>IF(R430="","",IFERROR(TODAY()+VLOOKUP(R430,REGRAS!$B$2:$C$13,2,0),""))</f>
        <v/>
      </c>
    </row>
    <row r="431">
      <c r="T431" s="47">
        <f>IF(R431="","",IFERROR(TODAY()+VLOOKUP(R431,REGRAS!$B$2:$C$13,2,0),""))</f>
        <v/>
      </c>
    </row>
    <row r="432">
      <c r="T432" s="47">
        <f>IF(R432="","",IFERROR(TODAY()+VLOOKUP(R432,REGRAS!$B$2:$C$13,2,0),""))</f>
        <v/>
      </c>
    </row>
    <row r="433">
      <c r="T433" s="47">
        <f>IF(R433="","",IFERROR(TODAY()+VLOOKUP(R433,REGRAS!$B$2:$C$13,2,0),""))</f>
        <v/>
      </c>
    </row>
    <row r="434">
      <c r="T434" s="47">
        <f>IF(R434="","",IFERROR(TODAY()+VLOOKUP(R434,REGRAS!$B$2:$C$13,2,0),""))</f>
        <v/>
      </c>
    </row>
    <row r="435">
      <c r="T435" s="47">
        <f>IF(R435="","",IFERROR(TODAY()+VLOOKUP(R435,REGRAS!$B$2:$C$13,2,0),""))</f>
        <v/>
      </c>
    </row>
    <row r="436">
      <c r="T436" s="47">
        <f>IF(R436="","",IFERROR(TODAY()+VLOOKUP(R436,REGRAS!$B$2:$C$13,2,0),""))</f>
        <v/>
      </c>
    </row>
    <row r="437">
      <c r="T437" s="47">
        <f>IF(R437="","",IFERROR(TODAY()+VLOOKUP(R437,REGRAS!$B$2:$C$13,2,0),""))</f>
        <v/>
      </c>
    </row>
    <row r="438">
      <c r="T438" s="47">
        <f>IF(R438="","",IFERROR(TODAY()+VLOOKUP(R438,REGRAS!$B$2:$C$13,2,0),""))</f>
        <v/>
      </c>
    </row>
    <row r="439">
      <c r="T439" s="47">
        <f>IF(R439="","",IFERROR(TODAY()+VLOOKUP(R439,REGRAS!$B$2:$C$13,2,0),""))</f>
        <v/>
      </c>
    </row>
    <row r="440">
      <c r="T440" s="47">
        <f>IF(R440="","",IFERROR(TODAY()+VLOOKUP(R440,REGRAS!$B$2:$C$13,2,0),""))</f>
        <v/>
      </c>
    </row>
    <row r="441">
      <c r="T441" s="47">
        <f>IF(R441="","",IFERROR(TODAY()+VLOOKUP(R441,REGRAS!$B$2:$C$13,2,0),""))</f>
        <v/>
      </c>
    </row>
    <row r="442">
      <c r="T442" s="47">
        <f>IF(R442="","",IFERROR(TODAY()+VLOOKUP(R442,REGRAS!$B$2:$C$13,2,0),""))</f>
        <v/>
      </c>
    </row>
    <row r="443">
      <c r="T443" s="47">
        <f>IF(R443="","",IFERROR(TODAY()+VLOOKUP(R443,REGRAS!$B$2:$C$13,2,0),""))</f>
        <v/>
      </c>
    </row>
    <row r="444">
      <c r="T444" s="47">
        <f>IF(R444="","",IFERROR(TODAY()+VLOOKUP(R444,REGRAS!$B$2:$C$13,2,0),""))</f>
        <v/>
      </c>
    </row>
    <row r="445">
      <c r="T445" s="47">
        <f>IF(R445="","",IFERROR(TODAY()+VLOOKUP(R445,REGRAS!$B$2:$C$13,2,0),""))</f>
        <v/>
      </c>
    </row>
    <row r="446">
      <c r="T446" s="47">
        <f>IF(R446="","",IFERROR(TODAY()+VLOOKUP(R446,REGRAS!$B$2:$C$13,2,0),""))</f>
        <v/>
      </c>
    </row>
    <row r="447">
      <c r="T447" s="47">
        <f>IF(R447="","",IFERROR(TODAY()+VLOOKUP(R447,REGRAS!$B$2:$C$13,2,0),""))</f>
        <v/>
      </c>
    </row>
    <row r="448">
      <c r="T448" s="47">
        <f>IF(R448="","",IFERROR(TODAY()+VLOOKUP(R448,REGRAS!$B$2:$C$13,2,0),""))</f>
        <v/>
      </c>
    </row>
    <row r="449">
      <c r="T449" s="47">
        <f>IF(R449="","",IFERROR(TODAY()+VLOOKUP(R449,REGRAS!$B$2:$C$13,2,0),""))</f>
        <v/>
      </c>
    </row>
    <row r="450">
      <c r="T450" s="47">
        <f>IF(R450="","",IFERROR(TODAY()+VLOOKUP(R450,REGRAS!$B$2:$C$13,2,0),""))</f>
        <v/>
      </c>
    </row>
    <row r="451">
      <c r="T451" s="47">
        <f>IF(R451="","",IFERROR(TODAY()+VLOOKUP(R451,REGRAS!$B$2:$C$13,2,0),""))</f>
        <v/>
      </c>
    </row>
    <row r="452">
      <c r="T452" s="47">
        <f>IF(R452="","",IFERROR(TODAY()+VLOOKUP(R452,REGRAS!$B$2:$C$13,2,0),""))</f>
        <v/>
      </c>
    </row>
    <row r="453">
      <c r="T453" s="47">
        <f>IF(R453="","",IFERROR(TODAY()+VLOOKUP(R453,REGRAS!$B$2:$C$13,2,0),""))</f>
        <v/>
      </c>
    </row>
    <row r="454">
      <c r="T454" s="47">
        <f>IF(R454="","",IFERROR(TODAY()+VLOOKUP(R454,REGRAS!$B$2:$C$13,2,0),""))</f>
        <v/>
      </c>
    </row>
    <row r="455">
      <c r="T455" s="47">
        <f>IF(R455="","",IFERROR(TODAY()+VLOOKUP(R455,REGRAS!$B$2:$C$13,2,0),""))</f>
        <v/>
      </c>
    </row>
    <row r="456">
      <c r="T456" s="47">
        <f>IF(R456="","",IFERROR(TODAY()+VLOOKUP(R456,REGRAS!$B$2:$C$13,2,0),""))</f>
        <v/>
      </c>
    </row>
    <row r="457">
      <c r="T457" s="47">
        <f>IF(R457="","",IFERROR(TODAY()+VLOOKUP(R457,REGRAS!$B$2:$C$13,2,0),""))</f>
        <v/>
      </c>
    </row>
    <row r="458">
      <c r="T458" s="47">
        <f>IF(R458="","",IFERROR(TODAY()+VLOOKUP(R458,REGRAS!$B$2:$C$13,2,0),""))</f>
        <v/>
      </c>
    </row>
    <row r="459">
      <c r="T459" s="47">
        <f>IF(R459="","",IFERROR(TODAY()+VLOOKUP(R459,REGRAS!$B$2:$C$13,2,0),""))</f>
        <v/>
      </c>
    </row>
    <row r="460">
      <c r="T460" s="47">
        <f>IF(R460="","",IFERROR(TODAY()+VLOOKUP(R460,REGRAS!$B$2:$C$13,2,0),""))</f>
        <v/>
      </c>
    </row>
    <row r="461">
      <c r="T461" s="47">
        <f>IF(R461="","",IFERROR(TODAY()+VLOOKUP(R461,REGRAS!$B$2:$C$13,2,0),""))</f>
        <v/>
      </c>
    </row>
    <row r="462">
      <c r="T462" s="47">
        <f>IF(R462="","",IFERROR(TODAY()+VLOOKUP(R462,REGRAS!$B$2:$C$13,2,0),""))</f>
        <v/>
      </c>
    </row>
    <row r="463">
      <c r="T463" s="47">
        <f>IF(R463="","",IFERROR(TODAY()+VLOOKUP(R463,REGRAS!$B$2:$C$13,2,0),""))</f>
        <v/>
      </c>
    </row>
    <row r="464">
      <c r="T464" s="47">
        <f>IF(R464="","",IFERROR(TODAY()+VLOOKUP(R464,REGRAS!$B$2:$C$13,2,0),""))</f>
        <v/>
      </c>
    </row>
    <row r="465">
      <c r="T465" s="47">
        <f>IF(R465="","",IFERROR(TODAY()+VLOOKUP(R465,REGRAS!$B$2:$C$13,2,0),""))</f>
        <v/>
      </c>
    </row>
    <row r="466">
      <c r="T466" s="47">
        <f>IF(R466="","",IFERROR(TODAY()+VLOOKUP(R466,REGRAS!$B$2:$C$13,2,0),""))</f>
        <v/>
      </c>
    </row>
    <row r="467">
      <c r="T467" s="47">
        <f>IF(R467="","",IFERROR(TODAY()+VLOOKUP(R467,REGRAS!$B$2:$C$13,2,0),""))</f>
        <v/>
      </c>
    </row>
    <row r="468">
      <c r="T468" s="47">
        <f>IF(R468="","",IFERROR(TODAY()+VLOOKUP(R468,REGRAS!$B$2:$C$13,2,0),""))</f>
        <v/>
      </c>
    </row>
    <row r="469">
      <c r="T469" s="47">
        <f>IF(R469="","",IFERROR(TODAY()+VLOOKUP(R469,REGRAS!$B$2:$C$13,2,0),""))</f>
        <v/>
      </c>
    </row>
    <row r="470">
      <c r="T470" s="47">
        <f>IF(R470="","",IFERROR(TODAY()+VLOOKUP(R470,REGRAS!$B$2:$C$13,2,0),""))</f>
        <v/>
      </c>
    </row>
    <row r="471">
      <c r="T471" s="47">
        <f>IF(R471="","",IFERROR(TODAY()+VLOOKUP(R471,REGRAS!$B$2:$C$13,2,0),""))</f>
        <v/>
      </c>
    </row>
    <row r="472">
      <c r="T472" s="47">
        <f>IF(R472="","",IFERROR(TODAY()+VLOOKUP(R472,REGRAS!$B$2:$C$13,2,0),""))</f>
        <v/>
      </c>
    </row>
    <row r="473">
      <c r="T473" s="47">
        <f>IF(R473="","",IFERROR(TODAY()+VLOOKUP(R473,REGRAS!$B$2:$C$13,2,0),""))</f>
        <v/>
      </c>
    </row>
    <row r="474">
      <c r="T474" s="47">
        <f>IF(R474="","",IFERROR(TODAY()+VLOOKUP(R474,REGRAS!$B$2:$C$13,2,0),""))</f>
        <v/>
      </c>
    </row>
    <row r="475">
      <c r="T475" s="47">
        <f>IF(R475="","",IFERROR(TODAY()+VLOOKUP(R475,REGRAS!$B$2:$C$13,2,0),""))</f>
        <v/>
      </c>
    </row>
    <row r="476">
      <c r="T476" s="47">
        <f>IF(R476="","",IFERROR(TODAY()+VLOOKUP(R476,REGRAS!$B$2:$C$13,2,0),""))</f>
        <v/>
      </c>
    </row>
    <row r="477">
      <c r="T477" s="47">
        <f>IF(R477="","",IFERROR(TODAY()+VLOOKUP(R477,REGRAS!$B$2:$C$13,2,0),""))</f>
        <v/>
      </c>
    </row>
    <row r="478">
      <c r="T478" s="47">
        <f>IF(R478="","",IFERROR(TODAY()+VLOOKUP(R478,REGRAS!$B$2:$C$13,2,0),""))</f>
        <v/>
      </c>
    </row>
    <row r="479">
      <c r="T479" s="47">
        <f>IF(R479="","",IFERROR(TODAY()+VLOOKUP(R479,REGRAS!$B$2:$C$13,2,0),""))</f>
        <v/>
      </c>
    </row>
    <row r="480">
      <c r="T480" s="47">
        <f>IF(R480="","",IFERROR(TODAY()+VLOOKUP(R480,REGRAS!$B$2:$C$13,2,0),""))</f>
        <v/>
      </c>
    </row>
    <row r="481">
      <c r="T481" s="47">
        <f>IF(R481="","",IFERROR(TODAY()+VLOOKUP(R481,REGRAS!$B$2:$C$13,2,0),""))</f>
        <v/>
      </c>
    </row>
    <row r="482">
      <c r="T482" s="47">
        <f>IF(R482="","",IFERROR(TODAY()+VLOOKUP(R482,REGRAS!$B$2:$C$13,2,0),""))</f>
        <v/>
      </c>
    </row>
    <row r="483">
      <c r="T483" s="47">
        <f>IF(R483="","",IFERROR(TODAY()+VLOOKUP(R483,REGRAS!$B$2:$C$13,2,0),""))</f>
        <v/>
      </c>
    </row>
    <row r="484">
      <c r="T484" s="47">
        <f>IF(R484="","",IFERROR(TODAY()+VLOOKUP(R484,REGRAS!$B$2:$C$13,2,0),""))</f>
        <v/>
      </c>
    </row>
    <row r="485">
      <c r="T485" s="47">
        <f>IF(R485="","",IFERROR(TODAY()+VLOOKUP(R485,REGRAS!$B$2:$C$13,2,0),""))</f>
        <v/>
      </c>
    </row>
    <row r="486">
      <c r="T486" s="47">
        <f>IF(R486="","",IFERROR(TODAY()+VLOOKUP(R486,REGRAS!$B$2:$C$13,2,0),""))</f>
        <v/>
      </c>
    </row>
    <row r="487">
      <c r="T487" s="47">
        <f>IF(R487="","",IFERROR(TODAY()+VLOOKUP(R487,REGRAS!$B$2:$C$13,2,0),""))</f>
        <v/>
      </c>
    </row>
    <row r="488">
      <c r="T488" s="47">
        <f>IF(R488="","",IFERROR(TODAY()+VLOOKUP(R488,REGRAS!$B$2:$C$13,2,0),""))</f>
        <v/>
      </c>
    </row>
    <row r="489">
      <c r="T489" s="47">
        <f>IF(R489="","",IFERROR(TODAY()+VLOOKUP(R489,REGRAS!$B$2:$C$13,2,0),""))</f>
        <v/>
      </c>
    </row>
    <row r="490">
      <c r="T490" s="47">
        <f>IF(R490="","",IFERROR(TODAY()+VLOOKUP(R490,REGRAS!$B$2:$C$13,2,0),""))</f>
        <v/>
      </c>
    </row>
    <row r="491">
      <c r="T491" s="47">
        <f>IF(R491="","",IFERROR(TODAY()+VLOOKUP(R491,REGRAS!$B$2:$C$13,2,0),""))</f>
        <v/>
      </c>
    </row>
    <row r="492">
      <c r="T492" s="47">
        <f>IF(R492="","",IFERROR(TODAY()+VLOOKUP(R492,REGRAS!$B$2:$C$13,2,0),""))</f>
        <v/>
      </c>
    </row>
    <row r="493">
      <c r="T493" s="47">
        <f>IF(R493="","",IFERROR(TODAY()+VLOOKUP(R493,REGRAS!$B$2:$C$13,2,0),""))</f>
        <v/>
      </c>
    </row>
    <row r="494">
      <c r="T494" s="47">
        <f>IF(R494="","",IFERROR(TODAY()+VLOOKUP(R494,REGRAS!$B$2:$C$13,2,0),""))</f>
        <v/>
      </c>
    </row>
    <row r="495">
      <c r="T495" s="47">
        <f>IF(R495="","",IFERROR(TODAY()+VLOOKUP(R495,REGRAS!$B$2:$C$13,2,0),""))</f>
        <v/>
      </c>
    </row>
    <row r="496">
      <c r="T496" s="47">
        <f>IF(R496="","",IFERROR(TODAY()+VLOOKUP(R496,REGRAS!$B$2:$C$13,2,0),""))</f>
        <v/>
      </c>
    </row>
    <row r="497">
      <c r="T497" s="47">
        <f>IF(R497="","",IFERROR(TODAY()+VLOOKUP(R497,REGRAS!$B$2:$C$13,2,0),""))</f>
        <v/>
      </c>
    </row>
    <row r="498">
      <c r="T498" s="47">
        <f>IF(R498="","",IFERROR(TODAY()+VLOOKUP(R498,REGRAS!$B$2:$C$13,2,0),""))</f>
        <v/>
      </c>
    </row>
    <row r="499">
      <c r="T499" s="47">
        <f>IF(R499="","",IFERROR(TODAY()+VLOOKUP(R499,REGRAS!$B$2:$C$13,2,0),""))</f>
        <v/>
      </c>
    </row>
    <row r="500">
      <c r="T500" s="47">
        <f>IF(R500="","",IFERROR(TODAY()+VLOOKUP(R500,REGRAS!$B$2:$C$13,2,0),""))</f>
        <v/>
      </c>
    </row>
    <row r="501">
      <c r="T501" s="47">
        <f>IF(R501="","",IFERROR(TODAY()+VLOOKUP(R501,REGRAS!$B$2:$C$13,2,0),""))</f>
        <v/>
      </c>
    </row>
    <row r="502">
      <c r="T502" s="47">
        <f>IF(R502="","",IFERROR(TODAY()+VLOOKUP(R502,REGRAS!$B$2:$C$13,2,0),""))</f>
        <v/>
      </c>
    </row>
    <row r="503">
      <c r="T503" s="47">
        <f>IF(R503="","",IFERROR(TODAY()+VLOOKUP(R503,REGRAS!$B$2:$C$13,2,0),""))</f>
        <v/>
      </c>
    </row>
    <row r="504">
      <c r="T504" s="47">
        <f>IF(R504="","",IFERROR(TODAY()+VLOOKUP(R504,REGRAS!$B$2:$C$13,2,0),""))</f>
        <v/>
      </c>
    </row>
    <row r="505">
      <c r="T505" s="47">
        <f>IF(R505="","",IFERROR(TODAY()+VLOOKUP(R505,REGRAS!$B$2:$C$13,2,0),""))</f>
        <v/>
      </c>
    </row>
    <row r="506">
      <c r="T506" s="47">
        <f>IF(R506="","",IFERROR(TODAY()+VLOOKUP(R506,REGRAS!$B$2:$C$13,2,0),""))</f>
        <v/>
      </c>
    </row>
    <row r="507">
      <c r="T507" s="47">
        <f>IF(R507="","",IFERROR(TODAY()+VLOOKUP(R507,REGRAS!$B$2:$C$13,2,0),""))</f>
        <v/>
      </c>
    </row>
    <row r="508">
      <c r="T508" s="47">
        <f>IF(R508="","",IFERROR(TODAY()+VLOOKUP(R508,REGRAS!$B$2:$C$13,2,0),""))</f>
        <v/>
      </c>
    </row>
    <row r="509">
      <c r="T509" s="47">
        <f>IF(R509="","",IFERROR(TODAY()+VLOOKUP(R509,REGRAS!$B$2:$C$13,2,0),""))</f>
        <v/>
      </c>
    </row>
    <row r="510">
      <c r="T510" s="47">
        <f>IF(R510="","",IFERROR(TODAY()+VLOOKUP(R510,REGRAS!$B$2:$C$13,2,0),""))</f>
        <v/>
      </c>
    </row>
    <row r="511">
      <c r="T511" s="47">
        <f>IF(R511="","",IFERROR(TODAY()+VLOOKUP(R511,REGRAS!$B$2:$C$13,2,0),""))</f>
        <v/>
      </c>
    </row>
    <row r="512">
      <c r="T512" s="47">
        <f>IF(R512="","",IFERROR(TODAY()+VLOOKUP(R512,REGRAS!$B$2:$C$13,2,0),""))</f>
        <v/>
      </c>
    </row>
    <row r="513">
      <c r="T513" s="47">
        <f>IF(R513="","",IFERROR(TODAY()+VLOOKUP(R513,REGRAS!$B$2:$C$13,2,0),""))</f>
        <v/>
      </c>
    </row>
    <row r="514">
      <c r="T514" s="47">
        <f>IF(R514="","",IFERROR(TODAY()+VLOOKUP(R514,REGRAS!$B$2:$C$13,2,0),""))</f>
        <v/>
      </c>
    </row>
    <row r="515">
      <c r="T515" s="47">
        <f>IF(R515="","",IFERROR(TODAY()+VLOOKUP(R515,REGRAS!$B$2:$C$13,2,0),""))</f>
        <v/>
      </c>
    </row>
    <row r="516">
      <c r="T516" s="47">
        <f>IF(R516="","",IFERROR(TODAY()+VLOOKUP(R516,REGRAS!$B$2:$C$13,2,0),""))</f>
        <v/>
      </c>
    </row>
    <row r="517">
      <c r="T517" s="47">
        <f>IF(R517="","",IFERROR(TODAY()+VLOOKUP(R517,REGRAS!$B$2:$C$13,2,0),""))</f>
        <v/>
      </c>
    </row>
    <row r="518">
      <c r="T518" s="47">
        <f>IF(R518="","",IFERROR(TODAY()+VLOOKUP(R518,REGRAS!$B$2:$C$13,2,0),""))</f>
        <v/>
      </c>
    </row>
    <row r="519">
      <c r="T519" s="47">
        <f>IF(R519="","",IFERROR(TODAY()+VLOOKUP(R519,REGRAS!$B$2:$C$13,2,0),""))</f>
        <v/>
      </c>
    </row>
    <row r="520">
      <c r="T520" s="47">
        <f>IF(R520="","",IFERROR(TODAY()+VLOOKUP(R520,REGRAS!$B$2:$C$13,2,0),""))</f>
        <v/>
      </c>
    </row>
    <row r="521">
      <c r="T521" s="47">
        <f>IF(R521="","",IFERROR(TODAY()+VLOOKUP(R521,REGRAS!$B$2:$C$13,2,0),""))</f>
        <v/>
      </c>
    </row>
    <row r="522">
      <c r="T522" s="47">
        <f>IF(R522="","",IFERROR(TODAY()+VLOOKUP(R522,REGRAS!$B$2:$C$13,2,0),""))</f>
        <v/>
      </c>
    </row>
    <row r="523">
      <c r="T523" s="47">
        <f>IF(R523="","",IFERROR(TODAY()+VLOOKUP(R523,REGRAS!$B$2:$C$13,2,0),""))</f>
        <v/>
      </c>
    </row>
    <row r="524">
      <c r="T524" s="47">
        <f>IF(R524="","",IFERROR(TODAY()+VLOOKUP(R524,REGRAS!$B$2:$C$13,2,0),""))</f>
        <v/>
      </c>
    </row>
    <row r="525">
      <c r="T525" s="47">
        <f>IF(R525="","",IFERROR(TODAY()+VLOOKUP(R525,REGRAS!$B$2:$C$13,2,0),""))</f>
        <v/>
      </c>
    </row>
    <row r="526">
      <c r="T526" s="47">
        <f>IF(R526="","",IFERROR(TODAY()+VLOOKUP(R526,REGRAS!$B$2:$C$13,2,0),""))</f>
        <v/>
      </c>
    </row>
    <row r="527">
      <c r="T527" s="47">
        <f>IF(R527="","",IFERROR(TODAY()+VLOOKUP(R527,REGRAS!$B$2:$C$13,2,0),""))</f>
        <v/>
      </c>
    </row>
    <row r="528">
      <c r="T528" s="47">
        <f>IF(R528="","",IFERROR(TODAY()+VLOOKUP(R528,REGRAS!$B$2:$C$13,2,0),""))</f>
        <v/>
      </c>
    </row>
    <row r="529">
      <c r="T529" s="47">
        <f>IF(R529="","",IFERROR(TODAY()+VLOOKUP(R529,REGRAS!$B$2:$C$13,2,0),""))</f>
        <v/>
      </c>
    </row>
    <row r="530">
      <c r="T530" s="47">
        <f>IF(R530="","",IFERROR(TODAY()+VLOOKUP(R530,REGRAS!$B$2:$C$13,2,0),""))</f>
        <v/>
      </c>
    </row>
    <row r="531">
      <c r="T531" s="47">
        <f>IF(R531="","",IFERROR(TODAY()+VLOOKUP(R531,REGRAS!$B$2:$C$13,2,0),""))</f>
        <v/>
      </c>
    </row>
    <row r="532">
      <c r="T532" s="47">
        <f>IF(R532="","",IFERROR(TODAY()+VLOOKUP(R532,REGRAS!$B$2:$C$13,2,0),""))</f>
        <v/>
      </c>
    </row>
    <row r="533">
      <c r="T533" s="47">
        <f>IF(R533="","",IFERROR(TODAY()+VLOOKUP(R533,REGRAS!$B$2:$C$13,2,0),""))</f>
        <v/>
      </c>
    </row>
    <row r="534">
      <c r="T534" s="47">
        <f>IF(R534="","",IFERROR(TODAY()+VLOOKUP(R534,REGRAS!$B$2:$C$13,2,0),""))</f>
        <v/>
      </c>
    </row>
    <row r="535">
      <c r="T535" s="47">
        <f>IF(R535="","",IFERROR(TODAY()+VLOOKUP(R535,REGRAS!$B$2:$C$13,2,0),""))</f>
        <v/>
      </c>
    </row>
    <row r="536">
      <c r="T536" s="47">
        <f>IF(R536="","",IFERROR(TODAY()+VLOOKUP(R536,REGRAS!$B$2:$C$13,2,0),""))</f>
        <v/>
      </c>
    </row>
    <row r="537">
      <c r="T537" s="47">
        <f>IF(R537="","",IFERROR(TODAY()+VLOOKUP(R537,REGRAS!$B$2:$C$13,2,0),""))</f>
        <v/>
      </c>
    </row>
    <row r="538">
      <c r="T538" s="47">
        <f>IF(R538="","",IFERROR(TODAY()+VLOOKUP(R538,REGRAS!$B$2:$C$13,2,0),""))</f>
        <v/>
      </c>
    </row>
    <row r="539">
      <c r="T539" s="47">
        <f>IF(R539="","",IFERROR(TODAY()+VLOOKUP(R539,REGRAS!$B$2:$C$13,2,0),""))</f>
        <v/>
      </c>
    </row>
    <row r="540">
      <c r="T540" s="47">
        <f>IF(R540="","",IFERROR(TODAY()+VLOOKUP(R540,REGRAS!$B$2:$C$13,2,0),""))</f>
        <v/>
      </c>
    </row>
    <row r="541">
      <c r="T541" s="47">
        <f>IF(R541="","",IFERROR(TODAY()+VLOOKUP(R541,REGRAS!$B$2:$C$13,2,0),""))</f>
        <v/>
      </c>
    </row>
    <row r="542">
      <c r="T542" s="47">
        <f>IF(R542="","",IFERROR(TODAY()+VLOOKUP(R542,REGRAS!$B$2:$C$13,2,0),""))</f>
        <v/>
      </c>
    </row>
    <row r="543">
      <c r="T543" s="47">
        <f>IF(R543="","",IFERROR(TODAY()+VLOOKUP(R543,REGRAS!$B$2:$C$13,2,0),""))</f>
        <v/>
      </c>
    </row>
    <row r="544">
      <c r="T544" s="47">
        <f>IF(R544="","",IFERROR(TODAY()+VLOOKUP(R544,REGRAS!$B$2:$C$13,2,0),""))</f>
        <v/>
      </c>
    </row>
    <row r="545">
      <c r="T545" s="47">
        <f>IF(R545="","",IFERROR(TODAY()+VLOOKUP(R545,REGRAS!$B$2:$C$13,2,0),""))</f>
        <v/>
      </c>
    </row>
    <row r="546">
      <c r="T546" s="47">
        <f>IF(R546="","",IFERROR(TODAY()+VLOOKUP(R546,REGRAS!$B$2:$C$13,2,0),""))</f>
        <v/>
      </c>
    </row>
    <row r="547">
      <c r="T547" s="47">
        <f>IF(R547="","",IFERROR(TODAY()+VLOOKUP(R547,REGRAS!$B$2:$C$13,2,0),""))</f>
        <v/>
      </c>
    </row>
    <row r="548">
      <c r="T548" s="47">
        <f>IF(R548="","",IFERROR(TODAY()+VLOOKUP(R548,REGRAS!$B$2:$C$13,2,0),""))</f>
        <v/>
      </c>
    </row>
    <row r="549">
      <c r="T549" s="47">
        <f>IF(R549="","",IFERROR(TODAY()+VLOOKUP(R549,REGRAS!$B$2:$C$13,2,0),""))</f>
        <v/>
      </c>
    </row>
    <row r="550">
      <c r="T550" s="47">
        <f>IF(R550="","",IFERROR(TODAY()+VLOOKUP(R550,REGRAS!$B$2:$C$13,2,0),""))</f>
        <v/>
      </c>
    </row>
    <row r="551">
      <c r="T551" s="47">
        <f>IF(R551="","",IFERROR(TODAY()+VLOOKUP(R551,REGRAS!$B$2:$C$13,2,0),""))</f>
        <v/>
      </c>
    </row>
    <row r="552">
      <c r="T552" s="47">
        <f>IF(R552="","",IFERROR(TODAY()+VLOOKUP(R552,REGRAS!$B$2:$C$13,2,0),""))</f>
        <v/>
      </c>
    </row>
    <row r="553">
      <c r="T553" s="47">
        <f>IF(R553="","",IFERROR(TODAY()+VLOOKUP(R553,REGRAS!$B$2:$C$13,2,0),""))</f>
        <v/>
      </c>
    </row>
    <row r="554">
      <c r="T554" s="47">
        <f>IF(R554="","",IFERROR(TODAY()+VLOOKUP(R554,REGRAS!$B$2:$C$13,2,0),""))</f>
        <v/>
      </c>
    </row>
    <row r="555">
      <c r="T555" s="47">
        <f>IF(R555="","",IFERROR(TODAY()+VLOOKUP(R555,REGRAS!$B$2:$C$13,2,0),""))</f>
        <v/>
      </c>
    </row>
    <row r="556">
      <c r="T556" s="47">
        <f>IF(R556="","",IFERROR(TODAY()+VLOOKUP(R556,REGRAS!$B$2:$C$13,2,0),""))</f>
        <v/>
      </c>
    </row>
    <row r="557">
      <c r="T557" s="47">
        <f>IF(R557="","",IFERROR(TODAY()+VLOOKUP(R557,REGRAS!$B$2:$C$13,2,0),""))</f>
        <v/>
      </c>
    </row>
    <row r="558">
      <c r="T558" s="47">
        <f>IF(R558="","",IFERROR(TODAY()+VLOOKUP(R558,REGRAS!$B$2:$C$13,2,0),""))</f>
        <v/>
      </c>
    </row>
    <row r="559">
      <c r="T559" s="47">
        <f>IF(R559="","",IFERROR(TODAY()+VLOOKUP(R559,REGRAS!$B$2:$C$13,2,0),""))</f>
        <v/>
      </c>
    </row>
    <row r="560">
      <c r="T560" s="47">
        <f>IF(R560="","",IFERROR(TODAY()+VLOOKUP(R560,REGRAS!$B$2:$C$13,2,0),""))</f>
        <v/>
      </c>
    </row>
    <row r="561">
      <c r="T561" s="47">
        <f>IF(R561="","",IFERROR(TODAY()+VLOOKUP(R561,REGRAS!$B$2:$C$13,2,0),""))</f>
        <v/>
      </c>
    </row>
    <row r="562">
      <c r="T562" s="47">
        <f>IF(R562="","",IFERROR(TODAY()+VLOOKUP(R562,REGRAS!$B$2:$C$13,2,0),""))</f>
        <v/>
      </c>
    </row>
    <row r="563">
      <c r="T563" s="47">
        <f>IF(R563="","",IFERROR(TODAY()+VLOOKUP(R563,REGRAS!$B$2:$C$13,2,0),""))</f>
        <v/>
      </c>
    </row>
    <row r="564">
      <c r="T564" s="47">
        <f>IF(R564="","",IFERROR(TODAY()+VLOOKUP(R564,REGRAS!$B$2:$C$13,2,0),""))</f>
        <v/>
      </c>
    </row>
    <row r="565">
      <c r="T565" s="47">
        <f>IF(R565="","",IFERROR(TODAY()+VLOOKUP(R565,REGRAS!$B$2:$C$13,2,0),""))</f>
        <v/>
      </c>
    </row>
    <row r="566">
      <c r="T566" s="47">
        <f>IF(R566="","",IFERROR(TODAY()+VLOOKUP(R566,REGRAS!$B$2:$C$13,2,0),""))</f>
        <v/>
      </c>
    </row>
    <row r="567">
      <c r="T567" s="47">
        <f>IF(R567="","",IFERROR(TODAY()+VLOOKUP(R567,REGRAS!$B$2:$C$13,2,0),""))</f>
        <v/>
      </c>
    </row>
    <row r="568">
      <c r="T568" s="47">
        <f>IF(R568="","",IFERROR(TODAY()+VLOOKUP(R568,REGRAS!$B$2:$C$13,2,0),""))</f>
        <v/>
      </c>
    </row>
    <row r="569">
      <c r="T569" s="47">
        <f>IF(R569="","",IFERROR(TODAY()+VLOOKUP(R569,REGRAS!$B$2:$C$13,2,0),""))</f>
        <v/>
      </c>
    </row>
    <row r="570">
      <c r="T570" s="47">
        <f>IF(R570="","",IFERROR(TODAY()+VLOOKUP(R570,REGRAS!$B$2:$C$13,2,0),""))</f>
        <v/>
      </c>
    </row>
    <row r="571">
      <c r="T571" s="47">
        <f>IF(R571="","",IFERROR(TODAY()+VLOOKUP(R571,REGRAS!$B$2:$C$13,2,0),""))</f>
        <v/>
      </c>
    </row>
    <row r="572">
      <c r="T572" s="47">
        <f>IF(R572="","",IFERROR(TODAY()+VLOOKUP(R572,REGRAS!$B$2:$C$13,2,0),""))</f>
        <v/>
      </c>
    </row>
    <row r="573">
      <c r="T573" s="47">
        <f>IF(R573="","",IFERROR(TODAY()+VLOOKUP(R573,REGRAS!$B$2:$C$13,2,0),""))</f>
        <v/>
      </c>
    </row>
    <row r="574">
      <c r="T574" s="47">
        <f>IF(R574="","",IFERROR(TODAY()+VLOOKUP(R574,REGRAS!$B$2:$C$13,2,0),""))</f>
        <v/>
      </c>
    </row>
    <row r="575">
      <c r="T575" s="47">
        <f>IF(R575="","",IFERROR(TODAY()+VLOOKUP(R575,REGRAS!$B$2:$C$13,2,0),""))</f>
        <v/>
      </c>
    </row>
    <row r="576">
      <c r="T576" s="47">
        <f>IF(R576="","",IFERROR(TODAY()+VLOOKUP(R576,REGRAS!$B$2:$C$13,2,0),""))</f>
        <v/>
      </c>
    </row>
    <row r="577">
      <c r="T577" s="47">
        <f>IF(R577="","",IFERROR(TODAY()+VLOOKUP(R577,REGRAS!$B$2:$C$13,2,0),""))</f>
        <v/>
      </c>
    </row>
    <row r="578">
      <c r="T578" s="47">
        <f>IF(R578="","",IFERROR(TODAY()+VLOOKUP(R578,REGRAS!$B$2:$C$13,2,0),""))</f>
        <v/>
      </c>
    </row>
    <row r="579">
      <c r="T579" s="47">
        <f>IF(R579="","",IFERROR(TODAY()+VLOOKUP(R579,REGRAS!$B$2:$C$13,2,0),""))</f>
        <v/>
      </c>
    </row>
    <row r="580">
      <c r="T580" s="47">
        <f>IF(R580="","",IFERROR(TODAY()+VLOOKUP(R580,REGRAS!$B$2:$C$13,2,0),""))</f>
        <v/>
      </c>
    </row>
    <row r="581">
      <c r="T581" s="47">
        <f>IF(R581="","",IFERROR(TODAY()+VLOOKUP(R581,REGRAS!$B$2:$C$13,2,0),""))</f>
        <v/>
      </c>
    </row>
    <row r="582">
      <c r="T582" s="47">
        <f>IF(R582="","",IFERROR(TODAY()+VLOOKUP(R582,REGRAS!$B$2:$C$13,2,0),""))</f>
        <v/>
      </c>
    </row>
    <row r="583">
      <c r="T583" s="47">
        <f>IF(R583="","",IFERROR(TODAY()+VLOOKUP(R583,REGRAS!$B$2:$C$13,2,0),""))</f>
        <v/>
      </c>
    </row>
    <row r="584">
      <c r="T584" s="47">
        <f>IF(R584="","",IFERROR(TODAY()+VLOOKUP(R584,REGRAS!$B$2:$C$13,2,0),""))</f>
        <v/>
      </c>
    </row>
    <row r="585">
      <c r="T585" s="47">
        <f>IF(R585="","",IFERROR(TODAY()+VLOOKUP(R585,REGRAS!$B$2:$C$13,2,0),""))</f>
        <v/>
      </c>
    </row>
    <row r="586">
      <c r="T586" s="47">
        <f>IF(R586="","",IFERROR(TODAY()+VLOOKUP(R586,REGRAS!$B$2:$C$13,2,0),""))</f>
        <v/>
      </c>
    </row>
    <row r="587">
      <c r="T587" s="47">
        <f>IF(R587="","",IFERROR(TODAY()+VLOOKUP(R587,REGRAS!$B$2:$C$13,2,0),""))</f>
        <v/>
      </c>
    </row>
    <row r="588">
      <c r="T588" s="47">
        <f>IF(R588="","",IFERROR(TODAY()+VLOOKUP(R588,REGRAS!$B$2:$C$13,2,0),""))</f>
        <v/>
      </c>
    </row>
    <row r="589">
      <c r="T589" s="47">
        <f>IF(R589="","",IFERROR(TODAY()+VLOOKUP(R589,REGRAS!$B$2:$C$13,2,0),""))</f>
        <v/>
      </c>
    </row>
    <row r="590">
      <c r="T590" s="47">
        <f>IF(R590="","",IFERROR(TODAY()+VLOOKUP(R590,REGRAS!$B$2:$C$13,2,0),""))</f>
        <v/>
      </c>
    </row>
    <row r="591">
      <c r="T591" s="47">
        <f>IF(R591="","",IFERROR(TODAY()+VLOOKUP(R591,REGRAS!$B$2:$C$13,2,0),""))</f>
        <v/>
      </c>
    </row>
    <row r="592">
      <c r="T592" s="47">
        <f>IF(R592="","",IFERROR(TODAY()+VLOOKUP(R592,REGRAS!$B$2:$C$13,2,0),""))</f>
        <v/>
      </c>
    </row>
    <row r="593">
      <c r="T593" s="47">
        <f>IF(R593="","",IFERROR(TODAY()+VLOOKUP(R593,REGRAS!$B$2:$C$13,2,0),""))</f>
        <v/>
      </c>
    </row>
    <row r="594">
      <c r="T594" s="47">
        <f>IF(R594="","",IFERROR(TODAY()+VLOOKUP(R594,REGRAS!$B$2:$C$13,2,0),""))</f>
        <v/>
      </c>
    </row>
    <row r="595">
      <c r="T595" s="47">
        <f>IF(R595="","",IFERROR(TODAY()+VLOOKUP(R595,REGRAS!$B$2:$C$13,2,0),""))</f>
        <v/>
      </c>
    </row>
    <row r="596">
      <c r="T596" s="47">
        <f>IF(R596="","",IFERROR(TODAY()+VLOOKUP(R596,REGRAS!$B$2:$C$13,2,0),""))</f>
        <v/>
      </c>
    </row>
    <row r="597">
      <c r="T597" s="47">
        <f>IF(R597="","",IFERROR(TODAY()+VLOOKUP(R597,REGRAS!$B$2:$C$13,2,0),""))</f>
        <v/>
      </c>
    </row>
    <row r="598">
      <c r="T598" s="47">
        <f>IF(R598="","",IFERROR(TODAY()+VLOOKUP(R598,REGRAS!$B$2:$C$13,2,0),""))</f>
        <v/>
      </c>
    </row>
    <row r="599">
      <c r="T599" s="47">
        <f>IF(R599="","",IFERROR(TODAY()+VLOOKUP(R599,REGRAS!$B$2:$C$13,2,0),""))</f>
        <v/>
      </c>
    </row>
    <row r="600">
      <c r="T600" s="47">
        <f>IF(R600="","",IFERROR(TODAY()+VLOOKUP(R600,REGRAS!$B$2:$C$13,2,0),""))</f>
        <v/>
      </c>
    </row>
    <row r="601">
      <c r="T601" s="47">
        <f>IF(R601="","",IFERROR(TODAY()+VLOOKUP(R601,REGRAS!$B$2:$C$13,2,0),""))</f>
        <v/>
      </c>
    </row>
    <row r="602">
      <c r="T602" s="47">
        <f>IF(R602="","",IFERROR(TODAY()+VLOOKUP(R602,REGRAS!$B$2:$C$13,2,0),""))</f>
        <v/>
      </c>
    </row>
    <row r="603">
      <c r="T603" s="47">
        <f>IF(R603="","",IFERROR(TODAY()+VLOOKUP(R603,REGRAS!$B$2:$C$13,2,0),""))</f>
        <v/>
      </c>
    </row>
    <row r="604">
      <c r="T604" s="47">
        <f>IF(R604="","",IFERROR(TODAY()+VLOOKUP(R604,REGRAS!$B$2:$C$13,2,0),""))</f>
        <v/>
      </c>
    </row>
    <row r="605">
      <c r="T605" s="47">
        <f>IF(R605="","",IFERROR(TODAY()+VLOOKUP(R605,REGRAS!$B$2:$C$13,2,0),""))</f>
        <v/>
      </c>
    </row>
    <row r="606">
      <c r="T606" s="47">
        <f>IF(R606="","",IFERROR(TODAY()+VLOOKUP(R606,REGRAS!$B$2:$C$13,2,0),""))</f>
        <v/>
      </c>
    </row>
    <row r="607">
      <c r="T607" s="47">
        <f>IF(R607="","",IFERROR(TODAY()+VLOOKUP(R607,REGRAS!$B$2:$C$13,2,0),""))</f>
        <v/>
      </c>
    </row>
    <row r="608">
      <c r="T608" s="47">
        <f>IF(R608="","",IFERROR(TODAY()+VLOOKUP(R608,REGRAS!$B$2:$C$13,2,0),""))</f>
        <v/>
      </c>
    </row>
    <row r="609">
      <c r="T609" s="47">
        <f>IF(R609="","",IFERROR(TODAY()+VLOOKUP(R609,REGRAS!$B$2:$C$13,2,0),""))</f>
        <v/>
      </c>
    </row>
    <row r="610">
      <c r="T610" s="47">
        <f>IF(R610="","",IFERROR(TODAY()+VLOOKUP(R610,REGRAS!$B$2:$C$13,2,0),""))</f>
        <v/>
      </c>
    </row>
    <row r="611">
      <c r="T611" s="47">
        <f>IF(R611="","",IFERROR(TODAY()+VLOOKUP(R611,REGRAS!$B$2:$C$13,2,0),""))</f>
        <v/>
      </c>
    </row>
    <row r="612">
      <c r="T612" s="47">
        <f>IF(R612="","",IFERROR(TODAY()+VLOOKUP(R612,REGRAS!$B$2:$C$13,2,0),""))</f>
        <v/>
      </c>
    </row>
    <row r="613">
      <c r="T613" s="47">
        <f>IF(R613="","",IFERROR(TODAY()+VLOOKUP(R613,REGRAS!$B$2:$C$13,2,0),""))</f>
        <v/>
      </c>
    </row>
    <row r="614">
      <c r="T614" s="47">
        <f>IF(R614="","",IFERROR(TODAY()+VLOOKUP(R614,REGRAS!$B$2:$C$13,2,0),""))</f>
        <v/>
      </c>
    </row>
    <row r="615">
      <c r="T615" s="47">
        <f>IF(R615="","",IFERROR(TODAY()+VLOOKUP(R615,REGRAS!$B$2:$C$13,2,0),""))</f>
        <v/>
      </c>
    </row>
    <row r="616">
      <c r="T616" s="47">
        <f>IF(R616="","",IFERROR(TODAY()+VLOOKUP(R616,REGRAS!$B$2:$C$13,2,0),""))</f>
        <v/>
      </c>
    </row>
    <row r="617">
      <c r="T617" s="47">
        <f>IF(R617="","",IFERROR(TODAY()+VLOOKUP(R617,REGRAS!$B$2:$C$13,2,0),""))</f>
        <v/>
      </c>
    </row>
    <row r="618">
      <c r="T618" s="47">
        <f>IF(R618="","",IFERROR(TODAY()+VLOOKUP(R618,REGRAS!$B$2:$C$13,2,0),""))</f>
        <v/>
      </c>
    </row>
    <row r="619">
      <c r="T619" s="47">
        <f>IF(R619="","",IFERROR(TODAY()+VLOOKUP(R619,REGRAS!$B$2:$C$13,2,0),""))</f>
        <v/>
      </c>
    </row>
    <row r="620">
      <c r="T620" s="47">
        <f>IF(R620="","",IFERROR(TODAY()+VLOOKUP(R620,REGRAS!$B$2:$C$13,2,0),""))</f>
        <v/>
      </c>
    </row>
    <row r="621">
      <c r="T621" s="47">
        <f>IF(R621="","",IFERROR(TODAY()+VLOOKUP(R621,REGRAS!$B$2:$C$13,2,0),""))</f>
        <v/>
      </c>
    </row>
    <row r="622">
      <c r="T622" s="47">
        <f>IF(R622="","",IFERROR(TODAY()+VLOOKUP(R622,REGRAS!$B$2:$C$13,2,0),""))</f>
        <v/>
      </c>
    </row>
    <row r="623">
      <c r="T623" s="47">
        <f>IF(R623="","",IFERROR(TODAY()+VLOOKUP(R623,REGRAS!$B$2:$C$13,2,0),""))</f>
        <v/>
      </c>
    </row>
    <row r="624">
      <c r="T624" s="47">
        <f>IF(R624="","",IFERROR(TODAY()+VLOOKUP(R624,REGRAS!$B$2:$C$13,2,0),""))</f>
        <v/>
      </c>
    </row>
    <row r="625">
      <c r="T625" s="47">
        <f>IF(R625="","",IFERROR(TODAY()+VLOOKUP(R625,REGRAS!$B$2:$C$13,2,0),""))</f>
        <v/>
      </c>
    </row>
    <row r="626">
      <c r="T626" s="47">
        <f>IF(R626="","",IFERROR(TODAY()+VLOOKUP(R626,REGRAS!$B$2:$C$13,2,0),""))</f>
        <v/>
      </c>
    </row>
    <row r="627">
      <c r="T627" s="47">
        <f>IF(R627="","",IFERROR(TODAY()+VLOOKUP(R627,REGRAS!$B$2:$C$13,2,0),""))</f>
        <v/>
      </c>
    </row>
    <row r="628">
      <c r="T628" s="47">
        <f>IF(R628="","",IFERROR(TODAY()+VLOOKUP(R628,REGRAS!$B$2:$C$13,2,0),""))</f>
        <v/>
      </c>
    </row>
    <row r="629">
      <c r="T629" s="47">
        <f>IF(R629="","",IFERROR(TODAY()+VLOOKUP(R629,REGRAS!$B$2:$C$13,2,0),""))</f>
        <v/>
      </c>
    </row>
    <row r="630">
      <c r="T630" s="47">
        <f>IF(R630="","",IFERROR(TODAY()+VLOOKUP(R630,REGRAS!$B$2:$C$13,2,0),""))</f>
        <v/>
      </c>
    </row>
    <row r="631">
      <c r="T631" s="47">
        <f>IF(R631="","",IFERROR(TODAY()+VLOOKUP(R631,REGRAS!$B$2:$C$13,2,0),""))</f>
        <v/>
      </c>
    </row>
    <row r="632">
      <c r="T632" s="47">
        <f>IF(R632="","",IFERROR(TODAY()+VLOOKUP(R632,REGRAS!$B$2:$C$13,2,0),""))</f>
        <v/>
      </c>
    </row>
    <row r="633">
      <c r="T633" s="47">
        <f>IF(R633="","",IFERROR(TODAY()+VLOOKUP(R633,REGRAS!$B$2:$C$13,2,0),""))</f>
        <v/>
      </c>
    </row>
    <row r="634">
      <c r="T634" s="47">
        <f>IF(R634="","",IFERROR(TODAY()+VLOOKUP(R634,REGRAS!$B$2:$C$13,2,0),""))</f>
        <v/>
      </c>
    </row>
    <row r="635">
      <c r="T635" s="47">
        <f>IF(R635="","",IFERROR(TODAY()+VLOOKUP(R635,REGRAS!$B$2:$C$13,2,0),""))</f>
        <v/>
      </c>
    </row>
    <row r="636">
      <c r="T636" s="47">
        <f>IF(R636="","",IFERROR(TODAY()+VLOOKUP(R636,REGRAS!$B$2:$C$13,2,0),""))</f>
        <v/>
      </c>
    </row>
    <row r="637">
      <c r="T637" s="47">
        <f>IF(R637="","",IFERROR(TODAY()+VLOOKUP(R637,REGRAS!$B$2:$C$13,2,0),""))</f>
        <v/>
      </c>
    </row>
    <row r="638">
      <c r="T638" s="47">
        <f>IF(R638="","",IFERROR(TODAY()+VLOOKUP(R638,REGRAS!$B$2:$C$13,2,0),""))</f>
        <v/>
      </c>
    </row>
    <row r="639">
      <c r="T639" s="47">
        <f>IF(R639="","",IFERROR(TODAY()+VLOOKUP(R639,REGRAS!$B$2:$C$13,2,0),""))</f>
        <v/>
      </c>
    </row>
    <row r="640">
      <c r="T640" s="47">
        <f>IF(R640="","",IFERROR(TODAY()+VLOOKUP(R640,REGRAS!$B$2:$C$13,2,0),""))</f>
        <v/>
      </c>
    </row>
    <row r="641">
      <c r="T641" s="47">
        <f>IF(R641="","",IFERROR(TODAY()+VLOOKUP(R641,REGRAS!$B$2:$C$13,2,0),""))</f>
        <v/>
      </c>
    </row>
    <row r="642">
      <c r="T642" s="47">
        <f>IF(R642="","",IFERROR(TODAY()+VLOOKUP(R642,REGRAS!$B$2:$C$13,2,0),""))</f>
        <v/>
      </c>
    </row>
    <row r="643">
      <c r="T643" s="47">
        <f>IF(R643="","",IFERROR(TODAY()+VLOOKUP(R643,REGRAS!$B$2:$C$13,2,0),""))</f>
        <v/>
      </c>
    </row>
    <row r="644">
      <c r="T644" s="47">
        <f>IF(R644="","",IFERROR(TODAY()+VLOOKUP(R644,REGRAS!$B$2:$C$13,2,0),""))</f>
        <v/>
      </c>
    </row>
    <row r="645">
      <c r="T645" s="47">
        <f>IF(R645="","",IFERROR(TODAY()+VLOOKUP(R645,REGRAS!$B$2:$C$13,2,0),""))</f>
        <v/>
      </c>
    </row>
    <row r="646">
      <c r="T646" s="47">
        <f>IF(R646="","",IFERROR(TODAY()+VLOOKUP(R646,REGRAS!$B$2:$C$13,2,0),""))</f>
        <v/>
      </c>
    </row>
    <row r="647">
      <c r="T647" s="47">
        <f>IF(R647="","",IFERROR(TODAY()+VLOOKUP(R647,REGRAS!$B$2:$C$13,2,0),""))</f>
        <v/>
      </c>
    </row>
    <row r="648">
      <c r="T648" s="47">
        <f>IF(R648="","",IFERROR(TODAY()+VLOOKUP(R648,REGRAS!$B$2:$C$13,2,0),""))</f>
        <v/>
      </c>
    </row>
    <row r="649">
      <c r="T649" s="47">
        <f>IF(R649="","",IFERROR(TODAY()+VLOOKUP(R649,REGRAS!$B$2:$C$13,2,0),""))</f>
        <v/>
      </c>
    </row>
    <row r="650">
      <c r="T650" s="47">
        <f>IF(R650="","",IFERROR(TODAY()+VLOOKUP(R650,REGRAS!$B$2:$C$13,2,0),""))</f>
        <v/>
      </c>
    </row>
    <row r="651">
      <c r="T651" s="47">
        <f>IF(R651="","",IFERROR(TODAY()+VLOOKUP(R651,REGRAS!$B$2:$C$13,2,0),""))</f>
        <v/>
      </c>
    </row>
    <row r="652">
      <c r="T652" s="47">
        <f>IF(R652="","",IFERROR(TODAY()+VLOOKUP(R652,REGRAS!$B$2:$C$13,2,0),""))</f>
        <v/>
      </c>
    </row>
    <row r="653">
      <c r="T653" s="47">
        <f>IF(R653="","",IFERROR(TODAY()+VLOOKUP(R653,REGRAS!$B$2:$C$13,2,0),""))</f>
        <v/>
      </c>
    </row>
    <row r="654">
      <c r="T654" s="47">
        <f>IF(R654="","",IFERROR(TODAY()+VLOOKUP(R654,REGRAS!$B$2:$C$13,2,0),""))</f>
        <v/>
      </c>
    </row>
    <row r="655">
      <c r="T655" s="47">
        <f>IF(R655="","",IFERROR(TODAY()+VLOOKUP(R655,REGRAS!$B$2:$C$13,2,0),""))</f>
        <v/>
      </c>
    </row>
    <row r="656">
      <c r="T656" s="47">
        <f>IF(R656="","",IFERROR(TODAY()+VLOOKUP(R656,REGRAS!$B$2:$C$13,2,0),""))</f>
        <v/>
      </c>
    </row>
    <row r="657">
      <c r="T657" s="47">
        <f>IF(R657="","",IFERROR(TODAY()+VLOOKUP(R657,REGRAS!$B$2:$C$13,2,0),""))</f>
        <v/>
      </c>
    </row>
    <row r="658">
      <c r="T658" s="47">
        <f>IF(R658="","",IFERROR(TODAY()+VLOOKUP(R658,REGRAS!$B$2:$C$13,2,0),""))</f>
        <v/>
      </c>
    </row>
    <row r="659">
      <c r="T659" s="47">
        <f>IF(R659="","",IFERROR(TODAY()+VLOOKUP(R659,REGRAS!$B$2:$C$13,2,0),""))</f>
        <v/>
      </c>
    </row>
    <row r="660">
      <c r="T660" s="47">
        <f>IF(R660="","",IFERROR(TODAY()+VLOOKUP(R660,REGRAS!$B$2:$C$13,2,0),""))</f>
        <v/>
      </c>
    </row>
    <row r="661">
      <c r="T661" s="47">
        <f>IF(R661="","",IFERROR(TODAY()+VLOOKUP(R661,REGRAS!$B$2:$C$13,2,0),""))</f>
        <v/>
      </c>
    </row>
    <row r="662">
      <c r="T662" s="47">
        <f>IF(R662="","",IFERROR(TODAY()+VLOOKUP(R662,REGRAS!$B$2:$C$13,2,0),""))</f>
        <v/>
      </c>
    </row>
    <row r="663">
      <c r="T663" s="47">
        <f>IF(R663="","",IFERROR(TODAY()+VLOOKUP(R663,REGRAS!$B$2:$C$13,2,0),""))</f>
        <v/>
      </c>
    </row>
    <row r="664">
      <c r="T664" s="47">
        <f>IF(R664="","",IFERROR(TODAY()+VLOOKUP(R664,REGRAS!$B$2:$C$13,2,0),""))</f>
        <v/>
      </c>
    </row>
    <row r="665">
      <c r="T665" s="47">
        <f>IF(R665="","",IFERROR(TODAY()+VLOOKUP(R665,REGRAS!$B$2:$C$13,2,0),""))</f>
        <v/>
      </c>
    </row>
    <row r="666">
      <c r="T666" s="47">
        <f>IF(R666="","",IFERROR(TODAY()+VLOOKUP(R666,REGRAS!$B$2:$C$13,2,0),""))</f>
        <v/>
      </c>
    </row>
    <row r="667">
      <c r="T667" s="47">
        <f>IF(R667="","",IFERROR(TODAY()+VLOOKUP(R667,REGRAS!$B$2:$C$13,2,0),""))</f>
        <v/>
      </c>
    </row>
    <row r="668">
      <c r="T668" s="47">
        <f>IF(R668="","",IFERROR(TODAY()+VLOOKUP(R668,REGRAS!$B$2:$C$13,2,0),""))</f>
        <v/>
      </c>
    </row>
    <row r="669">
      <c r="T669" s="47">
        <f>IF(R669="","",IFERROR(TODAY()+VLOOKUP(R669,REGRAS!$B$2:$C$13,2,0),""))</f>
        <v/>
      </c>
    </row>
    <row r="670">
      <c r="T670" s="47">
        <f>IF(R670="","",IFERROR(TODAY()+VLOOKUP(R670,REGRAS!$B$2:$C$13,2,0),""))</f>
        <v/>
      </c>
    </row>
    <row r="671">
      <c r="T671" s="47">
        <f>IF(R671="","",IFERROR(TODAY()+VLOOKUP(R671,REGRAS!$B$2:$C$13,2,0),""))</f>
        <v/>
      </c>
    </row>
    <row r="672">
      <c r="T672" s="47">
        <f>IF(R672="","",IFERROR(TODAY()+VLOOKUP(R672,REGRAS!$B$2:$C$13,2,0),""))</f>
        <v/>
      </c>
    </row>
    <row r="673">
      <c r="T673" s="47">
        <f>IF(R673="","",IFERROR(TODAY()+VLOOKUP(R673,REGRAS!$B$2:$C$13,2,0),""))</f>
        <v/>
      </c>
    </row>
    <row r="674">
      <c r="T674" s="47">
        <f>IF(R674="","",IFERROR(TODAY()+VLOOKUP(R674,REGRAS!$B$2:$C$13,2,0),""))</f>
        <v/>
      </c>
    </row>
    <row r="675">
      <c r="T675" s="47">
        <f>IF(R675="","",IFERROR(TODAY()+VLOOKUP(R675,REGRAS!$B$2:$C$13,2,0),""))</f>
        <v/>
      </c>
    </row>
    <row r="676">
      <c r="T676" s="47">
        <f>IF(R676="","",IFERROR(TODAY()+VLOOKUP(R676,REGRAS!$B$2:$C$13,2,0),""))</f>
        <v/>
      </c>
    </row>
    <row r="677">
      <c r="T677" s="47">
        <f>IF(R677="","",IFERROR(TODAY()+VLOOKUP(R677,REGRAS!$B$2:$C$13,2,0),""))</f>
        <v/>
      </c>
    </row>
    <row r="678">
      <c r="T678" s="47">
        <f>IF(R678="","",IFERROR(TODAY()+VLOOKUP(R678,REGRAS!$B$2:$C$13,2,0),""))</f>
        <v/>
      </c>
    </row>
    <row r="679">
      <c r="T679" s="47">
        <f>IF(R679="","",IFERROR(TODAY()+VLOOKUP(R679,REGRAS!$B$2:$C$13,2,0),""))</f>
        <v/>
      </c>
    </row>
    <row r="680">
      <c r="T680" s="47">
        <f>IF(R680="","",IFERROR(TODAY()+VLOOKUP(R680,REGRAS!$B$2:$C$13,2,0),""))</f>
        <v/>
      </c>
    </row>
    <row r="681">
      <c r="T681" s="47">
        <f>IF(R681="","",IFERROR(TODAY()+VLOOKUP(R681,REGRAS!$B$2:$C$13,2,0),""))</f>
        <v/>
      </c>
    </row>
    <row r="682">
      <c r="T682" s="47">
        <f>IF(R682="","",IFERROR(TODAY()+VLOOKUP(R682,REGRAS!$B$2:$C$13,2,0),""))</f>
        <v/>
      </c>
    </row>
    <row r="683">
      <c r="T683" s="47">
        <f>IF(R683="","",IFERROR(TODAY()+VLOOKUP(R683,REGRAS!$B$2:$C$13,2,0),""))</f>
        <v/>
      </c>
    </row>
    <row r="684">
      <c r="T684" s="47">
        <f>IF(R684="","",IFERROR(TODAY()+VLOOKUP(R684,REGRAS!$B$2:$C$13,2,0),""))</f>
        <v/>
      </c>
    </row>
    <row r="685">
      <c r="T685" s="47">
        <f>IF(R685="","",IFERROR(TODAY()+VLOOKUP(R685,REGRAS!$B$2:$C$13,2,0),""))</f>
        <v/>
      </c>
    </row>
    <row r="686">
      <c r="T686" s="47">
        <f>IF(R686="","",IFERROR(TODAY()+VLOOKUP(R686,REGRAS!$B$2:$C$13,2,0),""))</f>
        <v/>
      </c>
    </row>
    <row r="687">
      <c r="T687" s="47">
        <f>IF(R687="","",IFERROR(TODAY()+VLOOKUP(R687,REGRAS!$B$2:$C$13,2,0),""))</f>
        <v/>
      </c>
    </row>
    <row r="688">
      <c r="T688" s="47">
        <f>IF(R688="","",IFERROR(TODAY()+VLOOKUP(R688,REGRAS!$B$2:$C$13,2,0),""))</f>
        <v/>
      </c>
    </row>
    <row r="689">
      <c r="T689" s="47">
        <f>IF(R689="","",IFERROR(TODAY()+VLOOKUP(R689,REGRAS!$B$2:$C$13,2,0),""))</f>
        <v/>
      </c>
    </row>
    <row r="690">
      <c r="T690" s="47">
        <f>IF(R690="","",IFERROR(TODAY()+VLOOKUP(R690,REGRAS!$B$2:$C$13,2,0),""))</f>
        <v/>
      </c>
    </row>
    <row r="691">
      <c r="T691" s="47">
        <f>IF(R691="","",IFERROR(TODAY()+VLOOKUP(R691,REGRAS!$B$2:$C$13,2,0),""))</f>
        <v/>
      </c>
    </row>
    <row r="692">
      <c r="T692" s="47">
        <f>IF(R692="","",IFERROR(TODAY()+VLOOKUP(R692,REGRAS!$B$2:$C$13,2,0),""))</f>
        <v/>
      </c>
    </row>
    <row r="693">
      <c r="T693" s="47">
        <f>IF(R693="","",IFERROR(TODAY()+VLOOKUP(R693,REGRAS!$B$2:$C$13,2,0),""))</f>
        <v/>
      </c>
    </row>
    <row r="694">
      <c r="T694" s="47">
        <f>IF(R694="","",IFERROR(TODAY()+VLOOKUP(R694,REGRAS!$B$2:$C$13,2,0),""))</f>
        <v/>
      </c>
    </row>
    <row r="695">
      <c r="T695" s="47">
        <f>IF(R695="","",IFERROR(TODAY()+VLOOKUP(R695,REGRAS!$B$2:$C$13,2,0),""))</f>
        <v/>
      </c>
    </row>
    <row r="696">
      <c r="T696" s="47">
        <f>IF(R696="","",IFERROR(TODAY()+VLOOKUP(R696,REGRAS!$B$2:$C$13,2,0),""))</f>
        <v/>
      </c>
    </row>
    <row r="697">
      <c r="T697" s="47">
        <f>IF(R697="","",IFERROR(TODAY()+VLOOKUP(R697,REGRAS!$B$2:$C$13,2,0),""))</f>
        <v/>
      </c>
    </row>
    <row r="698">
      <c r="T698" s="47">
        <f>IF(R698="","",IFERROR(TODAY()+VLOOKUP(R698,REGRAS!$B$2:$C$13,2,0),""))</f>
        <v/>
      </c>
    </row>
    <row r="699">
      <c r="T699" s="47">
        <f>IF(R699="","",IFERROR(TODAY()+VLOOKUP(R699,REGRAS!$B$2:$C$13,2,0),""))</f>
        <v/>
      </c>
    </row>
    <row r="700">
      <c r="T700" s="47">
        <f>IF(R700="","",IFERROR(TODAY()+VLOOKUP(R700,REGRAS!$B$2:$C$13,2,0),""))</f>
        <v/>
      </c>
    </row>
    <row r="701">
      <c r="T701" s="47">
        <f>IF(R701="","",IFERROR(TODAY()+VLOOKUP(R701,REGRAS!$B$2:$C$13,2,0),""))</f>
        <v/>
      </c>
    </row>
    <row r="702">
      <c r="T702" s="47">
        <f>IF(R702="","",IFERROR(TODAY()+VLOOKUP(R702,REGRAS!$B$2:$C$13,2,0),""))</f>
        <v/>
      </c>
    </row>
    <row r="703">
      <c r="T703" s="47">
        <f>IF(R703="","",IFERROR(TODAY()+VLOOKUP(R703,REGRAS!$B$2:$C$13,2,0),""))</f>
        <v/>
      </c>
    </row>
    <row r="704">
      <c r="T704" s="47">
        <f>IF(R704="","",IFERROR(TODAY()+VLOOKUP(R704,REGRAS!$B$2:$C$13,2,0),""))</f>
        <v/>
      </c>
    </row>
    <row r="705">
      <c r="T705" s="47">
        <f>IF(R705="","",IFERROR(TODAY()+VLOOKUP(R705,REGRAS!$B$2:$C$13,2,0),""))</f>
        <v/>
      </c>
    </row>
    <row r="706">
      <c r="T706" s="47">
        <f>IF(R706="","",IFERROR(TODAY()+VLOOKUP(R706,REGRAS!$B$2:$C$13,2,0),""))</f>
        <v/>
      </c>
    </row>
    <row r="707">
      <c r="T707" s="47">
        <f>IF(R707="","",IFERROR(TODAY()+VLOOKUP(R707,REGRAS!$B$2:$C$13,2,0),""))</f>
        <v/>
      </c>
    </row>
    <row r="708">
      <c r="T708" s="47">
        <f>IF(R708="","",IFERROR(TODAY()+VLOOKUP(R708,REGRAS!$B$2:$C$13,2,0),""))</f>
        <v/>
      </c>
    </row>
    <row r="709">
      <c r="T709" s="47">
        <f>IF(R709="","",IFERROR(TODAY()+VLOOKUP(R709,REGRAS!$B$2:$C$13,2,0),""))</f>
        <v/>
      </c>
    </row>
    <row r="710">
      <c r="T710" s="47">
        <f>IF(R710="","",IFERROR(TODAY()+VLOOKUP(R710,REGRAS!$B$2:$C$13,2,0),""))</f>
        <v/>
      </c>
    </row>
    <row r="711">
      <c r="T711" s="47">
        <f>IF(R711="","",IFERROR(TODAY()+VLOOKUP(R711,REGRAS!$B$2:$C$13,2,0),""))</f>
        <v/>
      </c>
    </row>
    <row r="712">
      <c r="T712" s="47">
        <f>IF(R712="","",IFERROR(TODAY()+VLOOKUP(R712,REGRAS!$B$2:$C$13,2,0),""))</f>
        <v/>
      </c>
    </row>
    <row r="713">
      <c r="T713" s="47">
        <f>IF(R713="","",IFERROR(TODAY()+VLOOKUP(R713,REGRAS!$B$2:$C$13,2,0),""))</f>
        <v/>
      </c>
    </row>
    <row r="714">
      <c r="T714" s="47">
        <f>IF(R714="","",IFERROR(TODAY()+VLOOKUP(R714,REGRAS!$B$2:$C$13,2,0),""))</f>
        <v/>
      </c>
    </row>
    <row r="715">
      <c r="T715" s="47">
        <f>IF(R715="","",IFERROR(TODAY()+VLOOKUP(R715,REGRAS!$B$2:$C$13,2,0),""))</f>
        <v/>
      </c>
    </row>
    <row r="716">
      <c r="T716" s="47">
        <f>IF(R716="","",IFERROR(TODAY()+VLOOKUP(R716,REGRAS!$B$2:$C$13,2,0),""))</f>
        <v/>
      </c>
    </row>
    <row r="717">
      <c r="T717" s="47">
        <f>IF(R717="","",IFERROR(TODAY()+VLOOKUP(R717,REGRAS!$B$2:$C$13,2,0),""))</f>
        <v/>
      </c>
    </row>
    <row r="718">
      <c r="T718" s="47">
        <f>IF(R718="","",IFERROR(TODAY()+VLOOKUP(R718,REGRAS!$B$2:$C$13,2,0),""))</f>
        <v/>
      </c>
    </row>
    <row r="719">
      <c r="T719" s="47">
        <f>IF(R719="","",IFERROR(TODAY()+VLOOKUP(R719,REGRAS!$B$2:$C$13,2,0),""))</f>
        <v/>
      </c>
    </row>
    <row r="720">
      <c r="T720" s="47">
        <f>IF(R720="","",IFERROR(TODAY()+VLOOKUP(R720,REGRAS!$B$2:$C$13,2,0),""))</f>
        <v/>
      </c>
    </row>
    <row r="721">
      <c r="T721" s="47">
        <f>IF(R721="","",IFERROR(TODAY()+VLOOKUP(R721,REGRAS!$B$2:$C$13,2,0),""))</f>
        <v/>
      </c>
    </row>
    <row r="722">
      <c r="T722" s="47">
        <f>IF(R722="","",IFERROR(TODAY()+VLOOKUP(R722,REGRAS!$B$2:$C$13,2,0),""))</f>
        <v/>
      </c>
    </row>
    <row r="723">
      <c r="T723" s="47">
        <f>IF(R723="","",IFERROR(TODAY()+VLOOKUP(R723,REGRAS!$B$2:$C$13,2,0),""))</f>
        <v/>
      </c>
    </row>
    <row r="724">
      <c r="T724" s="47">
        <f>IF(R724="","",IFERROR(TODAY()+VLOOKUP(R724,REGRAS!$B$2:$C$13,2,0),""))</f>
        <v/>
      </c>
    </row>
    <row r="725">
      <c r="T725" s="47">
        <f>IF(R725="","",IFERROR(TODAY()+VLOOKUP(R725,REGRAS!$B$2:$C$13,2,0),""))</f>
        <v/>
      </c>
    </row>
    <row r="726">
      <c r="T726" s="47">
        <f>IF(R726="","",IFERROR(TODAY()+VLOOKUP(R726,REGRAS!$B$2:$C$13,2,0),""))</f>
        <v/>
      </c>
    </row>
    <row r="727">
      <c r="T727" s="47">
        <f>IF(R727="","",IFERROR(TODAY()+VLOOKUP(R727,REGRAS!$B$2:$C$13,2,0),""))</f>
        <v/>
      </c>
    </row>
    <row r="728">
      <c r="T728" s="47">
        <f>IF(R728="","",IFERROR(TODAY()+VLOOKUP(R728,REGRAS!$B$2:$C$13,2,0),""))</f>
        <v/>
      </c>
    </row>
    <row r="729">
      <c r="T729" s="47">
        <f>IF(R729="","",IFERROR(TODAY()+VLOOKUP(R729,REGRAS!$B$2:$C$13,2,0),""))</f>
        <v/>
      </c>
    </row>
    <row r="730">
      <c r="T730" s="47">
        <f>IF(R730="","",IFERROR(TODAY()+VLOOKUP(R730,REGRAS!$B$2:$C$13,2,0),""))</f>
        <v/>
      </c>
    </row>
    <row r="731">
      <c r="T731" s="47">
        <f>IF(R731="","",IFERROR(TODAY()+VLOOKUP(R731,REGRAS!$B$2:$C$13,2,0),""))</f>
        <v/>
      </c>
    </row>
    <row r="732">
      <c r="T732" s="47">
        <f>IF(R732="","",IFERROR(TODAY()+VLOOKUP(R732,REGRAS!$B$2:$C$13,2,0),""))</f>
        <v/>
      </c>
    </row>
    <row r="733">
      <c r="T733" s="47">
        <f>IF(R733="","",IFERROR(TODAY()+VLOOKUP(R733,REGRAS!$B$2:$C$13,2,0),""))</f>
        <v/>
      </c>
    </row>
    <row r="734">
      <c r="T734" s="47">
        <f>IF(R734="","",IFERROR(TODAY()+VLOOKUP(R734,REGRAS!$B$2:$C$13,2,0),""))</f>
        <v/>
      </c>
    </row>
    <row r="735">
      <c r="T735" s="47">
        <f>IF(R735="","",IFERROR(TODAY()+VLOOKUP(R735,REGRAS!$B$2:$C$13,2,0),""))</f>
        <v/>
      </c>
    </row>
    <row r="736">
      <c r="T736" s="47">
        <f>IF(R736="","",IFERROR(TODAY()+VLOOKUP(R736,REGRAS!$B$2:$C$13,2,0),""))</f>
        <v/>
      </c>
    </row>
    <row r="737">
      <c r="T737" s="47">
        <f>IF(R737="","",IFERROR(TODAY()+VLOOKUP(R737,REGRAS!$B$2:$C$13,2,0),""))</f>
        <v/>
      </c>
    </row>
    <row r="738">
      <c r="T738" s="47">
        <f>IF(R738="","",IFERROR(TODAY()+VLOOKUP(R738,REGRAS!$B$2:$C$13,2,0),""))</f>
        <v/>
      </c>
    </row>
    <row r="739">
      <c r="T739" s="47">
        <f>IF(R739="","",IFERROR(TODAY()+VLOOKUP(R739,REGRAS!$B$2:$C$13,2,0),""))</f>
        <v/>
      </c>
    </row>
    <row r="740">
      <c r="T740" s="47">
        <f>IF(R740="","",IFERROR(TODAY()+VLOOKUP(R740,REGRAS!$B$2:$C$13,2,0),""))</f>
        <v/>
      </c>
    </row>
    <row r="741">
      <c r="T741" s="47">
        <f>IF(R741="","",IFERROR(TODAY()+VLOOKUP(R741,REGRAS!$B$2:$C$13,2,0),""))</f>
        <v/>
      </c>
    </row>
    <row r="742">
      <c r="T742" s="47">
        <f>IF(R742="","",IFERROR(TODAY()+VLOOKUP(R742,REGRAS!$B$2:$C$13,2,0),""))</f>
        <v/>
      </c>
    </row>
    <row r="743">
      <c r="T743" s="47">
        <f>IF(R743="","",IFERROR(TODAY()+VLOOKUP(R743,REGRAS!$B$2:$C$13,2,0),""))</f>
        <v/>
      </c>
    </row>
    <row r="744">
      <c r="T744" s="47">
        <f>IF(R744="","",IFERROR(TODAY()+VLOOKUP(R744,REGRAS!$B$2:$C$13,2,0),""))</f>
        <v/>
      </c>
    </row>
    <row r="745">
      <c r="T745" s="47">
        <f>IF(R745="","",IFERROR(TODAY()+VLOOKUP(R745,REGRAS!$B$2:$C$13,2,0),""))</f>
        <v/>
      </c>
    </row>
    <row r="746">
      <c r="T746" s="47">
        <f>IF(R746="","",IFERROR(TODAY()+VLOOKUP(R746,REGRAS!$B$2:$C$13,2,0),""))</f>
        <v/>
      </c>
    </row>
    <row r="747">
      <c r="T747" s="47">
        <f>IF(R747="","",IFERROR(TODAY()+VLOOKUP(R747,REGRAS!$B$2:$C$13,2,0),""))</f>
        <v/>
      </c>
    </row>
    <row r="748">
      <c r="T748" s="47">
        <f>IF(R748="","",IFERROR(TODAY()+VLOOKUP(R748,REGRAS!$B$2:$C$13,2,0),""))</f>
        <v/>
      </c>
    </row>
    <row r="749">
      <c r="T749" s="47">
        <f>IF(R749="","",IFERROR(TODAY()+VLOOKUP(R749,REGRAS!$B$2:$C$13,2,0),""))</f>
        <v/>
      </c>
    </row>
    <row r="750">
      <c r="T750" s="47">
        <f>IF(R750="","",IFERROR(TODAY()+VLOOKUP(R750,REGRAS!$B$2:$C$13,2,0),""))</f>
        <v/>
      </c>
    </row>
    <row r="751">
      <c r="T751" s="47">
        <f>IF(R751="","",IFERROR(TODAY()+VLOOKUP(R751,REGRAS!$B$2:$C$13,2,0),""))</f>
        <v/>
      </c>
    </row>
    <row r="752">
      <c r="T752" s="47">
        <f>IF(R752="","",IFERROR(TODAY()+VLOOKUP(R752,REGRAS!$B$2:$C$13,2,0),""))</f>
        <v/>
      </c>
    </row>
    <row r="753">
      <c r="T753" s="47">
        <f>IF(R753="","",IFERROR(TODAY()+VLOOKUP(R753,REGRAS!$B$2:$C$13,2,0),""))</f>
        <v/>
      </c>
    </row>
    <row r="754">
      <c r="T754" s="47">
        <f>IF(R754="","",IFERROR(TODAY()+VLOOKUP(R754,REGRAS!$B$2:$C$13,2,0),""))</f>
        <v/>
      </c>
    </row>
    <row r="755">
      <c r="T755" s="47">
        <f>IF(R755="","",IFERROR(TODAY()+VLOOKUP(R755,REGRAS!$B$2:$C$13,2,0),""))</f>
        <v/>
      </c>
    </row>
    <row r="756">
      <c r="T756" s="47">
        <f>IF(R756="","",IFERROR(TODAY()+VLOOKUP(R756,REGRAS!$B$2:$C$13,2,0),""))</f>
        <v/>
      </c>
    </row>
    <row r="757">
      <c r="T757" s="47">
        <f>IF(R757="","",IFERROR(TODAY()+VLOOKUP(R757,REGRAS!$B$2:$C$13,2,0),""))</f>
        <v/>
      </c>
    </row>
    <row r="758">
      <c r="T758" s="47">
        <f>IF(R758="","",IFERROR(TODAY()+VLOOKUP(R758,REGRAS!$B$2:$C$13,2,0),""))</f>
        <v/>
      </c>
    </row>
    <row r="759">
      <c r="T759" s="47">
        <f>IF(R759="","",IFERROR(TODAY()+VLOOKUP(R759,REGRAS!$B$2:$C$13,2,0),""))</f>
        <v/>
      </c>
    </row>
    <row r="760">
      <c r="T760" s="47">
        <f>IF(R760="","",IFERROR(TODAY()+VLOOKUP(R760,REGRAS!$B$2:$C$13,2,0),""))</f>
        <v/>
      </c>
    </row>
    <row r="761">
      <c r="T761" s="47">
        <f>IF(R761="","",IFERROR(TODAY()+VLOOKUP(R761,REGRAS!$B$2:$C$13,2,0),""))</f>
        <v/>
      </c>
    </row>
    <row r="762">
      <c r="T762" s="47">
        <f>IF(R762="","",IFERROR(TODAY()+VLOOKUP(R762,REGRAS!$B$2:$C$13,2,0),""))</f>
        <v/>
      </c>
    </row>
    <row r="763">
      <c r="T763" s="47">
        <f>IF(R763="","",IFERROR(TODAY()+VLOOKUP(R763,REGRAS!$B$2:$C$13,2,0),""))</f>
        <v/>
      </c>
    </row>
    <row r="764">
      <c r="T764" s="47">
        <f>IF(R764="","",IFERROR(TODAY()+VLOOKUP(R764,REGRAS!$B$2:$C$13,2,0),""))</f>
        <v/>
      </c>
    </row>
    <row r="765">
      <c r="T765" s="47">
        <f>IF(R765="","",IFERROR(TODAY()+VLOOKUP(R765,REGRAS!$B$2:$C$13,2,0),""))</f>
        <v/>
      </c>
    </row>
    <row r="766">
      <c r="T766" s="47">
        <f>IF(R766="","",IFERROR(TODAY()+VLOOKUP(R766,REGRAS!$B$2:$C$13,2,0),""))</f>
        <v/>
      </c>
    </row>
    <row r="767">
      <c r="T767" s="47">
        <f>IF(R767="","",IFERROR(TODAY()+VLOOKUP(R767,REGRAS!$B$2:$C$13,2,0),""))</f>
        <v/>
      </c>
    </row>
    <row r="768">
      <c r="T768" s="47">
        <f>IF(R768="","",IFERROR(TODAY()+VLOOKUP(R768,REGRAS!$B$2:$C$13,2,0),""))</f>
        <v/>
      </c>
    </row>
    <row r="769">
      <c r="T769" s="47">
        <f>IF(R769="","",IFERROR(TODAY()+VLOOKUP(R769,REGRAS!$B$2:$C$13,2,0),""))</f>
        <v/>
      </c>
    </row>
    <row r="770">
      <c r="T770" s="47">
        <f>IF(R770="","",IFERROR(TODAY()+VLOOKUP(R770,REGRAS!$B$2:$C$13,2,0),""))</f>
        <v/>
      </c>
    </row>
    <row r="771">
      <c r="T771" s="47">
        <f>IF(R771="","",IFERROR(TODAY()+VLOOKUP(R771,REGRAS!$B$2:$C$13,2,0),""))</f>
        <v/>
      </c>
    </row>
    <row r="772">
      <c r="T772" s="47">
        <f>IF(R772="","",IFERROR(TODAY()+VLOOKUP(R772,REGRAS!$B$2:$C$13,2,0),""))</f>
        <v/>
      </c>
    </row>
    <row r="773">
      <c r="T773" s="47">
        <f>IF(R773="","",IFERROR(TODAY()+VLOOKUP(R773,REGRAS!$B$2:$C$13,2,0),""))</f>
        <v/>
      </c>
    </row>
    <row r="774">
      <c r="T774" s="47">
        <f>IF(R774="","",IFERROR(TODAY()+VLOOKUP(R774,REGRAS!$B$2:$C$13,2,0),""))</f>
        <v/>
      </c>
    </row>
    <row r="775">
      <c r="T775" s="47">
        <f>IF(R775="","",IFERROR(TODAY()+VLOOKUP(R775,REGRAS!$B$2:$C$13,2,0),""))</f>
        <v/>
      </c>
    </row>
    <row r="776">
      <c r="T776" s="47">
        <f>IF(R776="","",IFERROR(TODAY()+VLOOKUP(R776,REGRAS!$B$2:$C$13,2,0),""))</f>
        <v/>
      </c>
    </row>
    <row r="777">
      <c r="T777" s="47">
        <f>IF(R777="","",IFERROR(TODAY()+VLOOKUP(R777,REGRAS!$B$2:$C$13,2,0),""))</f>
        <v/>
      </c>
    </row>
    <row r="778">
      <c r="T778" s="47">
        <f>IF(R778="","",IFERROR(TODAY()+VLOOKUP(R778,REGRAS!$B$2:$C$13,2,0),""))</f>
        <v/>
      </c>
    </row>
    <row r="779">
      <c r="T779" s="47">
        <f>IF(R779="","",IFERROR(TODAY()+VLOOKUP(R779,REGRAS!$B$2:$C$13,2,0),""))</f>
        <v/>
      </c>
    </row>
    <row r="780">
      <c r="T780" s="47">
        <f>IF(R780="","",IFERROR(TODAY()+VLOOKUP(R780,REGRAS!$B$2:$C$13,2,0),""))</f>
        <v/>
      </c>
    </row>
    <row r="781">
      <c r="T781" s="47">
        <f>IF(R781="","",IFERROR(TODAY()+VLOOKUP(R781,REGRAS!$B$2:$C$13,2,0),""))</f>
        <v/>
      </c>
    </row>
    <row r="782">
      <c r="T782" s="47">
        <f>IF(R782="","",IFERROR(TODAY()+VLOOKUP(R782,REGRAS!$B$2:$C$13,2,0),""))</f>
        <v/>
      </c>
    </row>
    <row r="783">
      <c r="T783" s="47">
        <f>IF(R783="","",IFERROR(TODAY()+VLOOKUP(R783,REGRAS!$B$2:$C$13,2,0),""))</f>
        <v/>
      </c>
    </row>
    <row r="784">
      <c r="T784" s="47">
        <f>IF(R784="","",IFERROR(TODAY()+VLOOKUP(R784,REGRAS!$B$2:$C$13,2,0),""))</f>
        <v/>
      </c>
    </row>
    <row r="785">
      <c r="T785" s="47">
        <f>IF(R785="","",IFERROR(TODAY()+VLOOKUP(R785,REGRAS!$B$2:$C$13,2,0),""))</f>
        <v/>
      </c>
    </row>
    <row r="786">
      <c r="T786" s="47">
        <f>IF(R786="","",IFERROR(TODAY()+VLOOKUP(R786,REGRAS!$B$2:$C$13,2,0),""))</f>
        <v/>
      </c>
    </row>
    <row r="787">
      <c r="T787" s="47">
        <f>IF(R787="","",IFERROR(TODAY()+VLOOKUP(R787,REGRAS!$B$2:$C$13,2,0),""))</f>
        <v/>
      </c>
    </row>
    <row r="788">
      <c r="T788" s="47">
        <f>IF(R788="","",IFERROR(TODAY()+VLOOKUP(R788,REGRAS!$B$2:$C$13,2,0),""))</f>
        <v/>
      </c>
    </row>
    <row r="789">
      <c r="T789" s="47">
        <f>IF(R789="","",IFERROR(TODAY()+VLOOKUP(R789,REGRAS!$B$2:$C$13,2,0),""))</f>
        <v/>
      </c>
    </row>
    <row r="790">
      <c r="T790" s="47">
        <f>IF(R790="","",IFERROR(TODAY()+VLOOKUP(R790,REGRAS!$B$2:$C$13,2,0),""))</f>
        <v/>
      </c>
    </row>
    <row r="791">
      <c r="T791" s="47">
        <f>IF(R791="","",IFERROR(TODAY()+VLOOKUP(R791,REGRAS!$B$2:$C$13,2,0),""))</f>
        <v/>
      </c>
    </row>
    <row r="792">
      <c r="T792" s="47">
        <f>IF(R792="","",IFERROR(TODAY()+VLOOKUP(R792,REGRAS!$B$2:$C$13,2,0),""))</f>
        <v/>
      </c>
    </row>
    <row r="793">
      <c r="T793" s="47">
        <f>IF(R793="","",IFERROR(TODAY()+VLOOKUP(R793,REGRAS!$B$2:$C$13,2,0),""))</f>
        <v/>
      </c>
    </row>
    <row r="794">
      <c r="T794" s="47">
        <f>IF(R794="","",IFERROR(TODAY()+VLOOKUP(R794,REGRAS!$B$2:$C$13,2,0),""))</f>
        <v/>
      </c>
    </row>
    <row r="795">
      <c r="T795" s="47">
        <f>IF(R795="","",IFERROR(TODAY()+VLOOKUP(R795,REGRAS!$B$2:$C$13,2,0),""))</f>
        <v/>
      </c>
    </row>
    <row r="796">
      <c r="T796" s="47">
        <f>IF(R796="","",IFERROR(TODAY()+VLOOKUP(R796,REGRAS!$B$2:$C$13,2,0),""))</f>
        <v/>
      </c>
    </row>
    <row r="797">
      <c r="T797" s="47">
        <f>IF(R797="","",IFERROR(TODAY()+VLOOKUP(R797,REGRAS!$B$2:$C$13,2,0),""))</f>
        <v/>
      </c>
    </row>
    <row r="798">
      <c r="T798" s="47">
        <f>IF(R798="","",IFERROR(TODAY()+VLOOKUP(R798,REGRAS!$B$2:$C$13,2,0),""))</f>
        <v/>
      </c>
    </row>
    <row r="799">
      <c r="T799" s="47">
        <f>IF(R799="","",IFERROR(TODAY()+VLOOKUP(R799,REGRAS!$B$2:$C$13,2,0),""))</f>
        <v/>
      </c>
    </row>
    <row r="800">
      <c r="T800" s="47">
        <f>IF(R800="","",IFERROR(TODAY()+VLOOKUP(R800,REGRAS!$B$2:$C$13,2,0),""))</f>
        <v/>
      </c>
    </row>
    <row r="801">
      <c r="T801" s="47">
        <f>IF(R801="","",IFERROR(TODAY()+VLOOKUP(R801,REGRAS!$B$2:$C$13,2,0),""))</f>
        <v/>
      </c>
    </row>
    <row r="802">
      <c r="T802" s="47">
        <f>IF(R802="","",IFERROR(TODAY()+VLOOKUP(R802,REGRAS!$B$2:$C$13,2,0),""))</f>
        <v/>
      </c>
    </row>
    <row r="803">
      <c r="T803" s="47">
        <f>IF(R803="","",IFERROR(TODAY()+VLOOKUP(R803,REGRAS!$B$2:$C$13,2,0),""))</f>
        <v/>
      </c>
    </row>
    <row r="804">
      <c r="T804" s="47">
        <f>IF(R804="","",IFERROR(TODAY()+VLOOKUP(R804,REGRAS!$B$2:$C$13,2,0),""))</f>
        <v/>
      </c>
    </row>
    <row r="805">
      <c r="T805" s="47">
        <f>IF(R805="","",IFERROR(TODAY()+VLOOKUP(R805,REGRAS!$B$2:$C$13,2,0),""))</f>
        <v/>
      </c>
    </row>
    <row r="806">
      <c r="T806" s="47">
        <f>IF(R806="","",IFERROR(TODAY()+VLOOKUP(R806,REGRAS!$B$2:$C$13,2,0),""))</f>
        <v/>
      </c>
    </row>
    <row r="807">
      <c r="T807" s="47">
        <f>IF(R807="","",IFERROR(TODAY()+VLOOKUP(R807,REGRAS!$B$2:$C$13,2,0),""))</f>
        <v/>
      </c>
    </row>
    <row r="808">
      <c r="T808" s="47">
        <f>IF(R808="","",IFERROR(TODAY()+VLOOKUP(R808,REGRAS!$B$2:$C$13,2,0),""))</f>
        <v/>
      </c>
    </row>
    <row r="809">
      <c r="T809" s="47">
        <f>IF(R809="","",IFERROR(TODAY()+VLOOKUP(R809,REGRAS!$B$2:$C$13,2,0),""))</f>
        <v/>
      </c>
    </row>
    <row r="810">
      <c r="T810" s="47">
        <f>IF(R810="","",IFERROR(TODAY()+VLOOKUP(R810,REGRAS!$B$2:$C$13,2,0),""))</f>
        <v/>
      </c>
    </row>
    <row r="811">
      <c r="T811" s="47">
        <f>IF(R811="","",IFERROR(TODAY()+VLOOKUP(R811,REGRAS!$B$2:$C$13,2,0),""))</f>
        <v/>
      </c>
    </row>
    <row r="812">
      <c r="T812" s="47">
        <f>IF(R812="","",IFERROR(TODAY()+VLOOKUP(R812,REGRAS!$B$2:$C$13,2,0),""))</f>
        <v/>
      </c>
    </row>
    <row r="813">
      <c r="T813" s="47">
        <f>IF(R813="","",IFERROR(TODAY()+VLOOKUP(R813,REGRAS!$B$2:$C$13,2,0),""))</f>
        <v/>
      </c>
    </row>
    <row r="814">
      <c r="T814" s="47">
        <f>IF(R814="","",IFERROR(TODAY()+VLOOKUP(R814,REGRAS!$B$2:$C$13,2,0),""))</f>
        <v/>
      </c>
    </row>
    <row r="815">
      <c r="T815" s="47">
        <f>IF(R815="","",IFERROR(TODAY()+VLOOKUP(R815,REGRAS!$B$2:$C$13,2,0),""))</f>
        <v/>
      </c>
    </row>
    <row r="816">
      <c r="T816" s="47">
        <f>IF(R816="","",IFERROR(TODAY()+VLOOKUP(R816,REGRAS!$B$2:$C$13,2,0),""))</f>
        <v/>
      </c>
    </row>
    <row r="817">
      <c r="T817" s="47">
        <f>IF(R817="","",IFERROR(TODAY()+VLOOKUP(R817,REGRAS!$B$2:$C$13,2,0),""))</f>
        <v/>
      </c>
    </row>
    <row r="818">
      <c r="T818" s="47">
        <f>IF(R818="","",IFERROR(TODAY()+VLOOKUP(R818,REGRAS!$B$2:$C$13,2,0),""))</f>
        <v/>
      </c>
    </row>
    <row r="819">
      <c r="T819" s="47">
        <f>IF(R819="","",IFERROR(TODAY()+VLOOKUP(R819,REGRAS!$B$2:$C$13,2,0),""))</f>
        <v/>
      </c>
    </row>
    <row r="820">
      <c r="T820" s="47">
        <f>IF(R820="","",IFERROR(TODAY()+VLOOKUP(R820,REGRAS!$B$2:$C$13,2,0),""))</f>
        <v/>
      </c>
    </row>
    <row r="821">
      <c r="T821" s="47">
        <f>IF(R821="","",IFERROR(TODAY()+VLOOKUP(R821,REGRAS!$B$2:$C$13,2,0),""))</f>
        <v/>
      </c>
    </row>
    <row r="822">
      <c r="T822" s="47">
        <f>IF(R822="","",IFERROR(TODAY()+VLOOKUP(R822,REGRAS!$B$2:$C$13,2,0),""))</f>
        <v/>
      </c>
    </row>
    <row r="823">
      <c r="T823" s="47">
        <f>IF(R823="","",IFERROR(TODAY()+VLOOKUP(R823,REGRAS!$B$2:$C$13,2,0),""))</f>
        <v/>
      </c>
    </row>
    <row r="824">
      <c r="T824" s="47">
        <f>IF(R824="","",IFERROR(TODAY()+VLOOKUP(R824,REGRAS!$B$2:$C$13,2,0),""))</f>
        <v/>
      </c>
    </row>
    <row r="825">
      <c r="T825" s="47">
        <f>IF(R825="","",IFERROR(TODAY()+VLOOKUP(R825,REGRAS!$B$2:$C$13,2,0),""))</f>
        <v/>
      </c>
    </row>
    <row r="826">
      <c r="T826" s="47">
        <f>IF(R826="","",IFERROR(TODAY()+VLOOKUP(R826,REGRAS!$B$2:$C$13,2,0),""))</f>
        <v/>
      </c>
    </row>
    <row r="827">
      <c r="T827" s="47">
        <f>IF(R827="","",IFERROR(TODAY()+VLOOKUP(R827,REGRAS!$B$2:$C$13,2,0),""))</f>
        <v/>
      </c>
    </row>
    <row r="828">
      <c r="T828" s="47">
        <f>IF(R828="","",IFERROR(TODAY()+VLOOKUP(R828,REGRAS!$B$2:$C$13,2,0),""))</f>
        <v/>
      </c>
    </row>
    <row r="829">
      <c r="T829" s="47">
        <f>IF(R829="","",IFERROR(TODAY()+VLOOKUP(R829,REGRAS!$B$2:$C$13,2,0),""))</f>
        <v/>
      </c>
    </row>
    <row r="830">
      <c r="T830" s="47">
        <f>IF(R830="","",IFERROR(TODAY()+VLOOKUP(R830,REGRAS!$B$2:$C$13,2,0),""))</f>
        <v/>
      </c>
    </row>
    <row r="831">
      <c r="T831" s="47">
        <f>IF(R831="","",IFERROR(TODAY()+VLOOKUP(R831,REGRAS!$B$2:$C$13,2,0),""))</f>
        <v/>
      </c>
    </row>
    <row r="832">
      <c r="T832" s="47">
        <f>IF(R832="","",IFERROR(TODAY()+VLOOKUP(R832,REGRAS!$B$2:$C$13,2,0),""))</f>
        <v/>
      </c>
    </row>
    <row r="833">
      <c r="T833" s="47">
        <f>IF(R833="","",IFERROR(TODAY()+VLOOKUP(R833,REGRAS!$B$2:$C$13,2,0),""))</f>
        <v/>
      </c>
    </row>
    <row r="834">
      <c r="T834" s="47">
        <f>IF(R834="","",IFERROR(TODAY()+VLOOKUP(R834,REGRAS!$B$2:$C$13,2,0),""))</f>
        <v/>
      </c>
    </row>
    <row r="835">
      <c r="T835" s="47">
        <f>IF(R835="","",IFERROR(TODAY()+VLOOKUP(R835,REGRAS!$B$2:$C$13,2,0),""))</f>
        <v/>
      </c>
    </row>
    <row r="836">
      <c r="T836" s="47">
        <f>IF(R836="","",IFERROR(TODAY()+VLOOKUP(R836,REGRAS!$B$2:$C$13,2,0),""))</f>
        <v/>
      </c>
    </row>
    <row r="837">
      <c r="T837" s="47">
        <f>IF(R837="","",IFERROR(TODAY()+VLOOKUP(R837,REGRAS!$B$2:$C$13,2,0),""))</f>
        <v/>
      </c>
    </row>
    <row r="838">
      <c r="T838" s="47">
        <f>IF(R838="","",IFERROR(TODAY()+VLOOKUP(R838,REGRAS!$B$2:$C$13,2,0),""))</f>
        <v/>
      </c>
    </row>
    <row r="839">
      <c r="T839" s="47">
        <f>IF(R839="","",IFERROR(TODAY()+VLOOKUP(R839,REGRAS!$B$2:$C$13,2,0),""))</f>
        <v/>
      </c>
    </row>
    <row r="840">
      <c r="T840" s="47">
        <f>IF(R840="","",IFERROR(TODAY()+VLOOKUP(R840,REGRAS!$B$2:$C$13,2,0),""))</f>
        <v/>
      </c>
    </row>
    <row r="841">
      <c r="T841" s="47">
        <f>IF(R841="","",IFERROR(TODAY()+VLOOKUP(R841,REGRAS!$B$2:$C$13,2,0),""))</f>
        <v/>
      </c>
    </row>
    <row r="842">
      <c r="T842" s="47">
        <f>IF(R842="","",IFERROR(TODAY()+VLOOKUP(R842,REGRAS!$B$2:$C$13,2,0),""))</f>
        <v/>
      </c>
    </row>
    <row r="843">
      <c r="T843" s="47">
        <f>IF(R843="","",IFERROR(TODAY()+VLOOKUP(R843,REGRAS!$B$2:$C$13,2,0),""))</f>
        <v/>
      </c>
    </row>
    <row r="844">
      <c r="T844" s="47">
        <f>IF(R844="","",IFERROR(TODAY()+VLOOKUP(R844,REGRAS!$B$2:$C$13,2,0),""))</f>
        <v/>
      </c>
    </row>
    <row r="845">
      <c r="T845" s="47">
        <f>IF(R845="","",IFERROR(TODAY()+VLOOKUP(R845,REGRAS!$B$2:$C$13,2,0),""))</f>
        <v/>
      </c>
    </row>
    <row r="846">
      <c r="T846" s="47">
        <f>IF(R846="","",IFERROR(TODAY()+VLOOKUP(R846,REGRAS!$B$2:$C$13,2,0),""))</f>
        <v/>
      </c>
    </row>
    <row r="847">
      <c r="T847" s="47">
        <f>IF(R847="","",IFERROR(TODAY()+VLOOKUP(R847,REGRAS!$B$2:$C$13,2,0),""))</f>
        <v/>
      </c>
    </row>
    <row r="848">
      <c r="T848" s="47">
        <f>IF(R848="","",IFERROR(TODAY()+VLOOKUP(R848,REGRAS!$B$2:$C$13,2,0),""))</f>
        <v/>
      </c>
    </row>
    <row r="849">
      <c r="T849" s="47">
        <f>IF(R849="","",IFERROR(TODAY()+VLOOKUP(R849,REGRAS!$B$2:$C$13,2,0),""))</f>
        <v/>
      </c>
    </row>
    <row r="850">
      <c r="T850" s="47">
        <f>IF(R850="","",IFERROR(TODAY()+VLOOKUP(R850,REGRAS!$B$2:$C$13,2,0),""))</f>
        <v/>
      </c>
    </row>
    <row r="851">
      <c r="T851" s="47">
        <f>IF(R851="","",IFERROR(TODAY()+VLOOKUP(R851,REGRAS!$B$2:$C$13,2,0),""))</f>
        <v/>
      </c>
    </row>
    <row r="852">
      <c r="T852" s="47">
        <f>IF(R852="","",IFERROR(TODAY()+VLOOKUP(R852,REGRAS!$B$2:$C$13,2,0),""))</f>
        <v/>
      </c>
    </row>
    <row r="853">
      <c r="T853" s="47">
        <f>IF(R853="","",IFERROR(TODAY()+VLOOKUP(R853,REGRAS!$B$2:$C$13,2,0),""))</f>
        <v/>
      </c>
    </row>
    <row r="854">
      <c r="T854" s="47">
        <f>IF(R854="","",IFERROR(TODAY()+VLOOKUP(R854,REGRAS!$B$2:$C$13,2,0),""))</f>
        <v/>
      </c>
    </row>
    <row r="855">
      <c r="T855" s="47">
        <f>IF(R855="","",IFERROR(TODAY()+VLOOKUP(R855,REGRAS!$B$2:$C$13,2,0),""))</f>
        <v/>
      </c>
    </row>
    <row r="856">
      <c r="T856" s="47">
        <f>IF(R856="","",IFERROR(TODAY()+VLOOKUP(R856,REGRAS!$B$2:$C$13,2,0),""))</f>
        <v/>
      </c>
    </row>
    <row r="857">
      <c r="T857" s="47">
        <f>IF(R857="","",IFERROR(TODAY()+VLOOKUP(R857,REGRAS!$B$2:$C$13,2,0),""))</f>
        <v/>
      </c>
    </row>
    <row r="858">
      <c r="T858" s="47">
        <f>IF(R858="","",IFERROR(TODAY()+VLOOKUP(R858,REGRAS!$B$2:$C$13,2,0),""))</f>
        <v/>
      </c>
    </row>
    <row r="859">
      <c r="T859" s="47">
        <f>IF(R859="","",IFERROR(TODAY()+VLOOKUP(R859,REGRAS!$B$2:$C$13,2,0),""))</f>
        <v/>
      </c>
    </row>
    <row r="860">
      <c r="T860" s="47">
        <f>IF(R860="","",IFERROR(TODAY()+VLOOKUP(R860,REGRAS!$B$2:$C$13,2,0),""))</f>
        <v/>
      </c>
    </row>
    <row r="861">
      <c r="T861" s="47">
        <f>IF(R861="","",IFERROR(TODAY()+VLOOKUP(R861,REGRAS!$B$2:$C$13,2,0),""))</f>
        <v/>
      </c>
    </row>
    <row r="862">
      <c r="T862" s="47">
        <f>IF(R862="","",IFERROR(TODAY()+VLOOKUP(R862,REGRAS!$B$2:$C$13,2,0),""))</f>
        <v/>
      </c>
    </row>
    <row r="863">
      <c r="T863" s="47">
        <f>IF(R863="","",IFERROR(TODAY()+VLOOKUP(R863,REGRAS!$B$2:$C$13,2,0),""))</f>
        <v/>
      </c>
    </row>
    <row r="864">
      <c r="T864" s="47">
        <f>IF(R864="","",IFERROR(TODAY()+VLOOKUP(R864,REGRAS!$B$2:$C$13,2,0),""))</f>
        <v/>
      </c>
    </row>
    <row r="865">
      <c r="T865" s="47">
        <f>IF(R865="","",IFERROR(TODAY()+VLOOKUP(R865,REGRAS!$B$2:$C$13,2,0),""))</f>
        <v/>
      </c>
    </row>
    <row r="866">
      <c r="T866" s="47">
        <f>IF(R866="","",IFERROR(TODAY()+VLOOKUP(R866,REGRAS!$B$2:$C$13,2,0),""))</f>
        <v/>
      </c>
    </row>
    <row r="867">
      <c r="T867" s="47">
        <f>IF(R867="","",IFERROR(TODAY()+VLOOKUP(R867,REGRAS!$B$2:$C$13,2,0),""))</f>
        <v/>
      </c>
    </row>
    <row r="868">
      <c r="T868" s="47">
        <f>IF(R868="","",IFERROR(TODAY()+VLOOKUP(R868,REGRAS!$B$2:$C$13,2,0),""))</f>
        <v/>
      </c>
    </row>
    <row r="869">
      <c r="T869" s="47">
        <f>IF(R869="","",IFERROR(TODAY()+VLOOKUP(R869,REGRAS!$B$2:$C$13,2,0),""))</f>
        <v/>
      </c>
    </row>
    <row r="870">
      <c r="T870" s="47">
        <f>IF(R870="","",IFERROR(TODAY()+VLOOKUP(R870,REGRAS!$B$2:$C$13,2,0),""))</f>
        <v/>
      </c>
    </row>
    <row r="871">
      <c r="T871" s="47">
        <f>IF(R871="","",IFERROR(TODAY()+VLOOKUP(R871,REGRAS!$B$2:$C$13,2,0),""))</f>
        <v/>
      </c>
    </row>
    <row r="872">
      <c r="T872" s="47">
        <f>IF(R872="","",IFERROR(TODAY()+VLOOKUP(R872,REGRAS!$B$2:$C$13,2,0),""))</f>
        <v/>
      </c>
    </row>
    <row r="873">
      <c r="T873" s="47">
        <f>IF(R873="","",IFERROR(TODAY()+VLOOKUP(R873,REGRAS!$B$2:$C$13,2,0),""))</f>
        <v/>
      </c>
    </row>
    <row r="874">
      <c r="T874" s="47">
        <f>IF(R874="","",IFERROR(TODAY()+VLOOKUP(R874,REGRAS!$B$2:$C$13,2,0),""))</f>
        <v/>
      </c>
    </row>
    <row r="875">
      <c r="T875" s="47">
        <f>IF(R875="","",IFERROR(TODAY()+VLOOKUP(R875,REGRAS!$B$2:$C$13,2,0),""))</f>
        <v/>
      </c>
    </row>
    <row r="876">
      <c r="T876" s="47">
        <f>IF(R876="","",IFERROR(TODAY()+VLOOKUP(R876,REGRAS!$B$2:$C$13,2,0),""))</f>
        <v/>
      </c>
    </row>
    <row r="877">
      <c r="T877" s="47">
        <f>IF(R877="","",IFERROR(TODAY()+VLOOKUP(R877,REGRAS!$B$2:$C$13,2,0),""))</f>
        <v/>
      </c>
    </row>
    <row r="878">
      <c r="T878" s="47">
        <f>IF(R878="","",IFERROR(TODAY()+VLOOKUP(R878,REGRAS!$B$2:$C$13,2,0),""))</f>
        <v/>
      </c>
    </row>
    <row r="879">
      <c r="T879" s="47">
        <f>IF(R879="","",IFERROR(TODAY()+VLOOKUP(R879,REGRAS!$B$2:$C$13,2,0),""))</f>
        <v/>
      </c>
    </row>
    <row r="880">
      <c r="T880" s="47">
        <f>IF(R880="","",IFERROR(TODAY()+VLOOKUP(R880,REGRAS!$B$2:$C$13,2,0),""))</f>
        <v/>
      </c>
    </row>
    <row r="881">
      <c r="T881" s="47">
        <f>IF(R881="","",IFERROR(TODAY()+VLOOKUP(R881,REGRAS!$B$2:$C$13,2,0),""))</f>
        <v/>
      </c>
    </row>
    <row r="882">
      <c r="T882" s="47">
        <f>IF(R882="","",IFERROR(TODAY()+VLOOKUP(R882,REGRAS!$B$2:$C$13,2,0),""))</f>
        <v/>
      </c>
    </row>
    <row r="883">
      <c r="T883" s="47">
        <f>IF(R883="","",IFERROR(TODAY()+VLOOKUP(R883,REGRAS!$B$2:$C$13,2,0),""))</f>
        <v/>
      </c>
    </row>
    <row r="884">
      <c r="T884" s="47">
        <f>IF(R884="","",IFERROR(TODAY()+VLOOKUP(R884,REGRAS!$B$2:$C$13,2,0),""))</f>
        <v/>
      </c>
    </row>
    <row r="885">
      <c r="T885" s="47">
        <f>IF(R885="","",IFERROR(TODAY()+VLOOKUP(R885,REGRAS!$B$2:$C$13,2,0),""))</f>
        <v/>
      </c>
    </row>
    <row r="886">
      <c r="T886" s="47">
        <f>IF(R886="","",IFERROR(TODAY()+VLOOKUP(R886,REGRAS!$B$2:$C$13,2,0),""))</f>
        <v/>
      </c>
    </row>
    <row r="887">
      <c r="T887" s="47">
        <f>IF(R887="","",IFERROR(TODAY()+VLOOKUP(R887,REGRAS!$B$2:$C$13,2,0),""))</f>
        <v/>
      </c>
    </row>
    <row r="888">
      <c r="T888" s="47">
        <f>IF(R888="","",IFERROR(TODAY()+VLOOKUP(R888,REGRAS!$B$2:$C$13,2,0),""))</f>
        <v/>
      </c>
    </row>
    <row r="889">
      <c r="T889" s="47">
        <f>IF(R889="","",IFERROR(TODAY()+VLOOKUP(R889,REGRAS!$B$2:$C$13,2,0),""))</f>
        <v/>
      </c>
    </row>
    <row r="890">
      <c r="T890" s="47">
        <f>IF(R890="","",IFERROR(TODAY()+VLOOKUP(R890,REGRAS!$B$2:$C$13,2,0),""))</f>
        <v/>
      </c>
    </row>
    <row r="891">
      <c r="T891" s="47">
        <f>IF(R891="","",IFERROR(TODAY()+VLOOKUP(R891,REGRAS!$B$2:$C$13,2,0),""))</f>
        <v/>
      </c>
    </row>
    <row r="892">
      <c r="T892" s="47">
        <f>IF(R892="","",IFERROR(TODAY()+VLOOKUP(R892,REGRAS!$B$2:$C$13,2,0),""))</f>
        <v/>
      </c>
    </row>
    <row r="893">
      <c r="T893" s="47">
        <f>IF(R893="","",IFERROR(TODAY()+VLOOKUP(R893,REGRAS!$B$2:$C$13,2,0),""))</f>
        <v/>
      </c>
    </row>
    <row r="894">
      <c r="T894" s="47">
        <f>IF(R894="","",IFERROR(TODAY()+VLOOKUP(R894,REGRAS!$B$2:$C$13,2,0),""))</f>
        <v/>
      </c>
    </row>
    <row r="895">
      <c r="T895" s="47">
        <f>IF(R895="","",IFERROR(TODAY()+VLOOKUP(R895,REGRAS!$B$2:$C$13,2,0),""))</f>
        <v/>
      </c>
    </row>
    <row r="896">
      <c r="T896" s="47">
        <f>IF(R896="","",IFERROR(TODAY()+VLOOKUP(R896,REGRAS!$B$2:$C$13,2,0),""))</f>
        <v/>
      </c>
    </row>
    <row r="897">
      <c r="T897" s="47">
        <f>IF(R897="","",IFERROR(TODAY()+VLOOKUP(R897,REGRAS!$B$2:$C$13,2,0),""))</f>
        <v/>
      </c>
    </row>
    <row r="898">
      <c r="T898" s="47">
        <f>IF(R898="","",IFERROR(TODAY()+VLOOKUP(R898,REGRAS!$B$2:$C$13,2,0),""))</f>
        <v/>
      </c>
    </row>
    <row r="899">
      <c r="T899" s="47">
        <f>IF(R899="","",IFERROR(TODAY()+VLOOKUP(R899,REGRAS!$B$2:$C$13,2,0),""))</f>
        <v/>
      </c>
    </row>
    <row r="900">
      <c r="T900" s="47">
        <f>IF(R900="","",IFERROR(TODAY()+VLOOKUP(R900,REGRAS!$B$2:$C$13,2,0),""))</f>
        <v/>
      </c>
    </row>
    <row r="901">
      <c r="T901" s="47">
        <f>IF(R901="","",IFERROR(TODAY()+VLOOKUP(R901,REGRAS!$B$2:$C$13,2,0),""))</f>
        <v/>
      </c>
    </row>
    <row r="902">
      <c r="T902" s="47">
        <f>IF(R902="","",IFERROR(TODAY()+VLOOKUP(R902,REGRAS!$B$2:$C$13,2,0),""))</f>
        <v/>
      </c>
    </row>
    <row r="903">
      <c r="T903" s="47">
        <f>IF(R903="","",IFERROR(TODAY()+VLOOKUP(R903,REGRAS!$B$2:$C$13,2,0),""))</f>
        <v/>
      </c>
    </row>
    <row r="904">
      <c r="T904" s="47">
        <f>IF(R904="","",IFERROR(TODAY()+VLOOKUP(R904,REGRAS!$B$2:$C$13,2,0),""))</f>
        <v/>
      </c>
    </row>
    <row r="905">
      <c r="T905" s="47">
        <f>IF(R905="","",IFERROR(TODAY()+VLOOKUP(R905,REGRAS!$B$2:$C$13,2,0),""))</f>
        <v/>
      </c>
    </row>
    <row r="906">
      <c r="T906" s="47">
        <f>IF(R906="","",IFERROR(TODAY()+VLOOKUP(R906,REGRAS!$B$2:$C$13,2,0),""))</f>
        <v/>
      </c>
    </row>
    <row r="907">
      <c r="T907" s="47">
        <f>IF(R907="","",IFERROR(TODAY()+VLOOKUP(R907,REGRAS!$B$2:$C$13,2,0),""))</f>
        <v/>
      </c>
    </row>
    <row r="908">
      <c r="T908" s="47">
        <f>IF(R908="","",IFERROR(TODAY()+VLOOKUP(R908,REGRAS!$B$2:$C$13,2,0),""))</f>
        <v/>
      </c>
    </row>
    <row r="909">
      <c r="T909" s="47">
        <f>IF(R909="","",IFERROR(TODAY()+VLOOKUP(R909,REGRAS!$B$2:$C$13,2,0),""))</f>
        <v/>
      </c>
    </row>
    <row r="910">
      <c r="T910" s="47">
        <f>IF(R910="","",IFERROR(TODAY()+VLOOKUP(R910,REGRAS!$B$2:$C$13,2,0),""))</f>
        <v/>
      </c>
    </row>
    <row r="911">
      <c r="T911" s="47">
        <f>IF(R911="","",IFERROR(TODAY()+VLOOKUP(R911,REGRAS!$B$2:$C$13,2,0),""))</f>
        <v/>
      </c>
    </row>
    <row r="912">
      <c r="T912" s="47">
        <f>IF(R912="","",IFERROR(TODAY()+VLOOKUP(R912,REGRAS!$B$2:$C$13,2,0),""))</f>
        <v/>
      </c>
    </row>
    <row r="913">
      <c r="T913" s="47">
        <f>IF(R913="","",IFERROR(TODAY()+VLOOKUP(R913,REGRAS!$B$2:$C$13,2,0),""))</f>
        <v/>
      </c>
    </row>
    <row r="914">
      <c r="T914" s="47">
        <f>IF(R914="","",IFERROR(TODAY()+VLOOKUP(R914,REGRAS!$B$2:$C$13,2,0),""))</f>
        <v/>
      </c>
    </row>
    <row r="915">
      <c r="T915" s="47">
        <f>IF(R915="","",IFERROR(TODAY()+VLOOKUP(R915,REGRAS!$B$2:$C$13,2,0),""))</f>
        <v/>
      </c>
    </row>
    <row r="916">
      <c r="T916" s="47">
        <f>IF(R916="","",IFERROR(TODAY()+VLOOKUP(R916,REGRAS!$B$2:$C$13,2,0),""))</f>
        <v/>
      </c>
    </row>
    <row r="917">
      <c r="T917" s="47">
        <f>IF(R917="","",IFERROR(TODAY()+VLOOKUP(R917,REGRAS!$B$2:$C$13,2,0),""))</f>
        <v/>
      </c>
    </row>
    <row r="918">
      <c r="T918" s="47">
        <f>IF(R918="","",IFERROR(TODAY()+VLOOKUP(R918,REGRAS!$B$2:$C$13,2,0),""))</f>
        <v/>
      </c>
    </row>
    <row r="919">
      <c r="T919" s="47">
        <f>IF(R919="","",IFERROR(TODAY()+VLOOKUP(R919,REGRAS!$B$2:$C$13,2,0),""))</f>
        <v/>
      </c>
    </row>
    <row r="920">
      <c r="T920" s="47">
        <f>IF(R920="","",IFERROR(TODAY()+VLOOKUP(R920,REGRAS!$B$2:$C$13,2,0),""))</f>
        <v/>
      </c>
    </row>
    <row r="921">
      <c r="T921" s="47">
        <f>IF(R921="","",IFERROR(TODAY()+VLOOKUP(R921,REGRAS!$B$2:$C$13,2,0),""))</f>
        <v/>
      </c>
    </row>
    <row r="922">
      <c r="T922" s="47">
        <f>IF(R922="","",IFERROR(TODAY()+VLOOKUP(R922,REGRAS!$B$2:$C$13,2,0),""))</f>
        <v/>
      </c>
    </row>
    <row r="923">
      <c r="T923" s="47">
        <f>IF(R923="","",IFERROR(TODAY()+VLOOKUP(R923,REGRAS!$B$2:$C$13,2,0),""))</f>
        <v/>
      </c>
    </row>
    <row r="924">
      <c r="T924" s="47">
        <f>IF(R924="","",IFERROR(TODAY()+VLOOKUP(R924,REGRAS!$B$2:$C$13,2,0),""))</f>
        <v/>
      </c>
    </row>
    <row r="925">
      <c r="T925" s="47">
        <f>IF(R925="","",IFERROR(TODAY()+VLOOKUP(R925,REGRAS!$B$2:$C$13,2,0),""))</f>
        <v/>
      </c>
    </row>
    <row r="926">
      <c r="T926" s="47">
        <f>IF(R926="","",IFERROR(TODAY()+VLOOKUP(R926,REGRAS!$B$2:$C$13,2,0),""))</f>
        <v/>
      </c>
    </row>
    <row r="927">
      <c r="T927" s="47">
        <f>IF(R927="","",IFERROR(TODAY()+VLOOKUP(R927,REGRAS!$B$2:$C$13,2,0),""))</f>
        <v/>
      </c>
    </row>
    <row r="928">
      <c r="T928" s="47">
        <f>IF(R928="","",IFERROR(TODAY()+VLOOKUP(R928,REGRAS!$B$2:$C$13,2,0),""))</f>
        <v/>
      </c>
    </row>
    <row r="929">
      <c r="T929" s="47">
        <f>IF(R929="","",IFERROR(TODAY()+VLOOKUP(R929,REGRAS!$B$2:$C$13,2,0),""))</f>
        <v/>
      </c>
    </row>
    <row r="930">
      <c r="T930" s="47">
        <f>IF(R930="","",IFERROR(TODAY()+VLOOKUP(R930,REGRAS!$B$2:$C$13,2,0),""))</f>
        <v/>
      </c>
    </row>
    <row r="931">
      <c r="T931" s="47">
        <f>IF(R931="","",IFERROR(TODAY()+VLOOKUP(R931,REGRAS!$B$2:$C$13,2,0),""))</f>
        <v/>
      </c>
    </row>
    <row r="932">
      <c r="T932" s="47">
        <f>IF(R932="","",IFERROR(TODAY()+VLOOKUP(R932,REGRAS!$B$2:$C$13,2,0),""))</f>
        <v/>
      </c>
    </row>
    <row r="933">
      <c r="T933" s="47">
        <f>IF(R933="","",IFERROR(TODAY()+VLOOKUP(R933,REGRAS!$B$2:$C$13,2,0),""))</f>
        <v/>
      </c>
    </row>
    <row r="934">
      <c r="T934" s="47">
        <f>IF(R934="","",IFERROR(TODAY()+VLOOKUP(R934,REGRAS!$B$2:$C$13,2,0),""))</f>
        <v/>
      </c>
    </row>
    <row r="935">
      <c r="T935" s="47">
        <f>IF(R935="","",IFERROR(TODAY()+VLOOKUP(R935,REGRAS!$B$2:$C$13,2,0),""))</f>
        <v/>
      </c>
    </row>
    <row r="936">
      <c r="T936" s="47">
        <f>IF(R936="","",IFERROR(TODAY()+VLOOKUP(R936,REGRAS!$B$2:$C$13,2,0),""))</f>
        <v/>
      </c>
    </row>
    <row r="937">
      <c r="T937" s="47">
        <f>IF(R937="","",IFERROR(TODAY()+VLOOKUP(R937,REGRAS!$B$2:$C$13,2,0),""))</f>
        <v/>
      </c>
    </row>
    <row r="938">
      <c r="T938" s="47">
        <f>IF(R938="","",IFERROR(TODAY()+VLOOKUP(R938,REGRAS!$B$2:$C$13,2,0),""))</f>
        <v/>
      </c>
    </row>
    <row r="939">
      <c r="T939" s="47">
        <f>IF(R939="","",IFERROR(TODAY()+VLOOKUP(R939,REGRAS!$B$2:$C$13,2,0),""))</f>
        <v/>
      </c>
    </row>
    <row r="940">
      <c r="T940" s="47">
        <f>IF(R940="","",IFERROR(TODAY()+VLOOKUP(R940,REGRAS!$B$2:$C$13,2,0),""))</f>
        <v/>
      </c>
    </row>
    <row r="941">
      <c r="T941" s="47">
        <f>IF(R941="","",IFERROR(TODAY()+VLOOKUP(R941,REGRAS!$B$2:$C$13,2,0),""))</f>
        <v/>
      </c>
    </row>
    <row r="942">
      <c r="T942" s="47">
        <f>IF(R942="","",IFERROR(TODAY()+VLOOKUP(R942,REGRAS!$B$2:$C$13,2,0),""))</f>
        <v/>
      </c>
    </row>
    <row r="943">
      <c r="T943" s="47">
        <f>IF(R943="","",IFERROR(TODAY()+VLOOKUP(R943,REGRAS!$B$2:$C$13,2,0),""))</f>
        <v/>
      </c>
    </row>
    <row r="944">
      <c r="T944" s="47">
        <f>IF(R944="","",IFERROR(TODAY()+VLOOKUP(R944,REGRAS!$B$2:$C$13,2,0),""))</f>
        <v/>
      </c>
    </row>
    <row r="945">
      <c r="T945" s="47">
        <f>IF(R945="","",IFERROR(TODAY()+VLOOKUP(R945,REGRAS!$B$2:$C$13,2,0),""))</f>
        <v/>
      </c>
    </row>
    <row r="946">
      <c r="T946" s="47">
        <f>IF(R946="","",IFERROR(TODAY()+VLOOKUP(R946,REGRAS!$B$2:$C$13,2,0),""))</f>
        <v/>
      </c>
    </row>
    <row r="947">
      <c r="T947" s="47">
        <f>IF(R947="","",IFERROR(TODAY()+VLOOKUP(R947,REGRAS!$B$2:$C$13,2,0),""))</f>
        <v/>
      </c>
    </row>
    <row r="948">
      <c r="T948" s="47">
        <f>IF(R948="","",IFERROR(TODAY()+VLOOKUP(R948,REGRAS!$B$2:$C$13,2,0),""))</f>
        <v/>
      </c>
    </row>
    <row r="949">
      <c r="T949" s="47">
        <f>IF(R949="","",IFERROR(TODAY()+VLOOKUP(R949,REGRAS!$B$2:$C$13,2,0),""))</f>
        <v/>
      </c>
    </row>
    <row r="950">
      <c r="T950" s="47">
        <f>IF(R950="","",IFERROR(TODAY()+VLOOKUP(R950,REGRAS!$B$2:$C$13,2,0),""))</f>
        <v/>
      </c>
    </row>
    <row r="951">
      <c r="T951" s="47">
        <f>IF(R951="","",IFERROR(TODAY()+VLOOKUP(R951,REGRAS!$B$2:$C$13,2,0),""))</f>
        <v/>
      </c>
    </row>
    <row r="952">
      <c r="T952" s="47">
        <f>IF(R952="","",IFERROR(TODAY()+VLOOKUP(R952,REGRAS!$B$2:$C$13,2,0),""))</f>
        <v/>
      </c>
    </row>
    <row r="953">
      <c r="T953" s="47">
        <f>IF(R953="","",IFERROR(TODAY()+VLOOKUP(R953,REGRAS!$B$2:$C$13,2,0),""))</f>
        <v/>
      </c>
    </row>
    <row r="954">
      <c r="T954" s="47">
        <f>IF(R954="","",IFERROR(TODAY()+VLOOKUP(R954,REGRAS!$B$2:$C$13,2,0),""))</f>
        <v/>
      </c>
    </row>
    <row r="955">
      <c r="T955" s="47">
        <f>IF(R955="","",IFERROR(TODAY()+VLOOKUP(R955,REGRAS!$B$2:$C$13,2,0),""))</f>
        <v/>
      </c>
    </row>
    <row r="956">
      <c r="T956" s="47">
        <f>IF(R956="","",IFERROR(TODAY()+VLOOKUP(R956,REGRAS!$B$2:$C$13,2,0),""))</f>
        <v/>
      </c>
    </row>
    <row r="957">
      <c r="T957" s="47">
        <f>IF(R957="","",IFERROR(TODAY()+VLOOKUP(R957,REGRAS!$B$2:$C$13,2,0),""))</f>
        <v/>
      </c>
    </row>
    <row r="958">
      <c r="T958" s="47">
        <f>IF(R958="","",IFERROR(TODAY()+VLOOKUP(R958,REGRAS!$B$2:$C$13,2,0),""))</f>
        <v/>
      </c>
    </row>
    <row r="959">
      <c r="T959" s="47">
        <f>IF(R959="","",IFERROR(TODAY()+VLOOKUP(R959,REGRAS!$B$2:$C$13,2,0),""))</f>
        <v/>
      </c>
    </row>
    <row r="960">
      <c r="T960" s="47">
        <f>IF(R960="","",IFERROR(TODAY()+VLOOKUP(R960,REGRAS!$B$2:$C$13,2,0),""))</f>
        <v/>
      </c>
    </row>
    <row r="961">
      <c r="T961" s="47">
        <f>IF(R961="","",IFERROR(TODAY()+VLOOKUP(R961,REGRAS!$B$2:$C$13,2,0),""))</f>
        <v/>
      </c>
    </row>
    <row r="962">
      <c r="T962" s="47">
        <f>IF(R962="","",IFERROR(TODAY()+VLOOKUP(R962,REGRAS!$B$2:$C$13,2,0),""))</f>
        <v/>
      </c>
    </row>
    <row r="963">
      <c r="T963" s="47">
        <f>IF(R963="","",IFERROR(TODAY()+VLOOKUP(R963,REGRAS!$B$2:$C$13,2,0),""))</f>
        <v/>
      </c>
    </row>
    <row r="964">
      <c r="T964" s="47">
        <f>IF(R964="","",IFERROR(TODAY()+VLOOKUP(R964,REGRAS!$B$2:$C$13,2,0),""))</f>
        <v/>
      </c>
    </row>
    <row r="965">
      <c r="T965" s="47">
        <f>IF(R965="","",IFERROR(TODAY()+VLOOKUP(R965,REGRAS!$B$2:$C$13,2,0),""))</f>
        <v/>
      </c>
    </row>
    <row r="966">
      <c r="T966" s="47">
        <f>IF(R966="","",IFERROR(TODAY()+VLOOKUP(R966,REGRAS!$B$2:$C$13,2,0),""))</f>
        <v/>
      </c>
    </row>
    <row r="967">
      <c r="T967" s="47">
        <f>IF(R967="","",IFERROR(TODAY()+VLOOKUP(R967,REGRAS!$B$2:$C$13,2,0),""))</f>
        <v/>
      </c>
    </row>
    <row r="968">
      <c r="T968" s="47">
        <f>IF(R968="","",IFERROR(TODAY()+VLOOKUP(R968,REGRAS!$B$2:$C$13,2,0),""))</f>
        <v/>
      </c>
    </row>
    <row r="969">
      <c r="T969" s="47">
        <f>IF(R969="","",IFERROR(TODAY()+VLOOKUP(R969,REGRAS!$B$2:$C$13,2,0),""))</f>
        <v/>
      </c>
    </row>
    <row r="970">
      <c r="T970" s="47">
        <f>IF(R970="","",IFERROR(TODAY()+VLOOKUP(R970,REGRAS!$B$2:$C$13,2,0),""))</f>
        <v/>
      </c>
    </row>
    <row r="971">
      <c r="T971" s="47">
        <f>IF(R971="","",IFERROR(TODAY()+VLOOKUP(R971,REGRAS!$B$2:$C$13,2,0),""))</f>
        <v/>
      </c>
    </row>
    <row r="972">
      <c r="T972" s="47">
        <f>IF(R972="","",IFERROR(TODAY()+VLOOKUP(R972,REGRAS!$B$2:$C$13,2,0),""))</f>
        <v/>
      </c>
    </row>
    <row r="973">
      <c r="T973" s="47">
        <f>IF(R973="","",IFERROR(TODAY()+VLOOKUP(R973,REGRAS!$B$2:$C$13,2,0),""))</f>
        <v/>
      </c>
    </row>
    <row r="974">
      <c r="T974" s="47">
        <f>IF(R974="","",IFERROR(TODAY()+VLOOKUP(R974,REGRAS!$B$2:$C$13,2,0),""))</f>
        <v/>
      </c>
    </row>
    <row r="975">
      <c r="T975" s="47">
        <f>IF(R975="","",IFERROR(TODAY()+VLOOKUP(R975,REGRAS!$B$2:$C$13,2,0),""))</f>
        <v/>
      </c>
    </row>
    <row r="976">
      <c r="T976" s="47">
        <f>IF(R976="","",IFERROR(TODAY()+VLOOKUP(R976,REGRAS!$B$2:$C$13,2,0),""))</f>
        <v/>
      </c>
    </row>
    <row r="977">
      <c r="T977" s="47">
        <f>IF(R977="","",IFERROR(TODAY()+VLOOKUP(R977,REGRAS!$B$2:$C$13,2,0),""))</f>
        <v/>
      </c>
    </row>
    <row r="978">
      <c r="T978" s="47">
        <f>IF(R978="","",IFERROR(TODAY()+VLOOKUP(R978,REGRAS!$B$2:$C$13,2,0),""))</f>
        <v/>
      </c>
    </row>
    <row r="979">
      <c r="T979" s="47">
        <f>IF(R979="","",IFERROR(TODAY()+VLOOKUP(R979,REGRAS!$B$2:$C$13,2,0),""))</f>
        <v/>
      </c>
    </row>
    <row r="980">
      <c r="T980" s="47">
        <f>IF(R980="","",IFERROR(TODAY()+VLOOKUP(R980,REGRAS!$B$2:$C$13,2,0),""))</f>
        <v/>
      </c>
    </row>
    <row r="981">
      <c r="T981" s="47">
        <f>IF(R981="","",IFERROR(TODAY()+VLOOKUP(R981,REGRAS!$B$2:$C$13,2,0),""))</f>
        <v/>
      </c>
    </row>
    <row r="982">
      <c r="T982" s="47">
        <f>IF(R982="","",IFERROR(TODAY()+VLOOKUP(R982,REGRAS!$B$2:$C$13,2,0),""))</f>
        <v/>
      </c>
    </row>
    <row r="983">
      <c r="T983" s="47">
        <f>IF(R983="","",IFERROR(TODAY()+VLOOKUP(R983,REGRAS!$B$2:$C$13,2,0),""))</f>
        <v/>
      </c>
    </row>
    <row r="984">
      <c r="T984" s="47">
        <f>IF(R984="","",IFERROR(TODAY()+VLOOKUP(R984,REGRAS!$B$2:$C$13,2,0),""))</f>
        <v/>
      </c>
    </row>
    <row r="985">
      <c r="T985" s="47">
        <f>IF(R985="","",IFERROR(TODAY()+VLOOKUP(R985,REGRAS!$B$2:$C$13,2,0),""))</f>
        <v/>
      </c>
    </row>
    <row r="986">
      <c r="T986" s="47">
        <f>IF(R986="","",IFERROR(TODAY()+VLOOKUP(R986,REGRAS!$B$2:$C$13,2,0),""))</f>
        <v/>
      </c>
    </row>
    <row r="987">
      <c r="T987" s="47">
        <f>IF(R987="","",IFERROR(TODAY()+VLOOKUP(R987,REGRAS!$B$2:$C$13,2,0),""))</f>
        <v/>
      </c>
    </row>
    <row r="988">
      <c r="T988" s="47">
        <f>IF(R988="","",IFERROR(TODAY()+VLOOKUP(R988,REGRAS!$B$2:$C$13,2,0),""))</f>
        <v/>
      </c>
    </row>
    <row r="989">
      <c r="T989" s="47">
        <f>IF(R989="","",IFERROR(TODAY()+VLOOKUP(R989,REGRAS!$B$2:$C$13,2,0),""))</f>
        <v/>
      </c>
    </row>
    <row r="990">
      <c r="T990" s="47">
        <f>IF(R990="","",IFERROR(TODAY()+VLOOKUP(R990,REGRAS!$B$2:$C$13,2,0),""))</f>
        <v/>
      </c>
    </row>
    <row r="991">
      <c r="T991" s="47">
        <f>IF(R991="","",IFERROR(TODAY()+VLOOKUP(R991,REGRAS!$B$2:$C$13,2,0),""))</f>
        <v/>
      </c>
    </row>
    <row r="992">
      <c r="T992" s="47">
        <f>IF(R992="","",IFERROR(TODAY()+VLOOKUP(R992,REGRAS!$B$2:$C$13,2,0),""))</f>
        <v/>
      </c>
    </row>
    <row r="993">
      <c r="T993" s="47">
        <f>IF(R993="","",IFERROR(TODAY()+VLOOKUP(R993,REGRAS!$B$2:$C$13,2,0),""))</f>
        <v/>
      </c>
    </row>
    <row r="994">
      <c r="T994" s="47">
        <f>IF(R994="","",IFERROR(TODAY()+VLOOKUP(R994,REGRAS!$B$2:$C$13,2,0),""))</f>
        <v/>
      </c>
    </row>
    <row r="995">
      <c r="T995" s="47">
        <f>IF(R995="","",IFERROR(TODAY()+VLOOKUP(R995,REGRAS!$B$2:$C$13,2,0),""))</f>
        <v/>
      </c>
    </row>
    <row r="996">
      <c r="T996" s="47">
        <f>IF(R996="","",IFERROR(TODAY()+VLOOKUP(R996,REGRAS!$B$2:$C$13,2,0),""))</f>
        <v/>
      </c>
    </row>
    <row r="997">
      <c r="T997" s="47">
        <f>IF(R997="","",IFERROR(TODAY()+VLOOKUP(R997,REGRAS!$B$2:$C$13,2,0),""))</f>
        <v/>
      </c>
    </row>
    <row r="998">
      <c r="T998" s="47">
        <f>IF(R998="","",IFERROR(TODAY()+VLOOKUP(R998,REGRAS!$B$2:$C$13,2,0),""))</f>
        <v/>
      </c>
    </row>
    <row r="999">
      <c r="T999" s="47">
        <f>IF(R999="","",IFERROR(TODAY()+VLOOKUP(R999,REGRAS!$B$2:$C$13,2,0),""))</f>
        <v/>
      </c>
    </row>
    <row r="1000">
      <c r="T1000" s="47">
        <f>IF(R1000="","",IFERROR(TODAY()+VLOOKUP(R1000,REGRAS!$B$2:$C$13,2,0),""))</f>
        <v/>
      </c>
    </row>
    <row r="1001">
      <c r="T1001" s="47">
        <f>IF(R1001="","",IFERROR(TODAY()+VLOOKUP(R1001,REGRAS!$B$2:$C$13,2,0),""))</f>
        <v/>
      </c>
    </row>
    <row r="1002">
      <c r="T1002" s="47">
        <f>IF(R1002="","",IFERROR(TODAY()+VLOOKUP(R1002,REGRAS!$B$2:$C$13,2,0),""))</f>
        <v/>
      </c>
    </row>
    <row r="1003">
      <c r="T1003" s="47">
        <f>IF(R1003="","",IFERROR(TODAY()+VLOOKUP(R1003,REGRAS!$B$2:$C$13,2,0),""))</f>
        <v/>
      </c>
    </row>
    <row r="1004">
      <c r="T1004" s="47">
        <f>IF(R1004="","",IFERROR(TODAY()+VLOOKUP(R1004,REGRAS!$B$2:$C$13,2,0),""))</f>
        <v/>
      </c>
    </row>
    <row r="1005">
      <c r="T1005" s="47">
        <f>IF(R1005="","",IFERROR(TODAY()+VLOOKUP(R1005,REGRAS!$B$2:$C$13,2,0),""))</f>
        <v/>
      </c>
    </row>
    <row r="1006">
      <c r="T1006" s="47">
        <f>IF(R1006="","",IFERROR(TODAY()+VLOOKUP(R1006,REGRAS!$B$2:$C$13,2,0),""))</f>
        <v/>
      </c>
    </row>
    <row r="1007">
      <c r="T1007" s="47">
        <f>IF(R1007="","",IFERROR(TODAY()+VLOOKUP(R1007,REGRAS!$B$2:$C$13,2,0),""))</f>
        <v/>
      </c>
    </row>
    <row r="1008">
      <c r="T1008" s="47">
        <f>IF(R1008="","",IFERROR(TODAY()+VLOOKUP(R1008,REGRAS!$B$2:$C$13,2,0),""))</f>
        <v/>
      </c>
    </row>
    <row r="1009">
      <c r="T1009" s="47">
        <f>IF(R1009="","",IFERROR(TODAY()+VLOOKUP(R1009,REGRAS!$B$2:$C$13,2,0),""))</f>
        <v/>
      </c>
    </row>
    <row r="1010">
      <c r="T1010" s="47">
        <f>IF(R1010="","",IFERROR(TODAY()+VLOOKUP(R1010,REGRAS!$B$2:$C$13,2,0),""))</f>
        <v/>
      </c>
    </row>
    <row r="1011">
      <c r="T1011" s="47">
        <f>IF(R1011="","",IFERROR(TODAY()+VLOOKUP(R1011,REGRAS!$B$2:$C$13,2,0),""))</f>
        <v/>
      </c>
    </row>
    <row r="1012">
      <c r="T1012" s="47">
        <f>IF(R1012="","",IFERROR(TODAY()+VLOOKUP(R1012,REGRAS!$B$2:$C$13,2,0),""))</f>
        <v/>
      </c>
    </row>
    <row r="1013">
      <c r="T1013" s="47">
        <f>IF(R1013="","",IFERROR(TODAY()+VLOOKUP(R1013,REGRAS!$B$2:$C$13,2,0),""))</f>
        <v/>
      </c>
    </row>
    <row r="1014">
      <c r="T1014" s="47">
        <f>IF(R1014="","",IFERROR(TODAY()+VLOOKUP(R1014,REGRAS!$B$2:$C$13,2,0),""))</f>
        <v/>
      </c>
    </row>
    <row r="1015">
      <c r="T1015" s="47">
        <f>IF(R1015="","",IFERROR(TODAY()+VLOOKUP(R1015,REGRAS!$B$2:$C$13,2,0),""))</f>
        <v/>
      </c>
    </row>
    <row r="1016">
      <c r="T1016" s="47">
        <f>IF(R1016="","",IFERROR(TODAY()+VLOOKUP(R1016,REGRAS!$B$2:$C$13,2,0),""))</f>
        <v/>
      </c>
    </row>
    <row r="1017">
      <c r="T1017" s="47">
        <f>IF(R1017="","",IFERROR(TODAY()+VLOOKUP(R1017,REGRAS!$B$2:$C$13,2,0),""))</f>
        <v/>
      </c>
    </row>
    <row r="1018">
      <c r="T1018" s="47">
        <f>IF(R1018="","",IFERROR(TODAY()+VLOOKUP(R1018,REGRAS!$B$2:$C$13,2,0),""))</f>
        <v/>
      </c>
    </row>
    <row r="1019">
      <c r="T1019" s="47">
        <f>IF(R1019="","",IFERROR(TODAY()+VLOOKUP(R1019,REGRAS!$B$2:$C$13,2,0),""))</f>
        <v/>
      </c>
    </row>
    <row r="1020">
      <c r="T1020" s="47">
        <f>IF(R1020="","",IFERROR(TODAY()+VLOOKUP(R1020,REGRAS!$B$2:$C$13,2,0),""))</f>
        <v/>
      </c>
    </row>
    <row r="1021">
      <c r="T1021" s="47">
        <f>IF(R1021="","",IFERROR(TODAY()+VLOOKUP(R1021,REGRAS!$B$2:$C$13,2,0),""))</f>
        <v/>
      </c>
    </row>
    <row r="1022">
      <c r="T1022" s="47">
        <f>IF(R1022="","",IFERROR(TODAY()+VLOOKUP(R1022,REGRAS!$B$2:$C$13,2,0),""))</f>
        <v/>
      </c>
    </row>
    <row r="1023">
      <c r="T1023" s="47">
        <f>IF(R1023="","",IFERROR(TODAY()+VLOOKUP(R1023,REGRAS!$B$2:$C$13,2,0),""))</f>
        <v/>
      </c>
    </row>
    <row r="1024">
      <c r="T1024" s="47">
        <f>IF(R1024="","",IFERROR(TODAY()+VLOOKUP(R1024,REGRAS!$B$2:$C$13,2,0),""))</f>
        <v/>
      </c>
    </row>
    <row r="1025">
      <c r="T1025" s="47">
        <f>IF(R1025="","",IFERROR(TODAY()+VLOOKUP(R1025,REGRAS!$B$2:$C$13,2,0),""))</f>
        <v/>
      </c>
    </row>
    <row r="1026">
      <c r="T1026" s="47">
        <f>IF(R1026="","",IFERROR(TODAY()+VLOOKUP(R1026,REGRAS!$B$2:$C$13,2,0),""))</f>
        <v/>
      </c>
    </row>
    <row r="1027">
      <c r="T1027" s="47">
        <f>IF(R1027="","",IFERROR(TODAY()+VLOOKUP(R1027,REGRAS!$B$2:$C$13,2,0),""))</f>
        <v/>
      </c>
    </row>
    <row r="1028">
      <c r="T1028" s="47">
        <f>IF(R1028="","",IFERROR(TODAY()+VLOOKUP(R1028,REGRAS!$B$2:$C$13,2,0),""))</f>
        <v/>
      </c>
    </row>
    <row r="1029">
      <c r="T1029" s="47">
        <f>IF(R1029="","",IFERROR(TODAY()+VLOOKUP(R1029,REGRAS!$B$2:$C$13,2,0),""))</f>
        <v/>
      </c>
    </row>
    <row r="1030">
      <c r="T1030" s="47">
        <f>IF(R1030="","",IFERROR(TODAY()+VLOOKUP(R1030,REGRAS!$B$2:$C$13,2,0),""))</f>
        <v/>
      </c>
    </row>
    <row r="1031">
      <c r="T1031" s="47">
        <f>IF(R1031="","",IFERROR(TODAY()+VLOOKUP(R1031,REGRAS!$B$2:$C$13,2,0),""))</f>
        <v/>
      </c>
    </row>
    <row r="1032">
      <c r="T1032" s="47">
        <f>IF(R1032="","",IFERROR(TODAY()+VLOOKUP(R1032,REGRAS!$B$2:$C$13,2,0),""))</f>
        <v/>
      </c>
    </row>
    <row r="1033">
      <c r="T1033" s="47">
        <f>IF(R1033="","",IFERROR(TODAY()+VLOOKUP(R1033,REGRAS!$B$2:$C$13,2,0),""))</f>
        <v/>
      </c>
    </row>
    <row r="1034">
      <c r="T1034" s="47">
        <f>IF(R1034="","",IFERROR(TODAY()+VLOOKUP(R1034,REGRAS!$B$2:$C$13,2,0),""))</f>
        <v/>
      </c>
    </row>
    <row r="1035">
      <c r="T1035" s="47">
        <f>IF(R1035="","",IFERROR(TODAY()+VLOOKUP(R1035,REGRAS!$B$2:$C$13,2,0),""))</f>
        <v/>
      </c>
    </row>
    <row r="1036">
      <c r="T1036" s="47">
        <f>IF(R1036="","",IFERROR(TODAY()+VLOOKUP(R1036,REGRAS!$B$2:$C$13,2,0),""))</f>
        <v/>
      </c>
    </row>
    <row r="1037">
      <c r="T1037" s="47">
        <f>IF(R1037="","",IFERROR(TODAY()+VLOOKUP(R1037,REGRAS!$B$2:$C$13,2,0),""))</f>
        <v/>
      </c>
    </row>
    <row r="1038">
      <c r="T1038" s="47">
        <f>IF(R1038="","",IFERROR(TODAY()+VLOOKUP(R1038,REGRAS!$B$2:$C$13,2,0),""))</f>
        <v/>
      </c>
    </row>
    <row r="1039">
      <c r="T1039" s="47">
        <f>IF(R1039="","",IFERROR(TODAY()+VLOOKUP(R1039,REGRAS!$B$2:$C$13,2,0),""))</f>
        <v/>
      </c>
    </row>
    <row r="1040">
      <c r="T1040" s="47">
        <f>IF(R1040="","",IFERROR(TODAY()+VLOOKUP(R1040,REGRAS!$B$2:$C$13,2,0),""))</f>
        <v/>
      </c>
    </row>
    <row r="1041">
      <c r="T1041" s="47">
        <f>IF(R1041="","",IFERROR(TODAY()+VLOOKUP(R1041,REGRAS!$B$2:$C$13,2,0),""))</f>
        <v/>
      </c>
    </row>
    <row r="1042">
      <c r="T1042" s="47">
        <f>IF(R1042="","",IFERROR(TODAY()+VLOOKUP(R1042,REGRAS!$B$2:$C$13,2,0),""))</f>
        <v/>
      </c>
    </row>
    <row r="1043">
      <c r="T1043" s="47">
        <f>IF(R1043="","",IFERROR(TODAY()+VLOOKUP(R1043,REGRAS!$B$2:$C$13,2,0),""))</f>
        <v/>
      </c>
    </row>
    <row r="1044">
      <c r="T1044" s="47">
        <f>IF(R1044="","",IFERROR(TODAY()+VLOOKUP(R1044,REGRAS!$B$2:$C$13,2,0),""))</f>
        <v/>
      </c>
    </row>
    <row r="1045">
      <c r="T1045" s="47">
        <f>IF(R1045="","",IFERROR(TODAY()+VLOOKUP(R1045,REGRAS!$B$2:$C$13,2,0),""))</f>
        <v/>
      </c>
    </row>
    <row r="1046">
      <c r="T1046" s="47">
        <f>IF(R1046="","",IFERROR(TODAY()+VLOOKUP(R1046,REGRAS!$B$2:$C$13,2,0),""))</f>
        <v/>
      </c>
    </row>
    <row r="1047">
      <c r="T1047" s="47">
        <f>IF(R1047="","",IFERROR(TODAY()+VLOOKUP(R1047,REGRAS!$B$2:$C$13,2,0),""))</f>
        <v/>
      </c>
    </row>
    <row r="1048">
      <c r="T1048" s="47">
        <f>IF(R1048="","",IFERROR(TODAY()+VLOOKUP(R1048,REGRAS!$B$2:$C$13,2,0),""))</f>
        <v/>
      </c>
    </row>
    <row r="1049">
      <c r="T1049" s="47">
        <f>IF(R1049="","",IFERROR(TODAY()+VLOOKUP(R1049,REGRAS!$B$2:$C$13,2,0),""))</f>
        <v/>
      </c>
    </row>
    <row r="1050">
      <c r="T1050" s="47">
        <f>IF(R1050="","",IFERROR(TODAY()+VLOOKUP(R1050,REGRAS!$B$2:$C$13,2,0),""))</f>
        <v/>
      </c>
    </row>
    <row r="1051">
      <c r="T1051" s="47">
        <f>IF(R1051="","",IFERROR(TODAY()+VLOOKUP(R1051,REGRAS!$B$2:$C$13,2,0),""))</f>
        <v/>
      </c>
    </row>
    <row r="1052">
      <c r="T1052" s="47">
        <f>IF(R1052="","",IFERROR(TODAY()+VLOOKUP(R1052,REGRAS!$B$2:$C$13,2,0),""))</f>
        <v/>
      </c>
    </row>
    <row r="1053">
      <c r="T1053" s="47">
        <f>IF(R1053="","",IFERROR(TODAY()+VLOOKUP(R1053,REGRAS!$B$2:$C$13,2,0),""))</f>
        <v/>
      </c>
    </row>
    <row r="1054">
      <c r="T1054" s="47">
        <f>IF(R1054="","",IFERROR(TODAY()+VLOOKUP(R1054,REGRAS!$B$2:$C$13,2,0),""))</f>
        <v/>
      </c>
    </row>
    <row r="1055">
      <c r="T1055" s="47">
        <f>IF(R1055="","",IFERROR(TODAY()+VLOOKUP(R1055,REGRAS!$B$2:$C$13,2,0),""))</f>
        <v/>
      </c>
    </row>
    <row r="1056">
      <c r="T1056" s="47">
        <f>IF(R1056="","",IFERROR(TODAY()+VLOOKUP(R1056,REGRAS!$B$2:$C$13,2,0),""))</f>
        <v/>
      </c>
    </row>
    <row r="1057">
      <c r="T1057" s="47">
        <f>IF(R1057="","",IFERROR(TODAY()+VLOOKUP(R1057,REGRAS!$B$2:$C$13,2,0),""))</f>
        <v/>
      </c>
    </row>
    <row r="1058">
      <c r="T1058" s="47">
        <f>IF(R1058="","",IFERROR(TODAY()+VLOOKUP(R1058,REGRAS!$B$2:$C$13,2,0),""))</f>
        <v/>
      </c>
    </row>
    <row r="1059">
      <c r="T1059" s="47">
        <f>IF(R1059="","",IFERROR(TODAY()+VLOOKUP(R1059,REGRAS!$B$2:$C$13,2,0),""))</f>
        <v/>
      </c>
    </row>
    <row r="1060">
      <c r="T1060" s="47">
        <f>IF(R1060="","",IFERROR(TODAY()+VLOOKUP(R1060,REGRAS!$B$2:$C$13,2,0),""))</f>
        <v/>
      </c>
    </row>
    <row r="1061">
      <c r="T1061" s="47">
        <f>IF(R1061="","",IFERROR(TODAY()+VLOOKUP(R1061,REGRAS!$B$2:$C$13,2,0),""))</f>
        <v/>
      </c>
    </row>
    <row r="1062">
      <c r="T1062" s="47">
        <f>IF(R1062="","",IFERROR(TODAY()+VLOOKUP(R1062,REGRAS!$B$2:$C$13,2,0),""))</f>
        <v/>
      </c>
    </row>
    <row r="1063">
      <c r="T1063" s="47">
        <f>IF(R1063="","",IFERROR(TODAY()+VLOOKUP(R1063,REGRAS!$B$2:$C$13,2,0),""))</f>
        <v/>
      </c>
    </row>
    <row r="1064">
      <c r="T1064" s="47">
        <f>IF(R1064="","",IFERROR(TODAY()+VLOOKUP(R1064,REGRAS!$B$2:$C$13,2,0),""))</f>
        <v/>
      </c>
    </row>
    <row r="1065">
      <c r="T1065" s="47">
        <f>IF(R1065="","",IFERROR(TODAY()+VLOOKUP(R1065,REGRAS!$B$2:$C$13,2,0),""))</f>
        <v/>
      </c>
    </row>
    <row r="1066">
      <c r="T1066" s="47">
        <f>IF(R1066="","",IFERROR(TODAY()+VLOOKUP(R1066,REGRAS!$B$2:$C$13,2,0),""))</f>
        <v/>
      </c>
    </row>
    <row r="1067">
      <c r="T1067" s="47">
        <f>IF(R1067="","",IFERROR(TODAY()+VLOOKUP(R1067,REGRAS!$B$2:$C$13,2,0),""))</f>
        <v/>
      </c>
    </row>
    <row r="1068">
      <c r="T1068" s="47">
        <f>IF(R1068="","",IFERROR(TODAY()+VLOOKUP(R1068,REGRAS!$B$2:$C$13,2,0),""))</f>
        <v/>
      </c>
    </row>
    <row r="1069">
      <c r="T1069" s="47">
        <f>IF(R1069="","",IFERROR(TODAY()+VLOOKUP(R1069,REGRAS!$B$2:$C$13,2,0),""))</f>
        <v/>
      </c>
    </row>
    <row r="1070">
      <c r="T1070" s="47">
        <f>IF(R1070="","",IFERROR(TODAY()+VLOOKUP(R1070,REGRAS!$B$2:$C$13,2,0),""))</f>
        <v/>
      </c>
    </row>
    <row r="1071">
      <c r="T1071" s="47">
        <f>IF(R1071="","",IFERROR(TODAY()+VLOOKUP(R1071,REGRAS!$B$2:$C$13,2,0),""))</f>
        <v/>
      </c>
    </row>
    <row r="1072">
      <c r="T1072" s="47">
        <f>IF(R1072="","",IFERROR(TODAY()+VLOOKUP(R1072,REGRAS!$B$2:$C$13,2,0),""))</f>
        <v/>
      </c>
    </row>
    <row r="1073">
      <c r="T1073" s="47">
        <f>IF(R1073="","",IFERROR(TODAY()+VLOOKUP(R1073,REGRAS!$B$2:$C$13,2,0),""))</f>
        <v/>
      </c>
    </row>
    <row r="1074">
      <c r="T1074" s="47">
        <f>IF(R1074="","",IFERROR(TODAY()+VLOOKUP(R1074,REGRAS!$B$2:$C$13,2,0),""))</f>
        <v/>
      </c>
    </row>
    <row r="1075">
      <c r="T1075" s="47">
        <f>IF(R1075="","",IFERROR(TODAY()+VLOOKUP(R1075,REGRAS!$B$2:$C$13,2,0),""))</f>
        <v/>
      </c>
    </row>
    <row r="1076">
      <c r="T1076" s="47">
        <f>IF(R1076="","",IFERROR(TODAY()+VLOOKUP(R1076,REGRAS!$B$2:$C$13,2,0),""))</f>
        <v/>
      </c>
    </row>
    <row r="1077">
      <c r="T1077" s="47">
        <f>IF(R1077="","",IFERROR(TODAY()+VLOOKUP(R1077,REGRAS!$B$2:$C$13,2,0),""))</f>
        <v/>
      </c>
    </row>
    <row r="1078">
      <c r="T1078" s="47">
        <f>IF(R1078="","",IFERROR(TODAY()+VLOOKUP(R1078,REGRAS!$B$2:$C$13,2,0),""))</f>
        <v/>
      </c>
    </row>
    <row r="1079">
      <c r="T1079" s="47">
        <f>IF(R1079="","",IFERROR(TODAY()+VLOOKUP(R1079,REGRAS!$B$2:$C$13,2,0),""))</f>
        <v/>
      </c>
    </row>
    <row r="1080">
      <c r="T1080" s="47">
        <f>IF(R1080="","",IFERROR(TODAY()+VLOOKUP(R1080,REGRAS!$B$2:$C$13,2,0),""))</f>
        <v/>
      </c>
    </row>
    <row r="1081">
      <c r="T1081" s="47">
        <f>IF(R1081="","",IFERROR(TODAY()+VLOOKUP(R1081,REGRAS!$B$2:$C$13,2,0),""))</f>
        <v/>
      </c>
    </row>
    <row r="1082">
      <c r="T1082" s="47">
        <f>IF(R1082="","",IFERROR(TODAY()+VLOOKUP(R1082,REGRAS!$B$2:$C$13,2,0),""))</f>
        <v/>
      </c>
    </row>
    <row r="1083">
      <c r="T1083" s="47">
        <f>IF(R1083="","",IFERROR(TODAY()+VLOOKUP(R1083,REGRAS!$B$2:$C$13,2,0),""))</f>
        <v/>
      </c>
    </row>
    <row r="1084">
      <c r="T1084" s="47">
        <f>IF(R1084="","",IFERROR(TODAY()+VLOOKUP(R1084,REGRAS!$B$2:$C$13,2,0),""))</f>
        <v/>
      </c>
    </row>
    <row r="1085">
      <c r="T1085" s="47">
        <f>IF(R1085="","",IFERROR(TODAY()+VLOOKUP(R1085,REGRAS!$B$2:$C$13,2,0),""))</f>
        <v/>
      </c>
    </row>
    <row r="1086">
      <c r="T1086" s="47">
        <f>IF(R1086="","",IFERROR(TODAY()+VLOOKUP(R1086,REGRAS!$B$2:$C$13,2,0),""))</f>
        <v/>
      </c>
    </row>
    <row r="1087">
      <c r="T1087" s="47">
        <f>IF(R1087="","",IFERROR(TODAY()+VLOOKUP(R1087,REGRAS!$B$2:$C$13,2,0),""))</f>
        <v/>
      </c>
    </row>
    <row r="1088">
      <c r="T1088" s="47">
        <f>IF(R1088="","",IFERROR(TODAY()+VLOOKUP(R1088,REGRAS!$B$2:$C$13,2,0),""))</f>
        <v/>
      </c>
    </row>
    <row r="1089">
      <c r="T1089" s="47">
        <f>IF(R1089="","",IFERROR(TODAY()+VLOOKUP(R1089,REGRAS!$B$2:$C$13,2,0),""))</f>
        <v/>
      </c>
    </row>
    <row r="1090">
      <c r="T1090" s="47">
        <f>IF(R1090="","",IFERROR(TODAY()+VLOOKUP(R1090,REGRAS!$B$2:$C$13,2,0),""))</f>
        <v/>
      </c>
    </row>
    <row r="1091">
      <c r="T1091" s="47">
        <f>IF(R1091="","",IFERROR(TODAY()+VLOOKUP(R1091,REGRAS!$B$2:$C$13,2,0),""))</f>
        <v/>
      </c>
    </row>
    <row r="1092">
      <c r="T1092" s="47">
        <f>IF(R1092="","",IFERROR(TODAY()+VLOOKUP(R1092,REGRAS!$B$2:$C$13,2,0),""))</f>
        <v/>
      </c>
    </row>
    <row r="1093">
      <c r="T1093" s="47">
        <f>IF(R1093="","",IFERROR(TODAY()+VLOOKUP(R1093,REGRAS!$B$2:$C$13,2,0),""))</f>
        <v/>
      </c>
    </row>
    <row r="1094">
      <c r="T1094" s="47">
        <f>IF(R1094="","",IFERROR(TODAY()+VLOOKUP(R1094,REGRAS!$B$2:$C$13,2,0),""))</f>
        <v/>
      </c>
    </row>
    <row r="1095">
      <c r="T1095" s="47">
        <f>IF(R1095="","",IFERROR(TODAY()+VLOOKUP(R1095,REGRAS!$B$2:$C$13,2,0),""))</f>
        <v/>
      </c>
    </row>
    <row r="1096">
      <c r="T1096" s="47">
        <f>IF(R1096="","",IFERROR(TODAY()+VLOOKUP(R1096,REGRAS!$B$2:$C$13,2,0),""))</f>
        <v/>
      </c>
    </row>
    <row r="1097">
      <c r="T1097" s="47">
        <f>IF(R1097="","",IFERROR(TODAY()+VLOOKUP(R1097,REGRAS!$B$2:$C$13,2,0),""))</f>
        <v/>
      </c>
    </row>
    <row r="1098">
      <c r="T1098" s="47">
        <f>IF(R1098="","",IFERROR(TODAY()+VLOOKUP(R1098,REGRAS!$B$2:$C$13,2,0),""))</f>
        <v/>
      </c>
    </row>
    <row r="1099">
      <c r="T1099" s="47">
        <f>IF(R1099="","",IFERROR(TODAY()+VLOOKUP(R1099,REGRAS!$B$2:$C$13,2,0),""))</f>
        <v/>
      </c>
    </row>
    <row r="1100">
      <c r="T1100" s="47">
        <f>IF(R1100="","",IFERROR(TODAY()+VLOOKUP(R1100,REGRAS!$B$2:$C$13,2,0),""))</f>
        <v/>
      </c>
    </row>
    <row r="1101">
      <c r="T1101" s="47">
        <f>IF(R1101="","",IFERROR(TODAY()+VLOOKUP(R1101,REGRAS!$B$2:$C$13,2,0),""))</f>
        <v/>
      </c>
    </row>
    <row r="1102">
      <c r="T1102" s="47">
        <f>IF(R1102="","",IFERROR(TODAY()+VLOOKUP(R1102,REGRAS!$B$2:$C$13,2,0),""))</f>
        <v/>
      </c>
    </row>
    <row r="1103">
      <c r="T1103" s="47">
        <f>IF(R1103="","",IFERROR(TODAY()+VLOOKUP(R1103,REGRAS!$B$2:$C$13,2,0),""))</f>
        <v/>
      </c>
    </row>
    <row r="1104">
      <c r="T1104" s="47">
        <f>IF(R1104="","",IFERROR(TODAY()+VLOOKUP(R1104,REGRAS!$B$2:$C$13,2,0),""))</f>
        <v/>
      </c>
    </row>
    <row r="1105">
      <c r="T1105" s="47">
        <f>IF(R1105="","",IFERROR(TODAY()+VLOOKUP(R1105,REGRAS!$B$2:$C$13,2,0),""))</f>
        <v/>
      </c>
    </row>
    <row r="1106">
      <c r="T1106" s="47">
        <f>IF(R1106="","",IFERROR(TODAY()+VLOOKUP(R1106,REGRAS!$B$2:$C$13,2,0),""))</f>
        <v/>
      </c>
    </row>
    <row r="1107">
      <c r="T1107" s="47">
        <f>IF(R1107="","",IFERROR(TODAY()+VLOOKUP(R1107,REGRAS!$B$2:$C$13,2,0),""))</f>
        <v/>
      </c>
    </row>
    <row r="1108">
      <c r="T1108" s="47">
        <f>IF(R1108="","",IFERROR(TODAY()+VLOOKUP(R1108,REGRAS!$B$2:$C$13,2,0),""))</f>
        <v/>
      </c>
    </row>
    <row r="1109">
      <c r="T1109" s="47">
        <f>IF(R1109="","",IFERROR(TODAY()+VLOOKUP(R1109,REGRAS!$B$2:$C$13,2,0),""))</f>
        <v/>
      </c>
    </row>
    <row r="1110">
      <c r="T1110" s="47">
        <f>IF(R1110="","",IFERROR(TODAY()+VLOOKUP(R1110,REGRAS!$B$2:$C$13,2,0),""))</f>
        <v/>
      </c>
    </row>
    <row r="1111">
      <c r="T1111" s="47">
        <f>IF(R1111="","",IFERROR(TODAY()+VLOOKUP(R1111,REGRAS!$B$2:$C$13,2,0),""))</f>
        <v/>
      </c>
    </row>
    <row r="1112">
      <c r="T1112" s="47">
        <f>IF(R1112="","",IFERROR(TODAY()+VLOOKUP(R1112,REGRAS!$B$2:$C$13,2,0),""))</f>
        <v/>
      </c>
    </row>
    <row r="1113">
      <c r="T1113" s="47">
        <f>IF(R1113="","",IFERROR(TODAY()+VLOOKUP(R1113,REGRAS!$B$2:$C$13,2,0),""))</f>
        <v/>
      </c>
    </row>
    <row r="1114">
      <c r="T1114" s="47">
        <f>IF(R1114="","",IFERROR(TODAY()+VLOOKUP(R1114,REGRAS!$B$2:$C$13,2,0),""))</f>
        <v/>
      </c>
    </row>
    <row r="1115">
      <c r="T1115" s="47">
        <f>IF(R1115="","",IFERROR(TODAY()+VLOOKUP(R1115,REGRAS!$B$2:$C$13,2,0),""))</f>
        <v/>
      </c>
    </row>
    <row r="1116">
      <c r="T1116" s="47">
        <f>IF(R1116="","",IFERROR(TODAY()+VLOOKUP(R1116,REGRAS!$B$2:$C$13,2,0),""))</f>
        <v/>
      </c>
    </row>
    <row r="1117">
      <c r="T1117" s="47">
        <f>IF(R1117="","",IFERROR(TODAY()+VLOOKUP(R1117,REGRAS!$B$2:$C$13,2,0),""))</f>
        <v/>
      </c>
    </row>
    <row r="1118">
      <c r="T1118" s="47">
        <f>IF(R1118="","",IFERROR(TODAY()+VLOOKUP(R1118,REGRAS!$B$2:$C$13,2,0),""))</f>
        <v/>
      </c>
    </row>
    <row r="1119">
      <c r="T1119" s="47">
        <f>IF(R1119="","",IFERROR(TODAY()+VLOOKUP(R1119,REGRAS!$B$2:$C$13,2,0),""))</f>
        <v/>
      </c>
    </row>
    <row r="1120">
      <c r="T1120" s="47">
        <f>IF(R1120="","",IFERROR(TODAY()+VLOOKUP(R1120,REGRAS!$B$2:$C$13,2,0),""))</f>
        <v/>
      </c>
    </row>
    <row r="1121">
      <c r="T1121" s="47">
        <f>IF(R1121="","",IFERROR(TODAY()+VLOOKUP(R1121,REGRAS!$B$2:$C$13,2,0),""))</f>
        <v/>
      </c>
    </row>
    <row r="1122">
      <c r="T1122" s="47">
        <f>IF(R1122="","",IFERROR(TODAY()+VLOOKUP(R1122,REGRAS!$B$2:$C$13,2,0),""))</f>
        <v/>
      </c>
    </row>
    <row r="1123">
      <c r="T1123" s="47">
        <f>IF(R1123="","",IFERROR(TODAY()+VLOOKUP(R1123,REGRAS!$B$2:$C$13,2,0),""))</f>
        <v/>
      </c>
    </row>
    <row r="1124">
      <c r="T1124" s="47">
        <f>IF(R1124="","",IFERROR(TODAY()+VLOOKUP(R1124,REGRAS!$B$2:$C$13,2,0),""))</f>
        <v/>
      </c>
    </row>
    <row r="1125">
      <c r="T1125" s="47">
        <f>IF(R1125="","",IFERROR(TODAY()+VLOOKUP(R1125,REGRAS!$B$2:$C$13,2,0),""))</f>
        <v/>
      </c>
    </row>
    <row r="1126">
      <c r="T1126" s="47">
        <f>IF(R1126="","",IFERROR(TODAY()+VLOOKUP(R1126,REGRAS!$B$2:$C$13,2,0),""))</f>
        <v/>
      </c>
    </row>
    <row r="1127">
      <c r="T1127" s="47">
        <f>IF(R1127="","",IFERROR(TODAY()+VLOOKUP(R1127,REGRAS!$B$2:$C$13,2,0),""))</f>
        <v/>
      </c>
    </row>
    <row r="1128">
      <c r="T1128" s="47">
        <f>IF(R1128="","",IFERROR(TODAY()+VLOOKUP(R1128,REGRAS!$B$2:$C$13,2,0),""))</f>
        <v/>
      </c>
    </row>
    <row r="1129">
      <c r="T1129" s="47">
        <f>IF(R1129="","",IFERROR(TODAY()+VLOOKUP(R1129,REGRAS!$B$2:$C$13,2,0),""))</f>
        <v/>
      </c>
    </row>
    <row r="1130">
      <c r="T1130" s="47">
        <f>IF(R1130="","",IFERROR(TODAY()+VLOOKUP(R1130,REGRAS!$B$2:$C$13,2,0),""))</f>
        <v/>
      </c>
    </row>
    <row r="1131">
      <c r="T1131" s="47">
        <f>IF(R1131="","",IFERROR(TODAY()+VLOOKUP(R1131,REGRAS!$B$2:$C$13,2,0),""))</f>
        <v/>
      </c>
    </row>
    <row r="1132">
      <c r="T1132" s="47">
        <f>IF(R1132="","",IFERROR(TODAY()+VLOOKUP(R1132,REGRAS!$B$2:$C$13,2,0),""))</f>
        <v/>
      </c>
    </row>
    <row r="1133">
      <c r="T1133" s="47">
        <f>IF(R1133="","",IFERROR(TODAY()+VLOOKUP(R1133,REGRAS!$B$2:$C$13,2,0),""))</f>
        <v/>
      </c>
    </row>
    <row r="1134">
      <c r="T1134" s="47">
        <f>IF(R1134="","",IFERROR(TODAY()+VLOOKUP(R1134,REGRAS!$B$2:$C$13,2,0),""))</f>
        <v/>
      </c>
    </row>
    <row r="1135">
      <c r="T1135" s="47">
        <f>IF(R1135="","",IFERROR(TODAY()+VLOOKUP(R1135,REGRAS!$B$2:$C$13,2,0),""))</f>
        <v/>
      </c>
    </row>
    <row r="1136">
      <c r="T1136" s="47">
        <f>IF(R1136="","",IFERROR(TODAY()+VLOOKUP(R1136,REGRAS!$B$2:$C$13,2,0),""))</f>
        <v/>
      </c>
    </row>
    <row r="1137">
      <c r="T1137" s="47">
        <f>IF(R1137="","",IFERROR(TODAY()+VLOOKUP(R1137,REGRAS!$B$2:$C$13,2,0),""))</f>
        <v/>
      </c>
    </row>
    <row r="1138">
      <c r="T1138" s="47">
        <f>IF(R1138="","",IFERROR(TODAY()+VLOOKUP(R1138,REGRAS!$B$2:$C$13,2,0),""))</f>
        <v/>
      </c>
    </row>
    <row r="1139">
      <c r="T1139" s="47">
        <f>IF(R1139="","",IFERROR(TODAY()+VLOOKUP(R1139,REGRAS!$B$2:$C$13,2,0),""))</f>
        <v/>
      </c>
    </row>
    <row r="1140">
      <c r="T1140" s="47">
        <f>IF(R1140="","",IFERROR(TODAY()+VLOOKUP(R1140,REGRAS!$B$2:$C$13,2,0),""))</f>
        <v/>
      </c>
    </row>
    <row r="1141">
      <c r="T1141" s="47">
        <f>IF(R1141="","",IFERROR(TODAY()+VLOOKUP(R1141,REGRAS!$B$2:$C$13,2,0),""))</f>
        <v/>
      </c>
    </row>
    <row r="1142">
      <c r="T1142" s="47">
        <f>IF(R1142="","",IFERROR(TODAY()+VLOOKUP(R1142,REGRAS!$B$2:$C$13,2,0),""))</f>
        <v/>
      </c>
    </row>
    <row r="1143">
      <c r="T1143" s="47">
        <f>IF(R1143="","",IFERROR(TODAY()+VLOOKUP(R1143,REGRAS!$B$2:$C$13,2,0),""))</f>
        <v/>
      </c>
    </row>
    <row r="1144">
      <c r="T1144" s="47">
        <f>IF(R1144="","",IFERROR(TODAY()+VLOOKUP(R1144,REGRAS!$B$2:$C$13,2,0),""))</f>
        <v/>
      </c>
    </row>
    <row r="1145">
      <c r="T1145" s="47">
        <f>IF(R1145="","",IFERROR(TODAY()+VLOOKUP(R1145,REGRAS!$B$2:$C$13,2,0),""))</f>
        <v/>
      </c>
    </row>
    <row r="1146">
      <c r="T1146" s="47">
        <f>IF(R1146="","",IFERROR(TODAY()+VLOOKUP(R1146,REGRAS!$B$2:$C$13,2,0),""))</f>
        <v/>
      </c>
    </row>
    <row r="1147">
      <c r="T1147" s="47">
        <f>IF(R1147="","",IFERROR(TODAY()+VLOOKUP(R1147,REGRAS!$B$2:$C$13,2,0),""))</f>
        <v/>
      </c>
    </row>
    <row r="1148">
      <c r="T1148" s="47">
        <f>IF(R1148="","",IFERROR(TODAY()+VLOOKUP(R1148,REGRAS!$B$2:$C$13,2,0),""))</f>
        <v/>
      </c>
    </row>
    <row r="1149">
      <c r="T1149" s="47">
        <f>IF(R1149="","",IFERROR(TODAY()+VLOOKUP(R1149,REGRAS!$B$2:$C$13,2,0),""))</f>
        <v/>
      </c>
    </row>
    <row r="1150">
      <c r="T1150" s="47">
        <f>IF(R1150="","",IFERROR(TODAY()+VLOOKUP(R1150,REGRAS!$B$2:$C$13,2,0),""))</f>
        <v/>
      </c>
    </row>
    <row r="1151">
      <c r="T1151" s="47">
        <f>IF(R1151="","",IFERROR(TODAY()+VLOOKUP(R1151,REGRAS!$B$2:$C$13,2,0),""))</f>
        <v/>
      </c>
    </row>
    <row r="1152">
      <c r="T1152" s="47">
        <f>IF(R1152="","",IFERROR(TODAY()+VLOOKUP(R1152,REGRAS!$B$2:$C$13,2,0),""))</f>
        <v/>
      </c>
    </row>
    <row r="1153">
      <c r="T1153" s="47">
        <f>IF(R1153="","",IFERROR(TODAY()+VLOOKUP(R1153,REGRAS!$B$2:$C$13,2,0),""))</f>
        <v/>
      </c>
    </row>
    <row r="1154">
      <c r="T1154" s="47">
        <f>IF(R1154="","",IFERROR(TODAY()+VLOOKUP(R1154,REGRAS!$B$2:$C$13,2,0),""))</f>
        <v/>
      </c>
    </row>
    <row r="1155">
      <c r="T1155" s="47">
        <f>IF(R1155="","",IFERROR(TODAY()+VLOOKUP(R1155,REGRAS!$B$2:$C$13,2,0),""))</f>
        <v/>
      </c>
    </row>
    <row r="1156">
      <c r="T1156" s="47">
        <f>IF(R1156="","",IFERROR(TODAY()+VLOOKUP(R1156,REGRAS!$B$2:$C$13,2,0),""))</f>
        <v/>
      </c>
    </row>
    <row r="1157">
      <c r="T1157" s="47">
        <f>IF(R1157="","",IFERROR(TODAY()+VLOOKUP(R1157,REGRAS!$B$2:$C$13,2,0),""))</f>
        <v/>
      </c>
    </row>
    <row r="1158">
      <c r="T1158" s="47">
        <f>IF(R1158="","",IFERROR(TODAY()+VLOOKUP(R1158,REGRAS!$B$2:$C$13,2,0),""))</f>
        <v/>
      </c>
    </row>
    <row r="1159">
      <c r="T1159" s="47">
        <f>IF(R1159="","",IFERROR(TODAY()+VLOOKUP(R1159,REGRAS!$B$2:$C$13,2,0),""))</f>
        <v/>
      </c>
    </row>
    <row r="1160">
      <c r="T1160" s="47">
        <f>IF(R1160="","",IFERROR(TODAY()+VLOOKUP(R1160,REGRAS!$B$2:$C$13,2,0),""))</f>
        <v/>
      </c>
    </row>
    <row r="1161">
      <c r="T1161" s="47">
        <f>IF(R1161="","",IFERROR(TODAY()+VLOOKUP(R1161,REGRAS!$B$2:$C$13,2,0),""))</f>
        <v/>
      </c>
    </row>
    <row r="1162">
      <c r="T1162" s="47">
        <f>IF(R1162="","",IFERROR(TODAY()+VLOOKUP(R1162,REGRAS!$B$2:$C$13,2,0),""))</f>
        <v/>
      </c>
    </row>
    <row r="1163">
      <c r="T1163" s="47">
        <f>IF(R1163="","",IFERROR(TODAY()+VLOOKUP(R1163,REGRAS!$B$2:$C$13,2,0),""))</f>
        <v/>
      </c>
    </row>
    <row r="1164">
      <c r="T1164" s="47">
        <f>IF(R1164="","",IFERROR(TODAY()+VLOOKUP(R1164,REGRAS!$B$2:$C$13,2,0),""))</f>
        <v/>
      </c>
    </row>
    <row r="1165">
      <c r="T1165" s="47">
        <f>IF(R1165="","",IFERROR(TODAY()+VLOOKUP(R1165,REGRAS!$B$2:$C$13,2,0),""))</f>
        <v/>
      </c>
    </row>
    <row r="1166">
      <c r="T1166" s="47">
        <f>IF(R1166="","",IFERROR(TODAY()+VLOOKUP(R1166,REGRAS!$B$2:$C$13,2,0),""))</f>
        <v/>
      </c>
    </row>
    <row r="1167">
      <c r="T1167" s="47">
        <f>IF(R1167="","",IFERROR(TODAY()+VLOOKUP(R1167,REGRAS!$B$2:$C$13,2,0),""))</f>
        <v/>
      </c>
    </row>
    <row r="1168">
      <c r="T1168" s="47">
        <f>IF(R1168="","",IFERROR(TODAY()+VLOOKUP(R1168,REGRAS!$B$2:$C$13,2,0),""))</f>
        <v/>
      </c>
    </row>
    <row r="1169">
      <c r="T1169" s="47">
        <f>IF(R1169="","",IFERROR(TODAY()+VLOOKUP(R1169,REGRAS!$B$2:$C$13,2,0),""))</f>
        <v/>
      </c>
    </row>
    <row r="1170">
      <c r="T1170" s="47">
        <f>IF(R1170="","",IFERROR(TODAY()+VLOOKUP(R1170,REGRAS!$B$2:$C$13,2,0),""))</f>
        <v/>
      </c>
    </row>
    <row r="1171">
      <c r="T1171" s="47">
        <f>IF(R1171="","",IFERROR(TODAY()+VLOOKUP(R1171,REGRAS!$B$2:$C$13,2,0),""))</f>
        <v/>
      </c>
    </row>
    <row r="1172">
      <c r="T1172" s="47">
        <f>IF(R1172="","",IFERROR(TODAY()+VLOOKUP(R1172,REGRAS!$B$2:$C$13,2,0),""))</f>
        <v/>
      </c>
    </row>
    <row r="1173">
      <c r="T1173" s="47">
        <f>IF(R1173="","",IFERROR(TODAY()+VLOOKUP(R1173,REGRAS!$B$2:$C$13,2,0),""))</f>
        <v/>
      </c>
    </row>
    <row r="1174">
      <c r="T1174" s="47">
        <f>IF(R1174="","",IFERROR(TODAY()+VLOOKUP(R1174,REGRAS!$B$2:$C$13,2,0),""))</f>
        <v/>
      </c>
    </row>
    <row r="1175">
      <c r="T1175" s="47">
        <f>IF(R1175="","",IFERROR(TODAY()+VLOOKUP(R1175,REGRAS!$B$2:$C$13,2,0),""))</f>
        <v/>
      </c>
    </row>
    <row r="1176">
      <c r="T1176" s="47">
        <f>IF(R1176="","",IFERROR(TODAY()+VLOOKUP(R1176,REGRAS!$B$2:$C$13,2,0),""))</f>
        <v/>
      </c>
    </row>
    <row r="1177">
      <c r="T1177" s="47">
        <f>IF(R1177="","",IFERROR(TODAY()+VLOOKUP(R1177,REGRAS!$B$2:$C$13,2,0),""))</f>
        <v/>
      </c>
    </row>
    <row r="1178">
      <c r="T1178" s="47">
        <f>IF(R1178="","",IFERROR(TODAY()+VLOOKUP(R1178,REGRAS!$B$2:$C$13,2,0),""))</f>
        <v/>
      </c>
    </row>
    <row r="1179">
      <c r="T1179" s="47">
        <f>IF(R1179="","",IFERROR(TODAY()+VLOOKUP(R1179,REGRAS!$B$2:$C$13,2,0),""))</f>
        <v/>
      </c>
    </row>
    <row r="1180">
      <c r="T1180" s="47">
        <f>IF(R1180="","",IFERROR(TODAY()+VLOOKUP(R1180,REGRAS!$B$2:$C$13,2,0),""))</f>
        <v/>
      </c>
    </row>
    <row r="1181">
      <c r="T1181" s="47">
        <f>IF(R1181="","",IFERROR(TODAY()+VLOOKUP(R1181,REGRAS!$B$2:$C$13,2,0),""))</f>
        <v/>
      </c>
    </row>
    <row r="1182">
      <c r="T1182" s="47">
        <f>IF(R1182="","",IFERROR(TODAY()+VLOOKUP(R1182,REGRAS!$B$2:$C$13,2,0),""))</f>
        <v/>
      </c>
    </row>
    <row r="1183">
      <c r="T1183" s="47">
        <f>IF(R1183="","",IFERROR(TODAY()+VLOOKUP(R1183,REGRAS!$B$2:$C$13,2,0),""))</f>
        <v/>
      </c>
    </row>
    <row r="1184">
      <c r="T1184" s="47">
        <f>IF(R1184="","",IFERROR(TODAY()+VLOOKUP(R1184,REGRAS!$B$2:$C$13,2,0),""))</f>
        <v/>
      </c>
    </row>
    <row r="1185">
      <c r="T1185" s="47">
        <f>IF(R1185="","",IFERROR(TODAY()+VLOOKUP(R1185,REGRAS!$B$2:$C$13,2,0),""))</f>
        <v/>
      </c>
    </row>
    <row r="1186">
      <c r="T1186" s="47">
        <f>IF(R1186="","",IFERROR(TODAY()+VLOOKUP(R1186,REGRAS!$B$2:$C$13,2,0),""))</f>
        <v/>
      </c>
    </row>
    <row r="1187">
      <c r="T1187" s="47">
        <f>IF(R1187="","",IFERROR(TODAY()+VLOOKUP(R1187,REGRAS!$B$2:$C$13,2,0),""))</f>
        <v/>
      </c>
    </row>
    <row r="1188">
      <c r="T1188" s="47">
        <f>IF(R1188="","",IFERROR(TODAY()+VLOOKUP(R1188,REGRAS!$B$2:$C$13,2,0),""))</f>
        <v/>
      </c>
    </row>
    <row r="1189">
      <c r="T1189" s="47">
        <f>IF(R1189="","",IFERROR(TODAY()+VLOOKUP(R1189,REGRAS!$B$2:$C$13,2,0),""))</f>
        <v/>
      </c>
    </row>
    <row r="1190">
      <c r="T1190" s="47">
        <f>IF(R1190="","",IFERROR(TODAY()+VLOOKUP(R1190,REGRAS!$B$2:$C$13,2,0),""))</f>
        <v/>
      </c>
    </row>
    <row r="1191">
      <c r="T1191" s="47">
        <f>IF(R1191="","",IFERROR(TODAY()+VLOOKUP(R1191,REGRAS!$B$2:$C$13,2,0),""))</f>
        <v/>
      </c>
    </row>
    <row r="1192">
      <c r="T1192" s="47">
        <f>IF(R1192="","",IFERROR(TODAY()+VLOOKUP(R1192,REGRAS!$B$2:$C$13,2,0),""))</f>
        <v/>
      </c>
    </row>
    <row r="1193">
      <c r="T1193" s="47">
        <f>IF(R1193="","",IFERROR(TODAY()+VLOOKUP(R1193,REGRAS!$B$2:$C$13,2,0),""))</f>
        <v/>
      </c>
    </row>
    <row r="1194">
      <c r="T1194" s="47">
        <f>IF(R1194="","",IFERROR(TODAY()+VLOOKUP(R1194,REGRAS!$B$2:$C$13,2,0),""))</f>
        <v/>
      </c>
    </row>
    <row r="1195">
      <c r="T1195" s="47">
        <f>IF(R1195="","",IFERROR(TODAY()+VLOOKUP(R1195,REGRAS!$B$2:$C$13,2,0),""))</f>
        <v/>
      </c>
    </row>
    <row r="1196">
      <c r="T1196" s="47">
        <f>IF(R1196="","",IFERROR(TODAY()+VLOOKUP(R1196,REGRAS!$B$2:$C$13,2,0),""))</f>
        <v/>
      </c>
    </row>
    <row r="1197">
      <c r="T1197" s="47">
        <f>IF(R1197="","",IFERROR(TODAY()+VLOOKUP(R1197,REGRAS!$B$2:$C$13,2,0),""))</f>
        <v/>
      </c>
    </row>
    <row r="1198">
      <c r="T1198" s="47">
        <f>IF(R1198="","",IFERROR(TODAY()+VLOOKUP(R1198,REGRAS!$B$2:$C$13,2,0),""))</f>
        <v/>
      </c>
    </row>
    <row r="1199">
      <c r="T1199" s="47">
        <f>IF(R1199="","",IFERROR(TODAY()+VLOOKUP(R1199,REGRAS!$B$2:$C$13,2,0),""))</f>
        <v/>
      </c>
    </row>
    <row r="1200">
      <c r="T1200" s="47">
        <f>IF(R1200="","",IFERROR(TODAY()+VLOOKUP(R1200,REGRAS!$B$2:$C$13,2,0),""))</f>
        <v/>
      </c>
    </row>
    <row r="1201">
      <c r="T1201" s="47">
        <f>IF(R1201="","",IFERROR(TODAY()+VLOOKUP(R1201,REGRAS!$B$2:$C$13,2,0),""))</f>
        <v/>
      </c>
    </row>
    <row r="1202">
      <c r="T1202" s="47">
        <f>IF(R1202="","",IFERROR(TODAY()+VLOOKUP(R1202,REGRAS!$B$2:$C$13,2,0),""))</f>
        <v/>
      </c>
    </row>
    <row r="1203">
      <c r="T1203" s="47">
        <f>IF(R1203="","",IFERROR(TODAY()+VLOOKUP(R1203,REGRAS!$B$2:$C$13,2,0),""))</f>
        <v/>
      </c>
    </row>
    <row r="1204">
      <c r="T1204" s="47">
        <f>IF(R1204="","",IFERROR(TODAY()+VLOOKUP(R1204,REGRAS!$B$2:$C$13,2,0),""))</f>
        <v/>
      </c>
    </row>
    <row r="1205">
      <c r="T1205" s="47">
        <f>IF(R1205="","",IFERROR(TODAY()+VLOOKUP(R1205,REGRAS!$B$2:$C$13,2,0),""))</f>
        <v/>
      </c>
    </row>
    <row r="1206">
      <c r="T1206" s="47">
        <f>IF(R1206="","",IFERROR(TODAY()+VLOOKUP(R1206,REGRAS!$B$2:$C$13,2,0),""))</f>
        <v/>
      </c>
    </row>
    <row r="1207">
      <c r="T1207" s="47">
        <f>IF(R1207="","",IFERROR(TODAY()+VLOOKUP(R1207,REGRAS!$B$2:$C$13,2,0),""))</f>
        <v/>
      </c>
    </row>
    <row r="1208">
      <c r="T1208" s="47">
        <f>IF(R1208="","",IFERROR(TODAY()+VLOOKUP(R1208,REGRAS!$B$2:$C$13,2,0),""))</f>
        <v/>
      </c>
    </row>
    <row r="1209">
      <c r="T1209" s="47">
        <f>IF(R1209="","",IFERROR(TODAY()+VLOOKUP(R1209,REGRAS!$B$2:$C$13,2,0),""))</f>
        <v/>
      </c>
    </row>
    <row r="1210">
      <c r="T1210" s="47">
        <f>IF(R1210="","",IFERROR(TODAY()+VLOOKUP(R1210,REGRAS!$B$2:$C$13,2,0),""))</f>
        <v/>
      </c>
    </row>
    <row r="1211">
      <c r="T1211" s="47">
        <f>IF(R1211="","",IFERROR(TODAY()+VLOOKUP(R1211,REGRAS!$B$2:$C$13,2,0),""))</f>
        <v/>
      </c>
    </row>
    <row r="1212">
      <c r="T1212" s="47">
        <f>IF(R1212="","",IFERROR(TODAY()+VLOOKUP(R1212,REGRAS!$B$2:$C$13,2,0),""))</f>
        <v/>
      </c>
    </row>
    <row r="1213">
      <c r="T1213" s="47">
        <f>IF(R1213="","",IFERROR(TODAY()+VLOOKUP(R1213,REGRAS!$B$2:$C$13,2,0),""))</f>
        <v/>
      </c>
    </row>
    <row r="1214">
      <c r="T1214" s="47">
        <f>IF(R1214="","",IFERROR(TODAY()+VLOOKUP(R1214,REGRAS!$B$2:$C$13,2,0),""))</f>
        <v/>
      </c>
    </row>
    <row r="1215">
      <c r="T1215" s="47">
        <f>IF(R1215="","",IFERROR(TODAY()+VLOOKUP(R1215,REGRAS!$B$2:$C$13,2,0),""))</f>
        <v/>
      </c>
    </row>
    <row r="1216">
      <c r="T1216" s="47">
        <f>IF(R1216="","",IFERROR(TODAY()+VLOOKUP(R1216,REGRAS!$B$2:$C$13,2,0),""))</f>
        <v/>
      </c>
    </row>
    <row r="1217">
      <c r="T1217" s="47">
        <f>IF(R1217="","",IFERROR(TODAY()+VLOOKUP(R1217,REGRAS!$B$2:$C$13,2,0),""))</f>
        <v/>
      </c>
    </row>
    <row r="1218">
      <c r="T1218" s="47">
        <f>IF(R1218="","",IFERROR(TODAY()+VLOOKUP(R1218,REGRAS!$B$2:$C$13,2,0),""))</f>
        <v/>
      </c>
    </row>
    <row r="1219">
      <c r="T1219" s="47">
        <f>IF(R1219="","",IFERROR(TODAY()+VLOOKUP(R1219,REGRAS!$B$2:$C$13,2,0),""))</f>
        <v/>
      </c>
    </row>
    <row r="1220">
      <c r="T1220" s="47">
        <f>IF(R1220="","",IFERROR(TODAY()+VLOOKUP(R1220,REGRAS!$B$2:$C$13,2,0),""))</f>
        <v/>
      </c>
    </row>
    <row r="1221">
      <c r="T1221" s="47">
        <f>IF(R1221="","",IFERROR(TODAY()+VLOOKUP(R1221,REGRAS!$B$2:$C$13,2,0),""))</f>
        <v/>
      </c>
    </row>
    <row r="1222">
      <c r="T1222" s="47">
        <f>IF(R1222="","",IFERROR(TODAY()+VLOOKUP(R1222,REGRAS!$B$2:$C$13,2,0),""))</f>
        <v/>
      </c>
    </row>
    <row r="1223">
      <c r="T1223" s="47">
        <f>IF(R1223="","",IFERROR(TODAY()+VLOOKUP(R1223,REGRAS!$B$2:$C$13,2,0),""))</f>
        <v/>
      </c>
    </row>
    <row r="1224">
      <c r="T1224" s="47">
        <f>IF(R1224="","",IFERROR(TODAY()+VLOOKUP(R1224,REGRAS!$B$2:$C$13,2,0),""))</f>
        <v/>
      </c>
    </row>
    <row r="1225">
      <c r="T1225" s="47">
        <f>IF(R1225="","",IFERROR(TODAY()+VLOOKUP(R1225,REGRAS!$B$2:$C$13,2,0),""))</f>
        <v/>
      </c>
    </row>
    <row r="1226">
      <c r="T1226" s="47">
        <f>IF(R1226="","",IFERROR(TODAY()+VLOOKUP(R1226,REGRAS!$B$2:$C$13,2,0),""))</f>
        <v/>
      </c>
    </row>
    <row r="1227">
      <c r="T1227" s="47">
        <f>IF(R1227="","",IFERROR(TODAY()+VLOOKUP(R1227,REGRAS!$B$2:$C$13,2,0),""))</f>
        <v/>
      </c>
    </row>
    <row r="1228">
      <c r="T1228" s="47">
        <f>IF(R1228="","",IFERROR(TODAY()+VLOOKUP(R1228,REGRAS!$B$2:$C$13,2,0),""))</f>
        <v/>
      </c>
    </row>
    <row r="1229">
      <c r="T1229" s="47">
        <f>IF(R1229="","",IFERROR(TODAY()+VLOOKUP(R1229,REGRAS!$B$2:$C$13,2,0),""))</f>
        <v/>
      </c>
    </row>
    <row r="1230">
      <c r="T1230" s="47">
        <f>IF(R1230="","",IFERROR(TODAY()+VLOOKUP(R1230,REGRAS!$B$2:$C$13,2,0),""))</f>
        <v/>
      </c>
    </row>
    <row r="1231">
      <c r="T1231" s="47">
        <f>IF(R1231="","",IFERROR(TODAY()+VLOOKUP(R1231,REGRAS!$B$2:$C$13,2,0),""))</f>
        <v/>
      </c>
    </row>
    <row r="1232">
      <c r="T1232" s="47">
        <f>IF(R1232="","",IFERROR(TODAY()+VLOOKUP(R1232,REGRAS!$B$2:$C$13,2,0),""))</f>
        <v/>
      </c>
    </row>
    <row r="1233">
      <c r="T1233" s="47">
        <f>IF(R1233="","",IFERROR(TODAY()+VLOOKUP(R1233,REGRAS!$B$2:$C$13,2,0),""))</f>
        <v/>
      </c>
    </row>
    <row r="1234">
      <c r="T1234" s="47">
        <f>IF(R1234="","",IFERROR(TODAY()+VLOOKUP(R1234,REGRAS!$B$2:$C$13,2,0),""))</f>
        <v/>
      </c>
    </row>
    <row r="1235">
      <c r="T1235" s="47">
        <f>IF(R1235="","",IFERROR(TODAY()+VLOOKUP(R1235,REGRAS!$B$2:$C$13,2,0),""))</f>
        <v/>
      </c>
    </row>
    <row r="1236">
      <c r="T1236" s="47">
        <f>IF(R1236="","",IFERROR(TODAY()+VLOOKUP(R1236,REGRAS!$B$2:$C$13,2,0),""))</f>
        <v/>
      </c>
    </row>
    <row r="1237">
      <c r="T1237" s="47">
        <f>IF(R1237="","",IFERROR(TODAY()+VLOOKUP(R1237,REGRAS!$B$2:$C$13,2,0),""))</f>
        <v/>
      </c>
    </row>
    <row r="1238">
      <c r="T1238" s="47">
        <f>IF(R1238="","",IFERROR(TODAY()+VLOOKUP(R1238,REGRAS!$B$2:$C$13,2,0),""))</f>
        <v/>
      </c>
    </row>
    <row r="1239">
      <c r="T1239" s="47">
        <f>IF(R1239="","",IFERROR(TODAY()+VLOOKUP(R1239,REGRAS!$B$2:$C$13,2,0),""))</f>
        <v/>
      </c>
    </row>
    <row r="1240">
      <c r="T1240" s="47">
        <f>IF(R1240="","",IFERROR(TODAY()+VLOOKUP(R1240,REGRAS!$B$2:$C$13,2,0),""))</f>
        <v/>
      </c>
    </row>
    <row r="1241">
      <c r="T1241" s="47">
        <f>IF(R1241="","",IFERROR(TODAY()+VLOOKUP(R1241,REGRAS!$B$2:$C$13,2,0),""))</f>
        <v/>
      </c>
    </row>
    <row r="1242">
      <c r="T1242" s="47">
        <f>IF(R1242="","",IFERROR(TODAY()+VLOOKUP(R1242,REGRAS!$B$2:$C$13,2,0),""))</f>
        <v/>
      </c>
    </row>
    <row r="1243">
      <c r="T1243" s="47">
        <f>IF(R1243="","",IFERROR(TODAY()+VLOOKUP(R1243,REGRAS!$B$2:$C$13,2,0),""))</f>
        <v/>
      </c>
    </row>
    <row r="1244">
      <c r="T1244" s="47">
        <f>IF(R1244="","",IFERROR(TODAY()+VLOOKUP(R1244,REGRAS!$B$2:$C$13,2,0),""))</f>
        <v/>
      </c>
    </row>
    <row r="1245">
      <c r="T1245" s="47">
        <f>IF(R1245="","",IFERROR(TODAY()+VLOOKUP(R1245,REGRAS!$B$2:$C$13,2,0),""))</f>
        <v/>
      </c>
    </row>
    <row r="1246">
      <c r="T1246" s="47">
        <f>IF(R1246="","",IFERROR(TODAY()+VLOOKUP(R1246,REGRAS!$B$2:$C$13,2,0),""))</f>
        <v/>
      </c>
    </row>
    <row r="1247">
      <c r="T1247" s="47">
        <f>IF(R1247="","",IFERROR(TODAY()+VLOOKUP(R1247,REGRAS!$B$2:$C$13,2,0),""))</f>
        <v/>
      </c>
    </row>
    <row r="1248">
      <c r="T1248" s="47">
        <f>IF(R1248="","",IFERROR(TODAY()+VLOOKUP(R1248,REGRAS!$B$2:$C$13,2,0),""))</f>
        <v/>
      </c>
    </row>
    <row r="1249">
      <c r="T1249" s="47">
        <f>IF(R1249="","",IFERROR(TODAY()+VLOOKUP(R1249,REGRAS!$B$2:$C$13,2,0),""))</f>
        <v/>
      </c>
    </row>
    <row r="1250">
      <c r="T1250" s="47">
        <f>IF(R1250="","",IFERROR(TODAY()+VLOOKUP(R1250,REGRAS!$B$2:$C$13,2,0),""))</f>
        <v/>
      </c>
    </row>
    <row r="1251">
      <c r="T1251" s="47">
        <f>IF(R1251="","",IFERROR(TODAY()+VLOOKUP(R1251,REGRAS!$B$2:$C$13,2,0),""))</f>
        <v/>
      </c>
    </row>
    <row r="1252">
      <c r="T1252" s="47">
        <f>IF(R1252="","",IFERROR(TODAY()+VLOOKUP(R1252,REGRAS!$B$2:$C$13,2,0),""))</f>
        <v/>
      </c>
    </row>
    <row r="1253">
      <c r="T1253" s="47">
        <f>IF(R1253="","",IFERROR(TODAY()+VLOOKUP(R1253,REGRAS!$B$2:$C$13,2,0),""))</f>
        <v/>
      </c>
    </row>
    <row r="1254">
      <c r="T1254" s="47">
        <f>IF(R1254="","",IFERROR(TODAY()+VLOOKUP(R1254,REGRAS!$B$2:$C$13,2,0),""))</f>
        <v/>
      </c>
    </row>
    <row r="1255">
      <c r="T1255" s="47">
        <f>IF(R1255="","",IFERROR(TODAY()+VLOOKUP(R1255,REGRAS!$B$2:$C$13,2,0),""))</f>
        <v/>
      </c>
    </row>
    <row r="1256">
      <c r="T1256" s="47">
        <f>IF(R1256="","",IFERROR(TODAY()+VLOOKUP(R1256,REGRAS!$B$2:$C$13,2,0),""))</f>
        <v/>
      </c>
    </row>
    <row r="1257">
      <c r="T1257" s="47">
        <f>IF(R1257="","",IFERROR(TODAY()+VLOOKUP(R1257,REGRAS!$B$2:$C$13,2,0),""))</f>
        <v/>
      </c>
    </row>
    <row r="1258">
      <c r="T1258" s="47">
        <f>IF(R1258="","",IFERROR(TODAY()+VLOOKUP(R1258,REGRAS!$B$2:$C$13,2,0),""))</f>
        <v/>
      </c>
    </row>
    <row r="1259">
      <c r="T1259" s="47">
        <f>IF(R1259="","",IFERROR(TODAY()+VLOOKUP(R1259,REGRAS!$B$2:$C$13,2,0),""))</f>
        <v/>
      </c>
    </row>
    <row r="1260">
      <c r="T1260" s="47">
        <f>IF(R1260="","",IFERROR(TODAY()+VLOOKUP(R1260,REGRAS!$B$2:$C$13,2,0),""))</f>
        <v/>
      </c>
    </row>
    <row r="1261">
      <c r="T1261" s="47">
        <f>IF(R1261="","",IFERROR(TODAY()+VLOOKUP(R1261,REGRAS!$B$2:$C$13,2,0),""))</f>
        <v/>
      </c>
    </row>
    <row r="1262">
      <c r="T1262" s="47">
        <f>IF(R1262="","",IFERROR(TODAY()+VLOOKUP(R1262,REGRAS!$B$2:$C$13,2,0),""))</f>
        <v/>
      </c>
    </row>
    <row r="1263">
      <c r="T1263" s="47">
        <f>IF(R1263="","",IFERROR(TODAY()+VLOOKUP(R1263,REGRAS!$B$2:$C$13,2,0),""))</f>
        <v/>
      </c>
    </row>
    <row r="1264">
      <c r="T1264" s="47">
        <f>IF(R1264="","",IFERROR(TODAY()+VLOOKUP(R1264,REGRAS!$B$2:$C$13,2,0),""))</f>
        <v/>
      </c>
    </row>
    <row r="1265">
      <c r="T1265" s="47">
        <f>IF(R1265="","",IFERROR(TODAY()+VLOOKUP(R1265,REGRAS!$B$2:$C$13,2,0),""))</f>
        <v/>
      </c>
    </row>
    <row r="1266">
      <c r="T1266" s="47">
        <f>IF(R1266="","",IFERROR(TODAY()+VLOOKUP(R1266,REGRAS!$B$2:$C$13,2,0),""))</f>
        <v/>
      </c>
    </row>
    <row r="1267">
      <c r="T1267" s="47">
        <f>IF(R1267="","",IFERROR(TODAY()+VLOOKUP(R1267,REGRAS!$B$2:$C$13,2,0),""))</f>
        <v/>
      </c>
    </row>
    <row r="1268">
      <c r="T1268" s="47">
        <f>IF(R1268="","",IFERROR(TODAY()+VLOOKUP(R1268,REGRAS!$B$2:$C$13,2,0),""))</f>
        <v/>
      </c>
    </row>
    <row r="1269">
      <c r="T1269" s="47">
        <f>IF(R1269="","",IFERROR(TODAY()+VLOOKUP(R1269,REGRAS!$B$2:$C$13,2,0),""))</f>
        <v/>
      </c>
    </row>
    <row r="1270">
      <c r="T1270" s="47">
        <f>IF(R1270="","",IFERROR(TODAY()+VLOOKUP(R1270,REGRAS!$B$2:$C$13,2,0),""))</f>
        <v/>
      </c>
    </row>
    <row r="1271">
      <c r="T1271" s="47">
        <f>IF(R1271="","",IFERROR(TODAY()+VLOOKUP(R1271,REGRAS!$B$2:$C$13,2,0),""))</f>
        <v/>
      </c>
    </row>
    <row r="1272">
      <c r="T1272" s="47">
        <f>IF(R1272="","",IFERROR(TODAY()+VLOOKUP(R1272,REGRAS!$B$2:$C$13,2,0),""))</f>
        <v/>
      </c>
    </row>
    <row r="1273">
      <c r="T1273" s="47">
        <f>IF(R1273="","",IFERROR(TODAY()+VLOOKUP(R1273,REGRAS!$B$2:$C$13,2,0),""))</f>
        <v/>
      </c>
    </row>
    <row r="1274">
      <c r="T1274" s="47">
        <f>IF(R1274="","",IFERROR(TODAY()+VLOOKUP(R1274,REGRAS!$B$2:$C$13,2,0),""))</f>
        <v/>
      </c>
    </row>
    <row r="1275">
      <c r="T1275" s="47">
        <f>IF(R1275="","",IFERROR(TODAY()+VLOOKUP(R1275,REGRAS!$B$2:$C$13,2,0),""))</f>
        <v/>
      </c>
    </row>
    <row r="1276">
      <c r="T1276" s="47">
        <f>IF(R1276="","",IFERROR(TODAY()+VLOOKUP(R1276,REGRAS!$B$2:$C$13,2,0),""))</f>
        <v/>
      </c>
    </row>
    <row r="1277">
      <c r="T1277" s="47">
        <f>IF(R1277="","",IFERROR(TODAY()+VLOOKUP(R1277,REGRAS!$B$2:$C$13,2,0),""))</f>
        <v/>
      </c>
    </row>
    <row r="1278">
      <c r="T1278" s="47">
        <f>IF(R1278="","",IFERROR(TODAY()+VLOOKUP(R1278,REGRAS!$B$2:$C$13,2,0),""))</f>
        <v/>
      </c>
    </row>
    <row r="1279">
      <c r="T1279" s="47">
        <f>IF(R1279="","",IFERROR(TODAY()+VLOOKUP(R1279,REGRAS!$B$2:$C$13,2,0),""))</f>
        <v/>
      </c>
    </row>
    <row r="1280">
      <c r="T1280" s="47">
        <f>IF(R1280="","",IFERROR(TODAY()+VLOOKUP(R1280,REGRAS!$B$2:$C$13,2,0),""))</f>
        <v/>
      </c>
    </row>
    <row r="1281">
      <c r="T1281" s="47">
        <f>IF(R1281="","",IFERROR(TODAY()+VLOOKUP(R1281,REGRAS!$B$2:$C$13,2,0),""))</f>
        <v/>
      </c>
    </row>
    <row r="1282">
      <c r="T1282" s="47">
        <f>IF(R1282="","",IFERROR(TODAY()+VLOOKUP(R1282,REGRAS!$B$2:$C$13,2,0),""))</f>
        <v/>
      </c>
    </row>
    <row r="1283">
      <c r="T1283" s="47">
        <f>IF(R1283="","",IFERROR(TODAY()+VLOOKUP(R1283,REGRAS!$B$2:$C$13,2,0),""))</f>
        <v/>
      </c>
    </row>
    <row r="1284">
      <c r="T1284" s="47">
        <f>IF(R1284="","",IFERROR(TODAY()+VLOOKUP(R1284,REGRAS!$B$2:$C$13,2,0),""))</f>
        <v/>
      </c>
    </row>
    <row r="1285">
      <c r="T1285" s="47">
        <f>IF(R1285="","",IFERROR(TODAY()+VLOOKUP(R1285,REGRAS!$B$2:$C$13,2,0),""))</f>
        <v/>
      </c>
    </row>
    <row r="1286">
      <c r="T1286" s="47">
        <f>IF(R1286="","",IFERROR(TODAY()+VLOOKUP(R1286,REGRAS!$B$2:$C$13,2,0),""))</f>
        <v/>
      </c>
    </row>
    <row r="1287">
      <c r="T1287" s="47">
        <f>IF(R1287="","",IFERROR(TODAY()+VLOOKUP(R1287,REGRAS!$B$2:$C$13,2,0),""))</f>
        <v/>
      </c>
    </row>
    <row r="1288">
      <c r="T1288" s="47">
        <f>IF(R1288="","",IFERROR(TODAY()+VLOOKUP(R1288,REGRAS!$B$2:$C$13,2,0),""))</f>
        <v/>
      </c>
    </row>
    <row r="1289">
      <c r="T1289" s="47">
        <f>IF(R1289="","",IFERROR(TODAY()+VLOOKUP(R1289,REGRAS!$B$2:$C$13,2,0),""))</f>
        <v/>
      </c>
    </row>
    <row r="1290">
      <c r="T1290" s="47">
        <f>IF(R1290="","",IFERROR(TODAY()+VLOOKUP(R1290,REGRAS!$B$2:$C$13,2,0),""))</f>
        <v/>
      </c>
    </row>
    <row r="1291">
      <c r="T1291" s="47">
        <f>IF(R1291="","",IFERROR(TODAY()+VLOOKUP(R1291,REGRAS!$B$2:$C$13,2,0),""))</f>
        <v/>
      </c>
    </row>
    <row r="1292">
      <c r="T1292" s="47">
        <f>IF(R1292="","",IFERROR(TODAY()+VLOOKUP(R1292,REGRAS!$B$2:$C$13,2,0),""))</f>
        <v/>
      </c>
    </row>
    <row r="1293">
      <c r="T1293" s="47">
        <f>IF(R1293="","",IFERROR(TODAY()+VLOOKUP(R1293,REGRAS!$B$2:$C$13,2,0),""))</f>
        <v/>
      </c>
    </row>
    <row r="1294">
      <c r="T1294" s="47">
        <f>IF(R1294="","",IFERROR(TODAY()+VLOOKUP(R1294,REGRAS!$B$2:$C$13,2,0),""))</f>
        <v/>
      </c>
    </row>
    <row r="1295">
      <c r="T1295" s="47">
        <f>IF(R1295="","",IFERROR(TODAY()+VLOOKUP(R1295,REGRAS!$B$2:$C$13,2,0),""))</f>
        <v/>
      </c>
    </row>
    <row r="1296">
      <c r="T1296" s="47">
        <f>IF(R1296="","",IFERROR(TODAY()+VLOOKUP(R1296,REGRAS!$B$2:$C$13,2,0),""))</f>
        <v/>
      </c>
    </row>
    <row r="1297">
      <c r="T1297" s="47">
        <f>IF(R1297="","",IFERROR(TODAY()+VLOOKUP(R1297,REGRAS!$B$2:$C$13,2,0),""))</f>
        <v/>
      </c>
    </row>
    <row r="1298">
      <c r="T1298" s="47">
        <f>IF(R1298="","",IFERROR(TODAY()+VLOOKUP(R1298,REGRAS!$B$2:$C$13,2,0),""))</f>
        <v/>
      </c>
    </row>
    <row r="1299">
      <c r="T1299" s="47">
        <f>IF(R1299="","",IFERROR(TODAY()+VLOOKUP(R1299,REGRAS!$B$2:$C$13,2,0),""))</f>
        <v/>
      </c>
    </row>
    <row r="1300">
      <c r="T1300" s="47">
        <f>IF(R1300="","",IFERROR(TODAY()+VLOOKUP(R1300,REGRAS!$B$2:$C$13,2,0),""))</f>
        <v/>
      </c>
    </row>
    <row r="1301">
      <c r="T1301" s="47">
        <f>IF(R1301="","",IFERROR(TODAY()+VLOOKUP(R1301,REGRAS!$B$2:$C$13,2,0),""))</f>
        <v/>
      </c>
    </row>
    <row r="1302">
      <c r="T1302" s="47">
        <f>IF(R1302="","",IFERROR(TODAY()+VLOOKUP(R1302,REGRAS!$B$2:$C$13,2,0),""))</f>
        <v/>
      </c>
    </row>
    <row r="1303">
      <c r="T1303" s="47">
        <f>IF(R1303="","",IFERROR(TODAY()+VLOOKUP(R1303,REGRAS!$B$2:$C$13,2,0),""))</f>
        <v/>
      </c>
    </row>
    <row r="1304">
      <c r="T1304" s="47">
        <f>IF(R1304="","",IFERROR(TODAY()+VLOOKUP(R1304,REGRAS!$B$2:$C$13,2,0),""))</f>
        <v/>
      </c>
    </row>
    <row r="1305">
      <c r="T1305" s="47">
        <f>IF(R1305="","",IFERROR(TODAY()+VLOOKUP(R1305,REGRAS!$B$2:$C$13,2,0),""))</f>
        <v/>
      </c>
    </row>
    <row r="1306">
      <c r="T1306" s="47">
        <f>IF(R1306="","",IFERROR(TODAY()+VLOOKUP(R1306,REGRAS!$B$2:$C$13,2,0),""))</f>
        <v/>
      </c>
    </row>
    <row r="1307">
      <c r="T1307" s="47">
        <f>IF(R1307="","",IFERROR(TODAY()+VLOOKUP(R1307,REGRAS!$B$2:$C$13,2,0),""))</f>
        <v/>
      </c>
    </row>
    <row r="1308">
      <c r="T1308" s="47">
        <f>IF(R1308="","",IFERROR(TODAY()+VLOOKUP(R1308,REGRAS!$B$2:$C$13,2,0),""))</f>
        <v/>
      </c>
    </row>
    <row r="1309">
      <c r="T1309" s="47">
        <f>IF(R1309="","",IFERROR(TODAY()+VLOOKUP(R1309,REGRAS!$B$2:$C$13,2,0),""))</f>
        <v/>
      </c>
    </row>
    <row r="1310">
      <c r="T1310" s="47">
        <f>IF(R1310="","",IFERROR(TODAY()+VLOOKUP(R1310,REGRAS!$B$2:$C$13,2,0),""))</f>
        <v/>
      </c>
    </row>
    <row r="1311">
      <c r="T1311" s="47">
        <f>IF(R1311="","",IFERROR(TODAY()+VLOOKUP(R1311,REGRAS!$B$2:$C$13,2,0),""))</f>
        <v/>
      </c>
    </row>
    <row r="1312">
      <c r="T1312" s="47">
        <f>IF(R1312="","",IFERROR(TODAY()+VLOOKUP(R1312,REGRAS!$B$2:$C$13,2,0),""))</f>
        <v/>
      </c>
    </row>
    <row r="1313">
      <c r="T1313" s="47">
        <f>IF(R1313="","",IFERROR(TODAY()+VLOOKUP(R1313,REGRAS!$B$2:$C$13,2,0),""))</f>
        <v/>
      </c>
    </row>
    <row r="1314">
      <c r="T1314" s="47">
        <f>IF(R1314="","",IFERROR(TODAY()+VLOOKUP(R1314,REGRAS!$B$2:$C$13,2,0),""))</f>
        <v/>
      </c>
    </row>
    <row r="1315">
      <c r="T1315" s="47">
        <f>IF(R1315="","",IFERROR(TODAY()+VLOOKUP(R1315,REGRAS!$B$2:$C$13,2,0),""))</f>
        <v/>
      </c>
    </row>
    <row r="1316">
      <c r="T1316" s="47">
        <f>IF(R1316="","",IFERROR(TODAY()+VLOOKUP(R1316,REGRAS!$B$2:$C$13,2,0),""))</f>
        <v/>
      </c>
    </row>
    <row r="1317">
      <c r="T1317" s="47">
        <f>IF(R1317="","",IFERROR(TODAY()+VLOOKUP(R1317,REGRAS!$B$2:$C$13,2,0),""))</f>
        <v/>
      </c>
    </row>
    <row r="1318">
      <c r="T1318" s="47">
        <f>IF(R1318="","",IFERROR(TODAY()+VLOOKUP(R1318,REGRAS!$B$2:$C$13,2,0),""))</f>
        <v/>
      </c>
    </row>
    <row r="1319">
      <c r="T1319" s="47">
        <f>IF(R1319="","",IFERROR(TODAY()+VLOOKUP(R1319,REGRAS!$B$2:$C$13,2,0),""))</f>
        <v/>
      </c>
    </row>
    <row r="1320">
      <c r="T1320" s="47">
        <f>IF(R1320="","",IFERROR(TODAY()+VLOOKUP(R1320,REGRAS!$B$2:$C$13,2,0),""))</f>
        <v/>
      </c>
    </row>
    <row r="1321">
      <c r="T1321" s="47">
        <f>IF(R1321="","",IFERROR(TODAY()+VLOOKUP(R1321,REGRAS!$B$2:$C$13,2,0),""))</f>
        <v/>
      </c>
    </row>
    <row r="1322">
      <c r="T1322" s="47">
        <f>IF(R1322="","",IFERROR(TODAY()+VLOOKUP(R1322,REGRAS!$B$2:$C$13,2,0),""))</f>
        <v/>
      </c>
    </row>
    <row r="1323">
      <c r="T1323" s="47">
        <f>IF(R1323="","",IFERROR(TODAY()+VLOOKUP(R1323,REGRAS!$B$2:$C$13,2,0),""))</f>
        <v/>
      </c>
    </row>
    <row r="1324">
      <c r="T1324" s="47">
        <f>IF(R1324="","",IFERROR(TODAY()+VLOOKUP(R1324,REGRAS!$B$2:$C$13,2,0),""))</f>
        <v/>
      </c>
    </row>
    <row r="1325">
      <c r="T1325" s="47">
        <f>IF(R1325="","",IFERROR(TODAY()+VLOOKUP(R1325,REGRAS!$B$2:$C$13,2,0),""))</f>
        <v/>
      </c>
    </row>
    <row r="1326">
      <c r="T1326" s="47">
        <f>IF(R1326="","",IFERROR(TODAY()+VLOOKUP(R1326,REGRAS!$B$2:$C$13,2,0),""))</f>
        <v/>
      </c>
    </row>
    <row r="1327">
      <c r="T1327" s="47">
        <f>IF(R1327="","",IFERROR(TODAY()+VLOOKUP(R1327,REGRAS!$B$2:$C$13,2,0),""))</f>
        <v/>
      </c>
    </row>
    <row r="1328">
      <c r="T1328" s="47">
        <f>IF(R1328="","",IFERROR(TODAY()+VLOOKUP(R1328,REGRAS!$B$2:$C$13,2,0),""))</f>
        <v/>
      </c>
    </row>
    <row r="1329">
      <c r="T1329" s="47">
        <f>IF(R1329="","",IFERROR(TODAY()+VLOOKUP(R1329,REGRAS!$B$2:$C$13,2,0),""))</f>
        <v/>
      </c>
    </row>
    <row r="1330">
      <c r="T1330" s="47">
        <f>IF(R1330="","",IFERROR(TODAY()+VLOOKUP(R1330,REGRAS!$B$2:$C$13,2,0),""))</f>
        <v/>
      </c>
    </row>
    <row r="1331">
      <c r="T1331" s="47">
        <f>IF(R1331="","",IFERROR(TODAY()+VLOOKUP(R1331,REGRAS!$B$2:$C$13,2,0),""))</f>
        <v/>
      </c>
    </row>
    <row r="1332">
      <c r="T1332" s="47">
        <f>IF(R1332="","",IFERROR(TODAY()+VLOOKUP(R1332,REGRAS!$B$2:$C$13,2,0),""))</f>
        <v/>
      </c>
    </row>
    <row r="1333">
      <c r="T1333" s="47">
        <f>IF(R1333="","",IFERROR(TODAY()+VLOOKUP(R1333,REGRAS!$B$2:$C$13,2,0),""))</f>
        <v/>
      </c>
    </row>
    <row r="1334">
      <c r="T1334" s="47">
        <f>IF(R1334="","",IFERROR(TODAY()+VLOOKUP(R1334,REGRAS!$B$2:$C$13,2,0),""))</f>
        <v/>
      </c>
    </row>
    <row r="1335">
      <c r="T1335" s="47">
        <f>IF(R1335="","",IFERROR(TODAY()+VLOOKUP(R1335,REGRAS!$B$2:$C$13,2,0),""))</f>
        <v/>
      </c>
    </row>
    <row r="1336">
      <c r="T1336" s="47">
        <f>IF(R1336="","",IFERROR(TODAY()+VLOOKUP(R1336,REGRAS!$B$2:$C$13,2,0),""))</f>
        <v/>
      </c>
    </row>
    <row r="1337">
      <c r="T1337" s="47">
        <f>IF(R1337="","",IFERROR(TODAY()+VLOOKUP(R1337,REGRAS!$B$2:$C$13,2,0),""))</f>
        <v/>
      </c>
    </row>
    <row r="1338">
      <c r="T1338" s="47">
        <f>IF(R1338="","",IFERROR(TODAY()+VLOOKUP(R1338,REGRAS!$B$2:$C$13,2,0),""))</f>
        <v/>
      </c>
    </row>
    <row r="1339">
      <c r="T1339" s="47">
        <f>IF(R1339="","",IFERROR(TODAY()+VLOOKUP(R1339,REGRAS!$B$2:$C$13,2,0),""))</f>
        <v/>
      </c>
    </row>
    <row r="1340">
      <c r="T1340" s="47">
        <f>IF(R1340="","",IFERROR(TODAY()+VLOOKUP(R1340,REGRAS!$B$2:$C$13,2,0),""))</f>
        <v/>
      </c>
    </row>
    <row r="1341">
      <c r="T1341" s="47">
        <f>IF(R1341="","",IFERROR(TODAY()+VLOOKUP(R1341,REGRAS!$B$2:$C$13,2,0),""))</f>
        <v/>
      </c>
    </row>
    <row r="1342">
      <c r="T1342" s="47">
        <f>IF(R1342="","",IFERROR(TODAY()+VLOOKUP(R1342,REGRAS!$B$2:$C$13,2,0),""))</f>
        <v/>
      </c>
    </row>
    <row r="1343">
      <c r="T1343" s="47">
        <f>IF(R1343="","",IFERROR(TODAY()+VLOOKUP(R1343,REGRAS!$B$2:$C$13,2,0),""))</f>
        <v/>
      </c>
    </row>
    <row r="1344">
      <c r="T1344" s="47">
        <f>IF(R1344="","",IFERROR(TODAY()+VLOOKUP(R1344,REGRAS!$B$2:$C$13,2,0),""))</f>
        <v/>
      </c>
    </row>
    <row r="1345">
      <c r="T1345" s="47">
        <f>IF(R1345="","",IFERROR(TODAY()+VLOOKUP(R1345,REGRAS!$B$2:$C$13,2,0),""))</f>
        <v/>
      </c>
    </row>
    <row r="1346">
      <c r="T1346" s="47">
        <f>IF(R1346="","",IFERROR(TODAY()+VLOOKUP(R1346,REGRAS!$B$2:$C$13,2,0),""))</f>
        <v/>
      </c>
    </row>
    <row r="1347">
      <c r="T1347" s="47">
        <f>IF(R1347="","",IFERROR(TODAY()+VLOOKUP(R1347,REGRAS!$B$2:$C$13,2,0),""))</f>
        <v/>
      </c>
    </row>
    <row r="1348">
      <c r="T1348" s="47">
        <f>IF(R1348="","",IFERROR(TODAY()+VLOOKUP(R1348,REGRAS!$B$2:$C$13,2,0),""))</f>
        <v/>
      </c>
    </row>
    <row r="1349">
      <c r="T1349" s="47">
        <f>IF(R1349="","",IFERROR(TODAY()+VLOOKUP(R1349,REGRAS!$B$2:$C$13,2,0),""))</f>
        <v/>
      </c>
    </row>
    <row r="1350">
      <c r="T1350" s="47">
        <f>IF(R1350="","",IFERROR(TODAY()+VLOOKUP(R1350,REGRAS!$B$2:$C$13,2,0),""))</f>
        <v/>
      </c>
    </row>
    <row r="1351">
      <c r="T1351" s="47">
        <f>IF(R1351="","",IFERROR(TODAY()+VLOOKUP(R1351,REGRAS!$B$2:$C$13,2,0),""))</f>
        <v/>
      </c>
    </row>
    <row r="1352">
      <c r="T1352" s="47">
        <f>IF(R1352="","",IFERROR(TODAY()+VLOOKUP(R1352,REGRAS!$B$2:$C$13,2,0),""))</f>
        <v/>
      </c>
    </row>
    <row r="1353">
      <c r="T1353" s="47">
        <f>IF(R1353="","",IFERROR(TODAY()+VLOOKUP(R1353,REGRAS!$B$2:$C$13,2,0),""))</f>
        <v/>
      </c>
    </row>
    <row r="1354">
      <c r="T1354" s="47">
        <f>IF(R1354="","",IFERROR(TODAY()+VLOOKUP(R1354,REGRAS!$B$2:$C$13,2,0),""))</f>
        <v/>
      </c>
    </row>
    <row r="1355">
      <c r="T1355" s="47">
        <f>IF(R1355="","",IFERROR(TODAY()+VLOOKUP(R1355,REGRAS!$B$2:$C$13,2,0),""))</f>
        <v/>
      </c>
    </row>
    <row r="1356">
      <c r="T1356" s="47">
        <f>IF(R1356="","",IFERROR(TODAY()+VLOOKUP(R1356,REGRAS!$B$2:$C$13,2,0),""))</f>
        <v/>
      </c>
    </row>
    <row r="1357">
      <c r="T1357" s="47">
        <f>IF(R1357="","",IFERROR(TODAY()+VLOOKUP(R1357,REGRAS!$B$2:$C$13,2,0),""))</f>
        <v/>
      </c>
    </row>
    <row r="1358">
      <c r="T1358" s="47">
        <f>IF(R1358="","",IFERROR(TODAY()+VLOOKUP(R1358,REGRAS!$B$2:$C$13,2,0),""))</f>
        <v/>
      </c>
    </row>
    <row r="1359">
      <c r="T1359" s="47">
        <f>IF(R1359="","",IFERROR(TODAY()+VLOOKUP(R1359,REGRAS!$B$2:$C$13,2,0),""))</f>
        <v/>
      </c>
    </row>
    <row r="1360">
      <c r="T1360" s="47">
        <f>IF(R1360="","",IFERROR(TODAY()+VLOOKUP(R1360,REGRAS!$B$2:$C$13,2,0),""))</f>
        <v/>
      </c>
    </row>
    <row r="1361">
      <c r="T1361" s="47">
        <f>IF(R1361="","",IFERROR(TODAY()+VLOOKUP(R1361,REGRAS!$B$2:$C$13,2,0),""))</f>
        <v/>
      </c>
    </row>
    <row r="1362">
      <c r="T1362" s="47">
        <f>IF(R1362="","",IFERROR(TODAY()+VLOOKUP(R1362,REGRAS!$B$2:$C$13,2,0),""))</f>
        <v/>
      </c>
    </row>
    <row r="1363">
      <c r="T1363" s="47">
        <f>IF(R1363="","",IFERROR(TODAY()+VLOOKUP(R1363,REGRAS!$B$2:$C$13,2,0),""))</f>
        <v/>
      </c>
    </row>
    <row r="1364">
      <c r="T1364" s="47">
        <f>IF(R1364="","",IFERROR(TODAY()+VLOOKUP(R1364,REGRAS!$B$2:$C$13,2,0),""))</f>
        <v/>
      </c>
    </row>
    <row r="1365">
      <c r="T1365" s="47">
        <f>IF(R1365="","",IFERROR(TODAY()+VLOOKUP(R1365,REGRAS!$B$2:$C$13,2,0),""))</f>
        <v/>
      </c>
    </row>
    <row r="1366">
      <c r="T1366" s="47">
        <f>IF(R1366="","",IFERROR(TODAY()+VLOOKUP(R1366,REGRAS!$B$2:$C$13,2,0),""))</f>
        <v/>
      </c>
    </row>
    <row r="1367">
      <c r="T1367" s="47">
        <f>IF(R1367="","",IFERROR(TODAY()+VLOOKUP(R1367,REGRAS!$B$2:$C$13,2,0),""))</f>
        <v/>
      </c>
    </row>
    <row r="1368">
      <c r="T1368" s="47">
        <f>IF(R1368="","",IFERROR(TODAY()+VLOOKUP(R1368,REGRAS!$B$2:$C$13,2,0),""))</f>
        <v/>
      </c>
    </row>
    <row r="1369">
      <c r="T1369" s="47">
        <f>IF(R1369="","",IFERROR(TODAY()+VLOOKUP(R1369,REGRAS!$B$2:$C$13,2,0),""))</f>
        <v/>
      </c>
    </row>
    <row r="1370">
      <c r="T1370" s="47">
        <f>IF(R1370="","",IFERROR(TODAY()+VLOOKUP(R1370,REGRAS!$B$2:$C$13,2,0),""))</f>
        <v/>
      </c>
    </row>
    <row r="1371">
      <c r="T1371" s="47">
        <f>IF(R1371="","",IFERROR(TODAY()+VLOOKUP(R1371,REGRAS!$B$2:$C$13,2,0),""))</f>
        <v/>
      </c>
    </row>
    <row r="1372">
      <c r="T1372" s="47">
        <f>IF(R1372="","",IFERROR(TODAY()+VLOOKUP(R1372,REGRAS!$B$2:$C$13,2,0),""))</f>
        <v/>
      </c>
    </row>
    <row r="1373">
      <c r="T1373" s="47">
        <f>IF(R1373="","",IFERROR(TODAY()+VLOOKUP(R1373,REGRAS!$B$2:$C$13,2,0),""))</f>
        <v/>
      </c>
    </row>
    <row r="1374">
      <c r="T1374" s="47">
        <f>IF(R1374="","",IFERROR(TODAY()+VLOOKUP(R1374,REGRAS!$B$2:$C$13,2,0),""))</f>
        <v/>
      </c>
    </row>
    <row r="1375">
      <c r="T1375" s="47">
        <f>IF(R1375="","",IFERROR(TODAY()+VLOOKUP(R1375,REGRAS!$B$2:$C$13,2,0),""))</f>
        <v/>
      </c>
    </row>
    <row r="1376">
      <c r="T1376" s="47">
        <f>IF(R1376="","",IFERROR(TODAY()+VLOOKUP(R1376,REGRAS!$B$2:$C$13,2,0),""))</f>
        <v/>
      </c>
    </row>
    <row r="1377">
      <c r="T1377" s="47">
        <f>IF(R1377="","",IFERROR(TODAY()+VLOOKUP(R1377,REGRAS!$B$2:$C$13,2,0),""))</f>
        <v/>
      </c>
    </row>
    <row r="1378">
      <c r="T1378" s="47">
        <f>IF(R1378="","",IFERROR(TODAY()+VLOOKUP(R1378,REGRAS!$B$2:$C$13,2,0),""))</f>
        <v/>
      </c>
    </row>
    <row r="1379">
      <c r="T1379" s="47">
        <f>IF(R1379="","",IFERROR(TODAY()+VLOOKUP(R1379,REGRAS!$B$2:$C$13,2,0),""))</f>
        <v/>
      </c>
    </row>
    <row r="1380">
      <c r="T1380" s="47">
        <f>IF(R1380="","",IFERROR(TODAY()+VLOOKUP(R1380,REGRAS!$B$2:$C$13,2,0),""))</f>
        <v/>
      </c>
    </row>
    <row r="1381">
      <c r="T1381" s="47">
        <f>IF(R1381="","",IFERROR(TODAY()+VLOOKUP(R1381,REGRAS!$B$2:$C$13,2,0),""))</f>
        <v/>
      </c>
    </row>
    <row r="1382">
      <c r="T1382" s="47">
        <f>IF(R1382="","",IFERROR(TODAY()+VLOOKUP(R1382,REGRAS!$B$2:$C$13,2,0),""))</f>
        <v/>
      </c>
    </row>
    <row r="1383">
      <c r="T1383" s="47">
        <f>IF(R1383="","",IFERROR(TODAY()+VLOOKUP(R1383,REGRAS!$B$2:$C$13,2,0),""))</f>
        <v/>
      </c>
    </row>
    <row r="1384">
      <c r="T1384" s="47">
        <f>IF(R1384="","",IFERROR(TODAY()+VLOOKUP(R1384,REGRAS!$B$2:$C$13,2,0),""))</f>
        <v/>
      </c>
    </row>
    <row r="1385">
      <c r="T1385" s="47">
        <f>IF(R1385="","",IFERROR(TODAY()+VLOOKUP(R1385,REGRAS!$B$2:$C$13,2,0),""))</f>
        <v/>
      </c>
    </row>
    <row r="1386">
      <c r="T1386" s="47">
        <f>IF(R1386="","",IFERROR(TODAY()+VLOOKUP(R1386,REGRAS!$B$2:$C$13,2,0),""))</f>
        <v/>
      </c>
    </row>
    <row r="1387">
      <c r="T1387" s="47">
        <f>IF(R1387="","",IFERROR(TODAY()+VLOOKUP(R1387,REGRAS!$B$2:$C$13,2,0),""))</f>
        <v/>
      </c>
    </row>
    <row r="1388">
      <c r="T1388" s="47">
        <f>IF(R1388="","",IFERROR(TODAY()+VLOOKUP(R1388,REGRAS!$B$2:$C$13,2,0),""))</f>
        <v/>
      </c>
    </row>
    <row r="1389">
      <c r="T1389" s="47">
        <f>IF(R1389="","",IFERROR(TODAY()+VLOOKUP(R1389,REGRAS!$B$2:$C$13,2,0),""))</f>
        <v/>
      </c>
    </row>
    <row r="1390">
      <c r="T1390" s="47">
        <f>IF(R1390="","",IFERROR(TODAY()+VLOOKUP(R1390,REGRAS!$B$2:$C$13,2,0),""))</f>
        <v/>
      </c>
    </row>
    <row r="1391">
      <c r="T1391" s="47">
        <f>IF(R1391="","",IFERROR(TODAY()+VLOOKUP(R1391,REGRAS!$B$2:$C$13,2,0),""))</f>
        <v/>
      </c>
    </row>
    <row r="1392">
      <c r="T1392" s="47">
        <f>IF(R1392="","",IFERROR(TODAY()+VLOOKUP(R1392,REGRAS!$B$2:$C$13,2,0),""))</f>
        <v/>
      </c>
    </row>
    <row r="1393">
      <c r="T1393" s="47">
        <f>IF(R1393="","",IFERROR(TODAY()+VLOOKUP(R1393,REGRAS!$B$2:$C$13,2,0),""))</f>
        <v/>
      </c>
    </row>
    <row r="1394">
      <c r="T1394" s="47">
        <f>IF(R1394="","",IFERROR(TODAY()+VLOOKUP(R1394,REGRAS!$B$2:$C$13,2,0),""))</f>
        <v/>
      </c>
    </row>
    <row r="1395">
      <c r="T1395" s="47">
        <f>IF(R1395="","",IFERROR(TODAY()+VLOOKUP(R1395,REGRAS!$B$2:$C$13,2,0),""))</f>
        <v/>
      </c>
    </row>
    <row r="1396">
      <c r="T1396" s="47">
        <f>IF(R1396="","",IFERROR(TODAY()+VLOOKUP(R1396,REGRAS!$B$2:$C$13,2,0),""))</f>
        <v/>
      </c>
    </row>
    <row r="1397">
      <c r="T1397" s="47">
        <f>IF(R1397="","",IFERROR(TODAY()+VLOOKUP(R1397,REGRAS!$B$2:$C$13,2,0),""))</f>
        <v/>
      </c>
    </row>
    <row r="1398">
      <c r="T1398" s="47">
        <f>IF(R1398="","",IFERROR(TODAY()+VLOOKUP(R1398,REGRAS!$B$2:$C$13,2,0),""))</f>
        <v/>
      </c>
    </row>
    <row r="1399">
      <c r="T1399" s="47">
        <f>IF(R1399="","",IFERROR(TODAY()+VLOOKUP(R1399,REGRAS!$B$2:$C$13,2,0),""))</f>
        <v/>
      </c>
    </row>
    <row r="1400">
      <c r="T1400" s="47">
        <f>IF(R1400="","",IFERROR(TODAY()+VLOOKUP(R1400,REGRAS!$B$2:$C$13,2,0),""))</f>
        <v/>
      </c>
    </row>
    <row r="1401">
      <c r="T1401" s="47">
        <f>IF(R1401="","",IFERROR(TODAY()+VLOOKUP(R1401,REGRAS!$B$2:$C$13,2,0),""))</f>
        <v/>
      </c>
    </row>
    <row r="1402">
      <c r="T1402" s="47">
        <f>IF(R1402="","",IFERROR(TODAY()+VLOOKUP(R1402,REGRAS!$B$2:$C$13,2,0),""))</f>
        <v/>
      </c>
    </row>
    <row r="1403">
      <c r="T1403" s="47">
        <f>IF(R1403="","",IFERROR(TODAY()+VLOOKUP(R1403,REGRAS!$B$2:$C$13,2,0),""))</f>
        <v/>
      </c>
    </row>
    <row r="1404">
      <c r="T1404" s="47">
        <f>IF(R1404="","",IFERROR(TODAY()+VLOOKUP(R1404,REGRAS!$B$2:$C$13,2,0),""))</f>
        <v/>
      </c>
    </row>
    <row r="1405">
      <c r="T1405" s="47">
        <f>IF(R1405="","",IFERROR(TODAY()+VLOOKUP(R1405,REGRAS!$B$2:$C$13,2,0),""))</f>
        <v/>
      </c>
    </row>
    <row r="1406">
      <c r="T1406" s="47">
        <f>IF(R1406="","",IFERROR(TODAY()+VLOOKUP(R1406,REGRAS!$B$2:$C$13,2,0),""))</f>
        <v/>
      </c>
    </row>
    <row r="1407">
      <c r="T1407" s="47">
        <f>IF(R1407="","",IFERROR(TODAY()+VLOOKUP(R1407,REGRAS!$B$2:$C$13,2,0),""))</f>
        <v/>
      </c>
    </row>
    <row r="1408">
      <c r="T1408" s="47">
        <f>IF(R1408="","",IFERROR(TODAY()+VLOOKUP(R1408,REGRAS!$B$2:$C$13,2,0),""))</f>
        <v/>
      </c>
    </row>
    <row r="1409">
      <c r="T1409" s="47">
        <f>IF(R1409="","",IFERROR(TODAY()+VLOOKUP(R1409,REGRAS!$B$2:$C$13,2,0),""))</f>
        <v/>
      </c>
    </row>
    <row r="1410">
      <c r="T1410" s="47">
        <f>IF(R1410="","",IFERROR(TODAY()+VLOOKUP(R1410,REGRAS!$B$2:$C$13,2,0),""))</f>
        <v/>
      </c>
    </row>
    <row r="1411">
      <c r="T1411" s="47">
        <f>IF(R1411="","",IFERROR(TODAY()+VLOOKUP(R1411,REGRAS!$B$2:$C$13,2,0),""))</f>
        <v/>
      </c>
    </row>
    <row r="1412">
      <c r="T1412" s="47">
        <f>IF(R1412="","",IFERROR(TODAY()+VLOOKUP(R1412,REGRAS!$B$2:$C$13,2,0),""))</f>
        <v/>
      </c>
    </row>
    <row r="1413">
      <c r="T1413" s="47">
        <f>IF(R1413="","",IFERROR(TODAY()+VLOOKUP(R1413,REGRAS!$B$2:$C$13,2,0),""))</f>
        <v/>
      </c>
    </row>
    <row r="1414">
      <c r="T1414" s="47">
        <f>IF(R1414="","",IFERROR(TODAY()+VLOOKUP(R1414,REGRAS!$B$2:$C$13,2,0),""))</f>
        <v/>
      </c>
    </row>
    <row r="1415">
      <c r="T1415" s="47">
        <f>IF(R1415="","",IFERROR(TODAY()+VLOOKUP(R1415,REGRAS!$B$2:$C$13,2,0),""))</f>
        <v/>
      </c>
    </row>
    <row r="1416">
      <c r="T1416" s="47">
        <f>IF(R1416="","",IFERROR(TODAY()+VLOOKUP(R1416,REGRAS!$B$2:$C$13,2,0),""))</f>
        <v/>
      </c>
    </row>
    <row r="1417">
      <c r="T1417" s="47">
        <f>IF(R1417="","",IFERROR(TODAY()+VLOOKUP(R1417,REGRAS!$B$2:$C$13,2,0),""))</f>
        <v/>
      </c>
    </row>
    <row r="1418">
      <c r="T1418" s="47">
        <f>IF(R1418="","",IFERROR(TODAY()+VLOOKUP(R1418,REGRAS!$B$2:$C$13,2,0),""))</f>
        <v/>
      </c>
    </row>
    <row r="1419">
      <c r="T1419" s="47">
        <f>IF(R1419="","",IFERROR(TODAY()+VLOOKUP(R1419,REGRAS!$B$2:$C$13,2,0),""))</f>
        <v/>
      </c>
    </row>
    <row r="1420">
      <c r="T1420" s="47">
        <f>IF(R1420="","",IFERROR(TODAY()+VLOOKUP(R1420,REGRAS!$B$2:$C$13,2,0),""))</f>
        <v/>
      </c>
    </row>
    <row r="1421">
      <c r="T1421" s="47">
        <f>IF(R1421="","",IFERROR(TODAY()+VLOOKUP(R1421,REGRAS!$B$2:$C$13,2,0),""))</f>
        <v/>
      </c>
    </row>
    <row r="1422">
      <c r="T1422" s="47">
        <f>IF(R1422="","",IFERROR(TODAY()+VLOOKUP(R1422,REGRAS!$B$2:$C$13,2,0),""))</f>
        <v/>
      </c>
    </row>
    <row r="1423">
      <c r="T1423" s="47">
        <f>IF(R1423="","",IFERROR(TODAY()+VLOOKUP(R1423,REGRAS!$B$2:$C$13,2,0),""))</f>
        <v/>
      </c>
    </row>
    <row r="1424">
      <c r="T1424" s="47">
        <f>IF(R1424="","",IFERROR(TODAY()+VLOOKUP(R1424,REGRAS!$B$2:$C$13,2,0),""))</f>
        <v/>
      </c>
    </row>
    <row r="1425">
      <c r="T1425" s="47">
        <f>IF(R1425="","",IFERROR(TODAY()+VLOOKUP(R1425,REGRAS!$B$2:$C$13,2,0),""))</f>
        <v/>
      </c>
    </row>
    <row r="1426">
      <c r="T1426" s="47">
        <f>IF(R1426="","",IFERROR(TODAY()+VLOOKUP(R1426,REGRAS!$B$2:$C$13,2,0),""))</f>
        <v/>
      </c>
    </row>
    <row r="1427">
      <c r="T1427" s="47">
        <f>IF(R1427="","",IFERROR(TODAY()+VLOOKUP(R1427,REGRAS!$B$2:$C$13,2,0),""))</f>
        <v/>
      </c>
    </row>
    <row r="1428">
      <c r="T1428" s="47">
        <f>IF(R1428="","",IFERROR(TODAY()+VLOOKUP(R1428,REGRAS!$B$2:$C$13,2,0),""))</f>
        <v/>
      </c>
    </row>
    <row r="1429">
      <c r="T1429" s="47">
        <f>IF(R1429="","",IFERROR(TODAY()+VLOOKUP(R1429,REGRAS!$B$2:$C$13,2,0),""))</f>
        <v/>
      </c>
    </row>
    <row r="1430">
      <c r="T1430" s="47">
        <f>IF(R1430="","",IFERROR(TODAY()+VLOOKUP(R1430,REGRAS!$B$2:$C$13,2,0),""))</f>
        <v/>
      </c>
    </row>
    <row r="1431">
      <c r="T1431" s="47">
        <f>IF(R1431="","",IFERROR(TODAY()+VLOOKUP(R1431,REGRAS!$B$2:$C$13,2,0),""))</f>
        <v/>
      </c>
    </row>
    <row r="1432">
      <c r="T1432" s="47">
        <f>IF(R1432="","",IFERROR(TODAY()+VLOOKUP(R1432,REGRAS!$B$2:$C$13,2,0),""))</f>
        <v/>
      </c>
    </row>
    <row r="1433">
      <c r="T1433" s="47">
        <f>IF(R1433="","",IFERROR(TODAY()+VLOOKUP(R1433,REGRAS!$B$2:$C$13,2,0),""))</f>
        <v/>
      </c>
    </row>
    <row r="1434">
      <c r="T1434" s="47">
        <f>IF(R1434="","",IFERROR(TODAY()+VLOOKUP(R1434,REGRAS!$B$2:$C$13,2,0),""))</f>
        <v/>
      </c>
    </row>
    <row r="1435">
      <c r="T1435" s="47">
        <f>IF(R1435="","",IFERROR(TODAY()+VLOOKUP(R1435,REGRAS!$B$2:$C$13,2,0),""))</f>
        <v/>
      </c>
    </row>
    <row r="1436">
      <c r="T1436" s="47">
        <f>IF(R1436="","",IFERROR(TODAY()+VLOOKUP(R1436,REGRAS!$B$2:$C$13,2,0),""))</f>
        <v/>
      </c>
    </row>
    <row r="1437">
      <c r="T1437" s="47">
        <f>IF(R1437="","",IFERROR(TODAY()+VLOOKUP(R1437,REGRAS!$B$2:$C$13,2,0),""))</f>
        <v/>
      </c>
    </row>
    <row r="1438">
      <c r="T1438" s="47">
        <f>IF(R1438="","",IFERROR(TODAY()+VLOOKUP(R1438,REGRAS!$B$2:$C$13,2,0),""))</f>
        <v/>
      </c>
    </row>
    <row r="1439">
      <c r="T1439" s="47">
        <f>IF(R1439="","",IFERROR(TODAY()+VLOOKUP(R1439,REGRAS!$B$2:$C$13,2,0),""))</f>
        <v/>
      </c>
    </row>
    <row r="1440">
      <c r="T1440" s="47">
        <f>IF(R1440="","",IFERROR(TODAY()+VLOOKUP(R1440,REGRAS!$B$2:$C$13,2,0),""))</f>
        <v/>
      </c>
    </row>
    <row r="1441">
      <c r="T1441" s="47">
        <f>IF(R1441="","",IFERROR(TODAY()+VLOOKUP(R1441,REGRAS!$B$2:$C$13,2,0),""))</f>
        <v/>
      </c>
    </row>
    <row r="1442">
      <c r="T1442" s="47">
        <f>IF(R1442="","",IFERROR(TODAY()+VLOOKUP(R1442,REGRAS!$B$2:$C$13,2,0),""))</f>
        <v/>
      </c>
    </row>
    <row r="1443">
      <c r="T1443" s="47">
        <f>IF(R1443="","",IFERROR(TODAY()+VLOOKUP(R1443,REGRAS!$B$2:$C$13,2,0),""))</f>
        <v/>
      </c>
    </row>
    <row r="1444">
      <c r="T1444" s="47">
        <f>IF(R1444="","",IFERROR(TODAY()+VLOOKUP(R1444,REGRAS!$B$2:$C$13,2,0),""))</f>
        <v/>
      </c>
    </row>
    <row r="1445">
      <c r="T1445" s="47">
        <f>IF(R1445="","",IFERROR(TODAY()+VLOOKUP(R1445,REGRAS!$B$2:$C$13,2,0),""))</f>
        <v/>
      </c>
    </row>
    <row r="1446">
      <c r="T1446" s="47">
        <f>IF(R1446="","",IFERROR(TODAY()+VLOOKUP(R1446,REGRAS!$B$2:$C$13,2,0),""))</f>
        <v/>
      </c>
    </row>
    <row r="1447">
      <c r="T1447" s="47">
        <f>IF(R1447="","",IFERROR(TODAY()+VLOOKUP(R1447,REGRAS!$B$2:$C$13,2,0),""))</f>
        <v/>
      </c>
    </row>
    <row r="1448">
      <c r="T1448" s="47">
        <f>IF(R1448="","",IFERROR(TODAY()+VLOOKUP(R1448,REGRAS!$B$2:$C$13,2,0),""))</f>
        <v/>
      </c>
    </row>
    <row r="1449">
      <c r="T1449" s="47">
        <f>IF(R1449="","",IFERROR(TODAY()+VLOOKUP(R1449,REGRAS!$B$2:$C$13,2,0),""))</f>
        <v/>
      </c>
    </row>
    <row r="1450">
      <c r="T1450" s="47">
        <f>IF(R1450="","",IFERROR(TODAY()+VLOOKUP(R1450,REGRAS!$B$2:$C$13,2,0),""))</f>
        <v/>
      </c>
    </row>
    <row r="1451">
      <c r="T1451" s="47">
        <f>IF(R1451="","",IFERROR(TODAY()+VLOOKUP(R1451,REGRAS!$B$2:$C$13,2,0),""))</f>
        <v/>
      </c>
    </row>
    <row r="1452">
      <c r="T1452" s="47">
        <f>IF(R1452="","",IFERROR(TODAY()+VLOOKUP(R1452,REGRAS!$B$2:$C$13,2,0),""))</f>
        <v/>
      </c>
    </row>
    <row r="1453">
      <c r="T1453" s="47">
        <f>IF(R1453="","",IFERROR(TODAY()+VLOOKUP(R1453,REGRAS!$B$2:$C$13,2,0),""))</f>
        <v/>
      </c>
    </row>
    <row r="1454">
      <c r="T1454" s="47">
        <f>IF(R1454="","",IFERROR(TODAY()+VLOOKUP(R1454,REGRAS!$B$2:$C$13,2,0),""))</f>
        <v/>
      </c>
    </row>
    <row r="1455">
      <c r="T1455" s="47">
        <f>IF(R1455="","",IFERROR(TODAY()+VLOOKUP(R1455,REGRAS!$B$2:$C$13,2,0),""))</f>
        <v/>
      </c>
    </row>
    <row r="1456">
      <c r="T1456" s="47">
        <f>IF(R1456="","",IFERROR(TODAY()+VLOOKUP(R1456,REGRAS!$B$2:$C$13,2,0),""))</f>
        <v/>
      </c>
    </row>
    <row r="1457">
      <c r="T1457" s="47">
        <f>IF(R1457="","",IFERROR(TODAY()+VLOOKUP(R1457,REGRAS!$B$2:$C$13,2,0),""))</f>
        <v/>
      </c>
    </row>
    <row r="1458">
      <c r="T1458" s="47">
        <f>IF(R1458="","",IFERROR(TODAY()+VLOOKUP(R1458,REGRAS!$B$2:$C$13,2,0),""))</f>
        <v/>
      </c>
    </row>
    <row r="1459">
      <c r="T1459" s="47">
        <f>IF(R1459="","",IFERROR(TODAY()+VLOOKUP(R1459,REGRAS!$B$2:$C$13,2,0),""))</f>
        <v/>
      </c>
    </row>
    <row r="1460">
      <c r="T1460" s="47">
        <f>IF(R1460="","",IFERROR(TODAY()+VLOOKUP(R1460,REGRAS!$B$2:$C$13,2,0),""))</f>
        <v/>
      </c>
    </row>
    <row r="1461">
      <c r="T1461" s="47">
        <f>IF(R1461="","",IFERROR(TODAY()+VLOOKUP(R1461,REGRAS!$B$2:$C$13,2,0),""))</f>
        <v/>
      </c>
    </row>
    <row r="1462">
      <c r="T1462" s="47">
        <f>IF(R1462="","",IFERROR(TODAY()+VLOOKUP(R1462,REGRAS!$B$2:$C$13,2,0),""))</f>
        <v/>
      </c>
    </row>
    <row r="1463">
      <c r="T1463" s="47">
        <f>IF(R1463="","",IFERROR(TODAY()+VLOOKUP(R1463,REGRAS!$B$2:$C$13,2,0),""))</f>
        <v/>
      </c>
    </row>
    <row r="1464">
      <c r="T1464" s="47">
        <f>IF(R1464="","",IFERROR(TODAY()+VLOOKUP(R1464,REGRAS!$B$2:$C$13,2,0),""))</f>
        <v/>
      </c>
    </row>
    <row r="1465">
      <c r="T1465" s="47">
        <f>IF(R1465="","",IFERROR(TODAY()+VLOOKUP(R1465,REGRAS!$B$2:$C$13,2,0),""))</f>
        <v/>
      </c>
    </row>
    <row r="1466">
      <c r="T1466" s="47">
        <f>IF(R1466="","",IFERROR(TODAY()+VLOOKUP(R1466,REGRAS!$B$2:$C$13,2,0),""))</f>
        <v/>
      </c>
    </row>
    <row r="1467">
      <c r="T1467" s="47">
        <f>IF(R1467="","",IFERROR(TODAY()+VLOOKUP(R1467,REGRAS!$B$2:$C$13,2,0),""))</f>
        <v/>
      </c>
    </row>
    <row r="1468">
      <c r="T1468" s="47">
        <f>IF(R1468="","",IFERROR(TODAY()+VLOOKUP(R1468,REGRAS!$B$2:$C$13,2,0),""))</f>
        <v/>
      </c>
    </row>
    <row r="1469">
      <c r="T1469" s="47">
        <f>IF(R1469="","",IFERROR(TODAY()+VLOOKUP(R1469,REGRAS!$B$2:$C$13,2,0),""))</f>
        <v/>
      </c>
    </row>
    <row r="1470">
      <c r="T1470" s="47">
        <f>IF(R1470="","",IFERROR(TODAY()+VLOOKUP(R1470,REGRAS!$B$2:$C$13,2,0),""))</f>
        <v/>
      </c>
    </row>
    <row r="1471">
      <c r="T1471" s="47">
        <f>IF(R1471="","",IFERROR(TODAY()+VLOOKUP(R1471,REGRAS!$B$2:$C$13,2,0),""))</f>
        <v/>
      </c>
    </row>
    <row r="1472">
      <c r="T1472" s="47">
        <f>IF(R1472="","",IFERROR(TODAY()+VLOOKUP(R1472,REGRAS!$B$2:$C$13,2,0),""))</f>
        <v/>
      </c>
    </row>
    <row r="1473">
      <c r="T1473" s="47">
        <f>IF(R1473="","",IFERROR(TODAY()+VLOOKUP(R1473,REGRAS!$B$2:$C$13,2,0),""))</f>
        <v/>
      </c>
    </row>
    <row r="1474">
      <c r="T1474" s="47">
        <f>IF(R1474="","",IFERROR(TODAY()+VLOOKUP(R1474,REGRAS!$B$2:$C$13,2,0),""))</f>
        <v/>
      </c>
    </row>
    <row r="1475">
      <c r="T1475" s="47">
        <f>IF(R1475="","",IFERROR(TODAY()+VLOOKUP(R1475,REGRAS!$B$2:$C$13,2,0),""))</f>
        <v/>
      </c>
    </row>
    <row r="1476">
      <c r="T1476" s="47">
        <f>IF(R1476="","",IFERROR(TODAY()+VLOOKUP(R1476,REGRAS!$B$2:$C$13,2,0),""))</f>
        <v/>
      </c>
    </row>
    <row r="1477">
      <c r="T1477" s="47">
        <f>IF(R1477="","",IFERROR(TODAY()+VLOOKUP(R1477,REGRAS!$B$2:$C$13,2,0),""))</f>
        <v/>
      </c>
    </row>
    <row r="1478">
      <c r="T1478" s="47">
        <f>IF(R1478="","",IFERROR(TODAY()+VLOOKUP(R1478,REGRAS!$B$2:$C$13,2,0),""))</f>
        <v/>
      </c>
    </row>
    <row r="1479">
      <c r="T1479" s="47">
        <f>IF(R1479="","",IFERROR(TODAY()+VLOOKUP(R1479,REGRAS!$B$2:$C$13,2,0),""))</f>
        <v/>
      </c>
    </row>
    <row r="1480">
      <c r="T1480" s="47">
        <f>IF(R1480="","",IFERROR(TODAY()+VLOOKUP(R1480,REGRAS!$B$2:$C$13,2,0),""))</f>
        <v/>
      </c>
    </row>
    <row r="1481">
      <c r="T1481" s="47">
        <f>IF(R1481="","",IFERROR(TODAY()+VLOOKUP(R1481,REGRAS!$B$2:$C$13,2,0),""))</f>
        <v/>
      </c>
    </row>
    <row r="1482">
      <c r="T1482" s="47">
        <f>IF(R1482="","",IFERROR(TODAY()+VLOOKUP(R1482,REGRAS!$B$2:$C$13,2,0),""))</f>
        <v/>
      </c>
    </row>
    <row r="1483">
      <c r="T1483" s="47">
        <f>IF(R1483="","",IFERROR(TODAY()+VLOOKUP(R1483,REGRAS!$B$2:$C$13,2,0),""))</f>
        <v/>
      </c>
    </row>
    <row r="1484">
      <c r="T1484" s="47">
        <f>IF(R1484="","",IFERROR(TODAY()+VLOOKUP(R1484,REGRAS!$B$2:$C$13,2,0),""))</f>
        <v/>
      </c>
    </row>
    <row r="1485">
      <c r="T1485" s="47">
        <f>IF(R1485="","",IFERROR(TODAY()+VLOOKUP(R1485,REGRAS!$B$2:$C$13,2,0),""))</f>
        <v/>
      </c>
    </row>
    <row r="1486">
      <c r="T1486" s="47">
        <f>IF(R1486="","",IFERROR(TODAY()+VLOOKUP(R1486,REGRAS!$B$2:$C$13,2,0),""))</f>
        <v/>
      </c>
    </row>
    <row r="1487">
      <c r="T1487" s="47">
        <f>IF(R1487="","",IFERROR(TODAY()+VLOOKUP(R1487,REGRAS!$B$2:$C$13,2,0),""))</f>
        <v/>
      </c>
    </row>
    <row r="1488">
      <c r="T1488" s="47">
        <f>IF(R1488="","",IFERROR(TODAY()+VLOOKUP(R1488,REGRAS!$B$2:$C$13,2,0),""))</f>
        <v/>
      </c>
    </row>
    <row r="1489">
      <c r="T1489" s="47">
        <f>IF(R1489="","",IFERROR(TODAY()+VLOOKUP(R1489,REGRAS!$B$2:$C$13,2,0),""))</f>
        <v/>
      </c>
    </row>
    <row r="1490">
      <c r="T1490" s="47">
        <f>IF(R1490="","",IFERROR(TODAY()+VLOOKUP(R1490,REGRAS!$B$2:$C$13,2,0),""))</f>
        <v/>
      </c>
    </row>
    <row r="1491">
      <c r="T1491" s="47">
        <f>IF(R1491="","",IFERROR(TODAY()+VLOOKUP(R1491,REGRAS!$B$2:$C$13,2,0),""))</f>
        <v/>
      </c>
    </row>
    <row r="1492">
      <c r="T1492" s="47">
        <f>IF(R1492="","",IFERROR(TODAY()+VLOOKUP(R1492,REGRAS!$B$2:$C$13,2,0),""))</f>
        <v/>
      </c>
    </row>
    <row r="1493">
      <c r="T1493" s="47">
        <f>IF(R1493="","",IFERROR(TODAY()+VLOOKUP(R1493,REGRAS!$B$2:$C$13,2,0),""))</f>
        <v/>
      </c>
    </row>
    <row r="1494">
      <c r="T1494" s="47">
        <f>IF(R1494="","",IFERROR(TODAY()+VLOOKUP(R1494,REGRAS!$B$2:$C$13,2,0),""))</f>
        <v/>
      </c>
    </row>
    <row r="1495">
      <c r="T1495" s="47">
        <f>IF(R1495="","",IFERROR(TODAY()+VLOOKUP(R1495,REGRAS!$B$2:$C$13,2,0),""))</f>
        <v/>
      </c>
    </row>
    <row r="1496">
      <c r="T1496" s="47">
        <f>IF(R1496="","",IFERROR(TODAY()+VLOOKUP(R1496,REGRAS!$B$2:$C$13,2,0),""))</f>
        <v/>
      </c>
    </row>
    <row r="1497">
      <c r="T1497" s="47">
        <f>IF(R1497="","",IFERROR(TODAY()+VLOOKUP(R1497,REGRAS!$B$2:$C$13,2,0),""))</f>
        <v/>
      </c>
    </row>
    <row r="1498">
      <c r="T1498" s="47">
        <f>IF(R1498="","",IFERROR(TODAY()+VLOOKUP(R1498,REGRAS!$B$2:$C$13,2,0),""))</f>
        <v/>
      </c>
    </row>
    <row r="1499">
      <c r="T1499" s="47">
        <f>IF(R1499="","",IFERROR(TODAY()+VLOOKUP(R1499,REGRAS!$B$2:$C$13,2,0),""))</f>
        <v/>
      </c>
    </row>
    <row r="1500">
      <c r="T1500" s="47">
        <f>IF(R1500="","",IFERROR(TODAY()+VLOOKUP(R1500,REGRAS!$B$2:$C$13,2,0),""))</f>
        <v/>
      </c>
    </row>
    <row r="1501">
      <c r="T1501" s="47">
        <f>IF(R1501="","",IFERROR(TODAY()+VLOOKUP(R1501,REGRAS!$B$2:$C$13,2,0),""))</f>
        <v/>
      </c>
    </row>
    <row r="1502">
      <c r="T1502" s="47">
        <f>IF(R1502="","",IFERROR(TODAY()+VLOOKUP(R1502,REGRAS!$B$2:$C$13,2,0),""))</f>
        <v/>
      </c>
    </row>
    <row r="1503">
      <c r="T1503" s="47">
        <f>IF(R1503="","",IFERROR(TODAY()+VLOOKUP(R1503,REGRAS!$B$2:$C$13,2,0),""))</f>
        <v/>
      </c>
    </row>
    <row r="1504">
      <c r="T1504" s="47">
        <f>IF(R1504="","",IFERROR(TODAY()+VLOOKUP(R1504,REGRAS!$B$2:$C$13,2,0),""))</f>
        <v/>
      </c>
    </row>
    <row r="1505">
      <c r="T1505" s="47">
        <f>IF(R1505="","",IFERROR(TODAY()+VLOOKUP(R1505,REGRAS!$B$2:$C$13,2,0),""))</f>
        <v/>
      </c>
    </row>
    <row r="1506">
      <c r="T1506" s="47">
        <f>IF(R1506="","",IFERROR(TODAY()+VLOOKUP(R1506,REGRAS!$B$2:$C$13,2,0),""))</f>
        <v/>
      </c>
    </row>
    <row r="1507">
      <c r="T1507" s="47">
        <f>IF(R1507="","",IFERROR(TODAY()+VLOOKUP(R1507,REGRAS!$B$2:$C$13,2,0),""))</f>
        <v/>
      </c>
    </row>
    <row r="1508">
      <c r="T1508" s="47">
        <f>IF(R1508="","",IFERROR(TODAY()+VLOOKUP(R1508,REGRAS!$B$2:$C$13,2,0),""))</f>
        <v/>
      </c>
    </row>
    <row r="1509">
      <c r="T1509" s="47">
        <f>IF(R1509="","",IFERROR(TODAY()+VLOOKUP(R1509,REGRAS!$B$2:$C$13,2,0),""))</f>
        <v/>
      </c>
    </row>
    <row r="1510">
      <c r="T1510" s="47">
        <f>IF(R1510="","",IFERROR(TODAY()+VLOOKUP(R1510,REGRAS!$B$2:$C$13,2,0),""))</f>
        <v/>
      </c>
    </row>
    <row r="1511">
      <c r="T1511" s="47">
        <f>IF(R1511="","",IFERROR(TODAY()+VLOOKUP(R1511,REGRAS!$B$2:$C$13,2,0),""))</f>
        <v/>
      </c>
    </row>
    <row r="1512">
      <c r="T1512" s="47">
        <f>IF(R1512="","",IFERROR(TODAY()+VLOOKUP(R1512,REGRAS!$B$2:$C$13,2,0),""))</f>
        <v/>
      </c>
    </row>
    <row r="1513">
      <c r="T1513" s="47">
        <f>IF(R1513="","",IFERROR(TODAY()+VLOOKUP(R1513,REGRAS!$B$2:$C$13,2,0),""))</f>
        <v/>
      </c>
    </row>
    <row r="1514">
      <c r="T1514" s="47">
        <f>IF(R1514="","",IFERROR(TODAY()+VLOOKUP(R1514,REGRAS!$B$2:$C$13,2,0),""))</f>
        <v/>
      </c>
    </row>
    <row r="1515">
      <c r="T1515" s="47">
        <f>IF(R1515="","",IFERROR(TODAY()+VLOOKUP(R1515,REGRAS!$B$2:$C$13,2,0),""))</f>
        <v/>
      </c>
    </row>
    <row r="1516">
      <c r="T1516" s="47">
        <f>IF(R1516="","",IFERROR(TODAY()+VLOOKUP(R1516,REGRAS!$B$2:$C$13,2,0),""))</f>
        <v/>
      </c>
    </row>
    <row r="1517">
      <c r="T1517" s="47">
        <f>IF(R1517="","",IFERROR(TODAY()+VLOOKUP(R1517,REGRAS!$B$2:$C$13,2,0),""))</f>
        <v/>
      </c>
    </row>
    <row r="1518">
      <c r="T1518" s="47">
        <f>IF(R1518="","",IFERROR(TODAY()+VLOOKUP(R1518,REGRAS!$B$2:$C$13,2,0),""))</f>
        <v/>
      </c>
    </row>
    <row r="1519">
      <c r="T1519" s="47">
        <f>IF(R1519="","",IFERROR(TODAY()+VLOOKUP(R1519,REGRAS!$B$2:$C$13,2,0),""))</f>
        <v/>
      </c>
    </row>
    <row r="1520">
      <c r="T1520" s="47">
        <f>IF(R1520="","",IFERROR(TODAY()+VLOOKUP(R1520,REGRAS!$B$2:$C$13,2,0),""))</f>
        <v/>
      </c>
    </row>
    <row r="1521">
      <c r="T1521" s="47">
        <f>IF(R1521="","",IFERROR(TODAY()+VLOOKUP(R1521,REGRAS!$B$2:$C$13,2,0),""))</f>
        <v/>
      </c>
    </row>
    <row r="1522">
      <c r="T1522" s="47">
        <f>IF(R1522="","",IFERROR(TODAY()+VLOOKUP(R1522,REGRAS!$B$2:$C$13,2,0),""))</f>
        <v/>
      </c>
    </row>
    <row r="1523">
      <c r="T1523" s="47">
        <f>IF(R1523="","",IFERROR(TODAY()+VLOOKUP(R1523,REGRAS!$B$2:$C$13,2,0),""))</f>
        <v/>
      </c>
    </row>
    <row r="1524">
      <c r="T1524" s="47">
        <f>IF(R1524="","",IFERROR(TODAY()+VLOOKUP(R1524,REGRAS!$B$2:$C$13,2,0),""))</f>
        <v/>
      </c>
    </row>
    <row r="1525">
      <c r="T1525" s="47">
        <f>IF(R1525="","",IFERROR(TODAY()+VLOOKUP(R1525,REGRAS!$B$2:$C$13,2,0),""))</f>
        <v/>
      </c>
    </row>
    <row r="1526">
      <c r="T1526" s="47">
        <f>IF(R1526="","",IFERROR(TODAY()+VLOOKUP(R1526,REGRAS!$B$2:$C$13,2,0),""))</f>
        <v/>
      </c>
    </row>
    <row r="1527">
      <c r="T1527" s="47">
        <f>IF(R1527="","",IFERROR(TODAY()+VLOOKUP(R1527,REGRAS!$B$2:$C$13,2,0),""))</f>
        <v/>
      </c>
    </row>
    <row r="1528">
      <c r="T1528" s="47">
        <f>IF(R1528="","",IFERROR(TODAY()+VLOOKUP(R1528,REGRAS!$B$2:$C$13,2,0),""))</f>
        <v/>
      </c>
    </row>
    <row r="1529">
      <c r="T1529" s="47">
        <f>IF(R1529="","",IFERROR(TODAY()+VLOOKUP(R1529,REGRAS!$B$2:$C$13,2,0),""))</f>
        <v/>
      </c>
    </row>
    <row r="1530">
      <c r="T1530" s="47">
        <f>IF(R1530="","",IFERROR(TODAY()+VLOOKUP(R1530,REGRAS!$B$2:$C$13,2,0),""))</f>
        <v/>
      </c>
    </row>
    <row r="1531">
      <c r="T1531" s="47">
        <f>IF(R1531="","",IFERROR(TODAY()+VLOOKUP(R1531,REGRAS!$B$2:$C$13,2,0),""))</f>
        <v/>
      </c>
    </row>
    <row r="1532">
      <c r="T1532" s="47">
        <f>IF(R1532="","",IFERROR(TODAY()+VLOOKUP(R1532,REGRAS!$B$2:$C$13,2,0),""))</f>
        <v/>
      </c>
    </row>
    <row r="1533">
      <c r="T1533" s="47">
        <f>IF(R1533="","",IFERROR(TODAY()+VLOOKUP(R1533,REGRAS!$B$2:$C$13,2,0),""))</f>
        <v/>
      </c>
    </row>
    <row r="1534">
      <c r="T1534" s="47">
        <f>IF(R1534="","",IFERROR(TODAY()+VLOOKUP(R1534,REGRAS!$B$2:$C$13,2,0),""))</f>
        <v/>
      </c>
    </row>
    <row r="1535">
      <c r="T1535" s="47">
        <f>IF(R1535="","",IFERROR(TODAY()+VLOOKUP(R1535,REGRAS!$B$2:$C$13,2,0),""))</f>
        <v/>
      </c>
    </row>
    <row r="1536">
      <c r="T1536" s="47">
        <f>IF(R1536="","",IFERROR(TODAY()+VLOOKUP(R1536,REGRAS!$B$2:$C$13,2,0),""))</f>
        <v/>
      </c>
    </row>
    <row r="1537">
      <c r="T1537" s="47">
        <f>IF(R1537="","",IFERROR(TODAY()+VLOOKUP(R1537,REGRAS!$B$2:$C$13,2,0),""))</f>
        <v/>
      </c>
    </row>
    <row r="1538">
      <c r="T1538" s="47">
        <f>IF(R1538="","",IFERROR(TODAY()+VLOOKUP(R1538,REGRAS!$B$2:$C$13,2,0),""))</f>
        <v/>
      </c>
    </row>
    <row r="1539">
      <c r="T1539" s="47">
        <f>IF(R1539="","",IFERROR(TODAY()+VLOOKUP(R1539,REGRAS!$B$2:$C$13,2,0),""))</f>
        <v/>
      </c>
    </row>
    <row r="1540">
      <c r="T1540" s="47">
        <f>IF(R1540="","",IFERROR(TODAY()+VLOOKUP(R1540,REGRAS!$B$2:$C$13,2,0),""))</f>
        <v/>
      </c>
    </row>
    <row r="1541">
      <c r="T1541" s="47">
        <f>IF(R1541="","",IFERROR(TODAY()+VLOOKUP(R1541,REGRAS!$B$2:$C$13,2,0),""))</f>
        <v/>
      </c>
    </row>
    <row r="1542">
      <c r="T1542" s="47">
        <f>IF(R1542="","",IFERROR(TODAY()+VLOOKUP(R1542,REGRAS!$B$2:$C$13,2,0),""))</f>
        <v/>
      </c>
    </row>
    <row r="1543">
      <c r="T1543" s="47">
        <f>IF(R1543="","",IFERROR(TODAY()+VLOOKUP(R1543,REGRAS!$B$2:$C$13,2,0),""))</f>
        <v/>
      </c>
    </row>
    <row r="1544">
      <c r="T1544" s="47">
        <f>IF(R1544="","",IFERROR(TODAY()+VLOOKUP(R1544,REGRAS!$B$2:$C$13,2,0),""))</f>
        <v/>
      </c>
    </row>
    <row r="1545">
      <c r="T1545" s="47">
        <f>IF(R1545="","",IFERROR(TODAY()+VLOOKUP(R1545,REGRAS!$B$2:$C$13,2,0),""))</f>
        <v/>
      </c>
    </row>
    <row r="1546">
      <c r="T1546" s="47">
        <f>IF(R1546="","",IFERROR(TODAY()+VLOOKUP(R1546,REGRAS!$B$2:$C$13,2,0),""))</f>
        <v/>
      </c>
    </row>
    <row r="1547">
      <c r="T1547" s="47">
        <f>IF(R1547="","",IFERROR(TODAY()+VLOOKUP(R1547,REGRAS!$B$2:$C$13,2,0),""))</f>
        <v/>
      </c>
    </row>
    <row r="1548">
      <c r="T1548" s="47">
        <f>IF(R1548="","",IFERROR(TODAY()+VLOOKUP(R1548,REGRAS!$B$2:$C$13,2,0),""))</f>
        <v/>
      </c>
    </row>
    <row r="1549">
      <c r="T1549" s="47">
        <f>IF(R1549="","",IFERROR(TODAY()+VLOOKUP(R1549,REGRAS!$B$2:$C$13,2,0),""))</f>
        <v/>
      </c>
    </row>
    <row r="1550">
      <c r="T1550" s="47">
        <f>IF(R1550="","",IFERROR(TODAY()+VLOOKUP(R1550,REGRAS!$B$2:$C$13,2,0),""))</f>
        <v/>
      </c>
    </row>
    <row r="1551">
      <c r="T1551" s="47">
        <f>IF(R1551="","",IFERROR(TODAY()+VLOOKUP(R1551,REGRAS!$B$2:$C$13,2,0),""))</f>
        <v/>
      </c>
    </row>
    <row r="1552">
      <c r="T1552" s="47">
        <f>IF(R1552="","",IFERROR(TODAY()+VLOOKUP(R1552,REGRAS!$B$2:$C$13,2,0),""))</f>
        <v/>
      </c>
    </row>
    <row r="1553">
      <c r="T1553" s="47">
        <f>IF(R1553="","",IFERROR(TODAY()+VLOOKUP(R1553,REGRAS!$B$2:$C$13,2,0),""))</f>
        <v/>
      </c>
    </row>
    <row r="1554">
      <c r="T1554" s="47">
        <f>IF(R1554="","",IFERROR(TODAY()+VLOOKUP(R1554,REGRAS!$B$2:$C$13,2,0),""))</f>
        <v/>
      </c>
    </row>
    <row r="1555">
      <c r="T1555" s="47">
        <f>IF(R1555="","",IFERROR(TODAY()+VLOOKUP(R1555,REGRAS!$B$2:$C$13,2,0),""))</f>
        <v/>
      </c>
    </row>
    <row r="1556">
      <c r="T1556" s="47">
        <f>IF(R1556="","",IFERROR(TODAY()+VLOOKUP(R1556,REGRAS!$B$2:$C$13,2,0),""))</f>
        <v/>
      </c>
    </row>
    <row r="1557">
      <c r="T1557" s="47">
        <f>IF(R1557="","",IFERROR(TODAY()+VLOOKUP(R1557,REGRAS!$B$2:$C$13,2,0),""))</f>
        <v/>
      </c>
    </row>
    <row r="1558">
      <c r="T1558" s="47">
        <f>IF(R1558="","",IFERROR(TODAY()+VLOOKUP(R1558,REGRAS!$B$2:$C$13,2,0),""))</f>
        <v/>
      </c>
    </row>
    <row r="1559">
      <c r="T1559" s="47">
        <f>IF(R1559="","",IFERROR(TODAY()+VLOOKUP(R1559,REGRAS!$B$2:$C$13,2,0),""))</f>
        <v/>
      </c>
    </row>
    <row r="1560">
      <c r="T1560" s="47">
        <f>IF(R1560="","",IFERROR(TODAY()+VLOOKUP(R1560,REGRAS!$B$2:$C$13,2,0),""))</f>
        <v/>
      </c>
    </row>
    <row r="1561">
      <c r="T1561" s="47">
        <f>IF(R1561="","",IFERROR(TODAY()+VLOOKUP(R1561,REGRAS!$B$2:$C$13,2,0),""))</f>
        <v/>
      </c>
    </row>
    <row r="1562">
      <c r="T1562" s="47">
        <f>IF(R1562="","",IFERROR(TODAY()+VLOOKUP(R1562,REGRAS!$B$2:$C$13,2,0),""))</f>
        <v/>
      </c>
    </row>
    <row r="1563">
      <c r="T1563" s="47">
        <f>IF(R1563="","",IFERROR(TODAY()+VLOOKUP(R1563,REGRAS!$B$2:$C$13,2,0),""))</f>
        <v/>
      </c>
    </row>
    <row r="1564">
      <c r="T1564" s="47">
        <f>IF(R1564="","",IFERROR(TODAY()+VLOOKUP(R1564,REGRAS!$B$2:$C$13,2,0),""))</f>
        <v/>
      </c>
    </row>
    <row r="1565">
      <c r="T1565" s="47">
        <f>IF(R1565="","",IFERROR(TODAY()+VLOOKUP(R1565,REGRAS!$B$2:$C$13,2,0),""))</f>
        <v/>
      </c>
    </row>
    <row r="1566">
      <c r="T1566" s="47">
        <f>IF(R1566="","",IFERROR(TODAY()+VLOOKUP(R1566,REGRAS!$B$2:$C$13,2,0),""))</f>
        <v/>
      </c>
    </row>
    <row r="1567">
      <c r="T1567" s="47">
        <f>IF(R1567="","",IFERROR(TODAY()+VLOOKUP(R1567,REGRAS!$B$2:$C$13,2,0),""))</f>
        <v/>
      </c>
    </row>
    <row r="1568">
      <c r="T1568" s="47">
        <f>IF(R1568="","",IFERROR(TODAY()+VLOOKUP(R1568,REGRAS!$B$2:$C$13,2,0),""))</f>
        <v/>
      </c>
    </row>
    <row r="1569">
      <c r="T1569" s="47">
        <f>IF(R1569="","",IFERROR(TODAY()+VLOOKUP(R1569,REGRAS!$B$2:$C$13,2,0),""))</f>
        <v/>
      </c>
    </row>
    <row r="1570">
      <c r="T1570" s="47">
        <f>IF(R1570="","",IFERROR(TODAY()+VLOOKUP(R1570,REGRAS!$B$2:$C$13,2,0),""))</f>
        <v/>
      </c>
    </row>
    <row r="1571">
      <c r="T1571" s="47">
        <f>IF(R1571="","",IFERROR(TODAY()+VLOOKUP(R1571,REGRAS!$B$2:$C$13,2,0),""))</f>
        <v/>
      </c>
    </row>
    <row r="1572">
      <c r="T1572" s="47">
        <f>IF(R1572="","",IFERROR(TODAY()+VLOOKUP(R1572,REGRAS!$B$2:$C$13,2,0),""))</f>
        <v/>
      </c>
    </row>
    <row r="1573">
      <c r="T1573" s="47">
        <f>IF(R1573="","",IFERROR(TODAY()+VLOOKUP(R1573,REGRAS!$B$2:$C$13,2,0),""))</f>
        <v/>
      </c>
    </row>
    <row r="1574">
      <c r="T1574" s="47">
        <f>IF(R1574="","",IFERROR(TODAY()+VLOOKUP(R1574,REGRAS!$B$2:$C$13,2,0),""))</f>
        <v/>
      </c>
    </row>
    <row r="1575">
      <c r="T1575" s="47">
        <f>IF(R1575="","",IFERROR(TODAY()+VLOOKUP(R1575,REGRAS!$B$2:$C$13,2,0),""))</f>
        <v/>
      </c>
    </row>
    <row r="1576">
      <c r="T1576" s="47">
        <f>IF(R1576="","",IFERROR(TODAY()+VLOOKUP(R1576,REGRAS!$B$2:$C$13,2,0),""))</f>
        <v/>
      </c>
    </row>
    <row r="1577">
      <c r="T1577" s="47">
        <f>IF(R1577="","",IFERROR(TODAY()+VLOOKUP(R1577,REGRAS!$B$2:$C$13,2,0),""))</f>
        <v/>
      </c>
    </row>
    <row r="1578">
      <c r="T1578" s="47">
        <f>IF(R1578="","",IFERROR(TODAY()+VLOOKUP(R1578,REGRAS!$B$2:$C$13,2,0),""))</f>
        <v/>
      </c>
    </row>
    <row r="1579">
      <c r="T1579" s="47">
        <f>IF(R1579="","",IFERROR(TODAY()+VLOOKUP(R1579,REGRAS!$B$2:$C$13,2,0),""))</f>
        <v/>
      </c>
    </row>
    <row r="1580">
      <c r="T1580" s="47">
        <f>IF(R1580="","",IFERROR(TODAY()+VLOOKUP(R1580,REGRAS!$B$2:$C$13,2,0),""))</f>
        <v/>
      </c>
    </row>
    <row r="1581">
      <c r="T1581" s="47">
        <f>IF(R1581="","",IFERROR(TODAY()+VLOOKUP(R1581,REGRAS!$B$2:$C$13,2,0),""))</f>
        <v/>
      </c>
    </row>
    <row r="1582">
      <c r="T1582" s="47">
        <f>IF(R1582="","",IFERROR(TODAY()+VLOOKUP(R1582,REGRAS!$B$2:$C$13,2,0),""))</f>
        <v/>
      </c>
    </row>
    <row r="1583">
      <c r="T1583" s="47">
        <f>IF(R1583="","",IFERROR(TODAY()+VLOOKUP(R1583,REGRAS!$B$2:$C$13,2,0),""))</f>
        <v/>
      </c>
    </row>
    <row r="1584">
      <c r="T1584" s="47">
        <f>IF(R1584="","",IFERROR(TODAY()+VLOOKUP(R1584,REGRAS!$B$2:$C$13,2,0),""))</f>
        <v/>
      </c>
    </row>
    <row r="1585">
      <c r="T1585" s="47">
        <f>IF(R1585="","",IFERROR(TODAY()+VLOOKUP(R1585,REGRAS!$B$2:$C$13,2,0),""))</f>
        <v/>
      </c>
    </row>
    <row r="1586">
      <c r="T1586" s="47">
        <f>IF(R1586="","",IFERROR(TODAY()+VLOOKUP(R1586,REGRAS!$B$2:$C$13,2,0),""))</f>
        <v/>
      </c>
    </row>
    <row r="1587">
      <c r="T1587" s="47">
        <f>IF(R1587="","",IFERROR(TODAY()+VLOOKUP(R1587,REGRAS!$B$2:$C$13,2,0),""))</f>
        <v/>
      </c>
    </row>
    <row r="1588">
      <c r="T1588" s="47">
        <f>IF(R1588="","",IFERROR(TODAY()+VLOOKUP(R1588,REGRAS!$B$2:$C$13,2,0),""))</f>
        <v/>
      </c>
    </row>
    <row r="1589">
      <c r="T1589" s="47">
        <f>IF(R1589="","",IFERROR(TODAY()+VLOOKUP(R1589,REGRAS!$B$2:$C$13,2,0),""))</f>
        <v/>
      </c>
    </row>
    <row r="1590">
      <c r="T1590" s="47">
        <f>IF(R1590="","",IFERROR(TODAY()+VLOOKUP(R1590,REGRAS!$B$2:$C$13,2,0),""))</f>
        <v/>
      </c>
    </row>
    <row r="1591">
      <c r="T1591" s="47">
        <f>IF(R1591="","",IFERROR(TODAY()+VLOOKUP(R1591,REGRAS!$B$2:$C$13,2,0),""))</f>
        <v/>
      </c>
    </row>
    <row r="1592">
      <c r="T1592" s="47">
        <f>IF(R1592="","",IFERROR(TODAY()+VLOOKUP(R1592,REGRAS!$B$2:$C$13,2,0),""))</f>
        <v/>
      </c>
    </row>
    <row r="1593">
      <c r="T1593" s="47">
        <f>IF(R1593="","",IFERROR(TODAY()+VLOOKUP(R1593,REGRAS!$B$2:$C$13,2,0),""))</f>
        <v/>
      </c>
    </row>
    <row r="1594">
      <c r="T1594" s="47">
        <f>IF(R1594="","",IFERROR(TODAY()+VLOOKUP(R1594,REGRAS!$B$2:$C$13,2,0),""))</f>
        <v/>
      </c>
    </row>
    <row r="1595">
      <c r="T1595" s="47">
        <f>IF(R1595="","",IFERROR(TODAY()+VLOOKUP(R1595,REGRAS!$B$2:$C$13,2,0),""))</f>
        <v/>
      </c>
    </row>
    <row r="1596">
      <c r="T1596" s="47">
        <f>IF(R1596="","",IFERROR(TODAY()+VLOOKUP(R1596,REGRAS!$B$2:$C$13,2,0),""))</f>
        <v/>
      </c>
    </row>
    <row r="1597">
      <c r="T1597" s="47">
        <f>IF(R1597="","",IFERROR(TODAY()+VLOOKUP(R1597,REGRAS!$B$2:$C$13,2,0),""))</f>
        <v/>
      </c>
    </row>
    <row r="1598">
      <c r="T1598" s="47">
        <f>IF(R1598="","",IFERROR(TODAY()+VLOOKUP(R1598,REGRAS!$B$2:$C$13,2,0),""))</f>
        <v/>
      </c>
    </row>
    <row r="1599">
      <c r="T1599" s="47">
        <f>IF(R1599="","",IFERROR(TODAY()+VLOOKUP(R1599,REGRAS!$B$2:$C$13,2,0),""))</f>
        <v/>
      </c>
    </row>
    <row r="1600">
      <c r="T1600" s="47">
        <f>IF(R1600="","",IFERROR(TODAY()+VLOOKUP(R1600,REGRAS!$B$2:$C$13,2,0),""))</f>
        <v/>
      </c>
    </row>
    <row r="1601">
      <c r="T1601" s="47">
        <f>IF(R1601="","",IFERROR(TODAY()+VLOOKUP(R1601,REGRAS!$B$2:$C$13,2,0),""))</f>
        <v/>
      </c>
    </row>
    <row r="1602">
      <c r="T1602" s="47">
        <f>IF(R1602="","",IFERROR(TODAY()+VLOOKUP(R1602,REGRAS!$B$2:$C$13,2,0),""))</f>
        <v/>
      </c>
    </row>
    <row r="1603">
      <c r="T1603" s="47">
        <f>IF(R1603="","",IFERROR(TODAY()+VLOOKUP(R1603,REGRAS!$B$2:$C$13,2,0),""))</f>
        <v/>
      </c>
    </row>
    <row r="1604">
      <c r="T1604" s="47">
        <f>IF(R1604="","",IFERROR(TODAY()+VLOOKUP(R1604,REGRAS!$B$2:$C$13,2,0),""))</f>
        <v/>
      </c>
    </row>
    <row r="1605">
      <c r="T1605" s="47">
        <f>IF(R1605="","",IFERROR(TODAY()+VLOOKUP(R1605,REGRAS!$B$2:$C$13,2,0),""))</f>
        <v/>
      </c>
    </row>
    <row r="1606">
      <c r="T1606" s="47">
        <f>IF(R1606="","",IFERROR(TODAY()+VLOOKUP(R1606,REGRAS!$B$2:$C$13,2,0),""))</f>
        <v/>
      </c>
    </row>
    <row r="1607">
      <c r="T1607" s="47">
        <f>IF(R1607="","",IFERROR(TODAY()+VLOOKUP(R1607,REGRAS!$B$2:$C$13,2,0),""))</f>
        <v/>
      </c>
    </row>
    <row r="1608">
      <c r="T1608" s="47">
        <f>IF(R1608="","",IFERROR(TODAY()+VLOOKUP(R1608,REGRAS!$B$2:$C$13,2,0),""))</f>
        <v/>
      </c>
    </row>
    <row r="1609">
      <c r="T1609" s="47">
        <f>IF(R1609="","",IFERROR(TODAY()+VLOOKUP(R1609,REGRAS!$B$2:$C$13,2,0),""))</f>
        <v/>
      </c>
    </row>
    <row r="1610">
      <c r="T1610" s="47">
        <f>IF(R1610="","",IFERROR(TODAY()+VLOOKUP(R1610,REGRAS!$B$2:$C$13,2,0),""))</f>
        <v/>
      </c>
    </row>
    <row r="1611">
      <c r="T1611" s="47">
        <f>IF(R1611="","",IFERROR(TODAY()+VLOOKUP(R1611,REGRAS!$B$2:$C$13,2,0),""))</f>
        <v/>
      </c>
    </row>
    <row r="1612">
      <c r="T1612" s="47">
        <f>IF(R1612="","",IFERROR(TODAY()+VLOOKUP(R1612,REGRAS!$B$2:$C$13,2,0),""))</f>
        <v/>
      </c>
    </row>
    <row r="1613">
      <c r="T1613" s="47">
        <f>IF(R1613="","",IFERROR(TODAY()+VLOOKUP(R1613,REGRAS!$B$2:$C$13,2,0),""))</f>
        <v/>
      </c>
    </row>
    <row r="1614">
      <c r="T1614" s="47">
        <f>IF(R1614="","",IFERROR(TODAY()+VLOOKUP(R1614,REGRAS!$B$2:$C$13,2,0),""))</f>
        <v/>
      </c>
    </row>
    <row r="1615">
      <c r="T1615" s="47">
        <f>IF(R1615="","",IFERROR(TODAY()+VLOOKUP(R1615,REGRAS!$B$2:$C$13,2,0),""))</f>
        <v/>
      </c>
    </row>
    <row r="1616">
      <c r="T1616" s="47">
        <f>IF(R1616="","",IFERROR(TODAY()+VLOOKUP(R1616,REGRAS!$B$2:$C$13,2,0),""))</f>
        <v/>
      </c>
    </row>
    <row r="1617">
      <c r="T1617" s="47">
        <f>IF(R1617="","",IFERROR(TODAY()+VLOOKUP(R1617,REGRAS!$B$2:$C$13,2,0),""))</f>
        <v/>
      </c>
    </row>
    <row r="1618">
      <c r="T1618" s="47">
        <f>IF(R1618="","",IFERROR(TODAY()+VLOOKUP(R1618,REGRAS!$B$2:$C$13,2,0),""))</f>
        <v/>
      </c>
    </row>
    <row r="1619">
      <c r="T1619" s="47">
        <f>IF(R1619="","",IFERROR(TODAY()+VLOOKUP(R1619,REGRAS!$B$2:$C$13,2,0),""))</f>
        <v/>
      </c>
    </row>
    <row r="1620">
      <c r="T1620" s="47">
        <f>IF(R1620="","",IFERROR(TODAY()+VLOOKUP(R1620,REGRAS!$B$2:$C$13,2,0),""))</f>
        <v/>
      </c>
    </row>
    <row r="1621">
      <c r="T1621" s="47">
        <f>IF(R1621="","",IFERROR(TODAY()+VLOOKUP(R1621,REGRAS!$B$2:$C$13,2,0),""))</f>
        <v/>
      </c>
    </row>
    <row r="1622">
      <c r="T1622" s="47">
        <f>IF(R1622="","",IFERROR(TODAY()+VLOOKUP(R1622,REGRAS!$B$2:$C$13,2,0),""))</f>
        <v/>
      </c>
    </row>
    <row r="1623">
      <c r="T1623" s="47">
        <f>IF(R1623="","",IFERROR(TODAY()+VLOOKUP(R1623,REGRAS!$B$2:$C$13,2,0),""))</f>
        <v/>
      </c>
    </row>
    <row r="1624">
      <c r="T1624" s="47">
        <f>IF(R1624="","",IFERROR(TODAY()+VLOOKUP(R1624,REGRAS!$B$2:$C$13,2,0),""))</f>
        <v/>
      </c>
    </row>
    <row r="1625">
      <c r="T1625" s="47">
        <f>IF(R1625="","",IFERROR(TODAY()+VLOOKUP(R1625,REGRAS!$B$2:$C$13,2,0),""))</f>
        <v/>
      </c>
    </row>
    <row r="1626">
      <c r="T1626" s="47">
        <f>IF(R1626="","",IFERROR(TODAY()+VLOOKUP(R1626,REGRAS!$B$2:$C$13,2,0),""))</f>
        <v/>
      </c>
    </row>
    <row r="1627">
      <c r="T1627" s="47">
        <f>IF(R1627="","",IFERROR(TODAY()+VLOOKUP(R1627,REGRAS!$B$2:$C$13,2,0),""))</f>
        <v/>
      </c>
    </row>
    <row r="1628">
      <c r="T1628" s="47">
        <f>IF(R1628="","",IFERROR(TODAY()+VLOOKUP(R1628,REGRAS!$B$2:$C$13,2,0),""))</f>
        <v/>
      </c>
    </row>
    <row r="1629">
      <c r="T1629" s="47">
        <f>IF(R1629="","",IFERROR(TODAY()+VLOOKUP(R1629,REGRAS!$B$2:$C$13,2,0),""))</f>
        <v/>
      </c>
    </row>
    <row r="1630">
      <c r="T1630" s="47">
        <f>IF(R1630="","",IFERROR(TODAY()+VLOOKUP(R1630,REGRAS!$B$2:$C$13,2,0),""))</f>
        <v/>
      </c>
    </row>
    <row r="1631">
      <c r="T1631" s="47">
        <f>IF(R1631="","",IFERROR(TODAY()+VLOOKUP(R1631,REGRAS!$B$2:$C$13,2,0),""))</f>
        <v/>
      </c>
    </row>
    <row r="1632">
      <c r="T1632" s="47">
        <f>IF(R1632="","",IFERROR(TODAY()+VLOOKUP(R1632,REGRAS!$B$2:$C$13,2,0),""))</f>
        <v/>
      </c>
    </row>
    <row r="1633">
      <c r="T1633" s="47">
        <f>IF(R1633="","",IFERROR(TODAY()+VLOOKUP(R1633,REGRAS!$B$2:$C$13,2,0),""))</f>
        <v/>
      </c>
    </row>
    <row r="1634">
      <c r="T1634" s="47">
        <f>IF(R1634="","",IFERROR(TODAY()+VLOOKUP(R1634,REGRAS!$B$2:$C$13,2,0),""))</f>
        <v/>
      </c>
    </row>
    <row r="1635">
      <c r="T1635" s="47">
        <f>IF(R1635="","",IFERROR(TODAY()+VLOOKUP(R1635,REGRAS!$B$2:$C$13,2,0),""))</f>
        <v/>
      </c>
    </row>
    <row r="1636">
      <c r="T1636" s="47">
        <f>IF(R1636="","",IFERROR(TODAY()+VLOOKUP(R1636,REGRAS!$B$2:$C$13,2,0),""))</f>
        <v/>
      </c>
    </row>
    <row r="1637">
      <c r="T1637" s="47">
        <f>IF(R1637="","",IFERROR(TODAY()+VLOOKUP(R1637,REGRAS!$B$2:$C$13,2,0),""))</f>
        <v/>
      </c>
    </row>
    <row r="1638">
      <c r="T1638" s="47">
        <f>IF(R1638="","",IFERROR(TODAY()+VLOOKUP(R1638,REGRAS!$B$2:$C$13,2,0),""))</f>
        <v/>
      </c>
    </row>
    <row r="1639">
      <c r="T1639" s="47">
        <f>IF(R1639="","",IFERROR(TODAY()+VLOOKUP(R1639,REGRAS!$B$2:$C$13,2,0),""))</f>
        <v/>
      </c>
    </row>
    <row r="1640">
      <c r="T1640" s="47">
        <f>IF(R1640="","",IFERROR(TODAY()+VLOOKUP(R1640,REGRAS!$B$2:$C$13,2,0),""))</f>
        <v/>
      </c>
    </row>
    <row r="1641">
      <c r="T1641" s="47">
        <f>IF(R1641="","",IFERROR(TODAY()+VLOOKUP(R1641,REGRAS!$B$2:$C$13,2,0),""))</f>
        <v/>
      </c>
    </row>
    <row r="1642">
      <c r="T1642" s="47">
        <f>IF(R1642="","",IFERROR(TODAY()+VLOOKUP(R1642,REGRAS!$B$2:$C$13,2,0),""))</f>
        <v/>
      </c>
    </row>
    <row r="1643">
      <c r="T1643" s="47">
        <f>IF(R1643="","",IFERROR(TODAY()+VLOOKUP(R1643,REGRAS!$B$2:$C$13,2,0),""))</f>
        <v/>
      </c>
    </row>
    <row r="1644">
      <c r="T1644" s="47">
        <f>IF(R1644="","",IFERROR(TODAY()+VLOOKUP(R1644,REGRAS!$B$2:$C$13,2,0),""))</f>
        <v/>
      </c>
    </row>
    <row r="1645">
      <c r="T1645" s="47">
        <f>IF(R1645="","",IFERROR(TODAY()+VLOOKUP(R1645,REGRAS!$B$2:$C$13,2,0),""))</f>
        <v/>
      </c>
    </row>
    <row r="1646">
      <c r="T1646" s="47">
        <f>IF(R1646="","",IFERROR(TODAY()+VLOOKUP(R1646,REGRAS!$B$2:$C$13,2,0),""))</f>
        <v/>
      </c>
    </row>
    <row r="1647">
      <c r="T1647" s="47">
        <f>IF(R1647="","",IFERROR(TODAY()+VLOOKUP(R1647,REGRAS!$B$2:$C$13,2,0),""))</f>
        <v/>
      </c>
    </row>
    <row r="1648">
      <c r="T1648" s="47">
        <f>IF(R1648="","",IFERROR(TODAY()+VLOOKUP(R1648,REGRAS!$B$2:$C$13,2,0),""))</f>
        <v/>
      </c>
    </row>
    <row r="1649">
      <c r="T1649" s="47">
        <f>IF(R1649="","",IFERROR(TODAY()+VLOOKUP(R1649,REGRAS!$B$2:$C$13,2,0),""))</f>
        <v/>
      </c>
    </row>
    <row r="1650">
      <c r="T1650" s="47">
        <f>IF(R1650="","",IFERROR(TODAY()+VLOOKUP(R1650,REGRAS!$B$2:$C$13,2,0),""))</f>
        <v/>
      </c>
    </row>
    <row r="1651">
      <c r="T1651" s="47">
        <f>IF(R1651="","",IFERROR(TODAY()+VLOOKUP(R1651,REGRAS!$B$2:$C$13,2,0),""))</f>
        <v/>
      </c>
    </row>
    <row r="1652">
      <c r="T1652" s="47">
        <f>IF(R1652="","",IFERROR(TODAY()+VLOOKUP(R1652,REGRAS!$B$2:$C$13,2,0),""))</f>
        <v/>
      </c>
    </row>
    <row r="1653">
      <c r="T1653" s="47">
        <f>IF(R1653="","",IFERROR(TODAY()+VLOOKUP(R1653,REGRAS!$B$2:$C$13,2,0),""))</f>
        <v/>
      </c>
    </row>
    <row r="1654">
      <c r="T1654" s="47">
        <f>IF(R1654="","",IFERROR(TODAY()+VLOOKUP(R1654,REGRAS!$B$2:$C$13,2,0),""))</f>
        <v/>
      </c>
    </row>
    <row r="1655">
      <c r="T1655" s="47">
        <f>IF(R1655="","",IFERROR(TODAY()+VLOOKUP(R1655,REGRAS!$B$2:$C$13,2,0),""))</f>
        <v/>
      </c>
    </row>
    <row r="1656">
      <c r="T1656" s="47">
        <f>IF(R1656="","",IFERROR(TODAY()+VLOOKUP(R1656,REGRAS!$B$2:$C$13,2,0),""))</f>
        <v/>
      </c>
    </row>
    <row r="1657">
      <c r="T1657" s="47">
        <f>IF(R1657="","",IFERROR(TODAY()+VLOOKUP(R1657,REGRAS!$B$2:$C$13,2,0),""))</f>
        <v/>
      </c>
    </row>
    <row r="1658">
      <c r="T1658" s="47">
        <f>IF(R1658="","",IFERROR(TODAY()+VLOOKUP(R1658,REGRAS!$B$2:$C$13,2,0),""))</f>
        <v/>
      </c>
    </row>
    <row r="1659">
      <c r="T1659" s="47">
        <f>IF(R1659="","",IFERROR(TODAY()+VLOOKUP(R1659,REGRAS!$B$2:$C$13,2,0),""))</f>
        <v/>
      </c>
    </row>
    <row r="1660">
      <c r="T1660" s="47">
        <f>IF(R1660="","",IFERROR(TODAY()+VLOOKUP(R1660,REGRAS!$B$2:$C$13,2,0),""))</f>
        <v/>
      </c>
    </row>
    <row r="1661">
      <c r="T1661" s="47">
        <f>IF(R1661="","",IFERROR(TODAY()+VLOOKUP(R1661,REGRAS!$B$2:$C$13,2,0),""))</f>
        <v/>
      </c>
    </row>
    <row r="1662">
      <c r="T1662" s="47">
        <f>IF(R1662="","",IFERROR(TODAY()+VLOOKUP(R1662,REGRAS!$B$2:$C$13,2,0),""))</f>
        <v/>
      </c>
    </row>
    <row r="1663">
      <c r="T1663" s="47">
        <f>IF(R1663="","",IFERROR(TODAY()+VLOOKUP(R1663,REGRAS!$B$2:$C$13,2,0),""))</f>
        <v/>
      </c>
    </row>
    <row r="1664">
      <c r="T1664" s="47">
        <f>IF(R1664="","",IFERROR(TODAY()+VLOOKUP(R1664,REGRAS!$B$2:$C$13,2,0),""))</f>
        <v/>
      </c>
    </row>
    <row r="1665">
      <c r="T1665" s="47">
        <f>IF(R1665="","",IFERROR(TODAY()+VLOOKUP(R1665,REGRAS!$B$2:$C$13,2,0),""))</f>
        <v/>
      </c>
    </row>
    <row r="1666">
      <c r="T1666" s="47">
        <f>IF(R1666="","",IFERROR(TODAY()+VLOOKUP(R1666,REGRAS!$B$2:$C$13,2,0),""))</f>
        <v/>
      </c>
    </row>
    <row r="1667">
      <c r="T1667" s="47">
        <f>IF(R1667="","",IFERROR(TODAY()+VLOOKUP(R1667,REGRAS!$B$2:$C$13,2,0),""))</f>
        <v/>
      </c>
    </row>
    <row r="1668">
      <c r="T1668" s="47">
        <f>IF(R1668="","",IFERROR(TODAY()+VLOOKUP(R1668,REGRAS!$B$2:$C$13,2,0),""))</f>
        <v/>
      </c>
    </row>
    <row r="1669">
      <c r="T1669" s="47">
        <f>IF(R1669="","",IFERROR(TODAY()+VLOOKUP(R1669,REGRAS!$B$2:$C$13,2,0),""))</f>
        <v/>
      </c>
    </row>
    <row r="1670">
      <c r="T1670" s="47">
        <f>IF(R1670="","",IFERROR(TODAY()+VLOOKUP(R1670,REGRAS!$B$2:$C$13,2,0),""))</f>
        <v/>
      </c>
    </row>
    <row r="1671">
      <c r="T1671" s="47">
        <f>IF(R1671="","",IFERROR(TODAY()+VLOOKUP(R1671,REGRAS!$B$2:$C$13,2,0),""))</f>
        <v/>
      </c>
    </row>
    <row r="1672">
      <c r="T1672" s="47">
        <f>IF(R1672="","",IFERROR(TODAY()+VLOOKUP(R1672,REGRAS!$B$2:$C$13,2,0),""))</f>
        <v/>
      </c>
    </row>
    <row r="1673">
      <c r="T1673" s="47">
        <f>IF(R1673="","",IFERROR(TODAY()+VLOOKUP(R1673,REGRAS!$B$2:$C$13,2,0),""))</f>
        <v/>
      </c>
    </row>
    <row r="1674">
      <c r="T1674" s="47">
        <f>IF(R1674="","",IFERROR(TODAY()+VLOOKUP(R1674,REGRAS!$B$2:$C$13,2,0),""))</f>
        <v/>
      </c>
    </row>
    <row r="1675">
      <c r="T1675" s="47">
        <f>IF(R1675="","",IFERROR(TODAY()+VLOOKUP(R1675,REGRAS!$B$2:$C$13,2,0),""))</f>
        <v/>
      </c>
    </row>
    <row r="1676">
      <c r="T1676" s="47">
        <f>IF(R1676="","",IFERROR(TODAY()+VLOOKUP(R1676,REGRAS!$B$2:$C$13,2,0),""))</f>
        <v/>
      </c>
    </row>
    <row r="1677">
      <c r="T1677" s="47">
        <f>IF(R1677="","",IFERROR(TODAY()+VLOOKUP(R1677,REGRAS!$B$2:$C$13,2,0),""))</f>
        <v/>
      </c>
    </row>
    <row r="1678">
      <c r="T1678" s="47">
        <f>IF(R1678="","",IFERROR(TODAY()+VLOOKUP(R1678,REGRAS!$B$2:$C$13,2,0),""))</f>
        <v/>
      </c>
    </row>
    <row r="1679">
      <c r="T1679" s="47">
        <f>IF(R1679="","",IFERROR(TODAY()+VLOOKUP(R1679,REGRAS!$B$2:$C$13,2,0),""))</f>
        <v/>
      </c>
    </row>
    <row r="1680">
      <c r="T1680" s="47">
        <f>IF(R1680="","",IFERROR(TODAY()+VLOOKUP(R1680,REGRAS!$B$2:$C$13,2,0),""))</f>
        <v/>
      </c>
    </row>
    <row r="1681">
      <c r="T1681" s="47">
        <f>IF(R1681="","",IFERROR(TODAY()+VLOOKUP(R1681,REGRAS!$B$2:$C$13,2,0),""))</f>
        <v/>
      </c>
    </row>
    <row r="1682">
      <c r="T1682" s="47">
        <f>IF(R1682="","",IFERROR(TODAY()+VLOOKUP(R1682,REGRAS!$B$2:$C$13,2,0),""))</f>
        <v/>
      </c>
    </row>
    <row r="1683">
      <c r="T1683" s="47">
        <f>IF(R1683="","",IFERROR(TODAY()+VLOOKUP(R1683,REGRAS!$B$2:$C$13,2,0),""))</f>
        <v/>
      </c>
    </row>
    <row r="1684">
      <c r="T1684" s="47">
        <f>IF(R1684="","",IFERROR(TODAY()+VLOOKUP(R1684,REGRAS!$B$2:$C$13,2,0),""))</f>
        <v/>
      </c>
    </row>
    <row r="1685">
      <c r="T1685" s="47">
        <f>IF(R1685="","",IFERROR(TODAY()+VLOOKUP(R1685,REGRAS!$B$2:$C$13,2,0),""))</f>
        <v/>
      </c>
    </row>
    <row r="1686">
      <c r="T1686" s="47">
        <f>IF(R1686="","",IFERROR(TODAY()+VLOOKUP(R1686,REGRAS!$B$2:$C$13,2,0),""))</f>
        <v/>
      </c>
    </row>
    <row r="1687">
      <c r="T1687" s="47">
        <f>IF(R1687="","",IFERROR(TODAY()+VLOOKUP(R1687,REGRAS!$B$2:$C$13,2,0),""))</f>
        <v/>
      </c>
    </row>
    <row r="1688">
      <c r="T1688" s="47">
        <f>IF(R1688="","",IFERROR(TODAY()+VLOOKUP(R1688,REGRAS!$B$2:$C$13,2,0),""))</f>
        <v/>
      </c>
    </row>
    <row r="1689">
      <c r="T1689" s="47">
        <f>IF(R1689="","",IFERROR(TODAY()+VLOOKUP(R1689,REGRAS!$B$2:$C$13,2,0),""))</f>
        <v/>
      </c>
    </row>
    <row r="1690">
      <c r="T1690" s="47">
        <f>IF(R1690="","",IFERROR(TODAY()+VLOOKUP(R1690,REGRAS!$B$2:$C$13,2,0),""))</f>
        <v/>
      </c>
    </row>
    <row r="1691">
      <c r="T1691" s="47">
        <f>IF(R1691="","",IFERROR(TODAY()+VLOOKUP(R1691,REGRAS!$B$2:$C$13,2,0),""))</f>
        <v/>
      </c>
    </row>
    <row r="1692">
      <c r="T1692" s="47">
        <f>IF(R1692="","",IFERROR(TODAY()+VLOOKUP(R1692,REGRAS!$B$2:$C$13,2,0),""))</f>
        <v/>
      </c>
    </row>
    <row r="1693">
      <c r="T1693" s="47">
        <f>IF(R1693="","",IFERROR(TODAY()+VLOOKUP(R1693,REGRAS!$B$2:$C$13,2,0),""))</f>
        <v/>
      </c>
    </row>
    <row r="1694">
      <c r="T1694" s="47">
        <f>IF(R1694="","",IFERROR(TODAY()+VLOOKUP(R1694,REGRAS!$B$2:$C$13,2,0),""))</f>
        <v/>
      </c>
    </row>
    <row r="1695">
      <c r="T1695" s="47">
        <f>IF(R1695="","",IFERROR(TODAY()+VLOOKUP(R1695,REGRAS!$B$2:$C$13,2,0),""))</f>
        <v/>
      </c>
    </row>
    <row r="1696">
      <c r="T1696" s="47">
        <f>IF(R1696="","",IFERROR(TODAY()+VLOOKUP(R1696,REGRAS!$B$2:$C$13,2,0),""))</f>
        <v/>
      </c>
    </row>
    <row r="1697">
      <c r="T1697" s="47">
        <f>IF(R1697="","",IFERROR(TODAY()+VLOOKUP(R1697,REGRAS!$B$2:$C$13,2,0),""))</f>
        <v/>
      </c>
    </row>
    <row r="1698">
      <c r="T1698" s="47">
        <f>IF(R1698="","",IFERROR(TODAY()+VLOOKUP(R1698,REGRAS!$B$2:$C$13,2,0),""))</f>
        <v/>
      </c>
    </row>
    <row r="1699">
      <c r="T1699" s="47">
        <f>IF(R1699="","",IFERROR(TODAY()+VLOOKUP(R1699,REGRAS!$B$2:$C$13,2,0),""))</f>
        <v/>
      </c>
    </row>
    <row r="1700">
      <c r="T1700" s="47">
        <f>IF(R1700="","",IFERROR(TODAY()+VLOOKUP(R1700,REGRAS!$B$2:$C$13,2,0),""))</f>
        <v/>
      </c>
    </row>
    <row r="1701">
      <c r="T1701" s="47">
        <f>IF(R1701="","",IFERROR(TODAY()+VLOOKUP(R1701,REGRAS!$B$2:$C$13,2,0),""))</f>
        <v/>
      </c>
    </row>
    <row r="1702">
      <c r="T1702" s="47">
        <f>IF(R1702="","",IFERROR(TODAY()+VLOOKUP(R1702,REGRAS!$B$2:$C$13,2,0),""))</f>
        <v/>
      </c>
    </row>
    <row r="1703">
      <c r="T1703" s="47">
        <f>IF(R1703="","",IFERROR(TODAY()+VLOOKUP(R1703,REGRAS!$B$2:$C$13,2,0),""))</f>
        <v/>
      </c>
    </row>
    <row r="1704">
      <c r="T1704" s="47">
        <f>IF(R1704="","",IFERROR(TODAY()+VLOOKUP(R1704,REGRAS!$B$2:$C$13,2,0),""))</f>
        <v/>
      </c>
    </row>
    <row r="1705">
      <c r="T1705" s="47">
        <f>IF(R1705="","",IFERROR(TODAY()+VLOOKUP(R1705,REGRAS!$B$2:$C$13,2,0),""))</f>
        <v/>
      </c>
    </row>
    <row r="1706">
      <c r="T1706" s="47">
        <f>IF(R1706="","",IFERROR(TODAY()+VLOOKUP(R1706,REGRAS!$B$2:$C$13,2,0),""))</f>
        <v/>
      </c>
    </row>
    <row r="1707">
      <c r="T1707" s="47">
        <f>IF(R1707="","",IFERROR(TODAY()+VLOOKUP(R1707,REGRAS!$B$2:$C$13,2,0),""))</f>
        <v/>
      </c>
    </row>
    <row r="1708">
      <c r="T1708" s="47">
        <f>IF(R1708="","",IFERROR(TODAY()+VLOOKUP(R1708,REGRAS!$B$2:$C$13,2,0),""))</f>
        <v/>
      </c>
    </row>
    <row r="1709">
      <c r="T1709" s="47">
        <f>IF(R1709="","",IFERROR(TODAY()+VLOOKUP(R1709,REGRAS!$B$2:$C$13,2,0),""))</f>
        <v/>
      </c>
    </row>
    <row r="1710">
      <c r="T1710" s="47">
        <f>IF(R1710="","",IFERROR(TODAY()+VLOOKUP(R1710,REGRAS!$B$2:$C$13,2,0),""))</f>
        <v/>
      </c>
    </row>
    <row r="1711">
      <c r="T1711" s="47">
        <f>IF(R1711="","",IFERROR(TODAY()+VLOOKUP(R1711,REGRAS!$B$2:$C$13,2,0),""))</f>
        <v/>
      </c>
    </row>
    <row r="1712">
      <c r="T1712" s="47">
        <f>IF(R1712="","",IFERROR(TODAY()+VLOOKUP(R1712,REGRAS!$B$2:$C$13,2,0),""))</f>
        <v/>
      </c>
    </row>
    <row r="1713">
      <c r="T1713" s="47">
        <f>IF(R1713="","",IFERROR(TODAY()+VLOOKUP(R1713,REGRAS!$B$2:$C$13,2,0),""))</f>
        <v/>
      </c>
    </row>
    <row r="1714">
      <c r="T1714" s="47">
        <f>IF(R1714="","",IFERROR(TODAY()+VLOOKUP(R1714,REGRAS!$B$2:$C$13,2,0),""))</f>
        <v/>
      </c>
    </row>
    <row r="1715">
      <c r="T1715" s="47">
        <f>IF(R1715="","",IFERROR(TODAY()+VLOOKUP(R1715,REGRAS!$B$2:$C$13,2,0),""))</f>
        <v/>
      </c>
    </row>
    <row r="1716">
      <c r="T1716" s="47">
        <f>IF(R1716="","",IFERROR(TODAY()+VLOOKUP(R1716,REGRAS!$B$2:$C$13,2,0),""))</f>
        <v/>
      </c>
    </row>
    <row r="1717">
      <c r="T1717" s="47">
        <f>IF(R1717="","",IFERROR(TODAY()+VLOOKUP(R1717,REGRAS!$B$2:$C$13,2,0),""))</f>
        <v/>
      </c>
    </row>
    <row r="1718">
      <c r="T1718" s="47">
        <f>IF(R1718="","",IFERROR(TODAY()+VLOOKUP(R1718,REGRAS!$B$2:$C$13,2,0),""))</f>
        <v/>
      </c>
    </row>
    <row r="1719">
      <c r="T1719" s="47">
        <f>IF(R1719="","",IFERROR(TODAY()+VLOOKUP(R1719,REGRAS!$B$2:$C$13,2,0),""))</f>
        <v/>
      </c>
    </row>
    <row r="1720">
      <c r="T1720" s="47">
        <f>IF(R1720="","",IFERROR(TODAY()+VLOOKUP(R1720,REGRAS!$B$2:$C$13,2,0),""))</f>
        <v/>
      </c>
    </row>
    <row r="1721">
      <c r="T1721" s="47">
        <f>IF(R1721="","",IFERROR(TODAY()+VLOOKUP(R1721,REGRAS!$B$2:$C$13,2,0),""))</f>
        <v/>
      </c>
    </row>
    <row r="1722">
      <c r="T1722" s="47">
        <f>IF(R1722="","",IFERROR(TODAY()+VLOOKUP(R1722,REGRAS!$B$2:$C$13,2,0),""))</f>
        <v/>
      </c>
    </row>
    <row r="1723">
      <c r="T1723" s="47">
        <f>IF(R1723="","",IFERROR(TODAY()+VLOOKUP(R1723,REGRAS!$B$2:$C$13,2,0),""))</f>
        <v/>
      </c>
    </row>
    <row r="1724">
      <c r="T1724" s="47">
        <f>IF(R1724="","",IFERROR(TODAY()+VLOOKUP(R1724,REGRAS!$B$2:$C$13,2,0),""))</f>
        <v/>
      </c>
    </row>
    <row r="1725">
      <c r="T1725" s="47">
        <f>IF(R1725="","",IFERROR(TODAY()+VLOOKUP(R1725,REGRAS!$B$2:$C$13,2,0),""))</f>
        <v/>
      </c>
    </row>
    <row r="1726">
      <c r="T1726" s="47">
        <f>IF(R1726="","",IFERROR(TODAY()+VLOOKUP(R1726,REGRAS!$B$2:$C$13,2,0),""))</f>
        <v/>
      </c>
    </row>
    <row r="1727">
      <c r="T1727" s="47">
        <f>IF(R1727="","",IFERROR(TODAY()+VLOOKUP(R1727,REGRAS!$B$2:$C$13,2,0),""))</f>
        <v/>
      </c>
    </row>
    <row r="1728">
      <c r="T1728" s="47">
        <f>IF(R1728="","",IFERROR(TODAY()+VLOOKUP(R1728,REGRAS!$B$2:$C$13,2,0),""))</f>
        <v/>
      </c>
    </row>
    <row r="1729">
      <c r="T1729" s="47">
        <f>IF(R1729="","",IFERROR(TODAY()+VLOOKUP(R1729,REGRAS!$B$2:$C$13,2,0),""))</f>
        <v/>
      </c>
    </row>
    <row r="1730">
      <c r="T1730" s="47">
        <f>IF(R1730="","",IFERROR(TODAY()+VLOOKUP(R1730,REGRAS!$B$2:$C$13,2,0),""))</f>
        <v/>
      </c>
    </row>
    <row r="1731">
      <c r="T1731" s="47">
        <f>IF(R1731="","",IFERROR(TODAY()+VLOOKUP(R1731,REGRAS!$B$2:$C$13,2,0),""))</f>
        <v/>
      </c>
    </row>
    <row r="1732">
      <c r="T1732" s="47">
        <f>IF(R1732="","",IFERROR(TODAY()+VLOOKUP(R1732,REGRAS!$B$2:$C$13,2,0),""))</f>
        <v/>
      </c>
    </row>
    <row r="1733">
      <c r="T1733" s="47">
        <f>IF(R1733="","",IFERROR(TODAY()+VLOOKUP(R1733,REGRAS!$B$2:$C$13,2,0),""))</f>
        <v/>
      </c>
    </row>
    <row r="1734">
      <c r="T1734" s="47">
        <f>IF(R1734="","",IFERROR(TODAY()+VLOOKUP(R1734,REGRAS!$B$2:$C$13,2,0),""))</f>
        <v/>
      </c>
    </row>
    <row r="1735">
      <c r="T1735" s="47">
        <f>IF(R1735="","",IFERROR(TODAY()+VLOOKUP(R1735,REGRAS!$B$2:$C$13,2,0),""))</f>
        <v/>
      </c>
    </row>
    <row r="1736">
      <c r="T1736" s="47">
        <f>IF(R1736="","",IFERROR(TODAY()+VLOOKUP(R1736,REGRAS!$B$2:$C$13,2,0),""))</f>
        <v/>
      </c>
    </row>
    <row r="1737">
      <c r="T1737" s="47">
        <f>IF(R1737="","",IFERROR(TODAY()+VLOOKUP(R1737,REGRAS!$B$2:$C$13,2,0),""))</f>
        <v/>
      </c>
    </row>
    <row r="1738">
      <c r="T1738" s="47">
        <f>IF(R1738="","",IFERROR(TODAY()+VLOOKUP(R1738,REGRAS!$B$2:$C$13,2,0),""))</f>
        <v/>
      </c>
    </row>
    <row r="1739">
      <c r="T1739" s="47">
        <f>IF(R1739="","",IFERROR(TODAY()+VLOOKUP(R1739,REGRAS!$B$2:$C$13,2,0),""))</f>
        <v/>
      </c>
    </row>
    <row r="1740">
      <c r="T1740" s="47">
        <f>IF(R1740="","",IFERROR(TODAY()+VLOOKUP(R1740,REGRAS!$B$2:$C$13,2,0),""))</f>
        <v/>
      </c>
    </row>
    <row r="1741">
      <c r="T1741" s="47">
        <f>IF(R1741="","",IFERROR(TODAY()+VLOOKUP(R1741,REGRAS!$B$2:$C$13,2,0),""))</f>
        <v/>
      </c>
    </row>
    <row r="1742">
      <c r="T1742" s="47">
        <f>IF(R1742="","",IFERROR(TODAY()+VLOOKUP(R1742,REGRAS!$B$2:$C$13,2,0),""))</f>
        <v/>
      </c>
    </row>
    <row r="1743">
      <c r="T1743" s="47">
        <f>IF(R1743="","",IFERROR(TODAY()+VLOOKUP(R1743,REGRAS!$B$2:$C$13,2,0),""))</f>
        <v/>
      </c>
    </row>
    <row r="1744">
      <c r="T1744" s="47">
        <f>IF(R1744="","",IFERROR(TODAY()+VLOOKUP(R1744,REGRAS!$B$2:$C$13,2,0),""))</f>
        <v/>
      </c>
    </row>
    <row r="1745">
      <c r="T1745" s="47">
        <f>IF(R1745="","",IFERROR(TODAY()+VLOOKUP(R1745,REGRAS!$B$2:$C$13,2,0),""))</f>
        <v/>
      </c>
    </row>
    <row r="1746">
      <c r="T1746" s="47">
        <f>IF(R1746="","",IFERROR(TODAY()+VLOOKUP(R1746,REGRAS!$B$2:$C$13,2,0),""))</f>
        <v/>
      </c>
    </row>
    <row r="1747">
      <c r="T1747" s="47">
        <f>IF(R1747="","",IFERROR(TODAY()+VLOOKUP(R1747,REGRAS!$B$2:$C$13,2,0),""))</f>
        <v/>
      </c>
    </row>
    <row r="1748">
      <c r="T1748" s="47">
        <f>IF(R1748="","",IFERROR(TODAY()+VLOOKUP(R1748,REGRAS!$B$2:$C$13,2,0),""))</f>
        <v/>
      </c>
    </row>
    <row r="1749">
      <c r="T1749" s="47">
        <f>IF(R1749="","",IFERROR(TODAY()+VLOOKUP(R1749,REGRAS!$B$2:$C$13,2,0),""))</f>
        <v/>
      </c>
    </row>
    <row r="1750">
      <c r="T1750" s="47">
        <f>IF(R1750="","",IFERROR(TODAY()+VLOOKUP(R1750,REGRAS!$B$2:$C$13,2,0),""))</f>
        <v/>
      </c>
    </row>
    <row r="1751">
      <c r="T1751" s="47">
        <f>IF(R1751="","",IFERROR(TODAY()+VLOOKUP(R1751,REGRAS!$B$2:$C$13,2,0),""))</f>
        <v/>
      </c>
    </row>
    <row r="1752">
      <c r="T1752" s="47">
        <f>IF(R1752="","",IFERROR(TODAY()+VLOOKUP(R1752,REGRAS!$B$2:$C$13,2,0),""))</f>
        <v/>
      </c>
    </row>
    <row r="1753">
      <c r="T1753" s="47">
        <f>IF(R1753="","",IFERROR(TODAY()+VLOOKUP(R1753,REGRAS!$B$2:$C$13,2,0),""))</f>
        <v/>
      </c>
    </row>
    <row r="1754">
      <c r="T1754" s="47">
        <f>IF(R1754="","",IFERROR(TODAY()+VLOOKUP(R1754,REGRAS!$B$2:$C$13,2,0),""))</f>
        <v/>
      </c>
    </row>
    <row r="1755">
      <c r="T1755" s="47">
        <f>IF(R1755="","",IFERROR(TODAY()+VLOOKUP(R1755,REGRAS!$B$2:$C$13,2,0),""))</f>
        <v/>
      </c>
    </row>
    <row r="1756">
      <c r="T1756" s="47">
        <f>IF(R1756="","",IFERROR(TODAY()+VLOOKUP(R1756,REGRAS!$B$2:$C$13,2,0),""))</f>
        <v/>
      </c>
    </row>
    <row r="1757">
      <c r="T1757" s="47">
        <f>IF(R1757="","",IFERROR(TODAY()+VLOOKUP(R1757,REGRAS!$B$2:$C$13,2,0),""))</f>
        <v/>
      </c>
    </row>
    <row r="1758">
      <c r="T1758" s="47">
        <f>IF(R1758="","",IFERROR(TODAY()+VLOOKUP(R1758,REGRAS!$B$2:$C$13,2,0),""))</f>
        <v/>
      </c>
    </row>
    <row r="1759">
      <c r="T1759" s="47">
        <f>IF(R1759="","",IFERROR(TODAY()+VLOOKUP(R1759,REGRAS!$B$2:$C$13,2,0),""))</f>
        <v/>
      </c>
    </row>
    <row r="1760">
      <c r="T1760" s="47">
        <f>IF(R1760="","",IFERROR(TODAY()+VLOOKUP(R1760,REGRAS!$B$2:$C$13,2,0),""))</f>
        <v/>
      </c>
    </row>
    <row r="1761">
      <c r="T1761" s="47">
        <f>IF(R1761="","",IFERROR(TODAY()+VLOOKUP(R1761,REGRAS!$B$2:$C$13,2,0),""))</f>
        <v/>
      </c>
    </row>
    <row r="1762">
      <c r="T1762" s="47">
        <f>IF(R1762="","",IFERROR(TODAY()+VLOOKUP(R1762,REGRAS!$B$2:$C$13,2,0),""))</f>
        <v/>
      </c>
    </row>
    <row r="1763">
      <c r="T1763" s="47">
        <f>IF(R1763="","",IFERROR(TODAY()+VLOOKUP(R1763,REGRAS!$B$2:$C$13,2,0),""))</f>
        <v/>
      </c>
    </row>
    <row r="1764">
      <c r="T1764" s="47">
        <f>IF(R1764="","",IFERROR(TODAY()+VLOOKUP(R1764,REGRAS!$B$2:$C$13,2,0),""))</f>
        <v/>
      </c>
    </row>
    <row r="1765">
      <c r="T1765" s="47">
        <f>IF(R1765="","",IFERROR(TODAY()+VLOOKUP(R1765,REGRAS!$B$2:$C$13,2,0),""))</f>
        <v/>
      </c>
    </row>
    <row r="1766">
      <c r="T1766" s="47">
        <f>IF(R1766="","",IFERROR(TODAY()+VLOOKUP(R1766,REGRAS!$B$2:$C$13,2,0),""))</f>
        <v/>
      </c>
    </row>
    <row r="1767">
      <c r="T1767" s="47">
        <f>IF(R1767="","",IFERROR(TODAY()+VLOOKUP(R1767,REGRAS!$B$2:$C$13,2,0),""))</f>
        <v/>
      </c>
    </row>
    <row r="1768">
      <c r="T1768" s="47">
        <f>IF(R1768="","",IFERROR(TODAY()+VLOOKUP(R1768,REGRAS!$B$2:$C$13,2,0),""))</f>
        <v/>
      </c>
    </row>
    <row r="1769">
      <c r="T1769" s="47">
        <f>IF(R1769="","",IFERROR(TODAY()+VLOOKUP(R1769,REGRAS!$B$2:$C$13,2,0),""))</f>
        <v/>
      </c>
    </row>
    <row r="1770">
      <c r="T1770" s="47">
        <f>IF(R1770="","",IFERROR(TODAY()+VLOOKUP(R1770,REGRAS!$B$2:$C$13,2,0),""))</f>
        <v/>
      </c>
    </row>
    <row r="1771">
      <c r="T1771" s="47">
        <f>IF(R1771="","",IFERROR(TODAY()+VLOOKUP(R1771,REGRAS!$B$2:$C$13,2,0),""))</f>
        <v/>
      </c>
    </row>
    <row r="1772">
      <c r="T1772" s="47">
        <f>IF(R1772="","",IFERROR(TODAY()+VLOOKUP(R1772,REGRAS!$B$2:$C$13,2,0),""))</f>
        <v/>
      </c>
    </row>
    <row r="1773">
      <c r="T1773" s="47">
        <f>IF(R1773="","",IFERROR(TODAY()+VLOOKUP(R1773,REGRAS!$B$2:$C$13,2,0),""))</f>
        <v/>
      </c>
    </row>
    <row r="1774">
      <c r="T1774" s="47">
        <f>IF(R1774="","",IFERROR(TODAY()+VLOOKUP(R1774,REGRAS!$B$2:$C$13,2,0),""))</f>
        <v/>
      </c>
    </row>
    <row r="1775">
      <c r="T1775" s="47">
        <f>IF(R1775="","",IFERROR(TODAY()+VLOOKUP(R1775,REGRAS!$B$2:$C$13,2,0),""))</f>
        <v/>
      </c>
    </row>
    <row r="1776">
      <c r="T1776" s="47">
        <f>IF(R1776="","",IFERROR(TODAY()+VLOOKUP(R1776,REGRAS!$B$2:$C$13,2,0),""))</f>
        <v/>
      </c>
    </row>
    <row r="1777">
      <c r="T1777" s="47">
        <f>IF(R1777="","",IFERROR(TODAY()+VLOOKUP(R1777,REGRAS!$B$2:$C$13,2,0),""))</f>
        <v/>
      </c>
    </row>
    <row r="1778">
      <c r="T1778" s="47">
        <f>IF(R1778="","",IFERROR(TODAY()+VLOOKUP(R1778,REGRAS!$B$2:$C$13,2,0),""))</f>
        <v/>
      </c>
    </row>
    <row r="1779">
      <c r="T1779" s="47">
        <f>IF(R1779="","",IFERROR(TODAY()+VLOOKUP(R1779,REGRAS!$B$2:$C$13,2,0),""))</f>
        <v/>
      </c>
    </row>
    <row r="1780">
      <c r="T1780" s="47">
        <f>IF(R1780="","",IFERROR(TODAY()+VLOOKUP(R1780,REGRAS!$B$2:$C$13,2,0),""))</f>
        <v/>
      </c>
    </row>
    <row r="1781">
      <c r="T1781" s="47">
        <f>IF(R1781="","",IFERROR(TODAY()+VLOOKUP(R1781,REGRAS!$B$2:$C$13,2,0),""))</f>
        <v/>
      </c>
    </row>
    <row r="1782">
      <c r="T1782" s="47">
        <f>IF(R1782="","",IFERROR(TODAY()+VLOOKUP(R1782,REGRAS!$B$2:$C$13,2,0),""))</f>
        <v/>
      </c>
    </row>
    <row r="1783">
      <c r="T1783" s="47">
        <f>IF(R1783="","",IFERROR(TODAY()+VLOOKUP(R1783,REGRAS!$B$2:$C$13,2,0),""))</f>
        <v/>
      </c>
    </row>
    <row r="1784">
      <c r="T1784" s="47">
        <f>IF(R1784="","",IFERROR(TODAY()+VLOOKUP(R1784,REGRAS!$B$2:$C$13,2,0),""))</f>
        <v/>
      </c>
    </row>
    <row r="1785">
      <c r="T1785" s="47">
        <f>IF(R1785="","",IFERROR(TODAY()+VLOOKUP(R1785,REGRAS!$B$2:$C$13,2,0),""))</f>
        <v/>
      </c>
    </row>
    <row r="1786">
      <c r="T1786" s="47">
        <f>IF(R1786="","",IFERROR(TODAY()+VLOOKUP(R1786,REGRAS!$B$2:$C$13,2,0),""))</f>
        <v/>
      </c>
    </row>
    <row r="1787">
      <c r="T1787" s="47">
        <f>IF(R1787="","",IFERROR(TODAY()+VLOOKUP(R1787,REGRAS!$B$2:$C$13,2,0),""))</f>
        <v/>
      </c>
    </row>
    <row r="1788">
      <c r="T1788" s="47">
        <f>IF(R1788="","",IFERROR(TODAY()+VLOOKUP(R1788,REGRAS!$B$2:$C$13,2,0),""))</f>
        <v/>
      </c>
    </row>
    <row r="1789">
      <c r="T1789" s="47">
        <f>IF(R1789="","",IFERROR(TODAY()+VLOOKUP(R1789,REGRAS!$B$2:$C$13,2,0),""))</f>
        <v/>
      </c>
    </row>
    <row r="1790">
      <c r="T1790" s="47">
        <f>IF(R1790="","",IFERROR(TODAY()+VLOOKUP(R1790,REGRAS!$B$2:$C$13,2,0),""))</f>
        <v/>
      </c>
    </row>
    <row r="1791">
      <c r="T1791" s="47">
        <f>IF(R1791="","",IFERROR(TODAY()+VLOOKUP(R1791,REGRAS!$B$2:$C$13,2,0),""))</f>
        <v/>
      </c>
    </row>
    <row r="1792">
      <c r="T1792" s="47">
        <f>IF(R1792="","",IFERROR(TODAY()+VLOOKUP(R1792,REGRAS!$B$2:$C$13,2,0),""))</f>
        <v/>
      </c>
    </row>
    <row r="1793">
      <c r="T1793" s="47">
        <f>IF(R1793="","",IFERROR(TODAY()+VLOOKUP(R1793,REGRAS!$B$2:$C$13,2,0),""))</f>
        <v/>
      </c>
    </row>
    <row r="1794">
      <c r="T1794" s="47">
        <f>IF(R1794="","",IFERROR(TODAY()+VLOOKUP(R1794,REGRAS!$B$2:$C$13,2,0),""))</f>
        <v/>
      </c>
    </row>
    <row r="1795">
      <c r="T1795" s="47">
        <f>IF(R1795="","",IFERROR(TODAY()+VLOOKUP(R1795,REGRAS!$B$2:$C$13,2,0),""))</f>
        <v/>
      </c>
    </row>
    <row r="1796">
      <c r="T1796" s="47">
        <f>IF(R1796="","",IFERROR(TODAY()+VLOOKUP(R1796,REGRAS!$B$2:$C$13,2,0),""))</f>
        <v/>
      </c>
    </row>
    <row r="1797">
      <c r="T1797" s="47">
        <f>IF(R1797="","",IFERROR(TODAY()+VLOOKUP(R1797,REGRAS!$B$2:$C$13,2,0),""))</f>
        <v/>
      </c>
    </row>
    <row r="1798">
      <c r="T1798" s="47">
        <f>IF(R1798="","",IFERROR(TODAY()+VLOOKUP(R1798,REGRAS!$B$2:$C$13,2,0),""))</f>
        <v/>
      </c>
    </row>
    <row r="1799">
      <c r="T1799" s="47">
        <f>IF(R1799="","",IFERROR(TODAY()+VLOOKUP(R1799,REGRAS!$B$2:$C$13,2,0),""))</f>
        <v/>
      </c>
    </row>
    <row r="1800">
      <c r="T1800" s="47">
        <f>IF(R1800="","",IFERROR(TODAY()+VLOOKUP(R1800,REGRAS!$B$2:$C$13,2,0),""))</f>
        <v/>
      </c>
    </row>
    <row r="1801">
      <c r="T1801" s="47">
        <f>IF(R1801="","",IFERROR(TODAY()+VLOOKUP(R1801,REGRAS!$B$2:$C$13,2,0),""))</f>
        <v/>
      </c>
    </row>
    <row r="1802">
      <c r="T1802" s="47">
        <f>IF(R1802="","",IFERROR(TODAY()+VLOOKUP(R1802,REGRAS!$B$2:$C$13,2,0),""))</f>
        <v/>
      </c>
    </row>
    <row r="1803">
      <c r="T1803" s="47">
        <f>IF(R1803="","",IFERROR(TODAY()+VLOOKUP(R1803,REGRAS!$B$2:$C$13,2,0),""))</f>
        <v/>
      </c>
    </row>
    <row r="1804">
      <c r="T1804" s="47">
        <f>IF(R1804="","",IFERROR(TODAY()+VLOOKUP(R1804,REGRAS!$B$2:$C$13,2,0),""))</f>
        <v/>
      </c>
    </row>
    <row r="1805">
      <c r="T1805" s="47">
        <f>IF(R1805="","",IFERROR(TODAY()+VLOOKUP(R1805,REGRAS!$B$2:$C$13,2,0),""))</f>
        <v/>
      </c>
    </row>
    <row r="1806">
      <c r="T1806" s="47">
        <f>IF(R1806="","",IFERROR(TODAY()+VLOOKUP(R1806,REGRAS!$B$2:$C$13,2,0),""))</f>
        <v/>
      </c>
    </row>
    <row r="1807">
      <c r="T1807" s="47">
        <f>IF(R1807="","",IFERROR(TODAY()+VLOOKUP(R1807,REGRAS!$B$2:$C$13,2,0),""))</f>
        <v/>
      </c>
    </row>
    <row r="1808">
      <c r="T1808" s="47">
        <f>IF(R1808="","",IFERROR(TODAY()+VLOOKUP(R1808,REGRAS!$B$2:$C$13,2,0),""))</f>
        <v/>
      </c>
    </row>
    <row r="1809">
      <c r="T1809" s="47">
        <f>IF(R1809="","",IFERROR(TODAY()+VLOOKUP(R1809,REGRAS!$B$2:$C$13,2,0),""))</f>
        <v/>
      </c>
    </row>
    <row r="1810">
      <c r="T1810" s="47">
        <f>IF(R1810="","",IFERROR(TODAY()+VLOOKUP(R1810,REGRAS!$B$2:$C$13,2,0),""))</f>
        <v/>
      </c>
    </row>
    <row r="1811">
      <c r="T1811" s="47">
        <f>IF(R1811="","",IFERROR(TODAY()+VLOOKUP(R1811,REGRAS!$B$2:$C$13,2,0),""))</f>
        <v/>
      </c>
    </row>
    <row r="1812">
      <c r="T1812" s="47">
        <f>IF(R1812="","",IFERROR(TODAY()+VLOOKUP(R1812,REGRAS!$B$2:$C$13,2,0),""))</f>
        <v/>
      </c>
    </row>
    <row r="1813">
      <c r="T1813" s="47">
        <f>IF(R1813="","",IFERROR(TODAY()+VLOOKUP(R1813,REGRAS!$B$2:$C$13,2,0),""))</f>
        <v/>
      </c>
    </row>
    <row r="1814">
      <c r="T1814" s="47">
        <f>IF(R1814="","",IFERROR(TODAY()+VLOOKUP(R1814,REGRAS!$B$2:$C$13,2,0),""))</f>
        <v/>
      </c>
    </row>
    <row r="1815">
      <c r="T1815" s="47">
        <f>IF(R1815="","",IFERROR(TODAY()+VLOOKUP(R1815,REGRAS!$B$2:$C$13,2,0),""))</f>
        <v/>
      </c>
    </row>
    <row r="1816">
      <c r="T1816" s="47">
        <f>IF(R1816="","",IFERROR(TODAY()+VLOOKUP(R1816,REGRAS!$B$2:$C$13,2,0),""))</f>
        <v/>
      </c>
    </row>
    <row r="1817">
      <c r="T1817" s="47">
        <f>IF(R1817="","",IFERROR(TODAY()+VLOOKUP(R1817,REGRAS!$B$2:$C$13,2,0),""))</f>
        <v/>
      </c>
    </row>
    <row r="1818">
      <c r="T1818" s="47">
        <f>IF(R1818="","",IFERROR(TODAY()+VLOOKUP(R1818,REGRAS!$B$2:$C$13,2,0),""))</f>
        <v/>
      </c>
    </row>
    <row r="1819">
      <c r="T1819" s="47">
        <f>IF(R1819="","",IFERROR(TODAY()+VLOOKUP(R1819,REGRAS!$B$2:$C$13,2,0),""))</f>
        <v/>
      </c>
    </row>
    <row r="1820">
      <c r="T1820" s="47">
        <f>IF(R1820="","",IFERROR(TODAY()+VLOOKUP(R1820,REGRAS!$B$2:$C$13,2,0),""))</f>
        <v/>
      </c>
    </row>
    <row r="1821">
      <c r="T1821" s="47">
        <f>IF(R1821="","",IFERROR(TODAY()+VLOOKUP(R1821,REGRAS!$B$2:$C$13,2,0),""))</f>
        <v/>
      </c>
    </row>
    <row r="1822">
      <c r="T1822" s="47">
        <f>IF(R1822="","",IFERROR(TODAY()+VLOOKUP(R1822,REGRAS!$B$2:$C$13,2,0),""))</f>
        <v/>
      </c>
    </row>
    <row r="1823">
      <c r="T1823" s="47">
        <f>IF(R1823="","",IFERROR(TODAY()+VLOOKUP(R1823,REGRAS!$B$2:$C$13,2,0),""))</f>
        <v/>
      </c>
    </row>
    <row r="1824">
      <c r="T1824" s="47">
        <f>IF(R1824="","",IFERROR(TODAY()+VLOOKUP(R1824,REGRAS!$B$2:$C$13,2,0),""))</f>
        <v/>
      </c>
    </row>
    <row r="1825">
      <c r="T1825" s="47">
        <f>IF(R1825="","",IFERROR(TODAY()+VLOOKUP(R1825,REGRAS!$B$2:$C$13,2,0),""))</f>
        <v/>
      </c>
    </row>
    <row r="1826">
      <c r="T1826" s="47">
        <f>IF(R1826="","",IFERROR(TODAY()+VLOOKUP(R1826,REGRAS!$B$2:$C$13,2,0),""))</f>
        <v/>
      </c>
    </row>
    <row r="1827">
      <c r="T1827" s="47">
        <f>IF(R1827="","",IFERROR(TODAY()+VLOOKUP(R1827,REGRAS!$B$2:$C$13,2,0),""))</f>
        <v/>
      </c>
    </row>
    <row r="1828">
      <c r="T1828" s="47">
        <f>IF(R1828="","",IFERROR(TODAY()+VLOOKUP(R1828,REGRAS!$B$2:$C$13,2,0),""))</f>
        <v/>
      </c>
    </row>
    <row r="1829">
      <c r="T1829" s="47">
        <f>IF(R1829="","",IFERROR(TODAY()+VLOOKUP(R1829,REGRAS!$B$2:$C$13,2,0),""))</f>
        <v/>
      </c>
    </row>
    <row r="1830">
      <c r="T1830" s="47">
        <f>IF(R1830="","",IFERROR(TODAY()+VLOOKUP(R1830,REGRAS!$B$2:$C$13,2,0),""))</f>
        <v/>
      </c>
    </row>
    <row r="1831">
      <c r="T1831" s="47">
        <f>IF(R1831="","",IFERROR(TODAY()+VLOOKUP(R1831,REGRAS!$B$2:$C$13,2,0),""))</f>
        <v/>
      </c>
    </row>
    <row r="1832">
      <c r="T1832" s="47">
        <f>IF(R1832="","",IFERROR(TODAY()+VLOOKUP(R1832,REGRAS!$B$2:$C$13,2,0),""))</f>
        <v/>
      </c>
    </row>
    <row r="1833">
      <c r="T1833" s="47">
        <f>IF(R1833="","",IFERROR(TODAY()+VLOOKUP(R1833,REGRAS!$B$2:$C$13,2,0),""))</f>
        <v/>
      </c>
    </row>
    <row r="1834">
      <c r="T1834" s="47">
        <f>IF(R1834="","",IFERROR(TODAY()+VLOOKUP(R1834,REGRAS!$B$2:$C$13,2,0),""))</f>
        <v/>
      </c>
    </row>
    <row r="1835">
      <c r="T1835" s="47">
        <f>IF(R1835="","",IFERROR(TODAY()+VLOOKUP(R1835,REGRAS!$B$2:$C$13,2,0),""))</f>
        <v/>
      </c>
    </row>
    <row r="1836">
      <c r="T1836" s="47">
        <f>IF(R1836="","",IFERROR(TODAY()+VLOOKUP(R1836,REGRAS!$B$2:$C$13,2,0),""))</f>
        <v/>
      </c>
    </row>
    <row r="1837">
      <c r="T1837" s="47">
        <f>IF(R1837="","",IFERROR(TODAY()+VLOOKUP(R1837,REGRAS!$B$2:$C$13,2,0),""))</f>
        <v/>
      </c>
    </row>
    <row r="1838">
      <c r="T1838" s="47">
        <f>IF(R1838="","",IFERROR(TODAY()+VLOOKUP(R1838,REGRAS!$B$2:$C$13,2,0),""))</f>
        <v/>
      </c>
    </row>
    <row r="1839">
      <c r="T1839" s="47">
        <f>IF(R1839="","",IFERROR(TODAY()+VLOOKUP(R1839,REGRAS!$B$2:$C$13,2,0),""))</f>
        <v/>
      </c>
    </row>
    <row r="1840">
      <c r="T1840" s="47">
        <f>IF(R1840="","",IFERROR(TODAY()+VLOOKUP(R1840,REGRAS!$B$2:$C$13,2,0),""))</f>
        <v/>
      </c>
    </row>
    <row r="1841">
      <c r="T1841" s="47">
        <f>IF(R1841="","",IFERROR(TODAY()+VLOOKUP(R1841,REGRAS!$B$2:$C$13,2,0),""))</f>
        <v/>
      </c>
    </row>
    <row r="1842">
      <c r="T1842" s="47">
        <f>IF(R1842="","",IFERROR(TODAY()+VLOOKUP(R1842,REGRAS!$B$2:$C$13,2,0),""))</f>
        <v/>
      </c>
    </row>
    <row r="1843">
      <c r="T1843" s="47">
        <f>IF(R1843="","",IFERROR(TODAY()+VLOOKUP(R1843,REGRAS!$B$2:$C$13,2,0),""))</f>
        <v/>
      </c>
    </row>
    <row r="1844">
      <c r="T1844" s="47">
        <f>IF(R1844="","",IFERROR(TODAY()+VLOOKUP(R1844,REGRAS!$B$2:$C$13,2,0),""))</f>
        <v/>
      </c>
    </row>
    <row r="1845">
      <c r="T1845" s="47">
        <f>IF(R1845="","",IFERROR(TODAY()+VLOOKUP(R1845,REGRAS!$B$2:$C$13,2,0),""))</f>
        <v/>
      </c>
    </row>
    <row r="1846">
      <c r="T1846" s="47">
        <f>IF(R1846="","",IFERROR(TODAY()+VLOOKUP(R1846,REGRAS!$B$2:$C$13,2,0),""))</f>
        <v/>
      </c>
    </row>
    <row r="1847">
      <c r="T1847" s="47">
        <f>IF(R1847="","",IFERROR(TODAY()+VLOOKUP(R1847,REGRAS!$B$2:$C$13,2,0),""))</f>
        <v/>
      </c>
    </row>
    <row r="1848">
      <c r="T1848" s="47">
        <f>IF(R1848="","",IFERROR(TODAY()+VLOOKUP(R1848,REGRAS!$B$2:$C$13,2,0),""))</f>
        <v/>
      </c>
    </row>
    <row r="1849">
      <c r="T1849" s="47">
        <f>IF(R1849="","",IFERROR(TODAY()+VLOOKUP(R1849,REGRAS!$B$2:$C$13,2,0),""))</f>
        <v/>
      </c>
    </row>
    <row r="1850">
      <c r="T1850" s="47">
        <f>IF(R1850="","",IFERROR(TODAY()+VLOOKUP(R1850,REGRAS!$B$2:$C$13,2,0),""))</f>
        <v/>
      </c>
    </row>
    <row r="1851">
      <c r="T1851" s="47">
        <f>IF(R1851="","",IFERROR(TODAY()+VLOOKUP(R1851,REGRAS!$B$2:$C$13,2,0),""))</f>
        <v/>
      </c>
    </row>
    <row r="1852">
      <c r="T1852" s="47">
        <f>IF(R1852="","",IFERROR(TODAY()+VLOOKUP(R1852,REGRAS!$B$2:$C$13,2,0),""))</f>
        <v/>
      </c>
    </row>
    <row r="1853">
      <c r="T1853" s="47">
        <f>IF(R1853="","",IFERROR(TODAY()+VLOOKUP(R1853,REGRAS!$B$2:$C$13,2,0),""))</f>
        <v/>
      </c>
    </row>
    <row r="1854">
      <c r="T1854" s="47">
        <f>IF(R1854="","",IFERROR(TODAY()+VLOOKUP(R1854,REGRAS!$B$2:$C$13,2,0),""))</f>
        <v/>
      </c>
    </row>
    <row r="1855">
      <c r="T1855" s="47">
        <f>IF(R1855="","",IFERROR(TODAY()+VLOOKUP(R1855,REGRAS!$B$2:$C$13,2,0),""))</f>
        <v/>
      </c>
    </row>
    <row r="1856">
      <c r="T1856" s="47">
        <f>IF(R1856="","",IFERROR(TODAY()+VLOOKUP(R1856,REGRAS!$B$2:$C$13,2,0),""))</f>
        <v/>
      </c>
    </row>
    <row r="1857">
      <c r="T1857" s="47">
        <f>IF(R1857="","",IFERROR(TODAY()+VLOOKUP(R1857,REGRAS!$B$2:$C$13,2,0),""))</f>
        <v/>
      </c>
    </row>
    <row r="1858">
      <c r="T1858" s="47">
        <f>IF(R1858="","",IFERROR(TODAY()+VLOOKUP(R1858,REGRAS!$B$2:$C$13,2,0),""))</f>
        <v/>
      </c>
    </row>
    <row r="1859">
      <c r="T1859" s="47">
        <f>IF(R1859="","",IFERROR(TODAY()+VLOOKUP(R1859,REGRAS!$B$2:$C$13,2,0),""))</f>
        <v/>
      </c>
    </row>
    <row r="1860">
      <c r="T1860" s="47">
        <f>IF(R1860="","",IFERROR(TODAY()+VLOOKUP(R1860,REGRAS!$B$2:$C$13,2,0),""))</f>
        <v/>
      </c>
    </row>
    <row r="1861">
      <c r="T1861" s="47">
        <f>IF(R1861="","",IFERROR(TODAY()+VLOOKUP(R1861,REGRAS!$B$2:$C$13,2,0),""))</f>
        <v/>
      </c>
    </row>
    <row r="1862">
      <c r="T1862" s="47">
        <f>IF(R1862="","",IFERROR(TODAY()+VLOOKUP(R1862,REGRAS!$B$2:$C$13,2,0),""))</f>
        <v/>
      </c>
    </row>
    <row r="1863">
      <c r="T1863" s="47">
        <f>IF(R1863="","",IFERROR(TODAY()+VLOOKUP(R1863,REGRAS!$B$2:$C$13,2,0),""))</f>
        <v/>
      </c>
    </row>
    <row r="1864">
      <c r="T1864" s="47">
        <f>IF(R1864="","",IFERROR(TODAY()+VLOOKUP(R1864,REGRAS!$B$2:$C$13,2,0),""))</f>
        <v/>
      </c>
    </row>
    <row r="1865">
      <c r="T1865" s="47">
        <f>IF(R1865="","",IFERROR(TODAY()+VLOOKUP(R1865,REGRAS!$B$2:$C$13,2,0),""))</f>
        <v/>
      </c>
    </row>
    <row r="1866">
      <c r="T1866" s="47">
        <f>IF(R1866="","",IFERROR(TODAY()+VLOOKUP(R1866,REGRAS!$B$2:$C$13,2,0),""))</f>
        <v/>
      </c>
    </row>
    <row r="1867">
      <c r="T1867" s="47">
        <f>IF(R1867="","",IFERROR(TODAY()+VLOOKUP(R1867,REGRAS!$B$2:$C$13,2,0),""))</f>
        <v/>
      </c>
    </row>
    <row r="1868">
      <c r="T1868" s="47">
        <f>IF(R1868="","",IFERROR(TODAY()+VLOOKUP(R1868,REGRAS!$B$2:$C$13,2,0),""))</f>
        <v/>
      </c>
    </row>
    <row r="1869">
      <c r="T1869" s="47">
        <f>IF(R1869="","",IFERROR(TODAY()+VLOOKUP(R1869,REGRAS!$B$2:$C$13,2,0),""))</f>
        <v/>
      </c>
    </row>
    <row r="1870">
      <c r="T1870" s="47">
        <f>IF(R1870="","",IFERROR(TODAY()+VLOOKUP(R1870,REGRAS!$B$2:$C$13,2,0),""))</f>
        <v/>
      </c>
    </row>
    <row r="1871">
      <c r="T1871" s="47">
        <f>IF(R1871="","",IFERROR(TODAY()+VLOOKUP(R1871,REGRAS!$B$2:$C$13,2,0),""))</f>
        <v/>
      </c>
    </row>
    <row r="1872">
      <c r="T1872" s="47">
        <f>IF(R1872="","",IFERROR(TODAY()+VLOOKUP(R1872,REGRAS!$B$2:$C$13,2,0),""))</f>
        <v/>
      </c>
    </row>
    <row r="1873">
      <c r="T1873" s="47">
        <f>IF(R1873="","",IFERROR(TODAY()+VLOOKUP(R1873,REGRAS!$B$2:$C$13,2,0),""))</f>
        <v/>
      </c>
    </row>
    <row r="1874">
      <c r="T1874" s="47">
        <f>IF(R1874="","",IFERROR(TODAY()+VLOOKUP(R1874,REGRAS!$B$2:$C$13,2,0),""))</f>
        <v/>
      </c>
    </row>
    <row r="1875">
      <c r="T1875" s="47">
        <f>IF(R1875="","",IFERROR(TODAY()+VLOOKUP(R1875,REGRAS!$B$2:$C$13,2,0),""))</f>
        <v/>
      </c>
    </row>
    <row r="1876">
      <c r="T1876" s="47">
        <f>IF(R1876="","",IFERROR(TODAY()+VLOOKUP(R1876,REGRAS!$B$2:$C$13,2,0),""))</f>
        <v/>
      </c>
    </row>
    <row r="1877">
      <c r="T1877" s="47">
        <f>IF(R1877="","",IFERROR(TODAY()+VLOOKUP(R1877,REGRAS!$B$2:$C$13,2,0),""))</f>
        <v/>
      </c>
    </row>
    <row r="1878">
      <c r="T1878" s="47">
        <f>IF(R1878="","",IFERROR(TODAY()+VLOOKUP(R1878,REGRAS!$B$2:$C$13,2,0),""))</f>
        <v/>
      </c>
    </row>
    <row r="1879">
      <c r="T1879" s="47">
        <f>IF(R1879="","",IFERROR(TODAY()+VLOOKUP(R1879,REGRAS!$B$2:$C$13,2,0),""))</f>
        <v/>
      </c>
    </row>
    <row r="1880">
      <c r="T1880" s="47">
        <f>IF(R1880="","",IFERROR(TODAY()+VLOOKUP(R1880,REGRAS!$B$2:$C$13,2,0),""))</f>
        <v/>
      </c>
    </row>
    <row r="1881">
      <c r="T1881" s="47">
        <f>IF(R1881="","",IFERROR(TODAY()+VLOOKUP(R1881,REGRAS!$B$2:$C$13,2,0),""))</f>
        <v/>
      </c>
    </row>
    <row r="1882">
      <c r="T1882" s="47">
        <f>IF(R1882="","",IFERROR(TODAY()+VLOOKUP(R1882,REGRAS!$B$2:$C$13,2,0),""))</f>
        <v/>
      </c>
    </row>
    <row r="1883">
      <c r="T1883" s="47">
        <f>IF(R1883="","",IFERROR(TODAY()+VLOOKUP(R1883,REGRAS!$B$2:$C$13,2,0),""))</f>
        <v/>
      </c>
    </row>
    <row r="1884">
      <c r="T1884" s="47">
        <f>IF(R1884="","",IFERROR(TODAY()+VLOOKUP(R1884,REGRAS!$B$2:$C$13,2,0),""))</f>
        <v/>
      </c>
    </row>
    <row r="1885">
      <c r="T1885" s="47">
        <f>IF(R1885="","",IFERROR(TODAY()+VLOOKUP(R1885,REGRAS!$B$2:$C$13,2,0),""))</f>
        <v/>
      </c>
    </row>
    <row r="1886">
      <c r="T1886" s="47">
        <f>IF(R1886="","",IFERROR(TODAY()+VLOOKUP(R1886,REGRAS!$B$2:$C$13,2,0),""))</f>
        <v/>
      </c>
    </row>
    <row r="1887">
      <c r="T1887" s="47">
        <f>IF(R1887="","",IFERROR(TODAY()+VLOOKUP(R1887,REGRAS!$B$2:$C$13,2,0),""))</f>
        <v/>
      </c>
    </row>
    <row r="1888">
      <c r="T1888" s="47">
        <f>IF(R1888="","",IFERROR(TODAY()+VLOOKUP(R1888,REGRAS!$B$2:$C$13,2,0),""))</f>
        <v/>
      </c>
    </row>
    <row r="1889">
      <c r="T1889" s="47">
        <f>IF(R1889="","",IFERROR(TODAY()+VLOOKUP(R1889,REGRAS!$B$2:$C$13,2,0),""))</f>
        <v/>
      </c>
    </row>
    <row r="1890">
      <c r="T1890" s="47">
        <f>IF(R1890="","",IFERROR(TODAY()+VLOOKUP(R1890,REGRAS!$B$2:$C$13,2,0),""))</f>
        <v/>
      </c>
    </row>
    <row r="1891">
      <c r="T1891" s="47">
        <f>IF(R1891="","",IFERROR(TODAY()+VLOOKUP(R1891,REGRAS!$B$2:$C$13,2,0),""))</f>
        <v/>
      </c>
    </row>
    <row r="1892">
      <c r="T1892" s="47">
        <f>IF(R1892="","",IFERROR(TODAY()+VLOOKUP(R1892,REGRAS!$B$2:$C$13,2,0),""))</f>
        <v/>
      </c>
    </row>
    <row r="1893">
      <c r="T1893" s="47">
        <f>IF(R1893="","",IFERROR(TODAY()+VLOOKUP(R1893,REGRAS!$B$2:$C$13,2,0),""))</f>
        <v/>
      </c>
    </row>
    <row r="1894">
      <c r="T1894" s="47">
        <f>IF(R1894="","",IFERROR(TODAY()+VLOOKUP(R1894,REGRAS!$B$2:$C$13,2,0),""))</f>
        <v/>
      </c>
    </row>
    <row r="1895">
      <c r="T1895" s="47">
        <f>IF(R1895="","",IFERROR(TODAY()+VLOOKUP(R1895,REGRAS!$B$2:$C$13,2,0),""))</f>
        <v/>
      </c>
    </row>
    <row r="1896">
      <c r="T1896" s="47">
        <f>IF(R1896="","",IFERROR(TODAY()+VLOOKUP(R1896,REGRAS!$B$2:$C$13,2,0),""))</f>
        <v/>
      </c>
    </row>
    <row r="1897">
      <c r="T1897" s="47">
        <f>IF(R1897="","",IFERROR(TODAY()+VLOOKUP(R1897,REGRAS!$B$2:$C$13,2,0),""))</f>
        <v/>
      </c>
    </row>
    <row r="1898">
      <c r="T1898" s="47">
        <f>IF(R1898="","",IFERROR(TODAY()+VLOOKUP(R1898,REGRAS!$B$2:$C$13,2,0),""))</f>
        <v/>
      </c>
    </row>
    <row r="1899">
      <c r="T1899" s="47">
        <f>IF(R1899="","",IFERROR(TODAY()+VLOOKUP(R1899,REGRAS!$B$2:$C$13,2,0),""))</f>
        <v/>
      </c>
    </row>
    <row r="1900">
      <c r="T1900" s="47">
        <f>IF(R1900="","",IFERROR(TODAY()+VLOOKUP(R1900,REGRAS!$B$2:$C$13,2,0),""))</f>
        <v/>
      </c>
    </row>
    <row r="1901">
      <c r="T1901" s="47">
        <f>IF(R1901="","",IFERROR(TODAY()+VLOOKUP(R1901,REGRAS!$B$2:$C$13,2,0),""))</f>
        <v/>
      </c>
    </row>
    <row r="1902">
      <c r="T1902" s="47">
        <f>IF(R1902="","",IFERROR(TODAY()+VLOOKUP(R1902,REGRAS!$B$2:$C$13,2,0),""))</f>
        <v/>
      </c>
    </row>
    <row r="1903">
      <c r="T1903" s="47">
        <f>IF(R1903="","",IFERROR(TODAY()+VLOOKUP(R1903,REGRAS!$B$2:$C$13,2,0),""))</f>
        <v/>
      </c>
    </row>
    <row r="1904">
      <c r="T1904" s="47">
        <f>IF(R1904="","",IFERROR(TODAY()+VLOOKUP(R1904,REGRAS!$B$2:$C$13,2,0),""))</f>
        <v/>
      </c>
    </row>
    <row r="1905">
      <c r="T1905" s="47">
        <f>IF(R1905="","",IFERROR(TODAY()+VLOOKUP(R1905,REGRAS!$B$2:$C$13,2,0),""))</f>
        <v/>
      </c>
    </row>
    <row r="1906">
      <c r="T1906" s="47">
        <f>IF(R1906="","",IFERROR(TODAY()+VLOOKUP(R1906,REGRAS!$B$2:$C$13,2,0),""))</f>
        <v/>
      </c>
    </row>
    <row r="1907">
      <c r="T1907" s="47">
        <f>IF(R1907="","",IFERROR(TODAY()+VLOOKUP(R1907,REGRAS!$B$2:$C$13,2,0),""))</f>
        <v/>
      </c>
    </row>
    <row r="1908">
      <c r="T1908" s="47">
        <f>IF(R1908="","",IFERROR(TODAY()+VLOOKUP(R1908,REGRAS!$B$2:$C$13,2,0),""))</f>
        <v/>
      </c>
    </row>
    <row r="1909">
      <c r="T1909" s="47">
        <f>IF(R1909="","",IFERROR(TODAY()+VLOOKUP(R1909,REGRAS!$B$2:$C$13,2,0),""))</f>
        <v/>
      </c>
    </row>
    <row r="1910">
      <c r="T1910" s="47">
        <f>IF(R1910="","",IFERROR(TODAY()+VLOOKUP(R1910,REGRAS!$B$2:$C$13,2,0),""))</f>
        <v/>
      </c>
    </row>
    <row r="1911">
      <c r="T1911" s="47">
        <f>IF(R1911="","",IFERROR(TODAY()+VLOOKUP(R1911,REGRAS!$B$2:$C$13,2,0),""))</f>
        <v/>
      </c>
    </row>
    <row r="1912">
      <c r="T1912" s="47">
        <f>IF(R1912="","",IFERROR(TODAY()+VLOOKUP(R1912,REGRAS!$B$2:$C$13,2,0),""))</f>
        <v/>
      </c>
    </row>
    <row r="1913">
      <c r="T1913" s="47">
        <f>IF(R1913="","",IFERROR(TODAY()+VLOOKUP(R1913,REGRAS!$B$2:$C$13,2,0),""))</f>
        <v/>
      </c>
    </row>
    <row r="1914">
      <c r="T1914" s="47">
        <f>IF(R1914="","",IFERROR(TODAY()+VLOOKUP(R1914,REGRAS!$B$2:$C$13,2,0),""))</f>
        <v/>
      </c>
    </row>
    <row r="1915">
      <c r="T1915" s="47">
        <f>IF(R1915="","",IFERROR(TODAY()+VLOOKUP(R1915,REGRAS!$B$2:$C$13,2,0),""))</f>
        <v/>
      </c>
    </row>
    <row r="1916">
      <c r="T1916" s="47">
        <f>IF(R1916="","",IFERROR(TODAY()+VLOOKUP(R1916,REGRAS!$B$2:$C$13,2,0),""))</f>
        <v/>
      </c>
    </row>
    <row r="1917">
      <c r="T1917" s="47">
        <f>IF(R1917="","",IFERROR(TODAY()+VLOOKUP(R1917,REGRAS!$B$2:$C$13,2,0),""))</f>
        <v/>
      </c>
    </row>
    <row r="1918">
      <c r="T1918" s="47">
        <f>IF(R1918="","",IFERROR(TODAY()+VLOOKUP(R1918,REGRAS!$B$2:$C$13,2,0),""))</f>
        <v/>
      </c>
    </row>
    <row r="1919">
      <c r="T1919" s="47">
        <f>IF(R1919="","",IFERROR(TODAY()+VLOOKUP(R1919,REGRAS!$B$2:$C$13,2,0),""))</f>
        <v/>
      </c>
    </row>
    <row r="1920">
      <c r="T1920" s="47">
        <f>IF(R1920="","",IFERROR(TODAY()+VLOOKUP(R1920,REGRAS!$B$2:$C$13,2,0),""))</f>
        <v/>
      </c>
    </row>
    <row r="1921">
      <c r="T1921" s="47">
        <f>IF(R1921="","",IFERROR(TODAY()+VLOOKUP(R1921,REGRAS!$B$2:$C$13,2,0),""))</f>
        <v/>
      </c>
    </row>
    <row r="1922">
      <c r="T1922" s="47">
        <f>IF(R1922="","",IFERROR(TODAY()+VLOOKUP(R1922,REGRAS!$B$2:$C$13,2,0),""))</f>
        <v/>
      </c>
    </row>
    <row r="1923">
      <c r="T1923" s="47">
        <f>IF(R1923="","",IFERROR(TODAY()+VLOOKUP(R1923,REGRAS!$B$2:$C$13,2,0),""))</f>
        <v/>
      </c>
    </row>
    <row r="1924">
      <c r="T1924" s="47">
        <f>IF(R1924="","",IFERROR(TODAY()+VLOOKUP(R1924,REGRAS!$B$2:$C$13,2,0),""))</f>
        <v/>
      </c>
    </row>
    <row r="1925">
      <c r="T1925" s="47">
        <f>IF(R1925="","",IFERROR(TODAY()+VLOOKUP(R1925,REGRAS!$B$2:$C$13,2,0),""))</f>
        <v/>
      </c>
    </row>
    <row r="1926">
      <c r="T1926" s="47">
        <f>IF(R1926="","",IFERROR(TODAY()+VLOOKUP(R1926,REGRAS!$B$2:$C$13,2,0),""))</f>
        <v/>
      </c>
    </row>
    <row r="1927">
      <c r="T1927" s="47">
        <f>IF(R1927="","",IFERROR(TODAY()+VLOOKUP(R1927,REGRAS!$B$2:$C$13,2,0),""))</f>
        <v/>
      </c>
    </row>
    <row r="1928">
      <c r="T1928" s="47">
        <f>IF(R1928="","",IFERROR(TODAY()+VLOOKUP(R1928,REGRAS!$B$2:$C$13,2,0),""))</f>
        <v/>
      </c>
    </row>
    <row r="1929">
      <c r="T1929" s="47">
        <f>IF(R1929="","",IFERROR(TODAY()+VLOOKUP(R1929,REGRAS!$B$2:$C$13,2,0),""))</f>
        <v/>
      </c>
    </row>
    <row r="1930">
      <c r="T1930" s="47">
        <f>IF(R1930="","",IFERROR(TODAY()+VLOOKUP(R1930,REGRAS!$B$2:$C$13,2,0),""))</f>
        <v/>
      </c>
    </row>
    <row r="1931">
      <c r="T1931" s="47">
        <f>IF(R1931="","",IFERROR(TODAY()+VLOOKUP(R1931,REGRAS!$B$2:$C$13,2,0),""))</f>
        <v/>
      </c>
    </row>
    <row r="1932">
      <c r="T1932" s="47">
        <f>IF(R1932="","",IFERROR(TODAY()+VLOOKUP(R1932,REGRAS!$B$2:$C$13,2,0),""))</f>
        <v/>
      </c>
    </row>
    <row r="1933">
      <c r="T1933" s="47">
        <f>IF(R1933="","",IFERROR(TODAY()+VLOOKUP(R1933,REGRAS!$B$2:$C$13,2,0),""))</f>
        <v/>
      </c>
    </row>
    <row r="1934">
      <c r="T1934" s="47">
        <f>IF(R1934="","",IFERROR(TODAY()+VLOOKUP(R1934,REGRAS!$B$2:$C$13,2,0),""))</f>
        <v/>
      </c>
    </row>
    <row r="1935">
      <c r="T1935" s="47">
        <f>IF(R1935="","",IFERROR(TODAY()+VLOOKUP(R1935,REGRAS!$B$2:$C$13,2,0),""))</f>
        <v/>
      </c>
    </row>
    <row r="1936">
      <c r="T1936" s="47">
        <f>IF(R1936="","",IFERROR(TODAY()+VLOOKUP(R1936,REGRAS!$B$2:$C$13,2,0),""))</f>
        <v/>
      </c>
    </row>
    <row r="1937">
      <c r="T1937" s="47">
        <f>IF(R1937="","",IFERROR(TODAY()+VLOOKUP(R1937,REGRAS!$B$2:$C$13,2,0),""))</f>
        <v/>
      </c>
    </row>
    <row r="1938">
      <c r="T1938" s="47">
        <f>IF(R1938="","",IFERROR(TODAY()+VLOOKUP(R1938,REGRAS!$B$2:$C$13,2,0),""))</f>
        <v/>
      </c>
    </row>
    <row r="1939">
      <c r="T1939" s="47">
        <f>IF(R1939="","",IFERROR(TODAY()+VLOOKUP(R1939,REGRAS!$B$2:$C$13,2,0),""))</f>
        <v/>
      </c>
    </row>
    <row r="1940">
      <c r="T1940" s="47">
        <f>IF(R1940="","",IFERROR(TODAY()+VLOOKUP(R1940,REGRAS!$B$2:$C$13,2,0),""))</f>
        <v/>
      </c>
    </row>
    <row r="1941">
      <c r="T1941" s="47">
        <f>IF(R1941="","",IFERROR(TODAY()+VLOOKUP(R1941,REGRAS!$B$2:$C$13,2,0),""))</f>
        <v/>
      </c>
    </row>
    <row r="1942">
      <c r="T1942" s="47">
        <f>IF(R1942="","",IFERROR(TODAY()+VLOOKUP(R1942,REGRAS!$B$2:$C$13,2,0),""))</f>
        <v/>
      </c>
    </row>
    <row r="1943">
      <c r="T1943" s="47">
        <f>IF(R1943="","",IFERROR(TODAY()+VLOOKUP(R1943,REGRAS!$B$2:$C$13,2,0),""))</f>
        <v/>
      </c>
    </row>
    <row r="1944">
      <c r="T1944" s="47">
        <f>IF(R1944="","",IFERROR(TODAY()+VLOOKUP(R1944,REGRAS!$B$2:$C$13,2,0),""))</f>
        <v/>
      </c>
    </row>
    <row r="1945">
      <c r="T1945" s="47">
        <f>IF(R1945="","",IFERROR(TODAY()+VLOOKUP(R1945,REGRAS!$B$2:$C$13,2,0),""))</f>
        <v/>
      </c>
    </row>
    <row r="1946">
      <c r="T1946" s="47">
        <f>IF(R1946="","",IFERROR(TODAY()+VLOOKUP(R1946,REGRAS!$B$2:$C$13,2,0),""))</f>
        <v/>
      </c>
    </row>
    <row r="1947">
      <c r="T1947" s="47">
        <f>IF(R1947="","",IFERROR(TODAY()+VLOOKUP(R1947,REGRAS!$B$2:$C$13,2,0),""))</f>
        <v/>
      </c>
    </row>
    <row r="1948">
      <c r="T1948" s="47">
        <f>IF(R1948="","",IFERROR(TODAY()+VLOOKUP(R1948,REGRAS!$B$2:$C$13,2,0),""))</f>
        <v/>
      </c>
    </row>
    <row r="1949">
      <c r="T1949" s="47">
        <f>IF(R1949="","",IFERROR(TODAY()+VLOOKUP(R1949,REGRAS!$B$2:$C$13,2,0),""))</f>
        <v/>
      </c>
    </row>
    <row r="1950">
      <c r="T1950" s="47">
        <f>IF(R1950="","",IFERROR(TODAY()+VLOOKUP(R1950,REGRAS!$B$2:$C$13,2,0),""))</f>
        <v/>
      </c>
    </row>
    <row r="1951">
      <c r="T1951" s="47">
        <f>IF(R1951="","",IFERROR(TODAY()+VLOOKUP(R1951,REGRAS!$B$2:$C$13,2,0),""))</f>
        <v/>
      </c>
    </row>
    <row r="1952">
      <c r="T1952" s="47">
        <f>IF(R1952="","",IFERROR(TODAY()+VLOOKUP(R1952,REGRAS!$B$2:$C$13,2,0),""))</f>
        <v/>
      </c>
    </row>
    <row r="1953">
      <c r="T1953" s="47">
        <f>IF(R1953="","",IFERROR(TODAY()+VLOOKUP(R1953,REGRAS!$B$2:$C$13,2,0),""))</f>
        <v/>
      </c>
    </row>
    <row r="1954">
      <c r="T1954" s="47">
        <f>IF(R1954="","",IFERROR(TODAY()+VLOOKUP(R1954,REGRAS!$B$2:$C$13,2,0),""))</f>
        <v/>
      </c>
    </row>
    <row r="1955">
      <c r="T1955" s="47">
        <f>IF(R1955="","",IFERROR(TODAY()+VLOOKUP(R1955,REGRAS!$B$2:$C$13,2,0),""))</f>
        <v/>
      </c>
    </row>
    <row r="1956">
      <c r="T1956" s="47">
        <f>IF(R1956="","",IFERROR(TODAY()+VLOOKUP(R1956,REGRAS!$B$2:$C$13,2,0),""))</f>
        <v/>
      </c>
    </row>
    <row r="1957">
      <c r="T1957" s="47">
        <f>IF(R1957="","",IFERROR(TODAY()+VLOOKUP(R1957,REGRAS!$B$2:$C$13,2,0),""))</f>
        <v/>
      </c>
    </row>
    <row r="1958">
      <c r="T1958" s="47">
        <f>IF(R1958="","",IFERROR(TODAY()+VLOOKUP(R1958,REGRAS!$B$2:$C$13,2,0),""))</f>
        <v/>
      </c>
    </row>
    <row r="1959">
      <c r="T1959" s="47">
        <f>IF(R1959="","",IFERROR(TODAY()+VLOOKUP(R1959,REGRAS!$B$2:$C$13,2,0),""))</f>
        <v/>
      </c>
    </row>
    <row r="1960">
      <c r="T1960" s="47">
        <f>IF(R1960="","",IFERROR(TODAY()+VLOOKUP(R1960,REGRAS!$B$2:$C$13,2,0),""))</f>
        <v/>
      </c>
    </row>
    <row r="1961">
      <c r="T1961" s="47">
        <f>IF(R1961="","",IFERROR(TODAY()+VLOOKUP(R1961,REGRAS!$B$2:$C$13,2,0),""))</f>
        <v/>
      </c>
    </row>
    <row r="1962">
      <c r="T1962" s="47">
        <f>IF(R1962="","",IFERROR(TODAY()+VLOOKUP(R1962,REGRAS!$B$2:$C$13,2,0),""))</f>
        <v/>
      </c>
    </row>
    <row r="1963">
      <c r="T1963" s="47">
        <f>IF(R1963="","",IFERROR(TODAY()+VLOOKUP(R1963,REGRAS!$B$2:$C$13,2,0),""))</f>
        <v/>
      </c>
    </row>
    <row r="1964">
      <c r="T1964" s="47">
        <f>IF(R1964="","",IFERROR(TODAY()+VLOOKUP(R1964,REGRAS!$B$2:$C$13,2,0),""))</f>
        <v/>
      </c>
    </row>
    <row r="1965">
      <c r="T1965" s="47">
        <f>IF(R1965="","",IFERROR(TODAY()+VLOOKUP(R1965,REGRAS!$B$2:$C$13,2,0),""))</f>
        <v/>
      </c>
    </row>
    <row r="1966">
      <c r="T1966" s="47">
        <f>IF(R1966="","",IFERROR(TODAY()+VLOOKUP(R1966,REGRAS!$B$2:$C$13,2,0),""))</f>
        <v/>
      </c>
    </row>
    <row r="1967">
      <c r="T1967" s="47">
        <f>IF(R1967="","",IFERROR(TODAY()+VLOOKUP(R1967,REGRAS!$B$2:$C$13,2,0),""))</f>
        <v/>
      </c>
    </row>
    <row r="1968">
      <c r="T1968" s="47">
        <f>IF(R1968="","",IFERROR(TODAY()+VLOOKUP(R1968,REGRAS!$B$2:$C$13,2,0),""))</f>
        <v/>
      </c>
    </row>
    <row r="1969">
      <c r="T1969" s="47">
        <f>IF(R1969="","",IFERROR(TODAY()+VLOOKUP(R1969,REGRAS!$B$2:$C$13,2,0),""))</f>
        <v/>
      </c>
    </row>
    <row r="1970">
      <c r="T1970" s="47">
        <f>IF(R1970="","",IFERROR(TODAY()+VLOOKUP(R1970,REGRAS!$B$2:$C$13,2,0),""))</f>
        <v/>
      </c>
    </row>
    <row r="1971">
      <c r="T1971" s="47">
        <f>IF(R1971="","",IFERROR(TODAY()+VLOOKUP(R1971,REGRAS!$B$2:$C$13,2,0),""))</f>
        <v/>
      </c>
    </row>
    <row r="1972">
      <c r="T1972" s="47">
        <f>IF(R1972="","",IFERROR(TODAY()+VLOOKUP(R1972,REGRAS!$B$2:$C$13,2,0),""))</f>
        <v/>
      </c>
    </row>
    <row r="1973">
      <c r="T1973" s="47">
        <f>IF(R1973="","",IFERROR(TODAY()+VLOOKUP(R1973,REGRAS!$B$2:$C$13,2,0),""))</f>
        <v/>
      </c>
    </row>
    <row r="1974">
      <c r="T1974" s="47">
        <f>IF(R1974="","",IFERROR(TODAY()+VLOOKUP(R1974,REGRAS!$B$2:$C$13,2,0),""))</f>
        <v/>
      </c>
    </row>
    <row r="1975">
      <c r="T1975" s="47">
        <f>IF(R1975="","",IFERROR(TODAY()+VLOOKUP(R1975,REGRAS!$B$2:$C$13,2,0),""))</f>
        <v/>
      </c>
    </row>
    <row r="1976">
      <c r="T1976" s="47">
        <f>IF(R1976="","",IFERROR(TODAY()+VLOOKUP(R1976,REGRAS!$B$2:$C$13,2,0),""))</f>
        <v/>
      </c>
    </row>
    <row r="1977">
      <c r="T1977" s="47">
        <f>IF(R1977="","",IFERROR(TODAY()+VLOOKUP(R1977,REGRAS!$B$2:$C$13,2,0),""))</f>
        <v/>
      </c>
    </row>
    <row r="1978">
      <c r="T1978" s="47">
        <f>IF(R1978="","",IFERROR(TODAY()+VLOOKUP(R1978,REGRAS!$B$2:$C$13,2,0),""))</f>
        <v/>
      </c>
    </row>
    <row r="1979">
      <c r="T1979" s="47">
        <f>IF(R1979="","",IFERROR(TODAY()+VLOOKUP(R1979,REGRAS!$B$2:$C$13,2,0),""))</f>
        <v/>
      </c>
    </row>
    <row r="1980">
      <c r="T1980" s="47">
        <f>IF(R1980="","",IFERROR(TODAY()+VLOOKUP(R1980,REGRAS!$B$2:$C$13,2,0),""))</f>
        <v/>
      </c>
    </row>
    <row r="1981">
      <c r="T1981" s="47">
        <f>IF(R1981="","",IFERROR(TODAY()+VLOOKUP(R1981,REGRAS!$B$2:$C$13,2,0),""))</f>
        <v/>
      </c>
    </row>
    <row r="1982">
      <c r="T1982" s="47">
        <f>IF(R1982="","",IFERROR(TODAY()+VLOOKUP(R1982,REGRAS!$B$2:$C$13,2,0),""))</f>
        <v/>
      </c>
    </row>
    <row r="1983">
      <c r="T1983" s="47">
        <f>IF(R1983="","",IFERROR(TODAY()+VLOOKUP(R1983,REGRAS!$B$2:$C$13,2,0),""))</f>
        <v/>
      </c>
    </row>
    <row r="1984">
      <c r="T1984" s="47">
        <f>IF(R1984="","",IFERROR(TODAY()+VLOOKUP(R1984,REGRAS!$B$2:$C$13,2,0),""))</f>
        <v/>
      </c>
    </row>
    <row r="1985">
      <c r="T1985" s="47">
        <f>IF(R1985="","",IFERROR(TODAY()+VLOOKUP(R1985,REGRAS!$B$2:$C$13,2,0),""))</f>
        <v/>
      </c>
    </row>
    <row r="1986">
      <c r="T1986" s="47">
        <f>IF(R1986="","",IFERROR(TODAY()+VLOOKUP(R1986,REGRAS!$B$2:$C$13,2,0),""))</f>
        <v/>
      </c>
    </row>
    <row r="1987">
      <c r="T1987" s="47">
        <f>IF(R1987="","",IFERROR(TODAY()+VLOOKUP(R1987,REGRAS!$B$2:$C$13,2,0),""))</f>
        <v/>
      </c>
    </row>
    <row r="1988">
      <c r="T1988" s="47">
        <f>IF(R1988="","",IFERROR(TODAY()+VLOOKUP(R1988,REGRAS!$B$2:$C$13,2,0),""))</f>
        <v/>
      </c>
    </row>
    <row r="1989">
      <c r="T1989" s="47">
        <f>IF(R1989="","",IFERROR(TODAY()+VLOOKUP(R1989,REGRAS!$B$2:$C$13,2,0),""))</f>
        <v/>
      </c>
    </row>
    <row r="1990">
      <c r="T1990" s="47">
        <f>IF(R1990="","",IFERROR(TODAY()+VLOOKUP(R1990,REGRAS!$B$2:$C$13,2,0),""))</f>
        <v/>
      </c>
    </row>
    <row r="1991">
      <c r="T1991" s="47">
        <f>IF(R1991="","",IFERROR(TODAY()+VLOOKUP(R1991,REGRAS!$B$2:$C$13,2,0),""))</f>
        <v/>
      </c>
    </row>
    <row r="1992">
      <c r="T1992" s="47">
        <f>IF(R1992="","",IFERROR(TODAY()+VLOOKUP(R1992,REGRAS!$B$2:$C$13,2,0),""))</f>
        <v/>
      </c>
    </row>
    <row r="1993">
      <c r="T1993" s="47">
        <f>IF(R1993="","",IFERROR(TODAY()+VLOOKUP(R1993,REGRAS!$B$2:$C$13,2,0),""))</f>
        <v/>
      </c>
    </row>
    <row r="1994">
      <c r="T1994" s="47">
        <f>IF(R1994="","",IFERROR(TODAY()+VLOOKUP(R1994,REGRAS!$B$2:$C$13,2,0),""))</f>
        <v/>
      </c>
    </row>
    <row r="1995">
      <c r="T1995" s="47">
        <f>IF(R1995="","",IFERROR(TODAY()+VLOOKUP(R1995,REGRAS!$B$2:$C$13,2,0),""))</f>
        <v/>
      </c>
    </row>
    <row r="1996">
      <c r="T1996" s="47">
        <f>IF(R1996="","",IFERROR(TODAY()+VLOOKUP(R1996,REGRAS!$B$2:$C$13,2,0),""))</f>
        <v/>
      </c>
    </row>
    <row r="1997">
      <c r="T1997" s="47">
        <f>IF(R1997="","",IFERROR(TODAY()+VLOOKUP(R1997,REGRAS!$B$2:$C$13,2,0),""))</f>
        <v/>
      </c>
    </row>
    <row r="1998">
      <c r="T1998" s="47">
        <f>IF(R1998="","",IFERROR(TODAY()+VLOOKUP(R1998,REGRAS!$B$2:$C$13,2,0),""))</f>
        <v/>
      </c>
    </row>
    <row r="1999">
      <c r="T1999" s="47">
        <f>IF(R1999="","",IFERROR(TODAY()+VLOOKUP(R1999,REGRAS!$B$2:$C$13,2,0),""))</f>
        <v/>
      </c>
    </row>
    <row r="2000">
      <c r="T2000" s="47">
        <f>IF(R2000="","",IFERROR(TODAY()+VLOOKUP(R2000,REGRAS!$B$2:$C$13,2,0),""))</f>
        <v/>
      </c>
    </row>
    <row r="2001">
      <c r="T2001" s="47">
        <f>IF(R2001="","",IFERROR(TODAY()+VLOOKUP(R2001,REGRAS!$B$2:$C$13,2,0),""))</f>
        <v/>
      </c>
    </row>
    <row r="2002">
      <c r="T2002" s="47">
        <f>IF(R2002="","",IFERROR(TODAY()+VLOOKUP(R2002,REGRAS!$B$2:$C$13,2,0),""))</f>
        <v/>
      </c>
    </row>
    <row r="2003">
      <c r="T2003" s="47">
        <f>IF(R2003="","",IFERROR(TODAY()+VLOOKUP(R2003,REGRAS!$B$2:$C$13,2,0),""))</f>
        <v/>
      </c>
    </row>
    <row r="2004">
      <c r="T2004" s="47">
        <f>IF(R2004="","",IFERROR(TODAY()+VLOOKUP(R2004,REGRAS!$B$2:$C$13,2,0),""))</f>
        <v/>
      </c>
    </row>
    <row r="2005">
      <c r="T2005" s="47">
        <f>IF(R2005="","",IFERROR(TODAY()+VLOOKUP(R2005,REGRAS!$B$2:$C$13,2,0),""))</f>
        <v/>
      </c>
    </row>
    <row r="2006">
      <c r="T2006" s="47">
        <f>IF(R2006="","",IFERROR(TODAY()+VLOOKUP(R2006,REGRAS!$B$2:$C$13,2,0),""))</f>
        <v/>
      </c>
    </row>
    <row r="2007">
      <c r="T2007" s="47">
        <f>IF(R2007="","",IFERROR(TODAY()+VLOOKUP(R2007,REGRAS!$B$2:$C$13,2,0),""))</f>
        <v/>
      </c>
    </row>
    <row r="2008">
      <c r="T2008" s="47">
        <f>IF(R2008="","",IFERROR(TODAY()+VLOOKUP(R2008,REGRAS!$B$2:$C$13,2,0),""))</f>
        <v/>
      </c>
    </row>
    <row r="2009">
      <c r="T2009" s="47">
        <f>IF(R2009="","",IFERROR(TODAY()+VLOOKUP(R2009,REGRAS!$B$2:$C$13,2,0),""))</f>
        <v/>
      </c>
    </row>
    <row r="2010">
      <c r="T2010" s="47">
        <f>IF(R2010="","",IFERROR(TODAY()+VLOOKUP(R2010,REGRAS!$B$2:$C$13,2,0),""))</f>
        <v/>
      </c>
    </row>
    <row r="2011">
      <c r="T2011" s="47">
        <f>IF(R2011="","",IFERROR(TODAY()+VLOOKUP(R2011,REGRAS!$B$2:$C$13,2,0),""))</f>
        <v/>
      </c>
    </row>
    <row r="2012">
      <c r="T2012" s="47">
        <f>IF(R2012="","",IFERROR(TODAY()+VLOOKUP(R2012,REGRAS!$B$2:$C$13,2,0),""))</f>
        <v/>
      </c>
    </row>
    <row r="2013">
      <c r="T2013" s="47">
        <f>IF(R2013="","",IFERROR(TODAY()+VLOOKUP(R2013,REGRAS!$B$2:$C$13,2,0),""))</f>
        <v/>
      </c>
    </row>
    <row r="2014">
      <c r="T2014" s="47">
        <f>IF(R2014="","",IFERROR(TODAY()+VLOOKUP(R2014,REGRAS!$B$2:$C$13,2,0),""))</f>
        <v/>
      </c>
    </row>
    <row r="2015">
      <c r="T2015" s="47">
        <f>IF(R2015="","",IFERROR(TODAY()+VLOOKUP(R2015,REGRAS!$B$2:$C$13,2,0),""))</f>
        <v/>
      </c>
    </row>
    <row r="2016">
      <c r="T2016" s="47">
        <f>IF(R2016="","",IFERROR(TODAY()+VLOOKUP(R2016,REGRAS!$B$2:$C$13,2,0),""))</f>
        <v/>
      </c>
    </row>
    <row r="2017">
      <c r="T2017" s="47">
        <f>IF(R2017="","",IFERROR(TODAY()+VLOOKUP(R2017,REGRAS!$B$2:$C$13,2,0),""))</f>
        <v/>
      </c>
    </row>
    <row r="2018">
      <c r="T2018" s="47">
        <f>IF(R2018="","",IFERROR(TODAY()+VLOOKUP(R2018,REGRAS!$B$2:$C$13,2,0),""))</f>
        <v/>
      </c>
    </row>
    <row r="2019">
      <c r="T2019" s="47">
        <f>IF(R2019="","",IFERROR(TODAY()+VLOOKUP(R2019,REGRAS!$B$2:$C$13,2,0),""))</f>
        <v/>
      </c>
    </row>
    <row r="2020">
      <c r="T2020" s="47">
        <f>IF(R2020="","",IFERROR(TODAY()+VLOOKUP(R2020,REGRAS!$B$2:$C$13,2,0),""))</f>
        <v/>
      </c>
    </row>
    <row r="2021">
      <c r="T2021" s="47">
        <f>IF(R2021="","",IFERROR(TODAY()+VLOOKUP(R2021,REGRAS!$B$2:$C$13,2,0),""))</f>
        <v/>
      </c>
    </row>
    <row r="2022">
      <c r="T2022" s="47">
        <f>IF(R2022="","",IFERROR(TODAY()+VLOOKUP(R2022,REGRAS!$B$2:$C$13,2,0),""))</f>
        <v/>
      </c>
    </row>
    <row r="2023">
      <c r="T2023" s="47">
        <f>IF(R2023="","",IFERROR(TODAY()+VLOOKUP(R2023,REGRAS!$B$2:$C$13,2,0),""))</f>
        <v/>
      </c>
    </row>
    <row r="2024">
      <c r="T2024" s="47">
        <f>IF(R2024="","",IFERROR(TODAY()+VLOOKUP(R2024,REGRAS!$B$2:$C$13,2,0),""))</f>
        <v/>
      </c>
    </row>
    <row r="2025">
      <c r="T2025" s="47">
        <f>IF(R2025="","",IFERROR(TODAY()+VLOOKUP(R2025,REGRAS!$B$2:$C$13,2,0),""))</f>
        <v/>
      </c>
    </row>
    <row r="2026">
      <c r="T2026" s="47">
        <f>IF(R2026="","",IFERROR(TODAY()+VLOOKUP(R2026,REGRAS!$B$2:$C$13,2,0),""))</f>
        <v/>
      </c>
    </row>
    <row r="2027">
      <c r="T2027" s="47">
        <f>IF(R2027="","",IFERROR(TODAY()+VLOOKUP(R2027,REGRAS!$B$2:$C$13,2,0),""))</f>
        <v/>
      </c>
    </row>
    <row r="2028">
      <c r="T2028" s="47">
        <f>IF(R2028="","",IFERROR(TODAY()+VLOOKUP(R2028,REGRAS!$B$2:$C$13,2,0),""))</f>
        <v/>
      </c>
    </row>
    <row r="2029">
      <c r="T2029" s="47">
        <f>IF(R2029="","",IFERROR(TODAY()+VLOOKUP(R2029,REGRAS!$B$2:$C$13,2,0),""))</f>
        <v/>
      </c>
    </row>
    <row r="2030">
      <c r="T2030" s="47">
        <f>IF(R2030="","",IFERROR(TODAY()+VLOOKUP(R2030,REGRAS!$B$2:$C$13,2,0),""))</f>
        <v/>
      </c>
    </row>
    <row r="2031">
      <c r="T2031" s="47">
        <f>IF(R2031="","",IFERROR(TODAY()+VLOOKUP(R2031,REGRAS!$B$2:$C$13,2,0),""))</f>
        <v/>
      </c>
    </row>
    <row r="2032">
      <c r="T2032" s="47">
        <f>IF(R2032="","",IFERROR(TODAY()+VLOOKUP(R2032,REGRAS!$B$2:$C$13,2,0),""))</f>
        <v/>
      </c>
    </row>
    <row r="2033">
      <c r="T2033" s="47">
        <f>IF(R2033="","",IFERROR(TODAY()+VLOOKUP(R2033,REGRAS!$B$2:$C$13,2,0),""))</f>
        <v/>
      </c>
    </row>
    <row r="2034">
      <c r="T2034" s="47">
        <f>IF(R2034="","",IFERROR(TODAY()+VLOOKUP(R2034,REGRAS!$B$2:$C$13,2,0),""))</f>
        <v/>
      </c>
    </row>
    <row r="2035">
      <c r="T2035" s="47">
        <f>IF(R2035="","",IFERROR(TODAY()+VLOOKUP(R2035,REGRAS!$B$2:$C$13,2,0),""))</f>
        <v/>
      </c>
    </row>
    <row r="2036">
      <c r="T2036" s="47">
        <f>IF(R2036="","",IFERROR(TODAY()+VLOOKUP(R2036,REGRAS!$B$2:$C$13,2,0),""))</f>
        <v/>
      </c>
    </row>
    <row r="2037">
      <c r="T2037" s="47">
        <f>IF(R2037="","",IFERROR(TODAY()+VLOOKUP(R2037,REGRAS!$B$2:$C$13,2,0),""))</f>
        <v/>
      </c>
    </row>
    <row r="2038">
      <c r="T2038" s="47">
        <f>IF(R2038="","",IFERROR(TODAY()+VLOOKUP(R2038,REGRAS!$B$2:$C$13,2,0),""))</f>
        <v/>
      </c>
    </row>
    <row r="2039">
      <c r="T2039" s="47">
        <f>IF(R2039="","",IFERROR(TODAY()+VLOOKUP(R2039,REGRAS!$B$2:$C$13,2,0),""))</f>
        <v/>
      </c>
    </row>
    <row r="2040">
      <c r="T2040" s="47">
        <f>IF(R2040="","",IFERROR(TODAY()+VLOOKUP(R2040,REGRAS!$B$2:$C$13,2,0),""))</f>
        <v/>
      </c>
    </row>
    <row r="2041">
      <c r="T2041" s="47">
        <f>IF(R2041="","",IFERROR(TODAY()+VLOOKUP(R2041,REGRAS!$B$2:$C$13,2,0),""))</f>
        <v/>
      </c>
    </row>
    <row r="2042">
      <c r="T2042" s="47">
        <f>IF(R2042="","",IFERROR(TODAY()+VLOOKUP(R2042,REGRAS!$B$2:$C$13,2,0),""))</f>
        <v/>
      </c>
    </row>
    <row r="2043">
      <c r="T2043" s="47">
        <f>IF(R2043="","",IFERROR(TODAY()+VLOOKUP(R2043,REGRAS!$B$2:$C$13,2,0),""))</f>
        <v/>
      </c>
    </row>
    <row r="2044">
      <c r="T2044" s="47">
        <f>IF(R2044="","",IFERROR(TODAY()+VLOOKUP(R2044,REGRAS!$B$2:$C$13,2,0),""))</f>
        <v/>
      </c>
    </row>
    <row r="2045">
      <c r="T2045" s="47">
        <f>IF(R2045="","",IFERROR(TODAY()+VLOOKUP(R2045,REGRAS!$B$2:$C$13,2,0),""))</f>
        <v/>
      </c>
    </row>
    <row r="2046">
      <c r="T2046" s="47">
        <f>IF(R2046="","",IFERROR(TODAY()+VLOOKUP(R2046,REGRAS!$B$2:$C$13,2,0),""))</f>
        <v/>
      </c>
    </row>
    <row r="2047">
      <c r="T2047" s="47">
        <f>IF(R2047="","",IFERROR(TODAY()+VLOOKUP(R2047,REGRAS!$B$2:$C$13,2,0),""))</f>
        <v/>
      </c>
    </row>
    <row r="2048">
      <c r="T2048" s="47">
        <f>IF(R2048="","",IFERROR(TODAY()+VLOOKUP(R2048,REGRAS!$B$2:$C$13,2,0),""))</f>
        <v/>
      </c>
    </row>
    <row r="2049">
      <c r="T2049" s="47">
        <f>IF(R2049="","",IFERROR(TODAY()+VLOOKUP(R2049,REGRAS!$B$2:$C$13,2,0),""))</f>
        <v/>
      </c>
    </row>
    <row r="2050">
      <c r="T2050" s="47">
        <f>IF(R2050="","",IFERROR(TODAY()+VLOOKUP(R2050,REGRAS!$B$2:$C$13,2,0),""))</f>
        <v/>
      </c>
    </row>
    <row r="2051">
      <c r="T2051" s="47">
        <f>IF(R2051="","",IFERROR(TODAY()+VLOOKUP(R2051,REGRAS!$B$2:$C$13,2,0),""))</f>
        <v/>
      </c>
    </row>
    <row r="2052">
      <c r="T2052" s="47">
        <f>IF(R2052="","",IFERROR(TODAY()+VLOOKUP(R2052,REGRAS!$B$2:$C$13,2,0),""))</f>
        <v/>
      </c>
    </row>
    <row r="2053">
      <c r="T2053" s="47">
        <f>IF(R2053="","",IFERROR(TODAY()+VLOOKUP(R2053,REGRAS!$B$2:$C$13,2,0),""))</f>
        <v/>
      </c>
    </row>
    <row r="2054">
      <c r="T2054" s="47">
        <f>IF(R2054="","",IFERROR(TODAY()+VLOOKUP(R2054,REGRAS!$B$2:$C$13,2,0),""))</f>
        <v/>
      </c>
    </row>
    <row r="2055">
      <c r="T2055" s="47">
        <f>IF(R2055="","",IFERROR(TODAY()+VLOOKUP(R2055,REGRAS!$B$2:$C$13,2,0),""))</f>
        <v/>
      </c>
    </row>
    <row r="2056">
      <c r="T2056" s="47">
        <f>IF(R2056="","",IFERROR(TODAY()+VLOOKUP(R2056,REGRAS!$B$2:$C$13,2,0),""))</f>
        <v/>
      </c>
    </row>
    <row r="2057">
      <c r="T2057" s="47">
        <f>IF(R2057="","",IFERROR(TODAY()+VLOOKUP(R2057,REGRAS!$B$2:$C$13,2,0),""))</f>
        <v/>
      </c>
    </row>
    <row r="2058">
      <c r="T2058" s="47">
        <f>IF(R2058="","",IFERROR(TODAY()+VLOOKUP(R2058,REGRAS!$B$2:$C$13,2,0),""))</f>
        <v/>
      </c>
    </row>
    <row r="2059">
      <c r="T2059" s="47">
        <f>IF(R2059="","",IFERROR(TODAY()+VLOOKUP(R2059,REGRAS!$B$2:$C$13,2,0),""))</f>
        <v/>
      </c>
    </row>
    <row r="2060">
      <c r="T2060" s="47">
        <f>IF(R2060="","",IFERROR(TODAY()+VLOOKUP(R2060,REGRAS!$B$2:$C$13,2,0),""))</f>
        <v/>
      </c>
    </row>
    <row r="2061">
      <c r="T2061" s="47">
        <f>IF(R2061="","",IFERROR(TODAY()+VLOOKUP(R2061,REGRAS!$B$2:$C$13,2,0),""))</f>
        <v/>
      </c>
    </row>
    <row r="2062">
      <c r="T2062" s="47">
        <f>IF(R2062="","",IFERROR(TODAY()+VLOOKUP(R2062,REGRAS!$B$2:$C$13,2,0),""))</f>
        <v/>
      </c>
    </row>
    <row r="2063">
      <c r="T2063" s="47">
        <f>IF(R2063="","",IFERROR(TODAY()+VLOOKUP(R2063,REGRAS!$B$2:$C$13,2,0),""))</f>
        <v/>
      </c>
    </row>
    <row r="2064">
      <c r="T2064" s="47">
        <f>IF(R2064="","",IFERROR(TODAY()+VLOOKUP(R2064,REGRAS!$B$2:$C$13,2,0),""))</f>
        <v/>
      </c>
    </row>
    <row r="2065">
      <c r="T2065" s="47">
        <f>IF(R2065="","",IFERROR(TODAY()+VLOOKUP(R2065,REGRAS!$B$2:$C$13,2,0),""))</f>
        <v/>
      </c>
    </row>
    <row r="2066">
      <c r="T2066" s="47">
        <f>IF(R2066="","",IFERROR(TODAY()+VLOOKUP(R2066,REGRAS!$B$2:$C$13,2,0),""))</f>
        <v/>
      </c>
    </row>
    <row r="2067">
      <c r="T2067" s="47">
        <f>IF(R2067="","",IFERROR(TODAY()+VLOOKUP(R2067,REGRAS!$B$2:$C$13,2,0),""))</f>
        <v/>
      </c>
    </row>
    <row r="2068">
      <c r="T2068" s="47">
        <f>IF(R2068="","",IFERROR(TODAY()+VLOOKUP(R2068,REGRAS!$B$2:$C$13,2,0),""))</f>
        <v/>
      </c>
    </row>
    <row r="2069">
      <c r="T2069" s="47">
        <f>IF(R2069="","",IFERROR(TODAY()+VLOOKUP(R2069,REGRAS!$B$2:$C$13,2,0),""))</f>
        <v/>
      </c>
    </row>
    <row r="2070">
      <c r="T2070" s="47">
        <f>IF(R2070="","",IFERROR(TODAY()+VLOOKUP(R2070,REGRAS!$B$2:$C$13,2,0),""))</f>
        <v/>
      </c>
    </row>
    <row r="2071">
      <c r="T2071" s="47">
        <f>IF(R2071="","",IFERROR(TODAY()+VLOOKUP(R2071,REGRAS!$B$2:$C$13,2,0),""))</f>
        <v/>
      </c>
    </row>
    <row r="2072">
      <c r="T2072" s="47">
        <f>IF(R2072="","",IFERROR(TODAY()+VLOOKUP(R2072,REGRAS!$B$2:$C$13,2,0),""))</f>
        <v/>
      </c>
    </row>
    <row r="2073">
      <c r="T2073" s="47">
        <f>IF(R2073="","",IFERROR(TODAY()+VLOOKUP(R2073,REGRAS!$B$2:$C$13,2,0),""))</f>
        <v/>
      </c>
    </row>
    <row r="2074">
      <c r="T2074" s="47">
        <f>IF(R2074="","",IFERROR(TODAY()+VLOOKUP(R2074,REGRAS!$B$2:$C$13,2,0),""))</f>
        <v/>
      </c>
    </row>
    <row r="2075">
      <c r="T2075" s="47">
        <f>IF(R2075="","",IFERROR(TODAY()+VLOOKUP(R2075,REGRAS!$B$2:$C$13,2,0),""))</f>
        <v/>
      </c>
    </row>
    <row r="2076">
      <c r="T2076" s="47">
        <f>IF(R2076="","",IFERROR(TODAY()+VLOOKUP(R2076,REGRAS!$B$2:$C$13,2,0),""))</f>
        <v/>
      </c>
    </row>
    <row r="2077">
      <c r="T2077" s="47">
        <f>IF(R2077="","",IFERROR(TODAY()+VLOOKUP(R2077,REGRAS!$B$2:$C$13,2,0),""))</f>
        <v/>
      </c>
    </row>
    <row r="2078">
      <c r="T2078" s="47">
        <f>IF(R2078="","",IFERROR(TODAY()+VLOOKUP(R2078,REGRAS!$B$2:$C$13,2,0),""))</f>
        <v/>
      </c>
    </row>
    <row r="2079">
      <c r="T2079" s="47">
        <f>IF(R2079="","",IFERROR(TODAY()+VLOOKUP(R2079,REGRAS!$B$2:$C$13,2,0),""))</f>
        <v/>
      </c>
    </row>
    <row r="2080">
      <c r="T2080" s="47">
        <f>IF(R2080="","",IFERROR(TODAY()+VLOOKUP(R2080,REGRAS!$B$2:$C$13,2,0),""))</f>
        <v/>
      </c>
    </row>
    <row r="2081">
      <c r="T2081" s="47">
        <f>IF(R2081="","",IFERROR(TODAY()+VLOOKUP(R2081,REGRAS!$B$2:$C$13,2,0),""))</f>
        <v/>
      </c>
    </row>
    <row r="2082">
      <c r="T2082" s="47">
        <f>IF(R2082="","",IFERROR(TODAY()+VLOOKUP(R2082,REGRAS!$B$2:$C$13,2,0),""))</f>
        <v/>
      </c>
    </row>
    <row r="2083">
      <c r="T2083" s="47">
        <f>IF(R2083="","",IFERROR(TODAY()+VLOOKUP(R2083,REGRAS!$B$2:$C$13,2,0),""))</f>
        <v/>
      </c>
    </row>
    <row r="2084">
      <c r="T2084" s="47">
        <f>IF(R2084="","",IFERROR(TODAY()+VLOOKUP(R2084,REGRAS!$B$2:$C$13,2,0),""))</f>
        <v/>
      </c>
    </row>
    <row r="2085">
      <c r="T2085" s="47">
        <f>IF(R2085="","",IFERROR(TODAY()+VLOOKUP(R2085,REGRAS!$B$2:$C$13,2,0),""))</f>
        <v/>
      </c>
    </row>
    <row r="2086">
      <c r="T2086" s="47">
        <f>IF(R2086="","",IFERROR(TODAY()+VLOOKUP(R2086,REGRAS!$B$2:$C$13,2,0),""))</f>
        <v/>
      </c>
    </row>
    <row r="2087">
      <c r="T2087" s="47">
        <f>IF(R2087="","",IFERROR(TODAY()+VLOOKUP(R2087,REGRAS!$B$2:$C$13,2,0),""))</f>
        <v/>
      </c>
    </row>
    <row r="2088">
      <c r="T2088" s="47">
        <f>IF(R2088="","",IFERROR(TODAY()+VLOOKUP(R2088,REGRAS!$B$2:$C$13,2,0),""))</f>
        <v/>
      </c>
    </row>
    <row r="2089">
      <c r="T2089" s="47">
        <f>IF(R2089="","",IFERROR(TODAY()+VLOOKUP(R2089,REGRAS!$B$2:$C$13,2,0),""))</f>
        <v/>
      </c>
    </row>
    <row r="2090">
      <c r="T2090" s="47">
        <f>IF(R2090="","",IFERROR(TODAY()+VLOOKUP(R2090,REGRAS!$B$2:$C$13,2,0),""))</f>
        <v/>
      </c>
    </row>
    <row r="2091">
      <c r="T2091" s="47">
        <f>IF(R2091="","",IFERROR(TODAY()+VLOOKUP(R2091,REGRAS!$B$2:$C$13,2,0),""))</f>
        <v/>
      </c>
    </row>
    <row r="2092">
      <c r="T2092" s="47">
        <f>IF(R2092="","",IFERROR(TODAY()+VLOOKUP(R2092,REGRAS!$B$2:$C$13,2,0),""))</f>
        <v/>
      </c>
    </row>
    <row r="2093">
      <c r="T2093" s="47">
        <f>IF(R2093="","",IFERROR(TODAY()+VLOOKUP(R2093,REGRAS!$B$2:$C$13,2,0),""))</f>
        <v/>
      </c>
    </row>
    <row r="2094">
      <c r="T2094" s="47">
        <f>IF(R2094="","",IFERROR(TODAY()+VLOOKUP(R2094,REGRAS!$B$2:$C$13,2,0),""))</f>
        <v/>
      </c>
    </row>
    <row r="2095">
      <c r="T2095" s="47">
        <f>IF(R2095="","",IFERROR(TODAY()+VLOOKUP(R2095,REGRAS!$B$2:$C$13,2,0),""))</f>
        <v/>
      </c>
    </row>
    <row r="2096">
      <c r="T2096" s="47">
        <f>IF(R2096="","",IFERROR(TODAY()+VLOOKUP(R2096,REGRAS!$B$2:$C$13,2,0),""))</f>
        <v/>
      </c>
    </row>
    <row r="2097">
      <c r="T2097" s="47">
        <f>IF(R2097="","",IFERROR(TODAY()+VLOOKUP(R2097,REGRAS!$B$2:$C$13,2,0),""))</f>
        <v/>
      </c>
    </row>
    <row r="2098">
      <c r="T2098" s="47">
        <f>IF(R2098="","",IFERROR(TODAY()+VLOOKUP(R2098,REGRAS!$B$2:$C$13,2,0),""))</f>
        <v/>
      </c>
    </row>
    <row r="2099">
      <c r="T2099" s="47">
        <f>IF(R2099="","",IFERROR(TODAY()+VLOOKUP(R2099,REGRAS!$B$2:$C$13,2,0),""))</f>
        <v/>
      </c>
    </row>
    <row r="2100">
      <c r="T2100" s="47">
        <f>IF(R2100="","",IFERROR(TODAY()+VLOOKUP(R2100,REGRAS!$B$2:$C$13,2,0),""))</f>
        <v/>
      </c>
    </row>
    <row r="2101">
      <c r="T2101" s="47">
        <f>IF(R2101="","",IFERROR(TODAY()+VLOOKUP(R2101,REGRAS!$B$2:$C$13,2,0),""))</f>
        <v/>
      </c>
    </row>
    <row r="2102">
      <c r="T2102" s="47">
        <f>IF(R2102="","",IFERROR(TODAY()+VLOOKUP(R2102,REGRAS!$B$2:$C$13,2,0),""))</f>
        <v/>
      </c>
    </row>
    <row r="2103">
      <c r="T2103" s="47">
        <f>IF(R2103="","",IFERROR(TODAY()+VLOOKUP(R2103,REGRAS!$B$2:$C$13,2,0),""))</f>
        <v/>
      </c>
    </row>
    <row r="2104">
      <c r="T2104" s="47">
        <f>IF(R2104="","",IFERROR(TODAY()+VLOOKUP(R2104,REGRAS!$B$2:$C$13,2,0),""))</f>
        <v/>
      </c>
    </row>
    <row r="2105">
      <c r="T2105" s="47">
        <f>IF(R2105="","",IFERROR(TODAY()+VLOOKUP(R2105,REGRAS!$B$2:$C$13,2,0),""))</f>
        <v/>
      </c>
    </row>
    <row r="2106">
      <c r="T2106" s="47">
        <f>IF(R2106="","",IFERROR(TODAY()+VLOOKUP(R2106,REGRAS!$B$2:$C$13,2,0),""))</f>
        <v/>
      </c>
    </row>
    <row r="2107">
      <c r="T2107" s="47">
        <f>IF(R2107="","",IFERROR(TODAY()+VLOOKUP(R2107,REGRAS!$B$2:$C$13,2,0),""))</f>
        <v/>
      </c>
    </row>
    <row r="2108">
      <c r="T2108" s="47">
        <f>IF(R2108="","",IFERROR(TODAY()+VLOOKUP(R2108,REGRAS!$B$2:$C$13,2,0),""))</f>
        <v/>
      </c>
    </row>
    <row r="2109">
      <c r="T2109" s="47">
        <f>IF(R2109="","",IFERROR(TODAY()+VLOOKUP(R2109,REGRAS!$B$2:$C$13,2,0),""))</f>
        <v/>
      </c>
    </row>
    <row r="2110">
      <c r="T2110" s="47">
        <f>IF(R2110="","",IFERROR(TODAY()+VLOOKUP(R2110,REGRAS!$B$2:$C$13,2,0),""))</f>
        <v/>
      </c>
    </row>
    <row r="2111">
      <c r="T2111" s="47">
        <f>IF(R2111="","",IFERROR(TODAY()+VLOOKUP(R2111,REGRAS!$B$2:$C$13,2,0),""))</f>
        <v/>
      </c>
    </row>
    <row r="2112">
      <c r="T2112" s="47">
        <f>IF(R2112="","",IFERROR(TODAY()+VLOOKUP(R2112,REGRAS!$B$2:$C$13,2,0),""))</f>
        <v/>
      </c>
    </row>
    <row r="2113">
      <c r="T2113" s="47">
        <f>IF(R2113="","",IFERROR(TODAY()+VLOOKUP(R2113,REGRAS!$B$2:$C$13,2,0),""))</f>
        <v/>
      </c>
    </row>
    <row r="2114">
      <c r="T2114" s="47">
        <f>IF(R2114="","",IFERROR(TODAY()+VLOOKUP(R2114,REGRAS!$B$2:$C$13,2,0),""))</f>
        <v/>
      </c>
    </row>
    <row r="2115">
      <c r="T2115" s="47">
        <f>IF(R2115="","",IFERROR(TODAY()+VLOOKUP(R2115,REGRAS!$B$2:$C$13,2,0),""))</f>
        <v/>
      </c>
    </row>
    <row r="2116">
      <c r="T2116" s="47">
        <f>IF(R2116="","",IFERROR(TODAY()+VLOOKUP(R2116,REGRAS!$B$2:$C$13,2,0),""))</f>
        <v/>
      </c>
    </row>
    <row r="2117">
      <c r="T2117" s="47">
        <f>IF(R2117="","",IFERROR(TODAY()+VLOOKUP(R2117,REGRAS!$B$2:$C$13,2,0),""))</f>
        <v/>
      </c>
    </row>
    <row r="2118">
      <c r="T2118" s="47">
        <f>IF(R2118="","",IFERROR(TODAY()+VLOOKUP(R2118,REGRAS!$B$2:$C$13,2,0),""))</f>
        <v/>
      </c>
    </row>
    <row r="2119">
      <c r="T2119" s="47">
        <f>IF(R2119="","",IFERROR(TODAY()+VLOOKUP(R2119,REGRAS!$B$2:$C$13,2,0),""))</f>
        <v/>
      </c>
    </row>
    <row r="2120">
      <c r="T2120" s="47">
        <f>IF(R2120="","",IFERROR(TODAY()+VLOOKUP(R2120,REGRAS!$B$2:$C$13,2,0),""))</f>
        <v/>
      </c>
    </row>
    <row r="2121">
      <c r="T2121" s="47">
        <f>IF(R2121="","",IFERROR(TODAY()+VLOOKUP(R2121,REGRAS!$B$2:$C$13,2,0),""))</f>
        <v/>
      </c>
    </row>
    <row r="2122">
      <c r="T2122" s="47">
        <f>IF(R2122="","",IFERROR(TODAY()+VLOOKUP(R2122,REGRAS!$B$2:$C$13,2,0),""))</f>
        <v/>
      </c>
    </row>
    <row r="2123">
      <c r="T2123" s="47">
        <f>IF(R2123="","",IFERROR(TODAY()+VLOOKUP(R2123,REGRAS!$B$2:$C$13,2,0),""))</f>
        <v/>
      </c>
    </row>
    <row r="2124">
      <c r="T2124" s="47">
        <f>IF(R2124="","",IFERROR(TODAY()+VLOOKUP(R2124,REGRAS!$B$2:$C$13,2,0),""))</f>
        <v/>
      </c>
    </row>
    <row r="2125">
      <c r="T2125" s="47">
        <f>IF(R2125="","",IFERROR(TODAY()+VLOOKUP(R2125,REGRAS!$B$2:$C$13,2,0),""))</f>
        <v/>
      </c>
    </row>
    <row r="2126">
      <c r="T2126" s="47">
        <f>IF(R2126="","",IFERROR(TODAY()+VLOOKUP(R2126,REGRAS!$B$2:$C$13,2,0),""))</f>
        <v/>
      </c>
    </row>
    <row r="2127">
      <c r="T2127" s="47">
        <f>IF(R2127="","",IFERROR(TODAY()+VLOOKUP(R2127,REGRAS!$B$2:$C$13,2,0),""))</f>
        <v/>
      </c>
    </row>
    <row r="2128">
      <c r="T2128" s="47">
        <f>IF(R2128="","",IFERROR(TODAY()+VLOOKUP(R2128,REGRAS!$B$2:$C$13,2,0),""))</f>
        <v/>
      </c>
    </row>
    <row r="2129">
      <c r="T2129" s="47">
        <f>IF(R2129="","",IFERROR(TODAY()+VLOOKUP(R2129,REGRAS!$B$2:$C$13,2,0),""))</f>
        <v/>
      </c>
    </row>
    <row r="2130">
      <c r="T2130" s="47">
        <f>IF(R2130="","",IFERROR(TODAY()+VLOOKUP(R2130,REGRAS!$B$2:$C$13,2,0),""))</f>
        <v/>
      </c>
    </row>
    <row r="2131">
      <c r="T2131" s="47">
        <f>IF(R2131="","",IFERROR(TODAY()+VLOOKUP(R2131,REGRAS!$B$2:$C$13,2,0),""))</f>
        <v/>
      </c>
    </row>
    <row r="2132">
      <c r="T2132" s="47">
        <f>IF(R2132="","",IFERROR(TODAY()+VLOOKUP(R2132,REGRAS!$B$2:$C$13,2,0),""))</f>
        <v/>
      </c>
    </row>
    <row r="2133">
      <c r="T2133" s="47">
        <f>IF(R2133="","",IFERROR(TODAY()+VLOOKUP(R2133,REGRAS!$B$2:$C$13,2,0),""))</f>
        <v/>
      </c>
    </row>
    <row r="2134">
      <c r="T2134" s="47">
        <f>IF(R2134="","",IFERROR(TODAY()+VLOOKUP(R2134,REGRAS!$B$2:$C$13,2,0),""))</f>
        <v/>
      </c>
    </row>
    <row r="2135">
      <c r="T2135" s="47">
        <f>IF(R2135="","",IFERROR(TODAY()+VLOOKUP(R2135,REGRAS!$B$2:$C$13,2,0),""))</f>
        <v/>
      </c>
    </row>
    <row r="2136">
      <c r="T2136" s="47">
        <f>IF(R2136="","",IFERROR(TODAY()+VLOOKUP(R2136,REGRAS!$B$2:$C$13,2,0),""))</f>
        <v/>
      </c>
    </row>
    <row r="2137">
      <c r="T2137" s="47">
        <f>IF(R2137="","",IFERROR(TODAY()+VLOOKUP(R2137,REGRAS!$B$2:$C$13,2,0),""))</f>
        <v/>
      </c>
    </row>
    <row r="2138">
      <c r="T2138" s="47">
        <f>IF(R2138="","",IFERROR(TODAY()+VLOOKUP(R2138,REGRAS!$B$2:$C$13,2,0),""))</f>
        <v/>
      </c>
    </row>
    <row r="2139">
      <c r="T2139" s="47">
        <f>IF(R2139="","",IFERROR(TODAY()+VLOOKUP(R2139,REGRAS!$B$2:$C$13,2,0),""))</f>
        <v/>
      </c>
    </row>
    <row r="2140">
      <c r="T2140" s="47">
        <f>IF(R2140="","",IFERROR(TODAY()+VLOOKUP(R2140,REGRAS!$B$2:$C$13,2,0),""))</f>
        <v/>
      </c>
    </row>
    <row r="2141">
      <c r="T2141" s="47">
        <f>IF(R2141="","",IFERROR(TODAY()+VLOOKUP(R2141,REGRAS!$B$2:$C$13,2,0),""))</f>
        <v/>
      </c>
    </row>
    <row r="2142">
      <c r="T2142" s="47">
        <f>IF(R2142="","",IFERROR(TODAY()+VLOOKUP(R2142,REGRAS!$B$2:$C$13,2,0),""))</f>
        <v/>
      </c>
    </row>
    <row r="2143">
      <c r="T2143" s="47">
        <f>IF(R2143="","",IFERROR(TODAY()+VLOOKUP(R2143,REGRAS!$B$2:$C$13,2,0),""))</f>
        <v/>
      </c>
    </row>
    <row r="2144">
      <c r="T2144" s="47">
        <f>IF(R2144="","",IFERROR(TODAY()+VLOOKUP(R2144,REGRAS!$B$2:$C$13,2,0),""))</f>
        <v/>
      </c>
    </row>
    <row r="2145">
      <c r="T2145" s="47">
        <f>IF(R2145="","",IFERROR(TODAY()+VLOOKUP(R2145,REGRAS!$B$2:$C$13,2,0),""))</f>
        <v/>
      </c>
    </row>
    <row r="2146">
      <c r="T2146" s="47">
        <f>IF(R2146="","",IFERROR(TODAY()+VLOOKUP(R2146,REGRAS!$B$2:$C$13,2,0),""))</f>
        <v/>
      </c>
    </row>
    <row r="2147">
      <c r="T2147" s="47">
        <f>IF(R2147="","",IFERROR(TODAY()+VLOOKUP(R2147,REGRAS!$B$2:$C$13,2,0),""))</f>
        <v/>
      </c>
    </row>
    <row r="2148">
      <c r="T2148" s="47">
        <f>IF(R2148="","",IFERROR(TODAY()+VLOOKUP(R2148,REGRAS!$B$2:$C$13,2,0),""))</f>
        <v/>
      </c>
    </row>
    <row r="2149">
      <c r="T2149" s="47">
        <f>IF(R2149="","",IFERROR(TODAY()+VLOOKUP(R2149,REGRAS!$B$2:$C$13,2,0),""))</f>
        <v/>
      </c>
    </row>
    <row r="2150">
      <c r="T2150" s="47">
        <f>IF(R2150="","",IFERROR(TODAY()+VLOOKUP(R2150,REGRAS!$B$2:$C$13,2,0),""))</f>
        <v/>
      </c>
    </row>
    <row r="2151">
      <c r="T2151" s="47">
        <f>IF(R2151="","",IFERROR(TODAY()+VLOOKUP(R2151,REGRAS!$B$2:$C$13,2,0),""))</f>
        <v/>
      </c>
    </row>
    <row r="2152">
      <c r="T2152" s="47">
        <f>IF(R2152="","",IFERROR(TODAY()+VLOOKUP(R2152,REGRAS!$B$2:$C$13,2,0),""))</f>
        <v/>
      </c>
    </row>
    <row r="2153">
      <c r="T2153" s="47">
        <f>IF(R2153="","",IFERROR(TODAY()+VLOOKUP(R2153,REGRAS!$B$2:$C$13,2,0),""))</f>
        <v/>
      </c>
    </row>
    <row r="2154">
      <c r="T2154" s="47">
        <f>IF(R2154="","",IFERROR(TODAY()+VLOOKUP(R2154,REGRAS!$B$2:$C$13,2,0),""))</f>
        <v/>
      </c>
    </row>
    <row r="2155">
      <c r="T2155" s="47">
        <f>IF(R2155="","",IFERROR(TODAY()+VLOOKUP(R2155,REGRAS!$B$2:$C$13,2,0),""))</f>
        <v/>
      </c>
    </row>
    <row r="2156">
      <c r="T2156" s="47">
        <f>IF(R2156="","",IFERROR(TODAY()+VLOOKUP(R2156,REGRAS!$B$2:$C$13,2,0),""))</f>
        <v/>
      </c>
    </row>
    <row r="2157">
      <c r="T2157" s="47">
        <f>IF(R2157="","",IFERROR(TODAY()+VLOOKUP(R2157,REGRAS!$B$2:$C$13,2,0),""))</f>
        <v/>
      </c>
    </row>
    <row r="2158">
      <c r="T2158" s="47">
        <f>IF(R2158="","",IFERROR(TODAY()+VLOOKUP(R2158,REGRAS!$B$2:$C$13,2,0),""))</f>
        <v/>
      </c>
    </row>
    <row r="2159">
      <c r="T2159" s="47">
        <f>IF(R2159="","",IFERROR(TODAY()+VLOOKUP(R2159,REGRAS!$B$2:$C$13,2,0),""))</f>
        <v/>
      </c>
    </row>
    <row r="2160">
      <c r="T2160" s="47">
        <f>IF(R2160="","",IFERROR(TODAY()+VLOOKUP(R2160,REGRAS!$B$2:$C$13,2,0),""))</f>
        <v/>
      </c>
    </row>
    <row r="2161">
      <c r="T2161" s="47">
        <f>IF(R2161="","",IFERROR(TODAY()+VLOOKUP(R2161,REGRAS!$B$2:$C$13,2,0),""))</f>
        <v/>
      </c>
    </row>
    <row r="2162">
      <c r="T2162" s="47">
        <f>IF(R2162="","",IFERROR(TODAY()+VLOOKUP(R2162,REGRAS!$B$2:$C$13,2,0),""))</f>
        <v/>
      </c>
    </row>
    <row r="2163">
      <c r="T2163" s="47">
        <f>IF(R2163="","",IFERROR(TODAY()+VLOOKUP(R2163,REGRAS!$B$2:$C$13,2,0),""))</f>
        <v/>
      </c>
    </row>
    <row r="2164">
      <c r="T2164" s="47">
        <f>IF(R2164="","",IFERROR(TODAY()+VLOOKUP(R2164,REGRAS!$B$2:$C$13,2,0),""))</f>
        <v/>
      </c>
    </row>
    <row r="2165">
      <c r="T2165" s="47">
        <f>IF(R2165="","",IFERROR(TODAY()+VLOOKUP(R2165,REGRAS!$B$2:$C$13,2,0),""))</f>
        <v/>
      </c>
    </row>
    <row r="2166">
      <c r="T2166" s="47">
        <f>IF(R2166="","",IFERROR(TODAY()+VLOOKUP(R2166,REGRAS!$B$2:$C$13,2,0),""))</f>
        <v/>
      </c>
    </row>
    <row r="2167">
      <c r="T2167" s="47">
        <f>IF(R2167="","",IFERROR(TODAY()+VLOOKUP(R2167,REGRAS!$B$2:$C$13,2,0),""))</f>
        <v/>
      </c>
    </row>
    <row r="2168">
      <c r="T2168" s="47">
        <f>IF(R2168="","",IFERROR(TODAY()+VLOOKUP(R2168,REGRAS!$B$2:$C$13,2,0),""))</f>
        <v/>
      </c>
    </row>
    <row r="2169">
      <c r="T2169" s="47">
        <f>IF(R2169="","",IFERROR(TODAY()+VLOOKUP(R2169,REGRAS!$B$2:$C$13,2,0),""))</f>
        <v/>
      </c>
    </row>
    <row r="2170">
      <c r="T2170" s="47">
        <f>IF(R2170="","",IFERROR(TODAY()+VLOOKUP(R2170,REGRAS!$B$2:$C$13,2,0),""))</f>
        <v/>
      </c>
    </row>
    <row r="2171">
      <c r="T2171" s="47">
        <f>IF(R2171="","",IFERROR(TODAY()+VLOOKUP(R2171,REGRAS!$B$2:$C$13,2,0),""))</f>
        <v/>
      </c>
    </row>
    <row r="2172">
      <c r="T2172" s="47">
        <f>IF(R2172="","",IFERROR(TODAY()+VLOOKUP(R2172,REGRAS!$B$2:$C$13,2,0),""))</f>
        <v/>
      </c>
    </row>
    <row r="2173">
      <c r="T2173" s="47">
        <f>IF(R2173="","",IFERROR(TODAY()+VLOOKUP(R2173,REGRAS!$B$2:$C$13,2,0),""))</f>
        <v/>
      </c>
    </row>
    <row r="2174">
      <c r="T2174" s="47">
        <f>IF(R2174="","",IFERROR(TODAY()+VLOOKUP(R2174,REGRAS!$B$2:$C$13,2,0),""))</f>
        <v/>
      </c>
    </row>
    <row r="2175">
      <c r="T2175" s="47">
        <f>IF(R2175="","",IFERROR(TODAY()+VLOOKUP(R2175,REGRAS!$B$2:$C$13,2,0),""))</f>
        <v/>
      </c>
    </row>
    <row r="2176">
      <c r="T2176" s="47">
        <f>IF(R2176="","",IFERROR(TODAY()+VLOOKUP(R2176,REGRAS!$B$2:$C$13,2,0),""))</f>
        <v/>
      </c>
    </row>
    <row r="2177">
      <c r="T2177" s="47">
        <f>IF(R2177="","",IFERROR(TODAY()+VLOOKUP(R2177,REGRAS!$B$2:$C$13,2,0),""))</f>
        <v/>
      </c>
    </row>
    <row r="2178">
      <c r="T2178" s="47">
        <f>IF(R2178="","",IFERROR(TODAY()+VLOOKUP(R2178,REGRAS!$B$2:$C$13,2,0),""))</f>
        <v/>
      </c>
    </row>
    <row r="2179">
      <c r="T2179" s="47">
        <f>IF(R2179="","",IFERROR(TODAY()+VLOOKUP(R2179,REGRAS!$B$2:$C$13,2,0),""))</f>
        <v/>
      </c>
    </row>
    <row r="2180">
      <c r="T2180" s="47">
        <f>IF(R2180="","",IFERROR(TODAY()+VLOOKUP(R2180,REGRAS!$B$2:$C$13,2,0),""))</f>
        <v/>
      </c>
    </row>
    <row r="2181">
      <c r="T2181" s="47">
        <f>IF(R2181="","",IFERROR(TODAY()+VLOOKUP(R2181,REGRAS!$B$2:$C$13,2,0),""))</f>
        <v/>
      </c>
    </row>
    <row r="2182">
      <c r="T2182" s="47">
        <f>IF(R2182="","",IFERROR(TODAY()+VLOOKUP(R2182,REGRAS!$B$2:$C$13,2,0),""))</f>
        <v/>
      </c>
    </row>
    <row r="2183">
      <c r="T2183" s="47">
        <f>IF(R2183="","",IFERROR(TODAY()+VLOOKUP(R2183,REGRAS!$B$2:$C$13,2,0),""))</f>
        <v/>
      </c>
    </row>
    <row r="2184">
      <c r="T2184" s="47">
        <f>IF(R2184="","",IFERROR(TODAY()+VLOOKUP(R2184,REGRAS!$B$2:$C$13,2,0),""))</f>
        <v/>
      </c>
    </row>
    <row r="2185">
      <c r="T2185" s="47">
        <f>IF(R2185="","",IFERROR(TODAY()+VLOOKUP(R2185,REGRAS!$B$2:$C$13,2,0),""))</f>
        <v/>
      </c>
    </row>
    <row r="2186">
      <c r="T2186" s="47">
        <f>IF(R2186="","",IFERROR(TODAY()+VLOOKUP(R2186,REGRAS!$B$2:$C$13,2,0),""))</f>
        <v/>
      </c>
    </row>
    <row r="2187">
      <c r="T2187" s="47">
        <f>IF(R2187="","",IFERROR(TODAY()+VLOOKUP(R2187,REGRAS!$B$2:$C$13,2,0),""))</f>
        <v/>
      </c>
    </row>
    <row r="2188">
      <c r="T2188" s="47">
        <f>IF(R2188="","",IFERROR(TODAY()+VLOOKUP(R2188,REGRAS!$B$2:$C$13,2,0),""))</f>
        <v/>
      </c>
    </row>
    <row r="2189">
      <c r="T2189" s="47">
        <f>IF(R2189="","",IFERROR(TODAY()+VLOOKUP(R2189,REGRAS!$B$2:$C$13,2,0),""))</f>
        <v/>
      </c>
    </row>
    <row r="2190">
      <c r="T2190" s="47">
        <f>IF(R2190="","",IFERROR(TODAY()+VLOOKUP(R2190,REGRAS!$B$2:$C$13,2,0),""))</f>
        <v/>
      </c>
    </row>
    <row r="2191">
      <c r="T2191" s="47">
        <f>IF(R2191="","",IFERROR(TODAY()+VLOOKUP(R2191,REGRAS!$B$2:$C$13,2,0),""))</f>
        <v/>
      </c>
    </row>
    <row r="2192">
      <c r="T2192" s="47">
        <f>IF(R2192="","",IFERROR(TODAY()+VLOOKUP(R2192,REGRAS!$B$2:$C$13,2,0),""))</f>
        <v/>
      </c>
    </row>
    <row r="2193">
      <c r="T2193" s="47">
        <f>IF(R2193="","",IFERROR(TODAY()+VLOOKUP(R2193,REGRAS!$B$2:$C$13,2,0),""))</f>
        <v/>
      </c>
    </row>
    <row r="2194">
      <c r="T2194" s="47">
        <f>IF(R2194="","",IFERROR(TODAY()+VLOOKUP(R2194,REGRAS!$B$2:$C$13,2,0),""))</f>
        <v/>
      </c>
    </row>
    <row r="2195">
      <c r="T2195" s="47">
        <f>IF(R2195="","",IFERROR(TODAY()+VLOOKUP(R2195,REGRAS!$B$2:$C$13,2,0),""))</f>
        <v/>
      </c>
    </row>
    <row r="2196">
      <c r="T2196" s="47">
        <f>IF(R2196="","",IFERROR(TODAY()+VLOOKUP(R2196,REGRAS!$B$2:$C$13,2,0),""))</f>
        <v/>
      </c>
    </row>
    <row r="2197">
      <c r="T2197" s="47">
        <f>IF(R2197="","",IFERROR(TODAY()+VLOOKUP(R2197,REGRAS!$B$2:$C$13,2,0),""))</f>
        <v/>
      </c>
    </row>
    <row r="2198">
      <c r="T2198" s="47">
        <f>IF(R2198="","",IFERROR(TODAY()+VLOOKUP(R2198,REGRAS!$B$2:$C$13,2,0),""))</f>
        <v/>
      </c>
    </row>
    <row r="2199">
      <c r="T2199" s="47">
        <f>IF(R2199="","",IFERROR(TODAY()+VLOOKUP(R2199,REGRAS!$B$2:$C$13,2,0),""))</f>
        <v/>
      </c>
    </row>
    <row r="2200">
      <c r="T2200" s="47">
        <f>IF(R2200="","",IFERROR(TODAY()+VLOOKUP(R2200,REGRAS!$B$2:$C$13,2,0),""))</f>
        <v/>
      </c>
    </row>
    <row r="2201">
      <c r="T2201" s="47">
        <f>IF(R2201="","",IFERROR(TODAY()+VLOOKUP(R2201,REGRAS!$B$2:$C$13,2,0),""))</f>
        <v/>
      </c>
    </row>
    <row r="2202">
      <c r="T2202" s="47">
        <f>IF(R2202="","",IFERROR(TODAY()+VLOOKUP(R2202,REGRAS!$B$2:$C$13,2,0),""))</f>
        <v/>
      </c>
    </row>
    <row r="2203">
      <c r="T2203" s="47">
        <f>IF(R2203="","",IFERROR(TODAY()+VLOOKUP(R2203,REGRAS!$B$2:$C$13,2,0),""))</f>
        <v/>
      </c>
    </row>
    <row r="2204">
      <c r="T2204" s="47">
        <f>IF(R2204="","",IFERROR(TODAY()+VLOOKUP(R2204,REGRAS!$B$2:$C$13,2,0),""))</f>
        <v/>
      </c>
    </row>
    <row r="2205">
      <c r="T2205" s="47">
        <f>IF(R2205="","",IFERROR(TODAY()+VLOOKUP(R2205,REGRAS!$B$2:$C$13,2,0),""))</f>
        <v/>
      </c>
    </row>
    <row r="2206">
      <c r="T2206" s="47">
        <f>IF(R2206="","",IFERROR(TODAY()+VLOOKUP(R2206,REGRAS!$B$2:$C$13,2,0),""))</f>
        <v/>
      </c>
    </row>
    <row r="2207">
      <c r="T2207" s="47">
        <f>IF(R2207="","",IFERROR(TODAY()+VLOOKUP(R2207,REGRAS!$B$2:$C$13,2,0),""))</f>
        <v/>
      </c>
    </row>
    <row r="2208">
      <c r="T2208" s="47">
        <f>IF(R2208="","",IFERROR(TODAY()+VLOOKUP(R2208,REGRAS!$B$2:$C$13,2,0),""))</f>
        <v/>
      </c>
    </row>
    <row r="2209">
      <c r="T2209" s="47">
        <f>IF(R2209="","",IFERROR(TODAY()+VLOOKUP(R2209,REGRAS!$B$2:$C$13,2,0),""))</f>
        <v/>
      </c>
    </row>
    <row r="2210">
      <c r="T2210" s="47">
        <f>IF(R2210="","",IFERROR(TODAY()+VLOOKUP(R2210,REGRAS!$B$2:$C$13,2,0),""))</f>
        <v/>
      </c>
    </row>
    <row r="2211">
      <c r="T2211" s="47">
        <f>IF(R2211="","",IFERROR(TODAY()+VLOOKUP(R2211,REGRAS!$B$2:$C$13,2,0),""))</f>
        <v/>
      </c>
    </row>
    <row r="2212">
      <c r="T2212" s="47">
        <f>IF(R2212="","",IFERROR(TODAY()+VLOOKUP(R2212,REGRAS!$B$2:$C$13,2,0),""))</f>
        <v/>
      </c>
    </row>
    <row r="2213">
      <c r="T2213" s="47">
        <f>IF(R2213="","",IFERROR(TODAY()+VLOOKUP(R2213,REGRAS!$B$2:$C$13,2,0),""))</f>
        <v/>
      </c>
    </row>
    <row r="2214">
      <c r="T2214" s="47">
        <f>IF(R2214="","",IFERROR(TODAY()+VLOOKUP(R2214,REGRAS!$B$2:$C$13,2,0),""))</f>
        <v/>
      </c>
    </row>
    <row r="2215">
      <c r="T2215" s="47">
        <f>IF(R2215="","",IFERROR(TODAY()+VLOOKUP(R2215,REGRAS!$B$2:$C$13,2,0),""))</f>
        <v/>
      </c>
    </row>
    <row r="2216">
      <c r="T2216" s="47">
        <f>IF(R2216="","",IFERROR(TODAY()+VLOOKUP(R2216,REGRAS!$B$2:$C$13,2,0),""))</f>
        <v/>
      </c>
    </row>
    <row r="2217">
      <c r="T2217" s="47">
        <f>IF(R2217="","",IFERROR(TODAY()+VLOOKUP(R2217,REGRAS!$B$2:$C$13,2,0),""))</f>
        <v/>
      </c>
    </row>
    <row r="2218">
      <c r="T2218" s="47">
        <f>IF(R2218="","",IFERROR(TODAY()+VLOOKUP(R2218,REGRAS!$B$2:$C$13,2,0),""))</f>
        <v/>
      </c>
    </row>
    <row r="2219">
      <c r="T2219" s="47">
        <f>IF(R2219="","",IFERROR(TODAY()+VLOOKUP(R2219,REGRAS!$B$2:$C$13,2,0),""))</f>
        <v/>
      </c>
    </row>
    <row r="2220">
      <c r="T2220" s="47">
        <f>IF(R2220="","",IFERROR(TODAY()+VLOOKUP(R2220,REGRAS!$B$2:$C$13,2,0),""))</f>
        <v/>
      </c>
    </row>
    <row r="2221">
      <c r="T2221" s="47">
        <f>IF(R2221="","",IFERROR(TODAY()+VLOOKUP(R2221,REGRAS!$B$2:$C$13,2,0),""))</f>
        <v/>
      </c>
    </row>
    <row r="2222">
      <c r="T2222" s="47">
        <f>IF(R2222="","",IFERROR(TODAY()+VLOOKUP(R2222,REGRAS!$B$2:$C$13,2,0),""))</f>
        <v/>
      </c>
    </row>
    <row r="2223">
      <c r="T2223" s="47">
        <f>IF(R2223="","",IFERROR(TODAY()+VLOOKUP(R2223,REGRAS!$B$2:$C$13,2,0),""))</f>
        <v/>
      </c>
    </row>
    <row r="2224">
      <c r="T2224" s="47">
        <f>IF(R2224="","",IFERROR(TODAY()+VLOOKUP(R2224,REGRAS!$B$2:$C$13,2,0),""))</f>
        <v/>
      </c>
    </row>
    <row r="2225">
      <c r="T2225" s="47">
        <f>IF(R2225="","",IFERROR(TODAY()+VLOOKUP(R2225,REGRAS!$B$2:$C$13,2,0),""))</f>
        <v/>
      </c>
    </row>
    <row r="2226">
      <c r="T2226" s="47">
        <f>IF(R2226="","",IFERROR(TODAY()+VLOOKUP(R2226,REGRAS!$B$2:$C$13,2,0),""))</f>
        <v/>
      </c>
    </row>
    <row r="2227">
      <c r="T2227" s="47">
        <f>IF(R2227="","",IFERROR(TODAY()+VLOOKUP(R2227,REGRAS!$B$2:$C$13,2,0),""))</f>
        <v/>
      </c>
    </row>
    <row r="2228">
      <c r="T2228" s="47">
        <f>IF(R2228="","",IFERROR(TODAY()+VLOOKUP(R2228,REGRAS!$B$2:$C$13,2,0),""))</f>
        <v/>
      </c>
    </row>
    <row r="2229">
      <c r="T2229" s="47">
        <f>IF(R2229="","",IFERROR(TODAY()+VLOOKUP(R2229,REGRAS!$B$2:$C$13,2,0),""))</f>
        <v/>
      </c>
    </row>
    <row r="2230">
      <c r="T2230" s="47">
        <f>IF(R2230="","",IFERROR(TODAY()+VLOOKUP(R2230,REGRAS!$B$2:$C$13,2,0),""))</f>
        <v/>
      </c>
    </row>
    <row r="2231">
      <c r="T2231" s="47">
        <f>IF(R2231="","",IFERROR(TODAY()+VLOOKUP(R2231,REGRAS!$B$2:$C$13,2,0),""))</f>
        <v/>
      </c>
    </row>
    <row r="2232">
      <c r="T2232" s="47">
        <f>IF(R2232="","",IFERROR(TODAY()+VLOOKUP(R2232,REGRAS!$B$2:$C$13,2,0),""))</f>
        <v/>
      </c>
    </row>
    <row r="2233">
      <c r="T2233" s="47">
        <f>IF(R2233="","",IFERROR(TODAY()+VLOOKUP(R2233,REGRAS!$B$2:$C$13,2,0),""))</f>
        <v/>
      </c>
    </row>
    <row r="2234">
      <c r="T2234" s="47">
        <f>IF(R2234="","",IFERROR(TODAY()+VLOOKUP(R2234,REGRAS!$B$2:$C$13,2,0),""))</f>
        <v/>
      </c>
    </row>
    <row r="2235">
      <c r="T2235" s="47">
        <f>IF(R2235="","",IFERROR(TODAY()+VLOOKUP(R2235,REGRAS!$B$2:$C$13,2,0),""))</f>
        <v/>
      </c>
    </row>
    <row r="2236">
      <c r="T2236" s="47">
        <f>IF(R2236="","",IFERROR(TODAY()+VLOOKUP(R2236,REGRAS!$B$2:$C$13,2,0),""))</f>
        <v/>
      </c>
    </row>
    <row r="2237">
      <c r="T2237" s="47">
        <f>IF(R2237="","",IFERROR(TODAY()+VLOOKUP(R2237,REGRAS!$B$2:$C$13,2,0),""))</f>
        <v/>
      </c>
    </row>
    <row r="2238">
      <c r="T2238" s="47">
        <f>IF(R2238="","",IFERROR(TODAY()+VLOOKUP(R2238,REGRAS!$B$2:$C$13,2,0),""))</f>
        <v/>
      </c>
    </row>
    <row r="2239">
      <c r="T2239" s="47">
        <f>IF(R2239="","",IFERROR(TODAY()+VLOOKUP(R2239,REGRAS!$B$2:$C$13,2,0),""))</f>
        <v/>
      </c>
    </row>
    <row r="2240">
      <c r="T2240" s="47">
        <f>IF(R2240="","",IFERROR(TODAY()+VLOOKUP(R2240,REGRAS!$B$2:$C$13,2,0),""))</f>
        <v/>
      </c>
    </row>
    <row r="2241">
      <c r="T2241" s="47">
        <f>IF(R2241="","",IFERROR(TODAY()+VLOOKUP(R2241,REGRAS!$B$2:$C$13,2,0),""))</f>
        <v/>
      </c>
    </row>
    <row r="2242">
      <c r="T2242" s="47">
        <f>IF(R2242="","",IFERROR(TODAY()+VLOOKUP(R2242,REGRAS!$B$2:$C$13,2,0),""))</f>
        <v/>
      </c>
    </row>
    <row r="2243">
      <c r="T2243" s="47">
        <f>IF(R2243="","",IFERROR(TODAY()+VLOOKUP(R2243,REGRAS!$B$2:$C$13,2,0),""))</f>
        <v/>
      </c>
    </row>
    <row r="2244">
      <c r="T2244" s="47">
        <f>IF(R2244="","",IFERROR(TODAY()+VLOOKUP(R2244,REGRAS!$B$2:$C$13,2,0),""))</f>
        <v/>
      </c>
    </row>
    <row r="2245">
      <c r="T2245" s="47">
        <f>IF(R2245="","",IFERROR(TODAY()+VLOOKUP(R2245,REGRAS!$B$2:$C$13,2,0),""))</f>
        <v/>
      </c>
    </row>
    <row r="2246">
      <c r="T2246" s="47">
        <f>IF(R2246="","",IFERROR(TODAY()+VLOOKUP(R2246,REGRAS!$B$2:$C$13,2,0),""))</f>
        <v/>
      </c>
    </row>
    <row r="2247">
      <c r="T2247" s="47">
        <f>IF(R2247="","",IFERROR(TODAY()+VLOOKUP(R2247,REGRAS!$B$2:$C$13,2,0),""))</f>
        <v/>
      </c>
    </row>
    <row r="2248">
      <c r="T2248" s="47">
        <f>IF(R2248="","",IFERROR(TODAY()+VLOOKUP(R2248,REGRAS!$B$2:$C$13,2,0),""))</f>
        <v/>
      </c>
    </row>
    <row r="2249">
      <c r="T2249" s="47">
        <f>IF(R2249="","",IFERROR(TODAY()+VLOOKUP(R2249,REGRAS!$B$2:$C$13,2,0),""))</f>
        <v/>
      </c>
    </row>
    <row r="2250">
      <c r="T2250" s="47">
        <f>IF(R2250="","",IFERROR(TODAY()+VLOOKUP(R2250,REGRAS!$B$2:$C$13,2,0),""))</f>
        <v/>
      </c>
    </row>
    <row r="2251">
      <c r="T2251" s="47">
        <f>IF(R2251="","",IFERROR(TODAY()+VLOOKUP(R2251,REGRAS!$B$2:$C$13,2,0),""))</f>
        <v/>
      </c>
    </row>
    <row r="2252">
      <c r="T2252" s="47">
        <f>IF(R2252="","",IFERROR(TODAY()+VLOOKUP(R2252,REGRAS!$B$2:$C$13,2,0),""))</f>
        <v/>
      </c>
    </row>
    <row r="2253">
      <c r="T2253" s="47">
        <f>IF(R2253="","",IFERROR(TODAY()+VLOOKUP(R2253,REGRAS!$B$2:$C$13,2,0),""))</f>
        <v/>
      </c>
    </row>
    <row r="2254">
      <c r="T2254" s="47">
        <f>IF(R2254="","",IFERROR(TODAY()+VLOOKUP(R2254,REGRAS!$B$2:$C$13,2,0),""))</f>
        <v/>
      </c>
    </row>
    <row r="2255">
      <c r="T2255" s="47">
        <f>IF(R2255="","",IFERROR(TODAY()+VLOOKUP(R2255,REGRAS!$B$2:$C$13,2,0),""))</f>
        <v/>
      </c>
    </row>
    <row r="2256">
      <c r="T2256" s="47">
        <f>IF(R2256="","",IFERROR(TODAY()+VLOOKUP(R2256,REGRAS!$B$2:$C$13,2,0),""))</f>
        <v/>
      </c>
    </row>
    <row r="2257">
      <c r="T2257" s="47">
        <f>IF(R2257="","",IFERROR(TODAY()+VLOOKUP(R2257,REGRAS!$B$2:$C$13,2,0),""))</f>
        <v/>
      </c>
    </row>
    <row r="2258">
      <c r="T2258" s="47">
        <f>IF(R2258="","",IFERROR(TODAY()+VLOOKUP(R2258,REGRAS!$B$2:$C$13,2,0),""))</f>
        <v/>
      </c>
    </row>
    <row r="2259">
      <c r="T2259" s="47">
        <f>IF(R2259="","",IFERROR(TODAY()+VLOOKUP(R2259,REGRAS!$B$2:$C$13,2,0),""))</f>
        <v/>
      </c>
    </row>
    <row r="2260">
      <c r="T2260" s="47">
        <f>IF(R2260="","",IFERROR(TODAY()+VLOOKUP(R2260,REGRAS!$B$2:$C$13,2,0),""))</f>
        <v/>
      </c>
    </row>
    <row r="2261">
      <c r="T2261" s="47">
        <f>IF(R2261="","",IFERROR(TODAY()+VLOOKUP(R2261,REGRAS!$B$2:$C$13,2,0),""))</f>
        <v/>
      </c>
    </row>
    <row r="2262">
      <c r="T2262" s="47">
        <f>IF(R2262="","",IFERROR(TODAY()+VLOOKUP(R2262,REGRAS!$B$2:$C$13,2,0),""))</f>
        <v/>
      </c>
    </row>
    <row r="2263">
      <c r="T2263" s="47">
        <f>IF(R2263="","",IFERROR(TODAY()+VLOOKUP(R2263,REGRAS!$B$2:$C$13,2,0),""))</f>
        <v/>
      </c>
    </row>
    <row r="2264">
      <c r="T2264" s="47">
        <f>IF(R2264="","",IFERROR(TODAY()+VLOOKUP(R2264,REGRAS!$B$2:$C$13,2,0),""))</f>
        <v/>
      </c>
    </row>
    <row r="2265">
      <c r="T2265" s="47">
        <f>IF(R2265="","",IFERROR(TODAY()+VLOOKUP(R2265,REGRAS!$B$2:$C$13,2,0),""))</f>
        <v/>
      </c>
    </row>
    <row r="2266">
      <c r="T2266" s="47">
        <f>IF(R2266="","",IFERROR(TODAY()+VLOOKUP(R2266,REGRAS!$B$2:$C$13,2,0),""))</f>
        <v/>
      </c>
    </row>
    <row r="2267">
      <c r="T2267" s="47">
        <f>IF(R2267="","",IFERROR(TODAY()+VLOOKUP(R2267,REGRAS!$B$2:$C$13,2,0),""))</f>
        <v/>
      </c>
    </row>
    <row r="2268">
      <c r="T2268" s="47">
        <f>IF(R2268="","",IFERROR(TODAY()+VLOOKUP(R2268,REGRAS!$B$2:$C$13,2,0),""))</f>
        <v/>
      </c>
    </row>
    <row r="2269">
      <c r="T2269" s="47">
        <f>IF(R2269="","",IFERROR(TODAY()+VLOOKUP(R2269,REGRAS!$B$2:$C$13,2,0),""))</f>
        <v/>
      </c>
    </row>
    <row r="2270">
      <c r="T2270" s="47">
        <f>IF(R2270="","",IFERROR(TODAY()+VLOOKUP(R2270,REGRAS!$B$2:$C$13,2,0),""))</f>
        <v/>
      </c>
    </row>
    <row r="2271">
      <c r="T2271" s="47">
        <f>IF(R2271="","",IFERROR(TODAY()+VLOOKUP(R2271,REGRAS!$B$2:$C$13,2,0),""))</f>
        <v/>
      </c>
    </row>
    <row r="2272">
      <c r="T2272" s="47">
        <f>IF(R2272="","",IFERROR(TODAY()+VLOOKUP(R2272,REGRAS!$B$2:$C$13,2,0),""))</f>
        <v/>
      </c>
    </row>
    <row r="2273">
      <c r="T2273" s="47">
        <f>IF(R2273="","",IFERROR(TODAY()+VLOOKUP(R2273,REGRAS!$B$2:$C$13,2,0),""))</f>
        <v/>
      </c>
    </row>
    <row r="2274">
      <c r="T2274" s="47">
        <f>IF(R2274="","",IFERROR(TODAY()+VLOOKUP(R2274,REGRAS!$B$2:$C$13,2,0),""))</f>
        <v/>
      </c>
    </row>
    <row r="2275">
      <c r="T2275" s="47">
        <f>IF(R2275="","",IFERROR(TODAY()+VLOOKUP(R2275,REGRAS!$B$2:$C$13,2,0),""))</f>
        <v/>
      </c>
    </row>
    <row r="2276">
      <c r="T2276" s="47">
        <f>IF(R2276="","",IFERROR(TODAY()+VLOOKUP(R2276,REGRAS!$B$2:$C$13,2,0),""))</f>
        <v/>
      </c>
    </row>
    <row r="2277">
      <c r="T2277" s="47">
        <f>IF(R2277="","",IFERROR(TODAY()+VLOOKUP(R2277,REGRAS!$B$2:$C$13,2,0),""))</f>
        <v/>
      </c>
    </row>
    <row r="2278">
      <c r="T2278" s="47">
        <f>IF(R2278="","",IFERROR(TODAY()+VLOOKUP(R2278,REGRAS!$B$2:$C$13,2,0),""))</f>
        <v/>
      </c>
    </row>
    <row r="2279">
      <c r="T2279" s="47">
        <f>IF(R2279="","",IFERROR(TODAY()+VLOOKUP(R2279,REGRAS!$B$2:$C$13,2,0),""))</f>
        <v/>
      </c>
    </row>
    <row r="2280">
      <c r="T2280" s="47">
        <f>IF(R2280="","",IFERROR(TODAY()+VLOOKUP(R2280,REGRAS!$B$2:$C$13,2,0),""))</f>
        <v/>
      </c>
    </row>
    <row r="2281">
      <c r="T2281" s="47">
        <f>IF(R2281="","",IFERROR(TODAY()+VLOOKUP(R2281,REGRAS!$B$2:$C$13,2,0),""))</f>
        <v/>
      </c>
    </row>
    <row r="2282">
      <c r="T2282" s="47">
        <f>IF(R2282="","",IFERROR(TODAY()+VLOOKUP(R2282,REGRAS!$B$2:$C$13,2,0),""))</f>
        <v/>
      </c>
    </row>
    <row r="2283">
      <c r="T2283" s="47">
        <f>IF(R2283="","",IFERROR(TODAY()+VLOOKUP(R2283,REGRAS!$B$2:$C$13,2,0),""))</f>
        <v/>
      </c>
    </row>
    <row r="2284">
      <c r="T2284" s="47">
        <f>IF(R2284="","",IFERROR(TODAY()+VLOOKUP(R2284,REGRAS!$B$2:$C$13,2,0),""))</f>
        <v/>
      </c>
    </row>
    <row r="2285">
      <c r="T2285" s="47">
        <f>IF(R2285="","",IFERROR(TODAY()+VLOOKUP(R2285,REGRAS!$B$2:$C$13,2,0),""))</f>
        <v/>
      </c>
    </row>
    <row r="2286">
      <c r="T2286" s="47">
        <f>IF(R2286="","",IFERROR(TODAY()+VLOOKUP(R2286,REGRAS!$B$2:$C$13,2,0),""))</f>
        <v/>
      </c>
    </row>
    <row r="2287">
      <c r="T2287" s="47">
        <f>IF(R2287="","",IFERROR(TODAY()+VLOOKUP(R2287,REGRAS!$B$2:$C$13,2,0),""))</f>
        <v/>
      </c>
    </row>
    <row r="2288">
      <c r="T2288" s="47">
        <f>IF(R2288="","",IFERROR(TODAY()+VLOOKUP(R2288,REGRAS!$B$2:$C$13,2,0),""))</f>
        <v/>
      </c>
    </row>
    <row r="2289">
      <c r="T2289" s="47">
        <f>IF(R2289="","",IFERROR(TODAY()+VLOOKUP(R2289,REGRAS!$B$2:$C$13,2,0),""))</f>
        <v/>
      </c>
    </row>
    <row r="2290">
      <c r="T2290" s="47">
        <f>IF(R2290="","",IFERROR(TODAY()+VLOOKUP(R2290,REGRAS!$B$2:$C$13,2,0),""))</f>
        <v/>
      </c>
    </row>
    <row r="2291">
      <c r="T2291" s="47">
        <f>IF(R2291="","",IFERROR(TODAY()+VLOOKUP(R2291,REGRAS!$B$2:$C$13,2,0),""))</f>
        <v/>
      </c>
    </row>
    <row r="2292">
      <c r="T2292" s="47">
        <f>IF(R2292="","",IFERROR(TODAY()+VLOOKUP(R2292,REGRAS!$B$2:$C$13,2,0),""))</f>
        <v/>
      </c>
    </row>
    <row r="2293">
      <c r="T2293" s="47">
        <f>IF(R2293="","",IFERROR(TODAY()+VLOOKUP(R2293,REGRAS!$B$2:$C$13,2,0),""))</f>
        <v/>
      </c>
    </row>
    <row r="2294">
      <c r="T2294" s="47">
        <f>IF(R2294="","",IFERROR(TODAY()+VLOOKUP(R2294,REGRAS!$B$2:$C$13,2,0),""))</f>
        <v/>
      </c>
    </row>
    <row r="2295">
      <c r="T2295" s="47">
        <f>IF(R2295="","",IFERROR(TODAY()+VLOOKUP(R2295,REGRAS!$B$2:$C$13,2,0),""))</f>
        <v/>
      </c>
    </row>
    <row r="2296">
      <c r="T2296" s="47">
        <f>IF(R2296="","",IFERROR(TODAY()+VLOOKUP(R2296,REGRAS!$B$2:$C$13,2,0),""))</f>
        <v/>
      </c>
    </row>
    <row r="2297">
      <c r="T2297" s="47">
        <f>IF(R2297="","",IFERROR(TODAY()+VLOOKUP(R2297,REGRAS!$B$2:$C$13,2,0),""))</f>
        <v/>
      </c>
    </row>
    <row r="2298">
      <c r="T2298" s="47">
        <f>IF(R2298="","",IFERROR(TODAY()+VLOOKUP(R2298,REGRAS!$B$2:$C$13,2,0),""))</f>
        <v/>
      </c>
    </row>
    <row r="2299">
      <c r="T2299" s="47">
        <f>IF(R2299="","",IFERROR(TODAY()+VLOOKUP(R2299,REGRAS!$B$2:$C$13,2,0),""))</f>
        <v/>
      </c>
    </row>
    <row r="2300">
      <c r="T2300" s="47">
        <f>IF(R2300="","",IFERROR(TODAY()+VLOOKUP(R2300,REGRAS!$B$2:$C$13,2,0),""))</f>
        <v/>
      </c>
    </row>
    <row r="2301">
      <c r="T2301" s="47">
        <f>IF(R2301="","",IFERROR(TODAY()+VLOOKUP(R2301,REGRAS!$B$2:$C$13,2,0),""))</f>
        <v/>
      </c>
    </row>
    <row r="2302">
      <c r="T2302" s="47">
        <f>IF(R2302="","",IFERROR(TODAY()+VLOOKUP(R2302,REGRAS!$B$2:$C$13,2,0),""))</f>
        <v/>
      </c>
    </row>
    <row r="2303">
      <c r="T2303" s="47">
        <f>IF(R2303="","",IFERROR(TODAY()+VLOOKUP(R2303,REGRAS!$B$2:$C$13,2,0),""))</f>
        <v/>
      </c>
    </row>
    <row r="2304">
      <c r="T2304" s="47">
        <f>IF(R2304="","",IFERROR(TODAY()+VLOOKUP(R2304,REGRAS!$B$2:$C$13,2,0),""))</f>
        <v/>
      </c>
    </row>
    <row r="2305">
      <c r="T2305" s="47">
        <f>IF(R2305="","",IFERROR(TODAY()+VLOOKUP(R2305,REGRAS!$B$2:$C$13,2,0),""))</f>
        <v/>
      </c>
    </row>
    <row r="2306">
      <c r="T2306" s="47">
        <f>IF(R2306="","",IFERROR(TODAY()+VLOOKUP(R2306,REGRAS!$B$2:$C$13,2,0),""))</f>
        <v/>
      </c>
    </row>
    <row r="2307">
      <c r="T2307" s="47">
        <f>IF(R2307="","",IFERROR(TODAY()+VLOOKUP(R2307,REGRAS!$B$2:$C$13,2,0),""))</f>
        <v/>
      </c>
    </row>
    <row r="2308">
      <c r="T2308" s="47">
        <f>IF(R2308="","",IFERROR(TODAY()+VLOOKUP(R2308,REGRAS!$B$2:$C$13,2,0),""))</f>
        <v/>
      </c>
    </row>
    <row r="2309">
      <c r="T2309" s="47">
        <f>IF(R2309="","",IFERROR(TODAY()+VLOOKUP(R2309,REGRAS!$B$2:$C$13,2,0),""))</f>
        <v/>
      </c>
    </row>
    <row r="2310">
      <c r="T2310" s="47">
        <f>IF(R2310="","",IFERROR(TODAY()+VLOOKUP(R2310,REGRAS!$B$2:$C$13,2,0),""))</f>
        <v/>
      </c>
    </row>
    <row r="2311">
      <c r="T2311" s="47">
        <f>IF(R2311="","",IFERROR(TODAY()+VLOOKUP(R2311,REGRAS!$B$2:$C$13,2,0),""))</f>
        <v/>
      </c>
    </row>
    <row r="2312">
      <c r="T2312" s="47">
        <f>IF(R2312="","",IFERROR(TODAY()+VLOOKUP(R2312,REGRAS!$B$2:$C$13,2,0),""))</f>
        <v/>
      </c>
    </row>
    <row r="2313">
      <c r="T2313" s="47">
        <f>IF(R2313="","",IFERROR(TODAY()+VLOOKUP(R2313,REGRAS!$B$2:$C$13,2,0),""))</f>
        <v/>
      </c>
    </row>
    <row r="2314">
      <c r="T2314" s="47">
        <f>IF(R2314="","",IFERROR(TODAY()+VLOOKUP(R2314,REGRAS!$B$2:$C$13,2,0),""))</f>
        <v/>
      </c>
    </row>
    <row r="2315">
      <c r="T2315" s="47">
        <f>IF(R2315="","",IFERROR(TODAY()+VLOOKUP(R2315,REGRAS!$B$2:$C$13,2,0),""))</f>
        <v/>
      </c>
    </row>
    <row r="2316">
      <c r="T2316" s="47">
        <f>IF(R2316="","",IFERROR(TODAY()+VLOOKUP(R2316,REGRAS!$B$2:$C$13,2,0),""))</f>
        <v/>
      </c>
    </row>
    <row r="2317">
      <c r="T2317" s="47">
        <f>IF(R2317="","",IFERROR(TODAY()+VLOOKUP(R2317,REGRAS!$B$2:$C$13,2,0),""))</f>
        <v/>
      </c>
    </row>
    <row r="2318">
      <c r="T2318" s="47">
        <f>IF(R2318="","",IFERROR(TODAY()+VLOOKUP(R2318,REGRAS!$B$2:$C$13,2,0),""))</f>
        <v/>
      </c>
    </row>
    <row r="2319">
      <c r="T2319" s="47">
        <f>IF(R2319="","",IFERROR(TODAY()+VLOOKUP(R2319,REGRAS!$B$2:$C$13,2,0),""))</f>
        <v/>
      </c>
    </row>
    <row r="2320">
      <c r="T2320" s="47">
        <f>IF(R2320="","",IFERROR(TODAY()+VLOOKUP(R2320,REGRAS!$B$2:$C$13,2,0),""))</f>
        <v/>
      </c>
    </row>
    <row r="2321">
      <c r="T2321" s="47">
        <f>IF(R2321="","",IFERROR(TODAY()+VLOOKUP(R2321,REGRAS!$B$2:$C$13,2,0),""))</f>
        <v/>
      </c>
    </row>
    <row r="2322">
      <c r="T2322" s="47">
        <f>IF(R2322="","",IFERROR(TODAY()+VLOOKUP(R2322,REGRAS!$B$2:$C$13,2,0),""))</f>
        <v/>
      </c>
    </row>
    <row r="2323">
      <c r="T2323" s="47">
        <f>IF(R2323="","",IFERROR(TODAY()+VLOOKUP(R2323,REGRAS!$B$2:$C$13,2,0),""))</f>
        <v/>
      </c>
    </row>
    <row r="2324">
      <c r="T2324" s="47">
        <f>IF(R2324="","",IFERROR(TODAY()+VLOOKUP(R2324,REGRAS!$B$2:$C$13,2,0),""))</f>
        <v/>
      </c>
    </row>
    <row r="2325">
      <c r="T2325" s="47">
        <f>IF(R2325="","",IFERROR(TODAY()+VLOOKUP(R2325,REGRAS!$B$2:$C$13,2,0),""))</f>
        <v/>
      </c>
    </row>
    <row r="2326">
      <c r="T2326" s="47">
        <f>IF(R2326="","",IFERROR(TODAY()+VLOOKUP(R2326,REGRAS!$B$2:$C$13,2,0),""))</f>
        <v/>
      </c>
    </row>
    <row r="2327">
      <c r="T2327" s="47">
        <f>IF(R2327="","",IFERROR(TODAY()+VLOOKUP(R2327,REGRAS!$B$2:$C$13,2,0),""))</f>
        <v/>
      </c>
    </row>
    <row r="2328">
      <c r="T2328" s="47">
        <f>IF(R2328="","",IFERROR(TODAY()+VLOOKUP(R2328,REGRAS!$B$2:$C$13,2,0),""))</f>
        <v/>
      </c>
    </row>
    <row r="2329">
      <c r="T2329" s="47">
        <f>IF(R2329="","",IFERROR(TODAY()+VLOOKUP(R2329,REGRAS!$B$2:$C$13,2,0),""))</f>
        <v/>
      </c>
    </row>
    <row r="2330">
      <c r="T2330" s="47">
        <f>IF(R2330="","",IFERROR(TODAY()+VLOOKUP(R2330,REGRAS!$B$2:$C$13,2,0),""))</f>
        <v/>
      </c>
    </row>
    <row r="2331">
      <c r="T2331" s="47">
        <f>IF(R2331="","",IFERROR(TODAY()+VLOOKUP(R2331,REGRAS!$B$2:$C$13,2,0),""))</f>
        <v/>
      </c>
    </row>
    <row r="2332">
      <c r="T2332" s="47">
        <f>IF(R2332="","",IFERROR(TODAY()+VLOOKUP(R2332,REGRAS!$B$2:$C$13,2,0),""))</f>
        <v/>
      </c>
    </row>
    <row r="2333">
      <c r="T2333" s="47">
        <f>IF(R2333="","",IFERROR(TODAY()+VLOOKUP(R2333,REGRAS!$B$2:$C$13,2,0),""))</f>
        <v/>
      </c>
    </row>
    <row r="2334">
      <c r="T2334" s="47">
        <f>IF(R2334="","",IFERROR(TODAY()+VLOOKUP(R2334,REGRAS!$B$2:$C$13,2,0),""))</f>
        <v/>
      </c>
    </row>
    <row r="2335">
      <c r="T2335" s="47">
        <f>IF(R2335="","",IFERROR(TODAY()+VLOOKUP(R2335,REGRAS!$B$2:$C$13,2,0),""))</f>
        <v/>
      </c>
    </row>
    <row r="2336">
      <c r="T2336" s="47">
        <f>IF(R2336="","",IFERROR(TODAY()+VLOOKUP(R2336,REGRAS!$B$2:$C$13,2,0),""))</f>
        <v/>
      </c>
    </row>
    <row r="2337">
      <c r="T2337" s="47">
        <f>IF(R2337="","",IFERROR(TODAY()+VLOOKUP(R2337,REGRAS!$B$2:$C$13,2,0),""))</f>
        <v/>
      </c>
    </row>
    <row r="2338">
      <c r="T2338" s="47">
        <f>IF(R2338="","",IFERROR(TODAY()+VLOOKUP(R2338,REGRAS!$B$2:$C$13,2,0),""))</f>
        <v/>
      </c>
    </row>
    <row r="2339">
      <c r="T2339" s="47">
        <f>IF(R2339="","",IFERROR(TODAY()+VLOOKUP(R2339,REGRAS!$B$2:$C$13,2,0),""))</f>
        <v/>
      </c>
    </row>
    <row r="2340">
      <c r="T2340" s="47">
        <f>IF(R2340="","",IFERROR(TODAY()+VLOOKUP(R2340,REGRAS!$B$2:$C$13,2,0),""))</f>
        <v/>
      </c>
    </row>
    <row r="2341">
      <c r="T2341" s="47">
        <f>IF(R2341="","",IFERROR(TODAY()+VLOOKUP(R2341,REGRAS!$B$2:$C$13,2,0),""))</f>
        <v/>
      </c>
    </row>
    <row r="2342">
      <c r="T2342" s="47">
        <f>IF(R2342="","",IFERROR(TODAY()+VLOOKUP(R2342,REGRAS!$B$2:$C$13,2,0),""))</f>
        <v/>
      </c>
    </row>
    <row r="2343">
      <c r="T2343" s="47">
        <f>IF(R2343="","",IFERROR(TODAY()+VLOOKUP(R2343,REGRAS!$B$2:$C$13,2,0),""))</f>
        <v/>
      </c>
    </row>
    <row r="2344">
      <c r="T2344" s="47">
        <f>IF(R2344="","",IFERROR(TODAY()+VLOOKUP(R2344,REGRAS!$B$2:$C$13,2,0),""))</f>
        <v/>
      </c>
    </row>
    <row r="2345">
      <c r="T2345" s="47">
        <f>IF(R2345="","",IFERROR(TODAY()+VLOOKUP(R2345,REGRAS!$B$2:$C$13,2,0),""))</f>
        <v/>
      </c>
    </row>
    <row r="2346">
      <c r="T2346" s="47">
        <f>IF(R2346="","",IFERROR(TODAY()+VLOOKUP(R2346,REGRAS!$B$2:$C$13,2,0),""))</f>
        <v/>
      </c>
    </row>
    <row r="2347">
      <c r="T2347" s="47">
        <f>IF(R2347="","",IFERROR(TODAY()+VLOOKUP(R2347,REGRAS!$B$2:$C$13,2,0),""))</f>
        <v/>
      </c>
    </row>
    <row r="2348">
      <c r="T2348" s="47">
        <f>IF(R2348="","",IFERROR(TODAY()+VLOOKUP(R2348,REGRAS!$B$2:$C$13,2,0),""))</f>
        <v/>
      </c>
    </row>
    <row r="2349">
      <c r="T2349" s="47">
        <f>IF(R2349="","",IFERROR(TODAY()+VLOOKUP(R2349,REGRAS!$B$2:$C$13,2,0),""))</f>
        <v/>
      </c>
    </row>
    <row r="2350">
      <c r="T2350" s="47">
        <f>IF(R2350="","",IFERROR(TODAY()+VLOOKUP(R2350,REGRAS!$B$2:$C$13,2,0),""))</f>
        <v/>
      </c>
    </row>
    <row r="2351">
      <c r="T2351" s="47">
        <f>IF(R2351="","",IFERROR(TODAY()+VLOOKUP(R2351,REGRAS!$B$2:$C$13,2,0),""))</f>
        <v/>
      </c>
    </row>
    <row r="2352">
      <c r="T2352" s="47">
        <f>IF(R2352="","",IFERROR(TODAY()+VLOOKUP(R2352,REGRAS!$B$2:$C$13,2,0),""))</f>
        <v/>
      </c>
    </row>
    <row r="2353">
      <c r="T2353" s="47">
        <f>IF(R2353="","",IFERROR(TODAY()+VLOOKUP(R2353,REGRAS!$B$2:$C$13,2,0),""))</f>
        <v/>
      </c>
    </row>
    <row r="2354">
      <c r="T2354" s="47">
        <f>IF(R2354="","",IFERROR(TODAY()+VLOOKUP(R2354,REGRAS!$B$2:$C$13,2,0),""))</f>
        <v/>
      </c>
    </row>
    <row r="2355">
      <c r="T2355" s="47">
        <f>IF(R2355="","",IFERROR(TODAY()+VLOOKUP(R2355,REGRAS!$B$2:$C$13,2,0),""))</f>
        <v/>
      </c>
    </row>
    <row r="2356">
      <c r="T2356" s="47">
        <f>IF(R2356="","",IFERROR(TODAY()+VLOOKUP(R2356,REGRAS!$B$2:$C$13,2,0),""))</f>
        <v/>
      </c>
    </row>
    <row r="2357">
      <c r="T2357" s="47">
        <f>IF(R2357="","",IFERROR(TODAY()+VLOOKUP(R2357,REGRAS!$B$2:$C$13,2,0),""))</f>
        <v/>
      </c>
    </row>
    <row r="2358">
      <c r="T2358" s="47">
        <f>IF(R2358="","",IFERROR(TODAY()+VLOOKUP(R2358,REGRAS!$B$2:$C$13,2,0),""))</f>
        <v/>
      </c>
    </row>
    <row r="2359">
      <c r="T2359" s="47">
        <f>IF(R2359="","",IFERROR(TODAY()+VLOOKUP(R2359,REGRAS!$B$2:$C$13,2,0),""))</f>
        <v/>
      </c>
    </row>
    <row r="2360">
      <c r="T2360" s="47">
        <f>IF(R2360="","",IFERROR(TODAY()+VLOOKUP(R2360,REGRAS!$B$2:$C$13,2,0),""))</f>
        <v/>
      </c>
    </row>
    <row r="2361">
      <c r="T2361" s="47">
        <f>IF(R2361="","",IFERROR(TODAY()+VLOOKUP(R2361,REGRAS!$B$2:$C$13,2,0),""))</f>
        <v/>
      </c>
    </row>
    <row r="2362">
      <c r="T2362" s="47">
        <f>IF(R2362="","",IFERROR(TODAY()+VLOOKUP(R2362,REGRAS!$B$2:$C$13,2,0),""))</f>
        <v/>
      </c>
    </row>
    <row r="2363">
      <c r="T2363" s="47">
        <f>IF(R2363="","",IFERROR(TODAY()+VLOOKUP(R2363,REGRAS!$B$2:$C$13,2,0),""))</f>
        <v/>
      </c>
    </row>
    <row r="2364">
      <c r="T2364" s="47">
        <f>IF(R2364="","",IFERROR(TODAY()+VLOOKUP(R2364,REGRAS!$B$2:$C$13,2,0),""))</f>
        <v/>
      </c>
    </row>
    <row r="2365">
      <c r="T2365" s="47">
        <f>IF(R2365="","",IFERROR(TODAY()+VLOOKUP(R2365,REGRAS!$B$2:$C$13,2,0),""))</f>
        <v/>
      </c>
    </row>
    <row r="2366">
      <c r="T2366" s="47">
        <f>IF(R2366="","",IFERROR(TODAY()+VLOOKUP(R2366,REGRAS!$B$2:$C$13,2,0),""))</f>
        <v/>
      </c>
    </row>
    <row r="2367">
      <c r="T2367" s="47">
        <f>IF(R2367="","",IFERROR(TODAY()+VLOOKUP(R2367,REGRAS!$B$2:$C$13,2,0),""))</f>
        <v/>
      </c>
    </row>
    <row r="2368">
      <c r="T2368" s="47">
        <f>IF(R2368="","",IFERROR(TODAY()+VLOOKUP(R2368,REGRAS!$B$2:$C$13,2,0),""))</f>
        <v/>
      </c>
    </row>
    <row r="2369">
      <c r="T2369" s="47">
        <f>IF(R2369="","",IFERROR(TODAY()+VLOOKUP(R2369,REGRAS!$B$2:$C$13,2,0),""))</f>
        <v/>
      </c>
    </row>
    <row r="2370">
      <c r="T2370" s="47">
        <f>IF(R2370="","",IFERROR(TODAY()+VLOOKUP(R2370,REGRAS!$B$2:$C$13,2,0),""))</f>
        <v/>
      </c>
    </row>
    <row r="2371">
      <c r="T2371" s="47">
        <f>IF(R2371="","",IFERROR(TODAY()+VLOOKUP(R2371,REGRAS!$B$2:$C$13,2,0),""))</f>
        <v/>
      </c>
    </row>
    <row r="2372">
      <c r="T2372" s="47">
        <f>IF(R2372="","",IFERROR(TODAY()+VLOOKUP(R2372,REGRAS!$B$2:$C$13,2,0),""))</f>
        <v/>
      </c>
    </row>
    <row r="2373">
      <c r="T2373" s="47">
        <f>IF(R2373="","",IFERROR(TODAY()+VLOOKUP(R2373,REGRAS!$B$2:$C$13,2,0),""))</f>
        <v/>
      </c>
    </row>
    <row r="2374">
      <c r="T2374" s="47">
        <f>IF(R2374="","",IFERROR(TODAY()+VLOOKUP(R2374,REGRAS!$B$2:$C$13,2,0),""))</f>
        <v/>
      </c>
    </row>
    <row r="2375">
      <c r="T2375" s="47">
        <f>IF(R2375="","",IFERROR(TODAY()+VLOOKUP(R2375,REGRAS!$B$2:$C$13,2,0),""))</f>
        <v/>
      </c>
    </row>
    <row r="2376">
      <c r="T2376" s="47">
        <f>IF(R2376="","",IFERROR(TODAY()+VLOOKUP(R2376,REGRAS!$B$2:$C$13,2,0),""))</f>
        <v/>
      </c>
    </row>
    <row r="2377">
      <c r="T2377" s="47">
        <f>IF(R2377="","",IFERROR(TODAY()+VLOOKUP(R2377,REGRAS!$B$2:$C$13,2,0),""))</f>
        <v/>
      </c>
    </row>
    <row r="2378">
      <c r="T2378" s="47">
        <f>IF(R2378="","",IFERROR(TODAY()+VLOOKUP(R2378,REGRAS!$B$2:$C$13,2,0),""))</f>
        <v/>
      </c>
    </row>
    <row r="2379">
      <c r="T2379" s="47">
        <f>IF(R2379="","",IFERROR(TODAY()+VLOOKUP(R2379,REGRAS!$B$2:$C$13,2,0),""))</f>
        <v/>
      </c>
    </row>
    <row r="2380">
      <c r="T2380" s="47">
        <f>IF(R2380="","",IFERROR(TODAY()+VLOOKUP(R2380,REGRAS!$B$2:$C$13,2,0),""))</f>
        <v/>
      </c>
    </row>
    <row r="2381">
      <c r="T2381" s="47">
        <f>IF(R2381="","",IFERROR(TODAY()+VLOOKUP(R2381,REGRAS!$B$2:$C$13,2,0),""))</f>
        <v/>
      </c>
    </row>
    <row r="2382">
      <c r="T2382" s="47">
        <f>IF(R2382="","",IFERROR(TODAY()+VLOOKUP(R2382,REGRAS!$B$2:$C$13,2,0),""))</f>
        <v/>
      </c>
    </row>
    <row r="2383">
      <c r="T2383" s="47">
        <f>IF(R2383="","",IFERROR(TODAY()+VLOOKUP(R2383,REGRAS!$B$2:$C$13,2,0),""))</f>
        <v/>
      </c>
    </row>
    <row r="2384">
      <c r="T2384" s="47">
        <f>IF(R2384="","",IFERROR(TODAY()+VLOOKUP(R2384,REGRAS!$B$2:$C$13,2,0),""))</f>
        <v/>
      </c>
    </row>
    <row r="2385">
      <c r="T2385" s="47">
        <f>IF(R2385="","",IFERROR(TODAY()+VLOOKUP(R2385,REGRAS!$B$2:$C$13,2,0),""))</f>
        <v/>
      </c>
    </row>
    <row r="2386">
      <c r="T2386" s="47">
        <f>IF(R2386="","",IFERROR(TODAY()+VLOOKUP(R2386,REGRAS!$B$2:$C$13,2,0),""))</f>
        <v/>
      </c>
    </row>
    <row r="2387">
      <c r="T2387" s="47">
        <f>IF(R2387="","",IFERROR(TODAY()+VLOOKUP(R2387,REGRAS!$B$2:$C$13,2,0),""))</f>
        <v/>
      </c>
    </row>
    <row r="2388">
      <c r="T2388" s="47">
        <f>IF(R2388="","",IFERROR(TODAY()+VLOOKUP(R2388,REGRAS!$B$2:$C$13,2,0),""))</f>
        <v/>
      </c>
    </row>
    <row r="2389">
      <c r="T2389" s="47">
        <f>IF(R2389="","",IFERROR(TODAY()+VLOOKUP(R2389,REGRAS!$B$2:$C$13,2,0),""))</f>
        <v/>
      </c>
    </row>
    <row r="2390">
      <c r="T2390" s="47">
        <f>IF(R2390="","",IFERROR(TODAY()+VLOOKUP(R2390,REGRAS!$B$2:$C$13,2,0),""))</f>
        <v/>
      </c>
    </row>
    <row r="2391">
      <c r="T2391" s="47">
        <f>IF(R2391="","",IFERROR(TODAY()+VLOOKUP(R2391,REGRAS!$B$2:$C$13,2,0),""))</f>
        <v/>
      </c>
    </row>
    <row r="2392">
      <c r="T2392" s="47">
        <f>IF(R2392="","",IFERROR(TODAY()+VLOOKUP(R2392,REGRAS!$B$2:$C$13,2,0),""))</f>
        <v/>
      </c>
    </row>
    <row r="2393">
      <c r="T2393" s="47">
        <f>IF(R2393="","",IFERROR(TODAY()+VLOOKUP(R2393,REGRAS!$B$2:$C$13,2,0),""))</f>
        <v/>
      </c>
    </row>
    <row r="2394">
      <c r="T2394" s="47">
        <f>IF(R2394="","",IFERROR(TODAY()+VLOOKUP(R2394,REGRAS!$B$2:$C$13,2,0),""))</f>
        <v/>
      </c>
    </row>
    <row r="2395">
      <c r="T2395" s="47">
        <f>IF(R2395="","",IFERROR(TODAY()+VLOOKUP(R2395,REGRAS!$B$2:$C$13,2,0),""))</f>
        <v/>
      </c>
    </row>
    <row r="2396">
      <c r="T2396" s="47">
        <f>IF(R2396="","",IFERROR(TODAY()+VLOOKUP(R2396,REGRAS!$B$2:$C$13,2,0),""))</f>
        <v/>
      </c>
    </row>
    <row r="2397">
      <c r="T2397" s="47">
        <f>IF(R2397="","",IFERROR(TODAY()+VLOOKUP(R2397,REGRAS!$B$2:$C$13,2,0),""))</f>
        <v/>
      </c>
    </row>
    <row r="2398">
      <c r="T2398" s="47">
        <f>IF(R2398="","",IFERROR(TODAY()+VLOOKUP(R2398,REGRAS!$B$2:$C$13,2,0),""))</f>
        <v/>
      </c>
    </row>
    <row r="2399">
      <c r="T2399" s="47">
        <f>IF(R2399="","",IFERROR(TODAY()+VLOOKUP(R2399,REGRAS!$B$2:$C$13,2,0),""))</f>
        <v/>
      </c>
    </row>
    <row r="2400">
      <c r="T2400" s="47">
        <f>IF(R2400="","",IFERROR(TODAY()+VLOOKUP(R2400,REGRAS!$B$2:$C$13,2,0),""))</f>
        <v/>
      </c>
    </row>
    <row r="2401">
      <c r="T2401" s="47">
        <f>IF(R2401="","",IFERROR(TODAY()+VLOOKUP(R2401,REGRAS!$B$2:$C$13,2,0),""))</f>
        <v/>
      </c>
    </row>
    <row r="2402">
      <c r="T2402" s="47">
        <f>IF(R2402="","",IFERROR(TODAY()+VLOOKUP(R2402,REGRAS!$B$2:$C$13,2,0),""))</f>
        <v/>
      </c>
    </row>
    <row r="2403">
      <c r="T2403" s="47">
        <f>IF(R2403="","",IFERROR(TODAY()+VLOOKUP(R2403,REGRAS!$B$2:$C$13,2,0),""))</f>
        <v/>
      </c>
    </row>
    <row r="2404">
      <c r="T2404" s="47">
        <f>IF(R2404="","",IFERROR(TODAY()+VLOOKUP(R2404,REGRAS!$B$2:$C$13,2,0),""))</f>
        <v/>
      </c>
    </row>
    <row r="2405">
      <c r="T2405" s="47">
        <f>IF(R2405="","",IFERROR(TODAY()+VLOOKUP(R2405,REGRAS!$B$2:$C$13,2,0),""))</f>
        <v/>
      </c>
    </row>
    <row r="2406">
      <c r="T2406" s="47">
        <f>IF(R2406="","",IFERROR(TODAY()+VLOOKUP(R2406,REGRAS!$B$2:$C$13,2,0),""))</f>
        <v/>
      </c>
    </row>
    <row r="2407">
      <c r="T2407" s="47">
        <f>IF(R2407="","",IFERROR(TODAY()+VLOOKUP(R2407,REGRAS!$B$2:$C$13,2,0),""))</f>
        <v/>
      </c>
    </row>
    <row r="2408">
      <c r="T2408" s="47">
        <f>IF(R2408="","",IFERROR(TODAY()+VLOOKUP(R2408,REGRAS!$B$2:$C$13,2,0),""))</f>
        <v/>
      </c>
    </row>
    <row r="2409">
      <c r="T2409" s="47">
        <f>IF(R2409="","",IFERROR(TODAY()+VLOOKUP(R2409,REGRAS!$B$2:$C$13,2,0),""))</f>
        <v/>
      </c>
    </row>
    <row r="2410">
      <c r="T2410" s="47">
        <f>IF(R2410="","",IFERROR(TODAY()+VLOOKUP(R2410,REGRAS!$B$2:$C$13,2,0),""))</f>
        <v/>
      </c>
    </row>
    <row r="2411">
      <c r="T2411" s="47">
        <f>IF(R2411="","",IFERROR(TODAY()+VLOOKUP(R2411,REGRAS!$B$2:$C$13,2,0),""))</f>
        <v/>
      </c>
    </row>
    <row r="2412">
      <c r="T2412" s="47">
        <f>IF(R2412="","",IFERROR(TODAY()+VLOOKUP(R2412,REGRAS!$B$2:$C$13,2,0),""))</f>
        <v/>
      </c>
    </row>
    <row r="2413">
      <c r="T2413" s="47">
        <f>IF(R2413="","",IFERROR(TODAY()+VLOOKUP(R2413,REGRAS!$B$2:$C$13,2,0),""))</f>
        <v/>
      </c>
    </row>
    <row r="2414">
      <c r="T2414" s="47">
        <f>IF(R2414="","",IFERROR(TODAY()+VLOOKUP(R2414,REGRAS!$B$2:$C$13,2,0),""))</f>
        <v/>
      </c>
    </row>
    <row r="2415">
      <c r="T2415" s="47">
        <f>IF(R2415="","",IFERROR(TODAY()+VLOOKUP(R2415,REGRAS!$B$2:$C$13,2,0),""))</f>
        <v/>
      </c>
    </row>
    <row r="2416">
      <c r="T2416" s="47">
        <f>IF(R2416="","",IFERROR(TODAY()+VLOOKUP(R2416,REGRAS!$B$2:$C$13,2,0),""))</f>
        <v/>
      </c>
    </row>
    <row r="2417">
      <c r="T2417" s="47">
        <f>IF(R2417="","",IFERROR(TODAY()+VLOOKUP(R2417,REGRAS!$B$2:$C$13,2,0),""))</f>
        <v/>
      </c>
    </row>
    <row r="2418">
      <c r="T2418" s="47">
        <f>IF(R2418="","",IFERROR(TODAY()+VLOOKUP(R2418,REGRAS!$B$2:$C$13,2,0),""))</f>
        <v/>
      </c>
    </row>
    <row r="2419">
      <c r="T2419" s="47">
        <f>IF(R2419="","",IFERROR(TODAY()+VLOOKUP(R2419,REGRAS!$B$2:$C$13,2,0),""))</f>
        <v/>
      </c>
    </row>
    <row r="2420">
      <c r="T2420" s="47">
        <f>IF(R2420="","",IFERROR(TODAY()+VLOOKUP(R2420,REGRAS!$B$2:$C$13,2,0),""))</f>
        <v/>
      </c>
    </row>
    <row r="2421">
      <c r="T2421" s="47">
        <f>IF(R2421="","",IFERROR(TODAY()+VLOOKUP(R2421,REGRAS!$B$2:$C$13,2,0),""))</f>
        <v/>
      </c>
    </row>
    <row r="2422">
      <c r="T2422" s="47">
        <f>IF(R2422="","",IFERROR(TODAY()+VLOOKUP(R2422,REGRAS!$B$2:$C$13,2,0),""))</f>
        <v/>
      </c>
    </row>
    <row r="2423">
      <c r="T2423" s="47">
        <f>IF(R2423="","",IFERROR(TODAY()+VLOOKUP(R2423,REGRAS!$B$2:$C$13,2,0),""))</f>
        <v/>
      </c>
    </row>
    <row r="2424">
      <c r="T2424" s="47">
        <f>IF(R2424="","",IFERROR(TODAY()+VLOOKUP(R2424,REGRAS!$B$2:$C$13,2,0),""))</f>
        <v/>
      </c>
    </row>
    <row r="2425">
      <c r="T2425" s="47">
        <f>IF(R2425="","",IFERROR(TODAY()+VLOOKUP(R2425,REGRAS!$B$2:$C$13,2,0),""))</f>
        <v/>
      </c>
    </row>
    <row r="2426">
      <c r="T2426" s="47">
        <f>IF(R2426="","",IFERROR(TODAY()+VLOOKUP(R2426,REGRAS!$B$2:$C$13,2,0),""))</f>
        <v/>
      </c>
    </row>
    <row r="2427">
      <c r="T2427" s="47">
        <f>IF(R2427="","",IFERROR(TODAY()+VLOOKUP(R2427,REGRAS!$B$2:$C$13,2,0),""))</f>
        <v/>
      </c>
    </row>
    <row r="2428">
      <c r="T2428" s="47">
        <f>IF(R2428="","",IFERROR(TODAY()+VLOOKUP(R2428,REGRAS!$B$2:$C$13,2,0),""))</f>
        <v/>
      </c>
    </row>
    <row r="2429">
      <c r="T2429" s="47">
        <f>IF(R2429="","",IFERROR(TODAY()+VLOOKUP(R2429,REGRAS!$B$2:$C$13,2,0),""))</f>
        <v/>
      </c>
    </row>
    <row r="2430">
      <c r="T2430" s="47">
        <f>IF(R2430="","",IFERROR(TODAY()+VLOOKUP(R2430,REGRAS!$B$2:$C$13,2,0),""))</f>
        <v/>
      </c>
    </row>
    <row r="2431">
      <c r="T2431" s="47">
        <f>IF(R2431="","",IFERROR(TODAY()+VLOOKUP(R2431,REGRAS!$B$2:$C$13,2,0),""))</f>
        <v/>
      </c>
    </row>
    <row r="2432">
      <c r="T2432" s="47">
        <f>IF(R2432="","",IFERROR(TODAY()+VLOOKUP(R2432,REGRAS!$B$2:$C$13,2,0),""))</f>
        <v/>
      </c>
    </row>
    <row r="2433">
      <c r="T2433" s="47">
        <f>IF(R2433="","",IFERROR(TODAY()+VLOOKUP(R2433,REGRAS!$B$2:$C$13,2,0),""))</f>
        <v/>
      </c>
    </row>
    <row r="2434">
      <c r="T2434" s="47">
        <f>IF(R2434="","",IFERROR(TODAY()+VLOOKUP(R2434,REGRAS!$B$2:$C$13,2,0),""))</f>
        <v/>
      </c>
    </row>
    <row r="2435">
      <c r="T2435" s="47">
        <f>IF(R2435="","",IFERROR(TODAY()+VLOOKUP(R2435,REGRAS!$B$2:$C$13,2,0),""))</f>
        <v/>
      </c>
    </row>
    <row r="2436">
      <c r="T2436" s="47">
        <f>IF(R2436="","",IFERROR(TODAY()+VLOOKUP(R2436,REGRAS!$B$2:$C$13,2,0),""))</f>
        <v/>
      </c>
    </row>
    <row r="2437">
      <c r="T2437" s="47">
        <f>IF(R2437="","",IFERROR(TODAY()+VLOOKUP(R2437,REGRAS!$B$2:$C$13,2,0),""))</f>
        <v/>
      </c>
    </row>
    <row r="2438">
      <c r="T2438" s="47">
        <f>IF(R2438="","",IFERROR(TODAY()+VLOOKUP(R2438,REGRAS!$B$2:$C$13,2,0),""))</f>
        <v/>
      </c>
    </row>
    <row r="2439">
      <c r="T2439" s="47">
        <f>IF(R2439="","",IFERROR(TODAY()+VLOOKUP(R2439,REGRAS!$B$2:$C$13,2,0),""))</f>
        <v/>
      </c>
    </row>
    <row r="2440">
      <c r="T2440" s="47">
        <f>IF(R2440="","",IFERROR(TODAY()+VLOOKUP(R2440,REGRAS!$B$2:$C$13,2,0),""))</f>
        <v/>
      </c>
    </row>
    <row r="2441">
      <c r="T2441" s="47">
        <f>IF(R2441="","",IFERROR(TODAY()+VLOOKUP(R2441,REGRAS!$B$2:$C$13,2,0),""))</f>
        <v/>
      </c>
    </row>
    <row r="2442">
      <c r="T2442" s="47">
        <f>IF(R2442="","",IFERROR(TODAY()+VLOOKUP(R2442,REGRAS!$B$2:$C$13,2,0),""))</f>
        <v/>
      </c>
    </row>
    <row r="2443">
      <c r="T2443" s="47">
        <f>IF(R2443="","",IFERROR(TODAY()+VLOOKUP(R2443,REGRAS!$B$2:$C$13,2,0),""))</f>
        <v/>
      </c>
    </row>
    <row r="2444">
      <c r="T2444" s="47">
        <f>IF(R2444="","",IFERROR(TODAY()+VLOOKUP(R2444,REGRAS!$B$2:$C$13,2,0),""))</f>
        <v/>
      </c>
    </row>
    <row r="2445">
      <c r="T2445" s="47">
        <f>IF(R2445="","",IFERROR(TODAY()+VLOOKUP(R2445,REGRAS!$B$2:$C$13,2,0),""))</f>
        <v/>
      </c>
    </row>
    <row r="2446">
      <c r="T2446" s="47">
        <f>IF(R2446="","",IFERROR(TODAY()+VLOOKUP(R2446,REGRAS!$B$2:$C$13,2,0),""))</f>
        <v/>
      </c>
    </row>
    <row r="2447">
      <c r="T2447" s="47">
        <f>IF(R2447="","",IFERROR(TODAY()+VLOOKUP(R2447,REGRAS!$B$2:$C$13,2,0),""))</f>
        <v/>
      </c>
    </row>
    <row r="2448">
      <c r="T2448" s="47">
        <f>IF(R2448="","",IFERROR(TODAY()+VLOOKUP(R2448,REGRAS!$B$2:$C$13,2,0),""))</f>
        <v/>
      </c>
    </row>
    <row r="2449">
      <c r="T2449" s="47">
        <f>IF(R2449="","",IFERROR(TODAY()+VLOOKUP(R2449,REGRAS!$B$2:$C$13,2,0),""))</f>
        <v/>
      </c>
    </row>
    <row r="2450">
      <c r="T2450" s="47">
        <f>IF(R2450="","",IFERROR(TODAY()+VLOOKUP(R2450,REGRAS!$B$2:$C$13,2,0),""))</f>
        <v/>
      </c>
    </row>
    <row r="2451">
      <c r="T2451" s="47">
        <f>IF(R2451="","",IFERROR(TODAY()+VLOOKUP(R2451,REGRAS!$B$2:$C$13,2,0),""))</f>
        <v/>
      </c>
    </row>
    <row r="2452">
      <c r="T2452" s="47">
        <f>IF(R2452="","",IFERROR(TODAY()+VLOOKUP(R2452,REGRAS!$B$2:$C$13,2,0),""))</f>
        <v/>
      </c>
    </row>
    <row r="2453">
      <c r="T2453" s="47">
        <f>IF(R2453="","",IFERROR(TODAY()+VLOOKUP(R2453,REGRAS!$B$2:$C$13,2,0),""))</f>
        <v/>
      </c>
    </row>
    <row r="2454">
      <c r="T2454" s="47">
        <f>IF(R2454="","",IFERROR(TODAY()+VLOOKUP(R2454,REGRAS!$B$2:$C$13,2,0),""))</f>
        <v/>
      </c>
    </row>
    <row r="2455">
      <c r="T2455" s="47">
        <f>IF(R2455="","",IFERROR(TODAY()+VLOOKUP(R2455,REGRAS!$B$2:$C$13,2,0),""))</f>
        <v/>
      </c>
    </row>
    <row r="2456">
      <c r="T2456" s="47">
        <f>IF(R2456="","",IFERROR(TODAY()+VLOOKUP(R2456,REGRAS!$B$2:$C$13,2,0),""))</f>
        <v/>
      </c>
    </row>
    <row r="2457">
      <c r="T2457" s="47">
        <f>IF(R2457="","",IFERROR(TODAY()+VLOOKUP(R2457,REGRAS!$B$2:$C$13,2,0),""))</f>
        <v/>
      </c>
    </row>
    <row r="2458">
      <c r="T2458" s="47">
        <f>IF(R2458="","",IFERROR(TODAY()+VLOOKUP(R2458,REGRAS!$B$2:$C$13,2,0),""))</f>
        <v/>
      </c>
    </row>
    <row r="2459">
      <c r="T2459" s="47">
        <f>IF(R2459="","",IFERROR(TODAY()+VLOOKUP(R2459,REGRAS!$B$2:$C$13,2,0),""))</f>
        <v/>
      </c>
    </row>
    <row r="2460">
      <c r="T2460" s="47">
        <f>IF(R2460="","",IFERROR(TODAY()+VLOOKUP(R2460,REGRAS!$B$2:$C$13,2,0),""))</f>
        <v/>
      </c>
    </row>
    <row r="2461">
      <c r="T2461" s="47">
        <f>IF(R2461="","",IFERROR(TODAY()+VLOOKUP(R2461,REGRAS!$B$2:$C$13,2,0),""))</f>
        <v/>
      </c>
    </row>
    <row r="2462">
      <c r="T2462" s="47">
        <f>IF(R2462="","",IFERROR(TODAY()+VLOOKUP(R2462,REGRAS!$B$2:$C$13,2,0),""))</f>
        <v/>
      </c>
    </row>
    <row r="2463">
      <c r="T2463" s="47">
        <f>IF(R2463="","",IFERROR(TODAY()+VLOOKUP(R2463,REGRAS!$B$2:$C$13,2,0),""))</f>
        <v/>
      </c>
    </row>
    <row r="2464">
      <c r="T2464" s="47">
        <f>IF(R2464="","",IFERROR(TODAY()+VLOOKUP(R2464,REGRAS!$B$2:$C$13,2,0),""))</f>
        <v/>
      </c>
    </row>
    <row r="2465">
      <c r="T2465" s="47">
        <f>IF(R2465="","",IFERROR(TODAY()+VLOOKUP(R2465,REGRAS!$B$2:$C$13,2,0),""))</f>
        <v/>
      </c>
    </row>
    <row r="2466">
      <c r="T2466" s="47">
        <f>IF(R2466="","",IFERROR(TODAY()+VLOOKUP(R2466,REGRAS!$B$2:$C$13,2,0),""))</f>
        <v/>
      </c>
    </row>
    <row r="2467">
      <c r="T2467" s="47">
        <f>IF(R2467="","",IFERROR(TODAY()+VLOOKUP(R2467,REGRAS!$B$2:$C$13,2,0),""))</f>
        <v/>
      </c>
    </row>
    <row r="2468">
      <c r="T2468" s="47">
        <f>IF(R2468="","",IFERROR(TODAY()+VLOOKUP(R2468,REGRAS!$B$2:$C$13,2,0),""))</f>
        <v/>
      </c>
    </row>
    <row r="2469">
      <c r="T2469" s="47">
        <f>IF(R2469="","",IFERROR(TODAY()+VLOOKUP(R2469,REGRAS!$B$2:$C$13,2,0),""))</f>
        <v/>
      </c>
    </row>
    <row r="2470">
      <c r="T2470" s="47">
        <f>IF(R2470="","",IFERROR(TODAY()+VLOOKUP(R2470,REGRAS!$B$2:$C$13,2,0),""))</f>
        <v/>
      </c>
    </row>
    <row r="2471">
      <c r="T2471" s="47">
        <f>IF(R2471="","",IFERROR(TODAY()+VLOOKUP(R2471,REGRAS!$B$2:$C$13,2,0),""))</f>
        <v/>
      </c>
    </row>
    <row r="2472">
      <c r="T2472" s="47">
        <f>IF(R2472="","",IFERROR(TODAY()+VLOOKUP(R2472,REGRAS!$B$2:$C$13,2,0),""))</f>
        <v/>
      </c>
    </row>
    <row r="2473">
      <c r="T2473" s="47">
        <f>IF(R2473="","",IFERROR(TODAY()+VLOOKUP(R2473,REGRAS!$B$2:$C$13,2,0),""))</f>
        <v/>
      </c>
    </row>
    <row r="2474">
      <c r="T2474" s="47">
        <f>IF(R2474="","",IFERROR(TODAY()+VLOOKUP(R2474,REGRAS!$B$2:$C$13,2,0),""))</f>
        <v/>
      </c>
    </row>
    <row r="2475">
      <c r="T2475" s="47">
        <f>IF(R2475="","",IFERROR(TODAY()+VLOOKUP(R2475,REGRAS!$B$2:$C$13,2,0),""))</f>
        <v/>
      </c>
    </row>
    <row r="2476">
      <c r="T2476" s="47">
        <f>IF(R2476="","",IFERROR(TODAY()+VLOOKUP(R2476,REGRAS!$B$2:$C$13,2,0),""))</f>
        <v/>
      </c>
    </row>
    <row r="2477">
      <c r="T2477" s="47">
        <f>IF(R2477="","",IFERROR(TODAY()+VLOOKUP(R2477,REGRAS!$B$2:$C$13,2,0),""))</f>
        <v/>
      </c>
    </row>
    <row r="2478">
      <c r="T2478" s="47">
        <f>IF(R2478="","",IFERROR(TODAY()+VLOOKUP(R2478,REGRAS!$B$2:$C$13,2,0),""))</f>
        <v/>
      </c>
    </row>
    <row r="2479">
      <c r="T2479" s="47">
        <f>IF(R2479="","",IFERROR(TODAY()+VLOOKUP(R2479,REGRAS!$B$2:$C$13,2,0),""))</f>
        <v/>
      </c>
    </row>
    <row r="2480">
      <c r="T2480" s="47">
        <f>IF(R2480="","",IFERROR(TODAY()+VLOOKUP(R2480,REGRAS!$B$2:$C$13,2,0),""))</f>
        <v/>
      </c>
    </row>
    <row r="2481">
      <c r="T2481" s="47">
        <f>IF(R2481="","",IFERROR(TODAY()+VLOOKUP(R2481,REGRAS!$B$2:$C$13,2,0),""))</f>
        <v/>
      </c>
    </row>
    <row r="2482">
      <c r="T2482" s="47">
        <f>IF(R2482="","",IFERROR(TODAY()+VLOOKUP(R2482,REGRAS!$B$2:$C$13,2,0),""))</f>
        <v/>
      </c>
    </row>
    <row r="2483">
      <c r="T2483" s="47">
        <f>IF(R2483="","",IFERROR(TODAY()+VLOOKUP(R2483,REGRAS!$B$2:$C$13,2,0),""))</f>
        <v/>
      </c>
    </row>
    <row r="2484">
      <c r="T2484" s="47">
        <f>IF(R2484="","",IFERROR(TODAY()+VLOOKUP(R2484,REGRAS!$B$2:$C$13,2,0),""))</f>
        <v/>
      </c>
    </row>
    <row r="2485">
      <c r="T2485" s="47">
        <f>IF(R2485="","",IFERROR(TODAY()+VLOOKUP(R2485,REGRAS!$B$2:$C$13,2,0),""))</f>
        <v/>
      </c>
    </row>
    <row r="2486">
      <c r="T2486" s="47">
        <f>IF(R2486="","",IFERROR(TODAY()+VLOOKUP(R2486,REGRAS!$B$2:$C$13,2,0),""))</f>
        <v/>
      </c>
    </row>
    <row r="2487">
      <c r="T2487" s="47">
        <f>IF(R2487="","",IFERROR(TODAY()+VLOOKUP(R2487,REGRAS!$B$2:$C$13,2,0),""))</f>
        <v/>
      </c>
    </row>
    <row r="2488">
      <c r="T2488" s="47">
        <f>IF(R2488="","",IFERROR(TODAY()+VLOOKUP(R2488,REGRAS!$B$2:$C$13,2,0),""))</f>
        <v/>
      </c>
    </row>
    <row r="2489">
      <c r="T2489" s="47">
        <f>IF(R2489="","",IFERROR(TODAY()+VLOOKUP(R2489,REGRAS!$B$2:$C$13,2,0),""))</f>
        <v/>
      </c>
    </row>
    <row r="2490">
      <c r="T2490" s="47">
        <f>IF(R2490="","",IFERROR(TODAY()+VLOOKUP(R2490,REGRAS!$B$2:$C$13,2,0),""))</f>
        <v/>
      </c>
    </row>
    <row r="2491">
      <c r="T2491" s="47">
        <f>IF(R2491="","",IFERROR(TODAY()+VLOOKUP(R2491,REGRAS!$B$2:$C$13,2,0),""))</f>
        <v/>
      </c>
    </row>
    <row r="2492">
      <c r="T2492" s="47">
        <f>IF(R2492="","",IFERROR(TODAY()+VLOOKUP(R2492,REGRAS!$B$2:$C$13,2,0),""))</f>
        <v/>
      </c>
    </row>
    <row r="2493">
      <c r="T2493" s="47">
        <f>IF(R2493="","",IFERROR(TODAY()+VLOOKUP(R2493,REGRAS!$B$2:$C$13,2,0),""))</f>
        <v/>
      </c>
    </row>
    <row r="2494">
      <c r="T2494" s="47">
        <f>IF(R2494="","",IFERROR(TODAY()+VLOOKUP(R2494,REGRAS!$B$2:$C$13,2,0),""))</f>
        <v/>
      </c>
    </row>
    <row r="2495">
      <c r="T2495" s="47">
        <f>IF(R2495="","",IFERROR(TODAY()+VLOOKUP(R2495,REGRAS!$B$2:$C$13,2,0),""))</f>
        <v/>
      </c>
    </row>
    <row r="2496">
      <c r="T2496" s="47">
        <f>IF(R2496="","",IFERROR(TODAY()+VLOOKUP(R2496,REGRAS!$B$2:$C$13,2,0),""))</f>
        <v/>
      </c>
    </row>
    <row r="2497">
      <c r="T2497" s="47">
        <f>IF(R2497="","",IFERROR(TODAY()+VLOOKUP(R2497,REGRAS!$B$2:$C$13,2,0),""))</f>
        <v/>
      </c>
    </row>
    <row r="2498">
      <c r="T2498" s="47">
        <f>IF(R2498="","",IFERROR(TODAY()+VLOOKUP(R2498,REGRAS!$B$2:$C$13,2,0),""))</f>
        <v/>
      </c>
    </row>
    <row r="2499">
      <c r="T2499" s="47">
        <f>IF(R2499="","",IFERROR(TODAY()+VLOOKUP(R2499,REGRAS!$B$2:$C$13,2,0),""))</f>
        <v/>
      </c>
    </row>
    <row r="2500">
      <c r="T2500" s="47">
        <f>IF(R2500="","",IFERROR(TODAY()+VLOOKUP(R2500,REGRAS!$B$2:$C$13,2,0),""))</f>
        <v/>
      </c>
    </row>
    <row r="2501">
      <c r="T2501" s="47">
        <f>IF(R2501="","",IFERROR(TODAY()+VLOOKUP(R2501,REGRAS!$B$2:$C$13,2,0),""))</f>
        <v/>
      </c>
    </row>
    <row r="2502">
      <c r="T2502" s="47">
        <f>IF(R2502="","",IFERROR(TODAY()+VLOOKUP(R2502,REGRAS!$B$2:$C$13,2,0),""))</f>
        <v/>
      </c>
    </row>
    <row r="2503">
      <c r="T2503" s="47">
        <f>IF(R2503="","",IFERROR(TODAY()+VLOOKUP(R2503,REGRAS!$B$2:$C$13,2,0),""))</f>
        <v/>
      </c>
    </row>
    <row r="2504">
      <c r="T2504" s="47">
        <f>IF(R2504="","",IFERROR(TODAY()+VLOOKUP(R2504,REGRAS!$B$2:$C$13,2,0),""))</f>
        <v/>
      </c>
    </row>
    <row r="2505">
      <c r="T2505" s="47">
        <f>IF(R2505="","",IFERROR(TODAY()+VLOOKUP(R2505,REGRAS!$B$2:$C$13,2,0),""))</f>
        <v/>
      </c>
    </row>
    <row r="2506">
      <c r="T2506" s="47">
        <f>IF(R2506="","",IFERROR(TODAY()+VLOOKUP(R2506,REGRAS!$B$2:$C$13,2,0),""))</f>
        <v/>
      </c>
    </row>
    <row r="2507">
      <c r="T2507" s="47">
        <f>IF(R2507="","",IFERROR(TODAY()+VLOOKUP(R2507,REGRAS!$B$2:$C$13,2,0),""))</f>
        <v/>
      </c>
    </row>
    <row r="2508">
      <c r="T2508" s="47">
        <f>IF(R2508="","",IFERROR(TODAY()+VLOOKUP(R2508,REGRAS!$B$2:$C$13,2,0),""))</f>
        <v/>
      </c>
    </row>
    <row r="2509">
      <c r="T2509" s="47">
        <f>IF(R2509="","",IFERROR(TODAY()+VLOOKUP(R2509,REGRAS!$B$2:$C$13,2,0),""))</f>
        <v/>
      </c>
    </row>
    <row r="2510">
      <c r="T2510" s="47">
        <f>IF(R2510="","",IFERROR(TODAY()+VLOOKUP(R2510,REGRAS!$B$2:$C$13,2,0),""))</f>
        <v/>
      </c>
    </row>
    <row r="2511">
      <c r="T2511" s="47">
        <f>IF(R2511="","",IFERROR(TODAY()+VLOOKUP(R2511,REGRAS!$B$2:$C$13,2,0),""))</f>
        <v/>
      </c>
    </row>
    <row r="2512">
      <c r="T2512" s="47">
        <f>IF(R2512="","",IFERROR(TODAY()+VLOOKUP(R2512,REGRAS!$B$2:$C$13,2,0),""))</f>
        <v/>
      </c>
    </row>
    <row r="2513">
      <c r="T2513" s="47">
        <f>IF(R2513="","",IFERROR(TODAY()+VLOOKUP(R2513,REGRAS!$B$2:$C$13,2,0),""))</f>
        <v/>
      </c>
    </row>
    <row r="2514">
      <c r="T2514" s="47">
        <f>IF(R2514="","",IFERROR(TODAY()+VLOOKUP(R2514,REGRAS!$B$2:$C$13,2,0),""))</f>
        <v/>
      </c>
    </row>
    <row r="2515">
      <c r="T2515" s="47">
        <f>IF(R2515="","",IFERROR(TODAY()+VLOOKUP(R2515,REGRAS!$B$2:$C$13,2,0),""))</f>
        <v/>
      </c>
    </row>
    <row r="2516">
      <c r="T2516" s="47">
        <f>IF(R2516="","",IFERROR(TODAY()+VLOOKUP(R2516,REGRAS!$B$2:$C$13,2,0),""))</f>
        <v/>
      </c>
    </row>
    <row r="2517">
      <c r="T2517" s="47">
        <f>IF(R2517="","",IFERROR(TODAY()+VLOOKUP(R2517,REGRAS!$B$2:$C$13,2,0),""))</f>
        <v/>
      </c>
    </row>
    <row r="2518">
      <c r="T2518" s="47">
        <f>IF(R2518="","",IFERROR(TODAY()+VLOOKUP(R2518,REGRAS!$B$2:$C$13,2,0),""))</f>
        <v/>
      </c>
    </row>
    <row r="2519">
      <c r="T2519" s="47">
        <f>IF(R2519="","",IFERROR(TODAY()+VLOOKUP(R2519,REGRAS!$B$2:$C$13,2,0),""))</f>
        <v/>
      </c>
    </row>
    <row r="2520">
      <c r="T2520" s="47">
        <f>IF(R2520="","",IFERROR(TODAY()+VLOOKUP(R2520,REGRAS!$B$2:$C$13,2,0),""))</f>
        <v/>
      </c>
    </row>
    <row r="2521">
      <c r="T2521" s="47">
        <f>IF(R2521="","",IFERROR(TODAY()+VLOOKUP(R2521,REGRAS!$B$2:$C$13,2,0),""))</f>
        <v/>
      </c>
    </row>
    <row r="2522">
      <c r="T2522" s="47">
        <f>IF(R2522="","",IFERROR(TODAY()+VLOOKUP(R2522,REGRAS!$B$2:$C$13,2,0),""))</f>
        <v/>
      </c>
    </row>
    <row r="2523">
      <c r="T2523" s="47">
        <f>IF(R2523="","",IFERROR(TODAY()+VLOOKUP(R2523,REGRAS!$B$2:$C$13,2,0),""))</f>
        <v/>
      </c>
    </row>
    <row r="2524">
      <c r="T2524" s="47">
        <f>IF(R2524="","",IFERROR(TODAY()+VLOOKUP(R2524,REGRAS!$B$2:$C$13,2,0),""))</f>
        <v/>
      </c>
    </row>
    <row r="2525">
      <c r="T2525" s="47">
        <f>IF(R2525="","",IFERROR(TODAY()+VLOOKUP(R2525,REGRAS!$B$2:$C$13,2,0),""))</f>
        <v/>
      </c>
    </row>
    <row r="2526">
      <c r="T2526" s="47">
        <f>IF(R2526="","",IFERROR(TODAY()+VLOOKUP(R2526,REGRAS!$B$2:$C$13,2,0),""))</f>
        <v/>
      </c>
    </row>
    <row r="2527">
      <c r="T2527" s="47">
        <f>IF(R2527="","",IFERROR(TODAY()+VLOOKUP(R2527,REGRAS!$B$2:$C$13,2,0),""))</f>
        <v/>
      </c>
    </row>
    <row r="2528">
      <c r="T2528" s="47">
        <f>IF(R2528="","",IFERROR(TODAY()+VLOOKUP(R2528,REGRAS!$B$2:$C$13,2,0),""))</f>
        <v/>
      </c>
    </row>
    <row r="2529">
      <c r="T2529" s="47">
        <f>IF(R2529="","",IFERROR(TODAY()+VLOOKUP(R2529,REGRAS!$B$2:$C$13,2,0),""))</f>
        <v/>
      </c>
    </row>
    <row r="2530">
      <c r="T2530" s="47">
        <f>IF(R2530="","",IFERROR(TODAY()+VLOOKUP(R2530,REGRAS!$B$2:$C$13,2,0),""))</f>
        <v/>
      </c>
    </row>
    <row r="2531">
      <c r="T2531" s="47">
        <f>IF(R2531="","",IFERROR(TODAY()+VLOOKUP(R2531,REGRAS!$B$2:$C$13,2,0),""))</f>
        <v/>
      </c>
    </row>
    <row r="2532">
      <c r="T2532" s="47">
        <f>IF(R2532="","",IFERROR(TODAY()+VLOOKUP(R2532,REGRAS!$B$2:$C$13,2,0),""))</f>
        <v/>
      </c>
    </row>
    <row r="2533">
      <c r="T2533" s="47">
        <f>IF(R2533="","",IFERROR(TODAY()+VLOOKUP(R2533,REGRAS!$B$2:$C$13,2,0),""))</f>
        <v/>
      </c>
    </row>
    <row r="2534">
      <c r="T2534" s="47">
        <f>IF(R2534="","",IFERROR(TODAY()+VLOOKUP(R2534,REGRAS!$B$2:$C$13,2,0),""))</f>
        <v/>
      </c>
    </row>
    <row r="2535">
      <c r="T2535" s="47">
        <f>IF(R2535="","",IFERROR(TODAY()+VLOOKUP(R2535,REGRAS!$B$2:$C$13,2,0),""))</f>
        <v/>
      </c>
    </row>
    <row r="2536">
      <c r="T2536" s="47">
        <f>IF(R2536="","",IFERROR(TODAY()+VLOOKUP(R2536,REGRAS!$B$2:$C$13,2,0),""))</f>
        <v/>
      </c>
    </row>
    <row r="2537">
      <c r="T2537" s="47">
        <f>IF(R2537="","",IFERROR(TODAY()+VLOOKUP(R2537,REGRAS!$B$2:$C$13,2,0),""))</f>
        <v/>
      </c>
    </row>
    <row r="2538">
      <c r="T2538" s="47">
        <f>IF(R2538="","",IFERROR(TODAY()+VLOOKUP(R2538,REGRAS!$B$2:$C$13,2,0),""))</f>
        <v/>
      </c>
    </row>
    <row r="2539">
      <c r="T2539" s="47">
        <f>IF(R2539="","",IFERROR(TODAY()+VLOOKUP(R2539,REGRAS!$B$2:$C$13,2,0),""))</f>
        <v/>
      </c>
    </row>
    <row r="2540">
      <c r="T2540" s="47">
        <f>IF(R2540="","",IFERROR(TODAY()+VLOOKUP(R2540,REGRAS!$B$2:$C$13,2,0),""))</f>
        <v/>
      </c>
    </row>
    <row r="2541">
      <c r="T2541" s="47">
        <f>IF(R2541="","",IFERROR(TODAY()+VLOOKUP(R2541,REGRAS!$B$2:$C$13,2,0),""))</f>
        <v/>
      </c>
    </row>
    <row r="2542">
      <c r="T2542" s="47">
        <f>IF(R2542="","",IFERROR(TODAY()+VLOOKUP(R2542,REGRAS!$B$2:$C$13,2,0),""))</f>
        <v/>
      </c>
    </row>
    <row r="2543">
      <c r="T2543" s="47">
        <f>IF(R2543="","",IFERROR(TODAY()+VLOOKUP(R2543,REGRAS!$B$2:$C$13,2,0),""))</f>
        <v/>
      </c>
    </row>
    <row r="2544">
      <c r="T2544" s="47">
        <f>IF(R2544="","",IFERROR(TODAY()+VLOOKUP(R2544,REGRAS!$B$2:$C$13,2,0),""))</f>
        <v/>
      </c>
    </row>
    <row r="2545">
      <c r="T2545" s="47">
        <f>IF(R2545="","",IFERROR(TODAY()+VLOOKUP(R2545,REGRAS!$B$2:$C$13,2,0),""))</f>
        <v/>
      </c>
    </row>
    <row r="2546">
      <c r="T2546" s="47">
        <f>IF(R2546="","",IFERROR(TODAY()+VLOOKUP(R2546,REGRAS!$B$2:$C$13,2,0),""))</f>
        <v/>
      </c>
    </row>
    <row r="2547">
      <c r="T2547" s="47">
        <f>IF(R2547="","",IFERROR(TODAY()+VLOOKUP(R2547,REGRAS!$B$2:$C$13,2,0),""))</f>
        <v/>
      </c>
    </row>
    <row r="2548">
      <c r="T2548" s="47">
        <f>IF(R2548="","",IFERROR(TODAY()+VLOOKUP(R2548,REGRAS!$B$2:$C$13,2,0),""))</f>
        <v/>
      </c>
    </row>
    <row r="2549">
      <c r="T2549" s="47">
        <f>IF(R2549="","",IFERROR(TODAY()+VLOOKUP(R2549,REGRAS!$B$2:$C$13,2,0),""))</f>
        <v/>
      </c>
    </row>
    <row r="2550">
      <c r="T2550" s="47">
        <f>IF(R2550="","",IFERROR(TODAY()+VLOOKUP(R2550,REGRAS!$B$2:$C$13,2,0),""))</f>
        <v/>
      </c>
    </row>
    <row r="2551">
      <c r="T2551" s="47">
        <f>IF(R2551="","",IFERROR(TODAY()+VLOOKUP(R2551,REGRAS!$B$2:$C$13,2,0),""))</f>
        <v/>
      </c>
    </row>
    <row r="2552">
      <c r="T2552" s="47">
        <f>IF(R2552="","",IFERROR(TODAY()+VLOOKUP(R2552,REGRAS!$B$2:$C$13,2,0),""))</f>
        <v/>
      </c>
    </row>
    <row r="2553">
      <c r="T2553" s="47">
        <f>IF(R2553="","",IFERROR(TODAY()+VLOOKUP(R2553,REGRAS!$B$2:$C$13,2,0),""))</f>
        <v/>
      </c>
    </row>
    <row r="2554">
      <c r="T2554" s="47">
        <f>IF(R2554="","",IFERROR(TODAY()+VLOOKUP(R2554,REGRAS!$B$2:$C$13,2,0),""))</f>
        <v/>
      </c>
    </row>
    <row r="2555">
      <c r="T2555" s="47">
        <f>IF(R2555="","",IFERROR(TODAY()+VLOOKUP(R2555,REGRAS!$B$2:$C$13,2,0),""))</f>
        <v/>
      </c>
    </row>
    <row r="2556">
      <c r="T2556" s="47">
        <f>IF(R2556="","",IFERROR(TODAY()+VLOOKUP(R2556,REGRAS!$B$2:$C$13,2,0),""))</f>
        <v/>
      </c>
    </row>
    <row r="2557">
      <c r="T2557" s="47">
        <f>IF(R2557="","",IFERROR(TODAY()+VLOOKUP(R2557,REGRAS!$B$2:$C$13,2,0),""))</f>
        <v/>
      </c>
    </row>
    <row r="2558">
      <c r="T2558" s="47">
        <f>IF(R2558="","",IFERROR(TODAY()+VLOOKUP(R2558,REGRAS!$B$2:$C$13,2,0),""))</f>
        <v/>
      </c>
    </row>
    <row r="2559">
      <c r="T2559" s="47">
        <f>IF(R2559="","",IFERROR(TODAY()+VLOOKUP(R2559,REGRAS!$B$2:$C$13,2,0),""))</f>
        <v/>
      </c>
    </row>
    <row r="2560">
      <c r="T2560" s="47">
        <f>IF(R2560="","",IFERROR(TODAY()+VLOOKUP(R2560,REGRAS!$B$2:$C$13,2,0),""))</f>
        <v/>
      </c>
    </row>
    <row r="2561">
      <c r="T2561" s="47">
        <f>IF(R2561="","",IFERROR(TODAY()+VLOOKUP(R2561,REGRAS!$B$2:$C$13,2,0),""))</f>
        <v/>
      </c>
    </row>
    <row r="2562">
      <c r="T2562" s="47">
        <f>IF(R2562="","",IFERROR(TODAY()+VLOOKUP(R2562,REGRAS!$B$2:$C$13,2,0),""))</f>
        <v/>
      </c>
    </row>
    <row r="2563">
      <c r="T2563" s="47">
        <f>IF(R2563="","",IFERROR(TODAY()+VLOOKUP(R2563,REGRAS!$B$2:$C$13,2,0),""))</f>
        <v/>
      </c>
    </row>
    <row r="2564">
      <c r="T2564" s="47">
        <f>IF(R2564="","",IFERROR(TODAY()+VLOOKUP(R2564,REGRAS!$B$2:$C$13,2,0),""))</f>
        <v/>
      </c>
    </row>
    <row r="2565">
      <c r="T2565" s="47">
        <f>IF(R2565="","",IFERROR(TODAY()+VLOOKUP(R2565,REGRAS!$B$2:$C$13,2,0),""))</f>
        <v/>
      </c>
    </row>
    <row r="2566">
      <c r="T2566" s="47">
        <f>IF(R2566="","",IFERROR(TODAY()+VLOOKUP(R2566,REGRAS!$B$2:$C$13,2,0),""))</f>
        <v/>
      </c>
    </row>
    <row r="2567">
      <c r="T2567" s="47">
        <f>IF(R2567="","",IFERROR(TODAY()+VLOOKUP(R2567,REGRAS!$B$2:$C$13,2,0),""))</f>
        <v/>
      </c>
    </row>
    <row r="2568">
      <c r="T2568" s="47">
        <f>IF(R2568="","",IFERROR(TODAY()+VLOOKUP(R2568,REGRAS!$B$2:$C$13,2,0),""))</f>
        <v/>
      </c>
    </row>
    <row r="2569">
      <c r="T2569" s="47">
        <f>IF(R2569="","",IFERROR(TODAY()+VLOOKUP(R2569,REGRAS!$B$2:$C$13,2,0),""))</f>
        <v/>
      </c>
    </row>
    <row r="2570">
      <c r="T2570" s="47">
        <f>IF(R2570="","",IFERROR(TODAY()+VLOOKUP(R2570,REGRAS!$B$2:$C$13,2,0),""))</f>
        <v/>
      </c>
    </row>
    <row r="2571">
      <c r="T2571" s="47">
        <f>IF(R2571="","",IFERROR(TODAY()+VLOOKUP(R2571,REGRAS!$B$2:$C$13,2,0),""))</f>
        <v/>
      </c>
    </row>
    <row r="2572">
      <c r="T2572" s="47">
        <f>IF(R2572="","",IFERROR(TODAY()+VLOOKUP(R2572,REGRAS!$B$2:$C$13,2,0),""))</f>
        <v/>
      </c>
    </row>
    <row r="2573">
      <c r="T2573" s="47">
        <f>IF(R2573="","",IFERROR(TODAY()+VLOOKUP(R2573,REGRAS!$B$2:$C$13,2,0),""))</f>
        <v/>
      </c>
    </row>
    <row r="2574">
      <c r="T2574" s="47">
        <f>IF(R2574="","",IFERROR(TODAY()+VLOOKUP(R2574,REGRAS!$B$2:$C$13,2,0),""))</f>
        <v/>
      </c>
    </row>
    <row r="2575">
      <c r="T2575" s="47">
        <f>IF(R2575="","",IFERROR(TODAY()+VLOOKUP(R2575,REGRAS!$B$2:$C$13,2,0),""))</f>
        <v/>
      </c>
    </row>
    <row r="2576">
      <c r="T2576" s="47">
        <f>IF(R2576="","",IFERROR(TODAY()+VLOOKUP(R2576,REGRAS!$B$2:$C$13,2,0),""))</f>
        <v/>
      </c>
    </row>
    <row r="2577">
      <c r="T2577" s="47">
        <f>IF(R2577="","",IFERROR(TODAY()+VLOOKUP(R2577,REGRAS!$B$2:$C$13,2,0),""))</f>
        <v/>
      </c>
    </row>
    <row r="2578">
      <c r="T2578" s="47">
        <f>IF(R2578="","",IFERROR(TODAY()+VLOOKUP(R2578,REGRAS!$B$2:$C$13,2,0),""))</f>
        <v/>
      </c>
    </row>
    <row r="2579">
      <c r="T2579" s="47">
        <f>IF(R2579="","",IFERROR(TODAY()+VLOOKUP(R2579,REGRAS!$B$2:$C$13,2,0),""))</f>
        <v/>
      </c>
    </row>
    <row r="2580">
      <c r="T2580" s="47">
        <f>IF(R2580="","",IFERROR(TODAY()+VLOOKUP(R2580,REGRAS!$B$2:$C$13,2,0),""))</f>
        <v/>
      </c>
    </row>
    <row r="2581">
      <c r="T2581" s="47">
        <f>IF(R2581="","",IFERROR(TODAY()+VLOOKUP(R2581,REGRAS!$B$2:$C$13,2,0),""))</f>
        <v/>
      </c>
    </row>
    <row r="2582">
      <c r="T2582" s="47">
        <f>IF(R2582="","",IFERROR(TODAY()+VLOOKUP(R2582,REGRAS!$B$2:$C$13,2,0),""))</f>
        <v/>
      </c>
    </row>
    <row r="2583">
      <c r="T2583" s="47">
        <f>IF(R2583="","",IFERROR(TODAY()+VLOOKUP(R2583,REGRAS!$B$2:$C$13,2,0),""))</f>
        <v/>
      </c>
    </row>
    <row r="2584">
      <c r="T2584" s="47">
        <f>IF(R2584="","",IFERROR(TODAY()+VLOOKUP(R2584,REGRAS!$B$2:$C$13,2,0),""))</f>
        <v/>
      </c>
    </row>
    <row r="2585">
      <c r="T2585" s="47">
        <f>IF(R2585="","",IFERROR(TODAY()+VLOOKUP(R2585,REGRAS!$B$2:$C$13,2,0),""))</f>
        <v/>
      </c>
    </row>
    <row r="2586">
      <c r="T2586" s="47">
        <f>IF(R2586="","",IFERROR(TODAY()+VLOOKUP(R2586,REGRAS!$B$2:$C$13,2,0),""))</f>
        <v/>
      </c>
    </row>
    <row r="2587">
      <c r="T2587" s="47">
        <f>IF(R2587="","",IFERROR(TODAY()+VLOOKUP(R2587,REGRAS!$B$2:$C$13,2,0),""))</f>
        <v/>
      </c>
    </row>
    <row r="2588">
      <c r="T2588" s="47">
        <f>IF(R2588="","",IFERROR(TODAY()+VLOOKUP(R2588,REGRAS!$B$2:$C$13,2,0),""))</f>
        <v/>
      </c>
    </row>
    <row r="2589">
      <c r="T2589" s="47">
        <f>IF(R2589="","",IFERROR(TODAY()+VLOOKUP(R2589,REGRAS!$B$2:$C$13,2,0),""))</f>
        <v/>
      </c>
    </row>
    <row r="2590">
      <c r="T2590" s="47">
        <f>IF(R2590="","",IFERROR(TODAY()+VLOOKUP(R2590,REGRAS!$B$2:$C$13,2,0),""))</f>
        <v/>
      </c>
    </row>
    <row r="2591">
      <c r="T2591" s="47">
        <f>IF(R2591="","",IFERROR(TODAY()+VLOOKUP(R2591,REGRAS!$B$2:$C$13,2,0),""))</f>
        <v/>
      </c>
    </row>
    <row r="2592">
      <c r="T2592" s="47">
        <f>IF(R2592="","",IFERROR(TODAY()+VLOOKUP(R2592,REGRAS!$B$2:$C$13,2,0),""))</f>
        <v/>
      </c>
    </row>
    <row r="2593">
      <c r="T2593" s="47">
        <f>IF(R2593="","",IFERROR(TODAY()+VLOOKUP(R2593,REGRAS!$B$2:$C$13,2,0),""))</f>
        <v/>
      </c>
    </row>
    <row r="2594">
      <c r="T2594" s="47">
        <f>IF(R2594="","",IFERROR(TODAY()+VLOOKUP(R2594,REGRAS!$B$2:$C$13,2,0),""))</f>
        <v/>
      </c>
    </row>
    <row r="2595">
      <c r="T2595" s="47">
        <f>IF(R2595="","",IFERROR(TODAY()+VLOOKUP(R2595,REGRAS!$B$2:$C$13,2,0),""))</f>
        <v/>
      </c>
    </row>
    <row r="2596">
      <c r="T2596" s="47">
        <f>IF(R2596="","",IFERROR(TODAY()+VLOOKUP(R2596,REGRAS!$B$2:$C$13,2,0),""))</f>
        <v/>
      </c>
    </row>
    <row r="2597">
      <c r="T2597" s="47">
        <f>IF(R2597="","",IFERROR(TODAY()+VLOOKUP(R2597,REGRAS!$B$2:$C$13,2,0),""))</f>
        <v/>
      </c>
    </row>
    <row r="2598">
      <c r="T2598" s="47">
        <f>IF(R2598="","",IFERROR(TODAY()+VLOOKUP(R2598,REGRAS!$B$2:$C$13,2,0),""))</f>
        <v/>
      </c>
    </row>
    <row r="2599">
      <c r="T2599" s="47">
        <f>IF(R2599="","",IFERROR(TODAY()+VLOOKUP(R2599,REGRAS!$B$2:$C$13,2,0),""))</f>
        <v/>
      </c>
    </row>
    <row r="2600">
      <c r="T2600" s="47">
        <f>IF(R2600="","",IFERROR(TODAY()+VLOOKUP(R2600,REGRAS!$B$2:$C$13,2,0),""))</f>
        <v/>
      </c>
    </row>
    <row r="2601">
      <c r="T2601" s="47">
        <f>IF(R2601="","",IFERROR(TODAY()+VLOOKUP(R2601,REGRAS!$B$2:$C$13,2,0),""))</f>
        <v/>
      </c>
    </row>
    <row r="2602">
      <c r="T2602" s="47">
        <f>IF(R2602="","",IFERROR(TODAY()+VLOOKUP(R2602,REGRAS!$B$2:$C$13,2,0),""))</f>
        <v/>
      </c>
    </row>
    <row r="2603">
      <c r="T2603" s="47">
        <f>IF(R2603="","",IFERROR(TODAY()+VLOOKUP(R2603,REGRAS!$B$2:$C$13,2,0),""))</f>
        <v/>
      </c>
    </row>
    <row r="2604">
      <c r="T2604" s="47">
        <f>IF(R2604="","",IFERROR(TODAY()+VLOOKUP(R2604,REGRAS!$B$2:$C$13,2,0),""))</f>
        <v/>
      </c>
    </row>
    <row r="2605">
      <c r="T2605" s="47">
        <f>IF(R2605="","",IFERROR(TODAY()+VLOOKUP(R2605,REGRAS!$B$2:$C$13,2,0),""))</f>
        <v/>
      </c>
    </row>
    <row r="2606">
      <c r="T2606" s="47">
        <f>IF(R2606="","",IFERROR(TODAY()+VLOOKUP(R2606,REGRAS!$B$2:$C$13,2,0),""))</f>
        <v/>
      </c>
    </row>
    <row r="2607">
      <c r="T2607" s="47">
        <f>IF(R2607="","",IFERROR(TODAY()+VLOOKUP(R2607,REGRAS!$B$2:$C$13,2,0),""))</f>
        <v/>
      </c>
    </row>
    <row r="2608">
      <c r="T2608" s="47">
        <f>IF(R2608="","",IFERROR(TODAY()+VLOOKUP(R2608,REGRAS!$B$2:$C$13,2,0),""))</f>
        <v/>
      </c>
    </row>
    <row r="2609">
      <c r="T2609" s="47">
        <f>IF(R2609="","",IFERROR(TODAY()+VLOOKUP(R2609,REGRAS!$B$2:$C$13,2,0),""))</f>
        <v/>
      </c>
    </row>
    <row r="2610">
      <c r="T2610" s="47">
        <f>IF(R2610="","",IFERROR(TODAY()+VLOOKUP(R2610,REGRAS!$B$2:$C$13,2,0),""))</f>
        <v/>
      </c>
    </row>
    <row r="2611">
      <c r="T2611" s="47">
        <f>IF(R2611="","",IFERROR(TODAY()+VLOOKUP(R2611,REGRAS!$B$2:$C$13,2,0),""))</f>
        <v/>
      </c>
    </row>
    <row r="2612">
      <c r="T2612" s="47">
        <f>IF(R2612="","",IFERROR(TODAY()+VLOOKUP(R2612,REGRAS!$B$2:$C$13,2,0),""))</f>
        <v/>
      </c>
    </row>
    <row r="2613">
      <c r="T2613" s="47">
        <f>IF(R2613="","",IFERROR(TODAY()+VLOOKUP(R2613,REGRAS!$B$2:$C$13,2,0),""))</f>
        <v/>
      </c>
    </row>
    <row r="2614">
      <c r="T2614" s="47">
        <f>IF(R2614="","",IFERROR(TODAY()+VLOOKUP(R2614,REGRAS!$B$2:$C$13,2,0),""))</f>
        <v/>
      </c>
    </row>
    <row r="2615">
      <c r="T2615" s="47">
        <f>IF(R2615="","",IFERROR(TODAY()+VLOOKUP(R2615,REGRAS!$B$2:$C$13,2,0),""))</f>
        <v/>
      </c>
    </row>
    <row r="2616">
      <c r="T2616" s="47">
        <f>IF(R2616="","",IFERROR(TODAY()+VLOOKUP(R2616,REGRAS!$B$2:$C$13,2,0),""))</f>
        <v/>
      </c>
    </row>
    <row r="2617">
      <c r="T2617" s="47">
        <f>IF(R2617="","",IFERROR(TODAY()+VLOOKUP(R2617,REGRAS!$B$2:$C$13,2,0),""))</f>
        <v/>
      </c>
    </row>
    <row r="2618">
      <c r="T2618" s="47">
        <f>IF(R2618="","",IFERROR(TODAY()+VLOOKUP(R2618,REGRAS!$B$2:$C$13,2,0),""))</f>
        <v/>
      </c>
    </row>
    <row r="2619">
      <c r="T2619" s="47">
        <f>IF(R2619="","",IFERROR(TODAY()+VLOOKUP(R2619,REGRAS!$B$2:$C$13,2,0),""))</f>
        <v/>
      </c>
    </row>
    <row r="2620">
      <c r="T2620" s="47">
        <f>IF(R2620="","",IFERROR(TODAY()+VLOOKUP(R2620,REGRAS!$B$2:$C$13,2,0),""))</f>
        <v/>
      </c>
    </row>
    <row r="2621">
      <c r="T2621" s="47">
        <f>IF(R2621="","",IFERROR(TODAY()+VLOOKUP(R2621,REGRAS!$B$2:$C$13,2,0),""))</f>
        <v/>
      </c>
    </row>
    <row r="2622">
      <c r="T2622" s="47">
        <f>IF(R2622="","",IFERROR(TODAY()+VLOOKUP(R2622,REGRAS!$B$2:$C$13,2,0),""))</f>
        <v/>
      </c>
    </row>
    <row r="2623">
      <c r="T2623" s="47">
        <f>IF(R2623="","",IFERROR(TODAY()+VLOOKUP(R2623,REGRAS!$B$2:$C$13,2,0),""))</f>
        <v/>
      </c>
    </row>
    <row r="2624">
      <c r="T2624" s="47">
        <f>IF(R2624="","",IFERROR(TODAY()+VLOOKUP(R2624,REGRAS!$B$2:$C$13,2,0),""))</f>
        <v/>
      </c>
    </row>
    <row r="2625">
      <c r="T2625" s="47">
        <f>IF(R2625="","",IFERROR(TODAY()+VLOOKUP(R2625,REGRAS!$B$2:$C$13,2,0),""))</f>
        <v/>
      </c>
    </row>
    <row r="2626">
      <c r="T2626" s="47">
        <f>IF(R2626="","",IFERROR(TODAY()+VLOOKUP(R2626,REGRAS!$B$2:$C$13,2,0),""))</f>
        <v/>
      </c>
    </row>
    <row r="2627">
      <c r="T2627" s="47">
        <f>IF(R2627="","",IFERROR(TODAY()+VLOOKUP(R2627,REGRAS!$B$2:$C$13,2,0),""))</f>
        <v/>
      </c>
    </row>
    <row r="2628">
      <c r="T2628" s="47">
        <f>IF(R2628="","",IFERROR(TODAY()+VLOOKUP(R2628,REGRAS!$B$2:$C$13,2,0),""))</f>
        <v/>
      </c>
    </row>
    <row r="2629">
      <c r="T2629" s="47">
        <f>IF(R2629="","",IFERROR(TODAY()+VLOOKUP(R2629,REGRAS!$B$2:$C$13,2,0),""))</f>
        <v/>
      </c>
    </row>
    <row r="2630">
      <c r="T2630" s="47">
        <f>IF(R2630="","",IFERROR(TODAY()+VLOOKUP(R2630,REGRAS!$B$2:$C$13,2,0),""))</f>
        <v/>
      </c>
    </row>
    <row r="2631">
      <c r="T2631" s="47">
        <f>IF(R2631="","",IFERROR(TODAY()+VLOOKUP(R2631,REGRAS!$B$2:$C$13,2,0),""))</f>
        <v/>
      </c>
    </row>
    <row r="2632">
      <c r="T2632" s="47">
        <f>IF(R2632="","",IFERROR(TODAY()+VLOOKUP(R2632,REGRAS!$B$2:$C$13,2,0),""))</f>
        <v/>
      </c>
    </row>
    <row r="2633">
      <c r="T2633" s="47">
        <f>IF(R2633="","",IFERROR(TODAY()+VLOOKUP(R2633,REGRAS!$B$2:$C$13,2,0),""))</f>
        <v/>
      </c>
    </row>
    <row r="2634">
      <c r="T2634" s="47">
        <f>IF(R2634="","",IFERROR(TODAY()+VLOOKUP(R2634,REGRAS!$B$2:$C$13,2,0),""))</f>
        <v/>
      </c>
    </row>
    <row r="2635">
      <c r="T2635" s="47">
        <f>IF(R2635="","",IFERROR(TODAY()+VLOOKUP(R2635,REGRAS!$B$2:$C$13,2,0),""))</f>
        <v/>
      </c>
    </row>
    <row r="2636">
      <c r="T2636" s="47">
        <f>IF(R2636="","",IFERROR(TODAY()+VLOOKUP(R2636,REGRAS!$B$2:$C$13,2,0),""))</f>
        <v/>
      </c>
    </row>
    <row r="2637">
      <c r="T2637" s="47">
        <f>IF(R2637="","",IFERROR(TODAY()+VLOOKUP(R2637,REGRAS!$B$2:$C$13,2,0),""))</f>
        <v/>
      </c>
    </row>
    <row r="2638">
      <c r="T2638" s="47">
        <f>IF(R2638="","",IFERROR(TODAY()+VLOOKUP(R2638,REGRAS!$B$2:$C$13,2,0),""))</f>
        <v/>
      </c>
    </row>
    <row r="2639">
      <c r="T2639" s="47">
        <f>IF(R2639="","",IFERROR(TODAY()+VLOOKUP(R2639,REGRAS!$B$2:$C$13,2,0),""))</f>
        <v/>
      </c>
    </row>
    <row r="2640">
      <c r="T2640" s="47">
        <f>IF(R2640="","",IFERROR(TODAY()+VLOOKUP(R2640,REGRAS!$B$2:$C$13,2,0),""))</f>
        <v/>
      </c>
    </row>
    <row r="2641">
      <c r="T2641" s="47">
        <f>IF(R2641="","",IFERROR(TODAY()+VLOOKUP(R2641,REGRAS!$B$2:$C$13,2,0),""))</f>
        <v/>
      </c>
    </row>
    <row r="2642">
      <c r="T2642" s="47">
        <f>IF(R2642="","",IFERROR(TODAY()+VLOOKUP(R2642,REGRAS!$B$2:$C$13,2,0),""))</f>
        <v/>
      </c>
    </row>
    <row r="2643">
      <c r="T2643" s="47">
        <f>IF(R2643="","",IFERROR(TODAY()+VLOOKUP(R2643,REGRAS!$B$2:$C$13,2,0),""))</f>
        <v/>
      </c>
    </row>
    <row r="2644">
      <c r="T2644" s="47">
        <f>IF(R2644="","",IFERROR(TODAY()+VLOOKUP(R2644,REGRAS!$B$2:$C$13,2,0),""))</f>
        <v/>
      </c>
    </row>
    <row r="2645">
      <c r="T2645" s="47">
        <f>IF(R2645="","",IFERROR(TODAY()+VLOOKUP(R2645,REGRAS!$B$2:$C$13,2,0),""))</f>
        <v/>
      </c>
    </row>
    <row r="2646">
      <c r="T2646" s="47">
        <f>IF(R2646="","",IFERROR(TODAY()+VLOOKUP(R2646,REGRAS!$B$2:$C$13,2,0),""))</f>
        <v/>
      </c>
    </row>
    <row r="2647">
      <c r="T2647" s="47">
        <f>IF(R2647="","",IFERROR(TODAY()+VLOOKUP(R2647,REGRAS!$B$2:$C$13,2,0),""))</f>
        <v/>
      </c>
    </row>
    <row r="2648">
      <c r="T2648" s="47">
        <f>IF(R2648="","",IFERROR(TODAY()+VLOOKUP(R2648,REGRAS!$B$2:$C$13,2,0),""))</f>
        <v/>
      </c>
    </row>
    <row r="2649">
      <c r="T2649" s="47">
        <f>IF(R2649="","",IFERROR(TODAY()+VLOOKUP(R2649,REGRAS!$B$2:$C$13,2,0),""))</f>
        <v/>
      </c>
    </row>
    <row r="2650">
      <c r="T2650" s="47">
        <f>IF(R2650="","",IFERROR(TODAY()+VLOOKUP(R2650,REGRAS!$B$2:$C$13,2,0),""))</f>
        <v/>
      </c>
    </row>
    <row r="2651">
      <c r="T2651" s="47">
        <f>IF(R2651="","",IFERROR(TODAY()+VLOOKUP(R2651,REGRAS!$B$2:$C$13,2,0),""))</f>
        <v/>
      </c>
    </row>
    <row r="2652">
      <c r="T2652" s="47">
        <f>IF(R2652="","",IFERROR(TODAY()+VLOOKUP(R2652,REGRAS!$B$2:$C$13,2,0),""))</f>
        <v/>
      </c>
    </row>
    <row r="2653">
      <c r="T2653" s="47">
        <f>IF(R2653="","",IFERROR(TODAY()+VLOOKUP(R2653,REGRAS!$B$2:$C$13,2,0),""))</f>
        <v/>
      </c>
    </row>
    <row r="2654">
      <c r="T2654" s="47">
        <f>IF(R2654="","",IFERROR(TODAY()+VLOOKUP(R2654,REGRAS!$B$2:$C$13,2,0),""))</f>
        <v/>
      </c>
    </row>
    <row r="2655">
      <c r="T2655" s="47">
        <f>IF(R2655="","",IFERROR(TODAY()+VLOOKUP(R2655,REGRAS!$B$2:$C$13,2,0),""))</f>
        <v/>
      </c>
    </row>
    <row r="2656">
      <c r="T2656" s="47">
        <f>IF(R2656="","",IFERROR(TODAY()+VLOOKUP(R2656,REGRAS!$B$2:$C$13,2,0),""))</f>
        <v/>
      </c>
    </row>
    <row r="2657">
      <c r="T2657" s="47">
        <f>IF(R2657="","",IFERROR(TODAY()+VLOOKUP(R2657,REGRAS!$B$2:$C$13,2,0),""))</f>
        <v/>
      </c>
    </row>
    <row r="2658">
      <c r="T2658" s="47">
        <f>IF(R2658="","",IFERROR(TODAY()+VLOOKUP(R2658,REGRAS!$B$2:$C$13,2,0),""))</f>
        <v/>
      </c>
    </row>
    <row r="2659">
      <c r="T2659" s="47">
        <f>IF(R2659="","",IFERROR(TODAY()+VLOOKUP(R2659,REGRAS!$B$2:$C$13,2,0),""))</f>
        <v/>
      </c>
    </row>
    <row r="2660">
      <c r="T2660" s="47">
        <f>IF(R2660="","",IFERROR(TODAY()+VLOOKUP(R2660,REGRAS!$B$2:$C$13,2,0),""))</f>
        <v/>
      </c>
    </row>
    <row r="2661">
      <c r="T2661" s="47">
        <f>IF(R2661="","",IFERROR(TODAY()+VLOOKUP(R2661,REGRAS!$B$2:$C$13,2,0),""))</f>
        <v/>
      </c>
    </row>
    <row r="2662">
      <c r="T2662" s="47">
        <f>IF(R2662="","",IFERROR(TODAY()+VLOOKUP(R2662,REGRAS!$B$2:$C$13,2,0),""))</f>
        <v/>
      </c>
    </row>
    <row r="2663">
      <c r="T2663" s="47">
        <f>IF(R2663="","",IFERROR(TODAY()+VLOOKUP(R2663,REGRAS!$B$2:$C$13,2,0),""))</f>
        <v/>
      </c>
    </row>
    <row r="2664">
      <c r="T2664" s="47">
        <f>IF(R2664="","",IFERROR(TODAY()+VLOOKUP(R2664,REGRAS!$B$2:$C$13,2,0),""))</f>
        <v/>
      </c>
    </row>
    <row r="2665">
      <c r="T2665" s="47">
        <f>IF(R2665="","",IFERROR(TODAY()+VLOOKUP(R2665,REGRAS!$B$2:$C$13,2,0),""))</f>
        <v/>
      </c>
    </row>
    <row r="2666">
      <c r="T2666" s="47">
        <f>IF(R2666="","",IFERROR(TODAY()+VLOOKUP(R2666,REGRAS!$B$2:$C$13,2,0),""))</f>
        <v/>
      </c>
    </row>
    <row r="2667">
      <c r="T2667" s="47">
        <f>IF(R2667="","",IFERROR(TODAY()+VLOOKUP(R2667,REGRAS!$B$2:$C$13,2,0),""))</f>
        <v/>
      </c>
    </row>
    <row r="2668">
      <c r="T2668" s="47">
        <f>IF(R2668="","",IFERROR(TODAY()+VLOOKUP(R2668,REGRAS!$B$2:$C$13,2,0),""))</f>
        <v/>
      </c>
    </row>
    <row r="2669">
      <c r="T2669" s="47">
        <f>IF(R2669="","",IFERROR(TODAY()+VLOOKUP(R2669,REGRAS!$B$2:$C$13,2,0),""))</f>
        <v/>
      </c>
    </row>
    <row r="2670">
      <c r="T2670" s="47">
        <f>IF(R2670="","",IFERROR(TODAY()+VLOOKUP(R2670,REGRAS!$B$2:$C$13,2,0),""))</f>
        <v/>
      </c>
    </row>
    <row r="2671">
      <c r="T2671" s="47">
        <f>IF(R2671="","",IFERROR(TODAY()+VLOOKUP(R2671,REGRAS!$B$2:$C$13,2,0),""))</f>
        <v/>
      </c>
    </row>
    <row r="2672">
      <c r="T2672" s="47">
        <f>IF(R2672="","",IFERROR(TODAY()+VLOOKUP(R2672,REGRAS!$B$2:$C$13,2,0),""))</f>
        <v/>
      </c>
    </row>
    <row r="2673">
      <c r="T2673" s="47">
        <f>IF(R2673="","",IFERROR(TODAY()+VLOOKUP(R2673,REGRAS!$B$2:$C$13,2,0),""))</f>
        <v/>
      </c>
    </row>
    <row r="2674">
      <c r="T2674" s="47">
        <f>IF(R2674="","",IFERROR(TODAY()+VLOOKUP(R2674,REGRAS!$B$2:$C$13,2,0),""))</f>
        <v/>
      </c>
    </row>
    <row r="2675">
      <c r="T2675" s="47">
        <f>IF(R2675="","",IFERROR(TODAY()+VLOOKUP(R2675,REGRAS!$B$2:$C$13,2,0),""))</f>
        <v/>
      </c>
    </row>
    <row r="2676">
      <c r="T2676" s="47">
        <f>IF(R2676="","",IFERROR(TODAY()+VLOOKUP(R2676,REGRAS!$B$2:$C$13,2,0),""))</f>
        <v/>
      </c>
    </row>
    <row r="2677">
      <c r="T2677" s="47">
        <f>IF(R2677="","",IFERROR(TODAY()+VLOOKUP(R2677,REGRAS!$B$2:$C$13,2,0),""))</f>
        <v/>
      </c>
    </row>
    <row r="2678">
      <c r="T2678" s="47">
        <f>IF(R2678="","",IFERROR(TODAY()+VLOOKUP(R2678,REGRAS!$B$2:$C$13,2,0),""))</f>
        <v/>
      </c>
    </row>
    <row r="2679">
      <c r="T2679" s="47">
        <f>IF(R2679="","",IFERROR(TODAY()+VLOOKUP(R2679,REGRAS!$B$2:$C$13,2,0),""))</f>
        <v/>
      </c>
    </row>
    <row r="2680">
      <c r="T2680" s="47">
        <f>IF(R2680="","",IFERROR(TODAY()+VLOOKUP(R2680,REGRAS!$B$2:$C$13,2,0),""))</f>
        <v/>
      </c>
    </row>
    <row r="2681">
      <c r="T2681" s="47">
        <f>IF(R2681="","",IFERROR(TODAY()+VLOOKUP(R2681,REGRAS!$B$2:$C$13,2,0),""))</f>
        <v/>
      </c>
    </row>
    <row r="2682">
      <c r="T2682" s="47">
        <f>IF(R2682="","",IFERROR(TODAY()+VLOOKUP(R2682,REGRAS!$B$2:$C$13,2,0),""))</f>
        <v/>
      </c>
    </row>
    <row r="2683">
      <c r="T2683" s="47">
        <f>IF(R2683="","",IFERROR(TODAY()+VLOOKUP(R2683,REGRAS!$B$2:$C$13,2,0),""))</f>
        <v/>
      </c>
    </row>
    <row r="2684">
      <c r="T2684" s="47">
        <f>IF(R2684="","",IFERROR(TODAY()+VLOOKUP(R2684,REGRAS!$B$2:$C$13,2,0),""))</f>
        <v/>
      </c>
    </row>
    <row r="2685">
      <c r="T2685" s="47">
        <f>IF(R2685="","",IFERROR(TODAY()+VLOOKUP(R2685,REGRAS!$B$2:$C$13,2,0),""))</f>
        <v/>
      </c>
    </row>
    <row r="2686">
      <c r="T2686" s="47">
        <f>IF(R2686="","",IFERROR(TODAY()+VLOOKUP(R2686,REGRAS!$B$2:$C$13,2,0),""))</f>
        <v/>
      </c>
    </row>
    <row r="2687">
      <c r="T2687" s="47">
        <f>IF(R2687="","",IFERROR(TODAY()+VLOOKUP(R2687,REGRAS!$B$2:$C$13,2,0),""))</f>
        <v/>
      </c>
    </row>
    <row r="2688">
      <c r="T2688" s="47">
        <f>IF(R2688="","",IFERROR(TODAY()+VLOOKUP(R2688,REGRAS!$B$2:$C$13,2,0),""))</f>
        <v/>
      </c>
    </row>
    <row r="2689">
      <c r="T2689" s="47">
        <f>IF(R2689="","",IFERROR(TODAY()+VLOOKUP(R2689,REGRAS!$B$2:$C$13,2,0),""))</f>
        <v/>
      </c>
    </row>
    <row r="2690">
      <c r="T2690" s="47">
        <f>IF(R2690="","",IFERROR(TODAY()+VLOOKUP(R2690,REGRAS!$B$2:$C$13,2,0),""))</f>
        <v/>
      </c>
    </row>
    <row r="2691">
      <c r="T2691" s="47">
        <f>IF(R2691="","",IFERROR(TODAY()+VLOOKUP(R2691,REGRAS!$B$2:$C$13,2,0),""))</f>
        <v/>
      </c>
    </row>
    <row r="2692">
      <c r="T2692" s="47">
        <f>IF(R2692="","",IFERROR(TODAY()+VLOOKUP(R2692,REGRAS!$B$2:$C$13,2,0),""))</f>
        <v/>
      </c>
    </row>
    <row r="2693">
      <c r="T2693" s="47">
        <f>IF(R2693="","",IFERROR(TODAY()+VLOOKUP(R2693,REGRAS!$B$2:$C$13,2,0),""))</f>
        <v/>
      </c>
    </row>
    <row r="2694">
      <c r="T2694" s="47">
        <f>IF(R2694="","",IFERROR(TODAY()+VLOOKUP(R2694,REGRAS!$B$2:$C$13,2,0),""))</f>
        <v/>
      </c>
    </row>
    <row r="2695">
      <c r="T2695" s="47">
        <f>IF(R2695="","",IFERROR(TODAY()+VLOOKUP(R2695,REGRAS!$B$2:$C$13,2,0),""))</f>
        <v/>
      </c>
    </row>
    <row r="2696">
      <c r="T2696" s="47">
        <f>IF(R2696="","",IFERROR(TODAY()+VLOOKUP(R2696,REGRAS!$B$2:$C$13,2,0),""))</f>
        <v/>
      </c>
    </row>
    <row r="2697">
      <c r="T2697" s="47">
        <f>IF(R2697="","",IFERROR(TODAY()+VLOOKUP(R2697,REGRAS!$B$2:$C$13,2,0),""))</f>
        <v/>
      </c>
    </row>
    <row r="2698">
      <c r="T2698" s="47">
        <f>IF(R2698="","",IFERROR(TODAY()+VLOOKUP(R2698,REGRAS!$B$2:$C$13,2,0),""))</f>
        <v/>
      </c>
    </row>
    <row r="2699">
      <c r="T2699" s="47">
        <f>IF(R2699="","",IFERROR(TODAY()+VLOOKUP(R2699,REGRAS!$B$2:$C$13,2,0),""))</f>
        <v/>
      </c>
    </row>
    <row r="2700">
      <c r="T2700" s="47">
        <f>IF(R2700="","",IFERROR(TODAY()+VLOOKUP(R2700,REGRAS!$B$2:$C$13,2,0),""))</f>
        <v/>
      </c>
    </row>
    <row r="2701">
      <c r="T2701" s="47">
        <f>IF(R2701="","",IFERROR(TODAY()+VLOOKUP(R2701,REGRAS!$B$2:$C$13,2,0),""))</f>
        <v/>
      </c>
    </row>
    <row r="2702">
      <c r="T2702" s="47">
        <f>IF(R2702="","",IFERROR(TODAY()+VLOOKUP(R2702,REGRAS!$B$2:$C$13,2,0),""))</f>
        <v/>
      </c>
    </row>
    <row r="2703">
      <c r="T2703" s="47">
        <f>IF(R2703="","",IFERROR(TODAY()+VLOOKUP(R2703,REGRAS!$B$2:$C$13,2,0),""))</f>
        <v/>
      </c>
    </row>
    <row r="2704">
      <c r="T2704" s="47">
        <f>IF(R2704="","",IFERROR(TODAY()+VLOOKUP(R2704,REGRAS!$B$2:$C$13,2,0),""))</f>
        <v/>
      </c>
    </row>
    <row r="2705">
      <c r="T2705" s="47">
        <f>IF(R2705="","",IFERROR(TODAY()+VLOOKUP(R2705,REGRAS!$B$2:$C$13,2,0),""))</f>
        <v/>
      </c>
    </row>
    <row r="2706">
      <c r="T2706" s="47">
        <f>IF(R2706="","",IFERROR(TODAY()+VLOOKUP(R2706,REGRAS!$B$2:$C$13,2,0),""))</f>
        <v/>
      </c>
    </row>
    <row r="2707">
      <c r="T2707" s="47">
        <f>IF(R2707="","",IFERROR(TODAY()+VLOOKUP(R2707,REGRAS!$B$2:$C$13,2,0),""))</f>
        <v/>
      </c>
    </row>
    <row r="2708">
      <c r="T2708" s="47">
        <f>IF(R2708="","",IFERROR(TODAY()+VLOOKUP(R2708,REGRAS!$B$2:$C$13,2,0),""))</f>
        <v/>
      </c>
    </row>
    <row r="2709">
      <c r="T2709" s="47">
        <f>IF(R2709="","",IFERROR(TODAY()+VLOOKUP(R2709,REGRAS!$B$2:$C$13,2,0),""))</f>
        <v/>
      </c>
    </row>
    <row r="2710">
      <c r="T2710" s="47">
        <f>IF(R2710="","",IFERROR(TODAY()+VLOOKUP(R2710,REGRAS!$B$2:$C$13,2,0),""))</f>
        <v/>
      </c>
    </row>
    <row r="2711">
      <c r="T2711" s="47">
        <f>IF(R2711="","",IFERROR(TODAY()+VLOOKUP(R2711,REGRAS!$B$2:$C$13,2,0),""))</f>
        <v/>
      </c>
    </row>
    <row r="2712">
      <c r="T2712" s="47">
        <f>IF(R2712="","",IFERROR(TODAY()+VLOOKUP(R2712,REGRAS!$B$2:$C$13,2,0),""))</f>
        <v/>
      </c>
    </row>
    <row r="2713">
      <c r="T2713" s="47">
        <f>IF(R2713="","",IFERROR(TODAY()+VLOOKUP(R2713,REGRAS!$B$2:$C$13,2,0),""))</f>
        <v/>
      </c>
    </row>
    <row r="2714">
      <c r="T2714" s="47">
        <f>IF(R2714="","",IFERROR(TODAY()+VLOOKUP(R2714,REGRAS!$B$2:$C$13,2,0),""))</f>
        <v/>
      </c>
    </row>
    <row r="2715">
      <c r="T2715" s="47">
        <f>IF(R2715="","",IFERROR(TODAY()+VLOOKUP(R2715,REGRAS!$B$2:$C$13,2,0),""))</f>
        <v/>
      </c>
    </row>
    <row r="2716">
      <c r="T2716" s="47">
        <f>IF(R2716="","",IFERROR(TODAY()+VLOOKUP(R2716,REGRAS!$B$2:$C$13,2,0),""))</f>
        <v/>
      </c>
    </row>
    <row r="2717">
      <c r="T2717" s="47">
        <f>IF(R2717="","",IFERROR(TODAY()+VLOOKUP(R2717,REGRAS!$B$2:$C$13,2,0),""))</f>
        <v/>
      </c>
    </row>
    <row r="2718">
      <c r="T2718" s="47">
        <f>IF(R2718="","",IFERROR(TODAY()+VLOOKUP(R2718,REGRAS!$B$2:$C$13,2,0),""))</f>
        <v/>
      </c>
    </row>
    <row r="2719">
      <c r="T2719" s="47">
        <f>IF(R2719="","",IFERROR(TODAY()+VLOOKUP(R2719,REGRAS!$B$2:$C$13,2,0),""))</f>
        <v/>
      </c>
    </row>
    <row r="2720">
      <c r="T2720" s="47">
        <f>IF(R2720="","",IFERROR(TODAY()+VLOOKUP(R2720,REGRAS!$B$2:$C$13,2,0),""))</f>
        <v/>
      </c>
    </row>
    <row r="2721">
      <c r="T2721" s="47">
        <f>IF(R2721="","",IFERROR(TODAY()+VLOOKUP(R2721,REGRAS!$B$2:$C$13,2,0),""))</f>
        <v/>
      </c>
    </row>
    <row r="2722">
      <c r="T2722" s="47">
        <f>IF(R2722="","",IFERROR(TODAY()+VLOOKUP(R2722,REGRAS!$B$2:$C$13,2,0),""))</f>
        <v/>
      </c>
    </row>
    <row r="2723">
      <c r="T2723" s="47">
        <f>IF(R2723="","",IFERROR(TODAY()+VLOOKUP(R2723,REGRAS!$B$2:$C$13,2,0),""))</f>
        <v/>
      </c>
    </row>
    <row r="2724">
      <c r="T2724" s="47">
        <f>IF(R2724="","",IFERROR(TODAY()+VLOOKUP(R2724,REGRAS!$B$2:$C$13,2,0),""))</f>
        <v/>
      </c>
    </row>
    <row r="2725">
      <c r="T2725" s="47">
        <f>IF(R2725="","",IFERROR(TODAY()+VLOOKUP(R2725,REGRAS!$B$2:$C$13,2,0),""))</f>
        <v/>
      </c>
    </row>
    <row r="2726">
      <c r="T2726" s="47">
        <f>IF(R2726="","",IFERROR(TODAY()+VLOOKUP(R2726,REGRAS!$B$2:$C$13,2,0),""))</f>
        <v/>
      </c>
    </row>
    <row r="2727">
      <c r="T2727" s="47">
        <f>IF(R2727="","",IFERROR(TODAY()+VLOOKUP(R2727,REGRAS!$B$2:$C$13,2,0),""))</f>
        <v/>
      </c>
    </row>
    <row r="2728">
      <c r="T2728" s="47">
        <f>IF(R2728="","",IFERROR(TODAY()+VLOOKUP(R2728,REGRAS!$B$2:$C$13,2,0),""))</f>
        <v/>
      </c>
    </row>
    <row r="2729">
      <c r="T2729" s="47">
        <f>IF(R2729="","",IFERROR(TODAY()+VLOOKUP(R2729,REGRAS!$B$2:$C$13,2,0),""))</f>
        <v/>
      </c>
    </row>
    <row r="2730">
      <c r="T2730" s="47">
        <f>IF(R2730="","",IFERROR(TODAY()+VLOOKUP(R2730,REGRAS!$B$2:$C$13,2,0),""))</f>
        <v/>
      </c>
    </row>
    <row r="2731">
      <c r="T2731" s="47">
        <f>IF(R2731="","",IFERROR(TODAY()+VLOOKUP(R2731,REGRAS!$B$2:$C$13,2,0),""))</f>
        <v/>
      </c>
    </row>
    <row r="2732">
      <c r="T2732" s="47">
        <f>IF(R2732="","",IFERROR(TODAY()+VLOOKUP(R2732,REGRAS!$B$2:$C$13,2,0),""))</f>
        <v/>
      </c>
    </row>
    <row r="2733">
      <c r="T2733" s="47">
        <f>IF(R2733="","",IFERROR(TODAY()+VLOOKUP(R2733,REGRAS!$B$2:$C$13,2,0),""))</f>
        <v/>
      </c>
    </row>
    <row r="2734">
      <c r="T2734" s="47">
        <f>IF(R2734="","",IFERROR(TODAY()+VLOOKUP(R2734,REGRAS!$B$2:$C$13,2,0),""))</f>
        <v/>
      </c>
    </row>
    <row r="2735">
      <c r="T2735" s="47">
        <f>IF(R2735="","",IFERROR(TODAY()+VLOOKUP(R2735,REGRAS!$B$2:$C$13,2,0),""))</f>
        <v/>
      </c>
    </row>
    <row r="2736">
      <c r="T2736" s="47">
        <f>IF(R2736="","",IFERROR(TODAY()+VLOOKUP(R2736,REGRAS!$B$2:$C$13,2,0),""))</f>
        <v/>
      </c>
    </row>
    <row r="2737">
      <c r="T2737" s="47">
        <f>IF(R2737="","",IFERROR(TODAY()+VLOOKUP(R2737,REGRAS!$B$2:$C$13,2,0),""))</f>
        <v/>
      </c>
    </row>
    <row r="2738">
      <c r="T2738" s="47">
        <f>IF(R2738="","",IFERROR(TODAY()+VLOOKUP(R2738,REGRAS!$B$2:$C$13,2,0),""))</f>
        <v/>
      </c>
    </row>
    <row r="2739">
      <c r="T2739" s="47">
        <f>IF(R2739="","",IFERROR(TODAY()+VLOOKUP(R2739,REGRAS!$B$2:$C$13,2,0),""))</f>
        <v/>
      </c>
    </row>
    <row r="2740">
      <c r="T2740" s="47">
        <f>IF(R2740="","",IFERROR(TODAY()+VLOOKUP(R2740,REGRAS!$B$2:$C$13,2,0),""))</f>
        <v/>
      </c>
    </row>
    <row r="2741">
      <c r="T2741" s="47">
        <f>IF(R2741="","",IFERROR(TODAY()+VLOOKUP(R2741,REGRAS!$B$2:$C$13,2,0),""))</f>
        <v/>
      </c>
    </row>
    <row r="2742">
      <c r="T2742" s="47">
        <f>IF(R2742="","",IFERROR(TODAY()+VLOOKUP(R2742,REGRAS!$B$2:$C$13,2,0),""))</f>
        <v/>
      </c>
    </row>
    <row r="2743">
      <c r="T2743" s="47">
        <f>IF(R2743="","",IFERROR(TODAY()+VLOOKUP(R2743,REGRAS!$B$2:$C$13,2,0),""))</f>
        <v/>
      </c>
    </row>
    <row r="2744">
      <c r="T2744" s="47">
        <f>IF(R2744="","",IFERROR(TODAY()+VLOOKUP(R2744,REGRAS!$B$2:$C$13,2,0),""))</f>
        <v/>
      </c>
    </row>
    <row r="2745">
      <c r="T2745" s="47">
        <f>IF(R2745="","",IFERROR(TODAY()+VLOOKUP(R2745,REGRAS!$B$2:$C$13,2,0),""))</f>
        <v/>
      </c>
    </row>
    <row r="2746">
      <c r="T2746" s="47">
        <f>IF(R2746="","",IFERROR(TODAY()+VLOOKUP(R2746,REGRAS!$B$2:$C$13,2,0),""))</f>
        <v/>
      </c>
    </row>
    <row r="2747">
      <c r="T2747" s="47">
        <f>IF(R2747="","",IFERROR(TODAY()+VLOOKUP(R2747,REGRAS!$B$2:$C$13,2,0),""))</f>
        <v/>
      </c>
    </row>
    <row r="2748">
      <c r="T2748" s="47">
        <f>IF(R2748="","",IFERROR(TODAY()+VLOOKUP(R2748,REGRAS!$B$2:$C$13,2,0),""))</f>
        <v/>
      </c>
    </row>
    <row r="2749">
      <c r="T2749" s="47">
        <f>IF(R2749="","",IFERROR(TODAY()+VLOOKUP(R2749,REGRAS!$B$2:$C$13,2,0),""))</f>
        <v/>
      </c>
    </row>
    <row r="2750">
      <c r="T2750" s="47">
        <f>IF(R2750="","",IFERROR(TODAY()+VLOOKUP(R2750,REGRAS!$B$2:$C$13,2,0),""))</f>
        <v/>
      </c>
    </row>
    <row r="2751">
      <c r="T2751" s="47">
        <f>IF(R2751="","",IFERROR(TODAY()+VLOOKUP(R2751,REGRAS!$B$2:$C$13,2,0),""))</f>
        <v/>
      </c>
    </row>
    <row r="2752">
      <c r="T2752" s="47">
        <f>IF(R2752="","",IFERROR(TODAY()+VLOOKUP(R2752,REGRAS!$B$2:$C$13,2,0),""))</f>
        <v/>
      </c>
    </row>
    <row r="2753">
      <c r="T2753" s="47">
        <f>IF(R2753="","",IFERROR(TODAY()+VLOOKUP(R2753,REGRAS!$B$2:$C$13,2,0),""))</f>
        <v/>
      </c>
    </row>
    <row r="2754">
      <c r="T2754" s="47">
        <f>IF(R2754="","",IFERROR(TODAY()+VLOOKUP(R2754,REGRAS!$B$2:$C$13,2,0),""))</f>
        <v/>
      </c>
    </row>
    <row r="2755">
      <c r="T2755" s="47">
        <f>IF(R2755="","",IFERROR(TODAY()+VLOOKUP(R2755,REGRAS!$B$2:$C$13,2,0),""))</f>
        <v/>
      </c>
    </row>
    <row r="2756">
      <c r="T2756" s="47">
        <f>IF(R2756="","",IFERROR(TODAY()+VLOOKUP(R2756,REGRAS!$B$2:$C$13,2,0),""))</f>
        <v/>
      </c>
    </row>
    <row r="2757">
      <c r="T2757" s="47">
        <f>IF(R2757="","",IFERROR(TODAY()+VLOOKUP(R2757,REGRAS!$B$2:$C$13,2,0),""))</f>
        <v/>
      </c>
    </row>
    <row r="2758">
      <c r="T2758" s="47">
        <f>IF(R2758="","",IFERROR(TODAY()+VLOOKUP(R2758,REGRAS!$B$2:$C$13,2,0),""))</f>
        <v/>
      </c>
    </row>
    <row r="2759">
      <c r="T2759" s="47">
        <f>IF(R2759="","",IFERROR(TODAY()+VLOOKUP(R2759,REGRAS!$B$2:$C$13,2,0),""))</f>
        <v/>
      </c>
    </row>
    <row r="2760">
      <c r="T2760" s="47">
        <f>IF(R2760="","",IFERROR(TODAY()+VLOOKUP(R2760,REGRAS!$B$2:$C$13,2,0),""))</f>
        <v/>
      </c>
    </row>
    <row r="2761">
      <c r="T2761" s="47">
        <f>IF(R2761="","",IFERROR(TODAY()+VLOOKUP(R2761,REGRAS!$B$2:$C$13,2,0),""))</f>
        <v/>
      </c>
    </row>
    <row r="2762">
      <c r="T2762" s="47">
        <f>IF(R2762="","",IFERROR(TODAY()+VLOOKUP(R2762,REGRAS!$B$2:$C$13,2,0),""))</f>
        <v/>
      </c>
    </row>
    <row r="2763">
      <c r="T2763" s="47">
        <f>IF(R2763="","",IFERROR(TODAY()+VLOOKUP(R2763,REGRAS!$B$2:$C$13,2,0),""))</f>
        <v/>
      </c>
    </row>
    <row r="2764">
      <c r="T2764" s="47">
        <f>IF(R2764="","",IFERROR(TODAY()+VLOOKUP(R2764,REGRAS!$B$2:$C$13,2,0),""))</f>
        <v/>
      </c>
    </row>
    <row r="2765">
      <c r="T2765" s="47">
        <f>IF(R2765="","",IFERROR(TODAY()+VLOOKUP(R2765,REGRAS!$B$2:$C$13,2,0),""))</f>
        <v/>
      </c>
    </row>
    <row r="2766">
      <c r="T2766" s="47">
        <f>IF(R2766="","",IFERROR(TODAY()+VLOOKUP(R2766,REGRAS!$B$2:$C$13,2,0),""))</f>
        <v/>
      </c>
    </row>
    <row r="2767">
      <c r="T2767" s="47">
        <f>IF(R2767="","",IFERROR(TODAY()+VLOOKUP(R2767,REGRAS!$B$2:$C$13,2,0),""))</f>
        <v/>
      </c>
    </row>
    <row r="2768">
      <c r="T2768" s="47">
        <f>IF(R2768="","",IFERROR(TODAY()+VLOOKUP(R2768,REGRAS!$B$2:$C$13,2,0),""))</f>
        <v/>
      </c>
    </row>
    <row r="2769">
      <c r="T2769" s="47">
        <f>IF(R2769="","",IFERROR(TODAY()+VLOOKUP(R2769,REGRAS!$B$2:$C$13,2,0),""))</f>
        <v/>
      </c>
    </row>
    <row r="2770">
      <c r="T2770" s="47">
        <f>IF(R2770="","",IFERROR(TODAY()+VLOOKUP(R2770,REGRAS!$B$2:$C$13,2,0),""))</f>
        <v/>
      </c>
    </row>
    <row r="2771">
      <c r="T2771" s="47">
        <f>IF(R2771="","",IFERROR(TODAY()+VLOOKUP(R2771,REGRAS!$B$2:$C$13,2,0),""))</f>
        <v/>
      </c>
    </row>
    <row r="2772">
      <c r="T2772" s="47">
        <f>IF(R2772="","",IFERROR(TODAY()+VLOOKUP(R2772,REGRAS!$B$2:$C$13,2,0),""))</f>
        <v/>
      </c>
    </row>
    <row r="2773">
      <c r="T2773" s="47">
        <f>IF(R2773="","",IFERROR(TODAY()+VLOOKUP(R2773,REGRAS!$B$2:$C$13,2,0),""))</f>
        <v/>
      </c>
    </row>
    <row r="2774">
      <c r="T2774" s="47">
        <f>IF(R2774="","",IFERROR(TODAY()+VLOOKUP(R2774,REGRAS!$B$2:$C$13,2,0),""))</f>
        <v/>
      </c>
    </row>
    <row r="2775">
      <c r="T2775" s="47">
        <f>IF(R2775="","",IFERROR(TODAY()+VLOOKUP(R2775,REGRAS!$B$2:$C$13,2,0),""))</f>
        <v/>
      </c>
    </row>
    <row r="2776">
      <c r="T2776" s="47">
        <f>IF(R2776="","",IFERROR(TODAY()+VLOOKUP(R2776,REGRAS!$B$2:$C$13,2,0),""))</f>
        <v/>
      </c>
    </row>
    <row r="2777">
      <c r="T2777" s="47">
        <f>IF(R2777="","",IFERROR(TODAY()+VLOOKUP(R2777,REGRAS!$B$2:$C$13,2,0),""))</f>
        <v/>
      </c>
    </row>
    <row r="2778">
      <c r="T2778" s="47">
        <f>IF(R2778="","",IFERROR(TODAY()+VLOOKUP(R2778,REGRAS!$B$2:$C$13,2,0),""))</f>
        <v/>
      </c>
    </row>
    <row r="2779">
      <c r="T2779" s="47">
        <f>IF(R2779="","",IFERROR(TODAY()+VLOOKUP(R2779,REGRAS!$B$2:$C$13,2,0),""))</f>
        <v/>
      </c>
    </row>
    <row r="2780">
      <c r="T2780" s="47">
        <f>IF(R2780="","",IFERROR(TODAY()+VLOOKUP(R2780,REGRAS!$B$2:$C$13,2,0),""))</f>
        <v/>
      </c>
    </row>
    <row r="2781">
      <c r="T2781" s="47">
        <f>IF(R2781="","",IFERROR(TODAY()+VLOOKUP(R2781,REGRAS!$B$2:$C$13,2,0),""))</f>
        <v/>
      </c>
    </row>
    <row r="2782">
      <c r="T2782" s="47">
        <f>IF(R2782="","",IFERROR(TODAY()+VLOOKUP(R2782,REGRAS!$B$2:$C$13,2,0),""))</f>
        <v/>
      </c>
    </row>
    <row r="2783">
      <c r="T2783" s="47">
        <f>IF(R2783="","",IFERROR(TODAY()+VLOOKUP(R2783,REGRAS!$B$2:$C$13,2,0),""))</f>
        <v/>
      </c>
    </row>
    <row r="2784">
      <c r="T2784" s="47">
        <f>IF(R2784="","",IFERROR(TODAY()+VLOOKUP(R2784,REGRAS!$B$2:$C$13,2,0),""))</f>
        <v/>
      </c>
    </row>
    <row r="2785">
      <c r="T2785" s="47">
        <f>IF(R2785="","",IFERROR(TODAY()+VLOOKUP(R2785,REGRAS!$B$2:$C$13,2,0),""))</f>
        <v/>
      </c>
    </row>
    <row r="2786">
      <c r="T2786" s="47">
        <f>IF(R2786="","",IFERROR(TODAY()+VLOOKUP(R2786,REGRAS!$B$2:$C$13,2,0),""))</f>
        <v/>
      </c>
    </row>
    <row r="2787">
      <c r="T2787" s="47">
        <f>IF(R2787="","",IFERROR(TODAY()+VLOOKUP(R2787,REGRAS!$B$2:$C$13,2,0),""))</f>
        <v/>
      </c>
    </row>
    <row r="2788">
      <c r="T2788" s="47">
        <f>IF(R2788="","",IFERROR(TODAY()+VLOOKUP(R2788,REGRAS!$B$2:$C$13,2,0),""))</f>
        <v/>
      </c>
    </row>
    <row r="2789">
      <c r="T2789" s="47">
        <f>IF(R2789="","",IFERROR(TODAY()+VLOOKUP(R2789,REGRAS!$B$2:$C$13,2,0),""))</f>
        <v/>
      </c>
    </row>
    <row r="2790">
      <c r="T2790" s="47">
        <f>IF(R2790="","",IFERROR(TODAY()+VLOOKUP(R2790,REGRAS!$B$2:$C$13,2,0),""))</f>
        <v/>
      </c>
    </row>
    <row r="2791">
      <c r="T2791" s="47">
        <f>IF(R2791="","",IFERROR(TODAY()+VLOOKUP(R2791,REGRAS!$B$2:$C$13,2,0),""))</f>
        <v/>
      </c>
    </row>
    <row r="2792">
      <c r="T2792" s="47">
        <f>IF(R2792="","",IFERROR(TODAY()+VLOOKUP(R2792,REGRAS!$B$2:$C$13,2,0),""))</f>
        <v/>
      </c>
    </row>
    <row r="2793">
      <c r="T2793" s="47">
        <f>IF(R2793="","",IFERROR(TODAY()+VLOOKUP(R2793,REGRAS!$B$2:$C$13,2,0),""))</f>
        <v/>
      </c>
    </row>
    <row r="2794">
      <c r="T2794" s="47">
        <f>IF(R2794="","",IFERROR(TODAY()+VLOOKUP(R2794,REGRAS!$B$2:$C$13,2,0),""))</f>
        <v/>
      </c>
    </row>
    <row r="2795">
      <c r="T2795" s="47">
        <f>IF(R2795="","",IFERROR(TODAY()+VLOOKUP(R2795,REGRAS!$B$2:$C$13,2,0),""))</f>
        <v/>
      </c>
    </row>
    <row r="2796">
      <c r="T2796" s="47">
        <f>IF(R2796="","",IFERROR(TODAY()+VLOOKUP(R2796,REGRAS!$B$2:$C$13,2,0),""))</f>
        <v/>
      </c>
    </row>
    <row r="2797">
      <c r="T2797" s="47">
        <f>IF(R2797="","",IFERROR(TODAY()+VLOOKUP(R2797,REGRAS!$B$2:$C$13,2,0),""))</f>
        <v/>
      </c>
    </row>
    <row r="2798">
      <c r="T2798" s="47">
        <f>IF(R2798="","",IFERROR(TODAY()+VLOOKUP(R2798,REGRAS!$B$2:$C$13,2,0),""))</f>
        <v/>
      </c>
    </row>
    <row r="2799">
      <c r="T2799" s="47">
        <f>IF(R2799="","",IFERROR(TODAY()+VLOOKUP(R2799,REGRAS!$B$2:$C$13,2,0),""))</f>
        <v/>
      </c>
    </row>
    <row r="2800">
      <c r="T2800" s="47">
        <f>IF(R2800="","",IFERROR(TODAY()+VLOOKUP(R2800,REGRAS!$B$2:$C$13,2,0),""))</f>
        <v/>
      </c>
    </row>
    <row r="2801">
      <c r="T2801" s="47">
        <f>IF(R2801="","",IFERROR(TODAY()+VLOOKUP(R2801,REGRAS!$B$2:$C$13,2,0),""))</f>
        <v/>
      </c>
    </row>
    <row r="2802">
      <c r="T2802" s="47">
        <f>IF(R2802="","",IFERROR(TODAY()+VLOOKUP(R2802,REGRAS!$B$2:$C$13,2,0),""))</f>
        <v/>
      </c>
    </row>
    <row r="2803">
      <c r="T2803" s="47">
        <f>IF(R2803="","",IFERROR(TODAY()+VLOOKUP(R2803,REGRAS!$B$2:$C$13,2,0),""))</f>
        <v/>
      </c>
    </row>
    <row r="2804">
      <c r="T2804" s="47">
        <f>IF(R2804="","",IFERROR(TODAY()+VLOOKUP(R2804,REGRAS!$B$2:$C$13,2,0),""))</f>
        <v/>
      </c>
    </row>
    <row r="2805">
      <c r="T2805" s="47">
        <f>IF(R2805="","",IFERROR(TODAY()+VLOOKUP(R2805,REGRAS!$B$2:$C$13,2,0),""))</f>
        <v/>
      </c>
    </row>
    <row r="2806">
      <c r="T2806" s="47">
        <f>IF(R2806="","",IFERROR(TODAY()+VLOOKUP(R2806,REGRAS!$B$2:$C$13,2,0),""))</f>
        <v/>
      </c>
    </row>
    <row r="2807">
      <c r="T2807" s="47">
        <f>IF(R2807="","",IFERROR(TODAY()+VLOOKUP(R2807,REGRAS!$B$2:$C$13,2,0),""))</f>
        <v/>
      </c>
    </row>
    <row r="2808">
      <c r="T2808" s="47">
        <f>IF(R2808="","",IFERROR(TODAY()+VLOOKUP(R2808,REGRAS!$B$2:$C$13,2,0),""))</f>
        <v/>
      </c>
    </row>
    <row r="2809">
      <c r="T2809" s="47">
        <f>IF(R2809="","",IFERROR(TODAY()+VLOOKUP(R2809,REGRAS!$B$2:$C$13,2,0),""))</f>
        <v/>
      </c>
    </row>
    <row r="2810">
      <c r="T2810" s="47">
        <f>IF(R2810="","",IFERROR(TODAY()+VLOOKUP(R2810,REGRAS!$B$2:$C$13,2,0),""))</f>
        <v/>
      </c>
    </row>
    <row r="2811">
      <c r="T2811" s="47">
        <f>IF(R2811="","",IFERROR(TODAY()+VLOOKUP(R2811,REGRAS!$B$2:$C$13,2,0),""))</f>
        <v/>
      </c>
    </row>
    <row r="2812">
      <c r="T2812" s="47">
        <f>IF(R2812="","",IFERROR(TODAY()+VLOOKUP(R2812,REGRAS!$B$2:$C$13,2,0),""))</f>
        <v/>
      </c>
    </row>
    <row r="2813">
      <c r="T2813" s="47">
        <f>IF(R2813="","",IFERROR(TODAY()+VLOOKUP(R2813,REGRAS!$B$2:$C$13,2,0),""))</f>
        <v/>
      </c>
    </row>
    <row r="2814">
      <c r="T2814" s="47">
        <f>IF(R2814="","",IFERROR(TODAY()+VLOOKUP(R2814,REGRAS!$B$2:$C$13,2,0),""))</f>
        <v/>
      </c>
    </row>
    <row r="2815">
      <c r="T2815" s="47">
        <f>IF(R2815="","",IFERROR(TODAY()+VLOOKUP(R2815,REGRAS!$B$2:$C$13,2,0),""))</f>
        <v/>
      </c>
    </row>
    <row r="2816">
      <c r="T2816" s="47">
        <f>IF(R2816="","",IFERROR(TODAY()+VLOOKUP(R2816,REGRAS!$B$2:$C$13,2,0),""))</f>
        <v/>
      </c>
    </row>
    <row r="2817">
      <c r="T2817" s="47">
        <f>IF(R2817="","",IFERROR(TODAY()+VLOOKUP(R2817,REGRAS!$B$2:$C$13,2,0),""))</f>
        <v/>
      </c>
    </row>
    <row r="2818">
      <c r="T2818" s="47">
        <f>IF(R2818="","",IFERROR(TODAY()+VLOOKUP(R2818,REGRAS!$B$2:$C$13,2,0),""))</f>
        <v/>
      </c>
    </row>
    <row r="2819">
      <c r="T2819" s="47">
        <f>IF(R2819="","",IFERROR(TODAY()+VLOOKUP(R2819,REGRAS!$B$2:$C$13,2,0),""))</f>
        <v/>
      </c>
    </row>
    <row r="2820">
      <c r="T2820" s="47">
        <f>IF(R2820="","",IFERROR(TODAY()+VLOOKUP(R2820,REGRAS!$B$2:$C$13,2,0),""))</f>
        <v/>
      </c>
    </row>
    <row r="2821">
      <c r="T2821" s="47">
        <f>IF(R2821="","",IFERROR(TODAY()+VLOOKUP(R2821,REGRAS!$B$2:$C$13,2,0),""))</f>
        <v/>
      </c>
    </row>
    <row r="2822">
      <c r="T2822" s="47">
        <f>IF(R2822="","",IFERROR(TODAY()+VLOOKUP(R2822,REGRAS!$B$2:$C$13,2,0),""))</f>
        <v/>
      </c>
    </row>
    <row r="2823">
      <c r="T2823" s="47">
        <f>IF(R2823="","",IFERROR(TODAY()+VLOOKUP(R2823,REGRAS!$B$2:$C$13,2,0),""))</f>
        <v/>
      </c>
    </row>
    <row r="2824">
      <c r="T2824" s="47">
        <f>IF(R2824="","",IFERROR(TODAY()+VLOOKUP(R2824,REGRAS!$B$2:$C$13,2,0),""))</f>
        <v/>
      </c>
    </row>
    <row r="2825">
      <c r="T2825" s="47">
        <f>IF(R2825="","",IFERROR(TODAY()+VLOOKUP(R2825,REGRAS!$B$2:$C$13,2,0),""))</f>
        <v/>
      </c>
    </row>
    <row r="2826">
      <c r="T2826" s="47">
        <f>IF(R2826="","",IFERROR(TODAY()+VLOOKUP(R2826,REGRAS!$B$2:$C$13,2,0),""))</f>
        <v/>
      </c>
    </row>
    <row r="2827">
      <c r="T2827" s="47">
        <f>IF(R2827="","",IFERROR(TODAY()+VLOOKUP(R2827,REGRAS!$B$2:$C$13,2,0),""))</f>
        <v/>
      </c>
    </row>
    <row r="2828">
      <c r="T2828" s="47">
        <f>IF(R2828="","",IFERROR(TODAY()+VLOOKUP(R2828,REGRAS!$B$2:$C$13,2,0),""))</f>
        <v/>
      </c>
    </row>
    <row r="2829">
      <c r="T2829" s="47">
        <f>IF(R2829="","",IFERROR(TODAY()+VLOOKUP(R2829,REGRAS!$B$2:$C$13,2,0),""))</f>
        <v/>
      </c>
    </row>
    <row r="2830">
      <c r="T2830" s="47">
        <f>IF(R2830="","",IFERROR(TODAY()+VLOOKUP(R2830,REGRAS!$B$2:$C$13,2,0),""))</f>
        <v/>
      </c>
    </row>
    <row r="2831">
      <c r="T2831" s="47">
        <f>IF(R2831="","",IFERROR(TODAY()+VLOOKUP(R2831,REGRAS!$B$2:$C$13,2,0),""))</f>
        <v/>
      </c>
    </row>
    <row r="2832">
      <c r="T2832" s="47">
        <f>IF(R2832="","",IFERROR(TODAY()+VLOOKUP(R2832,REGRAS!$B$2:$C$13,2,0),""))</f>
        <v/>
      </c>
    </row>
    <row r="2833">
      <c r="T2833" s="47">
        <f>IF(R2833="","",IFERROR(TODAY()+VLOOKUP(R2833,REGRAS!$B$2:$C$13,2,0),""))</f>
        <v/>
      </c>
    </row>
    <row r="2834">
      <c r="T2834" s="47">
        <f>IF(R2834="","",IFERROR(TODAY()+VLOOKUP(R2834,REGRAS!$B$2:$C$13,2,0),""))</f>
        <v/>
      </c>
    </row>
    <row r="2835">
      <c r="T2835" s="47">
        <f>IF(R2835="","",IFERROR(TODAY()+VLOOKUP(R2835,REGRAS!$B$2:$C$13,2,0),""))</f>
        <v/>
      </c>
    </row>
    <row r="2836">
      <c r="T2836" s="47">
        <f>IF(R2836="","",IFERROR(TODAY()+VLOOKUP(R2836,REGRAS!$B$2:$C$13,2,0),""))</f>
        <v/>
      </c>
    </row>
    <row r="2837">
      <c r="T2837" s="47">
        <f>IF(R2837="","",IFERROR(TODAY()+VLOOKUP(R2837,REGRAS!$B$2:$C$13,2,0),""))</f>
        <v/>
      </c>
    </row>
    <row r="2838">
      <c r="T2838" s="47">
        <f>IF(R2838="","",IFERROR(TODAY()+VLOOKUP(R2838,REGRAS!$B$2:$C$13,2,0),""))</f>
        <v/>
      </c>
    </row>
    <row r="2839">
      <c r="T2839" s="47">
        <f>IF(R2839="","",IFERROR(TODAY()+VLOOKUP(R2839,REGRAS!$B$2:$C$13,2,0),""))</f>
        <v/>
      </c>
    </row>
    <row r="2840">
      <c r="T2840" s="47">
        <f>IF(R2840="","",IFERROR(TODAY()+VLOOKUP(R2840,REGRAS!$B$2:$C$13,2,0),""))</f>
        <v/>
      </c>
    </row>
    <row r="2841">
      <c r="T2841" s="47">
        <f>IF(R2841="","",IFERROR(TODAY()+VLOOKUP(R2841,REGRAS!$B$2:$C$13,2,0),""))</f>
        <v/>
      </c>
    </row>
    <row r="2842">
      <c r="T2842" s="47">
        <f>IF(R2842="","",IFERROR(TODAY()+VLOOKUP(R2842,REGRAS!$B$2:$C$13,2,0),""))</f>
        <v/>
      </c>
    </row>
    <row r="2843">
      <c r="T2843" s="47">
        <f>IF(R2843="","",IFERROR(TODAY()+VLOOKUP(R2843,REGRAS!$B$2:$C$13,2,0),""))</f>
        <v/>
      </c>
    </row>
    <row r="2844">
      <c r="T2844" s="47">
        <f>IF(R2844="","",IFERROR(TODAY()+VLOOKUP(R2844,REGRAS!$B$2:$C$13,2,0),""))</f>
        <v/>
      </c>
    </row>
    <row r="2845">
      <c r="T2845" s="47">
        <f>IF(R2845="","",IFERROR(TODAY()+VLOOKUP(R2845,REGRAS!$B$2:$C$13,2,0),""))</f>
        <v/>
      </c>
    </row>
    <row r="2846">
      <c r="T2846" s="47">
        <f>IF(R2846="","",IFERROR(TODAY()+VLOOKUP(R2846,REGRAS!$B$2:$C$13,2,0),""))</f>
        <v/>
      </c>
    </row>
    <row r="2847">
      <c r="T2847" s="47">
        <f>IF(R2847="","",IFERROR(TODAY()+VLOOKUP(R2847,REGRAS!$B$2:$C$13,2,0),""))</f>
        <v/>
      </c>
    </row>
    <row r="2848">
      <c r="T2848" s="47">
        <f>IF(R2848="","",IFERROR(TODAY()+VLOOKUP(R2848,REGRAS!$B$2:$C$13,2,0),""))</f>
        <v/>
      </c>
    </row>
    <row r="2849">
      <c r="T2849" s="47">
        <f>IF(R2849="","",IFERROR(TODAY()+VLOOKUP(R2849,REGRAS!$B$2:$C$13,2,0),""))</f>
        <v/>
      </c>
    </row>
    <row r="2850">
      <c r="T2850" s="47">
        <f>IF(R2850="","",IFERROR(TODAY()+VLOOKUP(R2850,REGRAS!$B$2:$C$13,2,0),""))</f>
        <v/>
      </c>
    </row>
    <row r="2851">
      <c r="T2851" s="47">
        <f>IF(R2851="","",IFERROR(TODAY()+VLOOKUP(R2851,REGRAS!$B$2:$C$13,2,0),""))</f>
        <v/>
      </c>
    </row>
    <row r="2852">
      <c r="T2852" s="47">
        <f>IF(R2852="","",IFERROR(TODAY()+VLOOKUP(R2852,REGRAS!$B$2:$C$13,2,0),""))</f>
        <v/>
      </c>
    </row>
    <row r="2853">
      <c r="T2853" s="47">
        <f>IF(R2853="","",IFERROR(TODAY()+VLOOKUP(R2853,REGRAS!$B$2:$C$13,2,0),""))</f>
        <v/>
      </c>
    </row>
    <row r="2854">
      <c r="T2854" s="47">
        <f>IF(R2854="","",IFERROR(TODAY()+VLOOKUP(R2854,REGRAS!$B$2:$C$13,2,0),""))</f>
        <v/>
      </c>
    </row>
    <row r="2855">
      <c r="T2855" s="47">
        <f>IF(R2855="","",IFERROR(TODAY()+VLOOKUP(R2855,REGRAS!$B$2:$C$13,2,0),""))</f>
        <v/>
      </c>
    </row>
    <row r="2856">
      <c r="T2856" s="47">
        <f>IF(R2856="","",IFERROR(TODAY()+VLOOKUP(R2856,REGRAS!$B$2:$C$13,2,0),""))</f>
        <v/>
      </c>
    </row>
    <row r="2857">
      <c r="T2857" s="47">
        <f>IF(R2857="","",IFERROR(TODAY()+VLOOKUP(R2857,REGRAS!$B$2:$C$13,2,0),""))</f>
        <v/>
      </c>
    </row>
    <row r="2858">
      <c r="T2858" s="47">
        <f>IF(R2858="","",IFERROR(TODAY()+VLOOKUP(R2858,REGRAS!$B$2:$C$13,2,0),""))</f>
        <v/>
      </c>
    </row>
    <row r="2859">
      <c r="T2859" s="47">
        <f>IF(R2859="","",IFERROR(TODAY()+VLOOKUP(R2859,REGRAS!$B$2:$C$13,2,0),""))</f>
        <v/>
      </c>
    </row>
    <row r="2860">
      <c r="T2860" s="47">
        <f>IF(R2860="","",IFERROR(TODAY()+VLOOKUP(R2860,REGRAS!$B$2:$C$13,2,0),""))</f>
        <v/>
      </c>
    </row>
    <row r="2861">
      <c r="T2861" s="47">
        <f>IF(R2861="","",IFERROR(TODAY()+VLOOKUP(R2861,REGRAS!$B$2:$C$13,2,0),""))</f>
        <v/>
      </c>
    </row>
    <row r="2862">
      <c r="T2862" s="47">
        <f>IF(R2862="","",IFERROR(TODAY()+VLOOKUP(R2862,REGRAS!$B$2:$C$13,2,0),""))</f>
        <v/>
      </c>
    </row>
    <row r="2863">
      <c r="T2863" s="47">
        <f>IF(R2863="","",IFERROR(TODAY()+VLOOKUP(R2863,REGRAS!$B$2:$C$13,2,0),""))</f>
        <v/>
      </c>
    </row>
    <row r="2864">
      <c r="T2864" s="47">
        <f>IF(R2864="","",IFERROR(TODAY()+VLOOKUP(R2864,REGRAS!$B$2:$C$13,2,0),""))</f>
        <v/>
      </c>
    </row>
    <row r="2865">
      <c r="T2865" s="47">
        <f>IF(R2865="","",IFERROR(TODAY()+VLOOKUP(R2865,REGRAS!$B$2:$C$13,2,0),""))</f>
        <v/>
      </c>
    </row>
    <row r="2866">
      <c r="T2866" s="47">
        <f>IF(R2866="","",IFERROR(TODAY()+VLOOKUP(R2866,REGRAS!$B$2:$C$13,2,0),""))</f>
        <v/>
      </c>
    </row>
    <row r="2867">
      <c r="T2867" s="47">
        <f>IF(R2867="","",IFERROR(TODAY()+VLOOKUP(R2867,REGRAS!$B$2:$C$13,2,0),""))</f>
        <v/>
      </c>
    </row>
    <row r="2868">
      <c r="T2868" s="47">
        <f>IF(R2868="","",IFERROR(TODAY()+VLOOKUP(R2868,REGRAS!$B$2:$C$13,2,0),""))</f>
        <v/>
      </c>
    </row>
    <row r="2869">
      <c r="T2869" s="47">
        <f>IF(R2869="","",IFERROR(TODAY()+VLOOKUP(R2869,REGRAS!$B$2:$C$13,2,0),""))</f>
        <v/>
      </c>
    </row>
    <row r="2870">
      <c r="T2870" s="47">
        <f>IF(R2870="","",IFERROR(TODAY()+VLOOKUP(R2870,REGRAS!$B$2:$C$13,2,0),""))</f>
        <v/>
      </c>
    </row>
    <row r="2871">
      <c r="T2871" s="47">
        <f>IF(R2871="","",IFERROR(TODAY()+VLOOKUP(R2871,REGRAS!$B$2:$C$13,2,0),""))</f>
        <v/>
      </c>
    </row>
    <row r="2872">
      <c r="T2872" s="47">
        <f>IF(R2872="","",IFERROR(TODAY()+VLOOKUP(R2872,REGRAS!$B$2:$C$13,2,0),""))</f>
        <v/>
      </c>
    </row>
    <row r="2873">
      <c r="T2873" s="47">
        <f>IF(R2873="","",IFERROR(TODAY()+VLOOKUP(R2873,REGRAS!$B$2:$C$13,2,0),""))</f>
        <v/>
      </c>
    </row>
    <row r="2874">
      <c r="T2874" s="47">
        <f>IF(R2874="","",IFERROR(TODAY()+VLOOKUP(R2874,REGRAS!$B$2:$C$13,2,0),""))</f>
        <v/>
      </c>
    </row>
    <row r="2875">
      <c r="T2875" s="47">
        <f>IF(R2875="","",IFERROR(TODAY()+VLOOKUP(R2875,REGRAS!$B$2:$C$13,2,0),""))</f>
        <v/>
      </c>
    </row>
    <row r="2876">
      <c r="T2876" s="47">
        <f>IF(R2876="","",IFERROR(TODAY()+VLOOKUP(R2876,REGRAS!$B$2:$C$13,2,0),""))</f>
        <v/>
      </c>
    </row>
    <row r="2877">
      <c r="T2877" s="47">
        <f>IF(R2877="","",IFERROR(TODAY()+VLOOKUP(R2877,REGRAS!$B$2:$C$13,2,0),""))</f>
        <v/>
      </c>
    </row>
    <row r="2878">
      <c r="T2878" s="47">
        <f>IF(R2878="","",IFERROR(TODAY()+VLOOKUP(R2878,REGRAS!$B$2:$C$13,2,0),""))</f>
        <v/>
      </c>
    </row>
    <row r="2879">
      <c r="T2879" s="47">
        <f>IF(R2879="","",IFERROR(TODAY()+VLOOKUP(R2879,REGRAS!$B$2:$C$13,2,0),""))</f>
        <v/>
      </c>
    </row>
    <row r="2880">
      <c r="T2880" s="47">
        <f>IF(R2880="","",IFERROR(TODAY()+VLOOKUP(R2880,REGRAS!$B$2:$C$13,2,0),""))</f>
        <v/>
      </c>
    </row>
    <row r="2881">
      <c r="T2881" s="47">
        <f>IF(R2881="","",IFERROR(TODAY()+VLOOKUP(R2881,REGRAS!$B$2:$C$13,2,0),""))</f>
        <v/>
      </c>
    </row>
    <row r="2882">
      <c r="T2882" s="47">
        <f>IF(R2882="","",IFERROR(TODAY()+VLOOKUP(R2882,REGRAS!$B$2:$C$13,2,0),""))</f>
        <v/>
      </c>
    </row>
    <row r="2883">
      <c r="T2883" s="47">
        <f>IF(R2883="","",IFERROR(TODAY()+VLOOKUP(R2883,REGRAS!$B$2:$C$13,2,0),""))</f>
        <v/>
      </c>
    </row>
    <row r="2884">
      <c r="T2884" s="47">
        <f>IF(R2884="","",IFERROR(TODAY()+VLOOKUP(R2884,REGRAS!$B$2:$C$13,2,0),""))</f>
        <v/>
      </c>
    </row>
    <row r="2885">
      <c r="T2885" s="47">
        <f>IF(R2885="","",IFERROR(TODAY()+VLOOKUP(R2885,REGRAS!$B$2:$C$13,2,0),""))</f>
        <v/>
      </c>
    </row>
    <row r="2886">
      <c r="T2886" s="47">
        <f>IF(R2886="","",IFERROR(TODAY()+VLOOKUP(R2886,REGRAS!$B$2:$C$13,2,0),""))</f>
        <v/>
      </c>
    </row>
    <row r="2887">
      <c r="T2887" s="47">
        <f>IF(R2887="","",IFERROR(TODAY()+VLOOKUP(R2887,REGRAS!$B$2:$C$13,2,0),""))</f>
        <v/>
      </c>
    </row>
    <row r="2888">
      <c r="T2888" s="47">
        <f>IF(R2888="","",IFERROR(TODAY()+VLOOKUP(R2888,REGRAS!$B$2:$C$13,2,0),""))</f>
        <v/>
      </c>
    </row>
    <row r="2889">
      <c r="T2889" s="47">
        <f>IF(R2889="","",IFERROR(TODAY()+VLOOKUP(R2889,REGRAS!$B$2:$C$13,2,0),""))</f>
        <v/>
      </c>
    </row>
    <row r="2890">
      <c r="T2890" s="47">
        <f>IF(R2890="","",IFERROR(TODAY()+VLOOKUP(R2890,REGRAS!$B$2:$C$13,2,0),""))</f>
        <v/>
      </c>
    </row>
    <row r="2891">
      <c r="T2891" s="47">
        <f>IF(R2891="","",IFERROR(TODAY()+VLOOKUP(R2891,REGRAS!$B$2:$C$13,2,0),""))</f>
        <v/>
      </c>
    </row>
    <row r="2892">
      <c r="T2892" s="47">
        <f>IF(R2892="","",IFERROR(TODAY()+VLOOKUP(R2892,REGRAS!$B$2:$C$13,2,0),""))</f>
        <v/>
      </c>
    </row>
    <row r="2893">
      <c r="T2893" s="47">
        <f>IF(R2893="","",IFERROR(TODAY()+VLOOKUP(R2893,REGRAS!$B$2:$C$13,2,0),""))</f>
        <v/>
      </c>
    </row>
    <row r="2894">
      <c r="T2894" s="47">
        <f>IF(R2894="","",IFERROR(TODAY()+VLOOKUP(R2894,REGRAS!$B$2:$C$13,2,0),""))</f>
        <v/>
      </c>
    </row>
    <row r="2895">
      <c r="T2895" s="47">
        <f>IF(R2895="","",IFERROR(TODAY()+VLOOKUP(R2895,REGRAS!$B$2:$C$13,2,0),""))</f>
        <v/>
      </c>
    </row>
    <row r="2896">
      <c r="T2896" s="47">
        <f>IF(R2896="","",IFERROR(TODAY()+VLOOKUP(R2896,REGRAS!$B$2:$C$13,2,0),""))</f>
        <v/>
      </c>
    </row>
    <row r="2897">
      <c r="T2897" s="47">
        <f>IF(R2897="","",IFERROR(TODAY()+VLOOKUP(R2897,REGRAS!$B$2:$C$13,2,0),""))</f>
        <v/>
      </c>
    </row>
    <row r="2898">
      <c r="T2898" s="47">
        <f>IF(R2898="","",IFERROR(TODAY()+VLOOKUP(R2898,REGRAS!$B$2:$C$13,2,0),""))</f>
        <v/>
      </c>
    </row>
    <row r="2899">
      <c r="T2899" s="47">
        <f>IF(R2899="","",IFERROR(TODAY()+VLOOKUP(R2899,REGRAS!$B$2:$C$13,2,0),""))</f>
        <v/>
      </c>
    </row>
    <row r="2900">
      <c r="T2900" s="47">
        <f>IF(R2900="","",IFERROR(TODAY()+VLOOKUP(R2900,REGRAS!$B$2:$C$13,2,0),""))</f>
        <v/>
      </c>
    </row>
    <row r="2901">
      <c r="T2901" s="47">
        <f>IF(R2901="","",IFERROR(TODAY()+VLOOKUP(R2901,REGRAS!$B$2:$C$13,2,0),""))</f>
        <v/>
      </c>
    </row>
    <row r="2902">
      <c r="T2902" s="47">
        <f>IF(R2902="","",IFERROR(TODAY()+VLOOKUP(R2902,REGRAS!$B$2:$C$13,2,0),""))</f>
        <v/>
      </c>
    </row>
    <row r="2903">
      <c r="T2903" s="47">
        <f>IF(R2903="","",IFERROR(TODAY()+VLOOKUP(R2903,REGRAS!$B$2:$C$13,2,0),""))</f>
        <v/>
      </c>
    </row>
    <row r="2904">
      <c r="T2904" s="47">
        <f>IF(R2904="","",IFERROR(TODAY()+VLOOKUP(R2904,REGRAS!$B$2:$C$13,2,0),""))</f>
        <v/>
      </c>
    </row>
    <row r="2905">
      <c r="T2905" s="47">
        <f>IF(R2905="","",IFERROR(TODAY()+VLOOKUP(R2905,REGRAS!$B$2:$C$13,2,0),""))</f>
        <v/>
      </c>
    </row>
    <row r="2906">
      <c r="T2906" s="47">
        <f>IF(R2906="","",IFERROR(TODAY()+VLOOKUP(R2906,REGRAS!$B$2:$C$13,2,0),""))</f>
        <v/>
      </c>
    </row>
    <row r="2907">
      <c r="T2907" s="47">
        <f>IF(R2907="","",IFERROR(TODAY()+VLOOKUP(R2907,REGRAS!$B$2:$C$13,2,0),""))</f>
        <v/>
      </c>
    </row>
    <row r="2908">
      <c r="T2908" s="47">
        <f>IF(R2908="","",IFERROR(TODAY()+VLOOKUP(R2908,REGRAS!$B$2:$C$13,2,0),""))</f>
        <v/>
      </c>
    </row>
    <row r="2909">
      <c r="T2909" s="47">
        <f>IF(R2909="","",IFERROR(TODAY()+VLOOKUP(R2909,REGRAS!$B$2:$C$13,2,0),""))</f>
        <v/>
      </c>
    </row>
    <row r="2910">
      <c r="T2910" s="47">
        <f>IF(R2910="","",IFERROR(TODAY()+VLOOKUP(R2910,REGRAS!$B$2:$C$13,2,0),""))</f>
        <v/>
      </c>
    </row>
    <row r="2911">
      <c r="T2911" s="47">
        <f>IF(R2911="","",IFERROR(TODAY()+VLOOKUP(R2911,REGRAS!$B$2:$C$13,2,0),""))</f>
        <v/>
      </c>
    </row>
    <row r="2912">
      <c r="T2912" s="47">
        <f>IF(R2912="","",IFERROR(TODAY()+VLOOKUP(R2912,REGRAS!$B$2:$C$13,2,0),""))</f>
        <v/>
      </c>
    </row>
    <row r="2913">
      <c r="T2913" s="47">
        <f>IF(R2913="","",IFERROR(TODAY()+VLOOKUP(R2913,REGRAS!$B$2:$C$13,2,0),""))</f>
        <v/>
      </c>
    </row>
    <row r="2914">
      <c r="T2914" s="47">
        <f>IF(R2914="","",IFERROR(TODAY()+VLOOKUP(R2914,REGRAS!$B$2:$C$13,2,0),""))</f>
        <v/>
      </c>
    </row>
    <row r="2915">
      <c r="T2915" s="47">
        <f>IF(R2915="","",IFERROR(TODAY()+VLOOKUP(R2915,REGRAS!$B$2:$C$13,2,0),""))</f>
        <v/>
      </c>
    </row>
    <row r="2916">
      <c r="T2916" s="47">
        <f>IF(R2916="","",IFERROR(TODAY()+VLOOKUP(R2916,REGRAS!$B$2:$C$13,2,0),""))</f>
        <v/>
      </c>
    </row>
    <row r="2917">
      <c r="T2917" s="47">
        <f>IF(R2917="","",IFERROR(TODAY()+VLOOKUP(R2917,REGRAS!$B$2:$C$13,2,0),""))</f>
        <v/>
      </c>
    </row>
    <row r="2918">
      <c r="T2918" s="47">
        <f>IF(R2918="","",IFERROR(TODAY()+VLOOKUP(R2918,REGRAS!$B$2:$C$13,2,0),""))</f>
        <v/>
      </c>
    </row>
    <row r="2919">
      <c r="T2919" s="47">
        <f>IF(R2919="","",IFERROR(TODAY()+VLOOKUP(R2919,REGRAS!$B$2:$C$13,2,0),""))</f>
        <v/>
      </c>
    </row>
    <row r="2920">
      <c r="T2920" s="47">
        <f>IF(R2920="","",IFERROR(TODAY()+VLOOKUP(R2920,REGRAS!$B$2:$C$13,2,0),""))</f>
        <v/>
      </c>
    </row>
    <row r="2921">
      <c r="T2921" s="47">
        <f>IF(R2921="","",IFERROR(TODAY()+VLOOKUP(R2921,REGRAS!$B$2:$C$13,2,0),""))</f>
        <v/>
      </c>
    </row>
    <row r="2922">
      <c r="T2922" s="47">
        <f>IF(R2922="","",IFERROR(TODAY()+VLOOKUP(R2922,REGRAS!$B$2:$C$13,2,0),""))</f>
        <v/>
      </c>
    </row>
    <row r="2923">
      <c r="T2923" s="47">
        <f>IF(R2923="","",IFERROR(TODAY()+VLOOKUP(R2923,REGRAS!$B$2:$C$13,2,0),""))</f>
        <v/>
      </c>
    </row>
    <row r="2924">
      <c r="T2924" s="47">
        <f>IF(R2924="","",IFERROR(TODAY()+VLOOKUP(R2924,REGRAS!$B$2:$C$13,2,0),""))</f>
        <v/>
      </c>
    </row>
    <row r="2925">
      <c r="T2925" s="47">
        <f>IF(R2925="","",IFERROR(TODAY()+VLOOKUP(R2925,REGRAS!$B$2:$C$13,2,0),""))</f>
        <v/>
      </c>
    </row>
    <row r="2926">
      <c r="T2926" s="47">
        <f>IF(R2926="","",IFERROR(TODAY()+VLOOKUP(R2926,REGRAS!$B$2:$C$13,2,0),""))</f>
        <v/>
      </c>
    </row>
    <row r="2927">
      <c r="T2927" s="47">
        <f>IF(R2927="","",IFERROR(TODAY()+VLOOKUP(R2927,REGRAS!$B$2:$C$13,2,0),""))</f>
        <v/>
      </c>
    </row>
    <row r="2928">
      <c r="T2928" s="47">
        <f>IF(R2928="","",IFERROR(TODAY()+VLOOKUP(R2928,REGRAS!$B$2:$C$13,2,0),""))</f>
        <v/>
      </c>
    </row>
    <row r="2929">
      <c r="T2929" s="47">
        <f>IF(R2929="","",IFERROR(TODAY()+VLOOKUP(R2929,REGRAS!$B$2:$C$13,2,0),""))</f>
        <v/>
      </c>
    </row>
    <row r="2930">
      <c r="T2930" s="47">
        <f>IF(R2930="","",IFERROR(TODAY()+VLOOKUP(R2930,REGRAS!$B$2:$C$13,2,0),""))</f>
        <v/>
      </c>
    </row>
    <row r="2931">
      <c r="T2931" s="47">
        <f>IF(R2931="","",IFERROR(TODAY()+VLOOKUP(R2931,REGRAS!$B$2:$C$13,2,0),""))</f>
        <v/>
      </c>
    </row>
    <row r="2932">
      <c r="T2932" s="47">
        <f>IF(R2932="","",IFERROR(TODAY()+VLOOKUP(R2932,REGRAS!$B$2:$C$13,2,0),""))</f>
        <v/>
      </c>
    </row>
    <row r="2933">
      <c r="T2933" s="47">
        <f>IF(R2933="","",IFERROR(TODAY()+VLOOKUP(R2933,REGRAS!$B$2:$C$13,2,0),""))</f>
        <v/>
      </c>
    </row>
    <row r="2934">
      <c r="T2934" s="47">
        <f>IF(R2934="","",IFERROR(TODAY()+VLOOKUP(R2934,REGRAS!$B$2:$C$13,2,0),""))</f>
        <v/>
      </c>
    </row>
    <row r="2935">
      <c r="T2935" s="47">
        <f>IF(R2935="","",IFERROR(TODAY()+VLOOKUP(R2935,REGRAS!$B$2:$C$13,2,0),""))</f>
        <v/>
      </c>
    </row>
    <row r="2936">
      <c r="T2936" s="47">
        <f>IF(R2936="","",IFERROR(TODAY()+VLOOKUP(R2936,REGRAS!$B$2:$C$13,2,0),""))</f>
        <v/>
      </c>
    </row>
    <row r="2937">
      <c r="T2937" s="47">
        <f>IF(R2937="","",IFERROR(TODAY()+VLOOKUP(R2937,REGRAS!$B$2:$C$13,2,0),""))</f>
        <v/>
      </c>
    </row>
    <row r="2938">
      <c r="T2938" s="47">
        <f>IF(R2938="","",IFERROR(TODAY()+VLOOKUP(R2938,REGRAS!$B$2:$C$13,2,0),""))</f>
        <v/>
      </c>
    </row>
    <row r="2939">
      <c r="T2939" s="47">
        <f>IF(R2939="","",IFERROR(TODAY()+VLOOKUP(R2939,REGRAS!$B$2:$C$13,2,0),""))</f>
        <v/>
      </c>
    </row>
    <row r="2940">
      <c r="T2940" s="47">
        <f>IF(R2940="","",IFERROR(TODAY()+VLOOKUP(R2940,REGRAS!$B$2:$C$13,2,0),""))</f>
        <v/>
      </c>
    </row>
    <row r="2941">
      <c r="T2941" s="47">
        <f>IF(R2941="","",IFERROR(TODAY()+VLOOKUP(R2941,REGRAS!$B$2:$C$13,2,0),""))</f>
        <v/>
      </c>
    </row>
    <row r="2942">
      <c r="T2942" s="47">
        <f>IF(R2942="","",IFERROR(TODAY()+VLOOKUP(R2942,REGRAS!$B$2:$C$13,2,0),""))</f>
        <v/>
      </c>
    </row>
    <row r="2943">
      <c r="T2943" s="47">
        <f>IF(R2943="","",IFERROR(TODAY()+VLOOKUP(R2943,REGRAS!$B$2:$C$13,2,0),""))</f>
        <v/>
      </c>
    </row>
    <row r="2944">
      <c r="T2944" s="47">
        <f>IF(R2944="","",IFERROR(TODAY()+VLOOKUP(R2944,REGRAS!$B$2:$C$13,2,0),""))</f>
        <v/>
      </c>
    </row>
    <row r="2945">
      <c r="T2945" s="47">
        <f>IF(R2945="","",IFERROR(TODAY()+VLOOKUP(R2945,REGRAS!$B$2:$C$13,2,0),""))</f>
        <v/>
      </c>
    </row>
    <row r="2946">
      <c r="T2946" s="47">
        <f>IF(R2946="","",IFERROR(TODAY()+VLOOKUP(R2946,REGRAS!$B$2:$C$13,2,0),""))</f>
        <v/>
      </c>
    </row>
    <row r="2947">
      <c r="T2947" s="47">
        <f>IF(R2947="","",IFERROR(TODAY()+VLOOKUP(R2947,REGRAS!$B$2:$C$13,2,0),""))</f>
        <v/>
      </c>
    </row>
    <row r="2948">
      <c r="T2948" s="47">
        <f>IF(R2948="","",IFERROR(TODAY()+VLOOKUP(R2948,REGRAS!$B$2:$C$13,2,0),""))</f>
        <v/>
      </c>
    </row>
    <row r="2949">
      <c r="T2949" s="47">
        <f>IF(R2949="","",IFERROR(TODAY()+VLOOKUP(R2949,REGRAS!$B$2:$C$13,2,0),""))</f>
        <v/>
      </c>
    </row>
    <row r="2950">
      <c r="T2950" s="47">
        <f>IF(R2950="","",IFERROR(TODAY()+VLOOKUP(R2950,REGRAS!$B$2:$C$13,2,0),""))</f>
        <v/>
      </c>
    </row>
    <row r="2951">
      <c r="T2951" s="47">
        <f>IF(R2951="","",IFERROR(TODAY()+VLOOKUP(R2951,REGRAS!$B$2:$C$13,2,0),""))</f>
        <v/>
      </c>
    </row>
    <row r="2952">
      <c r="T2952" s="47">
        <f>IF(R2952="","",IFERROR(TODAY()+VLOOKUP(R2952,REGRAS!$B$2:$C$13,2,0),""))</f>
        <v/>
      </c>
    </row>
    <row r="2953">
      <c r="T2953" s="47">
        <f>IF(R2953="","",IFERROR(TODAY()+VLOOKUP(R2953,REGRAS!$B$2:$C$13,2,0),""))</f>
        <v/>
      </c>
    </row>
    <row r="2954">
      <c r="T2954" s="47">
        <f>IF(R2954="","",IFERROR(TODAY()+VLOOKUP(R2954,REGRAS!$B$2:$C$13,2,0),""))</f>
        <v/>
      </c>
    </row>
    <row r="2955">
      <c r="T2955" s="47">
        <f>IF(R2955="","",IFERROR(TODAY()+VLOOKUP(R2955,REGRAS!$B$2:$C$13,2,0),""))</f>
        <v/>
      </c>
    </row>
    <row r="2956">
      <c r="T2956" s="47">
        <f>IF(R2956="","",IFERROR(TODAY()+VLOOKUP(R2956,REGRAS!$B$2:$C$13,2,0),""))</f>
        <v/>
      </c>
    </row>
    <row r="2957">
      <c r="T2957" s="47">
        <f>IF(R2957="","",IFERROR(TODAY()+VLOOKUP(R2957,REGRAS!$B$2:$C$13,2,0),""))</f>
        <v/>
      </c>
    </row>
    <row r="2958">
      <c r="T2958" s="47">
        <f>IF(R2958="","",IFERROR(TODAY()+VLOOKUP(R2958,REGRAS!$B$2:$C$13,2,0),""))</f>
        <v/>
      </c>
    </row>
    <row r="2959">
      <c r="T2959" s="47">
        <f>IF(R2959="","",IFERROR(TODAY()+VLOOKUP(R2959,REGRAS!$B$2:$C$13,2,0),""))</f>
        <v/>
      </c>
    </row>
    <row r="2960">
      <c r="T2960" s="47">
        <f>IF(R2960="","",IFERROR(TODAY()+VLOOKUP(R2960,REGRAS!$B$2:$C$13,2,0),""))</f>
        <v/>
      </c>
    </row>
    <row r="2961">
      <c r="T2961" s="47">
        <f>IF(R2961="","",IFERROR(TODAY()+VLOOKUP(R2961,REGRAS!$B$2:$C$13,2,0),""))</f>
        <v/>
      </c>
    </row>
    <row r="2962">
      <c r="T2962" s="47">
        <f>IF(R2962="","",IFERROR(TODAY()+VLOOKUP(R2962,REGRAS!$B$2:$C$13,2,0),""))</f>
        <v/>
      </c>
    </row>
    <row r="2963">
      <c r="T2963" s="47">
        <f>IF(R2963="","",IFERROR(TODAY()+VLOOKUP(R2963,REGRAS!$B$2:$C$13,2,0),""))</f>
        <v/>
      </c>
    </row>
    <row r="2964">
      <c r="T2964" s="47">
        <f>IF(R2964="","",IFERROR(TODAY()+VLOOKUP(R2964,REGRAS!$B$2:$C$13,2,0),""))</f>
        <v/>
      </c>
    </row>
    <row r="2965">
      <c r="T2965" s="47">
        <f>IF(R2965="","",IFERROR(TODAY()+VLOOKUP(R2965,REGRAS!$B$2:$C$13,2,0),""))</f>
        <v/>
      </c>
    </row>
    <row r="2966">
      <c r="T2966" s="47">
        <f>IF(R2966="","",IFERROR(TODAY()+VLOOKUP(R2966,REGRAS!$B$2:$C$13,2,0),""))</f>
        <v/>
      </c>
    </row>
    <row r="2967">
      <c r="T2967" s="47">
        <f>IF(R2967="","",IFERROR(TODAY()+VLOOKUP(R2967,REGRAS!$B$2:$C$13,2,0),""))</f>
        <v/>
      </c>
    </row>
    <row r="2968">
      <c r="T2968" s="47">
        <f>IF(R2968="","",IFERROR(TODAY()+VLOOKUP(R2968,REGRAS!$B$2:$C$13,2,0),""))</f>
        <v/>
      </c>
    </row>
    <row r="2969">
      <c r="T2969" s="47">
        <f>IF(R2969="","",IFERROR(TODAY()+VLOOKUP(R2969,REGRAS!$B$2:$C$13,2,0),""))</f>
        <v/>
      </c>
    </row>
    <row r="2970">
      <c r="T2970" s="47">
        <f>IF(R2970="","",IFERROR(TODAY()+VLOOKUP(R2970,REGRAS!$B$2:$C$13,2,0),""))</f>
        <v/>
      </c>
    </row>
    <row r="2971">
      <c r="T2971" s="47">
        <f>IF(R2971="","",IFERROR(TODAY()+VLOOKUP(R2971,REGRAS!$B$2:$C$13,2,0),""))</f>
        <v/>
      </c>
    </row>
    <row r="2972">
      <c r="T2972" s="47">
        <f>IF(R2972="","",IFERROR(TODAY()+VLOOKUP(R2972,REGRAS!$B$2:$C$13,2,0),""))</f>
        <v/>
      </c>
    </row>
    <row r="2973">
      <c r="T2973" s="47">
        <f>IF(R2973="","",IFERROR(TODAY()+VLOOKUP(R2973,REGRAS!$B$2:$C$13,2,0),""))</f>
        <v/>
      </c>
    </row>
    <row r="2974">
      <c r="T2974" s="47">
        <f>IF(R2974="","",IFERROR(TODAY()+VLOOKUP(R2974,REGRAS!$B$2:$C$13,2,0),""))</f>
        <v/>
      </c>
    </row>
    <row r="2975">
      <c r="T2975" s="47">
        <f>IF(R2975="","",IFERROR(TODAY()+VLOOKUP(R2975,REGRAS!$B$2:$C$13,2,0),""))</f>
        <v/>
      </c>
    </row>
    <row r="2976">
      <c r="T2976" s="47">
        <f>IF(R2976="","",IFERROR(TODAY()+VLOOKUP(R2976,REGRAS!$B$2:$C$13,2,0),""))</f>
        <v/>
      </c>
    </row>
    <row r="2977">
      <c r="T2977" s="47">
        <f>IF(R2977="","",IFERROR(TODAY()+VLOOKUP(R2977,REGRAS!$B$2:$C$13,2,0),""))</f>
        <v/>
      </c>
    </row>
    <row r="2978">
      <c r="T2978" s="47">
        <f>IF(R2978="","",IFERROR(TODAY()+VLOOKUP(R2978,REGRAS!$B$2:$C$13,2,0),""))</f>
        <v/>
      </c>
    </row>
    <row r="2979">
      <c r="T2979" s="47">
        <f>IF(R2979="","",IFERROR(TODAY()+VLOOKUP(R2979,REGRAS!$B$2:$C$13,2,0),""))</f>
        <v/>
      </c>
    </row>
    <row r="2980">
      <c r="T2980" s="47">
        <f>IF(R2980="","",IFERROR(TODAY()+VLOOKUP(R2980,REGRAS!$B$2:$C$13,2,0),""))</f>
        <v/>
      </c>
    </row>
    <row r="2981">
      <c r="T2981" s="47">
        <f>IF(R2981="","",IFERROR(TODAY()+VLOOKUP(R2981,REGRAS!$B$2:$C$13,2,0),""))</f>
        <v/>
      </c>
    </row>
    <row r="2982">
      <c r="T2982" s="47">
        <f>IF(R2982="","",IFERROR(TODAY()+VLOOKUP(R2982,REGRAS!$B$2:$C$13,2,0),""))</f>
        <v/>
      </c>
    </row>
    <row r="2983">
      <c r="T2983" s="47">
        <f>IF(R2983="","",IFERROR(TODAY()+VLOOKUP(R2983,REGRAS!$B$2:$C$13,2,0),""))</f>
        <v/>
      </c>
    </row>
    <row r="2984">
      <c r="T2984" s="47">
        <f>IF(R2984="","",IFERROR(TODAY()+VLOOKUP(R2984,REGRAS!$B$2:$C$13,2,0),""))</f>
        <v/>
      </c>
    </row>
    <row r="2985">
      <c r="T2985" s="47">
        <f>IF(R2985="","",IFERROR(TODAY()+VLOOKUP(R2985,REGRAS!$B$2:$C$13,2,0),""))</f>
        <v/>
      </c>
    </row>
    <row r="2986">
      <c r="T2986" s="47">
        <f>IF(R2986="","",IFERROR(TODAY()+VLOOKUP(R2986,REGRAS!$B$2:$C$13,2,0),""))</f>
        <v/>
      </c>
    </row>
    <row r="2987">
      <c r="T2987" s="47">
        <f>IF(R2987="","",IFERROR(TODAY()+VLOOKUP(R2987,REGRAS!$B$2:$C$13,2,0),""))</f>
        <v/>
      </c>
    </row>
    <row r="2988">
      <c r="T2988" s="47">
        <f>IF(R2988="","",IFERROR(TODAY()+VLOOKUP(R2988,REGRAS!$B$2:$C$13,2,0),""))</f>
        <v/>
      </c>
    </row>
    <row r="2989">
      <c r="T2989" s="47">
        <f>IF(R2989="","",IFERROR(TODAY()+VLOOKUP(R2989,REGRAS!$B$2:$C$13,2,0),""))</f>
        <v/>
      </c>
    </row>
    <row r="2990">
      <c r="T2990" s="47">
        <f>IF(R2990="","",IFERROR(TODAY()+VLOOKUP(R2990,REGRAS!$B$2:$C$13,2,0),""))</f>
        <v/>
      </c>
    </row>
    <row r="2991">
      <c r="T2991" s="47">
        <f>IF(R2991="","",IFERROR(TODAY()+VLOOKUP(R2991,REGRAS!$B$2:$C$13,2,0),""))</f>
        <v/>
      </c>
    </row>
    <row r="2992">
      <c r="T2992" s="47">
        <f>IF(R2992="","",IFERROR(TODAY()+VLOOKUP(R2992,REGRAS!$B$2:$C$13,2,0),""))</f>
        <v/>
      </c>
    </row>
    <row r="2993">
      <c r="T2993" s="47">
        <f>IF(R2993="","",IFERROR(TODAY()+VLOOKUP(R2993,REGRAS!$B$2:$C$13,2,0),""))</f>
        <v/>
      </c>
    </row>
    <row r="2994">
      <c r="T2994" s="47">
        <f>IF(R2994="","",IFERROR(TODAY()+VLOOKUP(R2994,REGRAS!$B$2:$C$13,2,0),""))</f>
        <v/>
      </c>
    </row>
    <row r="2995">
      <c r="T2995" s="47">
        <f>IF(R2995="","",IFERROR(TODAY()+VLOOKUP(R2995,REGRAS!$B$2:$C$13,2,0),""))</f>
        <v/>
      </c>
    </row>
    <row r="2996">
      <c r="T2996" s="47">
        <f>IF(R2996="","",IFERROR(TODAY()+VLOOKUP(R2996,REGRAS!$B$2:$C$13,2,0),""))</f>
        <v/>
      </c>
    </row>
    <row r="2997">
      <c r="T2997" s="47">
        <f>IF(R2997="","",IFERROR(TODAY()+VLOOKUP(R2997,REGRAS!$B$2:$C$13,2,0),""))</f>
        <v/>
      </c>
    </row>
    <row r="2998">
      <c r="T2998" s="47">
        <f>IF(R2998="","",IFERROR(TODAY()+VLOOKUP(R2998,REGRAS!$B$2:$C$13,2,0),""))</f>
        <v/>
      </c>
    </row>
    <row r="2999">
      <c r="T2999" s="47">
        <f>IF(R2999="","",IFERROR(TODAY()+VLOOKUP(R2999,REGRAS!$B$2:$C$13,2,0),""))</f>
        <v/>
      </c>
    </row>
    <row r="3000">
      <c r="T3000" s="47">
        <f>IF(R3000="","",IFERROR(TODAY()+VLOOKUP(R3000,REGRAS!$B$2:$C$13,2,0),""))</f>
        <v/>
      </c>
    </row>
    <row r="3001">
      <c r="T3001" s="47">
        <f>IF(R3001="","",IFERROR(TODAY()+VLOOKUP(R3001,REGRAS!$B$2:$C$13,2,0),""))</f>
        <v/>
      </c>
    </row>
    <row r="3002">
      <c r="T3002" s="47">
        <f>IF(R3002="","",IFERROR(TODAY()+VLOOKUP(R3002,REGRAS!$B$2:$C$13,2,0),""))</f>
        <v/>
      </c>
    </row>
    <row r="3003">
      <c r="T3003" s="47">
        <f>IF(R3003="","",IFERROR(TODAY()+VLOOKUP(R3003,REGRAS!$B$2:$C$13,2,0),""))</f>
        <v/>
      </c>
    </row>
    <row r="3004">
      <c r="T3004" s="47">
        <f>IF(R3004="","",IFERROR(TODAY()+VLOOKUP(R3004,REGRAS!$B$2:$C$13,2,0),""))</f>
        <v/>
      </c>
    </row>
    <row r="3005">
      <c r="T3005" s="47">
        <f>IF(R3005="","",IFERROR(TODAY()+VLOOKUP(R3005,REGRAS!$B$2:$C$13,2,0),""))</f>
        <v/>
      </c>
    </row>
    <row r="3006">
      <c r="T3006" s="47">
        <f>IF(R3006="","",IFERROR(TODAY()+VLOOKUP(R3006,REGRAS!$B$2:$C$13,2,0),""))</f>
        <v/>
      </c>
    </row>
    <row r="3007">
      <c r="T3007" s="47">
        <f>IF(R3007="","",IFERROR(TODAY()+VLOOKUP(R3007,REGRAS!$B$2:$C$13,2,0),""))</f>
        <v/>
      </c>
    </row>
    <row r="3008">
      <c r="T3008" s="47">
        <f>IF(R3008="","",IFERROR(TODAY()+VLOOKUP(R3008,REGRAS!$B$2:$C$13,2,0),""))</f>
        <v/>
      </c>
    </row>
    <row r="3009">
      <c r="T3009" s="47">
        <f>IF(R3009="","",IFERROR(TODAY()+VLOOKUP(R3009,REGRAS!$B$2:$C$13,2,0),""))</f>
        <v/>
      </c>
    </row>
    <row r="3010">
      <c r="T3010" s="47">
        <f>IF(R3010="","",IFERROR(TODAY()+VLOOKUP(R3010,REGRAS!$B$2:$C$13,2,0),""))</f>
        <v/>
      </c>
    </row>
    <row r="3011">
      <c r="T3011" s="47">
        <f>IF(R3011="","",IFERROR(TODAY()+VLOOKUP(R3011,REGRAS!$B$2:$C$13,2,0),""))</f>
        <v/>
      </c>
    </row>
    <row r="3012">
      <c r="T3012" s="47">
        <f>IF(R3012="","",IFERROR(TODAY()+VLOOKUP(R3012,REGRAS!$B$2:$C$13,2,0),""))</f>
        <v/>
      </c>
    </row>
    <row r="3013">
      <c r="T3013" s="47">
        <f>IF(R3013="","",IFERROR(TODAY()+VLOOKUP(R3013,REGRAS!$B$2:$C$13,2,0),""))</f>
        <v/>
      </c>
    </row>
    <row r="3014">
      <c r="T3014" s="47">
        <f>IF(R3014="","",IFERROR(TODAY()+VLOOKUP(R3014,REGRAS!$B$2:$C$13,2,0),""))</f>
        <v/>
      </c>
    </row>
    <row r="3015">
      <c r="T3015" s="47">
        <f>IF(R3015="","",IFERROR(TODAY()+VLOOKUP(R3015,REGRAS!$B$2:$C$13,2,0),""))</f>
        <v/>
      </c>
    </row>
    <row r="3016">
      <c r="T3016" s="47">
        <f>IF(R3016="","",IFERROR(TODAY()+VLOOKUP(R3016,REGRAS!$B$2:$C$13,2,0),""))</f>
        <v/>
      </c>
    </row>
    <row r="3017">
      <c r="T3017" s="47">
        <f>IF(R3017="","",IFERROR(TODAY()+VLOOKUP(R3017,REGRAS!$B$2:$C$13,2,0),""))</f>
        <v/>
      </c>
    </row>
    <row r="3018">
      <c r="T3018" s="47">
        <f>IF(R3018="","",IFERROR(TODAY()+VLOOKUP(R3018,REGRAS!$B$2:$C$13,2,0),""))</f>
        <v/>
      </c>
    </row>
    <row r="3019">
      <c r="T3019" s="47">
        <f>IF(R3019="","",IFERROR(TODAY()+VLOOKUP(R3019,REGRAS!$B$2:$C$13,2,0),""))</f>
        <v/>
      </c>
    </row>
    <row r="3020">
      <c r="T3020" s="47">
        <f>IF(R3020="","",IFERROR(TODAY()+VLOOKUP(R3020,REGRAS!$B$2:$C$13,2,0),""))</f>
        <v/>
      </c>
    </row>
    <row r="3021">
      <c r="T3021" s="47">
        <f>IF(R3021="","",IFERROR(TODAY()+VLOOKUP(R3021,REGRAS!$B$2:$C$13,2,0),""))</f>
        <v/>
      </c>
    </row>
    <row r="3022">
      <c r="T3022" s="47">
        <f>IF(R3022="","",IFERROR(TODAY()+VLOOKUP(R3022,REGRAS!$B$2:$C$13,2,0),""))</f>
        <v/>
      </c>
    </row>
    <row r="3023">
      <c r="T3023" s="47">
        <f>IF(R3023="","",IFERROR(TODAY()+VLOOKUP(R3023,REGRAS!$B$2:$C$13,2,0),""))</f>
        <v/>
      </c>
    </row>
    <row r="3024">
      <c r="T3024" s="47">
        <f>IF(R3024="","",IFERROR(TODAY()+VLOOKUP(R3024,REGRAS!$B$2:$C$13,2,0),""))</f>
        <v/>
      </c>
    </row>
    <row r="3025">
      <c r="T3025" s="47">
        <f>IF(R3025="","",IFERROR(TODAY()+VLOOKUP(R3025,REGRAS!$B$2:$C$13,2,0),""))</f>
        <v/>
      </c>
    </row>
    <row r="3026">
      <c r="T3026" s="47">
        <f>IF(R3026="","",IFERROR(TODAY()+VLOOKUP(R3026,REGRAS!$B$2:$C$13,2,0),""))</f>
        <v/>
      </c>
    </row>
    <row r="3027">
      <c r="T3027" s="47">
        <f>IF(R3027="","",IFERROR(TODAY()+VLOOKUP(R3027,REGRAS!$B$2:$C$13,2,0),""))</f>
        <v/>
      </c>
    </row>
    <row r="3028">
      <c r="T3028" s="47">
        <f>IF(R3028="","",IFERROR(TODAY()+VLOOKUP(R3028,REGRAS!$B$2:$C$13,2,0),""))</f>
        <v/>
      </c>
    </row>
    <row r="3029">
      <c r="T3029" s="47">
        <f>IF(R3029="","",IFERROR(TODAY()+VLOOKUP(R3029,REGRAS!$B$2:$C$13,2,0),""))</f>
        <v/>
      </c>
    </row>
    <row r="3030">
      <c r="T3030" s="47">
        <f>IF(R3030="","",IFERROR(TODAY()+VLOOKUP(R3030,REGRAS!$B$2:$C$13,2,0),""))</f>
        <v/>
      </c>
    </row>
    <row r="3031">
      <c r="T3031" s="47">
        <f>IF(R3031="","",IFERROR(TODAY()+VLOOKUP(R3031,REGRAS!$B$2:$C$13,2,0),""))</f>
        <v/>
      </c>
    </row>
    <row r="3032">
      <c r="T3032" s="47">
        <f>IF(R3032="","",IFERROR(TODAY()+VLOOKUP(R3032,REGRAS!$B$2:$C$13,2,0),""))</f>
        <v/>
      </c>
    </row>
    <row r="3033">
      <c r="T3033" s="47">
        <f>IF(R3033="","",IFERROR(TODAY()+VLOOKUP(R3033,REGRAS!$B$2:$C$13,2,0),""))</f>
        <v/>
      </c>
    </row>
    <row r="3034">
      <c r="T3034" s="47">
        <f>IF(R3034="","",IFERROR(TODAY()+VLOOKUP(R3034,REGRAS!$B$2:$C$13,2,0),""))</f>
        <v/>
      </c>
    </row>
    <row r="3035">
      <c r="T3035" s="47">
        <f>IF(R3035="","",IFERROR(TODAY()+VLOOKUP(R3035,REGRAS!$B$2:$C$13,2,0),""))</f>
        <v/>
      </c>
    </row>
    <row r="3036">
      <c r="T3036" s="47">
        <f>IF(R3036="","",IFERROR(TODAY()+VLOOKUP(R3036,REGRAS!$B$2:$C$13,2,0),""))</f>
        <v/>
      </c>
    </row>
    <row r="3037">
      <c r="T3037" s="47">
        <f>IF(R3037="","",IFERROR(TODAY()+VLOOKUP(R3037,REGRAS!$B$2:$C$13,2,0),""))</f>
        <v/>
      </c>
    </row>
    <row r="3038">
      <c r="T3038" s="47">
        <f>IF(R3038="","",IFERROR(TODAY()+VLOOKUP(R3038,REGRAS!$B$2:$C$13,2,0),""))</f>
        <v/>
      </c>
    </row>
    <row r="3039">
      <c r="T3039" s="47">
        <f>IF(R3039="","",IFERROR(TODAY()+VLOOKUP(R3039,REGRAS!$B$2:$C$13,2,0),""))</f>
        <v/>
      </c>
    </row>
    <row r="3040">
      <c r="T3040" s="47">
        <f>IF(R3040="","",IFERROR(TODAY()+VLOOKUP(R3040,REGRAS!$B$2:$C$13,2,0),""))</f>
        <v/>
      </c>
    </row>
    <row r="3041">
      <c r="T3041" s="47">
        <f>IF(R3041="","",IFERROR(TODAY()+VLOOKUP(R3041,REGRAS!$B$2:$C$13,2,0),""))</f>
        <v/>
      </c>
    </row>
    <row r="3042">
      <c r="T3042" s="47">
        <f>IF(R3042="","",IFERROR(TODAY()+VLOOKUP(R3042,REGRAS!$B$2:$C$13,2,0),""))</f>
        <v/>
      </c>
    </row>
    <row r="3043">
      <c r="T3043" s="47">
        <f>IF(R3043="","",IFERROR(TODAY()+VLOOKUP(R3043,REGRAS!$B$2:$C$13,2,0),""))</f>
        <v/>
      </c>
    </row>
    <row r="3044">
      <c r="T3044" s="47">
        <f>IF(R3044="","",IFERROR(TODAY()+VLOOKUP(R3044,REGRAS!$B$2:$C$13,2,0),""))</f>
        <v/>
      </c>
    </row>
    <row r="3045">
      <c r="T3045" s="47">
        <f>IF(R3045="","",IFERROR(TODAY()+VLOOKUP(R3045,REGRAS!$B$2:$C$13,2,0),""))</f>
        <v/>
      </c>
    </row>
    <row r="3046">
      <c r="T3046" s="47">
        <f>IF(R3046="","",IFERROR(TODAY()+VLOOKUP(R3046,REGRAS!$B$2:$C$13,2,0),""))</f>
        <v/>
      </c>
    </row>
    <row r="3047">
      <c r="T3047" s="47">
        <f>IF(R3047="","",IFERROR(TODAY()+VLOOKUP(R3047,REGRAS!$B$2:$C$13,2,0),""))</f>
        <v/>
      </c>
    </row>
    <row r="3048">
      <c r="T3048" s="47">
        <f>IF(R3048="","",IFERROR(TODAY()+VLOOKUP(R3048,REGRAS!$B$2:$C$13,2,0),""))</f>
        <v/>
      </c>
    </row>
    <row r="3049">
      <c r="T3049" s="47">
        <f>IF(R3049="","",IFERROR(TODAY()+VLOOKUP(R3049,REGRAS!$B$2:$C$13,2,0),""))</f>
        <v/>
      </c>
    </row>
    <row r="3050">
      <c r="T3050" s="47">
        <f>IF(R3050="","",IFERROR(TODAY()+VLOOKUP(R3050,REGRAS!$B$2:$C$13,2,0),""))</f>
        <v/>
      </c>
    </row>
    <row r="3051">
      <c r="T3051" s="47">
        <f>IF(R3051="","",IFERROR(TODAY()+VLOOKUP(R3051,REGRAS!$B$2:$C$13,2,0),""))</f>
        <v/>
      </c>
    </row>
    <row r="3052">
      <c r="T3052" s="47">
        <f>IF(R3052="","",IFERROR(TODAY()+VLOOKUP(R3052,REGRAS!$B$2:$C$13,2,0),""))</f>
        <v/>
      </c>
    </row>
    <row r="3053">
      <c r="T3053" s="47">
        <f>IF(R3053="","",IFERROR(TODAY()+VLOOKUP(R3053,REGRAS!$B$2:$C$13,2,0),""))</f>
        <v/>
      </c>
    </row>
    <row r="3054">
      <c r="T3054" s="47">
        <f>IF(R3054="","",IFERROR(TODAY()+VLOOKUP(R3054,REGRAS!$B$2:$C$13,2,0),""))</f>
        <v/>
      </c>
    </row>
    <row r="3055">
      <c r="T3055" s="47">
        <f>IF(R3055="","",IFERROR(TODAY()+VLOOKUP(R3055,REGRAS!$B$2:$C$13,2,0),""))</f>
        <v/>
      </c>
    </row>
    <row r="3056">
      <c r="T3056" s="47">
        <f>IF(R3056="","",IFERROR(TODAY()+VLOOKUP(R3056,REGRAS!$B$2:$C$13,2,0),""))</f>
        <v/>
      </c>
    </row>
    <row r="3057">
      <c r="T3057" s="47">
        <f>IF(R3057="","",IFERROR(TODAY()+VLOOKUP(R3057,REGRAS!$B$2:$C$13,2,0),""))</f>
        <v/>
      </c>
    </row>
    <row r="3058">
      <c r="T3058" s="47">
        <f>IF(R3058="","",IFERROR(TODAY()+VLOOKUP(R3058,REGRAS!$B$2:$C$13,2,0),""))</f>
        <v/>
      </c>
    </row>
    <row r="3059">
      <c r="T3059" s="47">
        <f>IF(R3059="","",IFERROR(TODAY()+VLOOKUP(R3059,REGRAS!$B$2:$C$13,2,0),""))</f>
        <v/>
      </c>
    </row>
    <row r="3060">
      <c r="T3060" s="47">
        <f>IF(R3060="","",IFERROR(TODAY()+VLOOKUP(R3060,REGRAS!$B$2:$C$13,2,0),""))</f>
        <v/>
      </c>
    </row>
    <row r="3061">
      <c r="T3061" s="47">
        <f>IF(R3061="","",IFERROR(TODAY()+VLOOKUP(R3061,REGRAS!$B$2:$C$13,2,0),""))</f>
        <v/>
      </c>
    </row>
    <row r="3062">
      <c r="T3062" s="47">
        <f>IF(R3062="","",IFERROR(TODAY()+VLOOKUP(R3062,REGRAS!$B$2:$C$13,2,0),""))</f>
        <v/>
      </c>
    </row>
    <row r="3063">
      <c r="T3063" s="47">
        <f>IF(R3063="","",IFERROR(TODAY()+VLOOKUP(R3063,REGRAS!$B$2:$C$13,2,0),""))</f>
        <v/>
      </c>
    </row>
    <row r="3064">
      <c r="T3064" s="47">
        <f>IF(R3064="","",IFERROR(TODAY()+VLOOKUP(R3064,REGRAS!$B$2:$C$13,2,0),""))</f>
        <v/>
      </c>
    </row>
    <row r="3065">
      <c r="T3065" s="47">
        <f>IF(R3065="","",IFERROR(TODAY()+VLOOKUP(R3065,REGRAS!$B$2:$C$13,2,0),""))</f>
        <v/>
      </c>
    </row>
    <row r="3066">
      <c r="T3066" s="47">
        <f>IF(R3066="","",IFERROR(TODAY()+VLOOKUP(R3066,REGRAS!$B$2:$C$13,2,0),""))</f>
        <v/>
      </c>
    </row>
    <row r="3067">
      <c r="T3067" s="47">
        <f>IF(R3067="","",IFERROR(TODAY()+VLOOKUP(R3067,REGRAS!$B$2:$C$13,2,0),""))</f>
        <v/>
      </c>
    </row>
    <row r="3068">
      <c r="T3068" s="47">
        <f>IF(R3068="","",IFERROR(TODAY()+VLOOKUP(R3068,REGRAS!$B$2:$C$13,2,0),""))</f>
        <v/>
      </c>
    </row>
    <row r="3069">
      <c r="T3069" s="47">
        <f>IF(R3069="","",IFERROR(TODAY()+VLOOKUP(R3069,REGRAS!$B$2:$C$13,2,0),""))</f>
        <v/>
      </c>
    </row>
    <row r="3070">
      <c r="T3070" s="47">
        <f>IF(R3070="","",IFERROR(TODAY()+VLOOKUP(R3070,REGRAS!$B$2:$C$13,2,0),""))</f>
        <v/>
      </c>
    </row>
    <row r="3071">
      <c r="T3071" s="47">
        <f>IF(R3071="","",IFERROR(TODAY()+VLOOKUP(R3071,REGRAS!$B$2:$C$13,2,0),""))</f>
        <v/>
      </c>
    </row>
    <row r="3072">
      <c r="T3072" s="47">
        <f>IF(R3072="","",IFERROR(TODAY()+VLOOKUP(R3072,REGRAS!$B$2:$C$13,2,0),""))</f>
        <v/>
      </c>
    </row>
    <row r="3073">
      <c r="T3073" s="47">
        <f>IF(R3073="","",IFERROR(TODAY()+VLOOKUP(R3073,REGRAS!$B$2:$C$13,2,0),""))</f>
        <v/>
      </c>
    </row>
    <row r="3074">
      <c r="T3074" s="47">
        <f>IF(R3074="","",IFERROR(TODAY()+VLOOKUP(R3074,REGRAS!$B$2:$C$13,2,0),""))</f>
        <v/>
      </c>
    </row>
    <row r="3075">
      <c r="T3075" s="47">
        <f>IF(R3075="","",IFERROR(TODAY()+VLOOKUP(R3075,REGRAS!$B$2:$C$13,2,0),""))</f>
        <v/>
      </c>
    </row>
    <row r="3076">
      <c r="T3076" s="47">
        <f>IF(R3076="","",IFERROR(TODAY()+VLOOKUP(R3076,REGRAS!$B$2:$C$13,2,0),""))</f>
        <v/>
      </c>
    </row>
    <row r="3077">
      <c r="T3077" s="47">
        <f>IF(R3077="","",IFERROR(TODAY()+VLOOKUP(R3077,REGRAS!$B$2:$C$13,2,0),""))</f>
        <v/>
      </c>
    </row>
    <row r="3078">
      <c r="T3078" s="47">
        <f>IF(R3078="","",IFERROR(TODAY()+VLOOKUP(R3078,REGRAS!$B$2:$C$13,2,0),""))</f>
        <v/>
      </c>
    </row>
    <row r="3079">
      <c r="T3079" s="47">
        <f>IF(R3079="","",IFERROR(TODAY()+VLOOKUP(R3079,REGRAS!$B$2:$C$13,2,0),""))</f>
        <v/>
      </c>
    </row>
    <row r="3080">
      <c r="T3080" s="47">
        <f>IF(R3080="","",IFERROR(TODAY()+VLOOKUP(R3080,REGRAS!$B$2:$C$13,2,0),""))</f>
        <v/>
      </c>
    </row>
    <row r="3081">
      <c r="T3081" s="47">
        <f>IF(R3081="","",IFERROR(TODAY()+VLOOKUP(R3081,REGRAS!$B$2:$C$13,2,0),""))</f>
        <v/>
      </c>
    </row>
    <row r="3082">
      <c r="T3082" s="47">
        <f>IF(R3082="","",IFERROR(TODAY()+VLOOKUP(R3082,REGRAS!$B$2:$C$13,2,0),""))</f>
        <v/>
      </c>
    </row>
    <row r="3083">
      <c r="T3083" s="47">
        <f>IF(R3083="","",IFERROR(TODAY()+VLOOKUP(R3083,REGRAS!$B$2:$C$13,2,0),""))</f>
        <v/>
      </c>
    </row>
    <row r="3084">
      <c r="T3084" s="47">
        <f>IF(R3084="","",IFERROR(TODAY()+VLOOKUP(R3084,REGRAS!$B$2:$C$13,2,0),""))</f>
        <v/>
      </c>
    </row>
    <row r="3085">
      <c r="T3085" s="47">
        <f>IF(R3085="","",IFERROR(TODAY()+VLOOKUP(R3085,REGRAS!$B$2:$C$13,2,0),""))</f>
        <v/>
      </c>
    </row>
    <row r="3086">
      <c r="T3086" s="47">
        <f>IF(R3086="","",IFERROR(TODAY()+VLOOKUP(R3086,REGRAS!$B$2:$C$13,2,0),""))</f>
        <v/>
      </c>
    </row>
    <row r="3087">
      <c r="T3087" s="47">
        <f>IF(R3087="","",IFERROR(TODAY()+VLOOKUP(R3087,REGRAS!$B$2:$C$13,2,0),""))</f>
        <v/>
      </c>
    </row>
    <row r="3088">
      <c r="T3088" s="47">
        <f>IF(R3088="","",IFERROR(TODAY()+VLOOKUP(R3088,REGRAS!$B$2:$C$13,2,0),""))</f>
        <v/>
      </c>
    </row>
    <row r="3089">
      <c r="T3089" s="47">
        <f>IF(R3089="","",IFERROR(TODAY()+VLOOKUP(R3089,REGRAS!$B$2:$C$13,2,0),""))</f>
        <v/>
      </c>
    </row>
    <row r="3090">
      <c r="T3090" s="47">
        <f>IF(R3090="","",IFERROR(TODAY()+VLOOKUP(R3090,REGRAS!$B$2:$C$13,2,0),""))</f>
        <v/>
      </c>
    </row>
    <row r="3091">
      <c r="T3091" s="47">
        <f>IF(R3091="","",IFERROR(TODAY()+VLOOKUP(R3091,REGRAS!$B$2:$C$13,2,0),""))</f>
        <v/>
      </c>
    </row>
    <row r="3092">
      <c r="T3092" s="47">
        <f>IF(R3092="","",IFERROR(TODAY()+VLOOKUP(R3092,REGRAS!$B$2:$C$13,2,0),""))</f>
        <v/>
      </c>
    </row>
    <row r="3093">
      <c r="T3093" s="47">
        <f>IF(R3093="","",IFERROR(TODAY()+VLOOKUP(R3093,REGRAS!$B$2:$C$13,2,0),""))</f>
        <v/>
      </c>
    </row>
    <row r="3094">
      <c r="T3094" s="47">
        <f>IF(R3094="","",IFERROR(TODAY()+VLOOKUP(R3094,REGRAS!$B$2:$C$13,2,0),""))</f>
        <v/>
      </c>
    </row>
    <row r="3095">
      <c r="T3095" s="47">
        <f>IF(R3095="","",IFERROR(TODAY()+VLOOKUP(R3095,REGRAS!$B$2:$C$13,2,0),""))</f>
        <v/>
      </c>
    </row>
    <row r="3096">
      <c r="T3096" s="47">
        <f>IF(R3096="","",IFERROR(TODAY()+VLOOKUP(R3096,REGRAS!$B$2:$C$13,2,0),""))</f>
        <v/>
      </c>
    </row>
    <row r="3097">
      <c r="T3097" s="47">
        <f>IF(R3097="","",IFERROR(TODAY()+VLOOKUP(R3097,REGRAS!$B$2:$C$13,2,0),""))</f>
        <v/>
      </c>
    </row>
    <row r="3098">
      <c r="T3098" s="47">
        <f>IF(R3098="","",IFERROR(TODAY()+VLOOKUP(R3098,REGRAS!$B$2:$C$13,2,0),""))</f>
        <v/>
      </c>
    </row>
    <row r="3099">
      <c r="T3099" s="47">
        <f>IF(R3099="","",IFERROR(TODAY()+VLOOKUP(R3099,REGRAS!$B$2:$C$13,2,0),""))</f>
        <v/>
      </c>
    </row>
    <row r="3100">
      <c r="T3100" s="47">
        <f>IF(R3100="","",IFERROR(TODAY()+VLOOKUP(R3100,REGRAS!$B$2:$C$13,2,0),""))</f>
        <v/>
      </c>
    </row>
    <row r="3101">
      <c r="T3101" s="47">
        <f>IF(R3101="","",IFERROR(TODAY()+VLOOKUP(R3101,REGRAS!$B$2:$C$13,2,0),""))</f>
        <v/>
      </c>
    </row>
    <row r="3102">
      <c r="T3102" s="47">
        <f>IF(R3102="","",IFERROR(TODAY()+VLOOKUP(R3102,REGRAS!$B$2:$C$13,2,0),""))</f>
        <v/>
      </c>
    </row>
    <row r="3103">
      <c r="T3103" s="47">
        <f>IF(R3103="","",IFERROR(TODAY()+VLOOKUP(R3103,REGRAS!$B$2:$C$13,2,0),""))</f>
        <v/>
      </c>
    </row>
    <row r="3104">
      <c r="T3104" s="47">
        <f>IF(R3104="","",IFERROR(TODAY()+VLOOKUP(R3104,REGRAS!$B$2:$C$13,2,0),""))</f>
        <v/>
      </c>
    </row>
    <row r="3105">
      <c r="T3105" s="47">
        <f>IF(R3105="","",IFERROR(TODAY()+VLOOKUP(R3105,REGRAS!$B$2:$C$13,2,0),""))</f>
        <v/>
      </c>
    </row>
    <row r="3106">
      <c r="T3106" s="47">
        <f>IF(R3106="","",IFERROR(TODAY()+VLOOKUP(R3106,REGRAS!$B$2:$C$13,2,0),""))</f>
        <v/>
      </c>
    </row>
    <row r="3107">
      <c r="T3107" s="47">
        <f>IF(R3107="","",IFERROR(TODAY()+VLOOKUP(R3107,REGRAS!$B$2:$C$13,2,0),""))</f>
        <v/>
      </c>
    </row>
    <row r="3108">
      <c r="T3108" s="47">
        <f>IF(R3108="","",IFERROR(TODAY()+VLOOKUP(R3108,REGRAS!$B$2:$C$13,2,0),""))</f>
        <v/>
      </c>
    </row>
    <row r="3109">
      <c r="T3109" s="47">
        <f>IF(R3109="","",IFERROR(TODAY()+VLOOKUP(R3109,REGRAS!$B$2:$C$13,2,0),""))</f>
        <v/>
      </c>
    </row>
    <row r="3110">
      <c r="T3110" s="47">
        <f>IF(R3110="","",IFERROR(TODAY()+VLOOKUP(R3110,REGRAS!$B$2:$C$13,2,0),""))</f>
        <v/>
      </c>
    </row>
    <row r="3111">
      <c r="T3111" s="47">
        <f>IF(R3111="","",IFERROR(TODAY()+VLOOKUP(R3111,REGRAS!$B$2:$C$13,2,0),""))</f>
        <v/>
      </c>
    </row>
    <row r="3112">
      <c r="T3112" s="47">
        <f>IF(R3112="","",IFERROR(TODAY()+VLOOKUP(R3112,REGRAS!$B$2:$C$13,2,0),""))</f>
        <v/>
      </c>
    </row>
    <row r="3113">
      <c r="T3113" s="47">
        <f>IF(R3113="","",IFERROR(TODAY()+VLOOKUP(R3113,REGRAS!$B$2:$C$13,2,0),""))</f>
        <v/>
      </c>
    </row>
    <row r="3114">
      <c r="T3114" s="47">
        <f>IF(R3114="","",IFERROR(TODAY()+VLOOKUP(R3114,REGRAS!$B$2:$C$13,2,0),""))</f>
        <v/>
      </c>
    </row>
    <row r="3115">
      <c r="T3115" s="47">
        <f>IF(R3115="","",IFERROR(TODAY()+VLOOKUP(R3115,REGRAS!$B$2:$C$13,2,0),""))</f>
        <v/>
      </c>
    </row>
    <row r="3116">
      <c r="T3116" s="47">
        <f>IF(R3116="","",IFERROR(TODAY()+VLOOKUP(R3116,REGRAS!$B$2:$C$13,2,0),""))</f>
        <v/>
      </c>
    </row>
    <row r="3117">
      <c r="T3117" s="47">
        <f>IF(R3117="","",IFERROR(TODAY()+VLOOKUP(R3117,REGRAS!$B$2:$C$13,2,0),""))</f>
        <v/>
      </c>
    </row>
    <row r="3118">
      <c r="T3118" s="47">
        <f>IF(R3118="","",IFERROR(TODAY()+VLOOKUP(R3118,REGRAS!$B$2:$C$13,2,0),""))</f>
        <v/>
      </c>
    </row>
    <row r="3119">
      <c r="T3119" s="47">
        <f>IF(R3119="","",IFERROR(TODAY()+VLOOKUP(R3119,REGRAS!$B$2:$C$13,2,0),""))</f>
        <v/>
      </c>
    </row>
    <row r="3120">
      <c r="T3120" s="47">
        <f>IF(R3120="","",IFERROR(TODAY()+VLOOKUP(R3120,REGRAS!$B$2:$C$13,2,0),""))</f>
        <v/>
      </c>
    </row>
    <row r="3121">
      <c r="T3121" s="47">
        <f>IF(R3121="","",IFERROR(TODAY()+VLOOKUP(R3121,REGRAS!$B$2:$C$13,2,0),""))</f>
        <v/>
      </c>
    </row>
    <row r="3122">
      <c r="T3122" s="47">
        <f>IF(R3122="","",IFERROR(TODAY()+VLOOKUP(R3122,REGRAS!$B$2:$C$13,2,0),""))</f>
        <v/>
      </c>
    </row>
    <row r="3123">
      <c r="T3123" s="47">
        <f>IF(R3123="","",IFERROR(TODAY()+VLOOKUP(R3123,REGRAS!$B$2:$C$13,2,0),""))</f>
        <v/>
      </c>
    </row>
    <row r="3124">
      <c r="T3124" s="47">
        <f>IF(R3124="","",IFERROR(TODAY()+VLOOKUP(R3124,REGRAS!$B$2:$C$13,2,0),""))</f>
        <v/>
      </c>
    </row>
    <row r="3125">
      <c r="T3125" s="47">
        <f>IF(R3125="","",IFERROR(TODAY()+VLOOKUP(R3125,REGRAS!$B$2:$C$13,2,0),""))</f>
        <v/>
      </c>
    </row>
    <row r="3126">
      <c r="T3126" s="47">
        <f>IF(R3126="","",IFERROR(TODAY()+VLOOKUP(R3126,REGRAS!$B$2:$C$13,2,0),""))</f>
        <v/>
      </c>
    </row>
    <row r="3127">
      <c r="T3127" s="47">
        <f>IF(R3127="","",IFERROR(TODAY()+VLOOKUP(R3127,REGRAS!$B$2:$C$13,2,0),""))</f>
        <v/>
      </c>
    </row>
    <row r="3128">
      <c r="T3128" s="47">
        <f>IF(R3128="","",IFERROR(TODAY()+VLOOKUP(R3128,REGRAS!$B$2:$C$13,2,0),""))</f>
        <v/>
      </c>
    </row>
    <row r="3129">
      <c r="T3129" s="47">
        <f>IF(R3129="","",IFERROR(TODAY()+VLOOKUP(R3129,REGRAS!$B$2:$C$13,2,0),""))</f>
        <v/>
      </c>
    </row>
    <row r="3130">
      <c r="T3130" s="47">
        <f>IF(R3130="","",IFERROR(TODAY()+VLOOKUP(R3130,REGRAS!$B$2:$C$13,2,0),""))</f>
        <v/>
      </c>
    </row>
    <row r="3131">
      <c r="T3131" s="47">
        <f>IF(R3131="","",IFERROR(TODAY()+VLOOKUP(R3131,REGRAS!$B$2:$C$13,2,0),""))</f>
        <v/>
      </c>
    </row>
    <row r="3132">
      <c r="T3132" s="47">
        <f>IF(R3132="","",IFERROR(TODAY()+VLOOKUP(R3132,REGRAS!$B$2:$C$13,2,0),""))</f>
        <v/>
      </c>
    </row>
    <row r="3133">
      <c r="T3133" s="47">
        <f>IF(R3133="","",IFERROR(TODAY()+VLOOKUP(R3133,REGRAS!$B$2:$C$13,2,0),""))</f>
        <v/>
      </c>
    </row>
    <row r="3134">
      <c r="T3134" s="47">
        <f>IF(R3134="","",IFERROR(TODAY()+VLOOKUP(R3134,REGRAS!$B$2:$C$13,2,0),""))</f>
        <v/>
      </c>
    </row>
    <row r="3135">
      <c r="T3135" s="47">
        <f>IF(R3135="","",IFERROR(TODAY()+VLOOKUP(R3135,REGRAS!$B$2:$C$13,2,0),""))</f>
        <v/>
      </c>
    </row>
    <row r="3136">
      <c r="T3136" s="47">
        <f>IF(R3136="","",IFERROR(TODAY()+VLOOKUP(R3136,REGRAS!$B$2:$C$13,2,0),""))</f>
        <v/>
      </c>
    </row>
    <row r="3137">
      <c r="T3137" s="47">
        <f>IF(R3137="","",IFERROR(TODAY()+VLOOKUP(R3137,REGRAS!$B$2:$C$13,2,0),""))</f>
        <v/>
      </c>
    </row>
    <row r="3138">
      <c r="T3138" s="47">
        <f>IF(R3138="","",IFERROR(TODAY()+VLOOKUP(R3138,REGRAS!$B$2:$C$13,2,0),""))</f>
        <v/>
      </c>
    </row>
    <row r="3139">
      <c r="T3139" s="47">
        <f>IF(R3139="","",IFERROR(TODAY()+VLOOKUP(R3139,REGRAS!$B$2:$C$13,2,0),""))</f>
        <v/>
      </c>
    </row>
    <row r="3140">
      <c r="T3140" s="47">
        <f>IF(R3140="","",IFERROR(TODAY()+VLOOKUP(R3140,REGRAS!$B$2:$C$13,2,0),""))</f>
        <v/>
      </c>
    </row>
    <row r="3141">
      <c r="T3141" s="47">
        <f>IF(R3141="","",IFERROR(TODAY()+VLOOKUP(R3141,REGRAS!$B$2:$C$13,2,0),""))</f>
        <v/>
      </c>
    </row>
    <row r="3142">
      <c r="T3142" s="47">
        <f>IF(R3142="","",IFERROR(TODAY()+VLOOKUP(R3142,REGRAS!$B$2:$C$13,2,0),""))</f>
        <v/>
      </c>
    </row>
    <row r="3143">
      <c r="T3143" s="47">
        <f>IF(R3143="","",IFERROR(TODAY()+VLOOKUP(R3143,REGRAS!$B$2:$C$13,2,0),""))</f>
        <v/>
      </c>
    </row>
    <row r="3144">
      <c r="T3144" s="47">
        <f>IF(R3144="","",IFERROR(TODAY()+VLOOKUP(R3144,REGRAS!$B$2:$C$13,2,0),""))</f>
        <v/>
      </c>
    </row>
    <row r="3145">
      <c r="T3145" s="47">
        <f>IF(R3145="","",IFERROR(TODAY()+VLOOKUP(R3145,REGRAS!$B$2:$C$13,2,0),""))</f>
        <v/>
      </c>
    </row>
    <row r="3146">
      <c r="T3146" s="47">
        <f>IF(R3146="","",IFERROR(TODAY()+VLOOKUP(R3146,REGRAS!$B$2:$C$13,2,0),""))</f>
        <v/>
      </c>
    </row>
    <row r="3147">
      <c r="T3147" s="47">
        <f>IF(R3147="","",IFERROR(TODAY()+VLOOKUP(R3147,REGRAS!$B$2:$C$13,2,0),""))</f>
        <v/>
      </c>
    </row>
    <row r="3148">
      <c r="T3148" s="47">
        <f>IF(R3148="","",IFERROR(TODAY()+VLOOKUP(R3148,REGRAS!$B$2:$C$13,2,0),""))</f>
        <v/>
      </c>
    </row>
    <row r="3149">
      <c r="T3149" s="47">
        <f>IF(R3149="","",IFERROR(TODAY()+VLOOKUP(R3149,REGRAS!$B$2:$C$13,2,0),""))</f>
        <v/>
      </c>
    </row>
    <row r="3150">
      <c r="T3150" s="47">
        <f>IF(R3150="","",IFERROR(TODAY()+VLOOKUP(R3150,REGRAS!$B$2:$C$13,2,0),""))</f>
        <v/>
      </c>
    </row>
    <row r="3151">
      <c r="T3151" s="47">
        <f>IF(R3151="","",IFERROR(TODAY()+VLOOKUP(R3151,REGRAS!$B$2:$C$13,2,0),""))</f>
        <v/>
      </c>
    </row>
    <row r="3152">
      <c r="T3152" s="47">
        <f>IF(R3152="","",IFERROR(TODAY()+VLOOKUP(R3152,REGRAS!$B$2:$C$13,2,0),""))</f>
        <v/>
      </c>
    </row>
    <row r="3153">
      <c r="T3153" s="47">
        <f>IF(R3153="","",IFERROR(TODAY()+VLOOKUP(R3153,REGRAS!$B$2:$C$13,2,0),""))</f>
        <v/>
      </c>
    </row>
    <row r="3154">
      <c r="T3154" s="47">
        <f>IF(R3154="","",IFERROR(TODAY()+VLOOKUP(R3154,REGRAS!$B$2:$C$13,2,0),""))</f>
        <v/>
      </c>
    </row>
    <row r="3155">
      <c r="T3155" s="47">
        <f>IF(R3155="","",IFERROR(TODAY()+VLOOKUP(R3155,REGRAS!$B$2:$C$13,2,0),""))</f>
        <v/>
      </c>
    </row>
    <row r="3156">
      <c r="T3156" s="47">
        <f>IF(R3156="","",IFERROR(TODAY()+VLOOKUP(R3156,REGRAS!$B$2:$C$13,2,0),""))</f>
        <v/>
      </c>
    </row>
    <row r="3157">
      <c r="T3157" s="47">
        <f>IF(R3157="","",IFERROR(TODAY()+VLOOKUP(R3157,REGRAS!$B$2:$C$13,2,0),""))</f>
        <v/>
      </c>
    </row>
    <row r="3158">
      <c r="T3158" s="47">
        <f>IF(R3158="","",IFERROR(TODAY()+VLOOKUP(R3158,REGRAS!$B$2:$C$13,2,0),""))</f>
        <v/>
      </c>
    </row>
    <row r="3159">
      <c r="T3159" s="47">
        <f>IF(R3159="","",IFERROR(TODAY()+VLOOKUP(R3159,REGRAS!$B$2:$C$13,2,0),""))</f>
        <v/>
      </c>
    </row>
    <row r="3160">
      <c r="T3160" s="47">
        <f>IF(R3160="","",IFERROR(TODAY()+VLOOKUP(R3160,REGRAS!$B$2:$C$13,2,0),""))</f>
        <v/>
      </c>
    </row>
    <row r="3161">
      <c r="T3161" s="47">
        <f>IF(R3161="","",IFERROR(TODAY()+VLOOKUP(R3161,REGRAS!$B$2:$C$13,2,0),""))</f>
        <v/>
      </c>
    </row>
    <row r="3162">
      <c r="T3162" s="47">
        <f>IF(R3162="","",IFERROR(TODAY()+VLOOKUP(R3162,REGRAS!$B$2:$C$13,2,0),""))</f>
        <v/>
      </c>
    </row>
    <row r="3163">
      <c r="T3163" s="47">
        <f>IF(R3163="","",IFERROR(TODAY()+VLOOKUP(R3163,REGRAS!$B$2:$C$13,2,0),""))</f>
        <v/>
      </c>
    </row>
    <row r="3164">
      <c r="T3164" s="47">
        <f>IF(R3164="","",IFERROR(TODAY()+VLOOKUP(R3164,REGRAS!$B$2:$C$13,2,0),""))</f>
        <v/>
      </c>
    </row>
    <row r="3165">
      <c r="T3165" s="47">
        <f>IF(R3165="","",IFERROR(TODAY()+VLOOKUP(R3165,REGRAS!$B$2:$C$13,2,0),""))</f>
        <v/>
      </c>
    </row>
    <row r="3166">
      <c r="T3166" s="47">
        <f>IF(R3166="","",IFERROR(TODAY()+VLOOKUP(R3166,REGRAS!$B$2:$C$13,2,0),""))</f>
        <v/>
      </c>
    </row>
    <row r="3167">
      <c r="T3167" s="47">
        <f>IF(R3167="","",IFERROR(TODAY()+VLOOKUP(R3167,REGRAS!$B$2:$C$13,2,0),""))</f>
        <v/>
      </c>
    </row>
    <row r="3168">
      <c r="T3168" s="47">
        <f>IF(R3168="","",IFERROR(TODAY()+VLOOKUP(R3168,REGRAS!$B$2:$C$13,2,0),""))</f>
        <v/>
      </c>
    </row>
    <row r="3169">
      <c r="T3169" s="47">
        <f>IF(R3169="","",IFERROR(TODAY()+VLOOKUP(R3169,REGRAS!$B$2:$C$13,2,0),""))</f>
        <v/>
      </c>
    </row>
    <row r="3170">
      <c r="T3170" s="47">
        <f>IF(R3170="","",IFERROR(TODAY()+VLOOKUP(R3170,REGRAS!$B$2:$C$13,2,0),""))</f>
        <v/>
      </c>
    </row>
    <row r="3171">
      <c r="T3171" s="47">
        <f>IF(R3171="","",IFERROR(TODAY()+VLOOKUP(R3171,REGRAS!$B$2:$C$13,2,0),""))</f>
        <v/>
      </c>
    </row>
    <row r="3172">
      <c r="T3172" s="47">
        <f>IF(R3172="","",IFERROR(TODAY()+VLOOKUP(R3172,REGRAS!$B$2:$C$13,2,0),""))</f>
        <v/>
      </c>
    </row>
    <row r="3173">
      <c r="T3173" s="47">
        <f>IF(R3173="","",IFERROR(TODAY()+VLOOKUP(R3173,REGRAS!$B$2:$C$13,2,0),""))</f>
        <v/>
      </c>
    </row>
    <row r="3174">
      <c r="T3174" s="47">
        <f>IF(R3174="","",IFERROR(TODAY()+VLOOKUP(R3174,REGRAS!$B$2:$C$13,2,0),""))</f>
        <v/>
      </c>
    </row>
    <row r="3175">
      <c r="T3175" s="47">
        <f>IF(R3175="","",IFERROR(TODAY()+VLOOKUP(R3175,REGRAS!$B$2:$C$13,2,0),""))</f>
        <v/>
      </c>
    </row>
    <row r="3176">
      <c r="T3176" s="47">
        <f>IF(R3176="","",IFERROR(TODAY()+VLOOKUP(R3176,REGRAS!$B$2:$C$13,2,0),""))</f>
        <v/>
      </c>
    </row>
    <row r="3177">
      <c r="T3177" s="47">
        <f>IF(R3177="","",IFERROR(TODAY()+VLOOKUP(R3177,REGRAS!$B$2:$C$13,2,0),""))</f>
        <v/>
      </c>
    </row>
    <row r="3178">
      <c r="T3178" s="47">
        <f>IF(R3178="","",IFERROR(TODAY()+VLOOKUP(R3178,REGRAS!$B$2:$C$13,2,0),""))</f>
        <v/>
      </c>
    </row>
    <row r="3179">
      <c r="T3179" s="47">
        <f>IF(R3179="","",IFERROR(TODAY()+VLOOKUP(R3179,REGRAS!$B$2:$C$13,2,0),""))</f>
        <v/>
      </c>
    </row>
    <row r="3180">
      <c r="T3180" s="47">
        <f>IF(R3180="","",IFERROR(TODAY()+VLOOKUP(R3180,REGRAS!$B$2:$C$13,2,0),""))</f>
        <v/>
      </c>
    </row>
    <row r="3181">
      <c r="T3181" s="47">
        <f>IF(R3181="","",IFERROR(TODAY()+VLOOKUP(R3181,REGRAS!$B$2:$C$13,2,0),""))</f>
        <v/>
      </c>
    </row>
    <row r="3182">
      <c r="T3182" s="47">
        <f>IF(R3182="","",IFERROR(TODAY()+VLOOKUP(R3182,REGRAS!$B$2:$C$13,2,0),""))</f>
        <v/>
      </c>
    </row>
    <row r="3183">
      <c r="T3183" s="47">
        <f>IF(R3183="","",IFERROR(TODAY()+VLOOKUP(R3183,REGRAS!$B$2:$C$13,2,0),""))</f>
        <v/>
      </c>
    </row>
    <row r="3184">
      <c r="T3184" s="47">
        <f>IF(R3184="","",IFERROR(TODAY()+VLOOKUP(R3184,REGRAS!$B$2:$C$13,2,0),""))</f>
        <v/>
      </c>
    </row>
    <row r="3185">
      <c r="T3185" s="47">
        <f>IF(R3185="","",IFERROR(TODAY()+VLOOKUP(R3185,REGRAS!$B$2:$C$13,2,0),""))</f>
        <v/>
      </c>
    </row>
    <row r="3186">
      <c r="T3186" s="47">
        <f>IF(R3186="","",IFERROR(TODAY()+VLOOKUP(R3186,REGRAS!$B$2:$C$13,2,0),""))</f>
        <v/>
      </c>
    </row>
    <row r="3187">
      <c r="T3187" s="47">
        <f>IF(R3187="","",IFERROR(TODAY()+VLOOKUP(R3187,REGRAS!$B$2:$C$13,2,0),""))</f>
        <v/>
      </c>
    </row>
    <row r="3188">
      <c r="T3188" s="47">
        <f>IF(R3188="","",IFERROR(TODAY()+VLOOKUP(R3188,REGRAS!$B$2:$C$13,2,0),""))</f>
        <v/>
      </c>
    </row>
    <row r="3189">
      <c r="T3189" s="47">
        <f>IF(R3189="","",IFERROR(TODAY()+VLOOKUP(R3189,REGRAS!$B$2:$C$13,2,0),""))</f>
        <v/>
      </c>
    </row>
    <row r="3190">
      <c r="T3190" s="47">
        <f>IF(R3190="","",IFERROR(TODAY()+VLOOKUP(R3190,REGRAS!$B$2:$C$13,2,0),""))</f>
        <v/>
      </c>
    </row>
    <row r="3191">
      <c r="T3191" s="47">
        <f>IF(R3191="","",IFERROR(TODAY()+VLOOKUP(R3191,REGRAS!$B$2:$C$13,2,0),""))</f>
        <v/>
      </c>
    </row>
    <row r="3192">
      <c r="T3192" s="47">
        <f>IF(R3192="","",IFERROR(TODAY()+VLOOKUP(R3192,REGRAS!$B$2:$C$13,2,0),""))</f>
        <v/>
      </c>
    </row>
    <row r="3193">
      <c r="T3193" s="47">
        <f>IF(R3193="","",IFERROR(TODAY()+VLOOKUP(R3193,REGRAS!$B$2:$C$13,2,0),""))</f>
        <v/>
      </c>
    </row>
    <row r="3194">
      <c r="T3194" s="47">
        <f>IF(R3194="","",IFERROR(TODAY()+VLOOKUP(R3194,REGRAS!$B$2:$C$13,2,0),""))</f>
        <v/>
      </c>
    </row>
    <row r="3195">
      <c r="T3195" s="47">
        <f>IF(R3195="","",IFERROR(TODAY()+VLOOKUP(R3195,REGRAS!$B$2:$C$13,2,0),""))</f>
        <v/>
      </c>
    </row>
    <row r="3196">
      <c r="T3196" s="47">
        <f>IF(R3196="","",IFERROR(TODAY()+VLOOKUP(R3196,REGRAS!$B$2:$C$13,2,0),""))</f>
        <v/>
      </c>
    </row>
    <row r="3197">
      <c r="T3197" s="47">
        <f>IF(R3197="","",IFERROR(TODAY()+VLOOKUP(R3197,REGRAS!$B$2:$C$13,2,0),""))</f>
        <v/>
      </c>
    </row>
    <row r="3198">
      <c r="T3198" s="47">
        <f>IF(R3198="","",IFERROR(TODAY()+VLOOKUP(R3198,REGRAS!$B$2:$C$13,2,0),""))</f>
        <v/>
      </c>
    </row>
    <row r="3199">
      <c r="T3199" s="47">
        <f>IF(R3199="","",IFERROR(TODAY()+VLOOKUP(R3199,REGRAS!$B$2:$C$13,2,0),""))</f>
        <v/>
      </c>
    </row>
    <row r="3200">
      <c r="T3200" s="47">
        <f>IF(R3200="","",IFERROR(TODAY()+VLOOKUP(R3200,REGRAS!$B$2:$C$13,2,0),""))</f>
        <v/>
      </c>
    </row>
    <row r="3201">
      <c r="T3201" s="47">
        <f>IF(R3201="","",IFERROR(TODAY()+VLOOKUP(R3201,REGRAS!$B$2:$C$13,2,0),""))</f>
        <v/>
      </c>
    </row>
    <row r="3202">
      <c r="T3202" s="47">
        <f>IF(R3202="","",IFERROR(TODAY()+VLOOKUP(R3202,REGRAS!$B$2:$C$13,2,0),""))</f>
        <v/>
      </c>
    </row>
    <row r="3203">
      <c r="T3203" s="47">
        <f>IF(R3203="","",IFERROR(TODAY()+VLOOKUP(R3203,REGRAS!$B$2:$C$13,2,0),""))</f>
        <v/>
      </c>
    </row>
    <row r="3204">
      <c r="T3204" s="47">
        <f>IF(R3204="","",IFERROR(TODAY()+VLOOKUP(R3204,REGRAS!$B$2:$C$13,2,0),""))</f>
        <v/>
      </c>
    </row>
    <row r="3205">
      <c r="T3205" s="47">
        <f>IF(R3205="","",IFERROR(TODAY()+VLOOKUP(R3205,REGRAS!$B$2:$C$13,2,0),""))</f>
        <v/>
      </c>
    </row>
    <row r="3206">
      <c r="T3206" s="47">
        <f>IF(R3206="","",IFERROR(TODAY()+VLOOKUP(R3206,REGRAS!$B$2:$C$13,2,0),""))</f>
        <v/>
      </c>
    </row>
    <row r="3207">
      <c r="T3207" s="47">
        <f>IF(R3207="","",IFERROR(TODAY()+VLOOKUP(R3207,REGRAS!$B$2:$C$13,2,0),""))</f>
        <v/>
      </c>
    </row>
    <row r="3208">
      <c r="T3208" s="47">
        <f>IF(R3208="","",IFERROR(TODAY()+VLOOKUP(R3208,REGRAS!$B$2:$C$13,2,0),""))</f>
        <v/>
      </c>
    </row>
    <row r="3209">
      <c r="T3209" s="47">
        <f>IF(R3209="","",IFERROR(TODAY()+VLOOKUP(R3209,REGRAS!$B$2:$C$13,2,0),""))</f>
        <v/>
      </c>
    </row>
    <row r="3210">
      <c r="T3210" s="47">
        <f>IF(R3210="","",IFERROR(TODAY()+VLOOKUP(R3210,REGRAS!$B$2:$C$13,2,0),""))</f>
        <v/>
      </c>
    </row>
    <row r="3211">
      <c r="T3211" s="47">
        <f>IF(R3211="","",IFERROR(TODAY()+VLOOKUP(R3211,REGRAS!$B$2:$C$13,2,0),""))</f>
        <v/>
      </c>
    </row>
    <row r="3212">
      <c r="T3212" s="47">
        <f>IF(R3212="","",IFERROR(TODAY()+VLOOKUP(R3212,REGRAS!$B$2:$C$13,2,0),""))</f>
        <v/>
      </c>
    </row>
    <row r="3213">
      <c r="T3213" s="47">
        <f>IF(R3213="","",IFERROR(TODAY()+VLOOKUP(R3213,REGRAS!$B$2:$C$13,2,0),""))</f>
        <v/>
      </c>
    </row>
    <row r="3214">
      <c r="T3214" s="47">
        <f>IF(R3214="","",IFERROR(TODAY()+VLOOKUP(R3214,REGRAS!$B$2:$C$13,2,0),""))</f>
        <v/>
      </c>
    </row>
    <row r="3215">
      <c r="T3215" s="47">
        <f>IF(R3215="","",IFERROR(TODAY()+VLOOKUP(R3215,REGRAS!$B$2:$C$13,2,0),""))</f>
        <v/>
      </c>
    </row>
    <row r="3216">
      <c r="T3216" s="47">
        <f>IF(R3216="","",IFERROR(TODAY()+VLOOKUP(R3216,REGRAS!$B$2:$C$13,2,0),""))</f>
        <v/>
      </c>
    </row>
    <row r="3217">
      <c r="T3217" s="47">
        <f>IF(R3217="","",IFERROR(TODAY()+VLOOKUP(R3217,REGRAS!$B$2:$C$13,2,0),""))</f>
        <v/>
      </c>
    </row>
    <row r="3218">
      <c r="T3218" s="47">
        <f>IF(R3218="","",IFERROR(TODAY()+VLOOKUP(R3218,REGRAS!$B$2:$C$13,2,0),""))</f>
        <v/>
      </c>
    </row>
    <row r="3219">
      <c r="T3219" s="47">
        <f>IF(R3219="","",IFERROR(TODAY()+VLOOKUP(R3219,REGRAS!$B$2:$C$13,2,0),""))</f>
        <v/>
      </c>
    </row>
    <row r="3220">
      <c r="T3220" s="47">
        <f>IF(R3220="","",IFERROR(TODAY()+VLOOKUP(R3220,REGRAS!$B$2:$C$13,2,0),""))</f>
        <v/>
      </c>
    </row>
    <row r="3221">
      <c r="T3221" s="47">
        <f>IF(R3221="","",IFERROR(TODAY()+VLOOKUP(R3221,REGRAS!$B$2:$C$13,2,0),""))</f>
        <v/>
      </c>
    </row>
    <row r="3222">
      <c r="T3222" s="47">
        <f>IF(R3222="","",IFERROR(TODAY()+VLOOKUP(R3222,REGRAS!$B$2:$C$13,2,0),""))</f>
        <v/>
      </c>
    </row>
    <row r="3223">
      <c r="T3223" s="47">
        <f>IF(R3223="","",IFERROR(TODAY()+VLOOKUP(R3223,REGRAS!$B$2:$C$13,2,0),""))</f>
        <v/>
      </c>
    </row>
    <row r="3224">
      <c r="T3224" s="47">
        <f>IF(R3224="","",IFERROR(TODAY()+VLOOKUP(R3224,REGRAS!$B$2:$C$13,2,0),""))</f>
        <v/>
      </c>
    </row>
    <row r="3225">
      <c r="T3225" s="47">
        <f>IF(R3225="","",IFERROR(TODAY()+VLOOKUP(R3225,REGRAS!$B$2:$C$13,2,0),""))</f>
        <v/>
      </c>
    </row>
    <row r="3226">
      <c r="T3226" s="47">
        <f>IF(R3226="","",IFERROR(TODAY()+VLOOKUP(R3226,REGRAS!$B$2:$C$13,2,0),""))</f>
        <v/>
      </c>
    </row>
    <row r="3227">
      <c r="T3227" s="47">
        <f>IF(R3227="","",IFERROR(TODAY()+VLOOKUP(R3227,REGRAS!$B$2:$C$13,2,0),""))</f>
        <v/>
      </c>
    </row>
    <row r="3228">
      <c r="T3228" s="47">
        <f>IF(R3228="","",IFERROR(TODAY()+VLOOKUP(R3228,REGRAS!$B$2:$C$13,2,0),""))</f>
        <v/>
      </c>
    </row>
    <row r="3229">
      <c r="T3229" s="47">
        <f>IF(R3229="","",IFERROR(TODAY()+VLOOKUP(R3229,REGRAS!$B$2:$C$13,2,0),""))</f>
        <v/>
      </c>
    </row>
    <row r="3230">
      <c r="T3230" s="47">
        <f>IF(R3230="","",IFERROR(TODAY()+VLOOKUP(R3230,REGRAS!$B$2:$C$13,2,0),""))</f>
        <v/>
      </c>
    </row>
    <row r="3231">
      <c r="T3231" s="47">
        <f>IF(R3231="","",IFERROR(TODAY()+VLOOKUP(R3231,REGRAS!$B$2:$C$13,2,0),""))</f>
        <v/>
      </c>
    </row>
    <row r="3232">
      <c r="T3232" s="47">
        <f>IF(R3232="","",IFERROR(TODAY()+VLOOKUP(R3232,REGRAS!$B$2:$C$13,2,0),""))</f>
        <v/>
      </c>
    </row>
    <row r="3233">
      <c r="T3233" s="47">
        <f>IF(R3233="","",IFERROR(TODAY()+VLOOKUP(R3233,REGRAS!$B$2:$C$13,2,0),""))</f>
        <v/>
      </c>
    </row>
    <row r="3234">
      <c r="T3234" s="47">
        <f>IF(R3234="","",IFERROR(TODAY()+VLOOKUP(R3234,REGRAS!$B$2:$C$13,2,0),""))</f>
        <v/>
      </c>
    </row>
    <row r="3235">
      <c r="T3235" s="47">
        <f>IF(R3235="","",IFERROR(TODAY()+VLOOKUP(R3235,REGRAS!$B$2:$C$13,2,0),""))</f>
        <v/>
      </c>
    </row>
    <row r="3236">
      <c r="T3236" s="47">
        <f>IF(R3236="","",IFERROR(TODAY()+VLOOKUP(R3236,REGRAS!$B$2:$C$13,2,0),""))</f>
        <v/>
      </c>
    </row>
    <row r="3237">
      <c r="T3237" s="47">
        <f>IF(R3237="","",IFERROR(TODAY()+VLOOKUP(R3237,REGRAS!$B$2:$C$13,2,0),""))</f>
        <v/>
      </c>
    </row>
    <row r="3238">
      <c r="T3238" s="47">
        <f>IF(R3238="","",IFERROR(TODAY()+VLOOKUP(R3238,REGRAS!$B$2:$C$13,2,0),""))</f>
        <v/>
      </c>
    </row>
    <row r="3239">
      <c r="T3239" s="47">
        <f>IF(R3239="","",IFERROR(TODAY()+VLOOKUP(R3239,REGRAS!$B$2:$C$13,2,0),""))</f>
        <v/>
      </c>
    </row>
    <row r="3240">
      <c r="T3240" s="47">
        <f>IF(R3240="","",IFERROR(TODAY()+VLOOKUP(R3240,REGRAS!$B$2:$C$13,2,0),""))</f>
        <v/>
      </c>
    </row>
    <row r="3241">
      <c r="T3241" s="47">
        <f>IF(R3241="","",IFERROR(TODAY()+VLOOKUP(R3241,REGRAS!$B$2:$C$13,2,0),""))</f>
        <v/>
      </c>
    </row>
    <row r="3242">
      <c r="T3242" s="47">
        <f>IF(R3242="","",IFERROR(TODAY()+VLOOKUP(R3242,REGRAS!$B$2:$C$13,2,0),""))</f>
        <v/>
      </c>
    </row>
    <row r="3243">
      <c r="T3243" s="47">
        <f>IF(R3243="","",IFERROR(TODAY()+VLOOKUP(R3243,REGRAS!$B$2:$C$13,2,0),""))</f>
        <v/>
      </c>
    </row>
    <row r="3244">
      <c r="T3244" s="47">
        <f>IF(R3244="","",IFERROR(TODAY()+VLOOKUP(R3244,REGRAS!$B$2:$C$13,2,0),""))</f>
        <v/>
      </c>
    </row>
    <row r="3245">
      <c r="T3245" s="47">
        <f>IF(R3245="","",IFERROR(TODAY()+VLOOKUP(R3245,REGRAS!$B$2:$C$13,2,0),""))</f>
        <v/>
      </c>
    </row>
    <row r="3246">
      <c r="T3246" s="47">
        <f>IF(R3246="","",IFERROR(TODAY()+VLOOKUP(R3246,REGRAS!$B$2:$C$13,2,0),""))</f>
        <v/>
      </c>
    </row>
    <row r="3247">
      <c r="T3247" s="47">
        <f>IF(R3247="","",IFERROR(TODAY()+VLOOKUP(R3247,REGRAS!$B$2:$C$13,2,0),""))</f>
        <v/>
      </c>
    </row>
    <row r="3248">
      <c r="T3248" s="47">
        <f>IF(R3248="","",IFERROR(TODAY()+VLOOKUP(R3248,REGRAS!$B$2:$C$13,2,0),""))</f>
        <v/>
      </c>
    </row>
    <row r="3249">
      <c r="T3249" s="47">
        <f>IF(R3249="","",IFERROR(TODAY()+VLOOKUP(R3249,REGRAS!$B$2:$C$13,2,0),""))</f>
        <v/>
      </c>
    </row>
    <row r="3250">
      <c r="T3250" s="47">
        <f>IF(R3250="","",IFERROR(TODAY()+VLOOKUP(R3250,REGRAS!$B$2:$C$13,2,0),""))</f>
        <v/>
      </c>
    </row>
    <row r="3251">
      <c r="T3251" s="47">
        <f>IF(R3251="","",IFERROR(TODAY()+VLOOKUP(R3251,REGRAS!$B$2:$C$13,2,0),""))</f>
        <v/>
      </c>
    </row>
    <row r="3252">
      <c r="T3252" s="47">
        <f>IF(R3252="","",IFERROR(TODAY()+VLOOKUP(R3252,REGRAS!$B$2:$C$13,2,0),""))</f>
        <v/>
      </c>
    </row>
    <row r="3253">
      <c r="T3253" s="47">
        <f>IF(R3253="","",IFERROR(TODAY()+VLOOKUP(R3253,REGRAS!$B$2:$C$13,2,0),""))</f>
        <v/>
      </c>
    </row>
    <row r="3254">
      <c r="T3254" s="47">
        <f>IF(R3254="","",IFERROR(TODAY()+VLOOKUP(R3254,REGRAS!$B$2:$C$13,2,0),""))</f>
        <v/>
      </c>
    </row>
    <row r="3255">
      <c r="T3255" s="47">
        <f>IF(R3255="","",IFERROR(TODAY()+VLOOKUP(R3255,REGRAS!$B$2:$C$13,2,0),""))</f>
        <v/>
      </c>
    </row>
    <row r="3256">
      <c r="T3256" s="47">
        <f>IF(R3256="","",IFERROR(TODAY()+VLOOKUP(R3256,REGRAS!$B$2:$C$13,2,0),""))</f>
        <v/>
      </c>
    </row>
    <row r="3257">
      <c r="T3257" s="47">
        <f>IF(R3257="","",IFERROR(TODAY()+VLOOKUP(R3257,REGRAS!$B$2:$C$13,2,0),""))</f>
        <v/>
      </c>
    </row>
    <row r="3258">
      <c r="T3258" s="47">
        <f>IF(R3258="","",IFERROR(TODAY()+VLOOKUP(R3258,REGRAS!$B$2:$C$13,2,0),""))</f>
        <v/>
      </c>
    </row>
    <row r="3259">
      <c r="T3259" s="47">
        <f>IF(R3259="","",IFERROR(TODAY()+VLOOKUP(R3259,REGRAS!$B$2:$C$13,2,0),""))</f>
        <v/>
      </c>
    </row>
    <row r="3260">
      <c r="T3260" s="47">
        <f>IF(R3260="","",IFERROR(TODAY()+VLOOKUP(R3260,REGRAS!$B$2:$C$13,2,0),""))</f>
        <v/>
      </c>
    </row>
    <row r="3261">
      <c r="T3261" s="47">
        <f>IF(R3261="","",IFERROR(TODAY()+VLOOKUP(R3261,REGRAS!$B$2:$C$13,2,0),""))</f>
        <v/>
      </c>
    </row>
    <row r="3262">
      <c r="T3262" s="47">
        <f>IF(R3262="","",IFERROR(TODAY()+VLOOKUP(R3262,REGRAS!$B$2:$C$13,2,0),""))</f>
        <v/>
      </c>
    </row>
    <row r="3263">
      <c r="T3263" s="47">
        <f>IF(R3263="","",IFERROR(TODAY()+VLOOKUP(R3263,REGRAS!$B$2:$C$13,2,0),""))</f>
        <v/>
      </c>
    </row>
    <row r="3264">
      <c r="T3264" s="47">
        <f>IF(R3264="","",IFERROR(TODAY()+VLOOKUP(R3264,REGRAS!$B$2:$C$13,2,0),""))</f>
        <v/>
      </c>
    </row>
    <row r="3265">
      <c r="T3265" s="47">
        <f>IF(R3265="","",IFERROR(TODAY()+VLOOKUP(R3265,REGRAS!$B$2:$C$13,2,0),""))</f>
        <v/>
      </c>
    </row>
    <row r="3266">
      <c r="T3266" s="47">
        <f>IF(R3266="","",IFERROR(TODAY()+VLOOKUP(R3266,REGRAS!$B$2:$C$13,2,0),""))</f>
        <v/>
      </c>
    </row>
    <row r="3267">
      <c r="T3267" s="47">
        <f>IF(R3267="","",IFERROR(TODAY()+VLOOKUP(R3267,REGRAS!$B$2:$C$13,2,0),""))</f>
        <v/>
      </c>
    </row>
    <row r="3268">
      <c r="T3268" s="47">
        <f>IF(R3268="","",IFERROR(TODAY()+VLOOKUP(R3268,REGRAS!$B$2:$C$13,2,0),""))</f>
        <v/>
      </c>
    </row>
    <row r="3269">
      <c r="T3269" s="47">
        <f>IF(R3269="","",IFERROR(TODAY()+VLOOKUP(R3269,REGRAS!$B$2:$C$13,2,0),""))</f>
        <v/>
      </c>
    </row>
    <row r="3270">
      <c r="T3270" s="47">
        <f>IF(R3270="","",IFERROR(TODAY()+VLOOKUP(R3270,REGRAS!$B$2:$C$13,2,0),""))</f>
        <v/>
      </c>
    </row>
    <row r="3271">
      <c r="T3271" s="47">
        <f>IF(R3271="","",IFERROR(TODAY()+VLOOKUP(R3271,REGRAS!$B$2:$C$13,2,0),""))</f>
        <v/>
      </c>
    </row>
    <row r="3272">
      <c r="T3272" s="47">
        <f>IF(R3272="","",IFERROR(TODAY()+VLOOKUP(R3272,REGRAS!$B$2:$C$13,2,0),""))</f>
        <v/>
      </c>
    </row>
    <row r="3273">
      <c r="T3273" s="47">
        <f>IF(R3273="","",IFERROR(TODAY()+VLOOKUP(R3273,REGRAS!$B$2:$C$13,2,0),""))</f>
        <v/>
      </c>
    </row>
    <row r="3274">
      <c r="T3274" s="47">
        <f>IF(R3274="","",IFERROR(TODAY()+VLOOKUP(R3274,REGRAS!$B$2:$C$13,2,0),""))</f>
        <v/>
      </c>
    </row>
    <row r="3275">
      <c r="T3275" s="47">
        <f>IF(R3275="","",IFERROR(TODAY()+VLOOKUP(R3275,REGRAS!$B$2:$C$13,2,0),""))</f>
        <v/>
      </c>
    </row>
    <row r="3276">
      <c r="T3276" s="47">
        <f>IF(R3276="","",IFERROR(TODAY()+VLOOKUP(R3276,REGRAS!$B$2:$C$13,2,0),""))</f>
        <v/>
      </c>
    </row>
    <row r="3277">
      <c r="T3277" s="47">
        <f>IF(R3277="","",IFERROR(TODAY()+VLOOKUP(R3277,REGRAS!$B$2:$C$13,2,0),""))</f>
        <v/>
      </c>
    </row>
    <row r="3278">
      <c r="T3278" s="47">
        <f>IF(R3278="","",IFERROR(TODAY()+VLOOKUP(R3278,REGRAS!$B$2:$C$13,2,0),""))</f>
        <v/>
      </c>
    </row>
    <row r="3279">
      <c r="T3279" s="47">
        <f>IF(R3279="","",IFERROR(TODAY()+VLOOKUP(R3279,REGRAS!$B$2:$C$13,2,0),""))</f>
        <v/>
      </c>
    </row>
    <row r="3280">
      <c r="T3280" s="47">
        <f>IF(R3280="","",IFERROR(TODAY()+VLOOKUP(R3280,REGRAS!$B$2:$C$13,2,0),""))</f>
        <v/>
      </c>
    </row>
    <row r="3281">
      <c r="T3281" s="47">
        <f>IF(R3281="","",IFERROR(TODAY()+VLOOKUP(R3281,REGRAS!$B$2:$C$13,2,0),""))</f>
        <v/>
      </c>
    </row>
    <row r="3282">
      <c r="T3282" s="47">
        <f>IF(R3282="","",IFERROR(TODAY()+VLOOKUP(R3282,REGRAS!$B$2:$C$13,2,0),""))</f>
        <v/>
      </c>
    </row>
    <row r="3283">
      <c r="T3283" s="47">
        <f>IF(R3283="","",IFERROR(TODAY()+VLOOKUP(R3283,REGRAS!$B$2:$C$13,2,0),""))</f>
        <v/>
      </c>
    </row>
    <row r="3284">
      <c r="T3284" s="47">
        <f>IF(R3284="","",IFERROR(TODAY()+VLOOKUP(R3284,REGRAS!$B$2:$C$13,2,0),""))</f>
        <v/>
      </c>
    </row>
    <row r="3285">
      <c r="T3285" s="47">
        <f>IF(R3285="","",IFERROR(TODAY()+VLOOKUP(R3285,REGRAS!$B$2:$C$13,2,0),""))</f>
        <v/>
      </c>
    </row>
    <row r="3286">
      <c r="T3286" s="47">
        <f>IF(R3286="","",IFERROR(TODAY()+VLOOKUP(R3286,REGRAS!$B$2:$C$13,2,0),""))</f>
        <v/>
      </c>
    </row>
    <row r="3287">
      <c r="T3287" s="47">
        <f>IF(R3287="","",IFERROR(TODAY()+VLOOKUP(R3287,REGRAS!$B$2:$C$13,2,0),""))</f>
        <v/>
      </c>
    </row>
    <row r="3288">
      <c r="T3288" s="47">
        <f>IF(R3288="","",IFERROR(TODAY()+VLOOKUP(R3288,REGRAS!$B$2:$C$13,2,0),""))</f>
        <v/>
      </c>
    </row>
    <row r="3289">
      <c r="T3289" s="47">
        <f>IF(R3289="","",IFERROR(TODAY()+VLOOKUP(R3289,REGRAS!$B$2:$C$13,2,0),""))</f>
        <v/>
      </c>
    </row>
    <row r="3290">
      <c r="T3290" s="47">
        <f>IF(R3290="","",IFERROR(TODAY()+VLOOKUP(R3290,REGRAS!$B$2:$C$13,2,0),""))</f>
        <v/>
      </c>
    </row>
    <row r="3291">
      <c r="T3291" s="47">
        <f>IF(R3291="","",IFERROR(TODAY()+VLOOKUP(R3291,REGRAS!$B$2:$C$13,2,0),""))</f>
        <v/>
      </c>
    </row>
    <row r="3292">
      <c r="T3292" s="47">
        <f>IF(R3292="","",IFERROR(TODAY()+VLOOKUP(R3292,REGRAS!$B$2:$C$13,2,0),""))</f>
        <v/>
      </c>
    </row>
    <row r="3293">
      <c r="T3293" s="47">
        <f>IF(R3293="","",IFERROR(TODAY()+VLOOKUP(R3293,REGRAS!$B$2:$C$13,2,0),""))</f>
        <v/>
      </c>
    </row>
    <row r="3294">
      <c r="T3294" s="47">
        <f>IF(R3294="","",IFERROR(TODAY()+VLOOKUP(R3294,REGRAS!$B$2:$C$13,2,0),""))</f>
        <v/>
      </c>
    </row>
    <row r="3295">
      <c r="T3295" s="47">
        <f>IF(R3295="","",IFERROR(TODAY()+VLOOKUP(R3295,REGRAS!$B$2:$C$13,2,0),""))</f>
        <v/>
      </c>
    </row>
    <row r="3296">
      <c r="T3296" s="47">
        <f>IF(R3296="","",IFERROR(TODAY()+VLOOKUP(R3296,REGRAS!$B$2:$C$13,2,0),""))</f>
        <v/>
      </c>
    </row>
    <row r="3297">
      <c r="T3297" s="47">
        <f>IF(R3297="","",IFERROR(TODAY()+VLOOKUP(R3297,REGRAS!$B$2:$C$13,2,0),""))</f>
        <v/>
      </c>
    </row>
    <row r="3298">
      <c r="T3298" s="47">
        <f>IF(R3298="","",IFERROR(TODAY()+VLOOKUP(R3298,REGRAS!$B$2:$C$13,2,0),""))</f>
        <v/>
      </c>
    </row>
    <row r="3299">
      <c r="T3299" s="47">
        <f>IF(R3299="","",IFERROR(TODAY()+VLOOKUP(R3299,REGRAS!$B$2:$C$13,2,0),""))</f>
        <v/>
      </c>
    </row>
    <row r="3300">
      <c r="T3300" s="47">
        <f>IF(R3300="","",IFERROR(TODAY()+VLOOKUP(R3300,REGRAS!$B$2:$C$13,2,0),""))</f>
        <v/>
      </c>
    </row>
    <row r="3301">
      <c r="T3301" s="47">
        <f>IF(R3301="","",IFERROR(TODAY()+VLOOKUP(R3301,REGRAS!$B$2:$C$13,2,0),""))</f>
        <v/>
      </c>
    </row>
    <row r="3302">
      <c r="T3302" s="47">
        <f>IF(R3302="","",IFERROR(TODAY()+VLOOKUP(R3302,REGRAS!$B$2:$C$13,2,0),""))</f>
        <v/>
      </c>
    </row>
    <row r="3303">
      <c r="T3303" s="47">
        <f>IF(R3303="","",IFERROR(TODAY()+VLOOKUP(R3303,REGRAS!$B$2:$C$13,2,0),""))</f>
        <v/>
      </c>
    </row>
    <row r="3304">
      <c r="T3304" s="47">
        <f>IF(R3304="","",IFERROR(TODAY()+VLOOKUP(R3304,REGRAS!$B$2:$C$13,2,0),""))</f>
        <v/>
      </c>
    </row>
    <row r="3305">
      <c r="T3305" s="47">
        <f>IF(R3305="","",IFERROR(TODAY()+VLOOKUP(R3305,REGRAS!$B$2:$C$13,2,0),""))</f>
        <v/>
      </c>
    </row>
    <row r="3306">
      <c r="T3306" s="47">
        <f>IF(R3306="","",IFERROR(TODAY()+VLOOKUP(R3306,REGRAS!$B$2:$C$13,2,0),""))</f>
        <v/>
      </c>
    </row>
    <row r="3307">
      <c r="T3307" s="47">
        <f>IF(R3307="","",IFERROR(TODAY()+VLOOKUP(R3307,REGRAS!$B$2:$C$13,2,0),""))</f>
        <v/>
      </c>
    </row>
    <row r="3308">
      <c r="T3308" s="47">
        <f>IF(R3308="","",IFERROR(TODAY()+VLOOKUP(R3308,REGRAS!$B$2:$C$13,2,0),""))</f>
        <v/>
      </c>
    </row>
    <row r="3309">
      <c r="T3309" s="47">
        <f>IF(R3309="","",IFERROR(TODAY()+VLOOKUP(R3309,REGRAS!$B$2:$C$13,2,0),""))</f>
        <v/>
      </c>
    </row>
    <row r="3310">
      <c r="T3310" s="47">
        <f>IF(R3310="","",IFERROR(TODAY()+VLOOKUP(R3310,REGRAS!$B$2:$C$13,2,0),""))</f>
        <v/>
      </c>
    </row>
    <row r="3311">
      <c r="T3311" s="47">
        <f>IF(R3311="","",IFERROR(TODAY()+VLOOKUP(R3311,REGRAS!$B$2:$C$13,2,0),""))</f>
        <v/>
      </c>
    </row>
    <row r="3312">
      <c r="T3312" s="47">
        <f>IF(R3312="","",IFERROR(TODAY()+VLOOKUP(R3312,REGRAS!$B$2:$C$13,2,0),""))</f>
        <v/>
      </c>
    </row>
    <row r="3313">
      <c r="T3313" s="47">
        <f>IF(R3313="","",IFERROR(TODAY()+VLOOKUP(R3313,REGRAS!$B$2:$C$13,2,0),""))</f>
        <v/>
      </c>
    </row>
    <row r="3314">
      <c r="T3314" s="47">
        <f>IF(R3314="","",IFERROR(TODAY()+VLOOKUP(R3314,REGRAS!$B$2:$C$13,2,0),""))</f>
        <v/>
      </c>
    </row>
    <row r="3315">
      <c r="T3315" s="47">
        <f>IF(R3315="","",IFERROR(TODAY()+VLOOKUP(R3315,REGRAS!$B$2:$C$13,2,0),""))</f>
        <v/>
      </c>
    </row>
    <row r="3316">
      <c r="T3316" s="47">
        <f>IF(R3316="","",IFERROR(TODAY()+VLOOKUP(R3316,REGRAS!$B$2:$C$13,2,0),""))</f>
        <v/>
      </c>
    </row>
    <row r="3317">
      <c r="T3317" s="47">
        <f>IF(R3317="","",IFERROR(TODAY()+VLOOKUP(R3317,REGRAS!$B$2:$C$13,2,0),""))</f>
        <v/>
      </c>
    </row>
    <row r="3318">
      <c r="T3318" s="47">
        <f>IF(R3318="","",IFERROR(TODAY()+VLOOKUP(R3318,REGRAS!$B$2:$C$13,2,0),""))</f>
        <v/>
      </c>
    </row>
    <row r="3319">
      <c r="T3319" s="47">
        <f>IF(R3319="","",IFERROR(TODAY()+VLOOKUP(R3319,REGRAS!$B$2:$C$13,2,0),""))</f>
        <v/>
      </c>
    </row>
    <row r="3320">
      <c r="T3320" s="47">
        <f>IF(R3320="","",IFERROR(TODAY()+VLOOKUP(R3320,REGRAS!$B$2:$C$13,2,0),""))</f>
        <v/>
      </c>
    </row>
    <row r="3321">
      <c r="T3321" s="47">
        <f>IF(R3321="","",IFERROR(TODAY()+VLOOKUP(R3321,REGRAS!$B$2:$C$13,2,0),""))</f>
        <v/>
      </c>
    </row>
    <row r="3322">
      <c r="T3322" s="47">
        <f>IF(R3322="","",IFERROR(TODAY()+VLOOKUP(R3322,REGRAS!$B$2:$C$13,2,0),""))</f>
        <v/>
      </c>
    </row>
    <row r="3323">
      <c r="T3323" s="47">
        <f>IF(R3323="","",IFERROR(TODAY()+VLOOKUP(R3323,REGRAS!$B$2:$C$13,2,0),""))</f>
        <v/>
      </c>
    </row>
    <row r="3324">
      <c r="T3324" s="47">
        <f>IF(R3324="","",IFERROR(TODAY()+VLOOKUP(R3324,REGRAS!$B$2:$C$13,2,0),""))</f>
        <v/>
      </c>
    </row>
    <row r="3325">
      <c r="T3325" s="47">
        <f>IF(R3325="","",IFERROR(TODAY()+VLOOKUP(R3325,REGRAS!$B$2:$C$13,2,0),""))</f>
        <v/>
      </c>
    </row>
    <row r="3326">
      <c r="T3326" s="47">
        <f>IF(R3326="","",IFERROR(TODAY()+VLOOKUP(R3326,REGRAS!$B$2:$C$13,2,0),""))</f>
        <v/>
      </c>
    </row>
    <row r="3327">
      <c r="T3327" s="47">
        <f>IF(R3327="","",IFERROR(TODAY()+VLOOKUP(R3327,REGRAS!$B$2:$C$13,2,0),""))</f>
        <v/>
      </c>
    </row>
    <row r="3328">
      <c r="T3328" s="47">
        <f>IF(R3328="","",IFERROR(TODAY()+VLOOKUP(R3328,REGRAS!$B$2:$C$13,2,0),""))</f>
        <v/>
      </c>
    </row>
    <row r="3329">
      <c r="T3329" s="47">
        <f>IF(R3329="","",IFERROR(TODAY()+VLOOKUP(R3329,REGRAS!$B$2:$C$13,2,0),""))</f>
        <v/>
      </c>
    </row>
    <row r="3330">
      <c r="T3330" s="47">
        <f>IF(R3330="","",IFERROR(TODAY()+VLOOKUP(R3330,REGRAS!$B$2:$C$13,2,0),""))</f>
        <v/>
      </c>
    </row>
    <row r="3331">
      <c r="T3331" s="47">
        <f>IF(R3331="","",IFERROR(TODAY()+VLOOKUP(R3331,REGRAS!$B$2:$C$13,2,0),""))</f>
        <v/>
      </c>
    </row>
    <row r="3332">
      <c r="T3332" s="47">
        <f>IF(R3332="","",IFERROR(TODAY()+VLOOKUP(R3332,REGRAS!$B$2:$C$13,2,0),""))</f>
        <v/>
      </c>
    </row>
    <row r="3333">
      <c r="T3333" s="47">
        <f>IF(R3333="","",IFERROR(TODAY()+VLOOKUP(R3333,REGRAS!$B$2:$C$13,2,0),""))</f>
        <v/>
      </c>
    </row>
    <row r="3334">
      <c r="T3334" s="47">
        <f>IF(R3334="","",IFERROR(TODAY()+VLOOKUP(R3334,REGRAS!$B$2:$C$13,2,0),""))</f>
        <v/>
      </c>
    </row>
    <row r="3335">
      <c r="T3335" s="47">
        <f>IF(R3335="","",IFERROR(TODAY()+VLOOKUP(R3335,REGRAS!$B$2:$C$13,2,0),""))</f>
        <v/>
      </c>
    </row>
    <row r="3336">
      <c r="T3336" s="47">
        <f>IF(R3336="","",IFERROR(TODAY()+VLOOKUP(R3336,REGRAS!$B$2:$C$13,2,0),""))</f>
        <v/>
      </c>
    </row>
    <row r="3337">
      <c r="T3337" s="47">
        <f>IF(R3337="","",IFERROR(TODAY()+VLOOKUP(R3337,REGRAS!$B$2:$C$13,2,0),""))</f>
        <v/>
      </c>
    </row>
    <row r="3338">
      <c r="T3338" s="47">
        <f>IF(R3338="","",IFERROR(TODAY()+VLOOKUP(R3338,REGRAS!$B$2:$C$13,2,0),""))</f>
        <v/>
      </c>
    </row>
    <row r="3339">
      <c r="T3339" s="47">
        <f>IF(R3339="","",IFERROR(TODAY()+VLOOKUP(R3339,REGRAS!$B$2:$C$13,2,0),""))</f>
        <v/>
      </c>
    </row>
    <row r="3340">
      <c r="T3340" s="47">
        <f>IF(R3340="","",IFERROR(TODAY()+VLOOKUP(R3340,REGRAS!$B$2:$C$13,2,0),""))</f>
        <v/>
      </c>
    </row>
    <row r="3341">
      <c r="T3341" s="47">
        <f>IF(R3341="","",IFERROR(TODAY()+VLOOKUP(R3341,REGRAS!$B$2:$C$13,2,0),""))</f>
        <v/>
      </c>
    </row>
    <row r="3342">
      <c r="T3342" s="47">
        <f>IF(R3342="","",IFERROR(TODAY()+VLOOKUP(R3342,REGRAS!$B$2:$C$13,2,0),""))</f>
        <v/>
      </c>
    </row>
    <row r="3343">
      <c r="T3343" s="47">
        <f>IF(R3343="","",IFERROR(TODAY()+VLOOKUP(R3343,REGRAS!$B$2:$C$13,2,0),""))</f>
        <v/>
      </c>
    </row>
    <row r="3344">
      <c r="T3344" s="47">
        <f>IF(R3344="","",IFERROR(TODAY()+VLOOKUP(R3344,REGRAS!$B$2:$C$13,2,0),""))</f>
        <v/>
      </c>
    </row>
    <row r="3345">
      <c r="T3345" s="47">
        <f>IF(R3345="","",IFERROR(TODAY()+VLOOKUP(R3345,REGRAS!$B$2:$C$13,2,0),""))</f>
        <v/>
      </c>
    </row>
    <row r="3346">
      <c r="T3346" s="47">
        <f>IF(R3346="","",IFERROR(TODAY()+VLOOKUP(R3346,REGRAS!$B$2:$C$13,2,0),""))</f>
        <v/>
      </c>
    </row>
    <row r="3347">
      <c r="T3347" s="47">
        <f>IF(R3347="","",IFERROR(TODAY()+VLOOKUP(R3347,REGRAS!$B$2:$C$13,2,0),""))</f>
        <v/>
      </c>
    </row>
    <row r="3348">
      <c r="T3348" s="47">
        <f>IF(R3348="","",IFERROR(TODAY()+VLOOKUP(R3348,REGRAS!$B$2:$C$13,2,0),""))</f>
        <v/>
      </c>
    </row>
    <row r="3349">
      <c r="T3349" s="47">
        <f>IF(R3349="","",IFERROR(TODAY()+VLOOKUP(R3349,REGRAS!$B$2:$C$13,2,0),""))</f>
        <v/>
      </c>
    </row>
    <row r="3350">
      <c r="T3350" s="47">
        <f>IF(R3350="","",IFERROR(TODAY()+VLOOKUP(R3350,REGRAS!$B$2:$C$13,2,0),""))</f>
        <v/>
      </c>
    </row>
    <row r="3351">
      <c r="T3351" s="47">
        <f>IF(R3351="","",IFERROR(TODAY()+VLOOKUP(R3351,REGRAS!$B$2:$C$13,2,0),""))</f>
        <v/>
      </c>
    </row>
    <row r="3352">
      <c r="T3352" s="47">
        <f>IF(R3352="","",IFERROR(TODAY()+VLOOKUP(R3352,REGRAS!$B$2:$C$13,2,0),""))</f>
        <v/>
      </c>
    </row>
    <row r="3353">
      <c r="T3353" s="47">
        <f>IF(R3353="","",IFERROR(TODAY()+VLOOKUP(R3353,REGRAS!$B$2:$C$13,2,0),""))</f>
        <v/>
      </c>
    </row>
    <row r="3354">
      <c r="T3354" s="47">
        <f>IF(R3354="","",IFERROR(TODAY()+VLOOKUP(R3354,REGRAS!$B$2:$C$13,2,0),""))</f>
        <v/>
      </c>
    </row>
    <row r="3355">
      <c r="T3355" s="47">
        <f>IF(R3355="","",IFERROR(TODAY()+VLOOKUP(R3355,REGRAS!$B$2:$C$13,2,0),""))</f>
        <v/>
      </c>
    </row>
    <row r="3356">
      <c r="T3356" s="47">
        <f>IF(R3356="","",IFERROR(TODAY()+VLOOKUP(R3356,REGRAS!$B$2:$C$13,2,0),""))</f>
        <v/>
      </c>
    </row>
    <row r="3357">
      <c r="T3357" s="47">
        <f>IF(R3357="","",IFERROR(TODAY()+VLOOKUP(R3357,REGRAS!$B$2:$C$13,2,0),""))</f>
        <v/>
      </c>
    </row>
    <row r="3358">
      <c r="T3358" s="47">
        <f>IF(R3358="","",IFERROR(TODAY()+VLOOKUP(R3358,REGRAS!$B$2:$C$13,2,0),""))</f>
        <v/>
      </c>
    </row>
    <row r="3359">
      <c r="T3359" s="47">
        <f>IF(R3359="","",IFERROR(TODAY()+VLOOKUP(R3359,REGRAS!$B$2:$C$13,2,0),""))</f>
        <v/>
      </c>
    </row>
    <row r="3360">
      <c r="T3360" s="47">
        <f>IF(R3360="","",IFERROR(TODAY()+VLOOKUP(R3360,REGRAS!$B$2:$C$13,2,0),""))</f>
        <v/>
      </c>
    </row>
    <row r="3361">
      <c r="T3361" s="47">
        <f>IF(R3361="","",IFERROR(TODAY()+VLOOKUP(R3361,REGRAS!$B$2:$C$13,2,0),""))</f>
        <v/>
      </c>
    </row>
    <row r="3362">
      <c r="T3362" s="47">
        <f>IF(R3362="","",IFERROR(TODAY()+VLOOKUP(R3362,REGRAS!$B$2:$C$13,2,0),""))</f>
        <v/>
      </c>
    </row>
    <row r="3363">
      <c r="T3363" s="47">
        <f>IF(R3363="","",IFERROR(TODAY()+VLOOKUP(R3363,REGRAS!$B$2:$C$13,2,0),""))</f>
        <v/>
      </c>
    </row>
    <row r="3364">
      <c r="T3364" s="47">
        <f>IF(R3364="","",IFERROR(TODAY()+VLOOKUP(R3364,REGRAS!$B$2:$C$13,2,0),""))</f>
        <v/>
      </c>
    </row>
    <row r="3365">
      <c r="T3365" s="47">
        <f>IF(R3365="","",IFERROR(TODAY()+VLOOKUP(R3365,REGRAS!$B$2:$C$13,2,0),""))</f>
        <v/>
      </c>
    </row>
    <row r="3366">
      <c r="T3366" s="47">
        <f>IF(R3366="","",IFERROR(TODAY()+VLOOKUP(R3366,REGRAS!$B$2:$C$13,2,0),""))</f>
        <v/>
      </c>
    </row>
    <row r="3367">
      <c r="T3367" s="47">
        <f>IF(R3367="","",IFERROR(TODAY()+VLOOKUP(R3367,REGRAS!$B$2:$C$13,2,0),""))</f>
        <v/>
      </c>
    </row>
    <row r="3368">
      <c r="T3368" s="47">
        <f>IF(R3368="","",IFERROR(TODAY()+VLOOKUP(R3368,REGRAS!$B$2:$C$13,2,0),""))</f>
        <v/>
      </c>
    </row>
    <row r="3369">
      <c r="T3369" s="47">
        <f>IF(R3369="","",IFERROR(TODAY()+VLOOKUP(R3369,REGRAS!$B$2:$C$13,2,0),""))</f>
        <v/>
      </c>
    </row>
    <row r="3370">
      <c r="T3370" s="47">
        <f>IF(R3370="","",IFERROR(TODAY()+VLOOKUP(R3370,REGRAS!$B$2:$C$13,2,0),""))</f>
        <v/>
      </c>
    </row>
    <row r="3371">
      <c r="T3371" s="47">
        <f>IF(R3371="","",IFERROR(TODAY()+VLOOKUP(R3371,REGRAS!$B$2:$C$13,2,0),""))</f>
        <v/>
      </c>
    </row>
    <row r="3372">
      <c r="T3372" s="47">
        <f>IF(R3372="","",IFERROR(TODAY()+VLOOKUP(R3372,REGRAS!$B$2:$C$13,2,0),""))</f>
        <v/>
      </c>
    </row>
    <row r="3373">
      <c r="T3373" s="47">
        <f>IF(R3373="","",IFERROR(TODAY()+VLOOKUP(R3373,REGRAS!$B$2:$C$13,2,0),""))</f>
        <v/>
      </c>
    </row>
    <row r="3374">
      <c r="T3374" s="47">
        <f>IF(R3374="","",IFERROR(TODAY()+VLOOKUP(R3374,REGRAS!$B$2:$C$13,2,0),""))</f>
        <v/>
      </c>
    </row>
    <row r="3375">
      <c r="T3375" s="47">
        <f>IF(R3375="","",IFERROR(TODAY()+VLOOKUP(R3375,REGRAS!$B$2:$C$13,2,0),""))</f>
        <v/>
      </c>
    </row>
    <row r="3376">
      <c r="T3376" s="47">
        <f>IF(R3376="","",IFERROR(TODAY()+VLOOKUP(R3376,REGRAS!$B$2:$C$13,2,0),""))</f>
        <v/>
      </c>
    </row>
    <row r="3377">
      <c r="T3377" s="47">
        <f>IF(R3377="","",IFERROR(TODAY()+VLOOKUP(R3377,REGRAS!$B$2:$C$13,2,0),""))</f>
        <v/>
      </c>
    </row>
    <row r="3378">
      <c r="T3378" s="47">
        <f>IF(R3378="","",IFERROR(TODAY()+VLOOKUP(R3378,REGRAS!$B$2:$C$13,2,0),""))</f>
        <v/>
      </c>
    </row>
    <row r="3379">
      <c r="T3379" s="47">
        <f>IF(R3379="","",IFERROR(TODAY()+VLOOKUP(R3379,REGRAS!$B$2:$C$13,2,0),""))</f>
        <v/>
      </c>
    </row>
    <row r="3380">
      <c r="T3380" s="47">
        <f>IF(R3380="","",IFERROR(TODAY()+VLOOKUP(R3380,REGRAS!$B$2:$C$13,2,0),""))</f>
        <v/>
      </c>
    </row>
    <row r="3381">
      <c r="T3381" s="47">
        <f>IF(R3381="","",IFERROR(TODAY()+VLOOKUP(R3381,REGRAS!$B$2:$C$13,2,0),""))</f>
        <v/>
      </c>
    </row>
    <row r="3382">
      <c r="T3382" s="47">
        <f>IF(R3382="","",IFERROR(TODAY()+VLOOKUP(R3382,REGRAS!$B$2:$C$13,2,0),""))</f>
        <v/>
      </c>
    </row>
    <row r="3383">
      <c r="T3383" s="47">
        <f>IF(R3383="","",IFERROR(TODAY()+VLOOKUP(R3383,REGRAS!$B$2:$C$13,2,0),""))</f>
        <v/>
      </c>
    </row>
    <row r="3384">
      <c r="T3384" s="47">
        <f>IF(R3384="","",IFERROR(TODAY()+VLOOKUP(R3384,REGRAS!$B$2:$C$13,2,0),""))</f>
        <v/>
      </c>
    </row>
    <row r="3385">
      <c r="T3385" s="47">
        <f>IF(R3385="","",IFERROR(TODAY()+VLOOKUP(R3385,REGRAS!$B$2:$C$13,2,0),""))</f>
        <v/>
      </c>
    </row>
    <row r="3386">
      <c r="T3386" s="47">
        <f>IF(R3386="","",IFERROR(TODAY()+VLOOKUP(R3386,REGRAS!$B$2:$C$13,2,0),""))</f>
        <v/>
      </c>
    </row>
    <row r="3387">
      <c r="T3387" s="47">
        <f>IF(R3387="","",IFERROR(TODAY()+VLOOKUP(R3387,REGRAS!$B$2:$C$13,2,0),""))</f>
        <v/>
      </c>
    </row>
    <row r="3388">
      <c r="T3388" s="47">
        <f>IF(R3388="","",IFERROR(TODAY()+VLOOKUP(R3388,REGRAS!$B$2:$C$13,2,0),""))</f>
        <v/>
      </c>
    </row>
    <row r="3389">
      <c r="T3389" s="47">
        <f>IF(R3389="","",IFERROR(TODAY()+VLOOKUP(R3389,REGRAS!$B$2:$C$13,2,0),""))</f>
        <v/>
      </c>
    </row>
    <row r="3390">
      <c r="T3390" s="47">
        <f>IF(R3390="","",IFERROR(TODAY()+VLOOKUP(R3390,REGRAS!$B$2:$C$13,2,0),""))</f>
        <v/>
      </c>
    </row>
    <row r="3391">
      <c r="T3391" s="47">
        <f>IF(R3391="","",IFERROR(TODAY()+VLOOKUP(R3391,REGRAS!$B$2:$C$13,2,0),""))</f>
        <v/>
      </c>
    </row>
    <row r="3392">
      <c r="T3392" s="47">
        <f>IF(R3392="","",IFERROR(TODAY()+VLOOKUP(R3392,REGRAS!$B$2:$C$13,2,0),""))</f>
        <v/>
      </c>
    </row>
    <row r="3393">
      <c r="T3393" s="47">
        <f>IF(R3393="","",IFERROR(TODAY()+VLOOKUP(R3393,REGRAS!$B$2:$C$13,2,0),""))</f>
        <v/>
      </c>
    </row>
    <row r="3394">
      <c r="T3394" s="47">
        <f>IF(R3394="","",IFERROR(TODAY()+VLOOKUP(R3394,REGRAS!$B$2:$C$13,2,0),""))</f>
        <v/>
      </c>
    </row>
    <row r="3395">
      <c r="T3395" s="47">
        <f>IF(R3395="","",IFERROR(TODAY()+VLOOKUP(R3395,REGRAS!$B$2:$C$13,2,0),""))</f>
        <v/>
      </c>
    </row>
    <row r="3396">
      <c r="T3396" s="47">
        <f>IF(R3396="","",IFERROR(TODAY()+VLOOKUP(R3396,REGRAS!$B$2:$C$13,2,0),""))</f>
        <v/>
      </c>
    </row>
    <row r="3397">
      <c r="T3397" s="47">
        <f>IF(R3397="","",IFERROR(TODAY()+VLOOKUP(R3397,REGRAS!$B$2:$C$13,2,0),""))</f>
        <v/>
      </c>
    </row>
    <row r="3398">
      <c r="T3398" s="47">
        <f>IF(R3398="","",IFERROR(TODAY()+VLOOKUP(R3398,REGRAS!$B$2:$C$13,2,0),""))</f>
        <v/>
      </c>
    </row>
    <row r="3399">
      <c r="T3399" s="47">
        <f>IF(R3399="","",IFERROR(TODAY()+VLOOKUP(R3399,REGRAS!$B$2:$C$13,2,0),""))</f>
        <v/>
      </c>
    </row>
    <row r="3400">
      <c r="T3400" s="47">
        <f>IF(R3400="","",IFERROR(TODAY()+VLOOKUP(R3400,REGRAS!$B$2:$C$13,2,0),""))</f>
        <v/>
      </c>
    </row>
    <row r="3401">
      <c r="T3401" s="47">
        <f>IF(R3401="","",IFERROR(TODAY()+VLOOKUP(R3401,REGRAS!$B$2:$C$13,2,0),""))</f>
        <v/>
      </c>
    </row>
    <row r="3402">
      <c r="T3402" s="47">
        <f>IF(R3402="","",IFERROR(TODAY()+VLOOKUP(R3402,REGRAS!$B$2:$C$13,2,0),""))</f>
        <v/>
      </c>
    </row>
    <row r="3403">
      <c r="T3403" s="47">
        <f>IF(R3403="","",IFERROR(TODAY()+VLOOKUP(R3403,REGRAS!$B$2:$C$13,2,0),""))</f>
        <v/>
      </c>
    </row>
    <row r="3404">
      <c r="T3404" s="47">
        <f>IF(R3404="","",IFERROR(TODAY()+VLOOKUP(R3404,REGRAS!$B$2:$C$13,2,0),""))</f>
        <v/>
      </c>
    </row>
    <row r="3405">
      <c r="T3405" s="47">
        <f>IF(R3405="","",IFERROR(TODAY()+VLOOKUP(R3405,REGRAS!$B$2:$C$13,2,0),""))</f>
        <v/>
      </c>
    </row>
    <row r="3406">
      <c r="T3406" s="47">
        <f>IF(R3406="","",IFERROR(TODAY()+VLOOKUP(R3406,REGRAS!$B$2:$C$13,2,0),""))</f>
        <v/>
      </c>
    </row>
    <row r="3407">
      <c r="T3407" s="47">
        <f>IF(R3407="","",IFERROR(TODAY()+VLOOKUP(R3407,REGRAS!$B$2:$C$13,2,0),""))</f>
        <v/>
      </c>
    </row>
    <row r="3408">
      <c r="T3408" s="47">
        <f>IF(R3408="","",IFERROR(TODAY()+VLOOKUP(R3408,REGRAS!$B$2:$C$13,2,0),""))</f>
        <v/>
      </c>
    </row>
    <row r="3409">
      <c r="T3409" s="47">
        <f>IF(R3409="","",IFERROR(TODAY()+VLOOKUP(R3409,REGRAS!$B$2:$C$13,2,0),""))</f>
        <v/>
      </c>
    </row>
    <row r="3410">
      <c r="T3410" s="47">
        <f>IF(R3410="","",IFERROR(TODAY()+VLOOKUP(R3410,REGRAS!$B$2:$C$13,2,0),""))</f>
        <v/>
      </c>
    </row>
    <row r="3411">
      <c r="T3411" s="47">
        <f>IF(R3411="","",IFERROR(TODAY()+VLOOKUP(R3411,REGRAS!$B$2:$C$13,2,0),""))</f>
        <v/>
      </c>
    </row>
    <row r="3412">
      <c r="T3412" s="47">
        <f>IF(R3412="","",IFERROR(TODAY()+VLOOKUP(R3412,REGRAS!$B$2:$C$13,2,0),""))</f>
        <v/>
      </c>
    </row>
    <row r="3413">
      <c r="T3413" s="47">
        <f>IF(R3413="","",IFERROR(TODAY()+VLOOKUP(R3413,REGRAS!$B$2:$C$13,2,0),""))</f>
        <v/>
      </c>
    </row>
    <row r="3414">
      <c r="T3414" s="47">
        <f>IF(R3414="","",IFERROR(TODAY()+VLOOKUP(R3414,REGRAS!$B$2:$C$13,2,0),""))</f>
        <v/>
      </c>
    </row>
    <row r="3415">
      <c r="T3415" s="47">
        <f>IF(R3415="","",IFERROR(TODAY()+VLOOKUP(R3415,REGRAS!$B$2:$C$13,2,0),""))</f>
        <v/>
      </c>
    </row>
    <row r="3416">
      <c r="T3416" s="47">
        <f>IF(R3416="","",IFERROR(TODAY()+VLOOKUP(R3416,REGRAS!$B$2:$C$13,2,0),""))</f>
        <v/>
      </c>
    </row>
    <row r="3417">
      <c r="T3417" s="47">
        <f>IF(R3417="","",IFERROR(TODAY()+VLOOKUP(R3417,REGRAS!$B$2:$C$13,2,0),""))</f>
        <v/>
      </c>
    </row>
    <row r="3418">
      <c r="T3418" s="47">
        <f>IF(R3418="","",IFERROR(TODAY()+VLOOKUP(R3418,REGRAS!$B$2:$C$13,2,0),""))</f>
        <v/>
      </c>
    </row>
    <row r="3419">
      <c r="T3419" s="47">
        <f>IF(R3419="","",IFERROR(TODAY()+VLOOKUP(R3419,REGRAS!$B$2:$C$13,2,0),""))</f>
        <v/>
      </c>
    </row>
    <row r="3420">
      <c r="T3420" s="47">
        <f>IF(R3420="","",IFERROR(TODAY()+VLOOKUP(R3420,REGRAS!$B$2:$C$13,2,0),""))</f>
        <v/>
      </c>
    </row>
    <row r="3421">
      <c r="T3421" s="47">
        <f>IF(R3421="","",IFERROR(TODAY()+VLOOKUP(R3421,REGRAS!$B$2:$C$13,2,0),""))</f>
        <v/>
      </c>
    </row>
    <row r="3422">
      <c r="T3422" s="47">
        <f>IF(R3422="","",IFERROR(TODAY()+VLOOKUP(R3422,REGRAS!$B$2:$C$13,2,0),""))</f>
        <v/>
      </c>
    </row>
    <row r="3423">
      <c r="T3423" s="47">
        <f>IF(R3423="","",IFERROR(TODAY()+VLOOKUP(R3423,REGRAS!$B$2:$C$13,2,0),""))</f>
        <v/>
      </c>
    </row>
    <row r="3424">
      <c r="T3424" s="47">
        <f>IF(R3424="","",IFERROR(TODAY()+VLOOKUP(R3424,REGRAS!$B$2:$C$13,2,0),""))</f>
        <v/>
      </c>
    </row>
    <row r="3425">
      <c r="T3425" s="47">
        <f>IF(R3425="","",IFERROR(TODAY()+VLOOKUP(R3425,REGRAS!$B$2:$C$13,2,0),""))</f>
        <v/>
      </c>
    </row>
    <row r="3426">
      <c r="T3426" s="47">
        <f>IF(R3426="","",IFERROR(TODAY()+VLOOKUP(R3426,REGRAS!$B$2:$C$13,2,0),""))</f>
        <v/>
      </c>
    </row>
    <row r="3427">
      <c r="T3427" s="47">
        <f>IF(R3427="","",IFERROR(TODAY()+VLOOKUP(R3427,REGRAS!$B$2:$C$13,2,0),""))</f>
        <v/>
      </c>
    </row>
    <row r="3428">
      <c r="T3428" s="47">
        <f>IF(R3428="","",IFERROR(TODAY()+VLOOKUP(R3428,REGRAS!$B$2:$C$13,2,0),""))</f>
        <v/>
      </c>
    </row>
    <row r="3429">
      <c r="T3429" s="47">
        <f>IF(R3429="","",IFERROR(TODAY()+VLOOKUP(R3429,REGRAS!$B$2:$C$13,2,0),""))</f>
        <v/>
      </c>
    </row>
    <row r="3430">
      <c r="T3430" s="47">
        <f>IF(R3430="","",IFERROR(TODAY()+VLOOKUP(R3430,REGRAS!$B$2:$C$13,2,0),""))</f>
        <v/>
      </c>
    </row>
    <row r="3431">
      <c r="T3431" s="47">
        <f>IF(R3431="","",IFERROR(TODAY()+VLOOKUP(R3431,REGRAS!$B$2:$C$13,2,0),""))</f>
        <v/>
      </c>
    </row>
    <row r="3432">
      <c r="T3432" s="47">
        <f>IF(R3432="","",IFERROR(TODAY()+VLOOKUP(R3432,REGRAS!$B$2:$C$13,2,0),""))</f>
        <v/>
      </c>
    </row>
    <row r="3433">
      <c r="T3433" s="47">
        <f>IF(R3433="","",IFERROR(TODAY()+VLOOKUP(R3433,REGRAS!$B$2:$C$13,2,0),""))</f>
        <v/>
      </c>
    </row>
    <row r="3434">
      <c r="T3434" s="47">
        <f>IF(R3434="","",IFERROR(TODAY()+VLOOKUP(R3434,REGRAS!$B$2:$C$13,2,0),""))</f>
        <v/>
      </c>
    </row>
    <row r="3435">
      <c r="T3435" s="47">
        <f>IF(R3435="","",IFERROR(TODAY()+VLOOKUP(R3435,REGRAS!$B$2:$C$13,2,0),""))</f>
        <v/>
      </c>
    </row>
    <row r="3436">
      <c r="T3436" s="47">
        <f>IF(R3436="","",IFERROR(TODAY()+VLOOKUP(R3436,REGRAS!$B$2:$C$13,2,0),""))</f>
        <v/>
      </c>
    </row>
    <row r="3437">
      <c r="T3437" s="47">
        <f>IF(R3437="","",IFERROR(TODAY()+VLOOKUP(R3437,REGRAS!$B$2:$C$13,2,0),""))</f>
        <v/>
      </c>
    </row>
    <row r="3438">
      <c r="T3438" s="47">
        <f>IF(R3438="","",IFERROR(TODAY()+VLOOKUP(R3438,REGRAS!$B$2:$C$13,2,0),""))</f>
        <v/>
      </c>
    </row>
    <row r="3439">
      <c r="T3439" s="47">
        <f>IF(R3439="","",IFERROR(TODAY()+VLOOKUP(R3439,REGRAS!$B$2:$C$13,2,0),""))</f>
        <v/>
      </c>
    </row>
    <row r="3440">
      <c r="T3440" s="47">
        <f>IF(R3440="","",IFERROR(TODAY()+VLOOKUP(R3440,REGRAS!$B$2:$C$13,2,0),""))</f>
        <v/>
      </c>
    </row>
    <row r="3441">
      <c r="T3441" s="47">
        <f>IF(R3441="","",IFERROR(TODAY()+VLOOKUP(R3441,REGRAS!$B$2:$C$13,2,0),""))</f>
        <v/>
      </c>
    </row>
    <row r="3442">
      <c r="T3442" s="47">
        <f>IF(R3442="","",IFERROR(TODAY()+VLOOKUP(R3442,REGRAS!$B$2:$C$13,2,0),""))</f>
        <v/>
      </c>
    </row>
    <row r="3443">
      <c r="T3443" s="47">
        <f>IF(R3443="","",IFERROR(TODAY()+VLOOKUP(R3443,REGRAS!$B$2:$C$13,2,0),""))</f>
        <v/>
      </c>
    </row>
    <row r="3444">
      <c r="T3444" s="47">
        <f>IF(R3444="","",IFERROR(TODAY()+VLOOKUP(R3444,REGRAS!$B$2:$C$13,2,0),""))</f>
        <v/>
      </c>
    </row>
    <row r="3445">
      <c r="T3445" s="47">
        <f>IF(R3445="","",IFERROR(TODAY()+VLOOKUP(R3445,REGRAS!$B$2:$C$13,2,0),""))</f>
        <v/>
      </c>
    </row>
    <row r="3446">
      <c r="T3446" s="47">
        <f>IF(R3446="","",IFERROR(TODAY()+VLOOKUP(R3446,REGRAS!$B$2:$C$13,2,0),""))</f>
        <v/>
      </c>
    </row>
    <row r="3447">
      <c r="T3447" s="47">
        <f>IF(R3447="","",IFERROR(TODAY()+VLOOKUP(R3447,REGRAS!$B$2:$C$13,2,0),""))</f>
        <v/>
      </c>
    </row>
    <row r="3448">
      <c r="T3448" s="47">
        <f>IF(R3448="","",IFERROR(TODAY()+VLOOKUP(R3448,REGRAS!$B$2:$C$13,2,0),""))</f>
        <v/>
      </c>
    </row>
    <row r="3449">
      <c r="T3449" s="47">
        <f>IF(R3449="","",IFERROR(TODAY()+VLOOKUP(R3449,REGRAS!$B$2:$C$13,2,0),""))</f>
        <v/>
      </c>
    </row>
    <row r="3450">
      <c r="T3450" s="47">
        <f>IF(R3450="","",IFERROR(TODAY()+VLOOKUP(R3450,REGRAS!$B$2:$C$13,2,0),""))</f>
        <v/>
      </c>
    </row>
    <row r="3451">
      <c r="T3451" s="47">
        <f>IF(R3451="","",IFERROR(TODAY()+VLOOKUP(R3451,REGRAS!$B$2:$C$13,2,0),""))</f>
        <v/>
      </c>
    </row>
    <row r="3452">
      <c r="T3452" s="47">
        <f>IF(R3452="","",IFERROR(TODAY()+VLOOKUP(R3452,REGRAS!$B$2:$C$13,2,0),""))</f>
        <v/>
      </c>
    </row>
    <row r="3453">
      <c r="T3453" s="47">
        <f>IF(R3453="","",IFERROR(TODAY()+VLOOKUP(R3453,REGRAS!$B$2:$C$13,2,0),""))</f>
        <v/>
      </c>
    </row>
    <row r="3454">
      <c r="T3454" s="47">
        <f>IF(R3454="","",IFERROR(TODAY()+VLOOKUP(R3454,REGRAS!$B$2:$C$13,2,0),""))</f>
        <v/>
      </c>
    </row>
    <row r="3455">
      <c r="T3455" s="47">
        <f>IF(R3455="","",IFERROR(TODAY()+VLOOKUP(R3455,REGRAS!$B$2:$C$13,2,0),""))</f>
        <v/>
      </c>
    </row>
    <row r="3456">
      <c r="T3456" s="47">
        <f>IF(R3456="","",IFERROR(TODAY()+VLOOKUP(R3456,REGRAS!$B$2:$C$13,2,0),""))</f>
        <v/>
      </c>
    </row>
    <row r="3457">
      <c r="T3457" s="47">
        <f>IF(R3457="","",IFERROR(TODAY()+VLOOKUP(R3457,REGRAS!$B$2:$C$13,2,0),""))</f>
        <v/>
      </c>
    </row>
    <row r="3458">
      <c r="T3458" s="47">
        <f>IF(R3458="","",IFERROR(TODAY()+VLOOKUP(R3458,REGRAS!$B$2:$C$13,2,0),""))</f>
        <v/>
      </c>
    </row>
    <row r="3459">
      <c r="T3459" s="47">
        <f>IF(R3459="","",IFERROR(TODAY()+VLOOKUP(R3459,REGRAS!$B$2:$C$13,2,0),""))</f>
        <v/>
      </c>
    </row>
    <row r="3460">
      <c r="T3460" s="47">
        <f>IF(R3460="","",IFERROR(TODAY()+VLOOKUP(R3460,REGRAS!$B$2:$C$13,2,0),""))</f>
        <v/>
      </c>
    </row>
    <row r="3461">
      <c r="T3461" s="47">
        <f>IF(R3461="","",IFERROR(TODAY()+VLOOKUP(R3461,REGRAS!$B$2:$C$13,2,0),""))</f>
        <v/>
      </c>
    </row>
    <row r="3462">
      <c r="T3462" s="47">
        <f>IF(R3462="","",IFERROR(TODAY()+VLOOKUP(R3462,REGRAS!$B$2:$C$13,2,0),""))</f>
        <v/>
      </c>
    </row>
    <row r="3463">
      <c r="T3463" s="47">
        <f>IF(R3463="","",IFERROR(TODAY()+VLOOKUP(R3463,REGRAS!$B$2:$C$13,2,0),""))</f>
        <v/>
      </c>
    </row>
    <row r="3464">
      <c r="T3464" s="47">
        <f>IF(R3464="","",IFERROR(TODAY()+VLOOKUP(R3464,REGRAS!$B$2:$C$13,2,0),""))</f>
        <v/>
      </c>
    </row>
    <row r="3465">
      <c r="T3465" s="47">
        <f>IF(R3465="","",IFERROR(TODAY()+VLOOKUP(R3465,REGRAS!$B$2:$C$13,2,0),""))</f>
        <v/>
      </c>
    </row>
    <row r="3466">
      <c r="T3466" s="47">
        <f>IF(R3466="","",IFERROR(TODAY()+VLOOKUP(R3466,REGRAS!$B$2:$C$13,2,0),""))</f>
        <v/>
      </c>
    </row>
    <row r="3467">
      <c r="T3467" s="47">
        <f>IF(R3467="","",IFERROR(TODAY()+VLOOKUP(R3467,REGRAS!$B$2:$C$13,2,0),""))</f>
        <v/>
      </c>
    </row>
    <row r="3468">
      <c r="T3468" s="47">
        <f>IF(R3468="","",IFERROR(TODAY()+VLOOKUP(R3468,REGRAS!$B$2:$C$13,2,0),""))</f>
        <v/>
      </c>
    </row>
    <row r="3469">
      <c r="T3469" s="47">
        <f>IF(R3469="","",IFERROR(TODAY()+VLOOKUP(R3469,REGRAS!$B$2:$C$13,2,0),""))</f>
        <v/>
      </c>
    </row>
    <row r="3470">
      <c r="T3470" s="47">
        <f>IF(R3470="","",IFERROR(TODAY()+VLOOKUP(R3470,REGRAS!$B$2:$C$13,2,0),""))</f>
        <v/>
      </c>
    </row>
    <row r="3471">
      <c r="T3471" s="47">
        <f>IF(R3471="","",IFERROR(TODAY()+VLOOKUP(R3471,REGRAS!$B$2:$C$13,2,0),""))</f>
        <v/>
      </c>
    </row>
    <row r="3472">
      <c r="T3472" s="47">
        <f>IF(R3472="","",IFERROR(TODAY()+VLOOKUP(R3472,REGRAS!$B$2:$C$13,2,0),""))</f>
        <v/>
      </c>
    </row>
    <row r="3473">
      <c r="T3473" s="47">
        <f>IF(R3473="","",IFERROR(TODAY()+VLOOKUP(R3473,REGRAS!$B$2:$C$13,2,0),""))</f>
        <v/>
      </c>
    </row>
    <row r="3474">
      <c r="T3474" s="47">
        <f>IF(R3474="","",IFERROR(TODAY()+VLOOKUP(R3474,REGRAS!$B$2:$C$13,2,0),""))</f>
        <v/>
      </c>
    </row>
    <row r="3475">
      <c r="T3475" s="47">
        <f>IF(R3475="","",IFERROR(TODAY()+VLOOKUP(R3475,REGRAS!$B$2:$C$13,2,0),""))</f>
        <v/>
      </c>
    </row>
    <row r="3476">
      <c r="T3476" s="47">
        <f>IF(R3476="","",IFERROR(TODAY()+VLOOKUP(R3476,REGRAS!$B$2:$C$13,2,0),""))</f>
        <v/>
      </c>
    </row>
    <row r="3477">
      <c r="T3477" s="47">
        <f>IF(R3477="","",IFERROR(TODAY()+VLOOKUP(R3477,REGRAS!$B$2:$C$13,2,0),""))</f>
        <v/>
      </c>
    </row>
    <row r="3478">
      <c r="T3478" s="47">
        <f>IF(R3478="","",IFERROR(TODAY()+VLOOKUP(R3478,REGRAS!$B$2:$C$13,2,0),""))</f>
        <v/>
      </c>
    </row>
    <row r="3479">
      <c r="T3479" s="47">
        <f>IF(R3479="","",IFERROR(TODAY()+VLOOKUP(R3479,REGRAS!$B$2:$C$13,2,0),""))</f>
        <v/>
      </c>
    </row>
    <row r="3480">
      <c r="T3480" s="47">
        <f>IF(R3480="","",IFERROR(TODAY()+VLOOKUP(R3480,REGRAS!$B$2:$C$13,2,0),""))</f>
        <v/>
      </c>
    </row>
    <row r="3481">
      <c r="T3481" s="47">
        <f>IF(R3481="","",IFERROR(TODAY()+VLOOKUP(R3481,REGRAS!$B$2:$C$13,2,0),""))</f>
        <v/>
      </c>
    </row>
    <row r="3482">
      <c r="T3482" s="47">
        <f>IF(R3482="","",IFERROR(TODAY()+VLOOKUP(R3482,REGRAS!$B$2:$C$13,2,0),""))</f>
        <v/>
      </c>
    </row>
    <row r="3483">
      <c r="T3483" s="47">
        <f>IF(R3483="","",IFERROR(TODAY()+VLOOKUP(R3483,REGRAS!$B$2:$C$13,2,0),""))</f>
        <v/>
      </c>
    </row>
    <row r="3484">
      <c r="T3484" s="47">
        <f>IF(R3484="","",IFERROR(TODAY()+VLOOKUP(R3484,REGRAS!$B$2:$C$13,2,0),""))</f>
        <v/>
      </c>
    </row>
    <row r="3485">
      <c r="T3485" s="47">
        <f>IF(R3485="","",IFERROR(TODAY()+VLOOKUP(R3485,REGRAS!$B$2:$C$13,2,0),""))</f>
        <v/>
      </c>
    </row>
    <row r="3486">
      <c r="T3486" s="47">
        <f>IF(R3486="","",IFERROR(TODAY()+VLOOKUP(R3486,REGRAS!$B$2:$C$13,2,0),""))</f>
        <v/>
      </c>
    </row>
    <row r="3487">
      <c r="T3487" s="47">
        <f>IF(R3487="","",IFERROR(TODAY()+VLOOKUP(R3487,REGRAS!$B$2:$C$13,2,0),""))</f>
        <v/>
      </c>
    </row>
    <row r="3488">
      <c r="T3488" s="47">
        <f>IF(R3488="","",IFERROR(TODAY()+VLOOKUP(R3488,REGRAS!$B$2:$C$13,2,0),""))</f>
        <v/>
      </c>
    </row>
    <row r="3489">
      <c r="T3489" s="47">
        <f>IF(R3489="","",IFERROR(TODAY()+VLOOKUP(R3489,REGRAS!$B$2:$C$13,2,0),""))</f>
        <v/>
      </c>
    </row>
    <row r="3490">
      <c r="T3490" s="47">
        <f>IF(R3490="","",IFERROR(TODAY()+VLOOKUP(R3490,REGRAS!$B$2:$C$13,2,0),""))</f>
        <v/>
      </c>
    </row>
    <row r="3491">
      <c r="T3491" s="47">
        <f>IF(R3491="","",IFERROR(TODAY()+VLOOKUP(R3491,REGRAS!$B$2:$C$13,2,0),""))</f>
        <v/>
      </c>
    </row>
    <row r="3492">
      <c r="T3492" s="47">
        <f>IF(R3492="","",IFERROR(TODAY()+VLOOKUP(R3492,REGRAS!$B$2:$C$13,2,0),""))</f>
        <v/>
      </c>
    </row>
    <row r="3493">
      <c r="T3493" s="47">
        <f>IF(R3493="","",IFERROR(TODAY()+VLOOKUP(R3493,REGRAS!$B$2:$C$13,2,0),""))</f>
        <v/>
      </c>
    </row>
    <row r="3494">
      <c r="T3494" s="47">
        <f>IF(R3494="","",IFERROR(TODAY()+VLOOKUP(R3494,REGRAS!$B$2:$C$13,2,0),""))</f>
        <v/>
      </c>
    </row>
    <row r="3495">
      <c r="T3495" s="47">
        <f>IF(R3495="","",IFERROR(TODAY()+VLOOKUP(R3495,REGRAS!$B$2:$C$13,2,0),""))</f>
        <v/>
      </c>
    </row>
    <row r="3496">
      <c r="T3496" s="47">
        <f>IF(R3496="","",IFERROR(TODAY()+VLOOKUP(R3496,REGRAS!$B$2:$C$13,2,0),""))</f>
        <v/>
      </c>
    </row>
    <row r="3497">
      <c r="T3497" s="47">
        <f>IF(R3497="","",IFERROR(TODAY()+VLOOKUP(R3497,REGRAS!$B$2:$C$13,2,0),""))</f>
        <v/>
      </c>
    </row>
    <row r="3498">
      <c r="T3498" s="47">
        <f>IF(R3498="","",IFERROR(TODAY()+VLOOKUP(R3498,REGRAS!$B$2:$C$13,2,0),""))</f>
        <v/>
      </c>
    </row>
    <row r="3499">
      <c r="T3499" s="47">
        <f>IF(R3499="","",IFERROR(TODAY()+VLOOKUP(R3499,REGRAS!$B$2:$C$13,2,0),""))</f>
        <v/>
      </c>
    </row>
    <row r="3500">
      <c r="T3500" s="47">
        <f>IF(R3500="","",IFERROR(TODAY()+VLOOKUP(R3500,REGRAS!$B$2:$C$13,2,0),""))</f>
        <v/>
      </c>
    </row>
    <row r="3501">
      <c r="T3501" s="47">
        <f>IF(R3501="","",IFERROR(TODAY()+VLOOKUP(R3501,REGRAS!$B$2:$C$13,2,0),""))</f>
        <v/>
      </c>
    </row>
    <row r="3502">
      <c r="T3502" s="47">
        <f>IF(R3502="","",IFERROR(TODAY()+VLOOKUP(R3502,REGRAS!$B$2:$C$13,2,0),""))</f>
        <v/>
      </c>
    </row>
    <row r="3503">
      <c r="T3503" s="47">
        <f>IF(R3503="","",IFERROR(TODAY()+VLOOKUP(R3503,REGRAS!$B$2:$C$13,2,0),""))</f>
        <v/>
      </c>
    </row>
    <row r="3504">
      <c r="T3504" s="47">
        <f>IF(R3504="","",IFERROR(TODAY()+VLOOKUP(R3504,REGRAS!$B$2:$C$13,2,0),""))</f>
        <v/>
      </c>
    </row>
    <row r="3505">
      <c r="T3505" s="47">
        <f>IF(R3505="","",IFERROR(TODAY()+VLOOKUP(R3505,REGRAS!$B$2:$C$13,2,0),""))</f>
        <v/>
      </c>
    </row>
    <row r="3506">
      <c r="T3506" s="47">
        <f>IF(R3506="","",IFERROR(TODAY()+VLOOKUP(R3506,REGRAS!$B$2:$C$13,2,0),""))</f>
        <v/>
      </c>
    </row>
    <row r="3507">
      <c r="T3507" s="47">
        <f>IF(R3507="","",IFERROR(TODAY()+VLOOKUP(R3507,REGRAS!$B$2:$C$13,2,0),""))</f>
        <v/>
      </c>
    </row>
    <row r="3508">
      <c r="T3508" s="47">
        <f>IF(R3508="","",IFERROR(TODAY()+VLOOKUP(R3508,REGRAS!$B$2:$C$13,2,0),""))</f>
        <v/>
      </c>
    </row>
    <row r="3509">
      <c r="T3509" s="47">
        <f>IF(R3509="","",IFERROR(TODAY()+VLOOKUP(R3509,REGRAS!$B$2:$C$13,2,0),""))</f>
        <v/>
      </c>
    </row>
    <row r="3510">
      <c r="T3510" s="47">
        <f>IF(R3510="","",IFERROR(TODAY()+VLOOKUP(R3510,REGRAS!$B$2:$C$13,2,0),""))</f>
        <v/>
      </c>
    </row>
    <row r="3511">
      <c r="T3511" s="47">
        <f>IF(R3511="","",IFERROR(TODAY()+VLOOKUP(R3511,REGRAS!$B$2:$C$13,2,0),""))</f>
        <v/>
      </c>
    </row>
    <row r="3512">
      <c r="T3512" s="47">
        <f>IF(R3512="","",IFERROR(TODAY()+VLOOKUP(R3512,REGRAS!$B$2:$C$13,2,0),""))</f>
        <v/>
      </c>
    </row>
    <row r="3513">
      <c r="T3513" s="47">
        <f>IF(R3513="","",IFERROR(TODAY()+VLOOKUP(R3513,REGRAS!$B$2:$C$13,2,0),""))</f>
        <v/>
      </c>
    </row>
    <row r="3514">
      <c r="T3514" s="47">
        <f>IF(R3514="","",IFERROR(TODAY()+VLOOKUP(R3514,REGRAS!$B$2:$C$13,2,0),""))</f>
        <v/>
      </c>
    </row>
    <row r="3515">
      <c r="T3515" s="47">
        <f>IF(R3515="","",IFERROR(TODAY()+VLOOKUP(R3515,REGRAS!$B$2:$C$13,2,0),""))</f>
        <v/>
      </c>
    </row>
    <row r="3516">
      <c r="T3516" s="47">
        <f>IF(R3516="","",IFERROR(TODAY()+VLOOKUP(R3516,REGRAS!$B$2:$C$13,2,0),""))</f>
        <v/>
      </c>
    </row>
    <row r="3517">
      <c r="T3517" s="47">
        <f>IF(R3517="","",IFERROR(TODAY()+VLOOKUP(R3517,REGRAS!$B$2:$C$13,2,0),""))</f>
        <v/>
      </c>
    </row>
    <row r="3518">
      <c r="T3518" s="47">
        <f>IF(R3518="","",IFERROR(TODAY()+VLOOKUP(R3518,REGRAS!$B$2:$C$13,2,0),""))</f>
        <v/>
      </c>
    </row>
    <row r="3519">
      <c r="T3519" s="47">
        <f>IF(R3519="","",IFERROR(TODAY()+VLOOKUP(R3519,REGRAS!$B$2:$C$13,2,0),""))</f>
        <v/>
      </c>
    </row>
    <row r="3520">
      <c r="T3520" s="47">
        <f>IF(R3520="","",IFERROR(TODAY()+VLOOKUP(R3520,REGRAS!$B$2:$C$13,2,0),""))</f>
        <v/>
      </c>
    </row>
    <row r="3521">
      <c r="T3521" s="47">
        <f>IF(R3521="","",IFERROR(TODAY()+VLOOKUP(R3521,REGRAS!$B$2:$C$13,2,0),""))</f>
        <v/>
      </c>
    </row>
    <row r="3522">
      <c r="T3522" s="47">
        <f>IF(R3522="","",IFERROR(TODAY()+VLOOKUP(R3522,REGRAS!$B$2:$C$13,2,0),""))</f>
        <v/>
      </c>
    </row>
    <row r="3523">
      <c r="T3523" s="47">
        <f>IF(R3523="","",IFERROR(TODAY()+VLOOKUP(R3523,REGRAS!$B$2:$C$13,2,0),""))</f>
        <v/>
      </c>
    </row>
    <row r="3524">
      <c r="T3524" s="47">
        <f>IF(R3524="","",IFERROR(TODAY()+VLOOKUP(R3524,REGRAS!$B$2:$C$13,2,0),""))</f>
        <v/>
      </c>
    </row>
    <row r="3525">
      <c r="T3525" s="47">
        <f>IF(R3525="","",IFERROR(TODAY()+VLOOKUP(R3525,REGRAS!$B$2:$C$13,2,0),""))</f>
        <v/>
      </c>
    </row>
    <row r="3526">
      <c r="T3526" s="47">
        <f>IF(R3526="","",IFERROR(TODAY()+VLOOKUP(R3526,REGRAS!$B$2:$C$13,2,0),""))</f>
        <v/>
      </c>
    </row>
    <row r="3527">
      <c r="T3527" s="47">
        <f>IF(R3527="","",IFERROR(TODAY()+VLOOKUP(R3527,REGRAS!$B$2:$C$13,2,0),""))</f>
        <v/>
      </c>
    </row>
    <row r="3528">
      <c r="T3528" s="47">
        <f>IF(R3528="","",IFERROR(TODAY()+VLOOKUP(R3528,REGRAS!$B$2:$C$13,2,0),""))</f>
        <v/>
      </c>
    </row>
    <row r="3529">
      <c r="T3529" s="47">
        <f>IF(R3529="","",IFERROR(TODAY()+VLOOKUP(R3529,REGRAS!$B$2:$C$13,2,0),""))</f>
        <v/>
      </c>
    </row>
    <row r="3530">
      <c r="T3530" s="47">
        <f>IF(R3530="","",IFERROR(TODAY()+VLOOKUP(R3530,REGRAS!$B$2:$C$13,2,0),""))</f>
        <v/>
      </c>
    </row>
    <row r="3531">
      <c r="T3531" s="47">
        <f>IF(R3531="","",IFERROR(TODAY()+VLOOKUP(R3531,REGRAS!$B$2:$C$13,2,0),""))</f>
        <v/>
      </c>
    </row>
    <row r="3532">
      <c r="T3532" s="47">
        <f>IF(R3532="","",IFERROR(TODAY()+VLOOKUP(R3532,REGRAS!$B$2:$C$13,2,0),""))</f>
        <v/>
      </c>
    </row>
    <row r="3533">
      <c r="T3533" s="47">
        <f>IF(R3533="","",IFERROR(TODAY()+VLOOKUP(R3533,REGRAS!$B$2:$C$13,2,0),""))</f>
        <v/>
      </c>
    </row>
    <row r="3534">
      <c r="T3534" s="47">
        <f>IF(R3534="","",IFERROR(TODAY()+VLOOKUP(R3534,REGRAS!$B$2:$C$13,2,0),""))</f>
        <v/>
      </c>
    </row>
    <row r="3535">
      <c r="T3535" s="47">
        <f>IF(R3535="","",IFERROR(TODAY()+VLOOKUP(R3535,REGRAS!$B$2:$C$13,2,0),""))</f>
        <v/>
      </c>
    </row>
    <row r="3536">
      <c r="T3536" s="47">
        <f>IF(R3536="","",IFERROR(TODAY()+VLOOKUP(R3536,REGRAS!$B$2:$C$13,2,0),""))</f>
        <v/>
      </c>
    </row>
    <row r="3537">
      <c r="T3537" s="47">
        <f>IF(R3537="","",IFERROR(TODAY()+VLOOKUP(R3537,REGRAS!$B$2:$C$13,2,0),""))</f>
        <v/>
      </c>
    </row>
    <row r="3538">
      <c r="T3538" s="47">
        <f>IF(R3538="","",IFERROR(TODAY()+VLOOKUP(R3538,REGRAS!$B$2:$C$13,2,0),""))</f>
        <v/>
      </c>
    </row>
    <row r="3539">
      <c r="T3539" s="47">
        <f>IF(R3539="","",IFERROR(TODAY()+VLOOKUP(R3539,REGRAS!$B$2:$C$13,2,0),""))</f>
        <v/>
      </c>
    </row>
    <row r="3540">
      <c r="T3540" s="47">
        <f>IF(R3540="","",IFERROR(TODAY()+VLOOKUP(R3540,REGRAS!$B$2:$C$13,2,0),""))</f>
        <v/>
      </c>
    </row>
    <row r="3541">
      <c r="T3541" s="47">
        <f>IF(R3541="","",IFERROR(TODAY()+VLOOKUP(R3541,REGRAS!$B$2:$C$13,2,0),""))</f>
        <v/>
      </c>
    </row>
    <row r="3542">
      <c r="T3542" s="47">
        <f>IF(R3542="","",IFERROR(TODAY()+VLOOKUP(R3542,REGRAS!$B$2:$C$13,2,0),""))</f>
        <v/>
      </c>
    </row>
    <row r="3543">
      <c r="T3543" s="47">
        <f>IF(R3543="","",IFERROR(TODAY()+VLOOKUP(R3543,REGRAS!$B$2:$C$13,2,0),""))</f>
        <v/>
      </c>
    </row>
    <row r="3544">
      <c r="T3544" s="47">
        <f>IF(R3544="","",IFERROR(TODAY()+VLOOKUP(R3544,REGRAS!$B$2:$C$13,2,0),""))</f>
        <v/>
      </c>
    </row>
    <row r="3545">
      <c r="T3545" s="47">
        <f>IF(R3545="","",IFERROR(TODAY()+VLOOKUP(R3545,REGRAS!$B$2:$C$13,2,0),""))</f>
        <v/>
      </c>
    </row>
    <row r="3546">
      <c r="T3546" s="47">
        <f>IF(R3546="","",IFERROR(TODAY()+VLOOKUP(R3546,REGRAS!$B$2:$C$13,2,0),""))</f>
        <v/>
      </c>
    </row>
    <row r="3547">
      <c r="T3547" s="47">
        <f>IF(R3547="","",IFERROR(TODAY()+VLOOKUP(R3547,REGRAS!$B$2:$C$13,2,0),""))</f>
        <v/>
      </c>
    </row>
    <row r="3548">
      <c r="T3548" s="47">
        <f>IF(R3548="","",IFERROR(TODAY()+VLOOKUP(R3548,REGRAS!$B$2:$C$13,2,0),""))</f>
        <v/>
      </c>
    </row>
    <row r="3549">
      <c r="T3549" s="47">
        <f>IF(R3549="","",IFERROR(TODAY()+VLOOKUP(R3549,REGRAS!$B$2:$C$13,2,0),""))</f>
        <v/>
      </c>
    </row>
    <row r="3550">
      <c r="T3550" s="47">
        <f>IF(R3550="","",IFERROR(TODAY()+VLOOKUP(R3550,REGRAS!$B$2:$C$13,2,0),""))</f>
        <v/>
      </c>
    </row>
    <row r="3551">
      <c r="T3551" s="47">
        <f>IF(R3551="","",IFERROR(TODAY()+VLOOKUP(R3551,REGRAS!$B$2:$C$13,2,0),""))</f>
        <v/>
      </c>
    </row>
    <row r="3552">
      <c r="T3552" s="47">
        <f>IF(R3552="","",IFERROR(TODAY()+VLOOKUP(R3552,REGRAS!$B$2:$C$13,2,0),""))</f>
        <v/>
      </c>
    </row>
    <row r="3553">
      <c r="T3553" s="47">
        <f>IF(R3553="","",IFERROR(TODAY()+VLOOKUP(R3553,REGRAS!$B$2:$C$13,2,0),""))</f>
        <v/>
      </c>
    </row>
    <row r="3554">
      <c r="T3554" s="47">
        <f>IF(R3554="","",IFERROR(TODAY()+VLOOKUP(R3554,REGRAS!$B$2:$C$13,2,0),""))</f>
        <v/>
      </c>
    </row>
    <row r="3555">
      <c r="T3555" s="47">
        <f>IF(R3555="","",IFERROR(TODAY()+VLOOKUP(R3555,REGRAS!$B$2:$C$13,2,0),""))</f>
        <v/>
      </c>
    </row>
    <row r="3556">
      <c r="T3556" s="47">
        <f>IF(R3556="","",IFERROR(TODAY()+VLOOKUP(R3556,REGRAS!$B$2:$C$13,2,0),""))</f>
        <v/>
      </c>
    </row>
    <row r="3557">
      <c r="T3557" s="47">
        <f>IF(R3557="","",IFERROR(TODAY()+VLOOKUP(R3557,REGRAS!$B$2:$C$13,2,0),""))</f>
        <v/>
      </c>
    </row>
    <row r="3558">
      <c r="T3558" s="47">
        <f>IF(R3558="","",IFERROR(TODAY()+VLOOKUP(R3558,REGRAS!$B$2:$C$13,2,0),""))</f>
        <v/>
      </c>
    </row>
    <row r="3559">
      <c r="T3559" s="47">
        <f>IF(R3559="","",IFERROR(TODAY()+VLOOKUP(R3559,REGRAS!$B$2:$C$13,2,0),""))</f>
        <v/>
      </c>
    </row>
    <row r="3560">
      <c r="T3560" s="47">
        <f>IF(R3560="","",IFERROR(TODAY()+VLOOKUP(R3560,REGRAS!$B$2:$C$13,2,0),""))</f>
        <v/>
      </c>
    </row>
    <row r="3561">
      <c r="T3561" s="47">
        <f>IF(R3561="","",IFERROR(TODAY()+VLOOKUP(R3561,REGRAS!$B$2:$C$13,2,0),""))</f>
        <v/>
      </c>
    </row>
    <row r="3562">
      <c r="T3562" s="47">
        <f>IF(R3562="","",IFERROR(TODAY()+VLOOKUP(R3562,REGRAS!$B$2:$C$13,2,0),""))</f>
        <v/>
      </c>
    </row>
    <row r="3563">
      <c r="T3563" s="47">
        <f>IF(R3563="","",IFERROR(TODAY()+VLOOKUP(R3563,REGRAS!$B$2:$C$13,2,0),""))</f>
        <v/>
      </c>
    </row>
    <row r="3564">
      <c r="T3564" s="47">
        <f>IF(R3564="","",IFERROR(TODAY()+VLOOKUP(R3564,REGRAS!$B$2:$C$13,2,0),""))</f>
        <v/>
      </c>
    </row>
    <row r="3565">
      <c r="T3565" s="47">
        <f>IF(R3565="","",IFERROR(TODAY()+VLOOKUP(R3565,REGRAS!$B$2:$C$13,2,0),""))</f>
        <v/>
      </c>
    </row>
    <row r="3566">
      <c r="T3566" s="47">
        <f>IF(R3566="","",IFERROR(TODAY()+VLOOKUP(R3566,REGRAS!$B$2:$C$13,2,0),""))</f>
        <v/>
      </c>
    </row>
    <row r="3567">
      <c r="T3567" s="47">
        <f>IF(R3567="","",IFERROR(TODAY()+VLOOKUP(R3567,REGRAS!$B$2:$C$13,2,0),""))</f>
        <v/>
      </c>
    </row>
    <row r="3568">
      <c r="T3568" s="47">
        <f>IF(R3568="","",IFERROR(TODAY()+VLOOKUP(R3568,REGRAS!$B$2:$C$13,2,0),""))</f>
        <v/>
      </c>
    </row>
    <row r="3569">
      <c r="T3569" s="47">
        <f>IF(R3569="","",IFERROR(TODAY()+VLOOKUP(R3569,REGRAS!$B$2:$C$13,2,0),""))</f>
        <v/>
      </c>
    </row>
    <row r="3570">
      <c r="T3570" s="47">
        <f>IF(R3570="","",IFERROR(TODAY()+VLOOKUP(R3570,REGRAS!$B$2:$C$13,2,0),""))</f>
        <v/>
      </c>
    </row>
    <row r="3571">
      <c r="T3571" s="47">
        <f>IF(R3571="","",IFERROR(TODAY()+VLOOKUP(R3571,REGRAS!$B$2:$C$13,2,0),""))</f>
        <v/>
      </c>
    </row>
    <row r="3572">
      <c r="T3572" s="47">
        <f>IF(R3572="","",IFERROR(TODAY()+VLOOKUP(R3572,REGRAS!$B$2:$C$13,2,0),""))</f>
        <v/>
      </c>
    </row>
    <row r="3573">
      <c r="T3573" s="47">
        <f>IF(R3573="","",IFERROR(TODAY()+VLOOKUP(R3573,REGRAS!$B$2:$C$13,2,0),""))</f>
        <v/>
      </c>
    </row>
    <row r="3574">
      <c r="T3574" s="47">
        <f>IF(R3574="","",IFERROR(TODAY()+VLOOKUP(R3574,REGRAS!$B$2:$C$13,2,0),""))</f>
        <v/>
      </c>
    </row>
    <row r="3575">
      <c r="T3575" s="47">
        <f>IF(R3575="","",IFERROR(TODAY()+VLOOKUP(R3575,REGRAS!$B$2:$C$13,2,0),""))</f>
        <v/>
      </c>
    </row>
    <row r="3576">
      <c r="T3576" s="47">
        <f>IF(R3576="","",IFERROR(TODAY()+VLOOKUP(R3576,REGRAS!$B$2:$C$13,2,0),""))</f>
        <v/>
      </c>
    </row>
    <row r="3577">
      <c r="T3577" s="47">
        <f>IF(R3577="","",IFERROR(TODAY()+VLOOKUP(R3577,REGRAS!$B$2:$C$13,2,0),""))</f>
        <v/>
      </c>
    </row>
    <row r="3578">
      <c r="T3578" s="47">
        <f>IF(R3578="","",IFERROR(TODAY()+VLOOKUP(R3578,REGRAS!$B$2:$C$13,2,0),""))</f>
        <v/>
      </c>
    </row>
    <row r="3579">
      <c r="T3579" s="47">
        <f>IF(R3579="","",IFERROR(TODAY()+VLOOKUP(R3579,REGRAS!$B$2:$C$13,2,0),""))</f>
        <v/>
      </c>
    </row>
    <row r="3580">
      <c r="T3580" s="47">
        <f>IF(R3580="","",IFERROR(TODAY()+VLOOKUP(R3580,REGRAS!$B$2:$C$13,2,0),""))</f>
        <v/>
      </c>
    </row>
    <row r="3581">
      <c r="T3581" s="47">
        <f>IF(R3581="","",IFERROR(TODAY()+VLOOKUP(R3581,REGRAS!$B$2:$C$13,2,0),""))</f>
        <v/>
      </c>
    </row>
    <row r="3582">
      <c r="T3582" s="47">
        <f>IF(R3582="","",IFERROR(TODAY()+VLOOKUP(R3582,REGRAS!$B$2:$C$13,2,0),""))</f>
        <v/>
      </c>
    </row>
    <row r="3583">
      <c r="T3583" s="47">
        <f>IF(R3583="","",IFERROR(TODAY()+VLOOKUP(R3583,REGRAS!$B$2:$C$13,2,0),""))</f>
        <v/>
      </c>
    </row>
    <row r="3584">
      <c r="T3584" s="47">
        <f>IF(R3584="","",IFERROR(TODAY()+VLOOKUP(R3584,REGRAS!$B$2:$C$13,2,0),""))</f>
        <v/>
      </c>
    </row>
    <row r="3585">
      <c r="T3585" s="47">
        <f>IF(R3585="","",IFERROR(TODAY()+VLOOKUP(R3585,REGRAS!$B$2:$C$13,2,0),""))</f>
        <v/>
      </c>
    </row>
    <row r="3586">
      <c r="T3586" s="47">
        <f>IF(R3586="","",IFERROR(TODAY()+VLOOKUP(R3586,REGRAS!$B$2:$C$13,2,0),""))</f>
        <v/>
      </c>
    </row>
    <row r="3587">
      <c r="T3587" s="47">
        <f>IF(R3587="","",IFERROR(TODAY()+VLOOKUP(R3587,REGRAS!$B$2:$C$13,2,0),""))</f>
        <v/>
      </c>
    </row>
    <row r="3588">
      <c r="T3588" s="47">
        <f>IF(R3588="","",IFERROR(TODAY()+VLOOKUP(R3588,REGRAS!$B$2:$C$13,2,0),""))</f>
        <v/>
      </c>
    </row>
    <row r="3589">
      <c r="T3589" s="47">
        <f>IF(R3589="","",IFERROR(TODAY()+VLOOKUP(R3589,REGRAS!$B$2:$C$13,2,0),""))</f>
        <v/>
      </c>
    </row>
    <row r="3590">
      <c r="T3590" s="47">
        <f>IF(R3590="","",IFERROR(TODAY()+VLOOKUP(R3590,REGRAS!$B$2:$C$13,2,0),""))</f>
        <v/>
      </c>
    </row>
    <row r="3591">
      <c r="T3591" s="47">
        <f>IF(R3591="","",IFERROR(TODAY()+VLOOKUP(R3591,REGRAS!$B$2:$C$13,2,0),""))</f>
        <v/>
      </c>
    </row>
    <row r="3592">
      <c r="T3592" s="47">
        <f>IF(R3592="","",IFERROR(TODAY()+VLOOKUP(R3592,REGRAS!$B$2:$C$13,2,0),""))</f>
        <v/>
      </c>
    </row>
    <row r="3593">
      <c r="T3593" s="47">
        <f>IF(R3593="","",IFERROR(TODAY()+VLOOKUP(R3593,REGRAS!$B$2:$C$13,2,0),""))</f>
        <v/>
      </c>
    </row>
    <row r="3594">
      <c r="T3594" s="47">
        <f>IF(R3594="","",IFERROR(TODAY()+VLOOKUP(R3594,REGRAS!$B$2:$C$13,2,0),""))</f>
        <v/>
      </c>
    </row>
    <row r="3595">
      <c r="T3595" s="47">
        <f>IF(R3595="","",IFERROR(TODAY()+VLOOKUP(R3595,REGRAS!$B$2:$C$13,2,0),""))</f>
        <v/>
      </c>
    </row>
    <row r="3596">
      <c r="T3596" s="47">
        <f>IF(R3596="","",IFERROR(TODAY()+VLOOKUP(R3596,REGRAS!$B$2:$C$13,2,0),""))</f>
        <v/>
      </c>
    </row>
    <row r="3597">
      <c r="T3597" s="47">
        <f>IF(R3597="","",IFERROR(TODAY()+VLOOKUP(R3597,REGRAS!$B$2:$C$13,2,0),""))</f>
        <v/>
      </c>
    </row>
    <row r="3598">
      <c r="T3598" s="47">
        <f>IF(R3598="","",IFERROR(TODAY()+VLOOKUP(R3598,REGRAS!$B$2:$C$13,2,0),""))</f>
        <v/>
      </c>
    </row>
    <row r="3599">
      <c r="T3599" s="47">
        <f>IF(R3599="","",IFERROR(TODAY()+VLOOKUP(R3599,REGRAS!$B$2:$C$13,2,0),""))</f>
        <v/>
      </c>
    </row>
    <row r="3600">
      <c r="T3600" s="47">
        <f>IF(R3600="","",IFERROR(TODAY()+VLOOKUP(R3600,REGRAS!$B$2:$C$13,2,0),""))</f>
        <v/>
      </c>
    </row>
    <row r="3601">
      <c r="T3601" s="47">
        <f>IF(R3601="","",IFERROR(TODAY()+VLOOKUP(R3601,REGRAS!$B$2:$C$13,2,0),""))</f>
        <v/>
      </c>
    </row>
    <row r="3602">
      <c r="T3602" s="47">
        <f>IF(R3602="","",IFERROR(TODAY()+VLOOKUP(R3602,REGRAS!$B$2:$C$13,2,0),""))</f>
        <v/>
      </c>
    </row>
    <row r="3603">
      <c r="T3603" s="47">
        <f>IF(R3603="","",IFERROR(TODAY()+VLOOKUP(R3603,REGRAS!$B$2:$C$13,2,0),""))</f>
        <v/>
      </c>
    </row>
    <row r="3604">
      <c r="T3604" s="47">
        <f>IF(R3604="","",IFERROR(TODAY()+VLOOKUP(R3604,REGRAS!$B$2:$C$13,2,0),""))</f>
        <v/>
      </c>
    </row>
    <row r="3605">
      <c r="T3605" s="47">
        <f>IF(R3605="","",IFERROR(TODAY()+VLOOKUP(R3605,REGRAS!$B$2:$C$13,2,0),""))</f>
        <v/>
      </c>
    </row>
    <row r="3606">
      <c r="T3606" s="47">
        <f>IF(R3606="","",IFERROR(TODAY()+VLOOKUP(R3606,REGRAS!$B$2:$C$13,2,0),""))</f>
        <v/>
      </c>
    </row>
    <row r="3607">
      <c r="T3607" s="47">
        <f>IF(R3607="","",IFERROR(TODAY()+VLOOKUP(R3607,REGRAS!$B$2:$C$13,2,0),""))</f>
        <v/>
      </c>
    </row>
    <row r="3608">
      <c r="T3608" s="47">
        <f>IF(R3608="","",IFERROR(TODAY()+VLOOKUP(R3608,REGRAS!$B$2:$C$13,2,0),""))</f>
        <v/>
      </c>
    </row>
    <row r="3609">
      <c r="T3609" s="47">
        <f>IF(R3609="","",IFERROR(TODAY()+VLOOKUP(R3609,REGRAS!$B$2:$C$13,2,0),""))</f>
        <v/>
      </c>
    </row>
    <row r="3610">
      <c r="T3610" s="47">
        <f>IF(R3610="","",IFERROR(TODAY()+VLOOKUP(R3610,REGRAS!$B$2:$C$13,2,0),""))</f>
        <v/>
      </c>
    </row>
    <row r="3611">
      <c r="T3611" s="47">
        <f>IF(R3611="","",IFERROR(TODAY()+VLOOKUP(R3611,REGRAS!$B$2:$C$13,2,0),""))</f>
        <v/>
      </c>
    </row>
    <row r="3612">
      <c r="T3612" s="47">
        <f>IF(R3612="","",IFERROR(TODAY()+VLOOKUP(R3612,REGRAS!$B$2:$C$13,2,0),""))</f>
        <v/>
      </c>
    </row>
    <row r="3613">
      <c r="T3613" s="47">
        <f>IF(R3613="","",IFERROR(TODAY()+VLOOKUP(R3613,REGRAS!$B$2:$C$13,2,0),""))</f>
        <v/>
      </c>
    </row>
    <row r="3614">
      <c r="T3614" s="47">
        <f>IF(R3614="","",IFERROR(TODAY()+VLOOKUP(R3614,REGRAS!$B$2:$C$13,2,0),""))</f>
        <v/>
      </c>
    </row>
    <row r="3615">
      <c r="T3615" s="47">
        <f>IF(R3615="","",IFERROR(TODAY()+VLOOKUP(R3615,REGRAS!$B$2:$C$13,2,0),""))</f>
        <v/>
      </c>
    </row>
    <row r="3616">
      <c r="T3616" s="47">
        <f>IF(R3616="","",IFERROR(TODAY()+VLOOKUP(R3616,REGRAS!$B$2:$C$13,2,0),""))</f>
        <v/>
      </c>
    </row>
    <row r="3617">
      <c r="T3617" s="47">
        <f>IF(R3617="","",IFERROR(TODAY()+VLOOKUP(R3617,REGRAS!$B$2:$C$13,2,0),""))</f>
        <v/>
      </c>
    </row>
    <row r="3618">
      <c r="T3618" s="47">
        <f>IF(R3618="","",IFERROR(TODAY()+VLOOKUP(R3618,REGRAS!$B$2:$C$13,2,0),""))</f>
        <v/>
      </c>
    </row>
    <row r="3619">
      <c r="T3619" s="47">
        <f>IF(R3619="","",IFERROR(TODAY()+VLOOKUP(R3619,REGRAS!$B$2:$C$13,2,0),""))</f>
        <v/>
      </c>
    </row>
    <row r="3620">
      <c r="T3620" s="47">
        <f>IF(R3620="","",IFERROR(TODAY()+VLOOKUP(R3620,REGRAS!$B$2:$C$13,2,0),""))</f>
        <v/>
      </c>
    </row>
    <row r="3621">
      <c r="T3621" s="47">
        <f>IF(R3621="","",IFERROR(TODAY()+VLOOKUP(R3621,REGRAS!$B$2:$C$13,2,0),""))</f>
        <v/>
      </c>
    </row>
    <row r="3622">
      <c r="T3622" s="47">
        <f>IF(R3622="","",IFERROR(TODAY()+VLOOKUP(R3622,REGRAS!$B$2:$C$13,2,0),""))</f>
        <v/>
      </c>
    </row>
    <row r="3623">
      <c r="T3623" s="47">
        <f>IF(R3623="","",IFERROR(TODAY()+VLOOKUP(R3623,REGRAS!$B$2:$C$13,2,0),""))</f>
        <v/>
      </c>
    </row>
    <row r="3624">
      <c r="T3624" s="47">
        <f>IF(R3624="","",IFERROR(TODAY()+VLOOKUP(R3624,REGRAS!$B$2:$C$13,2,0),""))</f>
        <v/>
      </c>
    </row>
    <row r="3625">
      <c r="T3625" s="47">
        <f>IF(R3625="","",IFERROR(TODAY()+VLOOKUP(R3625,REGRAS!$B$2:$C$13,2,0),""))</f>
        <v/>
      </c>
    </row>
    <row r="3626">
      <c r="T3626" s="47">
        <f>IF(R3626="","",IFERROR(TODAY()+VLOOKUP(R3626,REGRAS!$B$2:$C$13,2,0),""))</f>
        <v/>
      </c>
    </row>
    <row r="3627">
      <c r="T3627" s="47">
        <f>IF(R3627="","",IFERROR(TODAY()+VLOOKUP(R3627,REGRAS!$B$2:$C$13,2,0),""))</f>
        <v/>
      </c>
    </row>
    <row r="3628">
      <c r="T3628" s="47">
        <f>IF(R3628="","",IFERROR(TODAY()+VLOOKUP(R3628,REGRAS!$B$2:$C$13,2,0),""))</f>
        <v/>
      </c>
    </row>
    <row r="3629">
      <c r="T3629" s="47">
        <f>IF(R3629="","",IFERROR(TODAY()+VLOOKUP(R3629,REGRAS!$B$2:$C$13,2,0),""))</f>
        <v/>
      </c>
    </row>
    <row r="3630">
      <c r="T3630" s="47">
        <f>IF(R3630="","",IFERROR(TODAY()+VLOOKUP(R3630,REGRAS!$B$2:$C$13,2,0),""))</f>
        <v/>
      </c>
    </row>
    <row r="3631">
      <c r="T3631" s="47">
        <f>IF(R3631="","",IFERROR(TODAY()+VLOOKUP(R3631,REGRAS!$B$2:$C$13,2,0),""))</f>
        <v/>
      </c>
    </row>
    <row r="3632">
      <c r="T3632" s="47">
        <f>IF(R3632="","",IFERROR(TODAY()+VLOOKUP(R3632,REGRAS!$B$2:$C$13,2,0),""))</f>
        <v/>
      </c>
    </row>
    <row r="3633">
      <c r="T3633" s="47">
        <f>IF(R3633="","",IFERROR(TODAY()+VLOOKUP(R3633,REGRAS!$B$2:$C$13,2,0),""))</f>
        <v/>
      </c>
    </row>
    <row r="3634">
      <c r="T3634" s="47">
        <f>IF(R3634="","",IFERROR(TODAY()+VLOOKUP(R3634,REGRAS!$B$2:$C$13,2,0),""))</f>
        <v/>
      </c>
    </row>
    <row r="3635">
      <c r="T3635" s="47">
        <f>IF(R3635="","",IFERROR(TODAY()+VLOOKUP(R3635,REGRAS!$B$2:$C$13,2,0),""))</f>
        <v/>
      </c>
    </row>
    <row r="3636">
      <c r="T3636" s="47">
        <f>IF(R3636="","",IFERROR(TODAY()+VLOOKUP(R3636,REGRAS!$B$2:$C$13,2,0),""))</f>
        <v/>
      </c>
    </row>
    <row r="3637">
      <c r="T3637" s="47">
        <f>IF(R3637="","",IFERROR(TODAY()+VLOOKUP(R3637,REGRAS!$B$2:$C$13,2,0),""))</f>
        <v/>
      </c>
    </row>
    <row r="3638">
      <c r="T3638" s="47">
        <f>IF(R3638="","",IFERROR(TODAY()+VLOOKUP(R3638,REGRAS!$B$2:$C$13,2,0),""))</f>
        <v/>
      </c>
    </row>
    <row r="3639">
      <c r="T3639" s="47">
        <f>IF(R3639="","",IFERROR(TODAY()+VLOOKUP(R3639,REGRAS!$B$2:$C$13,2,0),""))</f>
        <v/>
      </c>
    </row>
    <row r="3640">
      <c r="T3640" s="47">
        <f>IF(R3640="","",IFERROR(TODAY()+VLOOKUP(R3640,REGRAS!$B$2:$C$13,2,0),""))</f>
        <v/>
      </c>
    </row>
    <row r="3641">
      <c r="T3641" s="47">
        <f>IF(R3641="","",IFERROR(TODAY()+VLOOKUP(R3641,REGRAS!$B$2:$C$13,2,0),""))</f>
        <v/>
      </c>
    </row>
    <row r="3642">
      <c r="T3642" s="47">
        <f>IF(R3642="","",IFERROR(TODAY()+VLOOKUP(R3642,REGRAS!$B$2:$C$13,2,0),""))</f>
        <v/>
      </c>
    </row>
    <row r="3643">
      <c r="T3643" s="47">
        <f>IF(R3643="","",IFERROR(TODAY()+VLOOKUP(R3643,REGRAS!$B$2:$C$13,2,0),""))</f>
        <v/>
      </c>
    </row>
    <row r="3644">
      <c r="T3644" s="47">
        <f>IF(R3644="","",IFERROR(TODAY()+VLOOKUP(R3644,REGRAS!$B$2:$C$13,2,0),""))</f>
        <v/>
      </c>
    </row>
    <row r="3645">
      <c r="T3645" s="47">
        <f>IF(R3645="","",IFERROR(TODAY()+VLOOKUP(R3645,REGRAS!$B$2:$C$13,2,0),""))</f>
        <v/>
      </c>
    </row>
    <row r="3646">
      <c r="T3646" s="47">
        <f>IF(R3646="","",IFERROR(TODAY()+VLOOKUP(R3646,REGRAS!$B$2:$C$13,2,0),""))</f>
        <v/>
      </c>
    </row>
    <row r="3647">
      <c r="T3647" s="47">
        <f>IF(R3647="","",IFERROR(TODAY()+VLOOKUP(R3647,REGRAS!$B$2:$C$13,2,0),""))</f>
        <v/>
      </c>
    </row>
    <row r="3648">
      <c r="T3648" s="47">
        <f>IF(R3648="","",IFERROR(TODAY()+VLOOKUP(R3648,REGRAS!$B$2:$C$13,2,0),""))</f>
        <v/>
      </c>
    </row>
    <row r="3649">
      <c r="T3649" s="47">
        <f>IF(R3649="","",IFERROR(TODAY()+VLOOKUP(R3649,REGRAS!$B$2:$C$13,2,0),""))</f>
        <v/>
      </c>
    </row>
    <row r="3650">
      <c r="T3650" s="47">
        <f>IF(R3650="","",IFERROR(TODAY()+VLOOKUP(R3650,REGRAS!$B$2:$C$13,2,0),""))</f>
        <v/>
      </c>
    </row>
    <row r="3651">
      <c r="T3651" s="47">
        <f>IF(R3651="","",IFERROR(TODAY()+VLOOKUP(R3651,REGRAS!$B$2:$C$13,2,0),""))</f>
        <v/>
      </c>
    </row>
    <row r="3652">
      <c r="T3652" s="47">
        <f>IF(R3652="","",IFERROR(TODAY()+VLOOKUP(R3652,REGRAS!$B$2:$C$13,2,0),""))</f>
        <v/>
      </c>
    </row>
    <row r="3653">
      <c r="T3653" s="47">
        <f>IF(R3653="","",IFERROR(TODAY()+VLOOKUP(R3653,REGRAS!$B$2:$C$13,2,0),""))</f>
        <v/>
      </c>
    </row>
    <row r="3654">
      <c r="T3654" s="47">
        <f>IF(R3654="","",IFERROR(TODAY()+VLOOKUP(R3654,REGRAS!$B$2:$C$13,2,0),""))</f>
        <v/>
      </c>
    </row>
    <row r="3655">
      <c r="T3655" s="47">
        <f>IF(R3655="","",IFERROR(TODAY()+VLOOKUP(R3655,REGRAS!$B$2:$C$13,2,0),""))</f>
        <v/>
      </c>
    </row>
    <row r="3656">
      <c r="T3656" s="47">
        <f>IF(R3656="","",IFERROR(TODAY()+VLOOKUP(R3656,REGRAS!$B$2:$C$13,2,0),""))</f>
        <v/>
      </c>
    </row>
    <row r="3657">
      <c r="T3657" s="47">
        <f>IF(R3657="","",IFERROR(TODAY()+VLOOKUP(R3657,REGRAS!$B$2:$C$13,2,0),""))</f>
        <v/>
      </c>
    </row>
    <row r="3658">
      <c r="T3658" s="47">
        <f>IF(R3658="","",IFERROR(TODAY()+VLOOKUP(R3658,REGRAS!$B$2:$C$13,2,0),""))</f>
        <v/>
      </c>
    </row>
    <row r="3659">
      <c r="T3659" s="47">
        <f>IF(R3659="","",IFERROR(TODAY()+VLOOKUP(R3659,REGRAS!$B$2:$C$13,2,0),""))</f>
        <v/>
      </c>
    </row>
    <row r="3660">
      <c r="T3660" s="47">
        <f>IF(R3660="","",IFERROR(TODAY()+VLOOKUP(R3660,REGRAS!$B$2:$C$13,2,0),""))</f>
        <v/>
      </c>
    </row>
    <row r="3661">
      <c r="T3661" s="47">
        <f>IF(R3661="","",IFERROR(TODAY()+VLOOKUP(R3661,REGRAS!$B$2:$C$13,2,0),""))</f>
        <v/>
      </c>
    </row>
    <row r="3662">
      <c r="T3662" s="47">
        <f>IF(R3662="","",IFERROR(TODAY()+VLOOKUP(R3662,REGRAS!$B$2:$C$13,2,0),""))</f>
        <v/>
      </c>
    </row>
    <row r="3663">
      <c r="T3663" s="47">
        <f>IF(R3663="","",IFERROR(TODAY()+VLOOKUP(R3663,REGRAS!$B$2:$C$13,2,0),""))</f>
        <v/>
      </c>
    </row>
    <row r="3664">
      <c r="T3664" s="47">
        <f>IF(R3664="","",IFERROR(TODAY()+VLOOKUP(R3664,REGRAS!$B$2:$C$13,2,0),""))</f>
        <v/>
      </c>
    </row>
    <row r="3665">
      <c r="T3665" s="47">
        <f>IF(R3665="","",IFERROR(TODAY()+VLOOKUP(R3665,REGRAS!$B$2:$C$13,2,0),""))</f>
        <v/>
      </c>
    </row>
    <row r="3666">
      <c r="T3666" s="47">
        <f>IF(R3666="","",IFERROR(TODAY()+VLOOKUP(R3666,REGRAS!$B$2:$C$13,2,0),""))</f>
        <v/>
      </c>
    </row>
    <row r="3667">
      <c r="T3667" s="47">
        <f>IF(R3667="","",IFERROR(TODAY()+VLOOKUP(R3667,REGRAS!$B$2:$C$13,2,0),""))</f>
        <v/>
      </c>
    </row>
    <row r="3668">
      <c r="T3668" s="47">
        <f>IF(R3668="","",IFERROR(TODAY()+VLOOKUP(R3668,REGRAS!$B$2:$C$13,2,0),""))</f>
        <v/>
      </c>
    </row>
    <row r="3669">
      <c r="T3669" s="47">
        <f>IF(R3669="","",IFERROR(TODAY()+VLOOKUP(R3669,REGRAS!$B$2:$C$13,2,0),""))</f>
        <v/>
      </c>
    </row>
    <row r="3670">
      <c r="T3670" s="47">
        <f>IF(R3670="","",IFERROR(TODAY()+VLOOKUP(R3670,REGRAS!$B$2:$C$13,2,0),""))</f>
        <v/>
      </c>
    </row>
    <row r="3671">
      <c r="T3671" s="47">
        <f>IF(R3671="","",IFERROR(TODAY()+VLOOKUP(R3671,REGRAS!$B$2:$C$13,2,0),""))</f>
        <v/>
      </c>
    </row>
    <row r="3672">
      <c r="T3672" s="47">
        <f>IF(R3672="","",IFERROR(TODAY()+VLOOKUP(R3672,REGRAS!$B$2:$C$13,2,0),""))</f>
        <v/>
      </c>
    </row>
    <row r="3673">
      <c r="T3673" s="47">
        <f>IF(R3673="","",IFERROR(TODAY()+VLOOKUP(R3673,REGRAS!$B$2:$C$13,2,0),""))</f>
        <v/>
      </c>
    </row>
    <row r="3674">
      <c r="T3674" s="47">
        <f>IF(R3674="","",IFERROR(TODAY()+VLOOKUP(R3674,REGRAS!$B$2:$C$13,2,0),""))</f>
        <v/>
      </c>
    </row>
    <row r="3675">
      <c r="T3675" s="47">
        <f>IF(R3675="","",IFERROR(TODAY()+VLOOKUP(R3675,REGRAS!$B$2:$C$13,2,0),""))</f>
        <v/>
      </c>
    </row>
    <row r="3676">
      <c r="T3676" s="47">
        <f>IF(R3676="","",IFERROR(TODAY()+VLOOKUP(R3676,REGRAS!$B$2:$C$13,2,0),""))</f>
        <v/>
      </c>
    </row>
    <row r="3677">
      <c r="T3677" s="47">
        <f>IF(R3677="","",IFERROR(TODAY()+VLOOKUP(R3677,REGRAS!$B$2:$C$13,2,0),""))</f>
        <v/>
      </c>
    </row>
    <row r="3678">
      <c r="T3678" s="47">
        <f>IF(R3678="","",IFERROR(TODAY()+VLOOKUP(R3678,REGRAS!$B$2:$C$13,2,0),""))</f>
        <v/>
      </c>
    </row>
    <row r="3679">
      <c r="T3679" s="47">
        <f>IF(R3679="","",IFERROR(TODAY()+VLOOKUP(R3679,REGRAS!$B$2:$C$13,2,0),""))</f>
        <v/>
      </c>
    </row>
    <row r="3680">
      <c r="T3680" s="47">
        <f>IF(R3680="","",IFERROR(TODAY()+VLOOKUP(R3680,REGRAS!$B$2:$C$13,2,0),""))</f>
        <v/>
      </c>
    </row>
    <row r="3681">
      <c r="T3681" s="47">
        <f>IF(R3681="","",IFERROR(TODAY()+VLOOKUP(R3681,REGRAS!$B$2:$C$13,2,0),""))</f>
        <v/>
      </c>
    </row>
    <row r="3682">
      <c r="T3682" s="47">
        <f>IF(R3682="","",IFERROR(TODAY()+VLOOKUP(R3682,REGRAS!$B$2:$C$13,2,0),""))</f>
        <v/>
      </c>
    </row>
    <row r="3683">
      <c r="T3683" s="47">
        <f>IF(R3683="","",IFERROR(TODAY()+VLOOKUP(R3683,REGRAS!$B$2:$C$13,2,0),""))</f>
        <v/>
      </c>
    </row>
    <row r="3684">
      <c r="T3684" s="47">
        <f>IF(R3684="","",IFERROR(TODAY()+VLOOKUP(R3684,REGRAS!$B$2:$C$13,2,0),""))</f>
        <v/>
      </c>
    </row>
    <row r="3685">
      <c r="T3685" s="47">
        <f>IF(R3685="","",IFERROR(TODAY()+VLOOKUP(R3685,REGRAS!$B$2:$C$13,2,0),""))</f>
        <v/>
      </c>
    </row>
    <row r="3686">
      <c r="T3686" s="47">
        <f>IF(R3686="","",IFERROR(TODAY()+VLOOKUP(R3686,REGRAS!$B$2:$C$13,2,0),""))</f>
        <v/>
      </c>
    </row>
    <row r="3687">
      <c r="T3687" s="47">
        <f>IF(R3687="","",IFERROR(TODAY()+VLOOKUP(R3687,REGRAS!$B$2:$C$13,2,0),""))</f>
        <v/>
      </c>
    </row>
    <row r="3688">
      <c r="T3688" s="47">
        <f>IF(R3688="","",IFERROR(TODAY()+VLOOKUP(R3688,REGRAS!$B$2:$C$13,2,0),""))</f>
        <v/>
      </c>
    </row>
    <row r="3689">
      <c r="T3689" s="47">
        <f>IF(R3689="","",IFERROR(TODAY()+VLOOKUP(R3689,REGRAS!$B$2:$C$13,2,0),""))</f>
        <v/>
      </c>
    </row>
    <row r="3690">
      <c r="T3690" s="47">
        <f>IF(R3690="","",IFERROR(TODAY()+VLOOKUP(R3690,REGRAS!$B$2:$C$13,2,0),""))</f>
        <v/>
      </c>
    </row>
    <row r="3691">
      <c r="T3691" s="47">
        <f>IF(R3691="","",IFERROR(TODAY()+VLOOKUP(R3691,REGRAS!$B$2:$C$13,2,0),""))</f>
        <v/>
      </c>
    </row>
    <row r="3692">
      <c r="T3692" s="47">
        <f>IF(R3692="","",IFERROR(TODAY()+VLOOKUP(R3692,REGRAS!$B$2:$C$13,2,0),""))</f>
        <v/>
      </c>
    </row>
    <row r="3693">
      <c r="T3693" s="47">
        <f>IF(R3693="","",IFERROR(TODAY()+VLOOKUP(R3693,REGRAS!$B$2:$C$13,2,0),""))</f>
        <v/>
      </c>
    </row>
    <row r="3694">
      <c r="T3694" s="47">
        <f>IF(R3694="","",IFERROR(TODAY()+VLOOKUP(R3694,REGRAS!$B$2:$C$13,2,0),""))</f>
        <v/>
      </c>
    </row>
    <row r="3695">
      <c r="T3695" s="47">
        <f>IF(R3695="","",IFERROR(TODAY()+VLOOKUP(R3695,REGRAS!$B$2:$C$13,2,0),""))</f>
        <v/>
      </c>
    </row>
    <row r="3696">
      <c r="T3696" s="47">
        <f>IF(R3696="","",IFERROR(TODAY()+VLOOKUP(R3696,REGRAS!$B$2:$C$13,2,0),""))</f>
        <v/>
      </c>
    </row>
    <row r="3697">
      <c r="T3697" s="47">
        <f>IF(R3697="","",IFERROR(TODAY()+VLOOKUP(R3697,REGRAS!$B$2:$C$13,2,0),""))</f>
        <v/>
      </c>
    </row>
    <row r="3698">
      <c r="T3698" s="47">
        <f>IF(R3698="","",IFERROR(TODAY()+VLOOKUP(R3698,REGRAS!$B$2:$C$13,2,0),""))</f>
        <v/>
      </c>
    </row>
    <row r="3699">
      <c r="T3699" s="47">
        <f>IF(R3699="","",IFERROR(TODAY()+VLOOKUP(R3699,REGRAS!$B$2:$C$13,2,0),""))</f>
        <v/>
      </c>
    </row>
    <row r="3700">
      <c r="T3700" s="47">
        <f>IF(R3700="","",IFERROR(TODAY()+VLOOKUP(R3700,REGRAS!$B$2:$C$13,2,0),""))</f>
        <v/>
      </c>
    </row>
    <row r="3701">
      <c r="T3701" s="47">
        <f>IF(R3701="","",IFERROR(TODAY()+VLOOKUP(R3701,REGRAS!$B$2:$C$13,2,0),""))</f>
        <v/>
      </c>
    </row>
    <row r="3702">
      <c r="T3702" s="47">
        <f>IF(R3702="","",IFERROR(TODAY()+VLOOKUP(R3702,REGRAS!$B$2:$C$13,2,0),""))</f>
        <v/>
      </c>
    </row>
    <row r="3703">
      <c r="T3703" s="47">
        <f>IF(R3703="","",IFERROR(TODAY()+VLOOKUP(R3703,REGRAS!$B$2:$C$13,2,0),""))</f>
        <v/>
      </c>
    </row>
    <row r="3704">
      <c r="T3704" s="47">
        <f>IF(R3704="","",IFERROR(TODAY()+VLOOKUP(R3704,REGRAS!$B$2:$C$13,2,0),""))</f>
        <v/>
      </c>
    </row>
    <row r="3705">
      <c r="T3705" s="47">
        <f>IF(R3705="","",IFERROR(TODAY()+VLOOKUP(R3705,REGRAS!$B$2:$C$13,2,0),""))</f>
        <v/>
      </c>
    </row>
    <row r="3706">
      <c r="T3706" s="47">
        <f>IF(R3706="","",IFERROR(TODAY()+VLOOKUP(R3706,REGRAS!$B$2:$C$13,2,0),""))</f>
        <v/>
      </c>
    </row>
    <row r="3707">
      <c r="T3707" s="47">
        <f>IF(R3707="","",IFERROR(TODAY()+VLOOKUP(R3707,REGRAS!$B$2:$C$13,2,0),""))</f>
        <v/>
      </c>
    </row>
    <row r="3708">
      <c r="T3708" s="47">
        <f>IF(R3708="","",IFERROR(TODAY()+VLOOKUP(R3708,REGRAS!$B$2:$C$13,2,0),""))</f>
        <v/>
      </c>
    </row>
    <row r="3709">
      <c r="T3709" s="47">
        <f>IF(R3709="","",IFERROR(TODAY()+VLOOKUP(R3709,REGRAS!$B$2:$C$13,2,0),""))</f>
        <v/>
      </c>
    </row>
    <row r="3710">
      <c r="T3710" s="47">
        <f>IF(R3710="","",IFERROR(TODAY()+VLOOKUP(R3710,REGRAS!$B$2:$C$13,2,0),""))</f>
        <v/>
      </c>
    </row>
    <row r="3711">
      <c r="T3711" s="47">
        <f>IF(R3711="","",IFERROR(TODAY()+VLOOKUP(R3711,REGRAS!$B$2:$C$13,2,0),""))</f>
        <v/>
      </c>
    </row>
    <row r="3712">
      <c r="T3712" s="47">
        <f>IF(R3712="","",IFERROR(TODAY()+VLOOKUP(R3712,REGRAS!$B$2:$C$13,2,0),""))</f>
        <v/>
      </c>
    </row>
    <row r="3713">
      <c r="T3713" s="47">
        <f>IF(R3713="","",IFERROR(TODAY()+VLOOKUP(R3713,REGRAS!$B$2:$C$13,2,0),""))</f>
        <v/>
      </c>
    </row>
    <row r="3714">
      <c r="T3714" s="47">
        <f>IF(R3714="","",IFERROR(TODAY()+VLOOKUP(R3714,REGRAS!$B$2:$C$13,2,0),""))</f>
        <v/>
      </c>
    </row>
    <row r="3715">
      <c r="T3715" s="47">
        <f>IF(R3715="","",IFERROR(TODAY()+VLOOKUP(R3715,REGRAS!$B$2:$C$13,2,0),""))</f>
        <v/>
      </c>
    </row>
    <row r="3716">
      <c r="T3716" s="47">
        <f>IF(R3716="","",IFERROR(TODAY()+VLOOKUP(R3716,REGRAS!$B$2:$C$13,2,0),""))</f>
        <v/>
      </c>
    </row>
    <row r="3717">
      <c r="T3717" s="47">
        <f>IF(R3717="","",IFERROR(TODAY()+VLOOKUP(R3717,REGRAS!$B$2:$C$13,2,0),""))</f>
        <v/>
      </c>
    </row>
    <row r="3718">
      <c r="T3718" s="47">
        <f>IF(R3718="","",IFERROR(TODAY()+VLOOKUP(R3718,REGRAS!$B$2:$C$13,2,0),""))</f>
        <v/>
      </c>
    </row>
    <row r="3719">
      <c r="T3719" s="47">
        <f>IF(R3719="","",IFERROR(TODAY()+VLOOKUP(R3719,REGRAS!$B$2:$C$13,2,0),""))</f>
        <v/>
      </c>
    </row>
    <row r="3720">
      <c r="T3720" s="47">
        <f>IF(R3720="","",IFERROR(TODAY()+VLOOKUP(R3720,REGRAS!$B$2:$C$13,2,0),""))</f>
        <v/>
      </c>
    </row>
    <row r="3721">
      <c r="T3721" s="47">
        <f>IF(R3721="","",IFERROR(TODAY()+VLOOKUP(R3721,REGRAS!$B$2:$C$13,2,0),""))</f>
        <v/>
      </c>
    </row>
    <row r="3722">
      <c r="T3722" s="47">
        <f>IF(R3722="","",IFERROR(TODAY()+VLOOKUP(R3722,REGRAS!$B$2:$C$13,2,0),""))</f>
        <v/>
      </c>
    </row>
    <row r="3723">
      <c r="T3723" s="47">
        <f>IF(R3723="","",IFERROR(TODAY()+VLOOKUP(R3723,REGRAS!$B$2:$C$13,2,0),""))</f>
        <v/>
      </c>
    </row>
    <row r="3724">
      <c r="T3724" s="47">
        <f>IF(R3724="","",IFERROR(TODAY()+VLOOKUP(R3724,REGRAS!$B$2:$C$13,2,0),""))</f>
        <v/>
      </c>
    </row>
    <row r="3725">
      <c r="T3725" s="47">
        <f>IF(R3725="","",IFERROR(TODAY()+VLOOKUP(R3725,REGRAS!$B$2:$C$13,2,0),""))</f>
        <v/>
      </c>
    </row>
    <row r="3726">
      <c r="T3726" s="47">
        <f>IF(R3726="","",IFERROR(TODAY()+VLOOKUP(R3726,REGRAS!$B$2:$C$13,2,0),""))</f>
        <v/>
      </c>
    </row>
    <row r="3727">
      <c r="T3727" s="47">
        <f>IF(R3727="","",IFERROR(TODAY()+VLOOKUP(R3727,REGRAS!$B$2:$C$13,2,0),""))</f>
        <v/>
      </c>
    </row>
    <row r="3728">
      <c r="T3728" s="47">
        <f>IF(R3728="","",IFERROR(TODAY()+VLOOKUP(R3728,REGRAS!$B$2:$C$13,2,0),""))</f>
        <v/>
      </c>
    </row>
    <row r="3729">
      <c r="T3729" s="47">
        <f>IF(R3729="","",IFERROR(TODAY()+VLOOKUP(R3729,REGRAS!$B$2:$C$13,2,0),""))</f>
        <v/>
      </c>
    </row>
    <row r="3730">
      <c r="T3730" s="47">
        <f>IF(R3730="","",IFERROR(TODAY()+VLOOKUP(R3730,REGRAS!$B$2:$C$13,2,0),""))</f>
        <v/>
      </c>
    </row>
    <row r="3731">
      <c r="T3731" s="47">
        <f>IF(R3731="","",IFERROR(TODAY()+VLOOKUP(R3731,REGRAS!$B$2:$C$13,2,0),""))</f>
        <v/>
      </c>
    </row>
    <row r="3732">
      <c r="T3732" s="47">
        <f>IF(R3732="","",IFERROR(TODAY()+VLOOKUP(R3732,REGRAS!$B$2:$C$13,2,0),""))</f>
        <v/>
      </c>
    </row>
    <row r="3733">
      <c r="T3733" s="47">
        <f>IF(R3733="","",IFERROR(TODAY()+VLOOKUP(R3733,REGRAS!$B$2:$C$13,2,0),""))</f>
        <v/>
      </c>
    </row>
    <row r="3734">
      <c r="T3734" s="47">
        <f>IF(R3734="","",IFERROR(TODAY()+VLOOKUP(R3734,REGRAS!$B$2:$C$13,2,0),""))</f>
        <v/>
      </c>
    </row>
    <row r="3735">
      <c r="T3735" s="47">
        <f>IF(R3735="","",IFERROR(TODAY()+VLOOKUP(R3735,REGRAS!$B$2:$C$13,2,0),""))</f>
        <v/>
      </c>
    </row>
    <row r="3736">
      <c r="T3736" s="47">
        <f>IF(R3736="","",IFERROR(TODAY()+VLOOKUP(R3736,REGRAS!$B$2:$C$13,2,0),""))</f>
        <v/>
      </c>
    </row>
    <row r="3737">
      <c r="T3737" s="47">
        <f>IF(R3737="","",IFERROR(TODAY()+VLOOKUP(R3737,REGRAS!$B$2:$C$13,2,0),""))</f>
        <v/>
      </c>
    </row>
    <row r="3738">
      <c r="T3738" s="47">
        <f>IF(R3738="","",IFERROR(TODAY()+VLOOKUP(R3738,REGRAS!$B$2:$C$13,2,0),""))</f>
        <v/>
      </c>
    </row>
    <row r="3739">
      <c r="T3739" s="47">
        <f>IF(R3739="","",IFERROR(TODAY()+VLOOKUP(R3739,REGRAS!$B$2:$C$13,2,0),""))</f>
        <v/>
      </c>
    </row>
    <row r="3740">
      <c r="T3740" s="47">
        <f>IF(R3740="","",IFERROR(TODAY()+VLOOKUP(R3740,REGRAS!$B$2:$C$13,2,0),""))</f>
        <v/>
      </c>
    </row>
    <row r="3741">
      <c r="T3741" s="47">
        <f>IF(R3741="","",IFERROR(TODAY()+VLOOKUP(R3741,REGRAS!$B$2:$C$13,2,0),""))</f>
        <v/>
      </c>
    </row>
    <row r="3742">
      <c r="T3742" s="47">
        <f>IF(R3742="","",IFERROR(TODAY()+VLOOKUP(R3742,REGRAS!$B$2:$C$13,2,0),""))</f>
        <v/>
      </c>
    </row>
    <row r="3743">
      <c r="T3743" s="47">
        <f>IF(R3743="","",IFERROR(TODAY()+VLOOKUP(R3743,REGRAS!$B$2:$C$13,2,0),""))</f>
        <v/>
      </c>
    </row>
    <row r="3744">
      <c r="T3744" s="47">
        <f>IF(R3744="","",IFERROR(TODAY()+VLOOKUP(R3744,REGRAS!$B$2:$C$13,2,0),""))</f>
        <v/>
      </c>
    </row>
    <row r="3745">
      <c r="T3745" s="47">
        <f>IF(R3745="","",IFERROR(TODAY()+VLOOKUP(R3745,REGRAS!$B$2:$C$13,2,0),""))</f>
        <v/>
      </c>
    </row>
    <row r="3746">
      <c r="T3746" s="47">
        <f>IF(R3746="","",IFERROR(TODAY()+VLOOKUP(R3746,REGRAS!$B$2:$C$13,2,0),""))</f>
        <v/>
      </c>
    </row>
    <row r="3747">
      <c r="T3747" s="47">
        <f>IF(R3747="","",IFERROR(TODAY()+VLOOKUP(R3747,REGRAS!$B$2:$C$13,2,0),""))</f>
        <v/>
      </c>
    </row>
    <row r="3748">
      <c r="T3748" s="47">
        <f>IF(R3748="","",IFERROR(TODAY()+VLOOKUP(R3748,REGRAS!$B$2:$C$13,2,0),""))</f>
        <v/>
      </c>
    </row>
    <row r="3749">
      <c r="T3749" s="47">
        <f>IF(R3749="","",IFERROR(TODAY()+VLOOKUP(R3749,REGRAS!$B$2:$C$13,2,0),""))</f>
        <v/>
      </c>
    </row>
    <row r="3750">
      <c r="T3750" s="47">
        <f>IF(R3750="","",IFERROR(TODAY()+VLOOKUP(R3750,REGRAS!$B$2:$C$13,2,0),""))</f>
        <v/>
      </c>
    </row>
    <row r="3751">
      <c r="T3751" s="47">
        <f>IF(R3751="","",IFERROR(TODAY()+VLOOKUP(R3751,REGRAS!$B$2:$C$13,2,0),""))</f>
        <v/>
      </c>
    </row>
    <row r="3752">
      <c r="T3752" s="47">
        <f>IF(R3752="","",IFERROR(TODAY()+VLOOKUP(R3752,REGRAS!$B$2:$C$13,2,0),""))</f>
        <v/>
      </c>
    </row>
    <row r="3753">
      <c r="T3753" s="47">
        <f>IF(R3753="","",IFERROR(TODAY()+VLOOKUP(R3753,REGRAS!$B$2:$C$13,2,0),""))</f>
        <v/>
      </c>
    </row>
    <row r="3754">
      <c r="T3754" s="47">
        <f>IF(R3754="","",IFERROR(TODAY()+VLOOKUP(R3754,REGRAS!$B$2:$C$13,2,0),""))</f>
        <v/>
      </c>
    </row>
    <row r="3755">
      <c r="T3755" s="47">
        <f>IF(R3755="","",IFERROR(TODAY()+VLOOKUP(R3755,REGRAS!$B$2:$C$13,2,0),""))</f>
        <v/>
      </c>
    </row>
    <row r="3756">
      <c r="T3756" s="47">
        <f>IF(R3756="","",IFERROR(TODAY()+VLOOKUP(R3756,REGRAS!$B$2:$C$13,2,0),""))</f>
        <v/>
      </c>
    </row>
    <row r="3757">
      <c r="T3757" s="47">
        <f>IF(R3757="","",IFERROR(TODAY()+VLOOKUP(R3757,REGRAS!$B$2:$C$13,2,0),""))</f>
        <v/>
      </c>
    </row>
    <row r="3758">
      <c r="T3758" s="47">
        <f>IF(R3758="","",IFERROR(TODAY()+VLOOKUP(R3758,REGRAS!$B$2:$C$13,2,0),""))</f>
        <v/>
      </c>
    </row>
    <row r="3759">
      <c r="T3759" s="47">
        <f>IF(R3759="","",IFERROR(TODAY()+VLOOKUP(R3759,REGRAS!$B$2:$C$13,2,0),""))</f>
        <v/>
      </c>
    </row>
    <row r="3760">
      <c r="T3760" s="47">
        <f>IF(R3760="","",IFERROR(TODAY()+VLOOKUP(R3760,REGRAS!$B$2:$C$13,2,0),""))</f>
        <v/>
      </c>
    </row>
    <row r="3761">
      <c r="T3761" s="47">
        <f>IF(R3761="","",IFERROR(TODAY()+VLOOKUP(R3761,REGRAS!$B$2:$C$13,2,0),""))</f>
        <v/>
      </c>
    </row>
    <row r="3762">
      <c r="T3762" s="47">
        <f>IF(R3762="","",IFERROR(TODAY()+VLOOKUP(R3762,REGRAS!$B$2:$C$13,2,0),""))</f>
        <v/>
      </c>
    </row>
    <row r="3763">
      <c r="T3763" s="47">
        <f>IF(R3763="","",IFERROR(TODAY()+VLOOKUP(R3763,REGRAS!$B$2:$C$13,2,0),""))</f>
        <v/>
      </c>
    </row>
    <row r="3764">
      <c r="T3764" s="47">
        <f>IF(R3764="","",IFERROR(TODAY()+VLOOKUP(R3764,REGRAS!$B$2:$C$13,2,0),""))</f>
        <v/>
      </c>
    </row>
    <row r="3765">
      <c r="T3765" s="47">
        <f>IF(R3765="","",IFERROR(TODAY()+VLOOKUP(R3765,REGRAS!$B$2:$C$13,2,0),""))</f>
        <v/>
      </c>
    </row>
    <row r="3766">
      <c r="T3766" s="47">
        <f>IF(R3766="","",IFERROR(TODAY()+VLOOKUP(R3766,REGRAS!$B$2:$C$13,2,0),""))</f>
        <v/>
      </c>
    </row>
    <row r="3767">
      <c r="T3767" s="47">
        <f>IF(R3767="","",IFERROR(TODAY()+VLOOKUP(R3767,REGRAS!$B$2:$C$13,2,0),""))</f>
        <v/>
      </c>
    </row>
    <row r="3768">
      <c r="T3768" s="47">
        <f>IF(R3768="","",IFERROR(TODAY()+VLOOKUP(R3768,REGRAS!$B$2:$C$13,2,0),""))</f>
        <v/>
      </c>
    </row>
    <row r="3769">
      <c r="T3769" s="47">
        <f>IF(R3769="","",IFERROR(TODAY()+VLOOKUP(R3769,REGRAS!$B$2:$C$13,2,0),""))</f>
        <v/>
      </c>
    </row>
    <row r="3770">
      <c r="T3770" s="47">
        <f>IF(R3770="","",IFERROR(TODAY()+VLOOKUP(R3770,REGRAS!$B$2:$C$13,2,0),""))</f>
        <v/>
      </c>
    </row>
    <row r="3771">
      <c r="T3771" s="47">
        <f>IF(R3771="","",IFERROR(TODAY()+VLOOKUP(R3771,REGRAS!$B$2:$C$13,2,0),""))</f>
        <v/>
      </c>
    </row>
    <row r="3772">
      <c r="T3772" s="47">
        <f>IF(R3772="","",IFERROR(TODAY()+VLOOKUP(R3772,REGRAS!$B$2:$C$13,2,0),""))</f>
        <v/>
      </c>
    </row>
    <row r="3773">
      <c r="T3773" s="47">
        <f>IF(R3773="","",IFERROR(TODAY()+VLOOKUP(R3773,REGRAS!$B$2:$C$13,2,0),""))</f>
        <v/>
      </c>
    </row>
    <row r="3774">
      <c r="T3774" s="47">
        <f>IF(R3774="","",IFERROR(TODAY()+VLOOKUP(R3774,REGRAS!$B$2:$C$13,2,0),""))</f>
        <v/>
      </c>
    </row>
    <row r="3775">
      <c r="T3775" s="47">
        <f>IF(R3775="","",IFERROR(TODAY()+VLOOKUP(R3775,REGRAS!$B$2:$C$13,2,0),""))</f>
        <v/>
      </c>
    </row>
    <row r="3776">
      <c r="T3776" s="47">
        <f>IF(R3776="","",IFERROR(TODAY()+VLOOKUP(R3776,REGRAS!$B$2:$C$13,2,0),""))</f>
        <v/>
      </c>
    </row>
    <row r="3777">
      <c r="T3777" s="47">
        <f>IF(R3777="","",IFERROR(TODAY()+VLOOKUP(R3777,REGRAS!$B$2:$C$13,2,0),""))</f>
        <v/>
      </c>
    </row>
    <row r="3778">
      <c r="T3778" s="47">
        <f>IF(R3778="","",IFERROR(TODAY()+VLOOKUP(R3778,REGRAS!$B$2:$C$13,2,0),""))</f>
        <v/>
      </c>
    </row>
    <row r="3779">
      <c r="T3779" s="47">
        <f>IF(R3779="","",IFERROR(TODAY()+VLOOKUP(R3779,REGRAS!$B$2:$C$13,2,0),""))</f>
        <v/>
      </c>
    </row>
    <row r="3780">
      <c r="T3780" s="47">
        <f>IF(R3780="","",IFERROR(TODAY()+VLOOKUP(R3780,REGRAS!$B$2:$C$13,2,0),""))</f>
        <v/>
      </c>
    </row>
    <row r="3781">
      <c r="T3781" s="47">
        <f>IF(R3781="","",IFERROR(TODAY()+VLOOKUP(R3781,REGRAS!$B$2:$C$13,2,0),""))</f>
        <v/>
      </c>
    </row>
    <row r="3782">
      <c r="T3782" s="47">
        <f>IF(R3782="","",IFERROR(TODAY()+VLOOKUP(R3782,REGRAS!$B$2:$C$13,2,0),""))</f>
        <v/>
      </c>
    </row>
    <row r="3783">
      <c r="T3783" s="47">
        <f>IF(R3783="","",IFERROR(TODAY()+VLOOKUP(R3783,REGRAS!$B$2:$C$13,2,0),""))</f>
        <v/>
      </c>
    </row>
    <row r="3784">
      <c r="T3784" s="47">
        <f>IF(R3784="","",IFERROR(TODAY()+VLOOKUP(R3784,REGRAS!$B$2:$C$13,2,0),""))</f>
        <v/>
      </c>
    </row>
    <row r="3785">
      <c r="T3785" s="47">
        <f>IF(R3785="","",IFERROR(TODAY()+VLOOKUP(R3785,REGRAS!$B$2:$C$13,2,0),""))</f>
        <v/>
      </c>
    </row>
    <row r="3786">
      <c r="T3786" s="47">
        <f>IF(R3786="","",IFERROR(TODAY()+VLOOKUP(R3786,REGRAS!$B$2:$C$13,2,0),""))</f>
        <v/>
      </c>
    </row>
    <row r="3787">
      <c r="T3787" s="47">
        <f>IF(R3787="","",IFERROR(TODAY()+VLOOKUP(R3787,REGRAS!$B$2:$C$13,2,0),""))</f>
        <v/>
      </c>
    </row>
    <row r="3788">
      <c r="T3788" s="47">
        <f>IF(R3788="","",IFERROR(TODAY()+VLOOKUP(R3788,REGRAS!$B$2:$C$13,2,0),""))</f>
        <v/>
      </c>
    </row>
    <row r="3789">
      <c r="T3789" s="47">
        <f>IF(R3789="","",IFERROR(TODAY()+VLOOKUP(R3789,REGRAS!$B$2:$C$13,2,0),""))</f>
        <v/>
      </c>
    </row>
    <row r="3790">
      <c r="T3790" s="47">
        <f>IF(R3790="","",IFERROR(TODAY()+VLOOKUP(R3790,REGRAS!$B$2:$C$13,2,0),""))</f>
        <v/>
      </c>
    </row>
    <row r="3791">
      <c r="T3791" s="47">
        <f>IF(R3791="","",IFERROR(TODAY()+VLOOKUP(R3791,REGRAS!$B$2:$C$13,2,0),""))</f>
        <v/>
      </c>
    </row>
    <row r="3792">
      <c r="T3792" s="47">
        <f>IF(R3792="","",IFERROR(TODAY()+VLOOKUP(R3792,REGRAS!$B$2:$C$13,2,0),""))</f>
        <v/>
      </c>
    </row>
    <row r="3793">
      <c r="T3793" s="47">
        <f>IF(R3793="","",IFERROR(TODAY()+VLOOKUP(R3793,REGRAS!$B$2:$C$13,2,0),""))</f>
        <v/>
      </c>
    </row>
    <row r="3794">
      <c r="T3794" s="47">
        <f>IF(R3794="","",IFERROR(TODAY()+VLOOKUP(R3794,REGRAS!$B$2:$C$13,2,0),""))</f>
        <v/>
      </c>
    </row>
    <row r="3795">
      <c r="T3795" s="47">
        <f>IF(R3795="","",IFERROR(TODAY()+VLOOKUP(R3795,REGRAS!$B$2:$C$13,2,0),""))</f>
        <v/>
      </c>
    </row>
    <row r="3796">
      <c r="T3796" s="47">
        <f>IF(R3796="","",IFERROR(TODAY()+VLOOKUP(R3796,REGRAS!$B$2:$C$13,2,0),""))</f>
        <v/>
      </c>
    </row>
    <row r="3797">
      <c r="T3797" s="47">
        <f>IF(R3797="","",IFERROR(TODAY()+VLOOKUP(R3797,REGRAS!$B$2:$C$13,2,0),""))</f>
        <v/>
      </c>
    </row>
    <row r="3798">
      <c r="T3798" s="47">
        <f>IF(R3798="","",IFERROR(TODAY()+VLOOKUP(R3798,REGRAS!$B$2:$C$13,2,0),""))</f>
        <v/>
      </c>
    </row>
    <row r="3799">
      <c r="T3799" s="47">
        <f>IF(R3799="","",IFERROR(TODAY()+VLOOKUP(R3799,REGRAS!$B$2:$C$13,2,0),""))</f>
        <v/>
      </c>
    </row>
    <row r="3800">
      <c r="T3800" s="47">
        <f>IF(R3800="","",IFERROR(TODAY()+VLOOKUP(R3800,REGRAS!$B$2:$C$13,2,0),""))</f>
        <v/>
      </c>
    </row>
    <row r="3801">
      <c r="T3801" s="47">
        <f>IF(R3801="","",IFERROR(TODAY()+VLOOKUP(R3801,REGRAS!$B$2:$C$13,2,0),""))</f>
        <v/>
      </c>
    </row>
    <row r="3802">
      <c r="T3802" s="47">
        <f>IF(R3802="","",IFERROR(TODAY()+VLOOKUP(R3802,REGRAS!$B$2:$C$13,2,0),""))</f>
        <v/>
      </c>
    </row>
    <row r="3803">
      <c r="T3803" s="47">
        <f>IF(R3803="","",IFERROR(TODAY()+VLOOKUP(R3803,REGRAS!$B$2:$C$13,2,0),""))</f>
        <v/>
      </c>
    </row>
    <row r="3804">
      <c r="T3804" s="47">
        <f>IF(R3804="","",IFERROR(TODAY()+VLOOKUP(R3804,REGRAS!$B$2:$C$13,2,0),""))</f>
        <v/>
      </c>
    </row>
    <row r="3805">
      <c r="T3805" s="47">
        <f>IF(R3805="","",IFERROR(TODAY()+VLOOKUP(R3805,REGRAS!$B$2:$C$13,2,0),""))</f>
        <v/>
      </c>
    </row>
    <row r="3806">
      <c r="T3806" s="47">
        <f>IF(R3806="","",IFERROR(TODAY()+VLOOKUP(R3806,REGRAS!$B$2:$C$13,2,0),""))</f>
        <v/>
      </c>
    </row>
    <row r="3807">
      <c r="T3807" s="47">
        <f>IF(R3807="","",IFERROR(TODAY()+VLOOKUP(R3807,REGRAS!$B$2:$C$13,2,0),""))</f>
        <v/>
      </c>
    </row>
    <row r="3808">
      <c r="T3808" s="47">
        <f>IF(R3808="","",IFERROR(TODAY()+VLOOKUP(R3808,REGRAS!$B$2:$C$13,2,0),""))</f>
        <v/>
      </c>
    </row>
    <row r="3809">
      <c r="T3809" s="47">
        <f>IF(R3809="","",IFERROR(TODAY()+VLOOKUP(R3809,REGRAS!$B$2:$C$13,2,0),""))</f>
        <v/>
      </c>
    </row>
    <row r="3810">
      <c r="T3810" s="47">
        <f>IF(R3810="","",IFERROR(TODAY()+VLOOKUP(R3810,REGRAS!$B$2:$C$13,2,0),""))</f>
        <v/>
      </c>
    </row>
    <row r="3811">
      <c r="T3811" s="47">
        <f>IF(R3811="","",IFERROR(TODAY()+VLOOKUP(R3811,REGRAS!$B$2:$C$13,2,0),""))</f>
        <v/>
      </c>
    </row>
    <row r="3812">
      <c r="T3812" s="47">
        <f>IF(R3812="","",IFERROR(TODAY()+VLOOKUP(R3812,REGRAS!$B$2:$C$13,2,0),""))</f>
        <v/>
      </c>
    </row>
    <row r="3813">
      <c r="T3813" s="47">
        <f>IF(R3813="","",IFERROR(TODAY()+VLOOKUP(R3813,REGRAS!$B$2:$C$13,2,0),""))</f>
        <v/>
      </c>
    </row>
    <row r="3814">
      <c r="T3814" s="47">
        <f>IF(R3814="","",IFERROR(TODAY()+VLOOKUP(R3814,REGRAS!$B$2:$C$13,2,0),""))</f>
        <v/>
      </c>
    </row>
    <row r="3815">
      <c r="T3815" s="47">
        <f>IF(R3815="","",IFERROR(TODAY()+VLOOKUP(R3815,REGRAS!$B$2:$C$13,2,0),""))</f>
        <v/>
      </c>
    </row>
    <row r="3816">
      <c r="T3816" s="47">
        <f>IF(R3816="","",IFERROR(TODAY()+VLOOKUP(R3816,REGRAS!$B$2:$C$13,2,0),""))</f>
        <v/>
      </c>
    </row>
    <row r="3817">
      <c r="T3817" s="47">
        <f>IF(R3817="","",IFERROR(TODAY()+VLOOKUP(R3817,REGRAS!$B$2:$C$13,2,0),""))</f>
        <v/>
      </c>
    </row>
    <row r="3818">
      <c r="T3818" s="47">
        <f>IF(R3818="","",IFERROR(TODAY()+VLOOKUP(R3818,REGRAS!$B$2:$C$13,2,0),""))</f>
        <v/>
      </c>
    </row>
    <row r="3819">
      <c r="T3819" s="47">
        <f>IF(R3819="","",IFERROR(TODAY()+VLOOKUP(R3819,REGRAS!$B$2:$C$13,2,0),""))</f>
        <v/>
      </c>
    </row>
    <row r="3820">
      <c r="T3820" s="47">
        <f>IF(R3820="","",IFERROR(TODAY()+VLOOKUP(R3820,REGRAS!$B$2:$C$13,2,0),""))</f>
        <v/>
      </c>
    </row>
    <row r="3821">
      <c r="T3821" s="47">
        <f>IF(R3821="","",IFERROR(TODAY()+VLOOKUP(R3821,REGRAS!$B$2:$C$13,2,0),""))</f>
        <v/>
      </c>
    </row>
    <row r="3822">
      <c r="T3822" s="47">
        <f>IF(R3822="","",IFERROR(TODAY()+VLOOKUP(R3822,REGRAS!$B$2:$C$13,2,0),""))</f>
        <v/>
      </c>
    </row>
    <row r="3823">
      <c r="T3823" s="47">
        <f>IF(R3823="","",IFERROR(TODAY()+VLOOKUP(R3823,REGRAS!$B$2:$C$13,2,0),""))</f>
        <v/>
      </c>
    </row>
    <row r="3824">
      <c r="T3824" s="47">
        <f>IF(R3824="","",IFERROR(TODAY()+VLOOKUP(R3824,REGRAS!$B$2:$C$13,2,0),""))</f>
        <v/>
      </c>
    </row>
    <row r="3825">
      <c r="T3825" s="47">
        <f>IF(R3825="","",IFERROR(TODAY()+VLOOKUP(R3825,REGRAS!$B$2:$C$13,2,0),""))</f>
        <v/>
      </c>
    </row>
    <row r="3826">
      <c r="T3826" s="47">
        <f>IF(R3826="","",IFERROR(TODAY()+VLOOKUP(R3826,REGRAS!$B$2:$C$13,2,0),""))</f>
        <v/>
      </c>
    </row>
    <row r="3827">
      <c r="T3827" s="47">
        <f>IF(R3827="","",IFERROR(TODAY()+VLOOKUP(R3827,REGRAS!$B$2:$C$13,2,0),""))</f>
        <v/>
      </c>
    </row>
    <row r="3828">
      <c r="T3828" s="47">
        <f>IF(R3828="","",IFERROR(TODAY()+VLOOKUP(R3828,REGRAS!$B$2:$C$13,2,0),""))</f>
        <v/>
      </c>
    </row>
    <row r="3829">
      <c r="T3829" s="47">
        <f>IF(R3829="","",IFERROR(TODAY()+VLOOKUP(R3829,REGRAS!$B$2:$C$13,2,0),""))</f>
        <v/>
      </c>
    </row>
    <row r="3830">
      <c r="T3830" s="47">
        <f>IF(R3830="","",IFERROR(TODAY()+VLOOKUP(R3830,REGRAS!$B$2:$C$13,2,0),""))</f>
        <v/>
      </c>
    </row>
    <row r="3831">
      <c r="T3831" s="47">
        <f>IF(R3831="","",IFERROR(TODAY()+VLOOKUP(R3831,REGRAS!$B$2:$C$13,2,0),""))</f>
        <v/>
      </c>
    </row>
    <row r="3832">
      <c r="T3832" s="47">
        <f>IF(R3832="","",IFERROR(TODAY()+VLOOKUP(R3832,REGRAS!$B$2:$C$13,2,0),""))</f>
        <v/>
      </c>
    </row>
    <row r="3833">
      <c r="T3833" s="47">
        <f>IF(R3833="","",IFERROR(TODAY()+VLOOKUP(R3833,REGRAS!$B$2:$C$13,2,0),""))</f>
        <v/>
      </c>
    </row>
    <row r="3834">
      <c r="T3834" s="47">
        <f>IF(R3834="","",IFERROR(TODAY()+VLOOKUP(R3834,REGRAS!$B$2:$C$13,2,0),""))</f>
        <v/>
      </c>
    </row>
    <row r="3835">
      <c r="T3835" s="47">
        <f>IF(R3835="","",IFERROR(TODAY()+VLOOKUP(R3835,REGRAS!$B$2:$C$13,2,0),""))</f>
        <v/>
      </c>
    </row>
    <row r="3836">
      <c r="T3836" s="47">
        <f>IF(R3836="","",IFERROR(TODAY()+VLOOKUP(R3836,REGRAS!$B$2:$C$13,2,0),""))</f>
        <v/>
      </c>
    </row>
    <row r="3837">
      <c r="T3837" s="47">
        <f>IF(R3837="","",IFERROR(TODAY()+VLOOKUP(R3837,REGRAS!$B$2:$C$13,2,0),""))</f>
        <v/>
      </c>
    </row>
    <row r="3838">
      <c r="T3838" s="47">
        <f>IF(R3838="","",IFERROR(TODAY()+VLOOKUP(R3838,REGRAS!$B$2:$C$13,2,0),""))</f>
        <v/>
      </c>
    </row>
    <row r="3839">
      <c r="T3839" s="47">
        <f>IF(R3839="","",IFERROR(TODAY()+VLOOKUP(R3839,REGRAS!$B$2:$C$13,2,0),""))</f>
        <v/>
      </c>
    </row>
    <row r="3840">
      <c r="T3840" s="47">
        <f>IF(R3840="","",IFERROR(TODAY()+VLOOKUP(R3840,REGRAS!$B$2:$C$13,2,0),""))</f>
        <v/>
      </c>
    </row>
    <row r="3841">
      <c r="T3841" s="47">
        <f>IF(R3841="","",IFERROR(TODAY()+VLOOKUP(R3841,REGRAS!$B$2:$C$13,2,0),""))</f>
        <v/>
      </c>
    </row>
    <row r="3842">
      <c r="T3842" s="47">
        <f>IF(R3842="","",IFERROR(TODAY()+VLOOKUP(R3842,REGRAS!$B$2:$C$13,2,0),""))</f>
        <v/>
      </c>
    </row>
    <row r="3843">
      <c r="T3843" s="47">
        <f>IF(R3843="","",IFERROR(TODAY()+VLOOKUP(R3843,REGRAS!$B$2:$C$13,2,0),""))</f>
        <v/>
      </c>
    </row>
    <row r="3844">
      <c r="T3844" s="47">
        <f>IF(R3844="","",IFERROR(TODAY()+VLOOKUP(R3844,REGRAS!$B$2:$C$13,2,0),""))</f>
        <v/>
      </c>
    </row>
    <row r="3845">
      <c r="T3845" s="47">
        <f>IF(R3845="","",IFERROR(TODAY()+VLOOKUP(R3845,REGRAS!$B$2:$C$13,2,0),""))</f>
        <v/>
      </c>
    </row>
    <row r="3846">
      <c r="T3846" s="47">
        <f>IF(R3846="","",IFERROR(TODAY()+VLOOKUP(R3846,REGRAS!$B$2:$C$13,2,0),""))</f>
        <v/>
      </c>
    </row>
    <row r="3847">
      <c r="T3847" s="47">
        <f>IF(R3847="","",IFERROR(TODAY()+VLOOKUP(R3847,REGRAS!$B$2:$C$13,2,0),""))</f>
        <v/>
      </c>
    </row>
    <row r="3848">
      <c r="T3848" s="47">
        <f>IF(R3848="","",IFERROR(TODAY()+VLOOKUP(R3848,REGRAS!$B$2:$C$13,2,0),""))</f>
        <v/>
      </c>
    </row>
    <row r="3849">
      <c r="T3849" s="47">
        <f>IF(R3849="","",IFERROR(TODAY()+VLOOKUP(R3849,REGRAS!$B$2:$C$13,2,0),""))</f>
        <v/>
      </c>
    </row>
    <row r="3850">
      <c r="T3850" s="47">
        <f>IF(R3850="","",IFERROR(TODAY()+VLOOKUP(R3850,REGRAS!$B$2:$C$13,2,0),""))</f>
        <v/>
      </c>
    </row>
    <row r="3851">
      <c r="T3851" s="47">
        <f>IF(R3851="","",IFERROR(TODAY()+VLOOKUP(R3851,REGRAS!$B$2:$C$13,2,0),""))</f>
        <v/>
      </c>
    </row>
    <row r="3852">
      <c r="T3852" s="47">
        <f>IF(R3852="","",IFERROR(TODAY()+VLOOKUP(R3852,REGRAS!$B$2:$C$13,2,0),""))</f>
        <v/>
      </c>
    </row>
    <row r="3853">
      <c r="T3853" s="47">
        <f>IF(R3853="","",IFERROR(TODAY()+VLOOKUP(R3853,REGRAS!$B$2:$C$13,2,0),""))</f>
        <v/>
      </c>
    </row>
    <row r="3854">
      <c r="T3854" s="47">
        <f>IF(R3854="","",IFERROR(TODAY()+VLOOKUP(R3854,REGRAS!$B$2:$C$13,2,0),""))</f>
        <v/>
      </c>
    </row>
    <row r="3855">
      <c r="T3855" s="47">
        <f>IF(R3855="","",IFERROR(TODAY()+VLOOKUP(R3855,REGRAS!$B$2:$C$13,2,0),""))</f>
        <v/>
      </c>
    </row>
    <row r="3856">
      <c r="T3856" s="47">
        <f>IF(R3856="","",IFERROR(TODAY()+VLOOKUP(R3856,REGRAS!$B$2:$C$13,2,0),""))</f>
        <v/>
      </c>
    </row>
    <row r="3857">
      <c r="T3857" s="47">
        <f>IF(R3857="","",IFERROR(TODAY()+VLOOKUP(R3857,REGRAS!$B$2:$C$13,2,0),""))</f>
        <v/>
      </c>
    </row>
    <row r="3858">
      <c r="T3858" s="47">
        <f>IF(R3858="","",IFERROR(TODAY()+VLOOKUP(R3858,REGRAS!$B$2:$C$13,2,0),""))</f>
        <v/>
      </c>
    </row>
    <row r="3859">
      <c r="T3859" s="47">
        <f>IF(R3859="","",IFERROR(TODAY()+VLOOKUP(R3859,REGRAS!$B$2:$C$13,2,0),""))</f>
        <v/>
      </c>
    </row>
    <row r="3860">
      <c r="T3860" s="47">
        <f>IF(R3860="","",IFERROR(TODAY()+VLOOKUP(R3860,REGRAS!$B$2:$C$13,2,0),""))</f>
        <v/>
      </c>
    </row>
    <row r="3861">
      <c r="T3861" s="47">
        <f>IF(R3861="","",IFERROR(TODAY()+VLOOKUP(R3861,REGRAS!$B$2:$C$13,2,0),""))</f>
        <v/>
      </c>
    </row>
    <row r="3862">
      <c r="T3862" s="47">
        <f>IF(R3862="","",IFERROR(TODAY()+VLOOKUP(R3862,REGRAS!$B$2:$C$13,2,0),""))</f>
        <v/>
      </c>
    </row>
    <row r="3863">
      <c r="T3863" s="47">
        <f>IF(R3863="","",IFERROR(TODAY()+VLOOKUP(R3863,REGRAS!$B$2:$C$13,2,0),""))</f>
        <v/>
      </c>
    </row>
    <row r="3864">
      <c r="T3864" s="47">
        <f>IF(R3864="","",IFERROR(TODAY()+VLOOKUP(R3864,REGRAS!$B$2:$C$13,2,0),""))</f>
        <v/>
      </c>
    </row>
    <row r="3865">
      <c r="T3865" s="47">
        <f>IF(R3865="","",IFERROR(TODAY()+VLOOKUP(R3865,REGRAS!$B$2:$C$13,2,0),""))</f>
        <v/>
      </c>
    </row>
    <row r="3866">
      <c r="T3866" s="47">
        <f>IF(R3866="","",IFERROR(TODAY()+VLOOKUP(R3866,REGRAS!$B$2:$C$13,2,0),""))</f>
        <v/>
      </c>
    </row>
    <row r="3867">
      <c r="T3867" s="47">
        <f>IF(R3867="","",IFERROR(TODAY()+VLOOKUP(R3867,REGRAS!$B$2:$C$13,2,0),""))</f>
        <v/>
      </c>
    </row>
    <row r="3868">
      <c r="T3868" s="47">
        <f>IF(R3868="","",IFERROR(TODAY()+VLOOKUP(R3868,REGRAS!$B$2:$C$13,2,0),""))</f>
        <v/>
      </c>
    </row>
    <row r="3869">
      <c r="T3869" s="47">
        <f>IF(R3869="","",IFERROR(TODAY()+VLOOKUP(R3869,REGRAS!$B$2:$C$13,2,0),""))</f>
        <v/>
      </c>
    </row>
    <row r="3870">
      <c r="T3870" s="47">
        <f>IF(R3870="","",IFERROR(TODAY()+VLOOKUP(R3870,REGRAS!$B$2:$C$13,2,0),""))</f>
        <v/>
      </c>
    </row>
    <row r="3871">
      <c r="T3871" s="47">
        <f>IF(R3871="","",IFERROR(TODAY()+VLOOKUP(R3871,REGRAS!$B$2:$C$13,2,0),""))</f>
        <v/>
      </c>
    </row>
    <row r="3872">
      <c r="T3872" s="47">
        <f>IF(R3872="","",IFERROR(TODAY()+VLOOKUP(R3872,REGRAS!$B$2:$C$13,2,0),""))</f>
        <v/>
      </c>
    </row>
    <row r="3873">
      <c r="T3873" s="47">
        <f>IF(R3873="","",IFERROR(TODAY()+VLOOKUP(R3873,REGRAS!$B$2:$C$13,2,0),""))</f>
        <v/>
      </c>
    </row>
    <row r="3874">
      <c r="T3874" s="47">
        <f>IF(R3874="","",IFERROR(TODAY()+VLOOKUP(R3874,REGRAS!$B$2:$C$13,2,0),""))</f>
        <v/>
      </c>
    </row>
    <row r="3875">
      <c r="T3875" s="47">
        <f>IF(R3875="","",IFERROR(TODAY()+VLOOKUP(R3875,REGRAS!$B$2:$C$13,2,0),""))</f>
        <v/>
      </c>
    </row>
    <row r="3876">
      <c r="T3876" s="47">
        <f>IF(R3876="","",IFERROR(TODAY()+VLOOKUP(R3876,REGRAS!$B$2:$C$13,2,0),""))</f>
        <v/>
      </c>
    </row>
    <row r="3877">
      <c r="T3877" s="47">
        <f>IF(R3877="","",IFERROR(TODAY()+VLOOKUP(R3877,REGRAS!$B$2:$C$13,2,0),""))</f>
        <v/>
      </c>
    </row>
    <row r="3878">
      <c r="T3878" s="47">
        <f>IF(R3878="","",IFERROR(TODAY()+VLOOKUP(R3878,REGRAS!$B$2:$C$13,2,0),""))</f>
        <v/>
      </c>
    </row>
    <row r="3879">
      <c r="T3879" s="47">
        <f>IF(R3879="","",IFERROR(TODAY()+VLOOKUP(R3879,REGRAS!$B$2:$C$13,2,0),""))</f>
        <v/>
      </c>
    </row>
    <row r="3880">
      <c r="T3880" s="47">
        <f>IF(R3880="","",IFERROR(TODAY()+VLOOKUP(R3880,REGRAS!$B$2:$C$13,2,0),""))</f>
        <v/>
      </c>
    </row>
    <row r="3881">
      <c r="T3881" s="47">
        <f>IF(R3881="","",IFERROR(TODAY()+VLOOKUP(R3881,REGRAS!$B$2:$C$13,2,0),""))</f>
        <v/>
      </c>
    </row>
    <row r="3882">
      <c r="T3882" s="47">
        <f>IF(R3882="","",IFERROR(TODAY()+VLOOKUP(R3882,REGRAS!$B$2:$C$13,2,0),""))</f>
        <v/>
      </c>
    </row>
    <row r="3883">
      <c r="T3883" s="47">
        <f>IF(R3883="","",IFERROR(TODAY()+VLOOKUP(R3883,REGRAS!$B$2:$C$13,2,0),""))</f>
        <v/>
      </c>
    </row>
    <row r="3884">
      <c r="T3884" s="47">
        <f>IF(R3884="","",IFERROR(TODAY()+VLOOKUP(R3884,REGRAS!$B$2:$C$13,2,0),""))</f>
        <v/>
      </c>
    </row>
    <row r="3885">
      <c r="T3885" s="47">
        <f>IF(R3885="","",IFERROR(TODAY()+VLOOKUP(R3885,REGRAS!$B$2:$C$13,2,0),""))</f>
        <v/>
      </c>
    </row>
    <row r="3886">
      <c r="T3886" s="47">
        <f>IF(R3886="","",IFERROR(TODAY()+VLOOKUP(R3886,REGRAS!$B$2:$C$13,2,0),""))</f>
        <v/>
      </c>
    </row>
    <row r="3887">
      <c r="T3887" s="47">
        <f>IF(R3887="","",IFERROR(TODAY()+VLOOKUP(R3887,REGRAS!$B$2:$C$13,2,0),""))</f>
        <v/>
      </c>
    </row>
    <row r="3888">
      <c r="T3888" s="47">
        <f>IF(R3888="","",IFERROR(TODAY()+VLOOKUP(R3888,REGRAS!$B$2:$C$13,2,0),""))</f>
        <v/>
      </c>
    </row>
    <row r="3889">
      <c r="T3889" s="47">
        <f>IF(R3889="","",IFERROR(TODAY()+VLOOKUP(R3889,REGRAS!$B$2:$C$13,2,0),""))</f>
        <v/>
      </c>
    </row>
    <row r="3890">
      <c r="T3890" s="47">
        <f>IF(R3890="","",IFERROR(TODAY()+VLOOKUP(R3890,REGRAS!$B$2:$C$13,2,0),""))</f>
        <v/>
      </c>
    </row>
    <row r="3891">
      <c r="T3891" s="47">
        <f>IF(R3891="","",IFERROR(TODAY()+VLOOKUP(R3891,REGRAS!$B$2:$C$13,2,0),""))</f>
        <v/>
      </c>
    </row>
    <row r="3892">
      <c r="T3892" s="47">
        <f>IF(R3892="","",IFERROR(TODAY()+VLOOKUP(R3892,REGRAS!$B$2:$C$13,2,0),""))</f>
        <v/>
      </c>
    </row>
    <row r="3893">
      <c r="T3893" s="47">
        <f>IF(R3893="","",IFERROR(TODAY()+VLOOKUP(R3893,REGRAS!$B$2:$C$13,2,0),""))</f>
        <v/>
      </c>
    </row>
    <row r="3894">
      <c r="T3894" s="47">
        <f>IF(R3894="","",IFERROR(TODAY()+VLOOKUP(R3894,REGRAS!$B$2:$C$13,2,0),""))</f>
        <v/>
      </c>
    </row>
    <row r="3895">
      <c r="T3895" s="47">
        <f>IF(R3895="","",IFERROR(TODAY()+VLOOKUP(R3895,REGRAS!$B$2:$C$13,2,0),""))</f>
        <v/>
      </c>
    </row>
    <row r="3896">
      <c r="T3896" s="47">
        <f>IF(R3896="","",IFERROR(TODAY()+VLOOKUP(R3896,REGRAS!$B$2:$C$13,2,0),""))</f>
        <v/>
      </c>
    </row>
    <row r="3897">
      <c r="T3897" s="47">
        <f>IF(R3897="","",IFERROR(TODAY()+VLOOKUP(R3897,REGRAS!$B$2:$C$13,2,0),""))</f>
        <v/>
      </c>
    </row>
    <row r="3898">
      <c r="T3898" s="47">
        <f>IF(R3898="","",IFERROR(TODAY()+VLOOKUP(R3898,REGRAS!$B$2:$C$13,2,0),""))</f>
        <v/>
      </c>
    </row>
    <row r="3899">
      <c r="T3899" s="47">
        <f>IF(R3899="","",IFERROR(TODAY()+VLOOKUP(R3899,REGRAS!$B$2:$C$13,2,0),""))</f>
        <v/>
      </c>
    </row>
    <row r="3900">
      <c r="T3900" s="47">
        <f>IF(R3900="","",IFERROR(TODAY()+VLOOKUP(R3900,REGRAS!$B$2:$C$13,2,0),""))</f>
        <v/>
      </c>
    </row>
    <row r="3901">
      <c r="T3901" s="47">
        <f>IF(R3901="","",IFERROR(TODAY()+VLOOKUP(R3901,REGRAS!$B$2:$C$13,2,0),""))</f>
        <v/>
      </c>
    </row>
    <row r="3902">
      <c r="T3902" s="47">
        <f>IF(R3902="","",IFERROR(TODAY()+VLOOKUP(R3902,REGRAS!$B$2:$C$13,2,0),""))</f>
        <v/>
      </c>
    </row>
    <row r="3903">
      <c r="T3903" s="47">
        <f>IF(R3903="","",IFERROR(TODAY()+VLOOKUP(R3903,REGRAS!$B$2:$C$13,2,0),""))</f>
        <v/>
      </c>
    </row>
    <row r="3904">
      <c r="T3904" s="47">
        <f>IF(R3904="","",IFERROR(TODAY()+VLOOKUP(R3904,REGRAS!$B$2:$C$13,2,0),""))</f>
        <v/>
      </c>
    </row>
    <row r="3905">
      <c r="T3905" s="47">
        <f>IF(R3905="","",IFERROR(TODAY()+VLOOKUP(R3905,REGRAS!$B$2:$C$13,2,0),""))</f>
        <v/>
      </c>
    </row>
    <row r="3906">
      <c r="T3906" s="47">
        <f>IF(R3906="","",IFERROR(TODAY()+VLOOKUP(R3906,REGRAS!$B$2:$C$13,2,0),""))</f>
        <v/>
      </c>
    </row>
    <row r="3907">
      <c r="T3907" s="47">
        <f>IF(R3907="","",IFERROR(TODAY()+VLOOKUP(R3907,REGRAS!$B$2:$C$13,2,0),""))</f>
        <v/>
      </c>
    </row>
    <row r="3908">
      <c r="T3908" s="47">
        <f>IF(R3908="","",IFERROR(TODAY()+VLOOKUP(R3908,REGRAS!$B$2:$C$13,2,0),""))</f>
        <v/>
      </c>
    </row>
    <row r="3909">
      <c r="T3909" s="47">
        <f>IF(R3909="","",IFERROR(TODAY()+VLOOKUP(R3909,REGRAS!$B$2:$C$13,2,0),""))</f>
        <v/>
      </c>
    </row>
    <row r="3910">
      <c r="T3910" s="47">
        <f>IF(R3910="","",IFERROR(TODAY()+VLOOKUP(R3910,REGRAS!$B$2:$C$13,2,0),""))</f>
        <v/>
      </c>
    </row>
    <row r="3911">
      <c r="T3911" s="47">
        <f>IF(R3911="","",IFERROR(TODAY()+VLOOKUP(R3911,REGRAS!$B$2:$C$13,2,0),""))</f>
        <v/>
      </c>
    </row>
    <row r="3912">
      <c r="T3912" s="47">
        <f>IF(R3912="","",IFERROR(TODAY()+VLOOKUP(R3912,REGRAS!$B$2:$C$13,2,0),""))</f>
        <v/>
      </c>
    </row>
    <row r="3913">
      <c r="T3913" s="47">
        <f>IF(R3913="","",IFERROR(TODAY()+VLOOKUP(R3913,REGRAS!$B$2:$C$13,2,0),""))</f>
        <v/>
      </c>
    </row>
    <row r="3914">
      <c r="T3914" s="47">
        <f>IF(R3914="","",IFERROR(TODAY()+VLOOKUP(R3914,REGRAS!$B$2:$C$13,2,0),""))</f>
        <v/>
      </c>
    </row>
    <row r="3915">
      <c r="T3915" s="47">
        <f>IF(R3915="","",IFERROR(TODAY()+VLOOKUP(R3915,REGRAS!$B$2:$C$13,2,0),""))</f>
        <v/>
      </c>
    </row>
    <row r="3916">
      <c r="T3916" s="47">
        <f>IF(R3916="","",IFERROR(TODAY()+VLOOKUP(R3916,REGRAS!$B$2:$C$13,2,0),""))</f>
        <v/>
      </c>
    </row>
    <row r="3917">
      <c r="T3917" s="47">
        <f>IF(R3917="","",IFERROR(TODAY()+VLOOKUP(R3917,REGRAS!$B$2:$C$13,2,0),""))</f>
        <v/>
      </c>
    </row>
    <row r="3918">
      <c r="T3918" s="47">
        <f>IF(R3918="","",IFERROR(TODAY()+VLOOKUP(R3918,REGRAS!$B$2:$C$13,2,0),""))</f>
        <v/>
      </c>
    </row>
    <row r="3919">
      <c r="T3919" s="47">
        <f>IF(R3919="","",IFERROR(TODAY()+VLOOKUP(R3919,REGRAS!$B$2:$C$13,2,0),""))</f>
        <v/>
      </c>
    </row>
    <row r="3920">
      <c r="T3920" s="47">
        <f>IF(R3920="","",IFERROR(TODAY()+VLOOKUP(R3920,REGRAS!$B$2:$C$13,2,0),""))</f>
        <v/>
      </c>
    </row>
    <row r="3921">
      <c r="T3921" s="47">
        <f>IF(R3921="","",IFERROR(TODAY()+VLOOKUP(R3921,REGRAS!$B$2:$C$13,2,0),""))</f>
        <v/>
      </c>
    </row>
    <row r="3922">
      <c r="T3922" s="47">
        <f>IF(R3922="","",IFERROR(TODAY()+VLOOKUP(R3922,REGRAS!$B$2:$C$13,2,0),""))</f>
        <v/>
      </c>
    </row>
    <row r="3923">
      <c r="T3923" s="47">
        <f>IF(R3923="","",IFERROR(TODAY()+VLOOKUP(R3923,REGRAS!$B$2:$C$13,2,0),""))</f>
        <v/>
      </c>
    </row>
    <row r="3924">
      <c r="T3924" s="47">
        <f>IF(R3924="","",IFERROR(TODAY()+VLOOKUP(R3924,REGRAS!$B$2:$C$13,2,0),""))</f>
        <v/>
      </c>
    </row>
    <row r="3925">
      <c r="T3925" s="47">
        <f>IF(R3925="","",IFERROR(TODAY()+VLOOKUP(R3925,REGRAS!$B$2:$C$13,2,0),""))</f>
        <v/>
      </c>
    </row>
    <row r="3926">
      <c r="T3926" s="47">
        <f>IF(R3926="","",IFERROR(TODAY()+VLOOKUP(R3926,REGRAS!$B$2:$C$13,2,0),""))</f>
        <v/>
      </c>
    </row>
    <row r="3927">
      <c r="T3927" s="47">
        <f>IF(R3927="","",IFERROR(TODAY()+VLOOKUP(R3927,REGRAS!$B$2:$C$13,2,0),""))</f>
        <v/>
      </c>
    </row>
    <row r="3928">
      <c r="T3928" s="47">
        <f>IF(R3928="","",IFERROR(TODAY()+VLOOKUP(R3928,REGRAS!$B$2:$C$13,2,0),""))</f>
        <v/>
      </c>
    </row>
    <row r="3929">
      <c r="T3929" s="47">
        <f>IF(R3929="","",IFERROR(TODAY()+VLOOKUP(R3929,REGRAS!$B$2:$C$13,2,0),""))</f>
        <v/>
      </c>
    </row>
    <row r="3930">
      <c r="T3930" s="47">
        <f>IF(R3930="","",IFERROR(TODAY()+VLOOKUP(R3930,REGRAS!$B$2:$C$13,2,0),""))</f>
        <v/>
      </c>
    </row>
    <row r="3931">
      <c r="T3931" s="47">
        <f>IF(R3931="","",IFERROR(TODAY()+VLOOKUP(R3931,REGRAS!$B$2:$C$13,2,0),""))</f>
        <v/>
      </c>
    </row>
    <row r="3932">
      <c r="T3932" s="47">
        <f>IF(R3932="","",IFERROR(TODAY()+VLOOKUP(R3932,REGRAS!$B$2:$C$13,2,0),""))</f>
        <v/>
      </c>
    </row>
    <row r="3933">
      <c r="T3933" s="47">
        <f>IF(R3933="","",IFERROR(TODAY()+VLOOKUP(R3933,REGRAS!$B$2:$C$13,2,0),""))</f>
        <v/>
      </c>
    </row>
    <row r="3934">
      <c r="T3934" s="47">
        <f>IF(R3934="","",IFERROR(TODAY()+VLOOKUP(R3934,REGRAS!$B$2:$C$13,2,0),""))</f>
        <v/>
      </c>
    </row>
    <row r="3935">
      <c r="T3935" s="47">
        <f>IF(R3935="","",IFERROR(TODAY()+VLOOKUP(R3935,REGRAS!$B$2:$C$13,2,0),""))</f>
        <v/>
      </c>
    </row>
    <row r="3936">
      <c r="T3936" s="47">
        <f>IF(R3936="","",IFERROR(TODAY()+VLOOKUP(R3936,REGRAS!$B$2:$C$13,2,0),""))</f>
        <v/>
      </c>
    </row>
    <row r="3937">
      <c r="T3937" s="47">
        <f>IF(R3937="","",IFERROR(TODAY()+VLOOKUP(R3937,REGRAS!$B$2:$C$13,2,0),""))</f>
        <v/>
      </c>
    </row>
    <row r="3938">
      <c r="T3938" s="47">
        <f>IF(R3938="","",IFERROR(TODAY()+VLOOKUP(R3938,REGRAS!$B$2:$C$13,2,0),""))</f>
        <v/>
      </c>
    </row>
    <row r="3939">
      <c r="T3939" s="47">
        <f>IF(R3939="","",IFERROR(TODAY()+VLOOKUP(R3939,REGRAS!$B$2:$C$13,2,0),""))</f>
        <v/>
      </c>
    </row>
    <row r="3940">
      <c r="T3940" s="47">
        <f>IF(R3940="","",IFERROR(TODAY()+VLOOKUP(R3940,REGRAS!$B$2:$C$13,2,0),""))</f>
        <v/>
      </c>
    </row>
    <row r="3941">
      <c r="T3941" s="47">
        <f>IF(R3941="","",IFERROR(TODAY()+VLOOKUP(R3941,REGRAS!$B$2:$C$13,2,0),""))</f>
        <v/>
      </c>
    </row>
    <row r="3942">
      <c r="T3942" s="47">
        <f>IF(R3942="","",IFERROR(TODAY()+VLOOKUP(R3942,REGRAS!$B$2:$C$13,2,0),""))</f>
        <v/>
      </c>
    </row>
    <row r="3943">
      <c r="T3943" s="47">
        <f>IF(R3943="","",IFERROR(TODAY()+VLOOKUP(R3943,REGRAS!$B$2:$C$13,2,0),""))</f>
        <v/>
      </c>
    </row>
    <row r="3944">
      <c r="T3944" s="47">
        <f>IF(R3944="","",IFERROR(TODAY()+VLOOKUP(R3944,REGRAS!$B$2:$C$13,2,0),""))</f>
        <v/>
      </c>
    </row>
    <row r="3945">
      <c r="T3945" s="47">
        <f>IF(R3945="","",IFERROR(TODAY()+VLOOKUP(R3945,REGRAS!$B$2:$C$13,2,0),""))</f>
        <v/>
      </c>
    </row>
    <row r="3946">
      <c r="T3946" s="47">
        <f>IF(R3946="","",IFERROR(TODAY()+VLOOKUP(R3946,REGRAS!$B$2:$C$13,2,0),""))</f>
        <v/>
      </c>
    </row>
    <row r="3947">
      <c r="T3947" s="47">
        <f>IF(R3947="","",IFERROR(TODAY()+VLOOKUP(R3947,REGRAS!$B$2:$C$13,2,0),""))</f>
        <v/>
      </c>
    </row>
    <row r="3948">
      <c r="T3948" s="47">
        <f>IF(R3948="","",IFERROR(TODAY()+VLOOKUP(R3948,REGRAS!$B$2:$C$13,2,0),""))</f>
        <v/>
      </c>
    </row>
    <row r="3949">
      <c r="T3949" s="47">
        <f>IF(R3949="","",IFERROR(TODAY()+VLOOKUP(R3949,REGRAS!$B$2:$C$13,2,0),""))</f>
        <v/>
      </c>
    </row>
    <row r="3950">
      <c r="T3950" s="47">
        <f>IF(R3950="","",IFERROR(TODAY()+VLOOKUP(R3950,REGRAS!$B$2:$C$13,2,0),""))</f>
        <v/>
      </c>
    </row>
    <row r="3951">
      <c r="T3951" s="47">
        <f>IF(R3951="","",IFERROR(TODAY()+VLOOKUP(R3951,REGRAS!$B$2:$C$13,2,0),""))</f>
        <v/>
      </c>
    </row>
    <row r="3952">
      <c r="T3952" s="47">
        <f>IF(R3952="","",IFERROR(TODAY()+VLOOKUP(R3952,REGRAS!$B$2:$C$13,2,0),""))</f>
        <v/>
      </c>
    </row>
    <row r="3953">
      <c r="T3953" s="47">
        <f>IF(R3953="","",IFERROR(TODAY()+VLOOKUP(R3953,REGRAS!$B$2:$C$13,2,0),""))</f>
        <v/>
      </c>
    </row>
    <row r="3954">
      <c r="T3954" s="47">
        <f>IF(R3954="","",IFERROR(TODAY()+VLOOKUP(R3954,REGRAS!$B$2:$C$13,2,0),""))</f>
        <v/>
      </c>
    </row>
    <row r="3955">
      <c r="T3955" s="47">
        <f>IF(R3955="","",IFERROR(TODAY()+VLOOKUP(R3955,REGRAS!$B$2:$C$13,2,0),""))</f>
        <v/>
      </c>
    </row>
    <row r="3956">
      <c r="T3956" s="47">
        <f>IF(R3956="","",IFERROR(TODAY()+VLOOKUP(R3956,REGRAS!$B$2:$C$13,2,0),""))</f>
        <v/>
      </c>
    </row>
    <row r="3957">
      <c r="T3957" s="47">
        <f>IF(R3957="","",IFERROR(TODAY()+VLOOKUP(R3957,REGRAS!$B$2:$C$13,2,0),""))</f>
        <v/>
      </c>
    </row>
    <row r="3958">
      <c r="T3958" s="47">
        <f>IF(R3958="","",IFERROR(TODAY()+VLOOKUP(R3958,REGRAS!$B$2:$C$13,2,0),""))</f>
        <v/>
      </c>
    </row>
    <row r="3959">
      <c r="T3959" s="47">
        <f>IF(R3959="","",IFERROR(TODAY()+VLOOKUP(R3959,REGRAS!$B$2:$C$13,2,0),""))</f>
        <v/>
      </c>
    </row>
    <row r="3960">
      <c r="T3960" s="47">
        <f>IF(R3960="","",IFERROR(TODAY()+VLOOKUP(R3960,REGRAS!$B$2:$C$13,2,0),""))</f>
        <v/>
      </c>
    </row>
    <row r="3961">
      <c r="T3961" s="47">
        <f>IF(R3961="","",IFERROR(TODAY()+VLOOKUP(R3961,REGRAS!$B$2:$C$13,2,0),""))</f>
        <v/>
      </c>
    </row>
    <row r="3962">
      <c r="T3962" s="47">
        <f>IF(R3962="","",IFERROR(TODAY()+VLOOKUP(R3962,REGRAS!$B$2:$C$13,2,0),""))</f>
        <v/>
      </c>
    </row>
    <row r="3963">
      <c r="T3963" s="47">
        <f>IF(R3963="","",IFERROR(TODAY()+VLOOKUP(R3963,REGRAS!$B$2:$C$13,2,0),""))</f>
        <v/>
      </c>
    </row>
    <row r="3964">
      <c r="T3964" s="47">
        <f>IF(R3964="","",IFERROR(TODAY()+VLOOKUP(R3964,REGRAS!$B$2:$C$13,2,0),""))</f>
        <v/>
      </c>
    </row>
    <row r="3965">
      <c r="T3965" s="47">
        <f>IF(R3965="","",IFERROR(TODAY()+VLOOKUP(R3965,REGRAS!$B$2:$C$13,2,0),""))</f>
        <v/>
      </c>
    </row>
    <row r="3966">
      <c r="T3966" s="47">
        <f>IF(R3966="","",IFERROR(TODAY()+VLOOKUP(R3966,REGRAS!$B$2:$C$13,2,0),""))</f>
        <v/>
      </c>
    </row>
    <row r="3967">
      <c r="T3967" s="47">
        <f>IF(R3967="","",IFERROR(TODAY()+VLOOKUP(R3967,REGRAS!$B$2:$C$13,2,0),""))</f>
        <v/>
      </c>
    </row>
    <row r="3968">
      <c r="T3968" s="47">
        <f>IF(R3968="","",IFERROR(TODAY()+VLOOKUP(R3968,REGRAS!$B$2:$C$13,2,0),""))</f>
        <v/>
      </c>
    </row>
    <row r="3969">
      <c r="T3969" s="47">
        <f>IF(R3969="","",IFERROR(TODAY()+VLOOKUP(R3969,REGRAS!$B$2:$C$13,2,0),""))</f>
        <v/>
      </c>
    </row>
    <row r="3970">
      <c r="T3970" s="47">
        <f>IF(R3970="","",IFERROR(TODAY()+VLOOKUP(R3970,REGRAS!$B$2:$C$13,2,0),""))</f>
        <v/>
      </c>
    </row>
    <row r="3971">
      <c r="T3971" s="47">
        <f>IF(R3971="","",IFERROR(TODAY()+VLOOKUP(R3971,REGRAS!$B$2:$C$13,2,0),""))</f>
        <v/>
      </c>
    </row>
    <row r="3972">
      <c r="T3972" s="47">
        <f>IF(R3972="","",IFERROR(TODAY()+VLOOKUP(R3972,REGRAS!$B$2:$C$13,2,0),""))</f>
        <v/>
      </c>
    </row>
    <row r="3973">
      <c r="T3973" s="47">
        <f>IF(R3973="","",IFERROR(TODAY()+VLOOKUP(R3973,REGRAS!$B$2:$C$13,2,0),""))</f>
        <v/>
      </c>
    </row>
    <row r="3974">
      <c r="T3974" s="47">
        <f>IF(R3974="","",IFERROR(TODAY()+VLOOKUP(R3974,REGRAS!$B$2:$C$13,2,0),""))</f>
        <v/>
      </c>
    </row>
    <row r="3975">
      <c r="T3975" s="47">
        <f>IF(R3975="","",IFERROR(TODAY()+VLOOKUP(R3975,REGRAS!$B$2:$C$13,2,0),""))</f>
        <v/>
      </c>
    </row>
    <row r="3976">
      <c r="T3976" s="47">
        <f>IF(R3976="","",IFERROR(TODAY()+VLOOKUP(R3976,REGRAS!$B$2:$C$13,2,0),""))</f>
        <v/>
      </c>
    </row>
    <row r="3977">
      <c r="T3977" s="47">
        <f>IF(R3977="","",IFERROR(TODAY()+VLOOKUP(R3977,REGRAS!$B$2:$C$13,2,0),""))</f>
        <v/>
      </c>
    </row>
    <row r="3978">
      <c r="T3978" s="47">
        <f>IF(R3978="","",IFERROR(TODAY()+VLOOKUP(R3978,REGRAS!$B$2:$C$13,2,0),""))</f>
        <v/>
      </c>
    </row>
    <row r="3979">
      <c r="T3979" s="47">
        <f>IF(R3979="","",IFERROR(TODAY()+VLOOKUP(R3979,REGRAS!$B$2:$C$13,2,0),""))</f>
        <v/>
      </c>
    </row>
    <row r="3980">
      <c r="T3980" s="47">
        <f>IF(R3980="","",IFERROR(TODAY()+VLOOKUP(R3980,REGRAS!$B$2:$C$13,2,0),""))</f>
        <v/>
      </c>
    </row>
    <row r="3981">
      <c r="T3981" s="47">
        <f>IF(R3981="","",IFERROR(TODAY()+VLOOKUP(R3981,REGRAS!$B$2:$C$13,2,0),""))</f>
        <v/>
      </c>
    </row>
    <row r="3982">
      <c r="T3982" s="47">
        <f>IF(R3982="","",IFERROR(TODAY()+VLOOKUP(R3982,REGRAS!$B$2:$C$13,2,0),""))</f>
        <v/>
      </c>
    </row>
    <row r="3983">
      <c r="T3983" s="47">
        <f>IF(R3983="","",IFERROR(TODAY()+VLOOKUP(R3983,REGRAS!$B$2:$C$13,2,0),""))</f>
        <v/>
      </c>
    </row>
    <row r="3984">
      <c r="T3984" s="47">
        <f>IF(R3984="","",IFERROR(TODAY()+VLOOKUP(R3984,REGRAS!$B$2:$C$13,2,0),""))</f>
        <v/>
      </c>
    </row>
    <row r="3985">
      <c r="T3985" s="47">
        <f>IF(R3985="","",IFERROR(TODAY()+VLOOKUP(R3985,REGRAS!$B$2:$C$13,2,0),""))</f>
        <v/>
      </c>
    </row>
    <row r="3986">
      <c r="T3986" s="47">
        <f>IF(R3986="","",IFERROR(TODAY()+VLOOKUP(R3986,REGRAS!$B$2:$C$13,2,0),""))</f>
        <v/>
      </c>
    </row>
    <row r="3987">
      <c r="T3987" s="47">
        <f>IF(R3987="","",IFERROR(TODAY()+VLOOKUP(R3987,REGRAS!$B$2:$C$13,2,0),""))</f>
        <v/>
      </c>
    </row>
    <row r="3988">
      <c r="T3988" s="47">
        <f>IF(R3988="","",IFERROR(TODAY()+VLOOKUP(R3988,REGRAS!$B$2:$C$13,2,0),""))</f>
        <v/>
      </c>
    </row>
    <row r="3989">
      <c r="T3989" s="47">
        <f>IF(R3989="","",IFERROR(TODAY()+VLOOKUP(R3989,REGRAS!$B$2:$C$13,2,0),""))</f>
        <v/>
      </c>
    </row>
    <row r="3990">
      <c r="T3990" s="47">
        <f>IF(R3990="","",IFERROR(TODAY()+VLOOKUP(R3990,REGRAS!$B$2:$C$13,2,0),""))</f>
        <v/>
      </c>
    </row>
    <row r="3991">
      <c r="T3991" s="47">
        <f>IF(R3991="","",IFERROR(TODAY()+VLOOKUP(R3991,REGRAS!$B$2:$C$13,2,0),""))</f>
        <v/>
      </c>
    </row>
    <row r="3992">
      <c r="T3992" s="47">
        <f>IF(R3992="","",IFERROR(TODAY()+VLOOKUP(R3992,REGRAS!$B$2:$C$13,2,0),""))</f>
        <v/>
      </c>
    </row>
    <row r="3993">
      <c r="T3993" s="47">
        <f>IF(R3993="","",IFERROR(TODAY()+VLOOKUP(R3993,REGRAS!$B$2:$C$13,2,0),""))</f>
        <v/>
      </c>
    </row>
    <row r="3994">
      <c r="T3994" s="47">
        <f>IF(R3994="","",IFERROR(TODAY()+VLOOKUP(R3994,REGRAS!$B$2:$C$13,2,0),""))</f>
        <v/>
      </c>
    </row>
    <row r="3995">
      <c r="T3995" s="47">
        <f>IF(R3995="","",IFERROR(TODAY()+VLOOKUP(R3995,REGRAS!$B$2:$C$13,2,0),""))</f>
        <v/>
      </c>
    </row>
    <row r="3996">
      <c r="T3996" s="47">
        <f>IF(R3996="","",IFERROR(TODAY()+VLOOKUP(R3996,REGRAS!$B$2:$C$13,2,0),""))</f>
        <v/>
      </c>
    </row>
    <row r="3997">
      <c r="T3997" s="47">
        <f>IF(R3997="","",IFERROR(TODAY()+VLOOKUP(R3997,REGRAS!$B$2:$C$13,2,0),""))</f>
        <v/>
      </c>
    </row>
    <row r="3998">
      <c r="T3998" s="47">
        <f>IF(R3998="","",IFERROR(TODAY()+VLOOKUP(R3998,REGRAS!$B$2:$C$13,2,0),""))</f>
        <v/>
      </c>
    </row>
    <row r="3999">
      <c r="T3999" s="47">
        <f>IF(R3999="","",IFERROR(TODAY()+VLOOKUP(R3999,REGRAS!$B$2:$C$13,2,0),""))</f>
        <v/>
      </c>
    </row>
    <row r="4000">
      <c r="T4000" s="47">
        <f>IF(R4000="","",IFERROR(TODAY()+VLOOKUP(R4000,REGRAS!$B$2:$C$13,2,0),""))</f>
        <v/>
      </c>
    </row>
    <row r="4001">
      <c r="T4001" s="47">
        <f>IF(R4001="","",IFERROR(TODAY()+VLOOKUP(R4001,REGRAS!$B$2:$C$13,2,0),""))</f>
        <v/>
      </c>
    </row>
    <row r="4002">
      <c r="T4002" s="47">
        <f>IF(R4002="","",IFERROR(TODAY()+VLOOKUP(R4002,REGRAS!$B$2:$C$13,2,0),""))</f>
        <v/>
      </c>
    </row>
    <row r="4003">
      <c r="T4003" s="47">
        <f>IF(R4003="","",IFERROR(TODAY()+VLOOKUP(R4003,REGRAS!$B$2:$C$13,2,0),""))</f>
        <v/>
      </c>
    </row>
    <row r="4004">
      <c r="T4004" s="47">
        <f>IF(R4004="","",IFERROR(TODAY()+VLOOKUP(R4004,REGRAS!$B$2:$C$13,2,0),""))</f>
        <v/>
      </c>
    </row>
    <row r="4005">
      <c r="T4005" s="47">
        <f>IF(R4005="","",IFERROR(TODAY()+VLOOKUP(R4005,REGRAS!$B$2:$C$13,2,0),""))</f>
        <v/>
      </c>
    </row>
    <row r="4006">
      <c r="T4006" s="47">
        <f>IF(R4006="","",IFERROR(TODAY()+VLOOKUP(R4006,REGRAS!$B$2:$C$13,2,0),""))</f>
        <v/>
      </c>
    </row>
    <row r="4007">
      <c r="T4007" s="47">
        <f>IF(R4007="","",IFERROR(TODAY()+VLOOKUP(R4007,REGRAS!$B$2:$C$13,2,0),""))</f>
        <v/>
      </c>
    </row>
    <row r="4008">
      <c r="T4008" s="47">
        <f>IF(R4008="","",IFERROR(TODAY()+VLOOKUP(R4008,REGRAS!$B$2:$C$13,2,0),""))</f>
        <v/>
      </c>
    </row>
    <row r="4009">
      <c r="T4009" s="47">
        <f>IF(R4009="","",IFERROR(TODAY()+VLOOKUP(R4009,REGRAS!$B$2:$C$13,2,0),""))</f>
        <v/>
      </c>
    </row>
    <row r="4010">
      <c r="T4010" s="47">
        <f>IF(R4010="","",IFERROR(TODAY()+VLOOKUP(R4010,REGRAS!$B$2:$C$13,2,0),""))</f>
        <v/>
      </c>
    </row>
    <row r="4011">
      <c r="T4011" s="47">
        <f>IF(R4011="","",IFERROR(TODAY()+VLOOKUP(R4011,REGRAS!$B$2:$C$13,2,0),""))</f>
        <v/>
      </c>
    </row>
    <row r="4012">
      <c r="T4012" s="47">
        <f>IF(R4012="","",IFERROR(TODAY()+VLOOKUP(R4012,REGRAS!$B$2:$C$13,2,0),""))</f>
        <v/>
      </c>
    </row>
    <row r="4013">
      <c r="T4013" s="47">
        <f>IF(R4013="","",IFERROR(TODAY()+VLOOKUP(R4013,REGRAS!$B$2:$C$13,2,0),""))</f>
        <v/>
      </c>
    </row>
    <row r="4014">
      <c r="T4014" s="47">
        <f>IF(R4014="","",IFERROR(TODAY()+VLOOKUP(R4014,REGRAS!$B$2:$C$13,2,0),""))</f>
        <v/>
      </c>
    </row>
    <row r="4015">
      <c r="T4015" s="47">
        <f>IF(R4015="","",IFERROR(TODAY()+VLOOKUP(R4015,REGRAS!$B$2:$C$13,2,0),""))</f>
        <v/>
      </c>
    </row>
    <row r="4016">
      <c r="T4016" s="47">
        <f>IF(R4016="","",IFERROR(TODAY()+VLOOKUP(R4016,REGRAS!$B$2:$C$13,2,0),""))</f>
        <v/>
      </c>
    </row>
    <row r="4017">
      <c r="T4017" s="47">
        <f>IF(R4017="","",IFERROR(TODAY()+VLOOKUP(R4017,REGRAS!$B$2:$C$13,2,0),""))</f>
        <v/>
      </c>
    </row>
    <row r="4018">
      <c r="T4018" s="47">
        <f>IF(R4018="","",IFERROR(TODAY()+VLOOKUP(R4018,REGRAS!$B$2:$C$13,2,0),""))</f>
        <v/>
      </c>
    </row>
    <row r="4019">
      <c r="T4019" s="47">
        <f>IF(R4019="","",IFERROR(TODAY()+VLOOKUP(R4019,REGRAS!$B$2:$C$13,2,0),""))</f>
        <v/>
      </c>
    </row>
    <row r="4020">
      <c r="T4020" s="47">
        <f>IF(R4020="","",IFERROR(TODAY()+VLOOKUP(R4020,REGRAS!$B$2:$C$13,2,0),""))</f>
        <v/>
      </c>
    </row>
    <row r="4021">
      <c r="T4021" s="47">
        <f>IF(R4021="","",IFERROR(TODAY()+VLOOKUP(R4021,REGRAS!$B$2:$C$13,2,0),""))</f>
        <v/>
      </c>
    </row>
    <row r="4022">
      <c r="T4022" s="47">
        <f>IF(R4022="","",IFERROR(TODAY()+VLOOKUP(R4022,REGRAS!$B$2:$C$13,2,0),""))</f>
        <v/>
      </c>
    </row>
    <row r="4023">
      <c r="T4023" s="47">
        <f>IF(R4023="","",IFERROR(TODAY()+VLOOKUP(R4023,REGRAS!$B$2:$C$13,2,0),""))</f>
        <v/>
      </c>
    </row>
    <row r="4024">
      <c r="T4024" s="47">
        <f>IF(R4024="","",IFERROR(TODAY()+VLOOKUP(R4024,REGRAS!$B$2:$C$13,2,0),""))</f>
        <v/>
      </c>
    </row>
    <row r="4025">
      <c r="T4025" s="47">
        <f>IF(R4025="","",IFERROR(TODAY()+VLOOKUP(R4025,REGRAS!$B$2:$C$13,2,0),""))</f>
        <v/>
      </c>
    </row>
    <row r="4026">
      <c r="T4026" s="47">
        <f>IF(R4026="","",IFERROR(TODAY()+VLOOKUP(R4026,REGRAS!$B$2:$C$13,2,0),""))</f>
        <v/>
      </c>
    </row>
    <row r="4027">
      <c r="T4027" s="47">
        <f>IF(R4027="","",IFERROR(TODAY()+VLOOKUP(R4027,REGRAS!$B$2:$C$13,2,0),""))</f>
        <v/>
      </c>
    </row>
    <row r="4028">
      <c r="T4028" s="47">
        <f>IF(R4028="","",IFERROR(TODAY()+VLOOKUP(R4028,REGRAS!$B$2:$C$13,2,0),""))</f>
        <v/>
      </c>
    </row>
    <row r="4029">
      <c r="T4029" s="47">
        <f>IF(R4029="","",IFERROR(TODAY()+VLOOKUP(R4029,REGRAS!$B$2:$C$13,2,0),""))</f>
        <v/>
      </c>
    </row>
    <row r="4030">
      <c r="T4030" s="47">
        <f>IF(R4030="","",IFERROR(TODAY()+VLOOKUP(R4030,REGRAS!$B$2:$C$13,2,0),""))</f>
        <v/>
      </c>
    </row>
    <row r="4031">
      <c r="T4031" s="47">
        <f>IF(R4031="","",IFERROR(TODAY()+VLOOKUP(R4031,REGRAS!$B$2:$C$13,2,0),""))</f>
        <v/>
      </c>
    </row>
    <row r="4032">
      <c r="T4032" s="47">
        <f>IF(R4032="","",IFERROR(TODAY()+VLOOKUP(R4032,REGRAS!$B$2:$C$13,2,0),""))</f>
        <v/>
      </c>
    </row>
    <row r="4033">
      <c r="T4033" s="47">
        <f>IF(R4033="","",IFERROR(TODAY()+VLOOKUP(R4033,REGRAS!$B$2:$C$13,2,0),""))</f>
        <v/>
      </c>
    </row>
    <row r="4034">
      <c r="T4034" s="47">
        <f>IF(R4034="","",IFERROR(TODAY()+VLOOKUP(R4034,REGRAS!$B$2:$C$13,2,0),""))</f>
        <v/>
      </c>
    </row>
    <row r="4035">
      <c r="T4035" s="47">
        <f>IF(R4035="","",IFERROR(TODAY()+VLOOKUP(R4035,REGRAS!$B$2:$C$13,2,0),""))</f>
        <v/>
      </c>
    </row>
    <row r="4036">
      <c r="T4036" s="47">
        <f>IF(R4036="","",IFERROR(TODAY()+VLOOKUP(R4036,REGRAS!$B$2:$C$13,2,0),""))</f>
        <v/>
      </c>
    </row>
    <row r="4037">
      <c r="T4037" s="47">
        <f>IF(R4037="","",IFERROR(TODAY()+VLOOKUP(R4037,REGRAS!$B$2:$C$13,2,0),""))</f>
        <v/>
      </c>
    </row>
    <row r="4038">
      <c r="T4038" s="47">
        <f>IF(R4038="","",IFERROR(TODAY()+VLOOKUP(R4038,REGRAS!$B$2:$C$13,2,0),""))</f>
        <v/>
      </c>
    </row>
    <row r="4039">
      <c r="T4039" s="47">
        <f>IF(R4039="","",IFERROR(TODAY()+VLOOKUP(R4039,REGRAS!$B$2:$C$13,2,0),""))</f>
        <v/>
      </c>
    </row>
    <row r="4040">
      <c r="T4040" s="47">
        <f>IF(R4040="","",IFERROR(TODAY()+VLOOKUP(R4040,REGRAS!$B$2:$C$13,2,0),""))</f>
        <v/>
      </c>
    </row>
    <row r="4041">
      <c r="T4041" s="47">
        <f>IF(R4041="","",IFERROR(TODAY()+VLOOKUP(R4041,REGRAS!$B$2:$C$13,2,0),""))</f>
        <v/>
      </c>
    </row>
    <row r="4042">
      <c r="T4042" s="47">
        <f>IF(R4042="","",IFERROR(TODAY()+VLOOKUP(R4042,REGRAS!$B$2:$C$13,2,0),""))</f>
        <v/>
      </c>
    </row>
    <row r="4043">
      <c r="T4043" s="47">
        <f>IF(R4043="","",IFERROR(TODAY()+VLOOKUP(R4043,REGRAS!$B$2:$C$13,2,0),""))</f>
        <v/>
      </c>
    </row>
    <row r="4044">
      <c r="T4044" s="47">
        <f>IF(R4044="","",IFERROR(TODAY()+VLOOKUP(R4044,REGRAS!$B$2:$C$13,2,0),""))</f>
        <v/>
      </c>
    </row>
    <row r="4045">
      <c r="T4045" s="47">
        <f>IF(R4045="","",IFERROR(TODAY()+VLOOKUP(R4045,REGRAS!$B$2:$C$13,2,0),""))</f>
        <v/>
      </c>
    </row>
    <row r="4046">
      <c r="T4046" s="47">
        <f>IF(R4046="","",IFERROR(TODAY()+VLOOKUP(R4046,REGRAS!$B$2:$C$13,2,0),""))</f>
        <v/>
      </c>
    </row>
    <row r="4047">
      <c r="T4047" s="47">
        <f>IF(R4047="","",IFERROR(TODAY()+VLOOKUP(R4047,REGRAS!$B$2:$C$13,2,0),""))</f>
        <v/>
      </c>
    </row>
    <row r="4048">
      <c r="T4048" s="47">
        <f>IF(R4048="","",IFERROR(TODAY()+VLOOKUP(R4048,REGRAS!$B$2:$C$13,2,0),""))</f>
        <v/>
      </c>
    </row>
    <row r="4049">
      <c r="T4049" s="47">
        <f>IF(R4049="","",IFERROR(TODAY()+VLOOKUP(R4049,REGRAS!$B$2:$C$13,2,0),""))</f>
        <v/>
      </c>
    </row>
    <row r="4050">
      <c r="T4050" s="47">
        <f>IF(R4050="","",IFERROR(TODAY()+VLOOKUP(R4050,REGRAS!$B$2:$C$13,2,0),""))</f>
        <v/>
      </c>
    </row>
    <row r="4051">
      <c r="T4051" s="47">
        <f>IF(R4051="","",IFERROR(TODAY()+VLOOKUP(R4051,REGRAS!$B$2:$C$13,2,0),""))</f>
        <v/>
      </c>
    </row>
    <row r="4052">
      <c r="T4052" s="47">
        <f>IF(R4052="","",IFERROR(TODAY()+VLOOKUP(R4052,REGRAS!$B$2:$C$13,2,0),""))</f>
        <v/>
      </c>
    </row>
    <row r="4053">
      <c r="T4053" s="47">
        <f>IF(R4053="","",IFERROR(TODAY()+VLOOKUP(R4053,REGRAS!$B$2:$C$13,2,0),""))</f>
        <v/>
      </c>
    </row>
    <row r="4054">
      <c r="T4054" s="47">
        <f>IF(R4054="","",IFERROR(TODAY()+VLOOKUP(R4054,REGRAS!$B$2:$C$13,2,0),""))</f>
        <v/>
      </c>
    </row>
    <row r="4055">
      <c r="T4055" s="47">
        <f>IF(R4055="","",IFERROR(TODAY()+VLOOKUP(R4055,REGRAS!$B$2:$C$13,2,0),""))</f>
        <v/>
      </c>
    </row>
    <row r="4056">
      <c r="T4056" s="47">
        <f>IF(R4056="","",IFERROR(TODAY()+VLOOKUP(R4056,REGRAS!$B$2:$C$13,2,0),""))</f>
        <v/>
      </c>
    </row>
    <row r="4057">
      <c r="T4057" s="47">
        <f>IF(R4057="","",IFERROR(TODAY()+VLOOKUP(R4057,REGRAS!$B$2:$C$13,2,0),""))</f>
        <v/>
      </c>
    </row>
    <row r="4058">
      <c r="T4058" s="47">
        <f>IF(R4058="","",IFERROR(TODAY()+VLOOKUP(R4058,REGRAS!$B$2:$C$13,2,0),""))</f>
        <v/>
      </c>
    </row>
    <row r="4059">
      <c r="T4059" s="47">
        <f>IF(R4059="","",IFERROR(TODAY()+VLOOKUP(R4059,REGRAS!$B$2:$C$13,2,0),""))</f>
        <v/>
      </c>
    </row>
    <row r="4060">
      <c r="T4060" s="47">
        <f>IF(R4060="","",IFERROR(TODAY()+VLOOKUP(R4060,REGRAS!$B$2:$C$13,2,0),""))</f>
        <v/>
      </c>
    </row>
    <row r="4061">
      <c r="T4061" s="47">
        <f>IF(R4061="","",IFERROR(TODAY()+VLOOKUP(R4061,REGRAS!$B$2:$C$13,2,0),""))</f>
        <v/>
      </c>
    </row>
    <row r="4062">
      <c r="T4062" s="47">
        <f>IF(R4062="","",IFERROR(TODAY()+VLOOKUP(R4062,REGRAS!$B$2:$C$13,2,0),""))</f>
        <v/>
      </c>
    </row>
    <row r="4063">
      <c r="T4063" s="47">
        <f>IF(R4063="","",IFERROR(TODAY()+VLOOKUP(R4063,REGRAS!$B$2:$C$13,2,0),""))</f>
        <v/>
      </c>
    </row>
    <row r="4064">
      <c r="T4064" s="47">
        <f>IF(R4064="","",IFERROR(TODAY()+VLOOKUP(R4064,REGRAS!$B$2:$C$13,2,0),""))</f>
        <v/>
      </c>
    </row>
    <row r="4065">
      <c r="T4065" s="47">
        <f>IF(R4065="","",IFERROR(TODAY()+VLOOKUP(R4065,REGRAS!$B$2:$C$13,2,0),""))</f>
        <v/>
      </c>
    </row>
    <row r="4066">
      <c r="T4066" s="47">
        <f>IF(R4066="","",IFERROR(TODAY()+VLOOKUP(R4066,REGRAS!$B$2:$C$13,2,0),""))</f>
        <v/>
      </c>
    </row>
    <row r="4067">
      <c r="T4067" s="47">
        <f>IF(R4067="","",IFERROR(TODAY()+VLOOKUP(R4067,REGRAS!$B$2:$C$13,2,0),""))</f>
        <v/>
      </c>
    </row>
    <row r="4068">
      <c r="T4068" s="47">
        <f>IF(R4068="","",IFERROR(TODAY()+VLOOKUP(R4068,REGRAS!$B$2:$C$13,2,0),""))</f>
        <v/>
      </c>
    </row>
    <row r="4069">
      <c r="T4069" s="47">
        <f>IF(R4069="","",IFERROR(TODAY()+VLOOKUP(R4069,REGRAS!$B$2:$C$13,2,0),""))</f>
        <v/>
      </c>
    </row>
    <row r="4070">
      <c r="T4070" s="47">
        <f>IF(R4070="","",IFERROR(TODAY()+VLOOKUP(R4070,REGRAS!$B$2:$C$13,2,0),""))</f>
        <v/>
      </c>
    </row>
    <row r="4071">
      <c r="T4071" s="47">
        <f>IF(R4071="","",IFERROR(TODAY()+VLOOKUP(R4071,REGRAS!$B$2:$C$13,2,0),""))</f>
        <v/>
      </c>
    </row>
    <row r="4072">
      <c r="T4072" s="47">
        <f>IF(R4072="","",IFERROR(TODAY()+VLOOKUP(R4072,REGRAS!$B$2:$C$13,2,0),""))</f>
        <v/>
      </c>
    </row>
    <row r="4073">
      <c r="T4073" s="47">
        <f>IF(R4073="","",IFERROR(TODAY()+VLOOKUP(R4073,REGRAS!$B$2:$C$13,2,0),""))</f>
        <v/>
      </c>
    </row>
    <row r="4074">
      <c r="T4074" s="47">
        <f>IF(R4074="","",IFERROR(TODAY()+VLOOKUP(R4074,REGRAS!$B$2:$C$13,2,0),""))</f>
        <v/>
      </c>
    </row>
    <row r="4075">
      <c r="T4075" s="47">
        <f>IF(R4075="","",IFERROR(TODAY()+VLOOKUP(R4075,REGRAS!$B$2:$C$13,2,0),""))</f>
        <v/>
      </c>
    </row>
    <row r="4076">
      <c r="T4076" s="47">
        <f>IF(R4076="","",IFERROR(TODAY()+VLOOKUP(R4076,REGRAS!$B$2:$C$13,2,0),""))</f>
        <v/>
      </c>
    </row>
    <row r="4077">
      <c r="T4077" s="47">
        <f>IF(R4077="","",IFERROR(TODAY()+VLOOKUP(R4077,REGRAS!$B$2:$C$13,2,0),""))</f>
        <v/>
      </c>
    </row>
    <row r="4078">
      <c r="T4078" s="47">
        <f>IF(R4078="","",IFERROR(TODAY()+VLOOKUP(R4078,REGRAS!$B$2:$C$13,2,0),""))</f>
        <v/>
      </c>
    </row>
    <row r="4079">
      <c r="T4079" s="47">
        <f>IF(R4079="","",IFERROR(TODAY()+VLOOKUP(R4079,REGRAS!$B$2:$C$13,2,0),""))</f>
        <v/>
      </c>
    </row>
    <row r="4080">
      <c r="T4080" s="47">
        <f>IF(R4080="","",IFERROR(TODAY()+VLOOKUP(R4080,REGRAS!$B$2:$C$13,2,0),""))</f>
        <v/>
      </c>
    </row>
    <row r="4081">
      <c r="T4081" s="47">
        <f>IF(R4081="","",IFERROR(TODAY()+VLOOKUP(R4081,REGRAS!$B$2:$C$13,2,0),""))</f>
        <v/>
      </c>
    </row>
    <row r="4082">
      <c r="T4082" s="47">
        <f>IF(R4082="","",IFERROR(TODAY()+VLOOKUP(R4082,REGRAS!$B$2:$C$13,2,0),""))</f>
        <v/>
      </c>
    </row>
    <row r="4083">
      <c r="T4083" s="47">
        <f>IF(R4083="","",IFERROR(TODAY()+VLOOKUP(R4083,REGRAS!$B$2:$C$13,2,0),""))</f>
        <v/>
      </c>
    </row>
    <row r="4084">
      <c r="T4084" s="47">
        <f>IF(R4084="","",IFERROR(TODAY()+VLOOKUP(R4084,REGRAS!$B$2:$C$13,2,0),""))</f>
        <v/>
      </c>
    </row>
    <row r="4085">
      <c r="T4085" s="47">
        <f>IF(R4085="","",IFERROR(TODAY()+VLOOKUP(R4085,REGRAS!$B$2:$C$13,2,0),""))</f>
        <v/>
      </c>
    </row>
    <row r="4086">
      <c r="T4086" s="47">
        <f>IF(R4086="","",IFERROR(TODAY()+VLOOKUP(R4086,REGRAS!$B$2:$C$13,2,0),""))</f>
        <v/>
      </c>
    </row>
    <row r="4087">
      <c r="T4087" s="47">
        <f>IF(R4087="","",IFERROR(TODAY()+VLOOKUP(R4087,REGRAS!$B$2:$C$13,2,0),""))</f>
        <v/>
      </c>
    </row>
    <row r="4088">
      <c r="T4088" s="47">
        <f>IF(R4088="","",IFERROR(TODAY()+VLOOKUP(R4088,REGRAS!$B$2:$C$13,2,0),""))</f>
        <v/>
      </c>
    </row>
    <row r="4089">
      <c r="T4089" s="47">
        <f>IF(R4089="","",IFERROR(TODAY()+VLOOKUP(R4089,REGRAS!$B$2:$C$13,2,0),""))</f>
        <v/>
      </c>
    </row>
    <row r="4090">
      <c r="T4090" s="47">
        <f>IF(R4090="","",IFERROR(TODAY()+VLOOKUP(R4090,REGRAS!$B$2:$C$13,2,0),""))</f>
        <v/>
      </c>
    </row>
    <row r="4091">
      <c r="T4091" s="47">
        <f>IF(R4091="","",IFERROR(TODAY()+VLOOKUP(R4091,REGRAS!$B$2:$C$13,2,0),""))</f>
        <v/>
      </c>
    </row>
    <row r="4092">
      <c r="T4092" s="47">
        <f>IF(R4092="","",IFERROR(TODAY()+VLOOKUP(R4092,REGRAS!$B$2:$C$13,2,0),""))</f>
        <v/>
      </c>
    </row>
    <row r="4093">
      <c r="T4093" s="47">
        <f>IF(R4093="","",IFERROR(TODAY()+VLOOKUP(R4093,REGRAS!$B$2:$C$13,2,0),""))</f>
        <v/>
      </c>
    </row>
    <row r="4094">
      <c r="T4094" s="47">
        <f>IF(R4094="","",IFERROR(TODAY()+VLOOKUP(R4094,REGRAS!$B$2:$C$13,2,0),""))</f>
        <v/>
      </c>
    </row>
    <row r="4095">
      <c r="T4095" s="47">
        <f>IF(R4095="","",IFERROR(TODAY()+VLOOKUP(R4095,REGRAS!$B$2:$C$13,2,0),""))</f>
        <v/>
      </c>
    </row>
    <row r="4096">
      <c r="T4096" s="47">
        <f>IF(R4096="","",IFERROR(TODAY()+VLOOKUP(R4096,REGRAS!$B$2:$C$13,2,0),""))</f>
        <v/>
      </c>
    </row>
    <row r="4097">
      <c r="T4097" s="47">
        <f>IF(R4097="","",IFERROR(TODAY()+VLOOKUP(R4097,REGRAS!$B$2:$C$13,2,0),""))</f>
        <v/>
      </c>
    </row>
    <row r="4098">
      <c r="T4098" s="47">
        <f>IF(R4098="","",IFERROR(TODAY()+VLOOKUP(R4098,REGRAS!$B$2:$C$13,2,0),""))</f>
        <v/>
      </c>
    </row>
    <row r="4099">
      <c r="T4099" s="47">
        <f>IF(R4099="","",IFERROR(TODAY()+VLOOKUP(R4099,REGRAS!$B$2:$C$13,2,0),""))</f>
        <v/>
      </c>
    </row>
    <row r="4100">
      <c r="T4100" s="47">
        <f>IF(R4100="","",IFERROR(TODAY()+VLOOKUP(R4100,REGRAS!$B$2:$C$13,2,0),""))</f>
        <v/>
      </c>
    </row>
    <row r="4101">
      <c r="T4101" s="47">
        <f>IF(R4101="","",IFERROR(TODAY()+VLOOKUP(R4101,REGRAS!$B$2:$C$13,2,0),""))</f>
        <v/>
      </c>
    </row>
    <row r="4102">
      <c r="T4102" s="47">
        <f>IF(R4102="","",IFERROR(TODAY()+VLOOKUP(R4102,REGRAS!$B$2:$C$13,2,0),""))</f>
        <v/>
      </c>
    </row>
    <row r="4103">
      <c r="T4103" s="47">
        <f>IF(R4103="","",IFERROR(TODAY()+VLOOKUP(R4103,REGRAS!$B$2:$C$13,2,0),""))</f>
        <v/>
      </c>
    </row>
    <row r="4104">
      <c r="T4104" s="47">
        <f>IF(R4104="","",IFERROR(TODAY()+VLOOKUP(R4104,REGRAS!$B$2:$C$13,2,0),""))</f>
        <v/>
      </c>
    </row>
    <row r="4105">
      <c r="T4105" s="47">
        <f>IF(R4105="","",IFERROR(TODAY()+VLOOKUP(R4105,REGRAS!$B$2:$C$13,2,0),""))</f>
        <v/>
      </c>
    </row>
    <row r="4106">
      <c r="T4106" s="47">
        <f>IF(R4106="","",IFERROR(TODAY()+VLOOKUP(R4106,REGRAS!$B$2:$C$13,2,0),""))</f>
        <v/>
      </c>
    </row>
    <row r="4107">
      <c r="T4107" s="47">
        <f>IF(R4107="","",IFERROR(TODAY()+VLOOKUP(R4107,REGRAS!$B$2:$C$13,2,0),""))</f>
        <v/>
      </c>
    </row>
    <row r="4108">
      <c r="T4108" s="47">
        <f>IF(R4108="","",IFERROR(TODAY()+VLOOKUP(R4108,REGRAS!$B$2:$C$13,2,0),""))</f>
        <v/>
      </c>
    </row>
    <row r="4109">
      <c r="T4109" s="47">
        <f>IF(R4109="","",IFERROR(TODAY()+VLOOKUP(R4109,REGRAS!$B$2:$C$13,2,0),""))</f>
        <v/>
      </c>
    </row>
    <row r="4110">
      <c r="T4110" s="47">
        <f>IF(R4110="","",IFERROR(TODAY()+VLOOKUP(R4110,REGRAS!$B$2:$C$13,2,0),""))</f>
        <v/>
      </c>
    </row>
    <row r="4111">
      <c r="T4111" s="47">
        <f>IF(R4111="","",IFERROR(TODAY()+VLOOKUP(R4111,REGRAS!$B$2:$C$13,2,0),""))</f>
        <v/>
      </c>
    </row>
    <row r="4112">
      <c r="T4112" s="47">
        <f>IF(R4112="","",IFERROR(TODAY()+VLOOKUP(R4112,REGRAS!$B$2:$C$13,2,0),""))</f>
        <v/>
      </c>
    </row>
    <row r="4113">
      <c r="T4113" s="47">
        <f>IF(R4113="","",IFERROR(TODAY()+VLOOKUP(R4113,REGRAS!$B$2:$C$13,2,0),""))</f>
        <v/>
      </c>
    </row>
    <row r="4114">
      <c r="T4114" s="47">
        <f>IF(R4114="","",IFERROR(TODAY()+VLOOKUP(R4114,REGRAS!$B$2:$C$13,2,0),""))</f>
        <v/>
      </c>
    </row>
    <row r="4115">
      <c r="T4115" s="47">
        <f>IF(R4115="","",IFERROR(TODAY()+VLOOKUP(R4115,REGRAS!$B$2:$C$13,2,0),""))</f>
        <v/>
      </c>
    </row>
    <row r="4116">
      <c r="T4116" s="47">
        <f>IF(R4116="","",IFERROR(TODAY()+VLOOKUP(R4116,REGRAS!$B$2:$C$13,2,0),""))</f>
        <v/>
      </c>
    </row>
    <row r="4117">
      <c r="T4117" s="47">
        <f>IF(R4117="","",IFERROR(TODAY()+VLOOKUP(R4117,REGRAS!$B$2:$C$13,2,0),""))</f>
        <v/>
      </c>
    </row>
    <row r="4118">
      <c r="T4118" s="47">
        <f>IF(R4118="","",IFERROR(TODAY()+VLOOKUP(R4118,REGRAS!$B$2:$C$13,2,0),""))</f>
        <v/>
      </c>
    </row>
    <row r="4119">
      <c r="T4119" s="47">
        <f>IF(R4119="","",IFERROR(TODAY()+VLOOKUP(R4119,REGRAS!$B$2:$C$13,2,0),""))</f>
        <v/>
      </c>
    </row>
    <row r="4120">
      <c r="T4120" s="47">
        <f>IF(R4120="","",IFERROR(TODAY()+VLOOKUP(R4120,REGRAS!$B$2:$C$13,2,0),""))</f>
        <v/>
      </c>
    </row>
    <row r="4121">
      <c r="T4121" s="47">
        <f>IF(R4121="","",IFERROR(TODAY()+VLOOKUP(R4121,REGRAS!$B$2:$C$13,2,0),""))</f>
        <v/>
      </c>
    </row>
    <row r="4122">
      <c r="T4122" s="47">
        <f>IF(R4122="","",IFERROR(TODAY()+VLOOKUP(R4122,REGRAS!$B$2:$C$13,2,0),""))</f>
        <v/>
      </c>
    </row>
    <row r="4123">
      <c r="T4123" s="47">
        <f>IF(R4123="","",IFERROR(TODAY()+VLOOKUP(R4123,REGRAS!$B$2:$C$13,2,0),""))</f>
        <v/>
      </c>
    </row>
    <row r="4124">
      <c r="T4124" s="47">
        <f>IF(R4124="","",IFERROR(TODAY()+VLOOKUP(R4124,REGRAS!$B$2:$C$13,2,0),""))</f>
        <v/>
      </c>
    </row>
    <row r="4125">
      <c r="T4125" s="47">
        <f>IF(R4125="","",IFERROR(TODAY()+VLOOKUP(R4125,REGRAS!$B$2:$C$13,2,0),""))</f>
        <v/>
      </c>
    </row>
    <row r="4126">
      <c r="T4126" s="47">
        <f>IF(R4126="","",IFERROR(TODAY()+VLOOKUP(R4126,REGRAS!$B$2:$C$13,2,0),""))</f>
        <v/>
      </c>
    </row>
    <row r="4127">
      <c r="T4127" s="47">
        <f>IF(R4127="","",IFERROR(TODAY()+VLOOKUP(R4127,REGRAS!$B$2:$C$13,2,0),""))</f>
        <v/>
      </c>
    </row>
    <row r="4128">
      <c r="T4128" s="47">
        <f>IF(R4128="","",IFERROR(TODAY()+VLOOKUP(R4128,REGRAS!$B$2:$C$13,2,0),""))</f>
        <v/>
      </c>
    </row>
    <row r="4129">
      <c r="T4129" s="47">
        <f>IF(R4129="","",IFERROR(TODAY()+VLOOKUP(R4129,REGRAS!$B$2:$C$13,2,0),""))</f>
        <v/>
      </c>
    </row>
    <row r="4130">
      <c r="T4130" s="47">
        <f>IF(R4130="","",IFERROR(TODAY()+VLOOKUP(R4130,REGRAS!$B$2:$C$13,2,0),""))</f>
        <v/>
      </c>
    </row>
    <row r="4131">
      <c r="T4131" s="47">
        <f>IF(R4131="","",IFERROR(TODAY()+VLOOKUP(R4131,REGRAS!$B$2:$C$13,2,0),""))</f>
        <v/>
      </c>
    </row>
    <row r="4132">
      <c r="T4132" s="47">
        <f>IF(R4132="","",IFERROR(TODAY()+VLOOKUP(R4132,REGRAS!$B$2:$C$13,2,0),""))</f>
        <v/>
      </c>
    </row>
    <row r="4133">
      <c r="T4133" s="47">
        <f>IF(R4133="","",IFERROR(TODAY()+VLOOKUP(R4133,REGRAS!$B$2:$C$13,2,0),""))</f>
        <v/>
      </c>
    </row>
    <row r="4134">
      <c r="T4134" s="47">
        <f>IF(R4134="","",IFERROR(TODAY()+VLOOKUP(R4134,REGRAS!$B$2:$C$13,2,0),""))</f>
        <v/>
      </c>
    </row>
    <row r="4135">
      <c r="T4135" s="47">
        <f>IF(R4135="","",IFERROR(TODAY()+VLOOKUP(R4135,REGRAS!$B$2:$C$13,2,0),""))</f>
        <v/>
      </c>
    </row>
    <row r="4136">
      <c r="T4136" s="47">
        <f>IF(R4136="","",IFERROR(TODAY()+VLOOKUP(R4136,REGRAS!$B$2:$C$13,2,0),""))</f>
        <v/>
      </c>
    </row>
    <row r="4137">
      <c r="T4137" s="47">
        <f>IF(R4137="","",IFERROR(TODAY()+VLOOKUP(R4137,REGRAS!$B$2:$C$13,2,0),""))</f>
        <v/>
      </c>
    </row>
    <row r="4138">
      <c r="T4138" s="47">
        <f>IF(R4138="","",IFERROR(TODAY()+VLOOKUP(R4138,REGRAS!$B$2:$C$13,2,0),""))</f>
        <v/>
      </c>
    </row>
    <row r="4139">
      <c r="T4139" s="47">
        <f>IF(R4139="","",IFERROR(TODAY()+VLOOKUP(R4139,REGRAS!$B$2:$C$13,2,0),""))</f>
        <v/>
      </c>
    </row>
    <row r="4140">
      <c r="T4140" s="47">
        <f>IF(R4140="","",IFERROR(TODAY()+VLOOKUP(R4140,REGRAS!$B$2:$C$13,2,0),""))</f>
        <v/>
      </c>
    </row>
    <row r="4141">
      <c r="T4141" s="47">
        <f>IF(R4141="","",IFERROR(TODAY()+VLOOKUP(R4141,REGRAS!$B$2:$C$13,2,0),""))</f>
        <v/>
      </c>
    </row>
    <row r="4142">
      <c r="T4142" s="47">
        <f>IF(R4142="","",IFERROR(TODAY()+VLOOKUP(R4142,REGRAS!$B$2:$C$13,2,0),""))</f>
        <v/>
      </c>
    </row>
    <row r="4143">
      <c r="T4143" s="47">
        <f>IF(R4143="","",IFERROR(TODAY()+VLOOKUP(R4143,REGRAS!$B$2:$C$13,2,0),""))</f>
        <v/>
      </c>
    </row>
    <row r="4144">
      <c r="T4144" s="47">
        <f>IF(R4144="","",IFERROR(TODAY()+VLOOKUP(R4144,REGRAS!$B$2:$C$13,2,0),""))</f>
        <v/>
      </c>
    </row>
    <row r="4145">
      <c r="T4145" s="47">
        <f>IF(R4145="","",IFERROR(TODAY()+VLOOKUP(R4145,REGRAS!$B$2:$C$13,2,0),""))</f>
        <v/>
      </c>
    </row>
    <row r="4146">
      <c r="T4146" s="47">
        <f>IF(R4146="","",IFERROR(TODAY()+VLOOKUP(R4146,REGRAS!$B$2:$C$13,2,0),""))</f>
        <v/>
      </c>
    </row>
    <row r="4147">
      <c r="T4147" s="47">
        <f>IF(R4147="","",IFERROR(TODAY()+VLOOKUP(R4147,REGRAS!$B$2:$C$13,2,0),""))</f>
        <v/>
      </c>
    </row>
    <row r="4148">
      <c r="T4148" s="47">
        <f>IF(R4148="","",IFERROR(TODAY()+VLOOKUP(R4148,REGRAS!$B$2:$C$13,2,0),""))</f>
        <v/>
      </c>
    </row>
    <row r="4149">
      <c r="T4149" s="47">
        <f>IF(R4149="","",IFERROR(TODAY()+VLOOKUP(R4149,REGRAS!$B$2:$C$13,2,0),""))</f>
        <v/>
      </c>
    </row>
    <row r="4150">
      <c r="T4150" s="47">
        <f>IF(R4150="","",IFERROR(TODAY()+VLOOKUP(R4150,REGRAS!$B$2:$C$13,2,0),""))</f>
        <v/>
      </c>
    </row>
    <row r="4151">
      <c r="T4151" s="47">
        <f>IF(R4151="","",IFERROR(TODAY()+VLOOKUP(R4151,REGRAS!$B$2:$C$13,2,0),""))</f>
        <v/>
      </c>
    </row>
    <row r="4152">
      <c r="T4152" s="47">
        <f>IF(R4152="","",IFERROR(TODAY()+VLOOKUP(R4152,REGRAS!$B$2:$C$13,2,0),""))</f>
        <v/>
      </c>
    </row>
    <row r="4153">
      <c r="T4153" s="47">
        <f>IF(R4153="","",IFERROR(TODAY()+VLOOKUP(R4153,REGRAS!$B$2:$C$13,2,0),""))</f>
        <v/>
      </c>
    </row>
    <row r="4154">
      <c r="T4154" s="47">
        <f>IF(R4154="","",IFERROR(TODAY()+VLOOKUP(R4154,REGRAS!$B$2:$C$13,2,0),""))</f>
        <v/>
      </c>
    </row>
    <row r="4155">
      <c r="T4155" s="47">
        <f>IF(R4155="","",IFERROR(TODAY()+VLOOKUP(R4155,REGRAS!$B$2:$C$13,2,0),""))</f>
        <v/>
      </c>
    </row>
    <row r="4156">
      <c r="T4156" s="47">
        <f>IF(R4156="","",IFERROR(TODAY()+VLOOKUP(R4156,REGRAS!$B$2:$C$13,2,0),""))</f>
        <v/>
      </c>
    </row>
    <row r="4157">
      <c r="T4157" s="47">
        <f>IF(R4157="","",IFERROR(TODAY()+VLOOKUP(R4157,REGRAS!$B$2:$C$13,2,0),""))</f>
        <v/>
      </c>
    </row>
    <row r="4158">
      <c r="T4158" s="47">
        <f>IF(R4158="","",IFERROR(TODAY()+VLOOKUP(R4158,REGRAS!$B$2:$C$13,2,0),""))</f>
        <v/>
      </c>
    </row>
    <row r="4159">
      <c r="T4159" s="47">
        <f>IF(R4159="","",IFERROR(TODAY()+VLOOKUP(R4159,REGRAS!$B$2:$C$13,2,0),""))</f>
        <v/>
      </c>
    </row>
    <row r="4160">
      <c r="T4160" s="47">
        <f>IF(R4160="","",IFERROR(TODAY()+VLOOKUP(R4160,REGRAS!$B$2:$C$13,2,0),""))</f>
        <v/>
      </c>
    </row>
    <row r="4161">
      <c r="T4161" s="47">
        <f>IF(R4161="","",IFERROR(TODAY()+VLOOKUP(R4161,REGRAS!$B$2:$C$13,2,0),""))</f>
        <v/>
      </c>
    </row>
    <row r="4162">
      <c r="T4162" s="47">
        <f>IF(R4162="","",IFERROR(TODAY()+VLOOKUP(R4162,REGRAS!$B$2:$C$13,2,0),""))</f>
        <v/>
      </c>
    </row>
    <row r="4163">
      <c r="T4163" s="47">
        <f>IF(R4163="","",IFERROR(TODAY()+VLOOKUP(R4163,REGRAS!$B$2:$C$13,2,0),""))</f>
        <v/>
      </c>
    </row>
    <row r="4164">
      <c r="T4164" s="47">
        <f>IF(R4164="","",IFERROR(TODAY()+VLOOKUP(R4164,REGRAS!$B$2:$C$13,2,0),""))</f>
        <v/>
      </c>
    </row>
    <row r="4165">
      <c r="T4165" s="47">
        <f>IF(R4165="","",IFERROR(TODAY()+VLOOKUP(R4165,REGRAS!$B$2:$C$13,2,0),""))</f>
        <v/>
      </c>
    </row>
    <row r="4166">
      <c r="T4166" s="47">
        <f>IF(R4166="","",IFERROR(TODAY()+VLOOKUP(R4166,REGRAS!$B$2:$C$13,2,0),""))</f>
        <v/>
      </c>
    </row>
    <row r="4167">
      <c r="T4167" s="47">
        <f>IF(R4167="","",IFERROR(TODAY()+VLOOKUP(R4167,REGRAS!$B$2:$C$13,2,0),""))</f>
        <v/>
      </c>
    </row>
    <row r="4168">
      <c r="T4168" s="47">
        <f>IF(R4168="","",IFERROR(TODAY()+VLOOKUP(R4168,REGRAS!$B$2:$C$13,2,0),""))</f>
        <v/>
      </c>
    </row>
    <row r="4169">
      <c r="T4169" s="47">
        <f>IF(R4169="","",IFERROR(TODAY()+VLOOKUP(R4169,REGRAS!$B$2:$C$13,2,0),""))</f>
        <v/>
      </c>
    </row>
    <row r="4170">
      <c r="T4170" s="47">
        <f>IF(R4170="","",IFERROR(TODAY()+VLOOKUP(R4170,REGRAS!$B$2:$C$13,2,0),""))</f>
        <v/>
      </c>
    </row>
    <row r="4171">
      <c r="T4171" s="47">
        <f>IF(R4171="","",IFERROR(TODAY()+VLOOKUP(R4171,REGRAS!$B$2:$C$13,2,0),""))</f>
        <v/>
      </c>
    </row>
    <row r="4172">
      <c r="T4172" s="47">
        <f>IF(R4172="","",IFERROR(TODAY()+VLOOKUP(R4172,REGRAS!$B$2:$C$13,2,0),""))</f>
        <v/>
      </c>
    </row>
    <row r="4173">
      <c r="T4173" s="47">
        <f>IF(R4173="","",IFERROR(TODAY()+VLOOKUP(R4173,REGRAS!$B$2:$C$13,2,0),""))</f>
        <v/>
      </c>
    </row>
    <row r="4174">
      <c r="T4174" s="47">
        <f>IF(R4174="","",IFERROR(TODAY()+VLOOKUP(R4174,REGRAS!$B$2:$C$13,2,0),""))</f>
        <v/>
      </c>
    </row>
    <row r="4175">
      <c r="T4175" s="47">
        <f>IF(R4175="","",IFERROR(TODAY()+VLOOKUP(R4175,REGRAS!$B$2:$C$13,2,0),""))</f>
        <v/>
      </c>
    </row>
    <row r="4176">
      <c r="T4176" s="47">
        <f>IF(R4176="","",IFERROR(TODAY()+VLOOKUP(R4176,REGRAS!$B$2:$C$13,2,0),""))</f>
        <v/>
      </c>
    </row>
    <row r="4177">
      <c r="T4177" s="47">
        <f>IF(R4177="","",IFERROR(TODAY()+VLOOKUP(R4177,REGRAS!$B$2:$C$13,2,0),""))</f>
        <v/>
      </c>
    </row>
    <row r="4178">
      <c r="T4178" s="47">
        <f>IF(R4178="","",IFERROR(TODAY()+VLOOKUP(R4178,REGRAS!$B$2:$C$13,2,0),""))</f>
        <v/>
      </c>
    </row>
    <row r="4179">
      <c r="T4179" s="47">
        <f>IF(R4179="","",IFERROR(TODAY()+VLOOKUP(R4179,REGRAS!$B$2:$C$13,2,0),""))</f>
        <v/>
      </c>
    </row>
    <row r="4180">
      <c r="T4180" s="47">
        <f>IF(R4180="","",IFERROR(TODAY()+VLOOKUP(R4180,REGRAS!$B$2:$C$13,2,0),""))</f>
        <v/>
      </c>
    </row>
    <row r="4181">
      <c r="T4181" s="47">
        <f>IF(R4181="","",IFERROR(TODAY()+VLOOKUP(R4181,REGRAS!$B$2:$C$13,2,0),""))</f>
        <v/>
      </c>
    </row>
    <row r="4182">
      <c r="T4182" s="47">
        <f>IF(R4182="","",IFERROR(TODAY()+VLOOKUP(R4182,REGRAS!$B$2:$C$13,2,0),""))</f>
        <v/>
      </c>
    </row>
    <row r="4183">
      <c r="T4183" s="47">
        <f>IF(R4183="","",IFERROR(TODAY()+VLOOKUP(R4183,REGRAS!$B$2:$C$13,2,0),""))</f>
        <v/>
      </c>
    </row>
    <row r="4184">
      <c r="T4184" s="47">
        <f>IF(R4184="","",IFERROR(TODAY()+VLOOKUP(R4184,REGRAS!$B$2:$C$13,2,0),""))</f>
        <v/>
      </c>
    </row>
    <row r="4185">
      <c r="T4185" s="47">
        <f>IF(R4185="","",IFERROR(TODAY()+VLOOKUP(R4185,REGRAS!$B$2:$C$13,2,0),""))</f>
        <v/>
      </c>
    </row>
    <row r="4186">
      <c r="T4186" s="47">
        <f>IF(R4186="","",IFERROR(TODAY()+VLOOKUP(R4186,REGRAS!$B$2:$C$13,2,0),""))</f>
        <v/>
      </c>
    </row>
    <row r="4187">
      <c r="T4187" s="47">
        <f>IF(R4187="","",IFERROR(TODAY()+VLOOKUP(R4187,REGRAS!$B$2:$C$13,2,0),""))</f>
        <v/>
      </c>
    </row>
    <row r="4188">
      <c r="T4188" s="47">
        <f>IF(R4188="","",IFERROR(TODAY()+VLOOKUP(R4188,REGRAS!$B$2:$C$13,2,0),""))</f>
        <v/>
      </c>
    </row>
    <row r="4189">
      <c r="T4189" s="47">
        <f>IF(R4189="","",IFERROR(TODAY()+VLOOKUP(R4189,REGRAS!$B$2:$C$13,2,0),""))</f>
        <v/>
      </c>
    </row>
    <row r="4190">
      <c r="T4190" s="47">
        <f>IF(R4190="","",IFERROR(TODAY()+VLOOKUP(R4190,REGRAS!$B$2:$C$13,2,0),""))</f>
        <v/>
      </c>
    </row>
    <row r="4191">
      <c r="T4191" s="47">
        <f>IF(R4191="","",IFERROR(TODAY()+VLOOKUP(R4191,REGRAS!$B$2:$C$13,2,0),""))</f>
        <v/>
      </c>
    </row>
    <row r="4192">
      <c r="T4192" s="47">
        <f>IF(R4192="","",IFERROR(TODAY()+VLOOKUP(R4192,REGRAS!$B$2:$C$13,2,0),""))</f>
        <v/>
      </c>
    </row>
    <row r="4193">
      <c r="T4193" s="47">
        <f>IF(R4193="","",IFERROR(TODAY()+VLOOKUP(R4193,REGRAS!$B$2:$C$13,2,0),""))</f>
        <v/>
      </c>
    </row>
    <row r="4194">
      <c r="T4194" s="47">
        <f>IF(R4194="","",IFERROR(TODAY()+VLOOKUP(R4194,REGRAS!$B$2:$C$13,2,0),""))</f>
        <v/>
      </c>
    </row>
    <row r="4195">
      <c r="T4195" s="47">
        <f>IF(R4195="","",IFERROR(TODAY()+VLOOKUP(R4195,REGRAS!$B$2:$C$13,2,0),""))</f>
        <v/>
      </c>
    </row>
    <row r="4196">
      <c r="T4196" s="47">
        <f>IF(R4196="","",IFERROR(TODAY()+VLOOKUP(R4196,REGRAS!$B$2:$C$13,2,0),""))</f>
        <v/>
      </c>
    </row>
    <row r="4197">
      <c r="T4197" s="47">
        <f>IF(R4197="","",IFERROR(TODAY()+VLOOKUP(R4197,REGRAS!$B$2:$C$13,2,0),""))</f>
        <v/>
      </c>
    </row>
    <row r="4198">
      <c r="T4198" s="47">
        <f>IF(R4198="","",IFERROR(TODAY()+VLOOKUP(R4198,REGRAS!$B$2:$C$13,2,0),""))</f>
        <v/>
      </c>
    </row>
    <row r="4199">
      <c r="T4199" s="47">
        <f>IF(R4199="","",IFERROR(TODAY()+VLOOKUP(R4199,REGRAS!$B$2:$C$13,2,0),""))</f>
        <v/>
      </c>
    </row>
    <row r="4200">
      <c r="T4200" s="47">
        <f>IF(R4200="","",IFERROR(TODAY()+VLOOKUP(R4200,REGRAS!$B$2:$C$13,2,0),""))</f>
        <v/>
      </c>
    </row>
    <row r="4201">
      <c r="T4201" s="47">
        <f>IF(R4201="","",IFERROR(TODAY()+VLOOKUP(R4201,REGRAS!$B$2:$C$13,2,0),""))</f>
        <v/>
      </c>
    </row>
    <row r="4202">
      <c r="T4202" s="47">
        <f>IF(R4202="","",IFERROR(TODAY()+VLOOKUP(R4202,REGRAS!$B$2:$C$13,2,0),""))</f>
        <v/>
      </c>
    </row>
    <row r="4203">
      <c r="T4203" s="47">
        <f>IF(R4203="","",IFERROR(TODAY()+VLOOKUP(R4203,REGRAS!$B$2:$C$13,2,0),""))</f>
        <v/>
      </c>
    </row>
    <row r="4204">
      <c r="T4204" s="47">
        <f>IF(R4204="","",IFERROR(TODAY()+VLOOKUP(R4204,REGRAS!$B$2:$C$13,2,0),""))</f>
        <v/>
      </c>
    </row>
    <row r="4205">
      <c r="T4205" s="47">
        <f>IF(R4205="","",IFERROR(TODAY()+VLOOKUP(R4205,REGRAS!$B$2:$C$13,2,0),""))</f>
        <v/>
      </c>
    </row>
    <row r="4206">
      <c r="T4206" s="47">
        <f>IF(R4206="","",IFERROR(TODAY()+VLOOKUP(R4206,REGRAS!$B$2:$C$13,2,0),""))</f>
        <v/>
      </c>
    </row>
    <row r="4207">
      <c r="T4207" s="47">
        <f>IF(R4207="","",IFERROR(TODAY()+VLOOKUP(R4207,REGRAS!$B$2:$C$13,2,0),""))</f>
        <v/>
      </c>
    </row>
    <row r="4208">
      <c r="T4208" s="47">
        <f>IF(R4208="","",IFERROR(TODAY()+VLOOKUP(R4208,REGRAS!$B$2:$C$13,2,0),""))</f>
        <v/>
      </c>
    </row>
    <row r="4209">
      <c r="T4209" s="47">
        <f>IF(R4209="","",IFERROR(TODAY()+VLOOKUP(R4209,REGRAS!$B$2:$C$13,2,0),""))</f>
        <v/>
      </c>
    </row>
    <row r="4210">
      <c r="T4210" s="47">
        <f>IF(R4210="","",IFERROR(TODAY()+VLOOKUP(R4210,REGRAS!$B$2:$C$13,2,0),""))</f>
        <v/>
      </c>
    </row>
    <row r="4211">
      <c r="T4211" s="47">
        <f>IF(R4211="","",IFERROR(TODAY()+VLOOKUP(R4211,REGRAS!$B$2:$C$13,2,0),""))</f>
        <v/>
      </c>
    </row>
    <row r="4212">
      <c r="T4212" s="47">
        <f>IF(R4212="","",IFERROR(TODAY()+VLOOKUP(R4212,REGRAS!$B$2:$C$13,2,0),""))</f>
        <v/>
      </c>
    </row>
    <row r="4213">
      <c r="T4213" s="47">
        <f>IF(R4213="","",IFERROR(TODAY()+VLOOKUP(R4213,REGRAS!$B$2:$C$13,2,0),""))</f>
        <v/>
      </c>
    </row>
    <row r="4214">
      <c r="T4214" s="47">
        <f>IF(R4214="","",IFERROR(TODAY()+VLOOKUP(R4214,REGRAS!$B$2:$C$13,2,0),""))</f>
        <v/>
      </c>
    </row>
    <row r="4215">
      <c r="T4215" s="47">
        <f>IF(R4215="","",IFERROR(TODAY()+VLOOKUP(R4215,REGRAS!$B$2:$C$13,2,0),""))</f>
        <v/>
      </c>
    </row>
    <row r="4216">
      <c r="T4216" s="47">
        <f>IF(R4216="","",IFERROR(TODAY()+VLOOKUP(R4216,REGRAS!$B$2:$C$13,2,0),""))</f>
        <v/>
      </c>
    </row>
    <row r="4217">
      <c r="T4217" s="47">
        <f>IF(R4217="","",IFERROR(TODAY()+VLOOKUP(R4217,REGRAS!$B$2:$C$13,2,0),""))</f>
        <v/>
      </c>
    </row>
    <row r="4218">
      <c r="T4218" s="47">
        <f>IF(R4218="","",IFERROR(TODAY()+VLOOKUP(R4218,REGRAS!$B$2:$C$13,2,0),""))</f>
        <v/>
      </c>
    </row>
    <row r="4219">
      <c r="T4219" s="47">
        <f>IF(R4219="","",IFERROR(TODAY()+VLOOKUP(R4219,REGRAS!$B$2:$C$13,2,0),""))</f>
        <v/>
      </c>
    </row>
    <row r="4220">
      <c r="T4220" s="47">
        <f>IF(R4220="","",IFERROR(TODAY()+VLOOKUP(R4220,REGRAS!$B$2:$C$13,2,0),""))</f>
        <v/>
      </c>
    </row>
    <row r="4221">
      <c r="T4221" s="47">
        <f>IF(R4221="","",IFERROR(TODAY()+VLOOKUP(R4221,REGRAS!$B$2:$C$13,2,0),""))</f>
        <v/>
      </c>
    </row>
    <row r="4222">
      <c r="T4222" s="47">
        <f>IF(R4222="","",IFERROR(TODAY()+VLOOKUP(R4222,REGRAS!$B$2:$C$13,2,0),""))</f>
        <v/>
      </c>
    </row>
    <row r="4223">
      <c r="T4223" s="47">
        <f>IF(R4223="","",IFERROR(TODAY()+VLOOKUP(R4223,REGRAS!$B$2:$C$13,2,0),""))</f>
        <v/>
      </c>
    </row>
    <row r="4224">
      <c r="T4224" s="47">
        <f>IF(R4224="","",IFERROR(TODAY()+VLOOKUP(R4224,REGRAS!$B$2:$C$13,2,0),""))</f>
        <v/>
      </c>
    </row>
    <row r="4225">
      <c r="T4225" s="47">
        <f>IF(R4225="","",IFERROR(TODAY()+VLOOKUP(R4225,REGRAS!$B$2:$C$13,2,0),""))</f>
        <v/>
      </c>
    </row>
    <row r="4226">
      <c r="T4226" s="47">
        <f>IF(R4226="","",IFERROR(TODAY()+VLOOKUP(R4226,REGRAS!$B$2:$C$13,2,0),""))</f>
        <v/>
      </c>
    </row>
    <row r="4227">
      <c r="T4227" s="47">
        <f>IF(R4227="","",IFERROR(TODAY()+VLOOKUP(R4227,REGRAS!$B$2:$C$13,2,0),""))</f>
        <v/>
      </c>
    </row>
    <row r="4228">
      <c r="T4228" s="47">
        <f>IF(R4228="","",IFERROR(TODAY()+VLOOKUP(R4228,REGRAS!$B$2:$C$13,2,0),""))</f>
        <v/>
      </c>
    </row>
    <row r="4229">
      <c r="T4229" s="47">
        <f>IF(R4229="","",IFERROR(TODAY()+VLOOKUP(R4229,REGRAS!$B$2:$C$13,2,0),""))</f>
        <v/>
      </c>
    </row>
    <row r="4230">
      <c r="T4230" s="47">
        <f>IF(R4230="","",IFERROR(TODAY()+VLOOKUP(R4230,REGRAS!$B$2:$C$13,2,0),""))</f>
        <v/>
      </c>
    </row>
    <row r="4231">
      <c r="T4231" s="47">
        <f>IF(R4231="","",IFERROR(TODAY()+VLOOKUP(R4231,REGRAS!$B$2:$C$13,2,0),""))</f>
        <v/>
      </c>
    </row>
    <row r="4232">
      <c r="T4232" s="47">
        <f>IF(R4232="","",IFERROR(TODAY()+VLOOKUP(R4232,REGRAS!$B$2:$C$13,2,0),""))</f>
        <v/>
      </c>
    </row>
    <row r="4233">
      <c r="T4233" s="47">
        <f>IF(R4233="","",IFERROR(TODAY()+VLOOKUP(R4233,REGRAS!$B$2:$C$13,2,0),""))</f>
        <v/>
      </c>
    </row>
    <row r="4234">
      <c r="T4234" s="47">
        <f>IF(R4234="","",IFERROR(TODAY()+VLOOKUP(R4234,REGRAS!$B$2:$C$13,2,0),""))</f>
        <v/>
      </c>
    </row>
    <row r="4235">
      <c r="T4235" s="47">
        <f>IF(R4235="","",IFERROR(TODAY()+VLOOKUP(R4235,REGRAS!$B$2:$C$13,2,0),""))</f>
        <v/>
      </c>
    </row>
    <row r="4236">
      <c r="T4236" s="47">
        <f>IF(R4236="","",IFERROR(TODAY()+VLOOKUP(R4236,REGRAS!$B$2:$C$13,2,0),""))</f>
        <v/>
      </c>
    </row>
    <row r="4237">
      <c r="T4237" s="47">
        <f>IF(R4237="","",IFERROR(TODAY()+VLOOKUP(R4237,REGRAS!$B$2:$C$13,2,0),""))</f>
        <v/>
      </c>
    </row>
    <row r="4238">
      <c r="T4238" s="47">
        <f>IF(R4238="","",IFERROR(TODAY()+VLOOKUP(R4238,REGRAS!$B$2:$C$13,2,0),""))</f>
        <v/>
      </c>
    </row>
    <row r="4239">
      <c r="T4239" s="47">
        <f>IF(R4239="","",IFERROR(TODAY()+VLOOKUP(R4239,REGRAS!$B$2:$C$13,2,0),""))</f>
        <v/>
      </c>
    </row>
    <row r="4240">
      <c r="T4240" s="47">
        <f>IF(R4240="","",IFERROR(TODAY()+VLOOKUP(R4240,REGRAS!$B$2:$C$13,2,0),""))</f>
        <v/>
      </c>
    </row>
    <row r="4241">
      <c r="T4241" s="47">
        <f>IF(R4241="","",IFERROR(TODAY()+VLOOKUP(R4241,REGRAS!$B$2:$C$13,2,0),""))</f>
        <v/>
      </c>
    </row>
    <row r="4242">
      <c r="T4242" s="47">
        <f>IF(R4242="","",IFERROR(TODAY()+VLOOKUP(R4242,REGRAS!$B$2:$C$13,2,0),""))</f>
        <v/>
      </c>
    </row>
    <row r="4243">
      <c r="T4243" s="47">
        <f>IF(R4243="","",IFERROR(TODAY()+VLOOKUP(R4243,REGRAS!$B$2:$C$13,2,0),""))</f>
        <v/>
      </c>
    </row>
    <row r="4244">
      <c r="T4244" s="47">
        <f>IF(R4244="","",IFERROR(TODAY()+VLOOKUP(R4244,REGRAS!$B$2:$C$13,2,0),""))</f>
        <v/>
      </c>
    </row>
    <row r="4245">
      <c r="T4245" s="47">
        <f>IF(R4245="","",IFERROR(TODAY()+VLOOKUP(R4245,REGRAS!$B$2:$C$13,2,0),""))</f>
        <v/>
      </c>
    </row>
    <row r="4246">
      <c r="T4246" s="47">
        <f>IF(R4246="","",IFERROR(TODAY()+VLOOKUP(R4246,REGRAS!$B$2:$C$13,2,0),""))</f>
        <v/>
      </c>
    </row>
    <row r="4247">
      <c r="T4247" s="47">
        <f>IF(R4247="","",IFERROR(TODAY()+VLOOKUP(R4247,REGRAS!$B$2:$C$13,2,0),""))</f>
        <v/>
      </c>
    </row>
    <row r="4248">
      <c r="T4248" s="47">
        <f>IF(R4248="","",IFERROR(TODAY()+VLOOKUP(R4248,REGRAS!$B$2:$C$13,2,0),""))</f>
        <v/>
      </c>
    </row>
    <row r="4249">
      <c r="T4249" s="47">
        <f>IF(R4249="","",IFERROR(TODAY()+VLOOKUP(R4249,REGRAS!$B$2:$C$13,2,0),""))</f>
        <v/>
      </c>
    </row>
    <row r="4250">
      <c r="T4250" s="47">
        <f>IF(R4250="","",IFERROR(TODAY()+VLOOKUP(R4250,REGRAS!$B$2:$C$13,2,0),""))</f>
        <v/>
      </c>
    </row>
    <row r="4251">
      <c r="T4251" s="47">
        <f>IF(R4251="","",IFERROR(TODAY()+VLOOKUP(R4251,REGRAS!$B$2:$C$13,2,0),""))</f>
        <v/>
      </c>
    </row>
    <row r="4252">
      <c r="T4252" s="47">
        <f>IF(R4252="","",IFERROR(TODAY()+VLOOKUP(R4252,REGRAS!$B$2:$C$13,2,0),""))</f>
        <v/>
      </c>
    </row>
    <row r="4253">
      <c r="T4253" s="47">
        <f>IF(R4253="","",IFERROR(TODAY()+VLOOKUP(R4253,REGRAS!$B$2:$C$13,2,0),""))</f>
        <v/>
      </c>
    </row>
    <row r="4254">
      <c r="T4254" s="47">
        <f>IF(R4254="","",IFERROR(TODAY()+VLOOKUP(R4254,REGRAS!$B$2:$C$13,2,0),""))</f>
        <v/>
      </c>
    </row>
    <row r="4255">
      <c r="T4255" s="47">
        <f>IF(R4255="","",IFERROR(TODAY()+VLOOKUP(R4255,REGRAS!$B$2:$C$13,2,0),""))</f>
        <v/>
      </c>
    </row>
    <row r="4256">
      <c r="T4256" s="47">
        <f>IF(R4256="","",IFERROR(TODAY()+VLOOKUP(R4256,REGRAS!$B$2:$C$13,2,0),""))</f>
        <v/>
      </c>
    </row>
    <row r="4257">
      <c r="T4257" s="47">
        <f>IF(R4257="","",IFERROR(TODAY()+VLOOKUP(R4257,REGRAS!$B$2:$C$13,2,0),""))</f>
        <v/>
      </c>
    </row>
    <row r="4258">
      <c r="T4258" s="47">
        <f>IF(R4258="","",IFERROR(TODAY()+VLOOKUP(R4258,REGRAS!$B$2:$C$13,2,0),""))</f>
        <v/>
      </c>
    </row>
    <row r="4259">
      <c r="T4259" s="47">
        <f>IF(R4259="","",IFERROR(TODAY()+VLOOKUP(R4259,REGRAS!$B$2:$C$13,2,0),""))</f>
        <v/>
      </c>
    </row>
    <row r="4260">
      <c r="T4260" s="47">
        <f>IF(R4260="","",IFERROR(TODAY()+VLOOKUP(R4260,REGRAS!$B$2:$C$13,2,0),""))</f>
        <v/>
      </c>
    </row>
    <row r="4261">
      <c r="T4261" s="47">
        <f>IF(R4261="","",IFERROR(TODAY()+VLOOKUP(R4261,REGRAS!$B$2:$C$13,2,0),""))</f>
        <v/>
      </c>
    </row>
    <row r="4262">
      <c r="T4262" s="47">
        <f>IF(R4262="","",IFERROR(TODAY()+VLOOKUP(R4262,REGRAS!$B$2:$C$13,2,0),""))</f>
        <v/>
      </c>
    </row>
    <row r="4263">
      <c r="T4263" s="47">
        <f>IF(R4263="","",IFERROR(TODAY()+VLOOKUP(R4263,REGRAS!$B$2:$C$13,2,0),""))</f>
        <v/>
      </c>
    </row>
    <row r="4264">
      <c r="T4264" s="47">
        <f>IF(R4264="","",IFERROR(TODAY()+VLOOKUP(R4264,REGRAS!$B$2:$C$13,2,0),""))</f>
        <v/>
      </c>
    </row>
    <row r="4265">
      <c r="T4265" s="47">
        <f>IF(R4265="","",IFERROR(TODAY()+VLOOKUP(R4265,REGRAS!$B$2:$C$13,2,0),""))</f>
        <v/>
      </c>
    </row>
    <row r="4266">
      <c r="T4266" s="47">
        <f>IF(R4266="","",IFERROR(TODAY()+VLOOKUP(R4266,REGRAS!$B$2:$C$13,2,0),""))</f>
        <v/>
      </c>
    </row>
    <row r="4267">
      <c r="T4267" s="47">
        <f>IF(R4267="","",IFERROR(TODAY()+VLOOKUP(R4267,REGRAS!$B$2:$C$13,2,0),""))</f>
        <v/>
      </c>
    </row>
    <row r="4268">
      <c r="T4268" s="47">
        <f>IF(R4268="","",IFERROR(TODAY()+VLOOKUP(R4268,REGRAS!$B$2:$C$13,2,0),""))</f>
        <v/>
      </c>
    </row>
    <row r="4269">
      <c r="T4269" s="47">
        <f>IF(R4269="","",IFERROR(TODAY()+VLOOKUP(R4269,REGRAS!$B$2:$C$13,2,0),""))</f>
        <v/>
      </c>
    </row>
    <row r="4270">
      <c r="T4270" s="47">
        <f>IF(R4270="","",IFERROR(TODAY()+VLOOKUP(R4270,REGRAS!$B$2:$C$13,2,0),""))</f>
        <v/>
      </c>
    </row>
    <row r="4271">
      <c r="T4271" s="47">
        <f>IF(R4271="","",IFERROR(TODAY()+VLOOKUP(R4271,REGRAS!$B$2:$C$13,2,0),""))</f>
        <v/>
      </c>
    </row>
    <row r="4272">
      <c r="T4272" s="47">
        <f>IF(R4272="","",IFERROR(TODAY()+VLOOKUP(R4272,REGRAS!$B$2:$C$13,2,0),""))</f>
        <v/>
      </c>
    </row>
    <row r="4273">
      <c r="T4273" s="47">
        <f>IF(R4273="","",IFERROR(TODAY()+VLOOKUP(R4273,REGRAS!$B$2:$C$13,2,0),""))</f>
        <v/>
      </c>
    </row>
    <row r="4274">
      <c r="T4274" s="47">
        <f>IF(R4274="","",IFERROR(TODAY()+VLOOKUP(R4274,REGRAS!$B$2:$C$13,2,0),""))</f>
        <v/>
      </c>
    </row>
    <row r="4275">
      <c r="T4275" s="47">
        <f>IF(R4275="","",IFERROR(TODAY()+VLOOKUP(R4275,REGRAS!$B$2:$C$13,2,0),""))</f>
        <v/>
      </c>
    </row>
    <row r="4276">
      <c r="T4276" s="47">
        <f>IF(R4276="","",IFERROR(TODAY()+VLOOKUP(R4276,REGRAS!$B$2:$C$13,2,0),""))</f>
        <v/>
      </c>
    </row>
    <row r="4277">
      <c r="T4277" s="47">
        <f>IF(R4277="","",IFERROR(TODAY()+VLOOKUP(R4277,REGRAS!$B$2:$C$13,2,0),""))</f>
        <v/>
      </c>
    </row>
    <row r="4278">
      <c r="T4278" s="47">
        <f>IF(R4278="","",IFERROR(TODAY()+VLOOKUP(R4278,REGRAS!$B$2:$C$13,2,0),""))</f>
        <v/>
      </c>
    </row>
    <row r="4279">
      <c r="T4279" s="47">
        <f>IF(R4279="","",IFERROR(TODAY()+VLOOKUP(R4279,REGRAS!$B$2:$C$13,2,0),""))</f>
        <v/>
      </c>
    </row>
    <row r="4280">
      <c r="T4280" s="47">
        <f>IF(R4280="","",IFERROR(TODAY()+VLOOKUP(R4280,REGRAS!$B$2:$C$13,2,0),""))</f>
        <v/>
      </c>
    </row>
    <row r="4281">
      <c r="T4281" s="47">
        <f>IF(R4281="","",IFERROR(TODAY()+VLOOKUP(R4281,REGRAS!$B$2:$C$13,2,0),""))</f>
        <v/>
      </c>
    </row>
    <row r="4282">
      <c r="T4282" s="47">
        <f>IF(R4282="","",IFERROR(TODAY()+VLOOKUP(R4282,REGRAS!$B$2:$C$13,2,0),""))</f>
        <v/>
      </c>
    </row>
    <row r="4283">
      <c r="T4283" s="47">
        <f>IF(R4283="","",IFERROR(TODAY()+VLOOKUP(R4283,REGRAS!$B$2:$C$13,2,0),""))</f>
        <v/>
      </c>
    </row>
    <row r="4284">
      <c r="T4284" s="47">
        <f>IF(R4284="","",IFERROR(TODAY()+VLOOKUP(R4284,REGRAS!$B$2:$C$13,2,0),""))</f>
        <v/>
      </c>
    </row>
    <row r="4285">
      <c r="T4285" s="47">
        <f>IF(R4285="","",IFERROR(TODAY()+VLOOKUP(R4285,REGRAS!$B$2:$C$13,2,0),""))</f>
        <v/>
      </c>
    </row>
    <row r="4286">
      <c r="T4286" s="47">
        <f>IF(R4286="","",IFERROR(TODAY()+VLOOKUP(R4286,REGRAS!$B$2:$C$13,2,0),""))</f>
        <v/>
      </c>
    </row>
    <row r="4287">
      <c r="T4287" s="47">
        <f>IF(R4287="","",IFERROR(TODAY()+VLOOKUP(R4287,REGRAS!$B$2:$C$13,2,0),""))</f>
        <v/>
      </c>
    </row>
    <row r="4288">
      <c r="T4288" s="47">
        <f>IF(R4288="","",IFERROR(TODAY()+VLOOKUP(R4288,REGRAS!$B$2:$C$13,2,0),""))</f>
        <v/>
      </c>
    </row>
    <row r="4289">
      <c r="T4289" s="47">
        <f>IF(R4289="","",IFERROR(TODAY()+VLOOKUP(R4289,REGRAS!$B$2:$C$13,2,0),""))</f>
        <v/>
      </c>
    </row>
    <row r="4290">
      <c r="T4290" s="47">
        <f>IF(R4290="","",IFERROR(TODAY()+VLOOKUP(R4290,REGRAS!$B$2:$C$13,2,0),""))</f>
        <v/>
      </c>
    </row>
    <row r="4291">
      <c r="T4291" s="47">
        <f>IF(R4291="","",IFERROR(TODAY()+VLOOKUP(R4291,REGRAS!$B$2:$C$13,2,0),""))</f>
        <v/>
      </c>
    </row>
    <row r="4292">
      <c r="T4292" s="47">
        <f>IF(R4292="","",IFERROR(TODAY()+VLOOKUP(R4292,REGRAS!$B$2:$C$13,2,0),""))</f>
        <v/>
      </c>
    </row>
    <row r="4293">
      <c r="T4293" s="47">
        <f>IF(R4293="","",IFERROR(TODAY()+VLOOKUP(R4293,REGRAS!$B$2:$C$13,2,0),""))</f>
        <v/>
      </c>
    </row>
    <row r="4294">
      <c r="T4294" s="47">
        <f>IF(R4294="","",IFERROR(TODAY()+VLOOKUP(R4294,REGRAS!$B$2:$C$13,2,0),""))</f>
        <v/>
      </c>
    </row>
    <row r="4295">
      <c r="T4295" s="47">
        <f>IF(R4295="","",IFERROR(TODAY()+VLOOKUP(R4295,REGRAS!$B$2:$C$13,2,0),""))</f>
        <v/>
      </c>
    </row>
    <row r="4296">
      <c r="T4296" s="47">
        <f>IF(R4296="","",IFERROR(TODAY()+VLOOKUP(R4296,REGRAS!$B$2:$C$13,2,0),""))</f>
        <v/>
      </c>
    </row>
    <row r="4297">
      <c r="T4297" s="47">
        <f>IF(R4297="","",IFERROR(TODAY()+VLOOKUP(R4297,REGRAS!$B$2:$C$13,2,0),""))</f>
        <v/>
      </c>
    </row>
    <row r="4298">
      <c r="T4298" s="47">
        <f>IF(R4298="","",IFERROR(TODAY()+VLOOKUP(R4298,REGRAS!$B$2:$C$13,2,0),""))</f>
        <v/>
      </c>
    </row>
    <row r="4299">
      <c r="T4299" s="47">
        <f>IF(R4299="","",IFERROR(TODAY()+VLOOKUP(R4299,REGRAS!$B$2:$C$13,2,0),""))</f>
        <v/>
      </c>
    </row>
    <row r="4300">
      <c r="T4300" s="47">
        <f>IF(R4300="","",IFERROR(TODAY()+VLOOKUP(R4300,REGRAS!$B$2:$C$13,2,0),""))</f>
        <v/>
      </c>
    </row>
    <row r="4301">
      <c r="T4301" s="47">
        <f>IF(R4301="","",IFERROR(TODAY()+VLOOKUP(R4301,REGRAS!$B$2:$C$13,2,0),""))</f>
        <v/>
      </c>
    </row>
    <row r="4302">
      <c r="T4302" s="47">
        <f>IF(R4302="","",IFERROR(TODAY()+VLOOKUP(R4302,REGRAS!$B$2:$C$13,2,0),""))</f>
        <v/>
      </c>
    </row>
    <row r="4303">
      <c r="T4303" s="47">
        <f>IF(R4303="","",IFERROR(TODAY()+VLOOKUP(R4303,REGRAS!$B$2:$C$13,2,0),""))</f>
        <v/>
      </c>
    </row>
    <row r="4304">
      <c r="T4304" s="47">
        <f>IF(R4304="","",IFERROR(TODAY()+VLOOKUP(R4304,REGRAS!$B$2:$C$13,2,0),""))</f>
        <v/>
      </c>
    </row>
    <row r="4305">
      <c r="T4305" s="47">
        <f>IF(R4305="","",IFERROR(TODAY()+VLOOKUP(R4305,REGRAS!$B$2:$C$13,2,0),""))</f>
        <v/>
      </c>
    </row>
    <row r="4306">
      <c r="T4306" s="47">
        <f>IF(R4306="","",IFERROR(TODAY()+VLOOKUP(R4306,REGRAS!$B$2:$C$13,2,0),""))</f>
        <v/>
      </c>
    </row>
    <row r="4307">
      <c r="T4307" s="47">
        <f>IF(R4307="","",IFERROR(TODAY()+VLOOKUP(R4307,REGRAS!$B$2:$C$13,2,0),""))</f>
        <v/>
      </c>
    </row>
    <row r="4308">
      <c r="T4308" s="47">
        <f>IF(R4308="","",IFERROR(TODAY()+VLOOKUP(R4308,REGRAS!$B$2:$C$13,2,0),""))</f>
        <v/>
      </c>
    </row>
    <row r="4309">
      <c r="T4309" s="47">
        <f>IF(R4309="","",IFERROR(TODAY()+VLOOKUP(R4309,REGRAS!$B$2:$C$13,2,0),""))</f>
        <v/>
      </c>
    </row>
    <row r="4310">
      <c r="T4310" s="47">
        <f>IF(R4310="","",IFERROR(TODAY()+VLOOKUP(R4310,REGRAS!$B$2:$C$13,2,0),""))</f>
        <v/>
      </c>
    </row>
    <row r="4311">
      <c r="T4311" s="47">
        <f>IF(R4311="","",IFERROR(TODAY()+VLOOKUP(R4311,REGRAS!$B$2:$C$13,2,0),""))</f>
        <v/>
      </c>
    </row>
    <row r="4312">
      <c r="T4312" s="47">
        <f>IF(R4312="","",IFERROR(TODAY()+VLOOKUP(R4312,REGRAS!$B$2:$C$13,2,0),""))</f>
        <v/>
      </c>
    </row>
    <row r="4313">
      <c r="T4313" s="47">
        <f>IF(R4313="","",IFERROR(TODAY()+VLOOKUP(R4313,REGRAS!$B$2:$C$13,2,0),""))</f>
        <v/>
      </c>
    </row>
    <row r="4314">
      <c r="T4314" s="47">
        <f>IF(R4314="","",IFERROR(TODAY()+VLOOKUP(R4314,REGRAS!$B$2:$C$13,2,0),""))</f>
        <v/>
      </c>
    </row>
    <row r="4315">
      <c r="T4315" s="47">
        <f>IF(R4315="","",IFERROR(TODAY()+VLOOKUP(R4315,REGRAS!$B$2:$C$13,2,0),""))</f>
        <v/>
      </c>
    </row>
    <row r="4316">
      <c r="T4316" s="47">
        <f>IF(R4316="","",IFERROR(TODAY()+VLOOKUP(R4316,REGRAS!$B$2:$C$13,2,0),""))</f>
        <v/>
      </c>
    </row>
    <row r="4317">
      <c r="T4317" s="47">
        <f>IF(R4317="","",IFERROR(TODAY()+VLOOKUP(R4317,REGRAS!$B$2:$C$13,2,0),""))</f>
        <v/>
      </c>
    </row>
    <row r="4318">
      <c r="T4318" s="47">
        <f>IF(R4318="","",IFERROR(TODAY()+VLOOKUP(R4318,REGRAS!$B$2:$C$13,2,0),""))</f>
        <v/>
      </c>
    </row>
    <row r="4319">
      <c r="T4319" s="47">
        <f>IF(R4319="","",IFERROR(TODAY()+VLOOKUP(R4319,REGRAS!$B$2:$C$13,2,0),""))</f>
        <v/>
      </c>
    </row>
    <row r="4320">
      <c r="T4320" s="47">
        <f>IF(R4320="","",IFERROR(TODAY()+VLOOKUP(R4320,REGRAS!$B$2:$C$13,2,0),""))</f>
        <v/>
      </c>
    </row>
    <row r="4321">
      <c r="T4321" s="47">
        <f>IF(R4321="","",IFERROR(TODAY()+VLOOKUP(R4321,REGRAS!$B$2:$C$13,2,0),""))</f>
        <v/>
      </c>
    </row>
    <row r="4322">
      <c r="T4322" s="47">
        <f>IF(R4322="","",IFERROR(TODAY()+VLOOKUP(R4322,REGRAS!$B$2:$C$13,2,0),""))</f>
        <v/>
      </c>
    </row>
    <row r="4323">
      <c r="T4323" s="47">
        <f>IF(R4323="","",IFERROR(TODAY()+VLOOKUP(R4323,REGRAS!$B$2:$C$13,2,0),""))</f>
        <v/>
      </c>
    </row>
    <row r="4324">
      <c r="T4324" s="47">
        <f>IF(R4324="","",IFERROR(TODAY()+VLOOKUP(R4324,REGRAS!$B$2:$C$13,2,0),""))</f>
        <v/>
      </c>
    </row>
    <row r="4325">
      <c r="T4325" s="47">
        <f>IF(R4325="","",IFERROR(TODAY()+VLOOKUP(R4325,REGRAS!$B$2:$C$13,2,0),""))</f>
        <v/>
      </c>
    </row>
    <row r="4326">
      <c r="T4326" s="47">
        <f>IF(R4326="","",IFERROR(TODAY()+VLOOKUP(R4326,REGRAS!$B$2:$C$13,2,0),""))</f>
        <v/>
      </c>
    </row>
    <row r="4327">
      <c r="T4327" s="47">
        <f>IF(R4327="","",IFERROR(TODAY()+VLOOKUP(R4327,REGRAS!$B$2:$C$13,2,0),""))</f>
        <v/>
      </c>
    </row>
    <row r="4328">
      <c r="T4328" s="47">
        <f>IF(R4328="","",IFERROR(TODAY()+VLOOKUP(R4328,REGRAS!$B$2:$C$13,2,0),""))</f>
        <v/>
      </c>
    </row>
    <row r="4329">
      <c r="T4329" s="47">
        <f>IF(R4329="","",IFERROR(TODAY()+VLOOKUP(R4329,REGRAS!$B$2:$C$13,2,0),""))</f>
        <v/>
      </c>
    </row>
    <row r="4330">
      <c r="T4330" s="47">
        <f>IF(R4330="","",IFERROR(TODAY()+VLOOKUP(R4330,REGRAS!$B$2:$C$13,2,0),""))</f>
        <v/>
      </c>
    </row>
    <row r="4331">
      <c r="T4331" s="47">
        <f>IF(R4331="","",IFERROR(TODAY()+VLOOKUP(R4331,REGRAS!$B$2:$C$13,2,0),""))</f>
        <v/>
      </c>
    </row>
    <row r="4332">
      <c r="T4332" s="47">
        <f>IF(R4332="","",IFERROR(TODAY()+VLOOKUP(R4332,REGRAS!$B$2:$C$13,2,0),""))</f>
        <v/>
      </c>
    </row>
    <row r="4333">
      <c r="T4333" s="47">
        <f>IF(R4333="","",IFERROR(TODAY()+VLOOKUP(R4333,REGRAS!$B$2:$C$13,2,0),""))</f>
        <v/>
      </c>
    </row>
    <row r="4334">
      <c r="T4334" s="47">
        <f>IF(R4334="","",IFERROR(TODAY()+VLOOKUP(R4334,REGRAS!$B$2:$C$13,2,0),""))</f>
        <v/>
      </c>
    </row>
    <row r="4335">
      <c r="T4335" s="47">
        <f>IF(R4335="","",IFERROR(TODAY()+VLOOKUP(R4335,REGRAS!$B$2:$C$13,2,0),""))</f>
        <v/>
      </c>
    </row>
    <row r="4336">
      <c r="T4336" s="47">
        <f>IF(R4336="","",IFERROR(TODAY()+VLOOKUP(R4336,REGRAS!$B$2:$C$13,2,0),""))</f>
        <v/>
      </c>
    </row>
    <row r="4337">
      <c r="T4337" s="47">
        <f>IF(R4337="","",IFERROR(TODAY()+VLOOKUP(R4337,REGRAS!$B$2:$C$13,2,0),""))</f>
        <v/>
      </c>
    </row>
    <row r="4338">
      <c r="T4338" s="47">
        <f>IF(R4338="","",IFERROR(TODAY()+VLOOKUP(R4338,REGRAS!$B$2:$C$13,2,0),""))</f>
        <v/>
      </c>
    </row>
    <row r="4339">
      <c r="T4339" s="47">
        <f>IF(R4339="","",IFERROR(TODAY()+VLOOKUP(R4339,REGRAS!$B$2:$C$13,2,0),""))</f>
        <v/>
      </c>
    </row>
    <row r="4340">
      <c r="T4340" s="47">
        <f>IF(R4340="","",IFERROR(TODAY()+VLOOKUP(R4340,REGRAS!$B$2:$C$13,2,0),""))</f>
        <v/>
      </c>
    </row>
    <row r="4341">
      <c r="T4341" s="47">
        <f>IF(R4341="","",IFERROR(TODAY()+VLOOKUP(R4341,REGRAS!$B$2:$C$13,2,0),""))</f>
        <v/>
      </c>
    </row>
    <row r="4342">
      <c r="T4342" s="47">
        <f>IF(R4342="","",IFERROR(TODAY()+VLOOKUP(R4342,REGRAS!$B$2:$C$13,2,0),""))</f>
        <v/>
      </c>
    </row>
    <row r="4343">
      <c r="T4343" s="47">
        <f>IF(R4343="","",IFERROR(TODAY()+VLOOKUP(R4343,REGRAS!$B$2:$C$13,2,0),""))</f>
        <v/>
      </c>
    </row>
    <row r="4344">
      <c r="T4344" s="47">
        <f>IF(R4344="","",IFERROR(TODAY()+VLOOKUP(R4344,REGRAS!$B$2:$C$13,2,0),""))</f>
        <v/>
      </c>
    </row>
    <row r="4345">
      <c r="T4345" s="47">
        <f>IF(R4345="","",IFERROR(TODAY()+VLOOKUP(R4345,REGRAS!$B$2:$C$13,2,0),""))</f>
        <v/>
      </c>
    </row>
    <row r="4346">
      <c r="T4346" s="47">
        <f>IF(R4346="","",IFERROR(TODAY()+VLOOKUP(R4346,REGRAS!$B$2:$C$13,2,0),""))</f>
        <v/>
      </c>
    </row>
    <row r="4347">
      <c r="T4347" s="47">
        <f>IF(R4347="","",IFERROR(TODAY()+VLOOKUP(R4347,REGRAS!$B$2:$C$13,2,0),""))</f>
        <v/>
      </c>
    </row>
    <row r="4348">
      <c r="T4348" s="47">
        <f>IF(R4348="","",IFERROR(TODAY()+VLOOKUP(R4348,REGRAS!$B$2:$C$13,2,0),""))</f>
        <v/>
      </c>
    </row>
    <row r="4349">
      <c r="T4349" s="47">
        <f>IF(R4349="","",IFERROR(TODAY()+VLOOKUP(R4349,REGRAS!$B$2:$C$13,2,0),""))</f>
        <v/>
      </c>
    </row>
    <row r="4350">
      <c r="T4350" s="47">
        <f>IF(R4350="","",IFERROR(TODAY()+VLOOKUP(R4350,REGRAS!$B$2:$C$13,2,0),""))</f>
        <v/>
      </c>
    </row>
    <row r="4351">
      <c r="T4351" s="47">
        <f>IF(R4351="","",IFERROR(TODAY()+VLOOKUP(R4351,REGRAS!$B$2:$C$13,2,0),""))</f>
        <v/>
      </c>
    </row>
    <row r="4352">
      <c r="T4352" s="47">
        <f>IF(R4352="","",IFERROR(TODAY()+VLOOKUP(R4352,REGRAS!$B$2:$C$13,2,0),""))</f>
        <v/>
      </c>
    </row>
    <row r="4353">
      <c r="T4353" s="47">
        <f>IF(R4353="","",IFERROR(TODAY()+VLOOKUP(R4353,REGRAS!$B$2:$C$13,2,0),""))</f>
        <v/>
      </c>
    </row>
    <row r="4354">
      <c r="T4354" s="47">
        <f>IF(R4354="","",IFERROR(TODAY()+VLOOKUP(R4354,REGRAS!$B$2:$C$13,2,0),""))</f>
        <v/>
      </c>
    </row>
    <row r="4355">
      <c r="T4355" s="47">
        <f>IF(R4355="","",IFERROR(TODAY()+VLOOKUP(R4355,REGRAS!$B$2:$C$13,2,0),""))</f>
        <v/>
      </c>
    </row>
    <row r="4356">
      <c r="T4356" s="47">
        <f>IF(R4356="","",IFERROR(TODAY()+VLOOKUP(R4356,REGRAS!$B$2:$C$13,2,0),""))</f>
        <v/>
      </c>
    </row>
    <row r="4357">
      <c r="T4357" s="47">
        <f>IF(R4357="","",IFERROR(TODAY()+VLOOKUP(R4357,REGRAS!$B$2:$C$13,2,0),""))</f>
        <v/>
      </c>
    </row>
    <row r="4358">
      <c r="T4358" s="47">
        <f>IF(R4358="","",IFERROR(TODAY()+VLOOKUP(R4358,REGRAS!$B$2:$C$13,2,0),""))</f>
        <v/>
      </c>
    </row>
    <row r="4359">
      <c r="T4359" s="47">
        <f>IF(R4359="","",IFERROR(TODAY()+VLOOKUP(R4359,REGRAS!$B$2:$C$13,2,0),""))</f>
        <v/>
      </c>
    </row>
    <row r="4360">
      <c r="T4360" s="47">
        <f>IF(R4360="","",IFERROR(TODAY()+VLOOKUP(R4360,REGRAS!$B$2:$C$13,2,0),""))</f>
        <v/>
      </c>
    </row>
    <row r="4361">
      <c r="T4361" s="47">
        <f>IF(R4361="","",IFERROR(TODAY()+VLOOKUP(R4361,REGRAS!$B$2:$C$13,2,0),""))</f>
        <v/>
      </c>
    </row>
    <row r="4362">
      <c r="T4362" s="47">
        <f>IF(R4362="","",IFERROR(TODAY()+VLOOKUP(R4362,REGRAS!$B$2:$C$13,2,0),""))</f>
        <v/>
      </c>
    </row>
    <row r="4363">
      <c r="T4363" s="47">
        <f>IF(R4363="","",IFERROR(TODAY()+VLOOKUP(R4363,REGRAS!$B$2:$C$13,2,0),""))</f>
        <v/>
      </c>
    </row>
    <row r="4364">
      <c r="T4364" s="47">
        <f>IF(R4364="","",IFERROR(TODAY()+VLOOKUP(R4364,REGRAS!$B$2:$C$13,2,0),""))</f>
        <v/>
      </c>
    </row>
    <row r="4365">
      <c r="T4365" s="47">
        <f>IF(R4365="","",IFERROR(TODAY()+VLOOKUP(R4365,REGRAS!$B$2:$C$13,2,0),""))</f>
        <v/>
      </c>
    </row>
    <row r="4366">
      <c r="T4366" s="47">
        <f>IF(R4366="","",IFERROR(TODAY()+VLOOKUP(R4366,REGRAS!$B$2:$C$13,2,0),""))</f>
        <v/>
      </c>
    </row>
    <row r="4367">
      <c r="T4367" s="47">
        <f>IF(R4367="","",IFERROR(TODAY()+VLOOKUP(R4367,REGRAS!$B$2:$C$13,2,0),""))</f>
        <v/>
      </c>
    </row>
    <row r="4368">
      <c r="T4368" s="47">
        <f>IF(R4368="","",IFERROR(TODAY()+VLOOKUP(R4368,REGRAS!$B$2:$C$13,2,0),""))</f>
        <v/>
      </c>
    </row>
    <row r="4369">
      <c r="T4369" s="47">
        <f>IF(R4369="","",IFERROR(TODAY()+VLOOKUP(R4369,REGRAS!$B$2:$C$13,2,0),""))</f>
        <v/>
      </c>
    </row>
    <row r="4370">
      <c r="T4370" s="47">
        <f>IF(R4370="","",IFERROR(TODAY()+VLOOKUP(R4370,REGRAS!$B$2:$C$13,2,0),""))</f>
        <v/>
      </c>
    </row>
    <row r="4371">
      <c r="T4371" s="47">
        <f>IF(R4371="","",IFERROR(TODAY()+VLOOKUP(R4371,REGRAS!$B$2:$C$13,2,0),""))</f>
        <v/>
      </c>
    </row>
    <row r="4372">
      <c r="T4372" s="47">
        <f>IF(R4372="","",IFERROR(TODAY()+VLOOKUP(R4372,REGRAS!$B$2:$C$13,2,0),""))</f>
        <v/>
      </c>
    </row>
    <row r="4373">
      <c r="T4373" s="47">
        <f>IF(R4373="","",IFERROR(TODAY()+VLOOKUP(R4373,REGRAS!$B$2:$C$13,2,0),""))</f>
        <v/>
      </c>
    </row>
    <row r="4374">
      <c r="T4374" s="47">
        <f>IF(R4374="","",IFERROR(TODAY()+VLOOKUP(R4374,REGRAS!$B$2:$C$13,2,0),""))</f>
        <v/>
      </c>
    </row>
    <row r="4375">
      <c r="T4375" s="47">
        <f>IF(R4375="","",IFERROR(TODAY()+VLOOKUP(R4375,REGRAS!$B$2:$C$13,2,0),""))</f>
        <v/>
      </c>
    </row>
    <row r="4376">
      <c r="T4376" s="47">
        <f>IF(R4376="","",IFERROR(TODAY()+VLOOKUP(R4376,REGRAS!$B$2:$C$13,2,0),""))</f>
        <v/>
      </c>
    </row>
    <row r="4377">
      <c r="T4377" s="47">
        <f>IF(R4377="","",IFERROR(TODAY()+VLOOKUP(R4377,REGRAS!$B$2:$C$13,2,0),""))</f>
        <v/>
      </c>
    </row>
    <row r="4378">
      <c r="T4378" s="47">
        <f>IF(R4378="","",IFERROR(TODAY()+VLOOKUP(R4378,REGRAS!$B$2:$C$13,2,0),""))</f>
        <v/>
      </c>
    </row>
    <row r="4379">
      <c r="T4379" s="47">
        <f>IF(R4379="","",IFERROR(TODAY()+VLOOKUP(R4379,REGRAS!$B$2:$C$13,2,0),""))</f>
        <v/>
      </c>
    </row>
    <row r="4380">
      <c r="T4380" s="47">
        <f>IF(R4380="","",IFERROR(TODAY()+VLOOKUP(R4380,REGRAS!$B$2:$C$13,2,0),""))</f>
        <v/>
      </c>
    </row>
    <row r="4381">
      <c r="T4381" s="47">
        <f>IF(R4381="","",IFERROR(TODAY()+VLOOKUP(R4381,REGRAS!$B$2:$C$13,2,0),""))</f>
        <v/>
      </c>
    </row>
    <row r="4382">
      <c r="T4382" s="47">
        <f>IF(R4382="","",IFERROR(TODAY()+VLOOKUP(R4382,REGRAS!$B$2:$C$13,2,0),""))</f>
        <v/>
      </c>
    </row>
    <row r="4383">
      <c r="T4383" s="47">
        <f>IF(R4383="","",IFERROR(TODAY()+VLOOKUP(R4383,REGRAS!$B$2:$C$13,2,0),""))</f>
        <v/>
      </c>
    </row>
    <row r="4384">
      <c r="T4384" s="47">
        <f>IF(R4384="","",IFERROR(TODAY()+VLOOKUP(R4384,REGRAS!$B$2:$C$13,2,0),""))</f>
        <v/>
      </c>
    </row>
    <row r="4385">
      <c r="T4385" s="47">
        <f>IF(R4385="","",IFERROR(TODAY()+VLOOKUP(R4385,REGRAS!$B$2:$C$13,2,0),""))</f>
        <v/>
      </c>
    </row>
    <row r="4386">
      <c r="T4386" s="47">
        <f>IF(R4386="","",IFERROR(TODAY()+VLOOKUP(R4386,REGRAS!$B$2:$C$13,2,0),""))</f>
        <v/>
      </c>
    </row>
    <row r="4387">
      <c r="T4387" s="47">
        <f>IF(R4387="","",IFERROR(TODAY()+VLOOKUP(R4387,REGRAS!$B$2:$C$13,2,0),""))</f>
        <v/>
      </c>
    </row>
    <row r="4388">
      <c r="T4388" s="47">
        <f>IF(R4388="","",IFERROR(TODAY()+VLOOKUP(R4388,REGRAS!$B$2:$C$13,2,0),""))</f>
        <v/>
      </c>
    </row>
    <row r="4389">
      <c r="T4389" s="47">
        <f>IF(R4389="","",IFERROR(TODAY()+VLOOKUP(R4389,REGRAS!$B$2:$C$13,2,0),""))</f>
        <v/>
      </c>
    </row>
    <row r="4390">
      <c r="T4390" s="47">
        <f>IF(R4390="","",IFERROR(TODAY()+VLOOKUP(R4390,REGRAS!$B$2:$C$13,2,0),""))</f>
        <v/>
      </c>
    </row>
    <row r="4391">
      <c r="T4391" s="47">
        <f>IF(R4391="","",IFERROR(TODAY()+VLOOKUP(R4391,REGRAS!$B$2:$C$13,2,0),""))</f>
        <v/>
      </c>
    </row>
    <row r="4392">
      <c r="T4392" s="47">
        <f>IF(R4392="","",IFERROR(TODAY()+VLOOKUP(R4392,REGRAS!$B$2:$C$13,2,0),""))</f>
        <v/>
      </c>
    </row>
    <row r="4393">
      <c r="T4393" s="47">
        <f>IF(R4393="","",IFERROR(TODAY()+VLOOKUP(R4393,REGRAS!$B$2:$C$13,2,0),""))</f>
        <v/>
      </c>
    </row>
    <row r="4394">
      <c r="T4394" s="47">
        <f>IF(R4394="","",IFERROR(TODAY()+VLOOKUP(R4394,REGRAS!$B$2:$C$13,2,0),""))</f>
        <v/>
      </c>
    </row>
    <row r="4395">
      <c r="T4395" s="47">
        <f>IF(R4395="","",IFERROR(TODAY()+VLOOKUP(R4395,REGRAS!$B$2:$C$13,2,0),""))</f>
        <v/>
      </c>
    </row>
    <row r="4396">
      <c r="T4396" s="47">
        <f>IF(R4396="","",IFERROR(TODAY()+VLOOKUP(R4396,REGRAS!$B$2:$C$13,2,0),""))</f>
        <v/>
      </c>
    </row>
    <row r="4397">
      <c r="T4397" s="47">
        <f>IF(R4397="","",IFERROR(TODAY()+VLOOKUP(R4397,REGRAS!$B$2:$C$13,2,0),""))</f>
        <v/>
      </c>
    </row>
    <row r="4398">
      <c r="T4398" s="47">
        <f>IF(R4398="","",IFERROR(TODAY()+VLOOKUP(R4398,REGRAS!$B$2:$C$13,2,0),""))</f>
        <v/>
      </c>
    </row>
    <row r="4399">
      <c r="T4399" s="47">
        <f>IF(R4399="","",IFERROR(TODAY()+VLOOKUP(R4399,REGRAS!$B$2:$C$13,2,0),""))</f>
        <v/>
      </c>
    </row>
    <row r="4400">
      <c r="T4400" s="47">
        <f>IF(R4400="","",IFERROR(TODAY()+VLOOKUP(R4400,REGRAS!$B$2:$C$13,2,0),""))</f>
        <v/>
      </c>
    </row>
    <row r="4401">
      <c r="T4401" s="47">
        <f>IF(R4401="","",IFERROR(TODAY()+VLOOKUP(R4401,REGRAS!$B$2:$C$13,2,0),""))</f>
        <v/>
      </c>
    </row>
    <row r="4402">
      <c r="T4402" s="47">
        <f>IF(R4402="","",IFERROR(TODAY()+VLOOKUP(R4402,REGRAS!$B$2:$C$13,2,0),""))</f>
        <v/>
      </c>
    </row>
    <row r="4403">
      <c r="T4403" s="47">
        <f>IF(R4403="","",IFERROR(TODAY()+VLOOKUP(R4403,REGRAS!$B$2:$C$13,2,0),""))</f>
        <v/>
      </c>
    </row>
    <row r="4404">
      <c r="T4404" s="47">
        <f>IF(R4404="","",IFERROR(TODAY()+VLOOKUP(R4404,REGRAS!$B$2:$C$13,2,0),""))</f>
        <v/>
      </c>
    </row>
    <row r="4405">
      <c r="T4405" s="47">
        <f>IF(R4405="","",IFERROR(TODAY()+VLOOKUP(R4405,REGRAS!$B$2:$C$13,2,0),""))</f>
        <v/>
      </c>
    </row>
    <row r="4406">
      <c r="T4406" s="47">
        <f>IF(R4406="","",IFERROR(TODAY()+VLOOKUP(R4406,REGRAS!$B$2:$C$13,2,0),""))</f>
        <v/>
      </c>
    </row>
    <row r="4407">
      <c r="T4407" s="47">
        <f>IF(R4407="","",IFERROR(TODAY()+VLOOKUP(R4407,REGRAS!$B$2:$C$13,2,0),""))</f>
        <v/>
      </c>
    </row>
    <row r="4408">
      <c r="T4408" s="47">
        <f>IF(R4408="","",IFERROR(TODAY()+VLOOKUP(R4408,REGRAS!$B$2:$C$13,2,0),""))</f>
        <v/>
      </c>
    </row>
    <row r="4409">
      <c r="T4409" s="47">
        <f>IF(R4409="","",IFERROR(TODAY()+VLOOKUP(R4409,REGRAS!$B$2:$C$13,2,0),""))</f>
        <v/>
      </c>
    </row>
    <row r="4410">
      <c r="T4410" s="47">
        <f>IF(R4410="","",IFERROR(TODAY()+VLOOKUP(R4410,REGRAS!$B$2:$C$13,2,0),""))</f>
        <v/>
      </c>
    </row>
    <row r="4411">
      <c r="T4411" s="47">
        <f>IF(R4411="","",IFERROR(TODAY()+VLOOKUP(R4411,REGRAS!$B$2:$C$13,2,0),""))</f>
        <v/>
      </c>
    </row>
    <row r="4412">
      <c r="T4412" s="47">
        <f>IF(R4412="","",IFERROR(TODAY()+VLOOKUP(R4412,REGRAS!$B$2:$C$13,2,0),""))</f>
        <v/>
      </c>
    </row>
    <row r="4413">
      <c r="T4413" s="47">
        <f>IF(R4413="","",IFERROR(TODAY()+VLOOKUP(R4413,REGRAS!$B$2:$C$13,2,0),""))</f>
        <v/>
      </c>
    </row>
    <row r="4414">
      <c r="T4414" s="47">
        <f>IF(R4414="","",IFERROR(TODAY()+VLOOKUP(R4414,REGRAS!$B$2:$C$13,2,0),""))</f>
        <v/>
      </c>
    </row>
    <row r="4415">
      <c r="T4415" s="47">
        <f>IF(R4415="","",IFERROR(TODAY()+VLOOKUP(R4415,REGRAS!$B$2:$C$13,2,0),""))</f>
        <v/>
      </c>
    </row>
    <row r="4416">
      <c r="T4416" s="47">
        <f>IF(R4416="","",IFERROR(TODAY()+VLOOKUP(R4416,REGRAS!$B$2:$C$13,2,0),""))</f>
        <v/>
      </c>
    </row>
    <row r="4417">
      <c r="T4417" s="47">
        <f>IF(R4417="","",IFERROR(TODAY()+VLOOKUP(R4417,REGRAS!$B$2:$C$13,2,0),""))</f>
        <v/>
      </c>
    </row>
    <row r="4418">
      <c r="T4418" s="47">
        <f>IF(R4418="","",IFERROR(TODAY()+VLOOKUP(R4418,REGRAS!$B$2:$C$13,2,0),""))</f>
        <v/>
      </c>
    </row>
    <row r="4419">
      <c r="T4419" s="47">
        <f>IF(R4419="","",IFERROR(TODAY()+VLOOKUP(R4419,REGRAS!$B$2:$C$13,2,0),""))</f>
        <v/>
      </c>
    </row>
    <row r="4420">
      <c r="T4420" s="47">
        <f>IF(R4420="","",IFERROR(TODAY()+VLOOKUP(R4420,REGRAS!$B$2:$C$13,2,0),""))</f>
        <v/>
      </c>
    </row>
    <row r="4421">
      <c r="T4421" s="47">
        <f>IF(R4421="","",IFERROR(TODAY()+VLOOKUP(R4421,REGRAS!$B$2:$C$13,2,0),""))</f>
        <v/>
      </c>
    </row>
    <row r="4422">
      <c r="T4422" s="47">
        <f>IF(R4422="","",IFERROR(TODAY()+VLOOKUP(R4422,REGRAS!$B$2:$C$13,2,0),""))</f>
        <v/>
      </c>
    </row>
    <row r="4423">
      <c r="T4423" s="47">
        <f>IF(R4423="","",IFERROR(TODAY()+VLOOKUP(R4423,REGRAS!$B$2:$C$13,2,0),""))</f>
        <v/>
      </c>
    </row>
    <row r="4424">
      <c r="T4424" s="47">
        <f>IF(R4424="","",IFERROR(TODAY()+VLOOKUP(R4424,REGRAS!$B$2:$C$13,2,0),""))</f>
        <v/>
      </c>
    </row>
    <row r="4425">
      <c r="T4425" s="47">
        <f>IF(R4425="","",IFERROR(TODAY()+VLOOKUP(R4425,REGRAS!$B$2:$C$13,2,0),""))</f>
        <v/>
      </c>
    </row>
    <row r="4426">
      <c r="T4426" s="47">
        <f>IF(R4426="","",IFERROR(TODAY()+VLOOKUP(R4426,REGRAS!$B$2:$C$13,2,0),""))</f>
        <v/>
      </c>
    </row>
    <row r="4427">
      <c r="T4427" s="47">
        <f>IF(R4427="","",IFERROR(TODAY()+VLOOKUP(R4427,REGRAS!$B$2:$C$13,2,0),""))</f>
        <v/>
      </c>
    </row>
    <row r="4428">
      <c r="T4428" s="47">
        <f>IF(R4428="","",IFERROR(TODAY()+VLOOKUP(R4428,REGRAS!$B$2:$C$13,2,0),""))</f>
        <v/>
      </c>
    </row>
    <row r="4429">
      <c r="T4429" s="47">
        <f>IF(R4429="","",IFERROR(TODAY()+VLOOKUP(R4429,REGRAS!$B$2:$C$13,2,0),""))</f>
        <v/>
      </c>
    </row>
    <row r="4430">
      <c r="T4430" s="47">
        <f>IF(R4430="","",IFERROR(TODAY()+VLOOKUP(R4430,REGRAS!$B$2:$C$13,2,0),""))</f>
        <v/>
      </c>
    </row>
    <row r="4431">
      <c r="T4431" s="47">
        <f>IF(R4431="","",IFERROR(TODAY()+VLOOKUP(R4431,REGRAS!$B$2:$C$13,2,0),""))</f>
        <v/>
      </c>
    </row>
    <row r="4432">
      <c r="T4432" s="47">
        <f>IF(R4432="","",IFERROR(TODAY()+VLOOKUP(R4432,REGRAS!$B$2:$C$13,2,0),""))</f>
        <v/>
      </c>
    </row>
    <row r="4433">
      <c r="T4433" s="47">
        <f>IF(R4433="","",IFERROR(TODAY()+VLOOKUP(R4433,REGRAS!$B$2:$C$13,2,0),""))</f>
        <v/>
      </c>
    </row>
    <row r="4434">
      <c r="T4434" s="47">
        <f>IF(R4434="","",IFERROR(TODAY()+VLOOKUP(R4434,REGRAS!$B$2:$C$13,2,0),""))</f>
        <v/>
      </c>
    </row>
    <row r="4435">
      <c r="T4435" s="47">
        <f>IF(R4435="","",IFERROR(TODAY()+VLOOKUP(R4435,REGRAS!$B$2:$C$13,2,0),""))</f>
        <v/>
      </c>
    </row>
    <row r="4436">
      <c r="T4436" s="47">
        <f>IF(R4436="","",IFERROR(TODAY()+VLOOKUP(R4436,REGRAS!$B$2:$C$13,2,0),""))</f>
        <v/>
      </c>
    </row>
    <row r="4437">
      <c r="T4437" s="47">
        <f>IF(R4437="","",IFERROR(TODAY()+VLOOKUP(R4437,REGRAS!$B$2:$C$13,2,0),""))</f>
        <v/>
      </c>
    </row>
    <row r="4438">
      <c r="T4438" s="47">
        <f>IF(R4438="","",IFERROR(TODAY()+VLOOKUP(R4438,REGRAS!$B$2:$C$13,2,0),""))</f>
        <v/>
      </c>
    </row>
    <row r="4439">
      <c r="T4439" s="47">
        <f>IF(R4439="","",IFERROR(TODAY()+VLOOKUP(R4439,REGRAS!$B$2:$C$13,2,0),""))</f>
        <v/>
      </c>
    </row>
    <row r="4440">
      <c r="T4440" s="47">
        <f>IF(R4440="","",IFERROR(TODAY()+VLOOKUP(R4440,REGRAS!$B$2:$C$13,2,0),""))</f>
        <v/>
      </c>
    </row>
    <row r="4441">
      <c r="T4441" s="47">
        <f>IF(R4441="","",IFERROR(TODAY()+VLOOKUP(R4441,REGRAS!$B$2:$C$13,2,0),""))</f>
        <v/>
      </c>
    </row>
    <row r="4442">
      <c r="T4442" s="47">
        <f>IF(R4442="","",IFERROR(TODAY()+VLOOKUP(R4442,REGRAS!$B$2:$C$13,2,0),""))</f>
        <v/>
      </c>
    </row>
    <row r="4443">
      <c r="T4443" s="47">
        <f>IF(R4443="","",IFERROR(TODAY()+VLOOKUP(R4443,REGRAS!$B$2:$C$13,2,0),""))</f>
        <v/>
      </c>
    </row>
    <row r="4444">
      <c r="T4444" s="47">
        <f>IF(R4444="","",IFERROR(TODAY()+VLOOKUP(R4444,REGRAS!$B$2:$C$13,2,0),""))</f>
        <v/>
      </c>
    </row>
    <row r="4445">
      <c r="T4445" s="47">
        <f>IF(R4445="","",IFERROR(TODAY()+VLOOKUP(R4445,REGRAS!$B$2:$C$13,2,0),""))</f>
        <v/>
      </c>
    </row>
    <row r="4446">
      <c r="T4446" s="47">
        <f>IF(R4446="","",IFERROR(TODAY()+VLOOKUP(R4446,REGRAS!$B$2:$C$13,2,0),""))</f>
        <v/>
      </c>
    </row>
    <row r="4447">
      <c r="T4447" s="47">
        <f>IF(R4447="","",IFERROR(TODAY()+VLOOKUP(R4447,REGRAS!$B$2:$C$13,2,0),""))</f>
        <v/>
      </c>
    </row>
    <row r="4448">
      <c r="T4448" s="47">
        <f>IF(R4448="","",IFERROR(TODAY()+VLOOKUP(R4448,REGRAS!$B$2:$C$13,2,0),""))</f>
        <v/>
      </c>
    </row>
    <row r="4449">
      <c r="T4449" s="47">
        <f>IF(R4449="","",IFERROR(TODAY()+VLOOKUP(R4449,REGRAS!$B$2:$C$13,2,0),""))</f>
        <v/>
      </c>
    </row>
    <row r="4450">
      <c r="T4450" s="47">
        <f>IF(R4450="","",IFERROR(TODAY()+VLOOKUP(R4450,REGRAS!$B$2:$C$13,2,0),""))</f>
        <v/>
      </c>
    </row>
    <row r="4451">
      <c r="T4451" s="47">
        <f>IF(R4451="","",IFERROR(TODAY()+VLOOKUP(R4451,REGRAS!$B$2:$C$13,2,0),""))</f>
        <v/>
      </c>
    </row>
    <row r="4452">
      <c r="T4452" s="47">
        <f>IF(R4452="","",IFERROR(TODAY()+VLOOKUP(R4452,REGRAS!$B$2:$C$13,2,0),""))</f>
        <v/>
      </c>
    </row>
    <row r="4453">
      <c r="T4453" s="47">
        <f>IF(R4453="","",IFERROR(TODAY()+VLOOKUP(R4453,REGRAS!$B$2:$C$13,2,0),""))</f>
        <v/>
      </c>
    </row>
    <row r="4454">
      <c r="T4454" s="47">
        <f>IF(R4454="","",IFERROR(TODAY()+VLOOKUP(R4454,REGRAS!$B$2:$C$13,2,0),""))</f>
        <v/>
      </c>
    </row>
    <row r="4455">
      <c r="T4455" s="47">
        <f>IF(R4455="","",IFERROR(TODAY()+VLOOKUP(R4455,REGRAS!$B$2:$C$13,2,0),""))</f>
        <v/>
      </c>
    </row>
    <row r="4456">
      <c r="T4456" s="47">
        <f>IF(R4456="","",IFERROR(TODAY()+VLOOKUP(R4456,REGRAS!$B$2:$C$13,2,0),""))</f>
        <v/>
      </c>
    </row>
    <row r="4457">
      <c r="T4457" s="47">
        <f>IF(R4457="","",IFERROR(TODAY()+VLOOKUP(R4457,REGRAS!$B$2:$C$13,2,0),""))</f>
        <v/>
      </c>
    </row>
    <row r="4458">
      <c r="T4458" s="47">
        <f>IF(R4458="","",IFERROR(TODAY()+VLOOKUP(R4458,REGRAS!$B$2:$C$13,2,0),""))</f>
        <v/>
      </c>
    </row>
    <row r="4459">
      <c r="T4459" s="47">
        <f>IF(R4459="","",IFERROR(TODAY()+VLOOKUP(R4459,REGRAS!$B$2:$C$13,2,0),""))</f>
        <v/>
      </c>
    </row>
    <row r="4460">
      <c r="T4460" s="47">
        <f>IF(R4460="","",IFERROR(TODAY()+VLOOKUP(R4460,REGRAS!$B$2:$C$13,2,0),""))</f>
        <v/>
      </c>
    </row>
    <row r="4461">
      <c r="T4461" s="47">
        <f>IF(R4461="","",IFERROR(TODAY()+VLOOKUP(R4461,REGRAS!$B$2:$C$13,2,0),""))</f>
        <v/>
      </c>
    </row>
    <row r="4462">
      <c r="T4462" s="47">
        <f>IF(R4462="","",IFERROR(TODAY()+VLOOKUP(R4462,REGRAS!$B$2:$C$13,2,0),""))</f>
        <v/>
      </c>
    </row>
    <row r="4463">
      <c r="T4463" s="47">
        <f>IF(R4463="","",IFERROR(TODAY()+VLOOKUP(R4463,REGRAS!$B$2:$C$13,2,0),""))</f>
        <v/>
      </c>
    </row>
    <row r="4464">
      <c r="T4464" s="47">
        <f>IF(R4464="","",IFERROR(TODAY()+VLOOKUP(R4464,REGRAS!$B$2:$C$13,2,0),""))</f>
        <v/>
      </c>
    </row>
    <row r="4465">
      <c r="T4465" s="47">
        <f>IF(R4465="","",IFERROR(TODAY()+VLOOKUP(R4465,REGRAS!$B$2:$C$13,2,0),""))</f>
        <v/>
      </c>
    </row>
    <row r="4466">
      <c r="T4466" s="47">
        <f>IF(R4466="","",IFERROR(TODAY()+VLOOKUP(R4466,REGRAS!$B$2:$C$13,2,0),""))</f>
        <v/>
      </c>
    </row>
    <row r="4467">
      <c r="T4467" s="47">
        <f>IF(R4467="","",IFERROR(TODAY()+VLOOKUP(R4467,REGRAS!$B$2:$C$13,2,0),""))</f>
        <v/>
      </c>
    </row>
    <row r="4468">
      <c r="T4468" s="47">
        <f>IF(R4468="","",IFERROR(TODAY()+VLOOKUP(R4468,REGRAS!$B$2:$C$13,2,0),""))</f>
        <v/>
      </c>
    </row>
    <row r="4469">
      <c r="T4469" s="47">
        <f>IF(R4469="","",IFERROR(TODAY()+VLOOKUP(R4469,REGRAS!$B$2:$C$13,2,0),""))</f>
        <v/>
      </c>
    </row>
    <row r="4470">
      <c r="T4470" s="47">
        <f>IF(R4470="","",IFERROR(TODAY()+VLOOKUP(R4470,REGRAS!$B$2:$C$13,2,0),""))</f>
        <v/>
      </c>
    </row>
    <row r="4471">
      <c r="T4471" s="47">
        <f>IF(R4471="","",IFERROR(TODAY()+VLOOKUP(R4471,REGRAS!$B$2:$C$13,2,0),""))</f>
        <v/>
      </c>
    </row>
    <row r="4472">
      <c r="T4472" s="47">
        <f>IF(R4472="","",IFERROR(TODAY()+VLOOKUP(R4472,REGRAS!$B$2:$C$13,2,0),""))</f>
        <v/>
      </c>
    </row>
    <row r="4473">
      <c r="T4473" s="47">
        <f>IF(R4473="","",IFERROR(TODAY()+VLOOKUP(R4473,REGRAS!$B$2:$C$13,2,0),""))</f>
        <v/>
      </c>
    </row>
    <row r="4474">
      <c r="T4474" s="47">
        <f>IF(R4474="","",IFERROR(TODAY()+VLOOKUP(R4474,REGRAS!$B$2:$C$13,2,0),""))</f>
        <v/>
      </c>
    </row>
    <row r="4475">
      <c r="T4475" s="47">
        <f>IF(R4475="","",IFERROR(TODAY()+VLOOKUP(R4475,REGRAS!$B$2:$C$13,2,0),""))</f>
        <v/>
      </c>
    </row>
    <row r="4476">
      <c r="T4476" s="47">
        <f>IF(R4476="","",IFERROR(TODAY()+VLOOKUP(R4476,REGRAS!$B$2:$C$13,2,0),""))</f>
        <v/>
      </c>
    </row>
    <row r="4477">
      <c r="T4477" s="47">
        <f>IF(R4477="","",IFERROR(TODAY()+VLOOKUP(R4477,REGRAS!$B$2:$C$13,2,0),""))</f>
        <v/>
      </c>
    </row>
    <row r="4478">
      <c r="T4478" s="47">
        <f>IF(R4478="","",IFERROR(TODAY()+VLOOKUP(R4478,REGRAS!$B$2:$C$13,2,0),""))</f>
        <v/>
      </c>
    </row>
    <row r="4479">
      <c r="T4479" s="47">
        <f>IF(R4479="","",IFERROR(TODAY()+VLOOKUP(R4479,REGRAS!$B$2:$C$13,2,0),""))</f>
        <v/>
      </c>
    </row>
    <row r="4480">
      <c r="T4480" s="47">
        <f>IF(R4480="","",IFERROR(TODAY()+VLOOKUP(R4480,REGRAS!$B$2:$C$13,2,0),""))</f>
        <v/>
      </c>
    </row>
    <row r="4481">
      <c r="T4481" s="47">
        <f>IF(R4481="","",IFERROR(TODAY()+VLOOKUP(R4481,REGRAS!$B$2:$C$13,2,0),""))</f>
        <v/>
      </c>
    </row>
    <row r="4482">
      <c r="T4482" s="47">
        <f>IF(R4482="","",IFERROR(TODAY()+VLOOKUP(R4482,REGRAS!$B$2:$C$13,2,0),""))</f>
        <v/>
      </c>
    </row>
    <row r="4483">
      <c r="T4483" s="47">
        <f>IF(R4483="","",IFERROR(TODAY()+VLOOKUP(R4483,REGRAS!$B$2:$C$13,2,0),""))</f>
        <v/>
      </c>
    </row>
    <row r="4484">
      <c r="T4484" s="47">
        <f>IF(R4484="","",IFERROR(TODAY()+VLOOKUP(R4484,REGRAS!$B$2:$C$13,2,0),""))</f>
        <v/>
      </c>
    </row>
    <row r="4485">
      <c r="T4485" s="47">
        <f>IF(R4485="","",IFERROR(TODAY()+VLOOKUP(R4485,REGRAS!$B$2:$C$13,2,0),""))</f>
        <v/>
      </c>
    </row>
    <row r="4486">
      <c r="T4486" s="47">
        <f>IF(R4486="","",IFERROR(TODAY()+VLOOKUP(R4486,REGRAS!$B$2:$C$13,2,0),""))</f>
        <v/>
      </c>
    </row>
    <row r="4487">
      <c r="T4487" s="47">
        <f>IF(R4487="","",IFERROR(TODAY()+VLOOKUP(R4487,REGRAS!$B$2:$C$13,2,0),""))</f>
        <v/>
      </c>
    </row>
    <row r="4488">
      <c r="T4488" s="47">
        <f>IF(R4488="","",IFERROR(TODAY()+VLOOKUP(R4488,REGRAS!$B$2:$C$13,2,0),""))</f>
        <v/>
      </c>
    </row>
    <row r="4489">
      <c r="T4489" s="47">
        <f>IF(R4489="","",IFERROR(TODAY()+VLOOKUP(R4489,REGRAS!$B$2:$C$13,2,0),""))</f>
        <v/>
      </c>
    </row>
    <row r="4490">
      <c r="T4490" s="47">
        <f>IF(R4490="","",IFERROR(TODAY()+VLOOKUP(R4490,REGRAS!$B$2:$C$13,2,0),""))</f>
        <v/>
      </c>
    </row>
    <row r="4491">
      <c r="T4491" s="47">
        <f>IF(R4491="","",IFERROR(TODAY()+VLOOKUP(R4491,REGRAS!$B$2:$C$13,2,0),""))</f>
        <v/>
      </c>
    </row>
    <row r="4492">
      <c r="T4492" s="47">
        <f>IF(R4492="","",IFERROR(TODAY()+VLOOKUP(R4492,REGRAS!$B$2:$C$13,2,0),""))</f>
        <v/>
      </c>
    </row>
    <row r="4493">
      <c r="T4493" s="47">
        <f>IF(R4493="","",IFERROR(TODAY()+VLOOKUP(R4493,REGRAS!$B$2:$C$13,2,0),""))</f>
        <v/>
      </c>
    </row>
    <row r="4494">
      <c r="T4494" s="47">
        <f>IF(R4494="","",IFERROR(TODAY()+VLOOKUP(R4494,REGRAS!$B$2:$C$13,2,0),""))</f>
        <v/>
      </c>
    </row>
    <row r="4495">
      <c r="T4495" s="47">
        <f>IF(R4495="","",IFERROR(TODAY()+VLOOKUP(R4495,REGRAS!$B$2:$C$13,2,0),""))</f>
        <v/>
      </c>
    </row>
    <row r="4496">
      <c r="T4496" s="47">
        <f>IF(R4496="","",IFERROR(TODAY()+VLOOKUP(R4496,REGRAS!$B$2:$C$13,2,0),""))</f>
        <v/>
      </c>
    </row>
    <row r="4497">
      <c r="T4497" s="47">
        <f>IF(R4497="","",IFERROR(TODAY()+VLOOKUP(R4497,REGRAS!$B$2:$C$13,2,0),""))</f>
        <v/>
      </c>
    </row>
    <row r="4498">
      <c r="T4498" s="47">
        <f>IF(R4498="","",IFERROR(TODAY()+VLOOKUP(R4498,REGRAS!$B$2:$C$13,2,0),""))</f>
        <v/>
      </c>
    </row>
    <row r="4499">
      <c r="T4499" s="47">
        <f>IF(R4499="","",IFERROR(TODAY()+VLOOKUP(R4499,REGRAS!$B$2:$C$13,2,0),""))</f>
        <v/>
      </c>
    </row>
    <row r="4500">
      <c r="T4500" s="47">
        <f>IF(R4500="","",IFERROR(TODAY()+VLOOKUP(R4500,REGRAS!$B$2:$C$13,2,0),""))</f>
        <v/>
      </c>
    </row>
    <row r="4501">
      <c r="T4501" s="47">
        <f>IF(R4501="","",IFERROR(TODAY()+VLOOKUP(R4501,REGRAS!$B$2:$C$13,2,0),""))</f>
        <v/>
      </c>
    </row>
    <row r="4502">
      <c r="T4502" s="47">
        <f>IF(R4502="","",IFERROR(TODAY()+VLOOKUP(R4502,REGRAS!$B$2:$C$13,2,0),""))</f>
        <v/>
      </c>
    </row>
    <row r="4503">
      <c r="T4503" s="47">
        <f>IF(R4503="","",IFERROR(TODAY()+VLOOKUP(R4503,REGRAS!$B$2:$C$13,2,0),""))</f>
        <v/>
      </c>
    </row>
    <row r="4504">
      <c r="T4504" s="47">
        <f>IF(R4504="","",IFERROR(TODAY()+VLOOKUP(R4504,REGRAS!$B$2:$C$13,2,0),""))</f>
        <v/>
      </c>
    </row>
    <row r="4505">
      <c r="T4505" s="47">
        <f>IF(R4505="","",IFERROR(TODAY()+VLOOKUP(R4505,REGRAS!$B$2:$C$13,2,0),""))</f>
        <v/>
      </c>
    </row>
    <row r="4506">
      <c r="T4506" s="47">
        <f>IF(R4506="","",IFERROR(TODAY()+VLOOKUP(R4506,REGRAS!$B$2:$C$13,2,0),""))</f>
        <v/>
      </c>
    </row>
    <row r="4507">
      <c r="T4507" s="47">
        <f>IF(R4507="","",IFERROR(TODAY()+VLOOKUP(R4507,REGRAS!$B$2:$C$13,2,0),""))</f>
        <v/>
      </c>
    </row>
    <row r="4508">
      <c r="T4508" s="47">
        <f>IF(R4508="","",IFERROR(TODAY()+VLOOKUP(R4508,REGRAS!$B$2:$C$13,2,0),""))</f>
        <v/>
      </c>
    </row>
    <row r="4509">
      <c r="T4509" s="47">
        <f>IF(R4509="","",IFERROR(TODAY()+VLOOKUP(R4509,REGRAS!$B$2:$C$13,2,0),""))</f>
        <v/>
      </c>
    </row>
    <row r="4510">
      <c r="T4510" s="47">
        <f>IF(R4510="","",IFERROR(TODAY()+VLOOKUP(R4510,REGRAS!$B$2:$C$13,2,0),""))</f>
        <v/>
      </c>
    </row>
    <row r="4511">
      <c r="T4511" s="47">
        <f>IF(R4511="","",IFERROR(TODAY()+VLOOKUP(R4511,REGRAS!$B$2:$C$13,2,0),""))</f>
        <v/>
      </c>
    </row>
    <row r="4512">
      <c r="T4512" s="47">
        <f>IF(R4512="","",IFERROR(TODAY()+VLOOKUP(R4512,REGRAS!$B$2:$C$13,2,0),""))</f>
        <v/>
      </c>
    </row>
    <row r="4513">
      <c r="T4513" s="47">
        <f>IF(R4513="","",IFERROR(TODAY()+VLOOKUP(R4513,REGRAS!$B$2:$C$13,2,0),""))</f>
        <v/>
      </c>
    </row>
    <row r="4514">
      <c r="T4514" s="47">
        <f>IF(R4514="","",IFERROR(TODAY()+VLOOKUP(R4514,REGRAS!$B$2:$C$13,2,0),""))</f>
        <v/>
      </c>
    </row>
    <row r="4515">
      <c r="T4515" s="47">
        <f>IF(R4515="","",IFERROR(TODAY()+VLOOKUP(R4515,REGRAS!$B$2:$C$13,2,0),""))</f>
        <v/>
      </c>
    </row>
    <row r="4516">
      <c r="T4516" s="47">
        <f>IF(R4516="","",IFERROR(TODAY()+VLOOKUP(R4516,REGRAS!$B$2:$C$13,2,0),""))</f>
        <v/>
      </c>
    </row>
    <row r="4517">
      <c r="T4517" s="47">
        <f>IF(R4517="","",IFERROR(TODAY()+VLOOKUP(R4517,REGRAS!$B$2:$C$13,2,0),""))</f>
        <v/>
      </c>
    </row>
    <row r="4518">
      <c r="T4518" s="47">
        <f>IF(R4518="","",IFERROR(TODAY()+VLOOKUP(R4518,REGRAS!$B$2:$C$13,2,0),""))</f>
        <v/>
      </c>
    </row>
    <row r="4519">
      <c r="T4519" s="47">
        <f>IF(R4519="","",IFERROR(TODAY()+VLOOKUP(R4519,REGRAS!$B$2:$C$13,2,0),""))</f>
        <v/>
      </c>
    </row>
    <row r="4520">
      <c r="T4520" s="47">
        <f>IF(R4520="","",IFERROR(TODAY()+VLOOKUP(R4520,REGRAS!$B$2:$C$13,2,0),""))</f>
        <v/>
      </c>
    </row>
    <row r="4521">
      <c r="T4521" s="47">
        <f>IF(R4521="","",IFERROR(TODAY()+VLOOKUP(R4521,REGRAS!$B$2:$C$13,2,0),""))</f>
        <v/>
      </c>
    </row>
    <row r="4522">
      <c r="T4522" s="47">
        <f>IF(R4522="","",IFERROR(TODAY()+VLOOKUP(R4522,REGRAS!$B$2:$C$13,2,0),""))</f>
        <v/>
      </c>
    </row>
    <row r="4523">
      <c r="T4523" s="47">
        <f>IF(R4523="","",IFERROR(TODAY()+VLOOKUP(R4523,REGRAS!$B$2:$C$13,2,0),""))</f>
        <v/>
      </c>
    </row>
    <row r="4524">
      <c r="T4524" s="47">
        <f>IF(R4524="","",IFERROR(TODAY()+VLOOKUP(R4524,REGRAS!$B$2:$C$13,2,0),""))</f>
        <v/>
      </c>
    </row>
    <row r="4525">
      <c r="T4525" s="47">
        <f>IF(R4525="","",IFERROR(TODAY()+VLOOKUP(R4525,REGRAS!$B$2:$C$13,2,0),""))</f>
        <v/>
      </c>
    </row>
    <row r="4526">
      <c r="T4526" s="47">
        <f>IF(R4526="","",IFERROR(TODAY()+VLOOKUP(R4526,REGRAS!$B$2:$C$13,2,0),""))</f>
        <v/>
      </c>
    </row>
    <row r="4527">
      <c r="T4527" s="47">
        <f>IF(R4527="","",IFERROR(TODAY()+VLOOKUP(R4527,REGRAS!$B$2:$C$13,2,0),""))</f>
        <v/>
      </c>
    </row>
    <row r="4528">
      <c r="T4528" s="47">
        <f>IF(R4528="","",IFERROR(TODAY()+VLOOKUP(R4528,REGRAS!$B$2:$C$13,2,0),""))</f>
        <v/>
      </c>
    </row>
    <row r="4529">
      <c r="T4529" s="47">
        <f>IF(R4529="","",IFERROR(TODAY()+VLOOKUP(R4529,REGRAS!$B$2:$C$13,2,0),""))</f>
        <v/>
      </c>
    </row>
    <row r="4530">
      <c r="T4530" s="47">
        <f>IF(R4530="","",IFERROR(TODAY()+VLOOKUP(R4530,REGRAS!$B$2:$C$13,2,0),""))</f>
        <v/>
      </c>
    </row>
    <row r="4531">
      <c r="T4531" s="47">
        <f>IF(R4531="","",IFERROR(TODAY()+VLOOKUP(R4531,REGRAS!$B$2:$C$13,2,0),""))</f>
        <v/>
      </c>
    </row>
    <row r="4532">
      <c r="T4532" s="47">
        <f>IF(R4532="","",IFERROR(TODAY()+VLOOKUP(R4532,REGRAS!$B$2:$C$13,2,0),""))</f>
        <v/>
      </c>
    </row>
    <row r="4533">
      <c r="T4533" s="47">
        <f>IF(R4533="","",IFERROR(TODAY()+VLOOKUP(R4533,REGRAS!$B$2:$C$13,2,0),""))</f>
        <v/>
      </c>
    </row>
    <row r="4534">
      <c r="T4534" s="47">
        <f>IF(R4534="","",IFERROR(TODAY()+VLOOKUP(R4534,REGRAS!$B$2:$C$13,2,0),""))</f>
        <v/>
      </c>
    </row>
    <row r="4535">
      <c r="T4535" s="47">
        <f>IF(R4535="","",IFERROR(TODAY()+VLOOKUP(R4535,REGRAS!$B$2:$C$13,2,0),""))</f>
        <v/>
      </c>
    </row>
    <row r="4536">
      <c r="T4536" s="47">
        <f>IF(R4536="","",IFERROR(TODAY()+VLOOKUP(R4536,REGRAS!$B$2:$C$13,2,0),""))</f>
        <v/>
      </c>
    </row>
    <row r="4537">
      <c r="T4537" s="47">
        <f>IF(R4537="","",IFERROR(TODAY()+VLOOKUP(R4537,REGRAS!$B$2:$C$13,2,0),""))</f>
        <v/>
      </c>
    </row>
    <row r="4538">
      <c r="T4538" s="47">
        <f>IF(R4538="","",IFERROR(TODAY()+VLOOKUP(R4538,REGRAS!$B$2:$C$13,2,0),""))</f>
        <v/>
      </c>
    </row>
    <row r="4539">
      <c r="T4539" s="47">
        <f>IF(R4539="","",IFERROR(TODAY()+VLOOKUP(R4539,REGRAS!$B$2:$C$13,2,0),""))</f>
        <v/>
      </c>
    </row>
    <row r="4540">
      <c r="T4540" s="47">
        <f>IF(R4540="","",IFERROR(TODAY()+VLOOKUP(R4540,REGRAS!$B$2:$C$13,2,0),""))</f>
        <v/>
      </c>
    </row>
    <row r="4541">
      <c r="T4541" s="47">
        <f>IF(R4541="","",IFERROR(TODAY()+VLOOKUP(R4541,REGRAS!$B$2:$C$13,2,0),""))</f>
        <v/>
      </c>
    </row>
    <row r="4542">
      <c r="T4542" s="47">
        <f>IF(R4542="","",IFERROR(TODAY()+VLOOKUP(R4542,REGRAS!$B$2:$C$13,2,0),""))</f>
        <v/>
      </c>
    </row>
    <row r="4543">
      <c r="T4543" s="47">
        <f>IF(R4543="","",IFERROR(TODAY()+VLOOKUP(R4543,REGRAS!$B$2:$C$13,2,0),""))</f>
        <v/>
      </c>
    </row>
    <row r="4544">
      <c r="T4544" s="47">
        <f>IF(R4544="","",IFERROR(TODAY()+VLOOKUP(R4544,REGRAS!$B$2:$C$13,2,0),""))</f>
        <v/>
      </c>
    </row>
    <row r="4545">
      <c r="T4545" s="47">
        <f>IF(R4545="","",IFERROR(TODAY()+VLOOKUP(R4545,REGRAS!$B$2:$C$13,2,0),""))</f>
        <v/>
      </c>
    </row>
    <row r="4546">
      <c r="T4546" s="47">
        <f>IF(R4546="","",IFERROR(TODAY()+VLOOKUP(R4546,REGRAS!$B$2:$C$13,2,0),""))</f>
        <v/>
      </c>
    </row>
    <row r="4547">
      <c r="T4547" s="47">
        <f>IF(R4547="","",IFERROR(TODAY()+VLOOKUP(R4547,REGRAS!$B$2:$C$13,2,0),""))</f>
        <v/>
      </c>
    </row>
    <row r="4548">
      <c r="T4548" s="47">
        <f>IF(R4548="","",IFERROR(TODAY()+VLOOKUP(R4548,REGRAS!$B$2:$C$13,2,0),""))</f>
        <v/>
      </c>
    </row>
    <row r="4549">
      <c r="T4549" s="47">
        <f>IF(R4549="","",IFERROR(TODAY()+VLOOKUP(R4549,REGRAS!$B$2:$C$13,2,0),""))</f>
        <v/>
      </c>
    </row>
    <row r="4550">
      <c r="T4550" s="47">
        <f>IF(R4550="","",IFERROR(TODAY()+VLOOKUP(R4550,REGRAS!$B$2:$C$13,2,0),""))</f>
        <v/>
      </c>
    </row>
    <row r="4551">
      <c r="T4551" s="47">
        <f>IF(R4551="","",IFERROR(TODAY()+VLOOKUP(R4551,REGRAS!$B$2:$C$13,2,0),""))</f>
        <v/>
      </c>
    </row>
    <row r="4552">
      <c r="T4552" s="47">
        <f>IF(R4552="","",IFERROR(TODAY()+VLOOKUP(R4552,REGRAS!$B$2:$C$13,2,0),""))</f>
        <v/>
      </c>
    </row>
    <row r="4553">
      <c r="T4553" s="47">
        <f>IF(R4553="","",IFERROR(TODAY()+VLOOKUP(R4553,REGRAS!$B$2:$C$13,2,0),""))</f>
        <v/>
      </c>
    </row>
    <row r="4554">
      <c r="T4554" s="47">
        <f>IF(R4554="","",IFERROR(TODAY()+VLOOKUP(R4554,REGRAS!$B$2:$C$13,2,0),""))</f>
        <v/>
      </c>
    </row>
    <row r="4555">
      <c r="T4555" s="47">
        <f>IF(R4555="","",IFERROR(TODAY()+VLOOKUP(R4555,REGRAS!$B$2:$C$13,2,0),""))</f>
        <v/>
      </c>
    </row>
    <row r="4556">
      <c r="T4556" s="47">
        <f>IF(R4556="","",IFERROR(TODAY()+VLOOKUP(R4556,REGRAS!$B$2:$C$13,2,0),""))</f>
        <v/>
      </c>
    </row>
    <row r="4557">
      <c r="T4557" s="47">
        <f>IF(R4557="","",IFERROR(TODAY()+VLOOKUP(R4557,REGRAS!$B$2:$C$13,2,0),""))</f>
        <v/>
      </c>
    </row>
    <row r="4558">
      <c r="T4558" s="47">
        <f>IF(R4558="","",IFERROR(TODAY()+VLOOKUP(R4558,REGRAS!$B$2:$C$13,2,0),""))</f>
        <v/>
      </c>
    </row>
    <row r="4559">
      <c r="T4559" s="47">
        <f>IF(R4559="","",IFERROR(TODAY()+VLOOKUP(R4559,REGRAS!$B$2:$C$13,2,0),""))</f>
        <v/>
      </c>
    </row>
    <row r="4560">
      <c r="T4560" s="47">
        <f>IF(R4560="","",IFERROR(TODAY()+VLOOKUP(R4560,REGRAS!$B$2:$C$13,2,0),""))</f>
        <v/>
      </c>
    </row>
    <row r="4561">
      <c r="T4561" s="47">
        <f>IF(R4561="","",IFERROR(TODAY()+VLOOKUP(R4561,REGRAS!$B$2:$C$13,2,0),""))</f>
        <v/>
      </c>
    </row>
    <row r="4562">
      <c r="T4562" s="47">
        <f>IF(R4562="","",IFERROR(TODAY()+VLOOKUP(R4562,REGRAS!$B$2:$C$13,2,0),""))</f>
        <v/>
      </c>
    </row>
    <row r="4563">
      <c r="T4563" s="47">
        <f>IF(R4563="","",IFERROR(TODAY()+VLOOKUP(R4563,REGRAS!$B$2:$C$13,2,0),""))</f>
        <v/>
      </c>
    </row>
    <row r="4564">
      <c r="T4564" s="47">
        <f>IF(R4564="","",IFERROR(TODAY()+VLOOKUP(R4564,REGRAS!$B$2:$C$13,2,0),""))</f>
        <v/>
      </c>
    </row>
    <row r="4565">
      <c r="T4565" s="47">
        <f>IF(R4565="","",IFERROR(TODAY()+VLOOKUP(R4565,REGRAS!$B$2:$C$13,2,0),""))</f>
        <v/>
      </c>
    </row>
    <row r="4566">
      <c r="T4566" s="47">
        <f>IF(R4566="","",IFERROR(TODAY()+VLOOKUP(R4566,REGRAS!$B$2:$C$13,2,0),""))</f>
        <v/>
      </c>
    </row>
    <row r="4567">
      <c r="T4567" s="47">
        <f>IF(R4567="","",IFERROR(TODAY()+VLOOKUP(R4567,REGRAS!$B$2:$C$13,2,0),""))</f>
        <v/>
      </c>
    </row>
    <row r="4568">
      <c r="T4568" s="47">
        <f>IF(R4568="","",IFERROR(TODAY()+VLOOKUP(R4568,REGRAS!$B$2:$C$13,2,0),""))</f>
        <v/>
      </c>
    </row>
    <row r="4569">
      <c r="T4569" s="47">
        <f>IF(R4569="","",IFERROR(TODAY()+VLOOKUP(R4569,REGRAS!$B$2:$C$13,2,0),""))</f>
        <v/>
      </c>
    </row>
    <row r="4570">
      <c r="T4570" s="47">
        <f>IF(R4570="","",IFERROR(TODAY()+VLOOKUP(R4570,REGRAS!$B$2:$C$13,2,0),""))</f>
        <v/>
      </c>
    </row>
    <row r="4571">
      <c r="T4571" s="47">
        <f>IF(R4571="","",IFERROR(TODAY()+VLOOKUP(R4571,REGRAS!$B$2:$C$13,2,0),""))</f>
        <v/>
      </c>
    </row>
    <row r="4572">
      <c r="T4572" s="47">
        <f>IF(R4572="","",IFERROR(TODAY()+VLOOKUP(R4572,REGRAS!$B$2:$C$13,2,0),""))</f>
        <v/>
      </c>
    </row>
    <row r="4573">
      <c r="T4573" s="47">
        <f>IF(R4573="","",IFERROR(TODAY()+VLOOKUP(R4573,REGRAS!$B$2:$C$13,2,0),""))</f>
        <v/>
      </c>
    </row>
    <row r="4574">
      <c r="T4574" s="47">
        <f>IF(R4574="","",IFERROR(TODAY()+VLOOKUP(R4574,REGRAS!$B$2:$C$13,2,0),""))</f>
        <v/>
      </c>
    </row>
    <row r="4575">
      <c r="T4575" s="47">
        <f>IF(R4575="","",IFERROR(TODAY()+VLOOKUP(R4575,REGRAS!$B$2:$C$13,2,0),""))</f>
        <v/>
      </c>
    </row>
    <row r="4576">
      <c r="T4576" s="47">
        <f>IF(R4576="","",IFERROR(TODAY()+VLOOKUP(R4576,REGRAS!$B$2:$C$13,2,0),""))</f>
        <v/>
      </c>
    </row>
    <row r="4577">
      <c r="T4577" s="47">
        <f>IF(R4577="","",IFERROR(TODAY()+VLOOKUP(R4577,REGRAS!$B$2:$C$13,2,0),""))</f>
        <v/>
      </c>
    </row>
    <row r="4578">
      <c r="T4578" s="47">
        <f>IF(R4578="","",IFERROR(TODAY()+VLOOKUP(R4578,REGRAS!$B$2:$C$13,2,0),""))</f>
        <v/>
      </c>
    </row>
    <row r="4579">
      <c r="T4579" s="47">
        <f>IF(R4579="","",IFERROR(TODAY()+VLOOKUP(R4579,REGRAS!$B$2:$C$13,2,0),""))</f>
        <v/>
      </c>
    </row>
    <row r="4580">
      <c r="T4580" s="47">
        <f>IF(R4580="","",IFERROR(TODAY()+VLOOKUP(R4580,REGRAS!$B$2:$C$13,2,0),""))</f>
        <v/>
      </c>
    </row>
    <row r="4581">
      <c r="T4581" s="47">
        <f>IF(R4581="","",IFERROR(TODAY()+VLOOKUP(R4581,REGRAS!$B$2:$C$13,2,0),""))</f>
        <v/>
      </c>
    </row>
    <row r="4582">
      <c r="T4582" s="47">
        <f>IF(R4582="","",IFERROR(TODAY()+VLOOKUP(R4582,REGRAS!$B$2:$C$13,2,0),""))</f>
        <v/>
      </c>
    </row>
    <row r="4583">
      <c r="T4583" s="47">
        <f>IF(R4583="","",IFERROR(TODAY()+VLOOKUP(R4583,REGRAS!$B$2:$C$13,2,0),""))</f>
        <v/>
      </c>
    </row>
    <row r="4584">
      <c r="T4584" s="47">
        <f>IF(R4584="","",IFERROR(TODAY()+VLOOKUP(R4584,REGRAS!$B$2:$C$13,2,0),""))</f>
        <v/>
      </c>
    </row>
    <row r="4585">
      <c r="T4585" s="47">
        <f>IF(R4585="","",IFERROR(TODAY()+VLOOKUP(R4585,REGRAS!$B$2:$C$13,2,0),""))</f>
        <v/>
      </c>
    </row>
    <row r="4586">
      <c r="T4586" s="47">
        <f>IF(R4586="","",IFERROR(TODAY()+VLOOKUP(R4586,REGRAS!$B$2:$C$13,2,0),""))</f>
        <v/>
      </c>
    </row>
    <row r="4587">
      <c r="T4587" s="47">
        <f>IF(R4587="","",IFERROR(TODAY()+VLOOKUP(R4587,REGRAS!$B$2:$C$13,2,0),""))</f>
        <v/>
      </c>
    </row>
    <row r="4588">
      <c r="T4588" s="47">
        <f>IF(R4588="","",IFERROR(TODAY()+VLOOKUP(R4588,REGRAS!$B$2:$C$13,2,0),""))</f>
        <v/>
      </c>
    </row>
    <row r="4589">
      <c r="T4589" s="47">
        <f>IF(R4589="","",IFERROR(TODAY()+VLOOKUP(R4589,REGRAS!$B$2:$C$13,2,0),""))</f>
        <v/>
      </c>
    </row>
    <row r="4590">
      <c r="T4590" s="47">
        <f>IF(R4590="","",IFERROR(TODAY()+VLOOKUP(R4590,REGRAS!$B$2:$C$13,2,0),""))</f>
        <v/>
      </c>
    </row>
    <row r="4591">
      <c r="T4591" s="47">
        <f>IF(R4591="","",IFERROR(TODAY()+VLOOKUP(R4591,REGRAS!$B$2:$C$13,2,0),""))</f>
        <v/>
      </c>
    </row>
    <row r="4592">
      <c r="T4592" s="47">
        <f>IF(R4592="","",IFERROR(TODAY()+VLOOKUP(R4592,REGRAS!$B$2:$C$13,2,0),""))</f>
        <v/>
      </c>
    </row>
    <row r="4593">
      <c r="T4593" s="47">
        <f>IF(R4593="","",IFERROR(TODAY()+VLOOKUP(R4593,REGRAS!$B$2:$C$13,2,0),""))</f>
        <v/>
      </c>
    </row>
    <row r="4594">
      <c r="T4594" s="47">
        <f>IF(R4594="","",IFERROR(TODAY()+VLOOKUP(R4594,REGRAS!$B$2:$C$13,2,0),""))</f>
        <v/>
      </c>
    </row>
    <row r="4595">
      <c r="T4595" s="47">
        <f>IF(R4595="","",IFERROR(TODAY()+VLOOKUP(R4595,REGRAS!$B$2:$C$13,2,0),""))</f>
        <v/>
      </c>
    </row>
    <row r="4596">
      <c r="T4596" s="47">
        <f>IF(R4596="","",IFERROR(TODAY()+VLOOKUP(R4596,REGRAS!$B$2:$C$13,2,0),""))</f>
        <v/>
      </c>
    </row>
    <row r="4597">
      <c r="T4597" s="47">
        <f>IF(R4597="","",IFERROR(TODAY()+VLOOKUP(R4597,REGRAS!$B$2:$C$13,2,0),""))</f>
        <v/>
      </c>
    </row>
    <row r="4598">
      <c r="T4598" s="47">
        <f>IF(R4598="","",IFERROR(TODAY()+VLOOKUP(R4598,REGRAS!$B$2:$C$13,2,0),""))</f>
        <v/>
      </c>
    </row>
    <row r="4599">
      <c r="T4599" s="47">
        <f>IF(R4599="","",IFERROR(TODAY()+VLOOKUP(R4599,REGRAS!$B$2:$C$13,2,0),""))</f>
        <v/>
      </c>
    </row>
    <row r="4600">
      <c r="T4600" s="47">
        <f>IF(R4600="","",IFERROR(TODAY()+VLOOKUP(R4600,REGRAS!$B$2:$C$13,2,0),""))</f>
        <v/>
      </c>
    </row>
    <row r="4601">
      <c r="T4601" s="47">
        <f>IF(R4601="","",IFERROR(TODAY()+VLOOKUP(R4601,REGRAS!$B$2:$C$13,2,0),""))</f>
        <v/>
      </c>
    </row>
    <row r="4602">
      <c r="T4602" s="47">
        <f>IF(R4602="","",IFERROR(TODAY()+VLOOKUP(R4602,REGRAS!$B$2:$C$13,2,0),""))</f>
        <v/>
      </c>
    </row>
    <row r="4603">
      <c r="T4603" s="47">
        <f>IF(R4603="","",IFERROR(TODAY()+VLOOKUP(R4603,REGRAS!$B$2:$C$13,2,0),""))</f>
        <v/>
      </c>
    </row>
    <row r="4604">
      <c r="T4604" s="47">
        <f>IF(R4604="","",IFERROR(TODAY()+VLOOKUP(R4604,REGRAS!$B$2:$C$13,2,0),""))</f>
        <v/>
      </c>
    </row>
    <row r="4605">
      <c r="T4605" s="47">
        <f>IF(R4605="","",IFERROR(TODAY()+VLOOKUP(R4605,REGRAS!$B$2:$C$13,2,0),""))</f>
        <v/>
      </c>
    </row>
    <row r="4606">
      <c r="T4606" s="47">
        <f>IF(R4606="","",IFERROR(TODAY()+VLOOKUP(R4606,REGRAS!$B$2:$C$13,2,0),""))</f>
        <v/>
      </c>
    </row>
    <row r="4607">
      <c r="T4607" s="47">
        <f>IF(R4607="","",IFERROR(TODAY()+VLOOKUP(R4607,REGRAS!$B$2:$C$13,2,0),""))</f>
        <v/>
      </c>
    </row>
    <row r="4608">
      <c r="T4608" s="47">
        <f>IF(R4608="","",IFERROR(TODAY()+VLOOKUP(R4608,REGRAS!$B$2:$C$13,2,0),""))</f>
        <v/>
      </c>
    </row>
    <row r="4609">
      <c r="T4609" s="47">
        <f>IF(R4609="","",IFERROR(TODAY()+VLOOKUP(R4609,REGRAS!$B$2:$C$13,2,0),""))</f>
        <v/>
      </c>
    </row>
    <row r="4610">
      <c r="T4610" s="47">
        <f>IF(R4610="","",IFERROR(TODAY()+VLOOKUP(R4610,REGRAS!$B$2:$C$13,2,0),""))</f>
        <v/>
      </c>
    </row>
    <row r="4611">
      <c r="T4611" s="47">
        <f>IF(R4611="","",IFERROR(TODAY()+VLOOKUP(R4611,REGRAS!$B$2:$C$13,2,0),""))</f>
        <v/>
      </c>
    </row>
    <row r="4612">
      <c r="T4612" s="47">
        <f>IF(R4612="","",IFERROR(TODAY()+VLOOKUP(R4612,REGRAS!$B$2:$C$13,2,0),""))</f>
        <v/>
      </c>
    </row>
    <row r="4613">
      <c r="T4613" s="47">
        <f>IF(R4613="","",IFERROR(TODAY()+VLOOKUP(R4613,REGRAS!$B$2:$C$13,2,0),""))</f>
        <v/>
      </c>
    </row>
    <row r="4614">
      <c r="T4614" s="47">
        <f>IF(R4614="","",IFERROR(TODAY()+VLOOKUP(R4614,REGRAS!$B$2:$C$13,2,0),""))</f>
        <v/>
      </c>
    </row>
    <row r="4615">
      <c r="T4615" s="47">
        <f>IF(R4615="","",IFERROR(TODAY()+VLOOKUP(R4615,REGRAS!$B$2:$C$13,2,0),""))</f>
        <v/>
      </c>
    </row>
    <row r="4616">
      <c r="T4616" s="47">
        <f>IF(R4616="","",IFERROR(TODAY()+VLOOKUP(R4616,REGRAS!$B$2:$C$13,2,0),""))</f>
        <v/>
      </c>
    </row>
    <row r="4617">
      <c r="T4617" s="47">
        <f>IF(R4617="","",IFERROR(TODAY()+VLOOKUP(R4617,REGRAS!$B$2:$C$13,2,0),""))</f>
        <v/>
      </c>
    </row>
    <row r="4618">
      <c r="T4618" s="47">
        <f>IF(R4618="","",IFERROR(TODAY()+VLOOKUP(R4618,REGRAS!$B$2:$C$13,2,0),""))</f>
        <v/>
      </c>
    </row>
    <row r="4619">
      <c r="T4619" s="47">
        <f>IF(R4619="","",IFERROR(TODAY()+VLOOKUP(R4619,REGRAS!$B$2:$C$13,2,0),""))</f>
        <v/>
      </c>
    </row>
    <row r="4620">
      <c r="T4620" s="47">
        <f>IF(R4620="","",IFERROR(TODAY()+VLOOKUP(R4620,REGRAS!$B$2:$C$13,2,0),""))</f>
        <v/>
      </c>
    </row>
    <row r="4621">
      <c r="T4621" s="47">
        <f>IF(R4621="","",IFERROR(TODAY()+VLOOKUP(R4621,REGRAS!$B$2:$C$13,2,0),""))</f>
        <v/>
      </c>
    </row>
    <row r="4622">
      <c r="T4622" s="47">
        <f>IF(R4622="","",IFERROR(TODAY()+VLOOKUP(R4622,REGRAS!$B$2:$C$13,2,0),""))</f>
        <v/>
      </c>
    </row>
    <row r="4623">
      <c r="T4623" s="47">
        <f>IF(R4623="","",IFERROR(TODAY()+VLOOKUP(R4623,REGRAS!$B$2:$C$13,2,0),""))</f>
        <v/>
      </c>
    </row>
    <row r="4624">
      <c r="T4624" s="47">
        <f>IF(R4624="","",IFERROR(TODAY()+VLOOKUP(R4624,REGRAS!$B$2:$C$13,2,0),""))</f>
        <v/>
      </c>
    </row>
    <row r="4625">
      <c r="T4625" s="47">
        <f>IF(R4625="","",IFERROR(TODAY()+VLOOKUP(R4625,REGRAS!$B$2:$C$13,2,0),""))</f>
        <v/>
      </c>
    </row>
    <row r="4626">
      <c r="T4626" s="47">
        <f>IF(R4626="","",IFERROR(TODAY()+VLOOKUP(R4626,REGRAS!$B$2:$C$13,2,0),""))</f>
        <v/>
      </c>
    </row>
    <row r="4627">
      <c r="T4627" s="47">
        <f>IF(R4627="","",IFERROR(TODAY()+VLOOKUP(R4627,REGRAS!$B$2:$C$13,2,0),""))</f>
        <v/>
      </c>
    </row>
    <row r="4628">
      <c r="T4628" s="47">
        <f>IF(R4628="","",IFERROR(TODAY()+VLOOKUP(R4628,REGRAS!$B$2:$C$13,2,0),""))</f>
        <v/>
      </c>
    </row>
    <row r="4629">
      <c r="T4629" s="47">
        <f>IF(R4629="","",IFERROR(TODAY()+VLOOKUP(R4629,REGRAS!$B$2:$C$13,2,0),""))</f>
        <v/>
      </c>
    </row>
    <row r="4630">
      <c r="T4630" s="47">
        <f>IF(R4630="","",IFERROR(TODAY()+VLOOKUP(R4630,REGRAS!$B$2:$C$13,2,0),""))</f>
        <v/>
      </c>
    </row>
    <row r="4631">
      <c r="T4631" s="47">
        <f>IF(R4631="","",IFERROR(TODAY()+VLOOKUP(R4631,REGRAS!$B$2:$C$13,2,0),""))</f>
        <v/>
      </c>
    </row>
    <row r="4632">
      <c r="T4632" s="47">
        <f>IF(R4632="","",IFERROR(TODAY()+VLOOKUP(R4632,REGRAS!$B$2:$C$13,2,0),""))</f>
        <v/>
      </c>
    </row>
    <row r="4633">
      <c r="T4633" s="47">
        <f>IF(R4633="","",IFERROR(TODAY()+VLOOKUP(R4633,REGRAS!$B$2:$C$13,2,0),""))</f>
        <v/>
      </c>
    </row>
    <row r="4634">
      <c r="T4634" s="47">
        <f>IF(R4634="","",IFERROR(TODAY()+VLOOKUP(R4634,REGRAS!$B$2:$C$13,2,0),""))</f>
        <v/>
      </c>
    </row>
    <row r="4635">
      <c r="T4635" s="47">
        <f>IF(R4635="","",IFERROR(TODAY()+VLOOKUP(R4635,REGRAS!$B$2:$C$13,2,0),""))</f>
        <v/>
      </c>
    </row>
    <row r="4636">
      <c r="T4636" s="47">
        <f>IF(R4636="","",IFERROR(TODAY()+VLOOKUP(R4636,REGRAS!$B$2:$C$13,2,0),""))</f>
        <v/>
      </c>
    </row>
    <row r="4637">
      <c r="T4637" s="47">
        <f>IF(R4637="","",IFERROR(TODAY()+VLOOKUP(R4637,REGRAS!$B$2:$C$13,2,0),""))</f>
        <v/>
      </c>
    </row>
    <row r="4638">
      <c r="T4638" s="47">
        <f>IF(R4638="","",IFERROR(TODAY()+VLOOKUP(R4638,REGRAS!$B$2:$C$13,2,0),""))</f>
        <v/>
      </c>
    </row>
    <row r="4639">
      <c r="T4639" s="47">
        <f>IF(R4639="","",IFERROR(TODAY()+VLOOKUP(R4639,REGRAS!$B$2:$C$13,2,0),""))</f>
        <v/>
      </c>
    </row>
    <row r="4640">
      <c r="T4640" s="47">
        <f>IF(R4640="","",IFERROR(TODAY()+VLOOKUP(R4640,REGRAS!$B$2:$C$13,2,0),""))</f>
        <v/>
      </c>
    </row>
    <row r="4641">
      <c r="T4641" s="47">
        <f>IF(R4641="","",IFERROR(TODAY()+VLOOKUP(R4641,REGRAS!$B$2:$C$13,2,0),""))</f>
        <v/>
      </c>
    </row>
    <row r="4642">
      <c r="T4642" s="47">
        <f>IF(R4642="","",IFERROR(TODAY()+VLOOKUP(R4642,REGRAS!$B$2:$C$13,2,0),""))</f>
        <v/>
      </c>
    </row>
    <row r="4643">
      <c r="T4643" s="47">
        <f>IF(R4643="","",IFERROR(TODAY()+VLOOKUP(R4643,REGRAS!$B$2:$C$13,2,0),""))</f>
        <v/>
      </c>
    </row>
    <row r="4644">
      <c r="T4644" s="47">
        <f>IF(R4644="","",IFERROR(TODAY()+VLOOKUP(R4644,REGRAS!$B$2:$C$13,2,0),""))</f>
        <v/>
      </c>
    </row>
    <row r="4645">
      <c r="T4645" s="47">
        <f>IF(R4645="","",IFERROR(TODAY()+VLOOKUP(R4645,REGRAS!$B$2:$C$13,2,0),""))</f>
        <v/>
      </c>
    </row>
    <row r="4646">
      <c r="T4646" s="47">
        <f>IF(R4646="","",IFERROR(TODAY()+VLOOKUP(R4646,REGRAS!$B$2:$C$13,2,0),""))</f>
        <v/>
      </c>
    </row>
    <row r="4647">
      <c r="T4647" s="47">
        <f>IF(R4647="","",IFERROR(TODAY()+VLOOKUP(R4647,REGRAS!$B$2:$C$13,2,0),""))</f>
        <v/>
      </c>
    </row>
    <row r="4648">
      <c r="T4648" s="47">
        <f>IF(R4648="","",IFERROR(TODAY()+VLOOKUP(R4648,REGRAS!$B$2:$C$13,2,0),""))</f>
        <v/>
      </c>
    </row>
    <row r="4649">
      <c r="T4649" s="47">
        <f>IF(R4649="","",IFERROR(TODAY()+VLOOKUP(R4649,REGRAS!$B$2:$C$13,2,0),""))</f>
        <v/>
      </c>
    </row>
    <row r="4650">
      <c r="T4650" s="47">
        <f>IF(R4650="","",IFERROR(TODAY()+VLOOKUP(R4650,REGRAS!$B$2:$C$13,2,0),""))</f>
        <v/>
      </c>
    </row>
    <row r="4651">
      <c r="T4651" s="47">
        <f>IF(R4651="","",IFERROR(TODAY()+VLOOKUP(R4651,REGRAS!$B$2:$C$13,2,0),""))</f>
        <v/>
      </c>
    </row>
    <row r="4652">
      <c r="T4652" s="47">
        <f>IF(R4652="","",IFERROR(TODAY()+VLOOKUP(R4652,REGRAS!$B$2:$C$13,2,0),""))</f>
        <v/>
      </c>
    </row>
    <row r="4653">
      <c r="T4653" s="47">
        <f>IF(R4653="","",IFERROR(TODAY()+VLOOKUP(R4653,REGRAS!$B$2:$C$13,2,0),""))</f>
        <v/>
      </c>
    </row>
    <row r="4654">
      <c r="T4654" s="47">
        <f>IF(R4654="","",IFERROR(TODAY()+VLOOKUP(R4654,REGRAS!$B$2:$C$13,2,0),""))</f>
        <v/>
      </c>
    </row>
    <row r="4655">
      <c r="T4655" s="47">
        <f>IF(R4655="","",IFERROR(TODAY()+VLOOKUP(R4655,REGRAS!$B$2:$C$13,2,0),""))</f>
        <v/>
      </c>
    </row>
    <row r="4656">
      <c r="T4656" s="47">
        <f>IF(R4656="","",IFERROR(TODAY()+VLOOKUP(R4656,REGRAS!$B$2:$C$13,2,0),""))</f>
        <v/>
      </c>
    </row>
    <row r="4657">
      <c r="T4657" s="47">
        <f>IF(R4657="","",IFERROR(TODAY()+VLOOKUP(R4657,REGRAS!$B$2:$C$13,2,0),""))</f>
        <v/>
      </c>
    </row>
    <row r="4658">
      <c r="T4658" s="47">
        <f>IF(R4658="","",IFERROR(TODAY()+VLOOKUP(R4658,REGRAS!$B$2:$C$13,2,0),""))</f>
        <v/>
      </c>
    </row>
    <row r="4659">
      <c r="T4659" s="47">
        <f>IF(R4659="","",IFERROR(TODAY()+VLOOKUP(R4659,REGRAS!$B$2:$C$13,2,0),""))</f>
        <v/>
      </c>
    </row>
    <row r="4660">
      <c r="T4660" s="47">
        <f>IF(R4660="","",IFERROR(TODAY()+VLOOKUP(R4660,REGRAS!$B$2:$C$13,2,0),""))</f>
        <v/>
      </c>
    </row>
    <row r="4661">
      <c r="T4661" s="47">
        <f>IF(R4661="","",IFERROR(TODAY()+VLOOKUP(R4661,REGRAS!$B$2:$C$13,2,0),""))</f>
        <v/>
      </c>
    </row>
    <row r="4662">
      <c r="T4662" s="47">
        <f>IF(R4662="","",IFERROR(TODAY()+VLOOKUP(R4662,REGRAS!$B$2:$C$13,2,0),""))</f>
        <v/>
      </c>
    </row>
    <row r="4663">
      <c r="T4663" s="47">
        <f>IF(R4663="","",IFERROR(TODAY()+VLOOKUP(R4663,REGRAS!$B$2:$C$13,2,0),""))</f>
        <v/>
      </c>
    </row>
    <row r="4664">
      <c r="T4664" s="47">
        <f>IF(R4664="","",IFERROR(TODAY()+VLOOKUP(R4664,REGRAS!$B$2:$C$13,2,0),""))</f>
        <v/>
      </c>
    </row>
    <row r="4665">
      <c r="T4665" s="47">
        <f>IF(R4665="","",IFERROR(TODAY()+VLOOKUP(R4665,REGRAS!$B$2:$C$13,2,0),""))</f>
        <v/>
      </c>
    </row>
    <row r="4666">
      <c r="T4666" s="47">
        <f>IF(R4666="","",IFERROR(TODAY()+VLOOKUP(R4666,REGRAS!$B$2:$C$13,2,0),""))</f>
        <v/>
      </c>
    </row>
    <row r="4667">
      <c r="T4667" s="47">
        <f>IF(R4667="","",IFERROR(TODAY()+VLOOKUP(R4667,REGRAS!$B$2:$C$13,2,0),""))</f>
        <v/>
      </c>
    </row>
    <row r="4668">
      <c r="T4668" s="47">
        <f>IF(R4668="","",IFERROR(TODAY()+VLOOKUP(R4668,REGRAS!$B$2:$C$13,2,0),""))</f>
        <v/>
      </c>
    </row>
    <row r="4669">
      <c r="T4669" s="47">
        <f>IF(R4669="","",IFERROR(TODAY()+VLOOKUP(R4669,REGRAS!$B$2:$C$13,2,0),""))</f>
        <v/>
      </c>
    </row>
    <row r="4670">
      <c r="T4670" s="47">
        <f>IF(R4670="","",IFERROR(TODAY()+VLOOKUP(R4670,REGRAS!$B$2:$C$13,2,0),""))</f>
        <v/>
      </c>
    </row>
    <row r="4671">
      <c r="T4671" s="47">
        <f>IF(R4671="","",IFERROR(TODAY()+VLOOKUP(R4671,REGRAS!$B$2:$C$13,2,0),""))</f>
        <v/>
      </c>
    </row>
    <row r="4672">
      <c r="T4672" s="47">
        <f>IF(R4672="","",IFERROR(TODAY()+VLOOKUP(R4672,REGRAS!$B$2:$C$13,2,0),""))</f>
        <v/>
      </c>
    </row>
    <row r="4673">
      <c r="T4673" s="47">
        <f>IF(R4673="","",IFERROR(TODAY()+VLOOKUP(R4673,REGRAS!$B$2:$C$13,2,0),""))</f>
        <v/>
      </c>
    </row>
    <row r="4674">
      <c r="T4674" s="47">
        <f>IF(R4674="","",IFERROR(TODAY()+VLOOKUP(R4674,REGRAS!$B$2:$C$13,2,0),""))</f>
        <v/>
      </c>
    </row>
    <row r="4675">
      <c r="T4675" s="47">
        <f>IF(R4675="","",IFERROR(TODAY()+VLOOKUP(R4675,REGRAS!$B$2:$C$13,2,0),""))</f>
        <v/>
      </c>
    </row>
    <row r="4676">
      <c r="T4676" s="47">
        <f>IF(R4676="","",IFERROR(TODAY()+VLOOKUP(R4676,REGRAS!$B$2:$C$13,2,0),""))</f>
        <v/>
      </c>
    </row>
    <row r="4677">
      <c r="T4677" s="47">
        <f>IF(R4677="","",IFERROR(TODAY()+VLOOKUP(R4677,REGRAS!$B$2:$C$13,2,0),""))</f>
        <v/>
      </c>
    </row>
    <row r="4678">
      <c r="T4678" s="47">
        <f>IF(R4678="","",IFERROR(TODAY()+VLOOKUP(R4678,REGRAS!$B$2:$C$13,2,0),""))</f>
        <v/>
      </c>
    </row>
    <row r="4679">
      <c r="T4679" s="47">
        <f>IF(R4679="","",IFERROR(TODAY()+VLOOKUP(R4679,REGRAS!$B$2:$C$13,2,0),""))</f>
        <v/>
      </c>
    </row>
    <row r="4680">
      <c r="T4680" s="47">
        <f>IF(R4680="","",IFERROR(TODAY()+VLOOKUP(R4680,REGRAS!$B$2:$C$13,2,0),""))</f>
        <v/>
      </c>
    </row>
    <row r="4681">
      <c r="T4681" s="47">
        <f>IF(R4681="","",IFERROR(TODAY()+VLOOKUP(R4681,REGRAS!$B$2:$C$13,2,0),""))</f>
        <v/>
      </c>
    </row>
    <row r="4682">
      <c r="T4682" s="47">
        <f>IF(R4682="","",IFERROR(TODAY()+VLOOKUP(R4682,REGRAS!$B$2:$C$13,2,0),""))</f>
        <v/>
      </c>
    </row>
    <row r="4683">
      <c r="T4683" s="47">
        <f>IF(R4683="","",IFERROR(TODAY()+VLOOKUP(R4683,REGRAS!$B$2:$C$13,2,0),""))</f>
        <v/>
      </c>
    </row>
    <row r="4684">
      <c r="T4684" s="47">
        <f>IF(R4684="","",IFERROR(TODAY()+VLOOKUP(R4684,REGRAS!$B$2:$C$13,2,0),""))</f>
        <v/>
      </c>
    </row>
    <row r="4685">
      <c r="T4685" s="47">
        <f>IF(R4685="","",IFERROR(TODAY()+VLOOKUP(R4685,REGRAS!$B$2:$C$13,2,0),""))</f>
        <v/>
      </c>
    </row>
    <row r="4686">
      <c r="T4686" s="47">
        <f>IF(R4686="","",IFERROR(TODAY()+VLOOKUP(R4686,REGRAS!$B$2:$C$13,2,0),""))</f>
        <v/>
      </c>
    </row>
    <row r="4687">
      <c r="T4687" s="47">
        <f>IF(R4687="","",IFERROR(TODAY()+VLOOKUP(R4687,REGRAS!$B$2:$C$13,2,0),""))</f>
        <v/>
      </c>
    </row>
    <row r="4688">
      <c r="T4688" s="47">
        <f>IF(R4688="","",IFERROR(TODAY()+VLOOKUP(R4688,REGRAS!$B$2:$C$13,2,0),""))</f>
        <v/>
      </c>
    </row>
    <row r="4689">
      <c r="T4689" s="47">
        <f>IF(R4689="","",IFERROR(TODAY()+VLOOKUP(R4689,REGRAS!$B$2:$C$13,2,0),""))</f>
        <v/>
      </c>
    </row>
    <row r="4690">
      <c r="T4690" s="47">
        <f>IF(R4690="","",IFERROR(TODAY()+VLOOKUP(R4690,REGRAS!$B$2:$C$13,2,0),""))</f>
        <v/>
      </c>
    </row>
    <row r="4691">
      <c r="T4691" s="47">
        <f>IF(R4691="","",IFERROR(TODAY()+VLOOKUP(R4691,REGRAS!$B$2:$C$13,2,0),""))</f>
        <v/>
      </c>
    </row>
    <row r="4692">
      <c r="T4692" s="47">
        <f>IF(R4692="","",IFERROR(TODAY()+VLOOKUP(R4692,REGRAS!$B$2:$C$13,2,0),""))</f>
        <v/>
      </c>
    </row>
    <row r="4693">
      <c r="T4693" s="47">
        <f>IF(R4693="","",IFERROR(TODAY()+VLOOKUP(R4693,REGRAS!$B$2:$C$13,2,0),""))</f>
        <v/>
      </c>
    </row>
    <row r="4694">
      <c r="T4694" s="47">
        <f>IF(R4694="","",IFERROR(TODAY()+VLOOKUP(R4694,REGRAS!$B$2:$C$13,2,0),""))</f>
        <v/>
      </c>
    </row>
    <row r="4695">
      <c r="T4695" s="47">
        <f>IF(R4695="","",IFERROR(TODAY()+VLOOKUP(R4695,REGRAS!$B$2:$C$13,2,0),""))</f>
        <v/>
      </c>
    </row>
    <row r="4696">
      <c r="T4696" s="47">
        <f>IF(R4696="","",IFERROR(TODAY()+VLOOKUP(R4696,REGRAS!$B$2:$C$13,2,0),""))</f>
        <v/>
      </c>
    </row>
    <row r="4697">
      <c r="T4697" s="47">
        <f>IF(R4697="","",IFERROR(TODAY()+VLOOKUP(R4697,REGRAS!$B$2:$C$13,2,0),""))</f>
        <v/>
      </c>
    </row>
    <row r="4698">
      <c r="T4698" s="47">
        <f>IF(R4698="","",IFERROR(TODAY()+VLOOKUP(R4698,REGRAS!$B$2:$C$13,2,0),""))</f>
        <v/>
      </c>
    </row>
    <row r="4699">
      <c r="T4699" s="47">
        <f>IF(R4699="","",IFERROR(TODAY()+VLOOKUP(R4699,REGRAS!$B$2:$C$13,2,0),""))</f>
        <v/>
      </c>
    </row>
    <row r="4700">
      <c r="T4700" s="47">
        <f>IF(R4700="","",IFERROR(TODAY()+VLOOKUP(R4700,REGRAS!$B$2:$C$13,2,0),""))</f>
        <v/>
      </c>
    </row>
    <row r="4701">
      <c r="T4701" s="47">
        <f>IF(R4701="","",IFERROR(TODAY()+VLOOKUP(R4701,REGRAS!$B$2:$C$13,2,0),""))</f>
        <v/>
      </c>
    </row>
    <row r="4702">
      <c r="T4702" s="47">
        <f>IF(R4702="","",IFERROR(TODAY()+VLOOKUP(R4702,REGRAS!$B$2:$C$13,2,0),""))</f>
        <v/>
      </c>
    </row>
    <row r="4703">
      <c r="T4703" s="47">
        <f>IF(R4703="","",IFERROR(TODAY()+VLOOKUP(R4703,REGRAS!$B$2:$C$13,2,0),""))</f>
        <v/>
      </c>
    </row>
    <row r="4704">
      <c r="T4704" s="47">
        <f>IF(R4704="","",IFERROR(TODAY()+VLOOKUP(R4704,REGRAS!$B$2:$C$13,2,0),""))</f>
        <v/>
      </c>
    </row>
    <row r="4705">
      <c r="T4705" s="47">
        <f>IF(R4705="","",IFERROR(TODAY()+VLOOKUP(R4705,REGRAS!$B$2:$C$13,2,0),""))</f>
        <v/>
      </c>
    </row>
    <row r="4706">
      <c r="T4706" s="47">
        <f>IF(R4706="","",IFERROR(TODAY()+VLOOKUP(R4706,REGRAS!$B$2:$C$13,2,0),""))</f>
        <v/>
      </c>
    </row>
    <row r="4707">
      <c r="T4707" s="47">
        <f>IF(R4707="","",IFERROR(TODAY()+VLOOKUP(R4707,REGRAS!$B$2:$C$13,2,0),""))</f>
        <v/>
      </c>
    </row>
    <row r="4708">
      <c r="T4708" s="47">
        <f>IF(R4708="","",IFERROR(TODAY()+VLOOKUP(R4708,REGRAS!$B$2:$C$13,2,0),""))</f>
        <v/>
      </c>
    </row>
    <row r="4709">
      <c r="T4709" s="47">
        <f>IF(R4709="","",IFERROR(TODAY()+VLOOKUP(R4709,REGRAS!$B$2:$C$13,2,0),""))</f>
        <v/>
      </c>
    </row>
    <row r="4710">
      <c r="T4710" s="47">
        <f>IF(R4710="","",IFERROR(TODAY()+VLOOKUP(R4710,REGRAS!$B$2:$C$13,2,0),""))</f>
        <v/>
      </c>
    </row>
    <row r="4711">
      <c r="T4711" s="47">
        <f>IF(R4711="","",IFERROR(TODAY()+VLOOKUP(R4711,REGRAS!$B$2:$C$13,2,0),""))</f>
        <v/>
      </c>
    </row>
    <row r="4712">
      <c r="T4712" s="47">
        <f>IF(R4712="","",IFERROR(TODAY()+VLOOKUP(R4712,REGRAS!$B$2:$C$13,2,0),""))</f>
        <v/>
      </c>
    </row>
    <row r="4713">
      <c r="T4713" s="47">
        <f>IF(R4713="","",IFERROR(TODAY()+VLOOKUP(R4713,REGRAS!$B$2:$C$13,2,0),""))</f>
        <v/>
      </c>
    </row>
    <row r="4714">
      <c r="T4714" s="47">
        <f>IF(R4714="","",IFERROR(TODAY()+VLOOKUP(R4714,REGRAS!$B$2:$C$13,2,0),""))</f>
        <v/>
      </c>
    </row>
    <row r="4715">
      <c r="T4715" s="47">
        <f>IF(R4715="","",IFERROR(TODAY()+VLOOKUP(R4715,REGRAS!$B$2:$C$13,2,0),""))</f>
        <v/>
      </c>
    </row>
    <row r="4716">
      <c r="T4716" s="47">
        <f>IF(R4716="","",IFERROR(TODAY()+VLOOKUP(R4716,REGRAS!$B$2:$C$13,2,0),""))</f>
        <v/>
      </c>
    </row>
    <row r="4717">
      <c r="T4717" s="47">
        <f>IF(R4717="","",IFERROR(TODAY()+VLOOKUP(R4717,REGRAS!$B$2:$C$13,2,0),""))</f>
        <v/>
      </c>
    </row>
    <row r="4718">
      <c r="T4718" s="47">
        <f>IF(R4718="","",IFERROR(TODAY()+VLOOKUP(R4718,REGRAS!$B$2:$C$13,2,0),""))</f>
        <v/>
      </c>
    </row>
    <row r="4719">
      <c r="T4719" s="47">
        <f>IF(R4719="","",IFERROR(TODAY()+VLOOKUP(R4719,REGRAS!$B$2:$C$13,2,0),""))</f>
        <v/>
      </c>
    </row>
    <row r="4720">
      <c r="T4720" s="47">
        <f>IF(R4720="","",IFERROR(TODAY()+VLOOKUP(R4720,REGRAS!$B$2:$C$13,2,0),""))</f>
        <v/>
      </c>
    </row>
    <row r="4721">
      <c r="T4721" s="47">
        <f>IF(R4721="","",IFERROR(TODAY()+VLOOKUP(R4721,REGRAS!$B$2:$C$13,2,0),""))</f>
        <v/>
      </c>
    </row>
    <row r="4722">
      <c r="T4722" s="47">
        <f>IF(R4722="","",IFERROR(TODAY()+VLOOKUP(R4722,REGRAS!$B$2:$C$13,2,0),""))</f>
        <v/>
      </c>
    </row>
    <row r="4723">
      <c r="T4723" s="47">
        <f>IF(R4723="","",IFERROR(TODAY()+VLOOKUP(R4723,REGRAS!$B$2:$C$13,2,0),""))</f>
        <v/>
      </c>
    </row>
    <row r="4724">
      <c r="T4724" s="47">
        <f>IF(R4724="","",IFERROR(TODAY()+VLOOKUP(R4724,REGRAS!$B$2:$C$13,2,0),""))</f>
        <v/>
      </c>
    </row>
    <row r="4725">
      <c r="T4725" s="47">
        <f>IF(R4725="","",IFERROR(TODAY()+VLOOKUP(R4725,REGRAS!$B$2:$C$13,2,0),""))</f>
        <v/>
      </c>
    </row>
    <row r="4726">
      <c r="T4726" s="47">
        <f>IF(R4726="","",IFERROR(TODAY()+VLOOKUP(R4726,REGRAS!$B$2:$C$13,2,0),""))</f>
        <v/>
      </c>
    </row>
    <row r="4727">
      <c r="T4727" s="47">
        <f>IF(R4727="","",IFERROR(TODAY()+VLOOKUP(R4727,REGRAS!$B$2:$C$13,2,0),""))</f>
        <v/>
      </c>
    </row>
    <row r="4728">
      <c r="T4728" s="47">
        <f>IF(R4728="","",IFERROR(TODAY()+VLOOKUP(R4728,REGRAS!$B$2:$C$13,2,0),""))</f>
        <v/>
      </c>
    </row>
    <row r="4729">
      <c r="T4729" s="47">
        <f>IF(R4729="","",IFERROR(TODAY()+VLOOKUP(R4729,REGRAS!$B$2:$C$13,2,0),""))</f>
        <v/>
      </c>
    </row>
    <row r="4730">
      <c r="T4730" s="47">
        <f>IF(R4730="","",IFERROR(TODAY()+VLOOKUP(R4730,REGRAS!$B$2:$C$13,2,0),""))</f>
        <v/>
      </c>
    </row>
    <row r="4731">
      <c r="T4731" s="47">
        <f>IF(R4731="","",IFERROR(TODAY()+VLOOKUP(R4731,REGRAS!$B$2:$C$13,2,0),""))</f>
        <v/>
      </c>
    </row>
    <row r="4732">
      <c r="T4732" s="47">
        <f>IF(R4732="","",IFERROR(TODAY()+VLOOKUP(R4732,REGRAS!$B$2:$C$13,2,0),""))</f>
        <v/>
      </c>
    </row>
    <row r="4733">
      <c r="T4733" s="47">
        <f>IF(R4733="","",IFERROR(TODAY()+VLOOKUP(R4733,REGRAS!$B$2:$C$13,2,0),""))</f>
        <v/>
      </c>
    </row>
    <row r="4734">
      <c r="T4734" s="47">
        <f>IF(R4734="","",IFERROR(TODAY()+VLOOKUP(R4734,REGRAS!$B$2:$C$13,2,0),""))</f>
        <v/>
      </c>
    </row>
    <row r="4735">
      <c r="T4735" s="47">
        <f>IF(R4735="","",IFERROR(TODAY()+VLOOKUP(R4735,REGRAS!$B$2:$C$13,2,0),""))</f>
        <v/>
      </c>
    </row>
    <row r="4736">
      <c r="T4736" s="47">
        <f>IF(R4736="","",IFERROR(TODAY()+VLOOKUP(R4736,REGRAS!$B$2:$C$13,2,0),""))</f>
        <v/>
      </c>
    </row>
    <row r="4737">
      <c r="T4737" s="47">
        <f>IF(R4737="","",IFERROR(TODAY()+VLOOKUP(R4737,REGRAS!$B$2:$C$13,2,0),""))</f>
        <v/>
      </c>
    </row>
    <row r="4738">
      <c r="T4738" s="47">
        <f>IF(R4738="","",IFERROR(TODAY()+VLOOKUP(R4738,REGRAS!$B$2:$C$13,2,0),""))</f>
        <v/>
      </c>
    </row>
    <row r="4739">
      <c r="T4739" s="47">
        <f>IF(R4739="","",IFERROR(TODAY()+VLOOKUP(R4739,REGRAS!$B$2:$C$13,2,0),""))</f>
        <v/>
      </c>
    </row>
    <row r="4740">
      <c r="T4740" s="47">
        <f>IF(R4740="","",IFERROR(TODAY()+VLOOKUP(R4740,REGRAS!$B$2:$C$13,2,0),""))</f>
        <v/>
      </c>
    </row>
    <row r="4741">
      <c r="T4741" s="47">
        <f>IF(R4741="","",IFERROR(TODAY()+VLOOKUP(R4741,REGRAS!$B$2:$C$13,2,0),""))</f>
        <v/>
      </c>
    </row>
    <row r="4742">
      <c r="T4742" s="47">
        <f>IF(R4742="","",IFERROR(TODAY()+VLOOKUP(R4742,REGRAS!$B$2:$C$13,2,0),""))</f>
        <v/>
      </c>
    </row>
    <row r="4743">
      <c r="T4743" s="47">
        <f>IF(R4743="","",IFERROR(TODAY()+VLOOKUP(R4743,REGRAS!$B$2:$C$13,2,0),""))</f>
        <v/>
      </c>
    </row>
    <row r="4744">
      <c r="T4744" s="47">
        <f>IF(R4744="","",IFERROR(TODAY()+VLOOKUP(R4744,REGRAS!$B$2:$C$13,2,0),""))</f>
        <v/>
      </c>
    </row>
    <row r="4745">
      <c r="T4745" s="47">
        <f>IF(R4745="","",IFERROR(TODAY()+VLOOKUP(R4745,REGRAS!$B$2:$C$13,2,0),""))</f>
        <v/>
      </c>
    </row>
    <row r="4746">
      <c r="T4746" s="47">
        <f>IF(R4746="","",IFERROR(TODAY()+VLOOKUP(R4746,REGRAS!$B$2:$C$13,2,0),""))</f>
        <v/>
      </c>
    </row>
    <row r="4747">
      <c r="T4747" s="47">
        <f>IF(R4747="","",IFERROR(TODAY()+VLOOKUP(R4747,REGRAS!$B$2:$C$13,2,0),""))</f>
        <v/>
      </c>
    </row>
    <row r="4748">
      <c r="T4748" s="47">
        <f>IF(R4748="","",IFERROR(TODAY()+VLOOKUP(R4748,REGRAS!$B$2:$C$13,2,0),""))</f>
        <v/>
      </c>
    </row>
    <row r="4749">
      <c r="T4749" s="47">
        <f>IF(R4749="","",IFERROR(TODAY()+VLOOKUP(R4749,REGRAS!$B$2:$C$13,2,0),""))</f>
        <v/>
      </c>
    </row>
    <row r="4750">
      <c r="T4750" s="47">
        <f>IF(R4750="","",IFERROR(TODAY()+VLOOKUP(R4750,REGRAS!$B$2:$C$13,2,0),""))</f>
        <v/>
      </c>
    </row>
    <row r="4751">
      <c r="T4751" s="47">
        <f>IF(R4751="","",IFERROR(TODAY()+VLOOKUP(R4751,REGRAS!$B$2:$C$13,2,0),""))</f>
        <v/>
      </c>
    </row>
    <row r="4752">
      <c r="T4752" s="47">
        <f>IF(R4752="","",IFERROR(TODAY()+VLOOKUP(R4752,REGRAS!$B$2:$C$13,2,0),""))</f>
        <v/>
      </c>
    </row>
    <row r="4753">
      <c r="T4753" s="47">
        <f>IF(R4753="","",IFERROR(TODAY()+VLOOKUP(R4753,REGRAS!$B$2:$C$13,2,0),""))</f>
        <v/>
      </c>
    </row>
    <row r="4754">
      <c r="T4754" s="47">
        <f>IF(R4754="","",IFERROR(TODAY()+VLOOKUP(R4754,REGRAS!$B$2:$C$13,2,0),""))</f>
        <v/>
      </c>
    </row>
    <row r="4755">
      <c r="T4755" s="47">
        <f>IF(R4755="","",IFERROR(TODAY()+VLOOKUP(R4755,REGRAS!$B$2:$C$13,2,0),""))</f>
        <v/>
      </c>
    </row>
    <row r="4756">
      <c r="T4756" s="47">
        <f>IF(R4756="","",IFERROR(TODAY()+VLOOKUP(R4756,REGRAS!$B$2:$C$13,2,0),""))</f>
        <v/>
      </c>
    </row>
    <row r="4757">
      <c r="T4757" s="47">
        <f>IF(R4757="","",IFERROR(TODAY()+VLOOKUP(R4757,REGRAS!$B$2:$C$13,2,0),""))</f>
        <v/>
      </c>
    </row>
    <row r="4758">
      <c r="T4758" s="47">
        <f>IF(R4758="","",IFERROR(TODAY()+VLOOKUP(R4758,REGRAS!$B$2:$C$13,2,0),""))</f>
        <v/>
      </c>
    </row>
    <row r="4759">
      <c r="T4759" s="47">
        <f>IF(R4759="","",IFERROR(TODAY()+VLOOKUP(R4759,REGRAS!$B$2:$C$13,2,0),""))</f>
        <v/>
      </c>
    </row>
    <row r="4760">
      <c r="T4760" s="47">
        <f>IF(R4760="","",IFERROR(TODAY()+VLOOKUP(R4760,REGRAS!$B$2:$C$13,2,0),""))</f>
        <v/>
      </c>
    </row>
    <row r="4761">
      <c r="T4761" s="47">
        <f>IF(R4761="","",IFERROR(TODAY()+VLOOKUP(R4761,REGRAS!$B$2:$C$13,2,0),""))</f>
        <v/>
      </c>
    </row>
    <row r="4762">
      <c r="T4762" s="47">
        <f>IF(R4762="","",IFERROR(TODAY()+VLOOKUP(R4762,REGRAS!$B$2:$C$13,2,0),""))</f>
        <v/>
      </c>
    </row>
    <row r="4763">
      <c r="T4763" s="47">
        <f>IF(R4763="","",IFERROR(TODAY()+VLOOKUP(R4763,REGRAS!$B$2:$C$13,2,0),""))</f>
        <v/>
      </c>
    </row>
    <row r="4764">
      <c r="T4764" s="47">
        <f>IF(R4764="","",IFERROR(TODAY()+VLOOKUP(R4764,REGRAS!$B$2:$C$13,2,0),""))</f>
        <v/>
      </c>
    </row>
    <row r="4765">
      <c r="T4765" s="47">
        <f>IF(R4765="","",IFERROR(TODAY()+VLOOKUP(R4765,REGRAS!$B$2:$C$13,2,0),""))</f>
        <v/>
      </c>
    </row>
    <row r="4766">
      <c r="T4766" s="47">
        <f>IF(R4766="","",IFERROR(TODAY()+VLOOKUP(R4766,REGRAS!$B$2:$C$13,2,0),""))</f>
        <v/>
      </c>
    </row>
    <row r="4767">
      <c r="T4767" s="47">
        <f>IF(R4767="","",IFERROR(TODAY()+VLOOKUP(R4767,REGRAS!$B$2:$C$13,2,0),""))</f>
        <v/>
      </c>
    </row>
    <row r="4768">
      <c r="T4768" s="47">
        <f>IF(R4768="","",IFERROR(TODAY()+VLOOKUP(R4768,REGRAS!$B$2:$C$13,2,0),""))</f>
        <v/>
      </c>
    </row>
    <row r="4769">
      <c r="T4769" s="47">
        <f>IF(R4769="","",IFERROR(TODAY()+VLOOKUP(R4769,REGRAS!$B$2:$C$13,2,0),""))</f>
        <v/>
      </c>
    </row>
    <row r="4770">
      <c r="T4770" s="47">
        <f>IF(R4770="","",IFERROR(TODAY()+VLOOKUP(R4770,REGRAS!$B$2:$C$13,2,0),""))</f>
        <v/>
      </c>
    </row>
    <row r="4771">
      <c r="T4771" s="47">
        <f>IF(R4771="","",IFERROR(TODAY()+VLOOKUP(R4771,REGRAS!$B$2:$C$13,2,0),""))</f>
        <v/>
      </c>
    </row>
    <row r="4772">
      <c r="T4772" s="47">
        <f>IF(R4772="","",IFERROR(TODAY()+VLOOKUP(R4772,REGRAS!$B$2:$C$13,2,0),""))</f>
        <v/>
      </c>
    </row>
    <row r="4773">
      <c r="T4773" s="47">
        <f>IF(R4773="","",IFERROR(TODAY()+VLOOKUP(R4773,REGRAS!$B$2:$C$13,2,0),""))</f>
        <v/>
      </c>
    </row>
    <row r="4774">
      <c r="T4774" s="47">
        <f>IF(R4774="","",IFERROR(TODAY()+VLOOKUP(R4774,REGRAS!$B$2:$C$13,2,0),""))</f>
        <v/>
      </c>
    </row>
    <row r="4775">
      <c r="T4775" s="47">
        <f>IF(R4775="","",IFERROR(TODAY()+VLOOKUP(R4775,REGRAS!$B$2:$C$13,2,0),""))</f>
        <v/>
      </c>
    </row>
    <row r="4776">
      <c r="T4776" s="47">
        <f>IF(R4776="","",IFERROR(TODAY()+VLOOKUP(R4776,REGRAS!$B$2:$C$13,2,0),""))</f>
        <v/>
      </c>
    </row>
    <row r="4777">
      <c r="T4777" s="47">
        <f>IF(R4777="","",IFERROR(TODAY()+VLOOKUP(R4777,REGRAS!$B$2:$C$13,2,0),""))</f>
        <v/>
      </c>
    </row>
    <row r="4778">
      <c r="T4778" s="47">
        <f>IF(R4778="","",IFERROR(TODAY()+VLOOKUP(R4778,REGRAS!$B$2:$C$13,2,0),""))</f>
        <v/>
      </c>
    </row>
    <row r="4779">
      <c r="T4779" s="47">
        <f>IF(R4779="","",IFERROR(TODAY()+VLOOKUP(R4779,REGRAS!$B$2:$C$13,2,0),""))</f>
        <v/>
      </c>
    </row>
    <row r="4780">
      <c r="T4780" s="47">
        <f>IF(R4780="","",IFERROR(TODAY()+VLOOKUP(R4780,REGRAS!$B$2:$C$13,2,0),""))</f>
        <v/>
      </c>
    </row>
    <row r="4781">
      <c r="T4781" s="47">
        <f>IF(R4781="","",IFERROR(TODAY()+VLOOKUP(R4781,REGRAS!$B$2:$C$13,2,0),""))</f>
        <v/>
      </c>
    </row>
    <row r="4782">
      <c r="T4782" s="47">
        <f>IF(R4782="","",IFERROR(TODAY()+VLOOKUP(R4782,REGRAS!$B$2:$C$13,2,0),""))</f>
        <v/>
      </c>
    </row>
    <row r="4783">
      <c r="T4783" s="47">
        <f>IF(R4783="","",IFERROR(TODAY()+VLOOKUP(R4783,REGRAS!$B$2:$C$13,2,0),""))</f>
        <v/>
      </c>
    </row>
    <row r="4784">
      <c r="T4784" s="47">
        <f>IF(R4784="","",IFERROR(TODAY()+VLOOKUP(R4784,REGRAS!$B$2:$C$13,2,0),""))</f>
        <v/>
      </c>
    </row>
    <row r="4785">
      <c r="T4785" s="47">
        <f>IF(R4785="","",IFERROR(TODAY()+VLOOKUP(R4785,REGRAS!$B$2:$C$13,2,0),""))</f>
        <v/>
      </c>
    </row>
    <row r="4786">
      <c r="T4786" s="47">
        <f>IF(R4786="","",IFERROR(TODAY()+VLOOKUP(R4786,REGRAS!$B$2:$C$13,2,0),""))</f>
        <v/>
      </c>
    </row>
    <row r="4787">
      <c r="T4787" s="47">
        <f>IF(R4787="","",IFERROR(TODAY()+VLOOKUP(R4787,REGRAS!$B$2:$C$13,2,0),""))</f>
        <v/>
      </c>
    </row>
    <row r="4788">
      <c r="T4788" s="47">
        <f>IF(R4788="","",IFERROR(TODAY()+VLOOKUP(R4788,REGRAS!$B$2:$C$13,2,0),""))</f>
        <v/>
      </c>
    </row>
    <row r="4789">
      <c r="T4789" s="47">
        <f>IF(R4789="","",IFERROR(TODAY()+VLOOKUP(R4789,REGRAS!$B$2:$C$13,2,0),""))</f>
        <v/>
      </c>
    </row>
    <row r="4790">
      <c r="T4790" s="47">
        <f>IF(R4790="","",IFERROR(TODAY()+VLOOKUP(R4790,REGRAS!$B$2:$C$13,2,0),""))</f>
        <v/>
      </c>
    </row>
    <row r="4791">
      <c r="T4791" s="47">
        <f>IF(R4791="","",IFERROR(TODAY()+VLOOKUP(R4791,REGRAS!$B$2:$C$13,2,0),""))</f>
        <v/>
      </c>
    </row>
    <row r="4792">
      <c r="T4792" s="47">
        <f>IF(R4792="","",IFERROR(TODAY()+VLOOKUP(R4792,REGRAS!$B$2:$C$13,2,0),""))</f>
        <v/>
      </c>
    </row>
    <row r="4793">
      <c r="T4793" s="47">
        <f>IF(R4793="","",IFERROR(TODAY()+VLOOKUP(R4793,REGRAS!$B$2:$C$13,2,0),""))</f>
        <v/>
      </c>
    </row>
    <row r="4794">
      <c r="T4794" s="47">
        <f>IF(R4794="","",IFERROR(TODAY()+VLOOKUP(R4794,REGRAS!$B$2:$C$13,2,0),""))</f>
        <v/>
      </c>
    </row>
    <row r="4795">
      <c r="T4795" s="47">
        <f>IF(R4795="","",IFERROR(TODAY()+VLOOKUP(R4795,REGRAS!$B$2:$C$13,2,0),""))</f>
        <v/>
      </c>
    </row>
    <row r="4796">
      <c r="T4796" s="47">
        <f>IF(R4796="","",IFERROR(TODAY()+VLOOKUP(R4796,REGRAS!$B$2:$C$13,2,0),""))</f>
        <v/>
      </c>
    </row>
    <row r="4797">
      <c r="T4797" s="47">
        <f>IF(R4797="","",IFERROR(TODAY()+VLOOKUP(R4797,REGRAS!$B$2:$C$13,2,0),""))</f>
        <v/>
      </c>
    </row>
    <row r="4798">
      <c r="T4798" s="47">
        <f>IF(R4798="","",IFERROR(TODAY()+VLOOKUP(R4798,REGRAS!$B$2:$C$13,2,0),""))</f>
        <v/>
      </c>
    </row>
    <row r="4799">
      <c r="T4799" s="47">
        <f>IF(R4799="","",IFERROR(TODAY()+VLOOKUP(R4799,REGRAS!$B$2:$C$13,2,0),""))</f>
        <v/>
      </c>
    </row>
    <row r="4800">
      <c r="T4800" s="47">
        <f>IF(R4800="","",IFERROR(TODAY()+VLOOKUP(R4800,REGRAS!$B$2:$C$13,2,0),""))</f>
        <v/>
      </c>
    </row>
    <row r="4801">
      <c r="T4801" s="47">
        <f>IF(R4801="","",IFERROR(TODAY()+VLOOKUP(R4801,REGRAS!$B$2:$C$13,2,0),""))</f>
        <v/>
      </c>
    </row>
    <row r="4802">
      <c r="T4802" s="47">
        <f>IF(R4802="","",IFERROR(TODAY()+VLOOKUP(R4802,REGRAS!$B$2:$C$13,2,0),""))</f>
        <v/>
      </c>
    </row>
    <row r="4803">
      <c r="T4803" s="47">
        <f>IF(R4803="","",IFERROR(TODAY()+VLOOKUP(R4803,REGRAS!$B$2:$C$13,2,0),""))</f>
        <v/>
      </c>
    </row>
    <row r="4804">
      <c r="T4804" s="47">
        <f>IF(R4804="","",IFERROR(TODAY()+VLOOKUP(R4804,REGRAS!$B$2:$C$13,2,0),""))</f>
        <v/>
      </c>
    </row>
    <row r="4805">
      <c r="T4805" s="47">
        <f>IF(R4805="","",IFERROR(TODAY()+VLOOKUP(R4805,REGRAS!$B$2:$C$13,2,0),""))</f>
        <v/>
      </c>
    </row>
    <row r="4806">
      <c r="T4806" s="47">
        <f>IF(R4806="","",IFERROR(TODAY()+VLOOKUP(R4806,REGRAS!$B$2:$C$13,2,0),""))</f>
        <v/>
      </c>
    </row>
    <row r="4807">
      <c r="T4807" s="47">
        <f>IF(R4807="","",IFERROR(TODAY()+VLOOKUP(R4807,REGRAS!$B$2:$C$13,2,0),""))</f>
        <v/>
      </c>
    </row>
    <row r="4808">
      <c r="T4808" s="47">
        <f>IF(R4808="","",IFERROR(TODAY()+VLOOKUP(R4808,REGRAS!$B$2:$C$13,2,0),""))</f>
        <v/>
      </c>
    </row>
    <row r="4809">
      <c r="T4809" s="47">
        <f>IF(R4809="","",IFERROR(TODAY()+VLOOKUP(R4809,REGRAS!$B$2:$C$13,2,0),""))</f>
        <v/>
      </c>
    </row>
    <row r="4810">
      <c r="T4810" s="47">
        <f>IF(R4810="","",IFERROR(TODAY()+VLOOKUP(R4810,REGRAS!$B$2:$C$13,2,0),""))</f>
        <v/>
      </c>
    </row>
    <row r="4811">
      <c r="T4811" s="47">
        <f>IF(R4811="","",IFERROR(TODAY()+VLOOKUP(R4811,REGRAS!$B$2:$C$13,2,0),""))</f>
        <v/>
      </c>
    </row>
    <row r="4812">
      <c r="T4812" s="47">
        <f>IF(R4812="","",IFERROR(TODAY()+VLOOKUP(R4812,REGRAS!$B$2:$C$13,2,0),""))</f>
        <v/>
      </c>
    </row>
    <row r="4813">
      <c r="T4813" s="47">
        <f>IF(R4813="","",IFERROR(TODAY()+VLOOKUP(R4813,REGRAS!$B$2:$C$13,2,0),""))</f>
        <v/>
      </c>
    </row>
    <row r="4814">
      <c r="T4814" s="47">
        <f>IF(R4814="","",IFERROR(TODAY()+VLOOKUP(R4814,REGRAS!$B$2:$C$13,2,0),""))</f>
        <v/>
      </c>
    </row>
    <row r="4815">
      <c r="T4815" s="47">
        <f>IF(R4815="","",IFERROR(TODAY()+VLOOKUP(R4815,REGRAS!$B$2:$C$13,2,0),""))</f>
        <v/>
      </c>
    </row>
    <row r="4816">
      <c r="T4816" s="47">
        <f>IF(R4816="","",IFERROR(TODAY()+VLOOKUP(R4816,REGRAS!$B$2:$C$13,2,0),""))</f>
        <v/>
      </c>
    </row>
    <row r="4817">
      <c r="T4817" s="47">
        <f>IF(R4817="","",IFERROR(TODAY()+VLOOKUP(R4817,REGRAS!$B$2:$C$13,2,0),""))</f>
        <v/>
      </c>
    </row>
    <row r="4818">
      <c r="T4818" s="47">
        <f>IF(R4818="","",IFERROR(TODAY()+VLOOKUP(R4818,REGRAS!$B$2:$C$13,2,0),""))</f>
        <v/>
      </c>
    </row>
    <row r="4819">
      <c r="T4819" s="47">
        <f>IF(R4819="","",IFERROR(TODAY()+VLOOKUP(R4819,REGRAS!$B$2:$C$13,2,0),""))</f>
        <v/>
      </c>
    </row>
    <row r="4820">
      <c r="T4820" s="47">
        <f>IF(R4820="","",IFERROR(TODAY()+VLOOKUP(R4820,REGRAS!$B$2:$C$13,2,0),""))</f>
        <v/>
      </c>
    </row>
    <row r="4821">
      <c r="T4821" s="47">
        <f>IF(R4821="","",IFERROR(TODAY()+VLOOKUP(R4821,REGRAS!$B$2:$C$13,2,0),""))</f>
        <v/>
      </c>
    </row>
    <row r="4822">
      <c r="T4822" s="47">
        <f>IF(R4822="","",IFERROR(TODAY()+VLOOKUP(R4822,REGRAS!$B$2:$C$13,2,0),""))</f>
        <v/>
      </c>
    </row>
    <row r="4823">
      <c r="T4823" s="47">
        <f>IF(R4823="","",IFERROR(TODAY()+VLOOKUP(R4823,REGRAS!$B$2:$C$13,2,0),""))</f>
        <v/>
      </c>
    </row>
    <row r="4824">
      <c r="T4824" s="47">
        <f>IF(R4824="","",IFERROR(TODAY()+VLOOKUP(R4824,REGRAS!$B$2:$C$13,2,0),""))</f>
        <v/>
      </c>
    </row>
    <row r="4825">
      <c r="T4825" s="47">
        <f>IF(R4825="","",IFERROR(TODAY()+VLOOKUP(R4825,REGRAS!$B$2:$C$13,2,0),""))</f>
        <v/>
      </c>
    </row>
    <row r="4826">
      <c r="T4826" s="47">
        <f>IF(R4826="","",IFERROR(TODAY()+VLOOKUP(R4826,REGRAS!$B$2:$C$13,2,0),""))</f>
        <v/>
      </c>
    </row>
    <row r="4827">
      <c r="T4827" s="47">
        <f>IF(R4827="","",IFERROR(TODAY()+VLOOKUP(R4827,REGRAS!$B$2:$C$13,2,0),""))</f>
        <v/>
      </c>
    </row>
    <row r="4828">
      <c r="T4828" s="47">
        <f>IF(R4828="","",IFERROR(TODAY()+VLOOKUP(R4828,REGRAS!$B$2:$C$13,2,0),""))</f>
        <v/>
      </c>
    </row>
    <row r="4829">
      <c r="T4829" s="47">
        <f>IF(R4829="","",IFERROR(TODAY()+VLOOKUP(R4829,REGRAS!$B$2:$C$13,2,0),""))</f>
        <v/>
      </c>
    </row>
    <row r="4830">
      <c r="T4830" s="47">
        <f>IF(R4830="","",IFERROR(TODAY()+VLOOKUP(R4830,REGRAS!$B$2:$C$13,2,0),""))</f>
        <v/>
      </c>
    </row>
    <row r="4831">
      <c r="T4831" s="47">
        <f>IF(R4831="","",IFERROR(TODAY()+VLOOKUP(R4831,REGRAS!$B$2:$C$13,2,0),""))</f>
        <v/>
      </c>
    </row>
    <row r="4832">
      <c r="T4832" s="47">
        <f>IF(R4832="","",IFERROR(TODAY()+VLOOKUP(R4832,REGRAS!$B$2:$C$13,2,0),""))</f>
        <v/>
      </c>
    </row>
    <row r="4833">
      <c r="T4833" s="47">
        <f>IF(R4833="","",IFERROR(TODAY()+VLOOKUP(R4833,REGRAS!$B$2:$C$13,2,0),""))</f>
        <v/>
      </c>
    </row>
    <row r="4834">
      <c r="T4834" s="47">
        <f>IF(R4834="","",IFERROR(TODAY()+VLOOKUP(R4834,REGRAS!$B$2:$C$13,2,0),""))</f>
        <v/>
      </c>
    </row>
    <row r="4835">
      <c r="T4835" s="47">
        <f>IF(R4835="","",IFERROR(TODAY()+VLOOKUP(R4835,REGRAS!$B$2:$C$13,2,0),""))</f>
        <v/>
      </c>
    </row>
    <row r="4836">
      <c r="T4836" s="47">
        <f>IF(R4836="","",IFERROR(TODAY()+VLOOKUP(R4836,REGRAS!$B$2:$C$13,2,0),""))</f>
        <v/>
      </c>
    </row>
    <row r="4837">
      <c r="T4837" s="47">
        <f>IF(R4837="","",IFERROR(TODAY()+VLOOKUP(R4837,REGRAS!$B$2:$C$13,2,0),""))</f>
        <v/>
      </c>
    </row>
    <row r="4838">
      <c r="T4838" s="47">
        <f>IF(R4838="","",IFERROR(TODAY()+VLOOKUP(R4838,REGRAS!$B$2:$C$13,2,0),""))</f>
        <v/>
      </c>
    </row>
    <row r="4839">
      <c r="T4839" s="47">
        <f>IF(R4839="","",IFERROR(TODAY()+VLOOKUP(R4839,REGRAS!$B$2:$C$13,2,0),""))</f>
        <v/>
      </c>
    </row>
    <row r="4840">
      <c r="T4840" s="47">
        <f>IF(R4840="","",IFERROR(TODAY()+VLOOKUP(R4840,REGRAS!$B$2:$C$13,2,0),""))</f>
        <v/>
      </c>
    </row>
    <row r="4841">
      <c r="T4841" s="47">
        <f>IF(R4841="","",IFERROR(TODAY()+VLOOKUP(R4841,REGRAS!$B$2:$C$13,2,0),""))</f>
        <v/>
      </c>
    </row>
    <row r="4842">
      <c r="T4842" s="47">
        <f>IF(R4842="","",IFERROR(TODAY()+VLOOKUP(R4842,REGRAS!$B$2:$C$13,2,0),""))</f>
        <v/>
      </c>
    </row>
    <row r="4843">
      <c r="T4843" s="47">
        <f>IF(R4843="","",IFERROR(TODAY()+VLOOKUP(R4843,REGRAS!$B$2:$C$13,2,0),""))</f>
        <v/>
      </c>
    </row>
    <row r="4844">
      <c r="T4844" s="47">
        <f>IF(R4844="","",IFERROR(TODAY()+VLOOKUP(R4844,REGRAS!$B$2:$C$13,2,0),""))</f>
        <v/>
      </c>
    </row>
    <row r="4845">
      <c r="T4845" s="47">
        <f>IF(R4845="","",IFERROR(TODAY()+VLOOKUP(R4845,REGRAS!$B$2:$C$13,2,0),""))</f>
        <v/>
      </c>
    </row>
    <row r="4846">
      <c r="T4846" s="47">
        <f>IF(R4846="","",IFERROR(TODAY()+VLOOKUP(R4846,REGRAS!$B$2:$C$13,2,0),""))</f>
        <v/>
      </c>
    </row>
    <row r="4847">
      <c r="T4847" s="47">
        <f>IF(R4847="","",IFERROR(TODAY()+VLOOKUP(R4847,REGRAS!$B$2:$C$13,2,0),""))</f>
        <v/>
      </c>
    </row>
    <row r="4848">
      <c r="T4848" s="47">
        <f>IF(R4848="","",IFERROR(TODAY()+VLOOKUP(R4848,REGRAS!$B$2:$C$13,2,0),""))</f>
        <v/>
      </c>
    </row>
    <row r="4849">
      <c r="T4849" s="47">
        <f>IF(R4849="","",IFERROR(TODAY()+VLOOKUP(R4849,REGRAS!$B$2:$C$13,2,0),""))</f>
        <v/>
      </c>
    </row>
    <row r="4850">
      <c r="T4850" s="47">
        <f>IF(R4850="","",IFERROR(TODAY()+VLOOKUP(R4850,REGRAS!$B$2:$C$13,2,0),""))</f>
        <v/>
      </c>
    </row>
    <row r="4851">
      <c r="T4851" s="47">
        <f>IF(R4851="","",IFERROR(TODAY()+VLOOKUP(R4851,REGRAS!$B$2:$C$13,2,0),""))</f>
        <v/>
      </c>
    </row>
    <row r="4852">
      <c r="T4852" s="47">
        <f>IF(R4852="","",IFERROR(TODAY()+VLOOKUP(R4852,REGRAS!$B$2:$C$13,2,0),""))</f>
        <v/>
      </c>
    </row>
    <row r="4853">
      <c r="T4853" s="47">
        <f>IF(R4853="","",IFERROR(TODAY()+VLOOKUP(R4853,REGRAS!$B$2:$C$13,2,0),""))</f>
        <v/>
      </c>
    </row>
    <row r="4854">
      <c r="T4854" s="47">
        <f>IF(R4854="","",IFERROR(TODAY()+VLOOKUP(R4854,REGRAS!$B$2:$C$13,2,0),""))</f>
        <v/>
      </c>
    </row>
    <row r="4855">
      <c r="T4855" s="47">
        <f>IF(R4855="","",IFERROR(TODAY()+VLOOKUP(R4855,REGRAS!$B$2:$C$13,2,0),""))</f>
        <v/>
      </c>
    </row>
    <row r="4856">
      <c r="T4856" s="47">
        <f>IF(R4856="","",IFERROR(TODAY()+VLOOKUP(R4856,REGRAS!$B$2:$C$13,2,0),""))</f>
        <v/>
      </c>
    </row>
    <row r="4857">
      <c r="T4857" s="47">
        <f>IF(R4857="","",IFERROR(TODAY()+VLOOKUP(R4857,REGRAS!$B$2:$C$13,2,0),""))</f>
        <v/>
      </c>
    </row>
    <row r="4858">
      <c r="T4858" s="47">
        <f>IF(R4858="","",IFERROR(TODAY()+VLOOKUP(R4858,REGRAS!$B$2:$C$13,2,0),""))</f>
        <v/>
      </c>
    </row>
    <row r="4859">
      <c r="T4859" s="47">
        <f>IF(R4859="","",IFERROR(TODAY()+VLOOKUP(R4859,REGRAS!$B$2:$C$13,2,0),""))</f>
        <v/>
      </c>
    </row>
    <row r="4860">
      <c r="T4860" s="47">
        <f>IF(R4860="","",IFERROR(TODAY()+VLOOKUP(R4860,REGRAS!$B$2:$C$13,2,0),""))</f>
        <v/>
      </c>
    </row>
    <row r="4861">
      <c r="T4861" s="47">
        <f>IF(R4861="","",IFERROR(TODAY()+VLOOKUP(R4861,REGRAS!$B$2:$C$13,2,0),""))</f>
        <v/>
      </c>
    </row>
    <row r="4862">
      <c r="T4862" s="47">
        <f>IF(R4862="","",IFERROR(TODAY()+VLOOKUP(R4862,REGRAS!$B$2:$C$13,2,0),""))</f>
        <v/>
      </c>
    </row>
    <row r="4863">
      <c r="T4863" s="47">
        <f>IF(R4863="","",IFERROR(TODAY()+VLOOKUP(R4863,REGRAS!$B$2:$C$13,2,0),""))</f>
        <v/>
      </c>
    </row>
    <row r="4864">
      <c r="T4864" s="47">
        <f>IF(R4864="","",IFERROR(TODAY()+VLOOKUP(R4864,REGRAS!$B$2:$C$13,2,0),""))</f>
        <v/>
      </c>
    </row>
    <row r="4865">
      <c r="T4865" s="47">
        <f>IF(R4865="","",IFERROR(TODAY()+VLOOKUP(R4865,REGRAS!$B$2:$C$13,2,0),""))</f>
        <v/>
      </c>
    </row>
    <row r="4866">
      <c r="T4866" s="47">
        <f>IF(R4866="","",IFERROR(TODAY()+VLOOKUP(R4866,REGRAS!$B$2:$C$13,2,0),""))</f>
        <v/>
      </c>
    </row>
    <row r="4867">
      <c r="T4867" s="47">
        <f>IF(R4867="","",IFERROR(TODAY()+VLOOKUP(R4867,REGRAS!$B$2:$C$13,2,0),""))</f>
        <v/>
      </c>
    </row>
    <row r="4868">
      <c r="T4868" s="47">
        <f>IF(R4868="","",IFERROR(TODAY()+VLOOKUP(R4868,REGRAS!$B$2:$C$13,2,0),""))</f>
        <v/>
      </c>
    </row>
    <row r="4869">
      <c r="T4869" s="47">
        <f>IF(R4869="","",IFERROR(TODAY()+VLOOKUP(R4869,REGRAS!$B$2:$C$13,2,0),""))</f>
        <v/>
      </c>
    </row>
    <row r="4870">
      <c r="T4870" s="47">
        <f>IF(R4870="","",IFERROR(TODAY()+VLOOKUP(R4870,REGRAS!$B$2:$C$13,2,0),""))</f>
        <v/>
      </c>
    </row>
    <row r="4871">
      <c r="T4871" s="47">
        <f>IF(R4871="","",IFERROR(TODAY()+VLOOKUP(R4871,REGRAS!$B$2:$C$13,2,0),""))</f>
        <v/>
      </c>
    </row>
    <row r="4872">
      <c r="T4872" s="47">
        <f>IF(R4872="","",IFERROR(TODAY()+VLOOKUP(R4872,REGRAS!$B$2:$C$13,2,0),""))</f>
        <v/>
      </c>
    </row>
    <row r="4873">
      <c r="T4873" s="47">
        <f>IF(R4873="","",IFERROR(TODAY()+VLOOKUP(R4873,REGRAS!$B$2:$C$13,2,0),""))</f>
        <v/>
      </c>
    </row>
    <row r="4874">
      <c r="T4874" s="47">
        <f>IF(R4874="","",IFERROR(TODAY()+VLOOKUP(R4874,REGRAS!$B$2:$C$13,2,0),""))</f>
        <v/>
      </c>
    </row>
    <row r="4875">
      <c r="T4875" s="47">
        <f>IF(R4875="","",IFERROR(TODAY()+VLOOKUP(R4875,REGRAS!$B$2:$C$13,2,0),""))</f>
        <v/>
      </c>
    </row>
    <row r="4876">
      <c r="T4876" s="47">
        <f>IF(R4876="","",IFERROR(TODAY()+VLOOKUP(R4876,REGRAS!$B$2:$C$13,2,0),""))</f>
        <v/>
      </c>
    </row>
    <row r="4877">
      <c r="T4877" s="47">
        <f>IF(R4877="","",IFERROR(TODAY()+VLOOKUP(R4877,REGRAS!$B$2:$C$13,2,0),""))</f>
        <v/>
      </c>
    </row>
    <row r="4878">
      <c r="T4878" s="47">
        <f>IF(R4878="","",IFERROR(TODAY()+VLOOKUP(R4878,REGRAS!$B$2:$C$13,2,0),""))</f>
        <v/>
      </c>
    </row>
    <row r="4879">
      <c r="T4879" s="47">
        <f>IF(R4879="","",IFERROR(TODAY()+VLOOKUP(R4879,REGRAS!$B$2:$C$13,2,0),""))</f>
        <v/>
      </c>
    </row>
    <row r="4880">
      <c r="T4880" s="47">
        <f>IF(R4880="","",IFERROR(TODAY()+VLOOKUP(R4880,REGRAS!$B$2:$C$13,2,0),""))</f>
        <v/>
      </c>
    </row>
    <row r="4881">
      <c r="T4881" s="47">
        <f>IF(R4881="","",IFERROR(TODAY()+VLOOKUP(R4881,REGRAS!$B$2:$C$13,2,0),""))</f>
        <v/>
      </c>
    </row>
    <row r="4882">
      <c r="T4882" s="47">
        <f>IF(R4882="","",IFERROR(TODAY()+VLOOKUP(R4882,REGRAS!$B$2:$C$13,2,0),""))</f>
        <v/>
      </c>
    </row>
    <row r="4883">
      <c r="T4883" s="47">
        <f>IF(R4883="","",IFERROR(TODAY()+VLOOKUP(R4883,REGRAS!$B$2:$C$13,2,0),""))</f>
        <v/>
      </c>
    </row>
    <row r="4884">
      <c r="T4884" s="47">
        <f>IF(R4884="","",IFERROR(TODAY()+VLOOKUP(R4884,REGRAS!$B$2:$C$13,2,0),""))</f>
        <v/>
      </c>
    </row>
    <row r="4885">
      <c r="T4885" s="47">
        <f>IF(R4885="","",IFERROR(TODAY()+VLOOKUP(R4885,REGRAS!$B$2:$C$13,2,0),""))</f>
        <v/>
      </c>
    </row>
    <row r="4886">
      <c r="T4886" s="47">
        <f>IF(R4886="","",IFERROR(TODAY()+VLOOKUP(R4886,REGRAS!$B$2:$C$13,2,0),""))</f>
        <v/>
      </c>
    </row>
    <row r="4887">
      <c r="T4887" s="47">
        <f>IF(R4887="","",IFERROR(TODAY()+VLOOKUP(R4887,REGRAS!$B$2:$C$13,2,0),""))</f>
        <v/>
      </c>
    </row>
    <row r="4888">
      <c r="T4888" s="47">
        <f>IF(R4888="","",IFERROR(TODAY()+VLOOKUP(R4888,REGRAS!$B$2:$C$13,2,0),""))</f>
        <v/>
      </c>
    </row>
    <row r="4889">
      <c r="T4889" s="47">
        <f>IF(R4889="","",IFERROR(TODAY()+VLOOKUP(R4889,REGRAS!$B$2:$C$13,2,0),""))</f>
        <v/>
      </c>
    </row>
    <row r="4890">
      <c r="T4890" s="47">
        <f>IF(R4890="","",IFERROR(TODAY()+VLOOKUP(R4890,REGRAS!$B$2:$C$13,2,0),""))</f>
        <v/>
      </c>
    </row>
    <row r="4891">
      <c r="T4891" s="47">
        <f>IF(R4891="","",IFERROR(TODAY()+VLOOKUP(R4891,REGRAS!$B$2:$C$13,2,0),""))</f>
        <v/>
      </c>
    </row>
    <row r="4892">
      <c r="T4892" s="47">
        <f>IF(R4892="","",IFERROR(TODAY()+VLOOKUP(R4892,REGRAS!$B$2:$C$13,2,0),""))</f>
        <v/>
      </c>
    </row>
    <row r="4893">
      <c r="T4893" s="47">
        <f>IF(R4893="","",IFERROR(TODAY()+VLOOKUP(R4893,REGRAS!$B$2:$C$13,2,0),""))</f>
        <v/>
      </c>
    </row>
    <row r="4894">
      <c r="T4894" s="47">
        <f>IF(R4894="","",IFERROR(TODAY()+VLOOKUP(R4894,REGRAS!$B$2:$C$13,2,0),""))</f>
        <v/>
      </c>
    </row>
    <row r="4895">
      <c r="T4895" s="47">
        <f>IF(R4895="","",IFERROR(TODAY()+VLOOKUP(R4895,REGRAS!$B$2:$C$13,2,0),""))</f>
        <v/>
      </c>
    </row>
    <row r="4896">
      <c r="T4896" s="47">
        <f>IF(R4896="","",IFERROR(TODAY()+VLOOKUP(R4896,REGRAS!$B$2:$C$13,2,0),""))</f>
        <v/>
      </c>
    </row>
    <row r="4897">
      <c r="T4897" s="47">
        <f>IF(R4897="","",IFERROR(TODAY()+VLOOKUP(R4897,REGRAS!$B$2:$C$13,2,0),""))</f>
        <v/>
      </c>
    </row>
    <row r="4898">
      <c r="T4898" s="47">
        <f>IF(R4898="","",IFERROR(TODAY()+VLOOKUP(R4898,REGRAS!$B$2:$C$13,2,0),""))</f>
        <v/>
      </c>
    </row>
    <row r="4899">
      <c r="T4899" s="47">
        <f>IF(R4899="","",IFERROR(TODAY()+VLOOKUP(R4899,REGRAS!$B$2:$C$13,2,0),""))</f>
        <v/>
      </c>
    </row>
    <row r="4900">
      <c r="T4900" s="47">
        <f>IF(R4900="","",IFERROR(TODAY()+VLOOKUP(R4900,REGRAS!$B$2:$C$13,2,0),""))</f>
        <v/>
      </c>
    </row>
    <row r="4901">
      <c r="T4901" s="47">
        <f>IF(R4901="","",IFERROR(TODAY()+VLOOKUP(R4901,REGRAS!$B$2:$C$13,2,0),""))</f>
        <v/>
      </c>
    </row>
    <row r="4902">
      <c r="T4902" s="47">
        <f>IF(R4902="","",IFERROR(TODAY()+VLOOKUP(R4902,REGRAS!$B$2:$C$13,2,0),""))</f>
        <v/>
      </c>
    </row>
    <row r="4903">
      <c r="T4903" s="47">
        <f>IF(R4903="","",IFERROR(TODAY()+VLOOKUP(R4903,REGRAS!$B$2:$C$13,2,0),""))</f>
        <v/>
      </c>
    </row>
    <row r="4904">
      <c r="T4904" s="47">
        <f>IF(R4904="","",IFERROR(TODAY()+VLOOKUP(R4904,REGRAS!$B$2:$C$13,2,0),""))</f>
        <v/>
      </c>
    </row>
    <row r="4905">
      <c r="T4905" s="47">
        <f>IF(R4905="","",IFERROR(TODAY()+VLOOKUP(R4905,REGRAS!$B$2:$C$13,2,0),""))</f>
        <v/>
      </c>
    </row>
    <row r="4906">
      <c r="T4906" s="47">
        <f>IF(R4906="","",IFERROR(TODAY()+VLOOKUP(R4906,REGRAS!$B$2:$C$13,2,0),""))</f>
        <v/>
      </c>
    </row>
    <row r="4907">
      <c r="T4907" s="47">
        <f>IF(R4907="","",IFERROR(TODAY()+VLOOKUP(R4907,REGRAS!$B$2:$C$13,2,0),""))</f>
        <v/>
      </c>
    </row>
    <row r="4908">
      <c r="T4908" s="47">
        <f>IF(R4908="","",IFERROR(TODAY()+VLOOKUP(R4908,REGRAS!$B$2:$C$13,2,0),""))</f>
        <v/>
      </c>
    </row>
    <row r="4909">
      <c r="T4909" s="47">
        <f>IF(R4909="","",IFERROR(TODAY()+VLOOKUP(R4909,REGRAS!$B$2:$C$13,2,0),""))</f>
        <v/>
      </c>
    </row>
    <row r="4910">
      <c r="T4910" s="47">
        <f>IF(R4910="","",IFERROR(TODAY()+VLOOKUP(R4910,REGRAS!$B$2:$C$13,2,0),""))</f>
        <v/>
      </c>
    </row>
    <row r="4911">
      <c r="T4911" s="47">
        <f>IF(R4911="","",IFERROR(TODAY()+VLOOKUP(R4911,REGRAS!$B$2:$C$13,2,0),""))</f>
        <v/>
      </c>
    </row>
    <row r="4912">
      <c r="T4912" s="47">
        <f>IF(R4912="","",IFERROR(TODAY()+VLOOKUP(R4912,REGRAS!$B$2:$C$13,2,0),""))</f>
        <v/>
      </c>
    </row>
    <row r="4913">
      <c r="T4913" s="47">
        <f>IF(R4913="","",IFERROR(TODAY()+VLOOKUP(R4913,REGRAS!$B$2:$C$13,2,0),""))</f>
        <v/>
      </c>
    </row>
    <row r="4914">
      <c r="T4914" s="47">
        <f>IF(R4914="","",IFERROR(TODAY()+VLOOKUP(R4914,REGRAS!$B$2:$C$13,2,0),""))</f>
        <v/>
      </c>
    </row>
    <row r="4915">
      <c r="T4915" s="47">
        <f>IF(R4915="","",IFERROR(TODAY()+VLOOKUP(R4915,REGRAS!$B$2:$C$13,2,0),""))</f>
        <v/>
      </c>
    </row>
    <row r="4916">
      <c r="T4916" s="47">
        <f>IF(R4916="","",IFERROR(TODAY()+VLOOKUP(R4916,REGRAS!$B$2:$C$13,2,0),""))</f>
        <v/>
      </c>
    </row>
    <row r="4917">
      <c r="T4917" s="47">
        <f>IF(R4917="","",IFERROR(TODAY()+VLOOKUP(R4917,REGRAS!$B$2:$C$13,2,0),""))</f>
        <v/>
      </c>
    </row>
    <row r="4918">
      <c r="T4918" s="47">
        <f>IF(R4918="","",IFERROR(TODAY()+VLOOKUP(R4918,REGRAS!$B$2:$C$13,2,0),""))</f>
        <v/>
      </c>
    </row>
    <row r="4919">
      <c r="T4919" s="47">
        <f>IF(R4919="","",IFERROR(TODAY()+VLOOKUP(R4919,REGRAS!$B$2:$C$13,2,0),""))</f>
        <v/>
      </c>
    </row>
    <row r="4920">
      <c r="T4920" s="47">
        <f>IF(R4920="","",IFERROR(TODAY()+VLOOKUP(R4920,REGRAS!$B$2:$C$13,2,0),""))</f>
        <v/>
      </c>
    </row>
    <row r="4921">
      <c r="T4921" s="47">
        <f>IF(R4921="","",IFERROR(TODAY()+VLOOKUP(R4921,REGRAS!$B$2:$C$13,2,0),""))</f>
        <v/>
      </c>
    </row>
    <row r="4922">
      <c r="T4922" s="47">
        <f>IF(R4922="","",IFERROR(TODAY()+VLOOKUP(R4922,REGRAS!$B$2:$C$13,2,0),""))</f>
        <v/>
      </c>
    </row>
    <row r="4923">
      <c r="T4923" s="47">
        <f>IF(R4923="","",IFERROR(TODAY()+VLOOKUP(R4923,REGRAS!$B$2:$C$13,2,0),""))</f>
        <v/>
      </c>
    </row>
    <row r="4924">
      <c r="T4924" s="47">
        <f>IF(R4924="","",IFERROR(TODAY()+VLOOKUP(R4924,REGRAS!$B$2:$C$13,2,0),""))</f>
        <v/>
      </c>
    </row>
    <row r="4925">
      <c r="T4925" s="47">
        <f>IF(R4925="","",IFERROR(TODAY()+VLOOKUP(R4925,REGRAS!$B$2:$C$13,2,0),""))</f>
        <v/>
      </c>
    </row>
    <row r="4926">
      <c r="T4926" s="47">
        <f>IF(R4926="","",IFERROR(TODAY()+VLOOKUP(R4926,REGRAS!$B$2:$C$13,2,0),""))</f>
        <v/>
      </c>
    </row>
    <row r="4927">
      <c r="T4927" s="47">
        <f>IF(R4927="","",IFERROR(TODAY()+VLOOKUP(R4927,REGRAS!$B$2:$C$13,2,0),""))</f>
        <v/>
      </c>
    </row>
    <row r="4928">
      <c r="T4928" s="47">
        <f>IF(R4928="","",IFERROR(TODAY()+VLOOKUP(R4928,REGRAS!$B$2:$C$13,2,0),""))</f>
        <v/>
      </c>
    </row>
    <row r="4929">
      <c r="T4929" s="47">
        <f>IF(R4929="","",IFERROR(TODAY()+VLOOKUP(R4929,REGRAS!$B$2:$C$13,2,0),""))</f>
        <v/>
      </c>
    </row>
    <row r="4930">
      <c r="T4930" s="47">
        <f>IF(R4930="","",IFERROR(TODAY()+VLOOKUP(R4930,REGRAS!$B$2:$C$13,2,0),""))</f>
        <v/>
      </c>
    </row>
    <row r="4931">
      <c r="T4931" s="47">
        <f>IF(R4931="","",IFERROR(TODAY()+VLOOKUP(R4931,REGRAS!$B$2:$C$13,2,0),""))</f>
        <v/>
      </c>
    </row>
    <row r="4932">
      <c r="T4932" s="47">
        <f>IF(R4932="","",IFERROR(TODAY()+VLOOKUP(R4932,REGRAS!$B$2:$C$13,2,0),""))</f>
        <v/>
      </c>
    </row>
    <row r="4933">
      <c r="T4933" s="47">
        <f>IF(R4933="","",IFERROR(TODAY()+VLOOKUP(R4933,REGRAS!$B$2:$C$13,2,0),""))</f>
        <v/>
      </c>
    </row>
    <row r="4934">
      <c r="T4934" s="47">
        <f>IF(R4934="","",IFERROR(TODAY()+VLOOKUP(R4934,REGRAS!$B$2:$C$13,2,0),""))</f>
        <v/>
      </c>
    </row>
    <row r="4935">
      <c r="T4935" s="47">
        <f>IF(R4935="","",IFERROR(TODAY()+VLOOKUP(R4935,REGRAS!$B$2:$C$13,2,0),""))</f>
        <v/>
      </c>
    </row>
    <row r="4936">
      <c r="T4936" s="47">
        <f>IF(R4936="","",IFERROR(TODAY()+VLOOKUP(R4936,REGRAS!$B$2:$C$13,2,0),""))</f>
        <v/>
      </c>
    </row>
    <row r="4937">
      <c r="T4937" s="47">
        <f>IF(R4937="","",IFERROR(TODAY()+VLOOKUP(R4937,REGRAS!$B$2:$C$13,2,0),""))</f>
        <v/>
      </c>
    </row>
    <row r="4938">
      <c r="T4938" s="47">
        <f>IF(R4938="","",IFERROR(TODAY()+VLOOKUP(R4938,REGRAS!$B$2:$C$13,2,0),""))</f>
        <v/>
      </c>
    </row>
    <row r="4939">
      <c r="T4939" s="47">
        <f>IF(R4939="","",IFERROR(TODAY()+VLOOKUP(R4939,REGRAS!$B$2:$C$13,2,0),""))</f>
        <v/>
      </c>
    </row>
    <row r="4940">
      <c r="T4940" s="47">
        <f>IF(R4940="","",IFERROR(TODAY()+VLOOKUP(R4940,REGRAS!$B$2:$C$13,2,0),""))</f>
        <v/>
      </c>
    </row>
    <row r="4941">
      <c r="T4941" s="47">
        <f>IF(R4941="","",IFERROR(TODAY()+VLOOKUP(R4941,REGRAS!$B$2:$C$13,2,0),""))</f>
        <v/>
      </c>
    </row>
    <row r="4942">
      <c r="T4942" s="47">
        <f>IF(R4942="","",IFERROR(TODAY()+VLOOKUP(R4942,REGRAS!$B$2:$C$13,2,0),""))</f>
        <v/>
      </c>
    </row>
    <row r="4943">
      <c r="T4943" s="47">
        <f>IF(R4943="","",IFERROR(TODAY()+VLOOKUP(R4943,REGRAS!$B$2:$C$13,2,0),""))</f>
        <v/>
      </c>
    </row>
    <row r="4944">
      <c r="T4944" s="47">
        <f>IF(R4944="","",IFERROR(TODAY()+VLOOKUP(R4944,REGRAS!$B$2:$C$13,2,0),""))</f>
        <v/>
      </c>
    </row>
    <row r="4945">
      <c r="T4945" s="47">
        <f>IF(R4945="","",IFERROR(TODAY()+VLOOKUP(R4945,REGRAS!$B$2:$C$13,2,0),""))</f>
        <v/>
      </c>
    </row>
    <row r="4946">
      <c r="T4946" s="47">
        <f>IF(R4946="","",IFERROR(TODAY()+VLOOKUP(R4946,REGRAS!$B$2:$C$13,2,0),""))</f>
        <v/>
      </c>
    </row>
    <row r="4947">
      <c r="T4947" s="47">
        <f>IF(R4947="","",IFERROR(TODAY()+VLOOKUP(R4947,REGRAS!$B$2:$C$13,2,0),""))</f>
        <v/>
      </c>
    </row>
    <row r="4948">
      <c r="T4948" s="47">
        <f>IF(R4948="","",IFERROR(TODAY()+VLOOKUP(R4948,REGRAS!$B$2:$C$13,2,0),""))</f>
        <v/>
      </c>
    </row>
    <row r="4949">
      <c r="T4949" s="47">
        <f>IF(R4949="","",IFERROR(TODAY()+VLOOKUP(R4949,REGRAS!$B$2:$C$13,2,0),""))</f>
        <v/>
      </c>
    </row>
    <row r="4950">
      <c r="T4950" s="47">
        <f>IF(R4950="","",IFERROR(TODAY()+VLOOKUP(R4950,REGRAS!$B$2:$C$13,2,0),""))</f>
        <v/>
      </c>
    </row>
    <row r="4951">
      <c r="T4951" s="47">
        <f>IF(R4951="","",IFERROR(TODAY()+VLOOKUP(R4951,REGRAS!$B$2:$C$13,2,0),""))</f>
        <v/>
      </c>
    </row>
    <row r="4952">
      <c r="T4952" s="47">
        <f>IF(R4952="","",IFERROR(TODAY()+VLOOKUP(R4952,REGRAS!$B$2:$C$13,2,0),""))</f>
        <v/>
      </c>
    </row>
    <row r="4953">
      <c r="T4953" s="47">
        <f>IF(R4953="","",IFERROR(TODAY()+VLOOKUP(R4953,REGRAS!$B$2:$C$13,2,0),""))</f>
        <v/>
      </c>
    </row>
    <row r="4954">
      <c r="T4954" s="47">
        <f>IF(R4954="","",IFERROR(TODAY()+VLOOKUP(R4954,REGRAS!$B$2:$C$13,2,0),""))</f>
        <v/>
      </c>
    </row>
    <row r="4955">
      <c r="T4955" s="47">
        <f>IF(R4955="","",IFERROR(TODAY()+VLOOKUP(R4955,REGRAS!$B$2:$C$13,2,0),""))</f>
        <v/>
      </c>
    </row>
    <row r="4956">
      <c r="T4956" s="47">
        <f>IF(R4956="","",IFERROR(TODAY()+VLOOKUP(R4956,REGRAS!$B$2:$C$13,2,0),""))</f>
        <v/>
      </c>
    </row>
    <row r="4957">
      <c r="T4957" s="47">
        <f>IF(R4957="","",IFERROR(TODAY()+VLOOKUP(R4957,REGRAS!$B$2:$C$13,2,0),""))</f>
        <v/>
      </c>
    </row>
    <row r="4958">
      <c r="T4958" s="47">
        <f>IF(R4958="","",IFERROR(TODAY()+VLOOKUP(R4958,REGRAS!$B$2:$C$13,2,0),""))</f>
        <v/>
      </c>
    </row>
    <row r="4959">
      <c r="T4959" s="47">
        <f>IF(R4959="","",IFERROR(TODAY()+VLOOKUP(R4959,REGRAS!$B$2:$C$13,2,0),""))</f>
        <v/>
      </c>
    </row>
    <row r="4960">
      <c r="T4960" s="47">
        <f>IF(R4960="","",IFERROR(TODAY()+VLOOKUP(R4960,REGRAS!$B$2:$C$13,2,0),""))</f>
        <v/>
      </c>
    </row>
    <row r="4961">
      <c r="T4961" s="47">
        <f>IF(R4961="","",IFERROR(TODAY()+VLOOKUP(R4961,REGRAS!$B$2:$C$13,2,0),""))</f>
        <v/>
      </c>
    </row>
    <row r="4962">
      <c r="T4962" s="47">
        <f>IF(R4962="","",IFERROR(TODAY()+VLOOKUP(R4962,REGRAS!$B$2:$C$13,2,0),""))</f>
        <v/>
      </c>
    </row>
    <row r="4963">
      <c r="T4963" s="47">
        <f>IF(R4963="","",IFERROR(TODAY()+VLOOKUP(R4963,REGRAS!$B$2:$C$13,2,0),""))</f>
        <v/>
      </c>
    </row>
    <row r="4964">
      <c r="T4964" s="47">
        <f>IF(R4964="","",IFERROR(TODAY()+VLOOKUP(R4964,REGRAS!$B$2:$C$13,2,0),""))</f>
        <v/>
      </c>
    </row>
    <row r="4965">
      <c r="T4965" s="47">
        <f>IF(R4965="","",IFERROR(TODAY()+VLOOKUP(R4965,REGRAS!$B$2:$C$13,2,0),""))</f>
        <v/>
      </c>
    </row>
    <row r="4966">
      <c r="T4966" s="47">
        <f>IF(R4966="","",IFERROR(TODAY()+VLOOKUP(R4966,REGRAS!$B$2:$C$13,2,0),""))</f>
        <v/>
      </c>
    </row>
    <row r="4967">
      <c r="T4967" s="47">
        <f>IF(R4967="","",IFERROR(TODAY()+VLOOKUP(R4967,REGRAS!$B$2:$C$13,2,0),""))</f>
        <v/>
      </c>
    </row>
    <row r="4968">
      <c r="T4968" s="47">
        <f>IF(R4968="","",IFERROR(TODAY()+VLOOKUP(R4968,REGRAS!$B$2:$C$13,2,0),""))</f>
        <v/>
      </c>
    </row>
    <row r="4969">
      <c r="T4969" s="47">
        <f>IF(R4969="","",IFERROR(TODAY()+VLOOKUP(R4969,REGRAS!$B$2:$C$13,2,0),""))</f>
        <v/>
      </c>
    </row>
    <row r="4970">
      <c r="T4970" s="47">
        <f>IF(R4970="","",IFERROR(TODAY()+VLOOKUP(R4970,REGRAS!$B$2:$C$13,2,0),""))</f>
        <v/>
      </c>
    </row>
    <row r="4971">
      <c r="T4971" s="47">
        <f>IF(R4971="","",IFERROR(TODAY()+VLOOKUP(R4971,REGRAS!$B$2:$C$13,2,0),""))</f>
        <v/>
      </c>
    </row>
    <row r="4972">
      <c r="T4972" s="47">
        <f>IF(R4972="","",IFERROR(TODAY()+VLOOKUP(R4972,REGRAS!$B$2:$C$13,2,0),""))</f>
        <v/>
      </c>
    </row>
    <row r="4973">
      <c r="T4973" s="47">
        <f>IF(R4973="","",IFERROR(TODAY()+VLOOKUP(R4973,REGRAS!$B$2:$C$13,2,0),""))</f>
        <v/>
      </c>
    </row>
    <row r="4974">
      <c r="T4974" s="47">
        <f>IF(R4974="","",IFERROR(TODAY()+VLOOKUP(R4974,REGRAS!$B$2:$C$13,2,0),""))</f>
        <v/>
      </c>
    </row>
    <row r="4975">
      <c r="T4975" s="47">
        <f>IF(R4975="","",IFERROR(TODAY()+VLOOKUP(R4975,REGRAS!$B$2:$C$13,2,0),""))</f>
        <v/>
      </c>
    </row>
    <row r="4976">
      <c r="T4976" s="47">
        <f>IF(R4976="","",IFERROR(TODAY()+VLOOKUP(R4976,REGRAS!$B$2:$C$13,2,0),""))</f>
        <v/>
      </c>
    </row>
    <row r="4977">
      <c r="T4977" s="47">
        <f>IF(R4977="","",IFERROR(TODAY()+VLOOKUP(R4977,REGRAS!$B$2:$C$13,2,0),""))</f>
        <v/>
      </c>
    </row>
    <row r="4978">
      <c r="T4978" s="47">
        <f>IF(R4978="","",IFERROR(TODAY()+VLOOKUP(R4978,REGRAS!$B$2:$C$13,2,0),""))</f>
        <v/>
      </c>
    </row>
    <row r="4979">
      <c r="T4979" s="47">
        <f>IF(R4979="","",IFERROR(TODAY()+VLOOKUP(R4979,REGRAS!$B$2:$C$13,2,0),""))</f>
        <v/>
      </c>
    </row>
    <row r="4980">
      <c r="T4980" s="47">
        <f>IF(R4980="","",IFERROR(TODAY()+VLOOKUP(R4980,REGRAS!$B$2:$C$13,2,0),""))</f>
        <v/>
      </c>
    </row>
    <row r="4981">
      <c r="T4981" s="47">
        <f>IF(R4981="","",IFERROR(TODAY()+VLOOKUP(R4981,REGRAS!$B$2:$C$13,2,0),""))</f>
        <v/>
      </c>
    </row>
    <row r="4982">
      <c r="T4982" s="47">
        <f>IF(R4982="","",IFERROR(TODAY()+VLOOKUP(R4982,REGRAS!$B$2:$C$13,2,0),""))</f>
        <v/>
      </c>
    </row>
    <row r="4983">
      <c r="T4983" s="47">
        <f>IF(R4983="","",IFERROR(TODAY()+VLOOKUP(R4983,REGRAS!$B$2:$C$13,2,0),""))</f>
        <v/>
      </c>
    </row>
    <row r="4984">
      <c r="T4984" s="47">
        <f>IF(R4984="","",IFERROR(TODAY()+VLOOKUP(R4984,REGRAS!$B$2:$C$13,2,0),""))</f>
        <v/>
      </c>
    </row>
    <row r="4985">
      <c r="T4985" s="47">
        <f>IF(R4985="","",IFERROR(TODAY()+VLOOKUP(R4985,REGRAS!$B$2:$C$13,2,0),""))</f>
        <v/>
      </c>
    </row>
    <row r="4986">
      <c r="T4986" s="47">
        <f>IF(R4986="","",IFERROR(TODAY()+VLOOKUP(R4986,REGRAS!$B$2:$C$13,2,0),""))</f>
        <v/>
      </c>
    </row>
    <row r="4987">
      <c r="T4987" s="47">
        <f>IF(R4987="","",IFERROR(TODAY()+VLOOKUP(R4987,REGRAS!$B$2:$C$13,2,0),""))</f>
        <v/>
      </c>
    </row>
    <row r="4988">
      <c r="T4988" s="47">
        <f>IF(R4988="","",IFERROR(TODAY()+VLOOKUP(R4988,REGRAS!$B$2:$C$13,2,0),""))</f>
        <v/>
      </c>
    </row>
    <row r="4989">
      <c r="T4989" s="47">
        <f>IF(R4989="","",IFERROR(TODAY()+VLOOKUP(R4989,REGRAS!$B$2:$C$13,2,0),""))</f>
        <v/>
      </c>
    </row>
    <row r="4990">
      <c r="T4990" s="47">
        <f>IF(R4990="","",IFERROR(TODAY()+VLOOKUP(R4990,REGRAS!$B$2:$C$13,2,0),""))</f>
        <v/>
      </c>
    </row>
    <row r="4991">
      <c r="T4991" s="47">
        <f>IF(R4991="","",IFERROR(TODAY()+VLOOKUP(R4991,REGRAS!$B$2:$C$13,2,0),""))</f>
        <v/>
      </c>
    </row>
    <row r="4992">
      <c r="T4992" s="47">
        <f>IF(R4992="","",IFERROR(TODAY()+VLOOKUP(R4992,REGRAS!$B$2:$C$13,2,0),""))</f>
        <v/>
      </c>
    </row>
    <row r="4993">
      <c r="T4993" s="47">
        <f>IF(R4993="","",IFERROR(TODAY()+VLOOKUP(R4993,REGRAS!$B$2:$C$13,2,0),""))</f>
        <v/>
      </c>
    </row>
    <row r="4994">
      <c r="T4994" s="47">
        <f>IF(R4994="","",IFERROR(TODAY()+VLOOKUP(R4994,REGRAS!$B$2:$C$13,2,0),""))</f>
        <v/>
      </c>
    </row>
    <row r="4995">
      <c r="T4995" s="47">
        <f>IF(R4995="","",IFERROR(TODAY()+VLOOKUP(R4995,REGRAS!$B$2:$C$13,2,0),""))</f>
        <v/>
      </c>
    </row>
    <row r="4996">
      <c r="T4996" s="47">
        <f>IF(R4996="","",IFERROR(TODAY()+VLOOKUP(R4996,REGRAS!$B$2:$C$13,2,0),""))</f>
        <v/>
      </c>
    </row>
    <row r="4997">
      <c r="T4997" s="47">
        <f>IF(R4997="","",IFERROR(TODAY()+VLOOKUP(R4997,REGRAS!$B$2:$C$13,2,0),""))</f>
        <v/>
      </c>
    </row>
    <row r="4998">
      <c r="T4998" s="47">
        <f>IF(R4998="","",IFERROR(TODAY()+VLOOKUP(R4998,REGRAS!$B$2:$C$13,2,0),""))</f>
        <v/>
      </c>
    </row>
    <row r="4999">
      <c r="T4999" s="47">
        <f>IF(R4999="","",IFERROR(TODAY()+VLOOKUP(R4999,REGRAS!$B$2:$C$13,2,0),""))</f>
        <v/>
      </c>
    </row>
    <row r="5000">
      <c r="T5000" s="47">
        <f>IF(R5000="","",IFERROR(TODAY()+VLOOKUP(R5000,REGRAS!$B$2:$C$13,2,0),""))</f>
        <v/>
      </c>
    </row>
  </sheetData>
  <mergeCells count="4">
    <mergeCell ref="N3:X3"/>
    <mergeCell ref="A3:M3"/>
    <mergeCell ref="A2:X2"/>
    <mergeCell ref="A1:X1"/>
  </mergeCells>
  <dataValidations count="3">
    <dataValidation sqref="N5:P5000 W5:W5000" showDropDown="0" showInputMessage="0" showErrorMessage="0" allowBlank="1" type="list">
      <formula1>"SIM,NÃO"</formula1>
    </dataValidation>
    <dataValidation sqref="R5:R5000" showDropDown="0" showInputMessage="0" showErrorMessage="0" allowBlank="1" type="list">
      <formula1>"EM ATENDIMENTO,ORÇAMENTO,CADASTRO,VENDA / PEDIDO,RELACIONAMENTO,FOLLOW UP 7,FOLLOW UP 15,SUPORTE,NÃO ATENDE,NÃO RESPONDE,PERDA / FECHOU LOJA"</formula1>
    </dataValidation>
    <dataValidation sqref="U5:U5000" showDropDown="0" showInputMessage="0" showErrorMessage="0" allowBlank="1" type="list">
      <formula1>"LIGAR,WHATSAPP,ENVIAR ORÇAMENTO,ENVIAR CATÁLOGO,REAGENDAR,VISITAR,AGUARDAR RETORNO,NENHUMA"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/>
  </sheetPr>
  <dimension ref="A1:Q4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108" min="1" max="1"/>
    <col width="12" customWidth="1" style="108" min="2" max="2"/>
    <col width="12" customWidth="1" style="108" min="3" max="3"/>
    <col width="12" customWidth="1" style="108" min="4" max="4"/>
    <col width="12" customWidth="1" style="108" min="5" max="5"/>
    <col width="12" customWidth="1" style="108" min="6" max="6"/>
    <col width="1.5" customWidth="1" style="108" min="7" max="7"/>
    <col width="2" customWidth="1" style="108" min="8" max="8"/>
    <col width="12" customWidth="1" style="108" min="9" max="9"/>
    <col width="12" customWidth="1" style="108" min="10" max="10"/>
    <col width="12" customWidth="1" style="108" min="11" max="11"/>
    <col width="1.5" customWidth="1" style="108" min="12" max="12"/>
    <col width="12" customWidth="1" style="108" min="13" max="13"/>
    <col width="12" customWidth="1" style="108" min="14" max="14"/>
    <col width="1.5" customWidth="1" style="108" min="15" max="15"/>
    <col width="14" customWidth="1" style="108" min="16" max="16"/>
    <col width="14" customWidth="1" style="108" min="17" max="17"/>
    <col width="14" customWidth="1" style="108" min="18" max="18"/>
    <col width="14" customWidth="1" style="108" min="19" max="19"/>
  </cols>
  <sheetData>
    <row r="1" ht="18" customHeight="1" s="108">
      <c r="A1" s="350" t="inlineStr">
        <is>
          <t>VENDEDOR</t>
        </is>
      </c>
      <c r="B1" s="351" t="n"/>
      <c r="C1" s="352" t="inlineStr">
        <is>
          <t>TODOS</t>
        </is>
      </c>
      <c r="D1" s="350" t="inlineStr">
        <is>
          <t>PERÍODO</t>
        </is>
      </c>
      <c r="E1" s="353" t="n">
        <v>46054</v>
      </c>
      <c r="F1" s="353" t="n">
        <v>46081</v>
      </c>
    </row>
    <row r="2" ht="18" customHeight="1" s="108"/>
    <row r="3" ht="18" customHeight="1" s="108"/>
    <row r="4" ht="18" customHeight="1" s="108">
      <c r="A4" s="354" t="inlineStr">
        <is>
          <t>TIPO DO CONTATO × RESULTADO DO CONTATO</t>
        </is>
      </c>
      <c r="B4" s="355" t="n"/>
      <c r="C4" s="355" t="n"/>
      <c r="D4" s="355" t="n"/>
      <c r="E4" s="355" t="n"/>
      <c r="F4" s="355" t="n"/>
      <c r="G4" s="355" t="n"/>
      <c r="H4" s="355" t="n"/>
      <c r="I4" s="355" t="n"/>
      <c r="J4" s="355" t="n"/>
      <c r="K4" s="355" t="n"/>
      <c r="L4" s="355" t="n"/>
      <c r="M4" s="355" t="n"/>
    </row>
    <row r="5" ht="15" customHeight="1" s="108">
      <c r="A5" s="356" t="inlineStr">
        <is>
          <t>TIPO DO CONTATO</t>
        </is>
      </c>
      <c r="B5" s="357" t="inlineStr">
        <is>
          <t>TOTAL</t>
        </is>
      </c>
      <c r="C5" s="357" t="inlineStr">
        <is>
          <t>ORÇAM.</t>
        </is>
      </c>
      <c r="D5" s="357" t="inlineStr">
        <is>
          <t>CADAST.</t>
        </is>
      </c>
      <c r="E5" s="357" t="inlineStr">
        <is>
          <t>RELAC.</t>
        </is>
      </c>
      <c r="F5" s="357" t="inlineStr">
        <is>
          <t>EM ATEND.</t>
        </is>
      </c>
      <c r="G5" s="357" t="inlineStr">
        <is>
          <t>SUPORTE</t>
        </is>
      </c>
      <c r="H5" s="357" t="inlineStr">
        <is>
          <t>VENDA</t>
        </is>
      </c>
      <c r="I5" s="358" t="inlineStr">
        <is>
          <t>Ñ ATENDE</t>
        </is>
      </c>
      <c r="J5" s="358" t="inlineStr">
        <is>
          <t>RECUSOU</t>
        </is>
      </c>
      <c r="K5" s="358" t="inlineStr">
        <is>
          <t>Ñ RESP.</t>
        </is>
      </c>
      <c r="L5" s="358" t="inlineStr">
        <is>
          <t>PERDA</t>
        </is>
      </c>
      <c r="M5" s="359" t="inlineStr">
        <is>
          <t>FOLLOW UP</t>
        </is>
      </c>
    </row>
    <row r="6" ht="18" customHeight="1" s="108">
      <c r="A6" s="360" t="inlineStr">
        <is>
          <t>PROSPECÇÃO</t>
        </is>
      </c>
      <c r="B6" s="361">
        <f>SUM(C6:M6)</f>
        <v/>
      </c>
      <c r="C6" s="351">
        <f>IF(OR($C$1="",$C$1="TODOS"),COUNTIFS('DRAFT 2'!$A$3:$A$5000,"&gt;="&amp;$E$1,'DRAFT 2'!$A$3:$A$5000,"&lt;="&amp;$F$1,'DRAFT 2'!$Q$3:$Q$5000,A6,'DRAFT 2'!$R$3:$R$5000,"ORÇAMENTO"),COUNTIFS('DRAFT 2'!$A$3:$A$5000,"&gt;="&amp;$E$1,'DRAFT 2'!$A$3:$A$5000,"&lt;="&amp;$F$1,'DRAFT 2'!$B$3:$B$5000,$C$1,'DRAFT 2'!$Q$3:$Q$5000,A6,'DRAFT 2'!$R$3:$R$5000,"ORÇAMENTO"))</f>
        <v/>
      </c>
      <c r="D6" s="351">
        <f>IF(OR($C$1="",$C$1="TODOS"),COUNTIFS('DRAFT 2'!$A$3:$A$5000,"&gt;="&amp;$E$1,'DRAFT 2'!$A$3:$A$5000,"&lt;="&amp;$F$1,'DRAFT 2'!$Q$3:$Q$5000,A6,'DRAFT 2'!$R$3:$R$5000,"CADASTRO"),COUNTIFS('DRAFT 2'!$A$3:$A$5000,"&gt;="&amp;$E$1,'DRAFT 2'!$A$3:$A$5000,"&lt;="&amp;$F$1,'DRAFT 2'!$B$3:$B$5000,$C$1,'DRAFT 2'!$Q$3:$Q$5000,A6,'DRAFT 2'!$R$3:$R$5000,"CADASTRO"))</f>
        <v/>
      </c>
      <c r="E6" s="351">
        <f>IF(OR($C$1="",$C$1="TODOS"),COUNTIFS('DRAFT 2'!$A$3:$A$5000,"&gt;="&amp;$E$1,'DRAFT 2'!$A$3:$A$5000,"&lt;="&amp;$F$1,'DRAFT 2'!$Q$3:$Q$5000,A6,'DRAFT 2'!$R$3:$R$5000,"RELACIONAMENTO"),COUNTIFS('DRAFT 2'!$A$3:$A$5000,"&gt;="&amp;$E$1,'DRAFT 2'!$A$3:$A$5000,"&lt;="&amp;$F$1,'DRAFT 2'!$B$3:$B$5000,$C$1,'DRAFT 2'!$Q$3:$Q$5000,A6,'DRAFT 2'!$R$3:$R$5000,"RELACIONAMENTO"))</f>
        <v/>
      </c>
      <c r="F6" s="351">
        <f>IF(OR($C$1="",$C$1="TODOS"),COUNTIFS('DRAFT 2'!$A$3:$A$5000,"&gt;="&amp;$E$1,'DRAFT 2'!$A$3:$A$5000,"&lt;="&amp;$F$1,'DRAFT 2'!$Q$3:$Q$5000,A6,'DRAFT 2'!$R$3:$R$5000,"EM ATENDIMENTO"),COUNTIFS('DRAFT 2'!$A$3:$A$5000,"&gt;="&amp;$E$1,'DRAFT 2'!$A$3:$A$5000,"&lt;="&amp;$F$1,'DRAFT 2'!$B$3:$B$5000,$C$1,'DRAFT 2'!$Q$3:$Q$5000,A6,'DRAFT 2'!$R$3:$R$5000,"EM ATENDIMENTO"))</f>
        <v/>
      </c>
      <c r="G6" s="351">
        <f>IF(OR($C$1="",$C$1="TODOS"),COUNTIFS('DRAFT 2'!$A$3:$A$5000,"&gt;="&amp;$E$1,'DRAFT 2'!$A$3:$A$5000,"&lt;="&amp;$F$1,'DRAFT 2'!$Q$3:$Q$5000,A6,'DRAFT 2'!$R$3:$R$5000,"SUPORTE"),COUNTIFS('DRAFT 2'!$A$3:$A$5000,"&gt;="&amp;$E$1,'DRAFT 2'!$A$3:$A$5000,"&lt;="&amp;$F$1,'DRAFT 2'!$B$3:$B$5000,$C$1,'DRAFT 2'!$Q$3:$Q$5000,A6,'DRAFT 2'!$R$3:$R$5000,"SUPORTE"))</f>
        <v/>
      </c>
      <c r="H6" s="351">
        <f>IF(OR($C$1="",$C$1="TODOS"),COUNTIFS('DRAFT 2'!$A$3:$A$5000,"&gt;="&amp;$E$1,'DRAFT 2'!$A$3:$A$5000,"&lt;="&amp;$F$1,'DRAFT 2'!$Q$3:$Q$5000,A6,'DRAFT 2'!$R$3:$R$5000,"VENDA / PEDIDO"),COUNTIFS('DRAFT 2'!$A$3:$A$5000,"&gt;="&amp;$E$1,'DRAFT 2'!$A$3:$A$5000,"&lt;="&amp;$F$1,'DRAFT 2'!$B$3:$B$5000,$C$1,'DRAFT 2'!$Q$3:$Q$5000,A6,'DRAFT 2'!$R$3:$R$5000,"VENDA / PEDIDO"))</f>
        <v/>
      </c>
      <c r="I6" s="351">
        <f>IF(OR($C$1="",$C$1="TODOS"),COUNTIFS('DRAFT 2'!$A$3:$A$5000,"&gt;="&amp;$E$1,'DRAFT 2'!$A$3:$A$5000,"&lt;="&amp;$F$1,'DRAFT 2'!$Q$3:$Q$5000,A6,'DRAFT 2'!$R$3:$R$5000,"NÃO ATENDE"),COUNTIFS('DRAFT 2'!$A$3:$A$5000,"&gt;="&amp;$E$1,'DRAFT 2'!$A$3:$A$5000,"&lt;="&amp;$F$1,'DRAFT 2'!$B$3:$B$5000,$C$1,'DRAFT 2'!$Q$3:$Q$5000,A6,'DRAFT 2'!$R$3:$R$5000,"NÃO ATENDE"))</f>
        <v/>
      </c>
      <c r="J6" s="351">
        <f>IF(OR($C$1="",$C$1="TODOS"),COUNTIFS('DRAFT 2'!$A$3:$A$5000,"&gt;="&amp;$E$1,'DRAFT 2'!$A$3:$A$5000,"&lt;="&amp;$F$1,'DRAFT 2'!$Q$3:$Q$5000,A6,'DRAFT 2'!$R$3:$R$5000,"RECUSOU LIGAÇÃO"),COUNTIFS('DRAFT 2'!$A$3:$A$5000,"&gt;="&amp;$E$1,'DRAFT 2'!$A$3:$A$5000,"&lt;="&amp;$F$1,'DRAFT 2'!$B$3:$B$5000,$C$1,'DRAFT 2'!$Q$3:$Q$5000,A6,'DRAFT 2'!$R$3:$R$5000,"RECUSOU LIGAÇÃO"))</f>
        <v/>
      </c>
      <c r="K6" s="351">
        <f>IF(OR($C$1="",$C$1="TODOS"),COUNTIFS('DRAFT 2'!$A$3:$A$5000,"&gt;="&amp;$E$1,'DRAFT 2'!$A$3:$A$5000,"&lt;="&amp;$F$1,'DRAFT 2'!$Q$3:$Q$5000,A6,'DRAFT 2'!$R$3:$R$5000,"NÃO RESPONDE"),COUNTIFS('DRAFT 2'!$A$3:$A$5000,"&gt;="&amp;$E$1,'DRAFT 2'!$A$3:$A$5000,"&lt;="&amp;$F$1,'DRAFT 2'!$B$3:$B$5000,$C$1,'DRAFT 2'!$Q$3:$Q$5000,A6,'DRAFT 2'!$R$3:$R$5000,"NÃO RESPONDE"))</f>
        <v/>
      </c>
      <c r="L6" s="351">
        <f>IF(OR($C$1="",$C$1="TODOS"),COUNTIFS('DRAFT 2'!$A$3:$A$5000,"&gt;="&amp;$E$1,'DRAFT 2'!$A$3:$A$5000,"&lt;="&amp;$F$1,'DRAFT 2'!$Q$3:$Q$5000,A6,'DRAFT 2'!$R$3:$R$5000,"PERDA / FECHOU LOJA"),COUNTIFS('DRAFT 2'!$A$3:$A$5000,"&gt;="&amp;$E$1,'DRAFT 2'!$A$3:$A$5000,"&lt;="&amp;$F$1,'DRAFT 2'!$B$3:$B$5000,$C$1,'DRAFT 2'!$Q$3:$Q$5000,A6,'DRAFT 2'!$R$3:$R$5000,"PERDA / FECHOU LOJA"))</f>
        <v/>
      </c>
      <c r="M6" s="351">
        <f>IF(OR($C$1="",$C$1="TODOS"),COUNTIFS('DRAFT 2'!$A$3:$A$5000,"&gt;="&amp;$E$1,'DRAFT 2'!$A$3:$A$5000,"&lt;="&amp;$F$1,'DRAFT 2'!$Q$3:$Q$5000,A6,'DRAFT 2'!$R$3:$R$5000,"FOLLOW UP 7"),COUNTIFS('DRAFT 2'!$A$3:$A$5000,"&gt;="&amp;$E$1,'DRAFT 2'!$A$3:$A$5000,"&lt;="&amp;$F$1,'DRAFT 2'!$B$3:$B$5000,$C$1,'DRAFT 2'!$Q$3:$Q$5000,A6,'DRAFT 2'!$R$3:$R$5000,"FOLLOW UP 7"))+IF(OR($C$1="",$C$1="TODOS"),COUNTIFS('DRAFT 2'!$A$3:$A$5000,"&gt;="&amp;$E$1,'DRAFT 2'!$A$3:$A$5000,"&lt;="&amp;$F$1,'DRAFT 2'!$Q$3:$Q$5000,A6,'DRAFT 2'!$R$3:$R$5000,"FOLLOW UP 15"),COUNTIFS('DRAFT 2'!$A$3:$A$5000,"&gt;="&amp;$E$1,'DRAFT 2'!$A$3:$A$5000,"&lt;="&amp;$F$1,'DRAFT 2'!$B$3:$B$5000,$C$1,'DRAFT 2'!$Q$3:$Q$5000,A6,'DRAFT 2'!$R$3:$R$5000,"FOLLOW UP 15"))</f>
        <v/>
      </c>
    </row>
    <row r="7" ht="18" customHeight="1" s="108">
      <c r="A7" s="360" t="inlineStr">
        <is>
          <t>NEGOCIAÇÃO</t>
        </is>
      </c>
      <c r="B7" s="361">
        <f>SUM(C7:M7)</f>
        <v/>
      </c>
      <c r="C7" s="351">
        <f>IF(OR($C$1="",$C$1="TODOS"),COUNTIFS('DRAFT 2'!$A$3:$A$5000,"&gt;="&amp;$E$1,'DRAFT 2'!$A$3:$A$5000,"&lt;="&amp;$F$1,'DRAFT 2'!$Q$3:$Q$5000,A7,'DRAFT 2'!$R$3:$R$5000,"ORÇAMENTO"),COUNTIFS('DRAFT 2'!$A$3:$A$5000,"&gt;="&amp;$E$1,'DRAFT 2'!$A$3:$A$5000,"&lt;="&amp;$F$1,'DRAFT 2'!$B$3:$B$5000,$C$1,'DRAFT 2'!$Q$3:$Q$5000,A7,'DRAFT 2'!$R$3:$R$5000,"ORÇAMENTO"))</f>
        <v/>
      </c>
      <c r="D7" s="351">
        <f>IF(OR($C$1="",$C$1="TODOS"),COUNTIFS('DRAFT 2'!$A$3:$A$5000,"&gt;="&amp;$E$1,'DRAFT 2'!$A$3:$A$5000,"&lt;="&amp;$F$1,'DRAFT 2'!$Q$3:$Q$5000,A7,'DRAFT 2'!$R$3:$R$5000,"CADASTRO"),COUNTIFS('DRAFT 2'!$A$3:$A$5000,"&gt;="&amp;$E$1,'DRAFT 2'!$A$3:$A$5000,"&lt;="&amp;$F$1,'DRAFT 2'!$B$3:$B$5000,$C$1,'DRAFT 2'!$Q$3:$Q$5000,A7,'DRAFT 2'!$R$3:$R$5000,"CADASTRO"))</f>
        <v/>
      </c>
      <c r="E7" s="351">
        <f>IF(OR($C$1="",$C$1="TODOS"),COUNTIFS('DRAFT 2'!$A$3:$A$5000,"&gt;="&amp;$E$1,'DRAFT 2'!$A$3:$A$5000,"&lt;="&amp;$F$1,'DRAFT 2'!$Q$3:$Q$5000,A7,'DRAFT 2'!$R$3:$R$5000,"RELACIONAMENTO"),COUNTIFS('DRAFT 2'!$A$3:$A$5000,"&gt;="&amp;$E$1,'DRAFT 2'!$A$3:$A$5000,"&lt;="&amp;$F$1,'DRAFT 2'!$B$3:$B$5000,$C$1,'DRAFT 2'!$Q$3:$Q$5000,A7,'DRAFT 2'!$R$3:$R$5000,"RELACIONAMENTO"))</f>
        <v/>
      </c>
      <c r="F7" s="351">
        <f>IF(OR($C$1="",$C$1="TODOS"),COUNTIFS('DRAFT 2'!$A$3:$A$5000,"&gt;="&amp;$E$1,'DRAFT 2'!$A$3:$A$5000,"&lt;="&amp;$F$1,'DRAFT 2'!$Q$3:$Q$5000,A7,'DRAFT 2'!$R$3:$R$5000,"EM ATENDIMENTO"),COUNTIFS('DRAFT 2'!$A$3:$A$5000,"&gt;="&amp;$E$1,'DRAFT 2'!$A$3:$A$5000,"&lt;="&amp;$F$1,'DRAFT 2'!$B$3:$B$5000,$C$1,'DRAFT 2'!$Q$3:$Q$5000,A7,'DRAFT 2'!$R$3:$R$5000,"EM ATENDIMENTO"))</f>
        <v/>
      </c>
      <c r="G7" s="351">
        <f>IF(OR($C$1="",$C$1="TODOS"),COUNTIFS('DRAFT 2'!$A$3:$A$5000,"&gt;="&amp;$E$1,'DRAFT 2'!$A$3:$A$5000,"&lt;="&amp;$F$1,'DRAFT 2'!$Q$3:$Q$5000,A7,'DRAFT 2'!$R$3:$R$5000,"SUPORTE"),COUNTIFS('DRAFT 2'!$A$3:$A$5000,"&gt;="&amp;$E$1,'DRAFT 2'!$A$3:$A$5000,"&lt;="&amp;$F$1,'DRAFT 2'!$B$3:$B$5000,$C$1,'DRAFT 2'!$Q$3:$Q$5000,A7,'DRAFT 2'!$R$3:$R$5000,"SUPORTE"))</f>
        <v/>
      </c>
      <c r="H7" s="351">
        <f>IF(OR($C$1="",$C$1="TODOS"),COUNTIFS('DRAFT 2'!$A$3:$A$5000,"&gt;="&amp;$E$1,'DRAFT 2'!$A$3:$A$5000,"&lt;="&amp;$F$1,'DRAFT 2'!$Q$3:$Q$5000,A7,'DRAFT 2'!$R$3:$R$5000,"VENDA / PEDIDO"),COUNTIFS('DRAFT 2'!$A$3:$A$5000,"&gt;="&amp;$E$1,'DRAFT 2'!$A$3:$A$5000,"&lt;="&amp;$F$1,'DRAFT 2'!$B$3:$B$5000,$C$1,'DRAFT 2'!$Q$3:$Q$5000,A7,'DRAFT 2'!$R$3:$R$5000,"VENDA / PEDIDO"))</f>
        <v/>
      </c>
      <c r="I7" s="351">
        <f>IF(OR($C$1="",$C$1="TODOS"),COUNTIFS('DRAFT 2'!$A$3:$A$5000,"&gt;="&amp;$E$1,'DRAFT 2'!$A$3:$A$5000,"&lt;="&amp;$F$1,'DRAFT 2'!$Q$3:$Q$5000,A7,'DRAFT 2'!$R$3:$R$5000,"NÃO ATENDE"),COUNTIFS('DRAFT 2'!$A$3:$A$5000,"&gt;="&amp;$E$1,'DRAFT 2'!$A$3:$A$5000,"&lt;="&amp;$F$1,'DRAFT 2'!$B$3:$B$5000,$C$1,'DRAFT 2'!$Q$3:$Q$5000,A7,'DRAFT 2'!$R$3:$R$5000,"NÃO ATENDE"))</f>
        <v/>
      </c>
      <c r="J7" s="351">
        <f>IF(OR($C$1="",$C$1="TODOS"),COUNTIFS('DRAFT 2'!$A$3:$A$5000,"&gt;="&amp;$E$1,'DRAFT 2'!$A$3:$A$5000,"&lt;="&amp;$F$1,'DRAFT 2'!$Q$3:$Q$5000,A7,'DRAFT 2'!$R$3:$R$5000,"RECUSOU LIGAÇÃO"),COUNTIFS('DRAFT 2'!$A$3:$A$5000,"&gt;="&amp;$E$1,'DRAFT 2'!$A$3:$A$5000,"&lt;="&amp;$F$1,'DRAFT 2'!$B$3:$B$5000,$C$1,'DRAFT 2'!$Q$3:$Q$5000,A7,'DRAFT 2'!$R$3:$R$5000,"RECUSOU LIGAÇÃO"))</f>
        <v/>
      </c>
      <c r="K7" s="351">
        <f>IF(OR($C$1="",$C$1="TODOS"),COUNTIFS('DRAFT 2'!$A$3:$A$5000,"&gt;="&amp;$E$1,'DRAFT 2'!$A$3:$A$5000,"&lt;="&amp;$F$1,'DRAFT 2'!$Q$3:$Q$5000,A7,'DRAFT 2'!$R$3:$R$5000,"NÃO RESPONDE"),COUNTIFS('DRAFT 2'!$A$3:$A$5000,"&gt;="&amp;$E$1,'DRAFT 2'!$A$3:$A$5000,"&lt;="&amp;$F$1,'DRAFT 2'!$B$3:$B$5000,$C$1,'DRAFT 2'!$Q$3:$Q$5000,A7,'DRAFT 2'!$R$3:$R$5000,"NÃO RESPONDE"))</f>
        <v/>
      </c>
      <c r="L7" s="351">
        <f>IF(OR($C$1="",$C$1="TODOS"),COUNTIFS('DRAFT 2'!$A$3:$A$5000,"&gt;="&amp;$E$1,'DRAFT 2'!$A$3:$A$5000,"&lt;="&amp;$F$1,'DRAFT 2'!$Q$3:$Q$5000,A7,'DRAFT 2'!$R$3:$R$5000,"PERDA / FECHOU LOJA"),COUNTIFS('DRAFT 2'!$A$3:$A$5000,"&gt;="&amp;$E$1,'DRAFT 2'!$A$3:$A$5000,"&lt;="&amp;$F$1,'DRAFT 2'!$B$3:$B$5000,$C$1,'DRAFT 2'!$Q$3:$Q$5000,A7,'DRAFT 2'!$R$3:$R$5000,"PERDA / FECHOU LOJA"))</f>
        <v/>
      </c>
      <c r="M7" s="351">
        <f>IF(OR($C$1="",$C$1="TODOS"),COUNTIFS('DRAFT 2'!$A$3:$A$5000,"&gt;="&amp;$E$1,'DRAFT 2'!$A$3:$A$5000,"&lt;="&amp;$F$1,'DRAFT 2'!$Q$3:$Q$5000,A7,'DRAFT 2'!$R$3:$R$5000,"FOLLOW UP 7"),COUNTIFS('DRAFT 2'!$A$3:$A$5000,"&gt;="&amp;$E$1,'DRAFT 2'!$A$3:$A$5000,"&lt;="&amp;$F$1,'DRAFT 2'!$B$3:$B$5000,$C$1,'DRAFT 2'!$Q$3:$Q$5000,A7,'DRAFT 2'!$R$3:$R$5000,"FOLLOW UP 7"))+IF(OR($C$1="",$C$1="TODOS"),COUNTIFS('DRAFT 2'!$A$3:$A$5000,"&gt;="&amp;$E$1,'DRAFT 2'!$A$3:$A$5000,"&lt;="&amp;$F$1,'DRAFT 2'!$Q$3:$Q$5000,A7,'DRAFT 2'!$R$3:$R$5000,"FOLLOW UP 15"),COUNTIFS('DRAFT 2'!$A$3:$A$5000,"&gt;="&amp;$E$1,'DRAFT 2'!$A$3:$A$5000,"&lt;="&amp;$F$1,'DRAFT 2'!$B$3:$B$5000,$C$1,'DRAFT 2'!$Q$3:$Q$5000,A7,'DRAFT 2'!$R$3:$R$5000,"FOLLOW UP 15"))</f>
        <v/>
      </c>
    </row>
    <row r="8" ht="18" customHeight="1" s="108">
      <c r="A8" s="360" t="inlineStr">
        <is>
          <t>FOLLOW UP</t>
        </is>
      </c>
      <c r="B8" s="361">
        <f>SUM(C8:M8)</f>
        <v/>
      </c>
      <c r="C8" s="351">
        <f>IF(OR($C$1="",$C$1="TODOS"),COUNTIFS('DRAFT 2'!$A$3:$A$5000,"&gt;="&amp;$E$1,'DRAFT 2'!$A$3:$A$5000,"&lt;="&amp;$F$1,'DRAFT 2'!$Q$3:$Q$5000,A8,'DRAFT 2'!$R$3:$R$5000,"ORÇAMENTO"),COUNTIFS('DRAFT 2'!$A$3:$A$5000,"&gt;="&amp;$E$1,'DRAFT 2'!$A$3:$A$5000,"&lt;="&amp;$F$1,'DRAFT 2'!$B$3:$B$5000,$C$1,'DRAFT 2'!$Q$3:$Q$5000,A8,'DRAFT 2'!$R$3:$R$5000,"ORÇAMENTO"))</f>
        <v/>
      </c>
      <c r="D8" s="351">
        <f>IF(OR($C$1="",$C$1="TODOS"),COUNTIFS('DRAFT 2'!$A$3:$A$5000,"&gt;="&amp;$E$1,'DRAFT 2'!$A$3:$A$5000,"&lt;="&amp;$F$1,'DRAFT 2'!$Q$3:$Q$5000,A8,'DRAFT 2'!$R$3:$R$5000,"CADASTRO"),COUNTIFS('DRAFT 2'!$A$3:$A$5000,"&gt;="&amp;$E$1,'DRAFT 2'!$A$3:$A$5000,"&lt;="&amp;$F$1,'DRAFT 2'!$B$3:$B$5000,$C$1,'DRAFT 2'!$Q$3:$Q$5000,A8,'DRAFT 2'!$R$3:$R$5000,"CADASTRO"))</f>
        <v/>
      </c>
      <c r="E8" s="351">
        <f>IF(OR($C$1="",$C$1="TODOS"),COUNTIFS('DRAFT 2'!$A$3:$A$5000,"&gt;="&amp;$E$1,'DRAFT 2'!$A$3:$A$5000,"&lt;="&amp;$F$1,'DRAFT 2'!$Q$3:$Q$5000,A8,'DRAFT 2'!$R$3:$R$5000,"RELACIONAMENTO"),COUNTIFS('DRAFT 2'!$A$3:$A$5000,"&gt;="&amp;$E$1,'DRAFT 2'!$A$3:$A$5000,"&lt;="&amp;$F$1,'DRAFT 2'!$B$3:$B$5000,$C$1,'DRAFT 2'!$Q$3:$Q$5000,A8,'DRAFT 2'!$R$3:$R$5000,"RELACIONAMENTO"))</f>
        <v/>
      </c>
      <c r="F8" s="351">
        <f>IF(OR($C$1="",$C$1="TODOS"),COUNTIFS('DRAFT 2'!$A$3:$A$5000,"&gt;="&amp;$E$1,'DRAFT 2'!$A$3:$A$5000,"&lt;="&amp;$F$1,'DRAFT 2'!$Q$3:$Q$5000,A8,'DRAFT 2'!$R$3:$R$5000,"EM ATENDIMENTO"),COUNTIFS('DRAFT 2'!$A$3:$A$5000,"&gt;="&amp;$E$1,'DRAFT 2'!$A$3:$A$5000,"&lt;="&amp;$F$1,'DRAFT 2'!$B$3:$B$5000,$C$1,'DRAFT 2'!$Q$3:$Q$5000,A8,'DRAFT 2'!$R$3:$R$5000,"EM ATENDIMENTO"))</f>
        <v/>
      </c>
      <c r="G8" s="351">
        <f>IF(OR($C$1="",$C$1="TODOS"),COUNTIFS('DRAFT 2'!$A$3:$A$5000,"&gt;="&amp;$E$1,'DRAFT 2'!$A$3:$A$5000,"&lt;="&amp;$F$1,'DRAFT 2'!$Q$3:$Q$5000,A8,'DRAFT 2'!$R$3:$R$5000,"SUPORTE"),COUNTIFS('DRAFT 2'!$A$3:$A$5000,"&gt;="&amp;$E$1,'DRAFT 2'!$A$3:$A$5000,"&lt;="&amp;$F$1,'DRAFT 2'!$B$3:$B$5000,$C$1,'DRAFT 2'!$Q$3:$Q$5000,A8,'DRAFT 2'!$R$3:$R$5000,"SUPORTE"))</f>
        <v/>
      </c>
      <c r="H8" s="351">
        <f>IF(OR($C$1="",$C$1="TODOS"),COUNTIFS('DRAFT 2'!$A$3:$A$5000,"&gt;="&amp;$E$1,'DRAFT 2'!$A$3:$A$5000,"&lt;="&amp;$F$1,'DRAFT 2'!$Q$3:$Q$5000,A8,'DRAFT 2'!$R$3:$R$5000,"VENDA / PEDIDO"),COUNTIFS('DRAFT 2'!$A$3:$A$5000,"&gt;="&amp;$E$1,'DRAFT 2'!$A$3:$A$5000,"&lt;="&amp;$F$1,'DRAFT 2'!$B$3:$B$5000,$C$1,'DRAFT 2'!$Q$3:$Q$5000,A8,'DRAFT 2'!$R$3:$R$5000,"VENDA / PEDIDO"))</f>
        <v/>
      </c>
      <c r="I8" s="351">
        <f>IF(OR($C$1="",$C$1="TODOS"),COUNTIFS('DRAFT 2'!$A$3:$A$5000,"&gt;="&amp;$E$1,'DRAFT 2'!$A$3:$A$5000,"&lt;="&amp;$F$1,'DRAFT 2'!$Q$3:$Q$5000,A8,'DRAFT 2'!$R$3:$R$5000,"NÃO ATENDE"),COUNTIFS('DRAFT 2'!$A$3:$A$5000,"&gt;="&amp;$E$1,'DRAFT 2'!$A$3:$A$5000,"&lt;="&amp;$F$1,'DRAFT 2'!$B$3:$B$5000,$C$1,'DRAFT 2'!$Q$3:$Q$5000,A8,'DRAFT 2'!$R$3:$R$5000,"NÃO ATENDE"))</f>
        <v/>
      </c>
      <c r="J8" s="351">
        <f>IF(OR($C$1="",$C$1="TODOS"),COUNTIFS('DRAFT 2'!$A$3:$A$5000,"&gt;="&amp;$E$1,'DRAFT 2'!$A$3:$A$5000,"&lt;="&amp;$F$1,'DRAFT 2'!$Q$3:$Q$5000,A8,'DRAFT 2'!$R$3:$R$5000,"RECUSOU LIGAÇÃO"),COUNTIFS('DRAFT 2'!$A$3:$A$5000,"&gt;="&amp;$E$1,'DRAFT 2'!$A$3:$A$5000,"&lt;="&amp;$F$1,'DRAFT 2'!$B$3:$B$5000,$C$1,'DRAFT 2'!$Q$3:$Q$5000,A8,'DRAFT 2'!$R$3:$R$5000,"RECUSOU LIGAÇÃO"))</f>
        <v/>
      </c>
      <c r="K8" s="351">
        <f>IF(OR($C$1="",$C$1="TODOS"),COUNTIFS('DRAFT 2'!$A$3:$A$5000,"&gt;="&amp;$E$1,'DRAFT 2'!$A$3:$A$5000,"&lt;="&amp;$F$1,'DRAFT 2'!$Q$3:$Q$5000,A8,'DRAFT 2'!$R$3:$R$5000,"NÃO RESPONDE"),COUNTIFS('DRAFT 2'!$A$3:$A$5000,"&gt;="&amp;$E$1,'DRAFT 2'!$A$3:$A$5000,"&lt;="&amp;$F$1,'DRAFT 2'!$B$3:$B$5000,$C$1,'DRAFT 2'!$Q$3:$Q$5000,A8,'DRAFT 2'!$R$3:$R$5000,"NÃO RESPONDE"))</f>
        <v/>
      </c>
      <c r="L8" s="351">
        <f>IF(OR($C$1="",$C$1="TODOS"),COUNTIFS('DRAFT 2'!$A$3:$A$5000,"&gt;="&amp;$E$1,'DRAFT 2'!$A$3:$A$5000,"&lt;="&amp;$F$1,'DRAFT 2'!$Q$3:$Q$5000,A8,'DRAFT 2'!$R$3:$R$5000,"PERDA / FECHOU LOJA"),COUNTIFS('DRAFT 2'!$A$3:$A$5000,"&gt;="&amp;$E$1,'DRAFT 2'!$A$3:$A$5000,"&lt;="&amp;$F$1,'DRAFT 2'!$B$3:$B$5000,$C$1,'DRAFT 2'!$Q$3:$Q$5000,A8,'DRAFT 2'!$R$3:$R$5000,"PERDA / FECHOU LOJA"))</f>
        <v/>
      </c>
      <c r="M8" s="351">
        <f>IF(OR($C$1="",$C$1="TODOS"),COUNTIFS('DRAFT 2'!$A$3:$A$5000,"&gt;="&amp;$E$1,'DRAFT 2'!$A$3:$A$5000,"&lt;="&amp;$F$1,'DRAFT 2'!$Q$3:$Q$5000,A8,'DRAFT 2'!$R$3:$R$5000,"FOLLOW UP 7"),COUNTIFS('DRAFT 2'!$A$3:$A$5000,"&gt;="&amp;$E$1,'DRAFT 2'!$A$3:$A$5000,"&lt;="&amp;$F$1,'DRAFT 2'!$B$3:$B$5000,$C$1,'DRAFT 2'!$Q$3:$Q$5000,A8,'DRAFT 2'!$R$3:$R$5000,"FOLLOW UP 7"))+IF(OR($C$1="",$C$1="TODOS"),COUNTIFS('DRAFT 2'!$A$3:$A$5000,"&gt;="&amp;$E$1,'DRAFT 2'!$A$3:$A$5000,"&lt;="&amp;$F$1,'DRAFT 2'!$Q$3:$Q$5000,A8,'DRAFT 2'!$R$3:$R$5000,"FOLLOW UP 15"),COUNTIFS('DRAFT 2'!$A$3:$A$5000,"&gt;="&amp;$E$1,'DRAFT 2'!$A$3:$A$5000,"&lt;="&amp;$F$1,'DRAFT 2'!$B$3:$B$5000,$C$1,'DRAFT 2'!$Q$3:$Q$5000,A8,'DRAFT 2'!$R$3:$R$5000,"FOLLOW UP 15"))</f>
        <v/>
      </c>
    </row>
    <row r="9" ht="18" customHeight="1" s="108">
      <c r="A9" s="360" t="inlineStr">
        <is>
          <t>ATEND. CLIENTES ATIVOS</t>
        </is>
      </c>
      <c r="B9" s="361">
        <f>SUM(C9:M9)</f>
        <v/>
      </c>
      <c r="C9" s="351">
        <f>IF(OR($C$1="",$C$1="TODOS"),COUNTIFS('DRAFT 2'!$A$3:$A$5000,"&gt;="&amp;$E$1,'DRAFT 2'!$A$3:$A$5000,"&lt;="&amp;$F$1,'DRAFT 2'!$Q$3:$Q$5000,A9,'DRAFT 2'!$R$3:$R$5000,"ORÇAMENTO"),COUNTIFS('DRAFT 2'!$A$3:$A$5000,"&gt;="&amp;$E$1,'DRAFT 2'!$A$3:$A$5000,"&lt;="&amp;$F$1,'DRAFT 2'!$B$3:$B$5000,$C$1,'DRAFT 2'!$Q$3:$Q$5000,A9,'DRAFT 2'!$R$3:$R$5000,"ORÇAMENTO"))</f>
        <v/>
      </c>
      <c r="D9" s="351">
        <f>IF(OR($C$1="",$C$1="TODOS"),COUNTIFS('DRAFT 2'!$A$3:$A$5000,"&gt;="&amp;$E$1,'DRAFT 2'!$A$3:$A$5000,"&lt;="&amp;$F$1,'DRAFT 2'!$Q$3:$Q$5000,A9,'DRAFT 2'!$R$3:$R$5000,"CADASTRO"),COUNTIFS('DRAFT 2'!$A$3:$A$5000,"&gt;="&amp;$E$1,'DRAFT 2'!$A$3:$A$5000,"&lt;="&amp;$F$1,'DRAFT 2'!$B$3:$B$5000,$C$1,'DRAFT 2'!$Q$3:$Q$5000,A9,'DRAFT 2'!$R$3:$R$5000,"CADASTRO"))</f>
        <v/>
      </c>
      <c r="E9" s="351">
        <f>IF(OR($C$1="",$C$1="TODOS"),COUNTIFS('DRAFT 2'!$A$3:$A$5000,"&gt;="&amp;$E$1,'DRAFT 2'!$A$3:$A$5000,"&lt;="&amp;$F$1,'DRAFT 2'!$Q$3:$Q$5000,A9,'DRAFT 2'!$R$3:$R$5000,"RELACIONAMENTO"),COUNTIFS('DRAFT 2'!$A$3:$A$5000,"&gt;="&amp;$E$1,'DRAFT 2'!$A$3:$A$5000,"&lt;="&amp;$F$1,'DRAFT 2'!$B$3:$B$5000,$C$1,'DRAFT 2'!$Q$3:$Q$5000,A9,'DRAFT 2'!$R$3:$R$5000,"RELACIONAMENTO"))</f>
        <v/>
      </c>
      <c r="F9" s="351">
        <f>IF(OR($C$1="",$C$1="TODOS"),COUNTIFS('DRAFT 2'!$A$3:$A$5000,"&gt;="&amp;$E$1,'DRAFT 2'!$A$3:$A$5000,"&lt;="&amp;$F$1,'DRAFT 2'!$Q$3:$Q$5000,A9,'DRAFT 2'!$R$3:$R$5000,"EM ATENDIMENTO"),COUNTIFS('DRAFT 2'!$A$3:$A$5000,"&gt;="&amp;$E$1,'DRAFT 2'!$A$3:$A$5000,"&lt;="&amp;$F$1,'DRAFT 2'!$B$3:$B$5000,$C$1,'DRAFT 2'!$Q$3:$Q$5000,A9,'DRAFT 2'!$R$3:$R$5000,"EM ATENDIMENTO"))</f>
        <v/>
      </c>
      <c r="G9" s="351">
        <f>IF(OR($C$1="",$C$1="TODOS"),COUNTIFS('DRAFT 2'!$A$3:$A$5000,"&gt;="&amp;$E$1,'DRAFT 2'!$A$3:$A$5000,"&lt;="&amp;$F$1,'DRAFT 2'!$Q$3:$Q$5000,A9,'DRAFT 2'!$R$3:$R$5000,"SUPORTE"),COUNTIFS('DRAFT 2'!$A$3:$A$5000,"&gt;="&amp;$E$1,'DRAFT 2'!$A$3:$A$5000,"&lt;="&amp;$F$1,'DRAFT 2'!$B$3:$B$5000,$C$1,'DRAFT 2'!$Q$3:$Q$5000,A9,'DRAFT 2'!$R$3:$R$5000,"SUPORTE"))</f>
        <v/>
      </c>
      <c r="H9" s="351">
        <f>IF(OR($C$1="",$C$1="TODOS"),COUNTIFS('DRAFT 2'!$A$3:$A$5000,"&gt;="&amp;$E$1,'DRAFT 2'!$A$3:$A$5000,"&lt;="&amp;$F$1,'DRAFT 2'!$Q$3:$Q$5000,A9,'DRAFT 2'!$R$3:$R$5000,"VENDA / PEDIDO"),COUNTIFS('DRAFT 2'!$A$3:$A$5000,"&gt;="&amp;$E$1,'DRAFT 2'!$A$3:$A$5000,"&lt;="&amp;$F$1,'DRAFT 2'!$B$3:$B$5000,$C$1,'DRAFT 2'!$Q$3:$Q$5000,A9,'DRAFT 2'!$R$3:$R$5000,"VENDA / PEDIDO"))</f>
        <v/>
      </c>
      <c r="I9" s="351">
        <f>IF(OR($C$1="",$C$1="TODOS"),COUNTIFS('DRAFT 2'!$A$3:$A$5000,"&gt;="&amp;$E$1,'DRAFT 2'!$A$3:$A$5000,"&lt;="&amp;$F$1,'DRAFT 2'!$Q$3:$Q$5000,A9,'DRAFT 2'!$R$3:$R$5000,"NÃO ATENDE"),COUNTIFS('DRAFT 2'!$A$3:$A$5000,"&gt;="&amp;$E$1,'DRAFT 2'!$A$3:$A$5000,"&lt;="&amp;$F$1,'DRAFT 2'!$B$3:$B$5000,$C$1,'DRAFT 2'!$Q$3:$Q$5000,A9,'DRAFT 2'!$R$3:$R$5000,"NÃO ATENDE"))</f>
        <v/>
      </c>
      <c r="J9" s="351">
        <f>IF(OR($C$1="",$C$1="TODOS"),COUNTIFS('DRAFT 2'!$A$3:$A$5000,"&gt;="&amp;$E$1,'DRAFT 2'!$A$3:$A$5000,"&lt;="&amp;$F$1,'DRAFT 2'!$Q$3:$Q$5000,A9,'DRAFT 2'!$R$3:$R$5000,"RECUSOU LIGAÇÃO"),COUNTIFS('DRAFT 2'!$A$3:$A$5000,"&gt;="&amp;$E$1,'DRAFT 2'!$A$3:$A$5000,"&lt;="&amp;$F$1,'DRAFT 2'!$B$3:$B$5000,$C$1,'DRAFT 2'!$Q$3:$Q$5000,A9,'DRAFT 2'!$R$3:$R$5000,"RECUSOU LIGAÇÃO"))</f>
        <v/>
      </c>
      <c r="K9" s="351">
        <f>IF(OR($C$1="",$C$1="TODOS"),COUNTIFS('DRAFT 2'!$A$3:$A$5000,"&gt;="&amp;$E$1,'DRAFT 2'!$A$3:$A$5000,"&lt;="&amp;$F$1,'DRAFT 2'!$Q$3:$Q$5000,A9,'DRAFT 2'!$R$3:$R$5000,"NÃO RESPONDE"),COUNTIFS('DRAFT 2'!$A$3:$A$5000,"&gt;="&amp;$E$1,'DRAFT 2'!$A$3:$A$5000,"&lt;="&amp;$F$1,'DRAFT 2'!$B$3:$B$5000,$C$1,'DRAFT 2'!$Q$3:$Q$5000,A9,'DRAFT 2'!$R$3:$R$5000,"NÃO RESPONDE"))</f>
        <v/>
      </c>
      <c r="L9" s="351">
        <f>IF(OR($C$1="",$C$1="TODOS"),COUNTIFS('DRAFT 2'!$A$3:$A$5000,"&gt;="&amp;$E$1,'DRAFT 2'!$A$3:$A$5000,"&lt;="&amp;$F$1,'DRAFT 2'!$Q$3:$Q$5000,A9,'DRAFT 2'!$R$3:$R$5000,"PERDA / FECHOU LOJA"),COUNTIFS('DRAFT 2'!$A$3:$A$5000,"&gt;="&amp;$E$1,'DRAFT 2'!$A$3:$A$5000,"&lt;="&amp;$F$1,'DRAFT 2'!$B$3:$B$5000,$C$1,'DRAFT 2'!$Q$3:$Q$5000,A9,'DRAFT 2'!$R$3:$R$5000,"PERDA / FECHOU LOJA"))</f>
        <v/>
      </c>
      <c r="M9" s="351">
        <f>IF(OR($C$1="",$C$1="TODOS"),COUNTIFS('DRAFT 2'!$A$3:$A$5000,"&gt;="&amp;$E$1,'DRAFT 2'!$A$3:$A$5000,"&lt;="&amp;$F$1,'DRAFT 2'!$Q$3:$Q$5000,A9,'DRAFT 2'!$R$3:$R$5000,"FOLLOW UP 7"),COUNTIFS('DRAFT 2'!$A$3:$A$5000,"&gt;="&amp;$E$1,'DRAFT 2'!$A$3:$A$5000,"&lt;="&amp;$F$1,'DRAFT 2'!$B$3:$B$5000,$C$1,'DRAFT 2'!$Q$3:$Q$5000,A9,'DRAFT 2'!$R$3:$R$5000,"FOLLOW UP 7"))+IF(OR($C$1="",$C$1="TODOS"),COUNTIFS('DRAFT 2'!$A$3:$A$5000,"&gt;="&amp;$E$1,'DRAFT 2'!$A$3:$A$5000,"&lt;="&amp;$F$1,'DRAFT 2'!$Q$3:$Q$5000,A9,'DRAFT 2'!$R$3:$R$5000,"FOLLOW UP 15"),COUNTIFS('DRAFT 2'!$A$3:$A$5000,"&gt;="&amp;$E$1,'DRAFT 2'!$A$3:$A$5000,"&lt;="&amp;$F$1,'DRAFT 2'!$B$3:$B$5000,$C$1,'DRAFT 2'!$Q$3:$Q$5000,A9,'DRAFT 2'!$R$3:$R$5000,"FOLLOW UP 15"))</f>
        <v/>
      </c>
    </row>
    <row r="10" ht="18" customHeight="1" s="108">
      <c r="A10" s="360" t="inlineStr">
        <is>
          <t>ATEND. CLIENTES INATIVOS</t>
        </is>
      </c>
      <c r="B10" s="361">
        <f>SUM(C10:M10)</f>
        <v/>
      </c>
      <c r="C10" s="351">
        <f>IF(OR($C$1="",$C$1="TODOS"),COUNTIFS('DRAFT 2'!$A$3:$A$5000,"&gt;="&amp;$E$1,'DRAFT 2'!$A$3:$A$5000,"&lt;="&amp;$F$1,'DRAFT 2'!$Q$3:$Q$5000,A10,'DRAFT 2'!$R$3:$R$5000,"ORÇAMENTO"),COUNTIFS('DRAFT 2'!$A$3:$A$5000,"&gt;="&amp;$E$1,'DRAFT 2'!$A$3:$A$5000,"&lt;="&amp;$F$1,'DRAFT 2'!$B$3:$B$5000,$C$1,'DRAFT 2'!$Q$3:$Q$5000,A10,'DRAFT 2'!$R$3:$R$5000,"ORÇAMENTO"))</f>
        <v/>
      </c>
      <c r="D10" s="351">
        <f>IF(OR($C$1="",$C$1="TODOS"),COUNTIFS('DRAFT 2'!$A$3:$A$5000,"&gt;="&amp;$E$1,'DRAFT 2'!$A$3:$A$5000,"&lt;="&amp;$F$1,'DRAFT 2'!$Q$3:$Q$5000,A10,'DRAFT 2'!$R$3:$R$5000,"CADASTRO"),COUNTIFS('DRAFT 2'!$A$3:$A$5000,"&gt;="&amp;$E$1,'DRAFT 2'!$A$3:$A$5000,"&lt;="&amp;$F$1,'DRAFT 2'!$B$3:$B$5000,$C$1,'DRAFT 2'!$Q$3:$Q$5000,A10,'DRAFT 2'!$R$3:$R$5000,"CADASTRO"))</f>
        <v/>
      </c>
      <c r="E10" s="351">
        <f>IF(OR($C$1="",$C$1="TODOS"),COUNTIFS('DRAFT 2'!$A$3:$A$5000,"&gt;="&amp;$E$1,'DRAFT 2'!$A$3:$A$5000,"&lt;="&amp;$F$1,'DRAFT 2'!$Q$3:$Q$5000,A10,'DRAFT 2'!$R$3:$R$5000,"RELACIONAMENTO"),COUNTIFS('DRAFT 2'!$A$3:$A$5000,"&gt;="&amp;$E$1,'DRAFT 2'!$A$3:$A$5000,"&lt;="&amp;$F$1,'DRAFT 2'!$B$3:$B$5000,$C$1,'DRAFT 2'!$Q$3:$Q$5000,A10,'DRAFT 2'!$R$3:$R$5000,"RELACIONAMENTO"))</f>
        <v/>
      </c>
      <c r="F10" s="351">
        <f>IF(OR($C$1="",$C$1="TODOS"),COUNTIFS('DRAFT 2'!$A$3:$A$5000,"&gt;="&amp;$E$1,'DRAFT 2'!$A$3:$A$5000,"&lt;="&amp;$F$1,'DRAFT 2'!$Q$3:$Q$5000,A10,'DRAFT 2'!$R$3:$R$5000,"EM ATENDIMENTO"),COUNTIFS('DRAFT 2'!$A$3:$A$5000,"&gt;="&amp;$E$1,'DRAFT 2'!$A$3:$A$5000,"&lt;="&amp;$F$1,'DRAFT 2'!$B$3:$B$5000,$C$1,'DRAFT 2'!$Q$3:$Q$5000,A10,'DRAFT 2'!$R$3:$R$5000,"EM ATENDIMENTO"))</f>
        <v/>
      </c>
      <c r="G10" s="351">
        <f>IF(OR($C$1="",$C$1="TODOS"),COUNTIFS('DRAFT 2'!$A$3:$A$5000,"&gt;="&amp;$E$1,'DRAFT 2'!$A$3:$A$5000,"&lt;="&amp;$F$1,'DRAFT 2'!$Q$3:$Q$5000,A10,'DRAFT 2'!$R$3:$R$5000,"SUPORTE"),COUNTIFS('DRAFT 2'!$A$3:$A$5000,"&gt;="&amp;$E$1,'DRAFT 2'!$A$3:$A$5000,"&lt;="&amp;$F$1,'DRAFT 2'!$B$3:$B$5000,$C$1,'DRAFT 2'!$Q$3:$Q$5000,A10,'DRAFT 2'!$R$3:$R$5000,"SUPORTE"))</f>
        <v/>
      </c>
      <c r="H10" s="351">
        <f>IF(OR($C$1="",$C$1="TODOS"),COUNTIFS('DRAFT 2'!$A$3:$A$5000,"&gt;="&amp;$E$1,'DRAFT 2'!$A$3:$A$5000,"&lt;="&amp;$F$1,'DRAFT 2'!$Q$3:$Q$5000,A10,'DRAFT 2'!$R$3:$R$5000,"VENDA / PEDIDO"),COUNTIFS('DRAFT 2'!$A$3:$A$5000,"&gt;="&amp;$E$1,'DRAFT 2'!$A$3:$A$5000,"&lt;="&amp;$F$1,'DRAFT 2'!$B$3:$B$5000,$C$1,'DRAFT 2'!$Q$3:$Q$5000,A10,'DRAFT 2'!$R$3:$R$5000,"VENDA / PEDIDO"))</f>
        <v/>
      </c>
      <c r="I10" s="351">
        <f>IF(OR($C$1="",$C$1="TODOS"),COUNTIFS('DRAFT 2'!$A$3:$A$5000,"&gt;="&amp;$E$1,'DRAFT 2'!$A$3:$A$5000,"&lt;="&amp;$F$1,'DRAFT 2'!$Q$3:$Q$5000,A10,'DRAFT 2'!$R$3:$R$5000,"NÃO ATENDE"),COUNTIFS('DRAFT 2'!$A$3:$A$5000,"&gt;="&amp;$E$1,'DRAFT 2'!$A$3:$A$5000,"&lt;="&amp;$F$1,'DRAFT 2'!$B$3:$B$5000,$C$1,'DRAFT 2'!$Q$3:$Q$5000,A10,'DRAFT 2'!$R$3:$R$5000,"NÃO ATENDE"))</f>
        <v/>
      </c>
      <c r="J10" s="351">
        <f>IF(OR($C$1="",$C$1="TODOS"),COUNTIFS('DRAFT 2'!$A$3:$A$5000,"&gt;="&amp;$E$1,'DRAFT 2'!$A$3:$A$5000,"&lt;="&amp;$F$1,'DRAFT 2'!$Q$3:$Q$5000,A10,'DRAFT 2'!$R$3:$R$5000,"RECUSOU LIGAÇÃO"),COUNTIFS('DRAFT 2'!$A$3:$A$5000,"&gt;="&amp;$E$1,'DRAFT 2'!$A$3:$A$5000,"&lt;="&amp;$F$1,'DRAFT 2'!$B$3:$B$5000,$C$1,'DRAFT 2'!$Q$3:$Q$5000,A10,'DRAFT 2'!$R$3:$R$5000,"RECUSOU LIGAÇÃO"))</f>
        <v/>
      </c>
      <c r="K10" s="351">
        <f>IF(OR($C$1="",$C$1="TODOS"),COUNTIFS('DRAFT 2'!$A$3:$A$5000,"&gt;="&amp;$E$1,'DRAFT 2'!$A$3:$A$5000,"&lt;="&amp;$F$1,'DRAFT 2'!$Q$3:$Q$5000,A10,'DRAFT 2'!$R$3:$R$5000,"NÃO RESPONDE"),COUNTIFS('DRAFT 2'!$A$3:$A$5000,"&gt;="&amp;$E$1,'DRAFT 2'!$A$3:$A$5000,"&lt;="&amp;$F$1,'DRAFT 2'!$B$3:$B$5000,$C$1,'DRAFT 2'!$Q$3:$Q$5000,A10,'DRAFT 2'!$R$3:$R$5000,"NÃO RESPONDE"))</f>
        <v/>
      </c>
      <c r="L10" s="351">
        <f>IF(OR($C$1="",$C$1="TODOS"),COUNTIFS('DRAFT 2'!$A$3:$A$5000,"&gt;="&amp;$E$1,'DRAFT 2'!$A$3:$A$5000,"&lt;="&amp;$F$1,'DRAFT 2'!$Q$3:$Q$5000,A10,'DRAFT 2'!$R$3:$R$5000,"PERDA / FECHOU LOJA"),COUNTIFS('DRAFT 2'!$A$3:$A$5000,"&gt;="&amp;$E$1,'DRAFT 2'!$A$3:$A$5000,"&lt;="&amp;$F$1,'DRAFT 2'!$B$3:$B$5000,$C$1,'DRAFT 2'!$Q$3:$Q$5000,A10,'DRAFT 2'!$R$3:$R$5000,"PERDA / FECHOU LOJA"))</f>
        <v/>
      </c>
      <c r="M10" s="351">
        <f>IF(OR($C$1="",$C$1="TODOS"),COUNTIFS('DRAFT 2'!$A$3:$A$5000,"&gt;="&amp;$E$1,'DRAFT 2'!$A$3:$A$5000,"&lt;="&amp;$F$1,'DRAFT 2'!$Q$3:$Q$5000,A10,'DRAFT 2'!$R$3:$R$5000,"FOLLOW UP 7"),COUNTIFS('DRAFT 2'!$A$3:$A$5000,"&gt;="&amp;$E$1,'DRAFT 2'!$A$3:$A$5000,"&lt;="&amp;$F$1,'DRAFT 2'!$B$3:$B$5000,$C$1,'DRAFT 2'!$Q$3:$Q$5000,A10,'DRAFT 2'!$R$3:$R$5000,"FOLLOW UP 7"))+IF(OR($C$1="",$C$1="TODOS"),COUNTIFS('DRAFT 2'!$A$3:$A$5000,"&gt;="&amp;$E$1,'DRAFT 2'!$A$3:$A$5000,"&lt;="&amp;$F$1,'DRAFT 2'!$Q$3:$Q$5000,A10,'DRAFT 2'!$R$3:$R$5000,"FOLLOW UP 15"),COUNTIFS('DRAFT 2'!$A$3:$A$5000,"&gt;="&amp;$E$1,'DRAFT 2'!$A$3:$A$5000,"&lt;="&amp;$F$1,'DRAFT 2'!$B$3:$B$5000,$C$1,'DRAFT 2'!$Q$3:$Q$5000,A10,'DRAFT 2'!$R$3:$R$5000,"FOLLOW UP 15"))</f>
        <v/>
      </c>
    </row>
    <row r="11" ht="18" customHeight="1" s="108">
      <c r="A11" s="360" t="inlineStr">
        <is>
          <t>PÓS-VENDA / RELACIONAMENTO</t>
        </is>
      </c>
      <c r="B11" s="361">
        <f>SUM(C11:M11)</f>
        <v/>
      </c>
      <c r="C11" s="351">
        <f>IF(OR($C$1="",$C$1="TODOS"),COUNTIFS('DRAFT 2'!$A$3:$A$5000,"&gt;="&amp;$E$1,'DRAFT 2'!$A$3:$A$5000,"&lt;="&amp;$F$1,'DRAFT 2'!$Q$3:$Q$5000,A11,'DRAFT 2'!$R$3:$R$5000,"ORÇAMENTO"),COUNTIFS('DRAFT 2'!$A$3:$A$5000,"&gt;="&amp;$E$1,'DRAFT 2'!$A$3:$A$5000,"&lt;="&amp;$F$1,'DRAFT 2'!$B$3:$B$5000,$C$1,'DRAFT 2'!$Q$3:$Q$5000,A11,'DRAFT 2'!$R$3:$R$5000,"ORÇAMENTO"))</f>
        <v/>
      </c>
      <c r="D11" s="351">
        <f>IF(OR($C$1="",$C$1="TODOS"),COUNTIFS('DRAFT 2'!$A$3:$A$5000,"&gt;="&amp;$E$1,'DRAFT 2'!$A$3:$A$5000,"&lt;="&amp;$F$1,'DRAFT 2'!$Q$3:$Q$5000,A11,'DRAFT 2'!$R$3:$R$5000,"CADASTRO"),COUNTIFS('DRAFT 2'!$A$3:$A$5000,"&gt;="&amp;$E$1,'DRAFT 2'!$A$3:$A$5000,"&lt;="&amp;$F$1,'DRAFT 2'!$B$3:$B$5000,$C$1,'DRAFT 2'!$Q$3:$Q$5000,A11,'DRAFT 2'!$R$3:$R$5000,"CADASTRO"))</f>
        <v/>
      </c>
      <c r="E11" s="351">
        <f>IF(OR($C$1="",$C$1="TODOS"),COUNTIFS('DRAFT 2'!$A$3:$A$5000,"&gt;="&amp;$E$1,'DRAFT 2'!$A$3:$A$5000,"&lt;="&amp;$F$1,'DRAFT 2'!$Q$3:$Q$5000,A11,'DRAFT 2'!$R$3:$R$5000,"RELACIONAMENTO"),COUNTIFS('DRAFT 2'!$A$3:$A$5000,"&gt;="&amp;$E$1,'DRAFT 2'!$A$3:$A$5000,"&lt;="&amp;$F$1,'DRAFT 2'!$B$3:$B$5000,$C$1,'DRAFT 2'!$Q$3:$Q$5000,A11,'DRAFT 2'!$R$3:$R$5000,"RELACIONAMENTO"))</f>
        <v/>
      </c>
      <c r="F11" s="351">
        <f>IF(OR($C$1="",$C$1="TODOS"),COUNTIFS('DRAFT 2'!$A$3:$A$5000,"&gt;="&amp;$E$1,'DRAFT 2'!$A$3:$A$5000,"&lt;="&amp;$F$1,'DRAFT 2'!$Q$3:$Q$5000,A11,'DRAFT 2'!$R$3:$R$5000,"EM ATENDIMENTO"),COUNTIFS('DRAFT 2'!$A$3:$A$5000,"&gt;="&amp;$E$1,'DRAFT 2'!$A$3:$A$5000,"&lt;="&amp;$F$1,'DRAFT 2'!$B$3:$B$5000,$C$1,'DRAFT 2'!$Q$3:$Q$5000,A11,'DRAFT 2'!$R$3:$R$5000,"EM ATENDIMENTO"))</f>
        <v/>
      </c>
      <c r="G11" s="351">
        <f>IF(OR($C$1="",$C$1="TODOS"),COUNTIFS('DRAFT 2'!$A$3:$A$5000,"&gt;="&amp;$E$1,'DRAFT 2'!$A$3:$A$5000,"&lt;="&amp;$F$1,'DRAFT 2'!$Q$3:$Q$5000,A11,'DRAFT 2'!$R$3:$R$5000,"SUPORTE"),COUNTIFS('DRAFT 2'!$A$3:$A$5000,"&gt;="&amp;$E$1,'DRAFT 2'!$A$3:$A$5000,"&lt;="&amp;$F$1,'DRAFT 2'!$B$3:$B$5000,$C$1,'DRAFT 2'!$Q$3:$Q$5000,A11,'DRAFT 2'!$R$3:$R$5000,"SUPORTE"))</f>
        <v/>
      </c>
      <c r="H11" s="351">
        <f>IF(OR($C$1="",$C$1="TODOS"),COUNTIFS('DRAFT 2'!$A$3:$A$5000,"&gt;="&amp;$E$1,'DRAFT 2'!$A$3:$A$5000,"&lt;="&amp;$F$1,'DRAFT 2'!$Q$3:$Q$5000,A11,'DRAFT 2'!$R$3:$R$5000,"VENDA / PEDIDO"),COUNTIFS('DRAFT 2'!$A$3:$A$5000,"&gt;="&amp;$E$1,'DRAFT 2'!$A$3:$A$5000,"&lt;="&amp;$F$1,'DRAFT 2'!$B$3:$B$5000,$C$1,'DRAFT 2'!$Q$3:$Q$5000,A11,'DRAFT 2'!$R$3:$R$5000,"VENDA / PEDIDO"))</f>
        <v/>
      </c>
      <c r="I11" s="351">
        <f>IF(OR($C$1="",$C$1="TODOS"),COUNTIFS('DRAFT 2'!$A$3:$A$5000,"&gt;="&amp;$E$1,'DRAFT 2'!$A$3:$A$5000,"&lt;="&amp;$F$1,'DRAFT 2'!$Q$3:$Q$5000,A11,'DRAFT 2'!$R$3:$R$5000,"NÃO ATENDE"),COUNTIFS('DRAFT 2'!$A$3:$A$5000,"&gt;="&amp;$E$1,'DRAFT 2'!$A$3:$A$5000,"&lt;="&amp;$F$1,'DRAFT 2'!$B$3:$B$5000,$C$1,'DRAFT 2'!$Q$3:$Q$5000,A11,'DRAFT 2'!$R$3:$R$5000,"NÃO ATENDE"))</f>
        <v/>
      </c>
      <c r="J11" s="351">
        <f>IF(OR($C$1="",$C$1="TODOS"),COUNTIFS('DRAFT 2'!$A$3:$A$5000,"&gt;="&amp;$E$1,'DRAFT 2'!$A$3:$A$5000,"&lt;="&amp;$F$1,'DRAFT 2'!$Q$3:$Q$5000,A11,'DRAFT 2'!$R$3:$R$5000,"RECUSOU LIGAÇÃO"),COUNTIFS('DRAFT 2'!$A$3:$A$5000,"&gt;="&amp;$E$1,'DRAFT 2'!$A$3:$A$5000,"&lt;="&amp;$F$1,'DRAFT 2'!$B$3:$B$5000,$C$1,'DRAFT 2'!$Q$3:$Q$5000,A11,'DRAFT 2'!$R$3:$R$5000,"RECUSOU LIGAÇÃO"))</f>
        <v/>
      </c>
      <c r="K11" s="351">
        <f>IF(OR($C$1="",$C$1="TODOS"),COUNTIFS('DRAFT 2'!$A$3:$A$5000,"&gt;="&amp;$E$1,'DRAFT 2'!$A$3:$A$5000,"&lt;="&amp;$F$1,'DRAFT 2'!$Q$3:$Q$5000,A11,'DRAFT 2'!$R$3:$R$5000,"NÃO RESPONDE"),COUNTIFS('DRAFT 2'!$A$3:$A$5000,"&gt;="&amp;$E$1,'DRAFT 2'!$A$3:$A$5000,"&lt;="&amp;$F$1,'DRAFT 2'!$B$3:$B$5000,$C$1,'DRAFT 2'!$Q$3:$Q$5000,A11,'DRAFT 2'!$R$3:$R$5000,"NÃO RESPONDE"))</f>
        <v/>
      </c>
      <c r="L11" s="351">
        <f>IF(OR($C$1="",$C$1="TODOS"),COUNTIFS('DRAFT 2'!$A$3:$A$5000,"&gt;="&amp;$E$1,'DRAFT 2'!$A$3:$A$5000,"&lt;="&amp;$F$1,'DRAFT 2'!$Q$3:$Q$5000,A11,'DRAFT 2'!$R$3:$R$5000,"PERDA / FECHOU LOJA"),COUNTIFS('DRAFT 2'!$A$3:$A$5000,"&gt;="&amp;$E$1,'DRAFT 2'!$A$3:$A$5000,"&lt;="&amp;$F$1,'DRAFT 2'!$B$3:$B$5000,$C$1,'DRAFT 2'!$Q$3:$Q$5000,A11,'DRAFT 2'!$R$3:$R$5000,"PERDA / FECHOU LOJA"))</f>
        <v/>
      </c>
      <c r="M11" s="351">
        <f>IF(OR($C$1="",$C$1="TODOS"),COUNTIFS('DRAFT 2'!$A$3:$A$5000,"&gt;="&amp;$E$1,'DRAFT 2'!$A$3:$A$5000,"&lt;="&amp;$F$1,'DRAFT 2'!$Q$3:$Q$5000,A11,'DRAFT 2'!$R$3:$R$5000,"FOLLOW UP 7"),COUNTIFS('DRAFT 2'!$A$3:$A$5000,"&gt;="&amp;$E$1,'DRAFT 2'!$A$3:$A$5000,"&lt;="&amp;$F$1,'DRAFT 2'!$B$3:$B$5000,$C$1,'DRAFT 2'!$Q$3:$Q$5000,A11,'DRAFT 2'!$R$3:$R$5000,"FOLLOW UP 7"))+IF(OR($C$1="",$C$1="TODOS"),COUNTIFS('DRAFT 2'!$A$3:$A$5000,"&gt;="&amp;$E$1,'DRAFT 2'!$A$3:$A$5000,"&lt;="&amp;$F$1,'DRAFT 2'!$Q$3:$Q$5000,A11,'DRAFT 2'!$R$3:$R$5000,"FOLLOW UP 15"),COUNTIFS('DRAFT 2'!$A$3:$A$5000,"&gt;="&amp;$E$1,'DRAFT 2'!$A$3:$A$5000,"&lt;="&amp;$F$1,'DRAFT 2'!$B$3:$B$5000,$C$1,'DRAFT 2'!$Q$3:$Q$5000,A11,'DRAFT 2'!$R$3:$R$5000,"FOLLOW UP 15"))</f>
        <v/>
      </c>
    </row>
    <row r="12" ht="18" customHeight="1" s="108">
      <c r="A12" s="360" t="inlineStr">
        <is>
          <t>PERDA / NUTRIÇÃO</t>
        </is>
      </c>
      <c r="B12" s="361">
        <f>SUM(C12:M12)</f>
        <v/>
      </c>
      <c r="C12" s="351">
        <f>IF(OR($C$1="",$C$1="TODOS"),COUNTIFS('DRAFT 2'!$A$3:$A$5000,"&gt;="&amp;$E$1,'DRAFT 2'!$A$3:$A$5000,"&lt;="&amp;$F$1,'DRAFT 2'!$Q$3:$Q$5000,A12,'DRAFT 2'!$R$3:$R$5000,"ORÇAMENTO"),COUNTIFS('DRAFT 2'!$A$3:$A$5000,"&gt;="&amp;$E$1,'DRAFT 2'!$A$3:$A$5000,"&lt;="&amp;$F$1,'DRAFT 2'!$B$3:$B$5000,$C$1,'DRAFT 2'!$Q$3:$Q$5000,A12,'DRAFT 2'!$R$3:$R$5000,"ORÇAMENTO"))</f>
        <v/>
      </c>
      <c r="D12" s="351">
        <f>IF(OR($C$1="",$C$1="TODOS"),COUNTIFS('DRAFT 2'!$A$3:$A$5000,"&gt;="&amp;$E$1,'DRAFT 2'!$A$3:$A$5000,"&lt;="&amp;$F$1,'DRAFT 2'!$Q$3:$Q$5000,A12,'DRAFT 2'!$R$3:$R$5000,"CADASTRO"),COUNTIFS('DRAFT 2'!$A$3:$A$5000,"&gt;="&amp;$E$1,'DRAFT 2'!$A$3:$A$5000,"&lt;="&amp;$F$1,'DRAFT 2'!$B$3:$B$5000,$C$1,'DRAFT 2'!$Q$3:$Q$5000,A12,'DRAFT 2'!$R$3:$R$5000,"CADASTRO"))</f>
        <v/>
      </c>
      <c r="E12" s="351">
        <f>IF(OR($C$1="",$C$1="TODOS"),COUNTIFS('DRAFT 2'!$A$3:$A$5000,"&gt;="&amp;$E$1,'DRAFT 2'!$A$3:$A$5000,"&lt;="&amp;$F$1,'DRAFT 2'!$Q$3:$Q$5000,A12,'DRAFT 2'!$R$3:$R$5000,"RELACIONAMENTO"),COUNTIFS('DRAFT 2'!$A$3:$A$5000,"&gt;="&amp;$E$1,'DRAFT 2'!$A$3:$A$5000,"&lt;="&amp;$F$1,'DRAFT 2'!$B$3:$B$5000,$C$1,'DRAFT 2'!$Q$3:$Q$5000,A12,'DRAFT 2'!$R$3:$R$5000,"RELACIONAMENTO"))</f>
        <v/>
      </c>
      <c r="F12" s="351">
        <f>IF(OR($C$1="",$C$1="TODOS"),COUNTIFS('DRAFT 2'!$A$3:$A$5000,"&gt;="&amp;$E$1,'DRAFT 2'!$A$3:$A$5000,"&lt;="&amp;$F$1,'DRAFT 2'!$Q$3:$Q$5000,A12,'DRAFT 2'!$R$3:$R$5000,"EM ATENDIMENTO"),COUNTIFS('DRAFT 2'!$A$3:$A$5000,"&gt;="&amp;$E$1,'DRAFT 2'!$A$3:$A$5000,"&lt;="&amp;$F$1,'DRAFT 2'!$B$3:$B$5000,$C$1,'DRAFT 2'!$Q$3:$Q$5000,A12,'DRAFT 2'!$R$3:$R$5000,"EM ATENDIMENTO"))</f>
        <v/>
      </c>
      <c r="G12" s="351">
        <f>IF(OR($C$1="",$C$1="TODOS"),COUNTIFS('DRAFT 2'!$A$3:$A$5000,"&gt;="&amp;$E$1,'DRAFT 2'!$A$3:$A$5000,"&lt;="&amp;$F$1,'DRAFT 2'!$Q$3:$Q$5000,A12,'DRAFT 2'!$R$3:$R$5000,"SUPORTE"),COUNTIFS('DRAFT 2'!$A$3:$A$5000,"&gt;="&amp;$E$1,'DRAFT 2'!$A$3:$A$5000,"&lt;="&amp;$F$1,'DRAFT 2'!$B$3:$B$5000,$C$1,'DRAFT 2'!$Q$3:$Q$5000,A12,'DRAFT 2'!$R$3:$R$5000,"SUPORTE"))</f>
        <v/>
      </c>
      <c r="H12" s="351">
        <f>IF(OR($C$1="",$C$1="TODOS"),COUNTIFS('DRAFT 2'!$A$3:$A$5000,"&gt;="&amp;$E$1,'DRAFT 2'!$A$3:$A$5000,"&lt;="&amp;$F$1,'DRAFT 2'!$Q$3:$Q$5000,A12,'DRAFT 2'!$R$3:$R$5000,"VENDA / PEDIDO"),COUNTIFS('DRAFT 2'!$A$3:$A$5000,"&gt;="&amp;$E$1,'DRAFT 2'!$A$3:$A$5000,"&lt;="&amp;$F$1,'DRAFT 2'!$B$3:$B$5000,$C$1,'DRAFT 2'!$Q$3:$Q$5000,A12,'DRAFT 2'!$R$3:$R$5000,"VENDA / PEDIDO"))</f>
        <v/>
      </c>
      <c r="I12" s="351">
        <f>IF(OR($C$1="",$C$1="TODOS"),COUNTIFS('DRAFT 2'!$A$3:$A$5000,"&gt;="&amp;$E$1,'DRAFT 2'!$A$3:$A$5000,"&lt;="&amp;$F$1,'DRAFT 2'!$Q$3:$Q$5000,A12,'DRAFT 2'!$R$3:$R$5000,"NÃO ATENDE"),COUNTIFS('DRAFT 2'!$A$3:$A$5000,"&gt;="&amp;$E$1,'DRAFT 2'!$A$3:$A$5000,"&lt;="&amp;$F$1,'DRAFT 2'!$B$3:$B$5000,$C$1,'DRAFT 2'!$Q$3:$Q$5000,A12,'DRAFT 2'!$R$3:$R$5000,"NÃO ATENDE"))</f>
        <v/>
      </c>
      <c r="J12" s="351">
        <f>IF(OR($C$1="",$C$1="TODOS"),COUNTIFS('DRAFT 2'!$A$3:$A$5000,"&gt;="&amp;$E$1,'DRAFT 2'!$A$3:$A$5000,"&lt;="&amp;$F$1,'DRAFT 2'!$Q$3:$Q$5000,A12,'DRAFT 2'!$R$3:$R$5000,"RECUSOU LIGAÇÃO"),COUNTIFS('DRAFT 2'!$A$3:$A$5000,"&gt;="&amp;$E$1,'DRAFT 2'!$A$3:$A$5000,"&lt;="&amp;$F$1,'DRAFT 2'!$B$3:$B$5000,$C$1,'DRAFT 2'!$Q$3:$Q$5000,A12,'DRAFT 2'!$R$3:$R$5000,"RECUSOU LIGAÇÃO"))</f>
        <v/>
      </c>
      <c r="K12" s="351">
        <f>IF(OR($C$1="",$C$1="TODOS"),COUNTIFS('DRAFT 2'!$A$3:$A$5000,"&gt;="&amp;$E$1,'DRAFT 2'!$A$3:$A$5000,"&lt;="&amp;$F$1,'DRAFT 2'!$Q$3:$Q$5000,A12,'DRAFT 2'!$R$3:$R$5000,"NÃO RESPONDE"),COUNTIFS('DRAFT 2'!$A$3:$A$5000,"&gt;="&amp;$E$1,'DRAFT 2'!$A$3:$A$5000,"&lt;="&amp;$F$1,'DRAFT 2'!$B$3:$B$5000,$C$1,'DRAFT 2'!$Q$3:$Q$5000,A12,'DRAFT 2'!$R$3:$R$5000,"NÃO RESPONDE"))</f>
        <v/>
      </c>
      <c r="L12" s="351">
        <f>IF(OR($C$1="",$C$1="TODOS"),COUNTIFS('DRAFT 2'!$A$3:$A$5000,"&gt;="&amp;$E$1,'DRAFT 2'!$A$3:$A$5000,"&lt;="&amp;$F$1,'DRAFT 2'!$Q$3:$Q$5000,A12,'DRAFT 2'!$R$3:$R$5000,"PERDA / FECHOU LOJA"),COUNTIFS('DRAFT 2'!$A$3:$A$5000,"&gt;="&amp;$E$1,'DRAFT 2'!$A$3:$A$5000,"&lt;="&amp;$F$1,'DRAFT 2'!$B$3:$B$5000,$C$1,'DRAFT 2'!$Q$3:$Q$5000,A12,'DRAFT 2'!$R$3:$R$5000,"PERDA / FECHOU LOJA"))</f>
        <v/>
      </c>
      <c r="M12" s="351">
        <f>IF(OR($C$1="",$C$1="TODOS"),COUNTIFS('DRAFT 2'!$A$3:$A$5000,"&gt;="&amp;$E$1,'DRAFT 2'!$A$3:$A$5000,"&lt;="&amp;$F$1,'DRAFT 2'!$Q$3:$Q$5000,A12,'DRAFT 2'!$R$3:$R$5000,"FOLLOW UP 7"),COUNTIFS('DRAFT 2'!$A$3:$A$5000,"&gt;="&amp;$E$1,'DRAFT 2'!$A$3:$A$5000,"&lt;="&amp;$F$1,'DRAFT 2'!$B$3:$B$5000,$C$1,'DRAFT 2'!$Q$3:$Q$5000,A12,'DRAFT 2'!$R$3:$R$5000,"FOLLOW UP 7"))+IF(OR($C$1="",$C$1="TODOS"),COUNTIFS('DRAFT 2'!$A$3:$A$5000,"&gt;="&amp;$E$1,'DRAFT 2'!$A$3:$A$5000,"&lt;="&amp;$F$1,'DRAFT 2'!$Q$3:$Q$5000,A12,'DRAFT 2'!$R$3:$R$5000,"FOLLOW UP 15"),COUNTIFS('DRAFT 2'!$A$3:$A$5000,"&gt;="&amp;$E$1,'DRAFT 2'!$A$3:$A$5000,"&lt;="&amp;$F$1,'DRAFT 2'!$B$3:$B$5000,$C$1,'DRAFT 2'!$Q$3:$Q$5000,A12,'DRAFT 2'!$R$3:$R$5000,"FOLLOW UP 15"))</f>
        <v/>
      </c>
    </row>
    <row r="13" ht="15" customHeight="1" s="108">
      <c r="A13" s="356" t="inlineStr">
        <is>
          <t>TOTAL</t>
        </is>
      </c>
      <c r="B13" s="357">
        <f>SUM(B6:B12)</f>
        <v/>
      </c>
      <c r="C13" s="357">
        <f>SUM(C6:C12)</f>
        <v/>
      </c>
      <c r="D13" s="357">
        <f>SUM(D6:D12)</f>
        <v/>
      </c>
      <c r="E13" s="357">
        <f>SUM(E6:E12)</f>
        <v/>
      </c>
      <c r="F13" s="357">
        <f>SUM(F6:F12)</f>
        <v/>
      </c>
      <c r="G13" s="357">
        <f>SUM(G6:G12)</f>
        <v/>
      </c>
      <c r="H13" s="357">
        <f>SUM(H6:H12)</f>
        <v/>
      </c>
      <c r="I13" s="357">
        <f>SUM(I6:I12)</f>
        <v/>
      </c>
      <c r="J13" s="357">
        <f>SUM(J6:J12)</f>
        <v/>
      </c>
      <c r="K13" s="357">
        <f>SUM(K6:K12)</f>
        <v/>
      </c>
      <c r="L13" s="357">
        <f>SUM(L6:L12)</f>
        <v/>
      </c>
      <c r="M13" s="357">
        <f>SUM(M6:M12)</f>
        <v/>
      </c>
    </row>
    <row r="14" ht="18" customHeight="1" s="108"/>
    <row r="15" ht="18" customHeight="1" s="108"/>
    <row r="16" ht="18" customHeight="1" s="108"/>
    <row r="17" ht="18" customHeight="1" s="108"/>
    <row r="18" ht="18" customHeight="1" s="108">
      <c r="A18" s="354" t="inlineStr">
        <is>
          <t>CONTATOS REALIZADOS + FUNIL DE VENDA</t>
        </is>
      </c>
      <c r="B18" s="355" t="n"/>
      <c r="C18" s="355" t="n"/>
      <c r="D18" s="355" t="n"/>
      <c r="E18" s="355" t="n"/>
      <c r="F18" s="355" t="n"/>
      <c r="G18" s="355" t="n"/>
      <c r="H18" s="355" t="n"/>
      <c r="I18" s="355" t="n"/>
      <c r="J18" s="355" t="n"/>
      <c r="K18" s="355" t="n"/>
      <c r="L18" s="355" t="n"/>
      <c r="M18" s="355" t="n"/>
      <c r="N18" s="355" t="n"/>
      <c r="O18" s="355" t="n"/>
      <c r="P18" s="355" t="n"/>
      <c r="Q18" s="355" t="n"/>
    </row>
    <row r="19" ht="18" customHeight="1" s="108">
      <c r="A19" s="362" t="n"/>
      <c r="B19" s="362" t="n"/>
      <c r="C19" s="363" t="inlineStr">
        <is>
          <t>CONTATOS REALIZADOS</t>
        </is>
      </c>
      <c r="D19" s="362" t="n"/>
      <c r="E19" s="362" t="n"/>
      <c r="F19" s="362" t="n"/>
      <c r="G19" s="364" t="n"/>
      <c r="H19" s="363" t="inlineStr">
        <is>
          <t>FUNIL DE VENDA</t>
        </is>
      </c>
      <c r="I19" s="362" t="n"/>
      <c r="J19" s="362" t="n"/>
      <c r="K19" s="362" t="n"/>
      <c r="L19" s="364" t="n"/>
      <c r="M19" s="363" t="inlineStr">
        <is>
          <t>RELACIONAMENTO</t>
        </is>
      </c>
      <c r="N19" s="362" t="n"/>
      <c r="O19" s="364" t="n"/>
      <c r="P19" s="363" t="inlineStr">
        <is>
          <t>NÃO VENDA</t>
        </is>
      </c>
      <c r="Q19" s="362" t="n"/>
    </row>
    <row r="20" ht="15" customHeight="1" s="108">
      <c r="A20" s="365" t="inlineStr">
        <is>
          <t>TIPO DO CONTATO</t>
        </is>
      </c>
      <c r="B20" s="366" t="inlineStr">
        <is>
          <t>TOTAL</t>
        </is>
      </c>
      <c r="C20" s="366" t="inlineStr">
        <is>
          <t>WHATSAPP</t>
        </is>
      </c>
      <c r="D20" s="366" t="inlineStr">
        <is>
          <t>LIGAÇÕES</t>
        </is>
      </c>
      <c r="E20" s="366" t="inlineStr">
        <is>
          <t>LIG. ATENDIDAS</t>
        </is>
      </c>
      <c r="F20" s="366" t="inlineStr">
        <is>
          <t>LIG. Ñ ATEND.</t>
        </is>
      </c>
      <c r="G20" s="364" t="n"/>
      <c r="H20" s="366" t="inlineStr">
        <is>
          <t>EM ATEND.</t>
        </is>
      </c>
      <c r="I20" s="366" t="inlineStr">
        <is>
          <t>ORÇAMENTO</t>
        </is>
      </c>
      <c r="J20" s="366" t="inlineStr">
        <is>
          <t>CADASTRO</t>
        </is>
      </c>
      <c r="K20" s="366" t="inlineStr">
        <is>
          <t>VENDA</t>
        </is>
      </c>
      <c r="L20" s="364" t="n"/>
      <c r="M20" s="366" t="inlineStr">
        <is>
          <t>FOLLOW UP</t>
        </is>
      </c>
      <c r="N20" s="366" t="inlineStr">
        <is>
          <t>SUPORTE</t>
        </is>
      </c>
      <c r="O20" s="364" t="n"/>
      <c r="P20" s="366" t="inlineStr">
        <is>
          <t>INATIVO</t>
        </is>
      </c>
      <c r="Q20" s="366" t="inlineStr">
        <is>
          <t>PERDA</t>
        </is>
      </c>
    </row>
    <row r="21" ht="18" customHeight="1" s="108">
      <c r="A21" s="360" t="inlineStr">
        <is>
          <t>PROSPECÇÃO</t>
        </is>
      </c>
      <c r="B21" s="361">
        <f>IF(OR($C$1="",$C$1="TODOS"),COUNTIFS('DRAFT 2'!$A$3:$A$5000,"&gt;="&amp;$E$1,'DRAFT 2'!$A$3:$A$5000,"&lt;="&amp;$F$1,'DRAFT 2'!$Q$3:$Q$5000,A21),COUNTIFS('DRAFT 2'!$A$3:$A$5000,"&gt;="&amp;$E$1,'DRAFT 2'!$A$3:$A$5000,"&lt;="&amp;$F$1,'DRAFT 2'!$B$3:$B$5000,$C$1,'DRAFT 2'!$Q$3:$Q$5000,A21))</f>
        <v/>
      </c>
      <c r="C21" s="351">
        <f>IF(OR($C$1="",$C$1="TODOS"),COUNTIFS('DRAFT 2'!$A$3:$A$5000,"&gt;="&amp;$E$1,'DRAFT 2'!$A$3:$A$5000,"&lt;="&amp;$F$1,'DRAFT 2'!$Q$3:$Q$5000,A21,'DRAFT 2'!$N$3:$N$5000,"SIM"),COUNTIFS('DRAFT 2'!$A$3:$A$5000,"&gt;="&amp;$E$1,'DRAFT 2'!$A$3:$A$5000,"&lt;="&amp;$F$1,'DRAFT 2'!$B$3:$B$5000,$C$1,'DRAFT 2'!$Q$3:$Q$5000,A21,'DRAFT 2'!$N$3:$N$5000,"SIM"))</f>
        <v/>
      </c>
      <c r="D21" s="351">
        <f>IF(OR($C$1="",$C$1="TODOS"),COUNTIFS('DRAFT 2'!$A$3:$A$5000,"&gt;="&amp;$E$1,'DRAFT 2'!$A$3:$A$5000,"&lt;="&amp;$F$1,'DRAFT 2'!$Q$3:$Q$5000,A21,'DRAFT 2'!$O$3:$O$5000,"SIM"),COUNTIFS('DRAFT 2'!$A$3:$A$5000,"&gt;="&amp;$E$1,'DRAFT 2'!$A$3:$A$5000,"&lt;="&amp;$F$1,'DRAFT 2'!$B$3:$B$5000,$C$1,'DRAFT 2'!$Q$3:$Q$5000,A21,'DRAFT 2'!$O$3:$O$5000,"SIM"))</f>
        <v/>
      </c>
      <c r="E21" s="351">
        <f>IF(OR($C$1="",$C$1="TODOS"),COUNTIFS('DRAFT 2'!$A$3:$A$5000,"&gt;="&amp;$E$1,'DRAFT 2'!$A$3:$A$5000,"&lt;="&amp;$F$1,'DRAFT 2'!$Q$3:$Q$5000,A21,'DRAFT 2'!$P$3:$P$5000,"SIM"),COUNTIFS('DRAFT 2'!$A$3:$A$5000,"&gt;="&amp;$E$1,'DRAFT 2'!$A$3:$A$5000,"&lt;="&amp;$F$1,'DRAFT 2'!$B$3:$B$5000,$C$1,'DRAFT 2'!$Q$3:$Q$5000,A21,'DRAFT 2'!$P$3:$P$5000,"SIM"))</f>
        <v/>
      </c>
      <c r="F21" s="351">
        <f>D21-E21</f>
        <v/>
      </c>
      <c r="G21" s="364" t="n"/>
      <c r="H21" s="351">
        <f>IF(OR($C$1="",$C$1="TODOS"),COUNTIFS('DRAFT 2'!$A$3:$A$5000,"&gt;="&amp;$E$1,'DRAFT 2'!$A$3:$A$5000,"&lt;="&amp;$F$1,'DRAFT 2'!$Q$3:$Q$5000,A21,'DRAFT 2'!$R$3:$R$5000,"EM ATENDIMENTO"),COUNTIFS('DRAFT 2'!$A$3:$A$5000,"&gt;="&amp;$E$1,'DRAFT 2'!$A$3:$A$5000,"&lt;="&amp;$F$1,'DRAFT 2'!$B$3:$B$5000,$C$1,'DRAFT 2'!$Q$3:$Q$5000,A21,'DRAFT 2'!$R$3:$R$5000,"EM ATENDIMENTO"))</f>
        <v/>
      </c>
      <c r="I21" s="351">
        <f>IF(OR($C$1="",$C$1="TODOS"),COUNTIFS('DRAFT 2'!$A$3:$A$5000,"&gt;="&amp;$E$1,'DRAFT 2'!$A$3:$A$5000,"&lt;="&amp;$F$1,'DRAFT 2'!$Q$3:$Q$5000,A21,'DRAFT 2'!$R$3:$R$5000,"ORÇAMENTO"),COUNTIFS('DRAFT 2'!$A$3:$A$5000,"&gt;="&amp;$E$1,'DRAFT 2'!$A$3:$A$5000,"&lt;="&amp;$F$1,'DRAFT 2'!$B$3:$B$5000,$C$1,'DRAFT 2'!$Q$3:$Q$5000,A21,'DRAFT 2'!$R$3:$R$5000,"ORÇAMENTO"))</f>
        <v/>
      </c>
      <c r="J21" s="351">
        <f>IF(OR($C$1="",$C$1="TODOS"),COUNTIFS('DRAFT 2'!$A$3:$A$5000,"&gt;="&amp;$E$1,'DRAFT 2'!$A$3:$A$5000,"&lt;="&amp;$F$1,'DRAFT 2'!$Q$3:$Q$5000,A21,'DRAFT 2'!$R$3:$R$5000,"CADASTRO"),COUNTIFS('DRAFT 2'!$A$3:$A$5000,"&gt;="&amp;$E$1,'DRAFT 2'!$A$3:$A$5000,"&lt;="&amp;$F$1,'DRAFT 2'!$B$3:$B$5000,$C$1,'DRAFT 2'!$Q$3:$Q$5000,A21,'DRAFT 2'!$R$3:$R$5000,"CADASTRO"))</f>
        <v/>
      </c>
      <c r="K21" s="351">
        <f>IF(OR($C$1="",$C$1="TODOS"),COUNTIFS('DRAFT 2'!$A$3:$A$5000,"&gt;="&amp;$E$1,'DRAFT 2'!$A$3:$A$5000,"&lt;="&amp;$F$1,'DRAFT 2'!$Q$3:$Q$5000,A21,'DRAFT 2'!$R$3:$R$5000,"VENDA / PEDIDO"),COUNTIFS('DRAFT 2'!$A$3:$A$5000,"&gt;="&amp;$E$1,'DRAFT 2'!$A$3:$A$5000,"&lt;="&amp;$F$1,'DRAFT 2'!$B$3:$B$5000,$C$1,'DRAFT 2'!$Q$3:$Q$5000,A21,'DRAFT 2'!$R$3:$R$5000,"VENDA / PEDIDO"))</f>
        <v/>
      </c>
      <c r="L21" s="364" t="n"/>
      <c r="M21" s="351">
        <f>IF(OR($C$1="",$C$1="TODOS"),COUNTIFS('DRAFT 2'!$A$3:$A$5000,"&gt;="&amp;$E$1,'DRAFT 2'!$A$3:$A$5000,"&lt;="&amp;$F$1,'DRAFT 2'!$Q$3:$Q$5000,A21,'DRAFT 2'!$R$3:$R$5000,"FOLLOW UP 7"),COUNTIFS('DRAFT 2'!$A$3:$A$5000,"&gt;="&amp;$E$1,'DRAFT 2'!$A$3:$A$5000,"&lt;="&amp;$F$1,'DRAFT 2'!$B$3:$B$5000,$C$1,'DRAFT 2'!$Q$3:$Q$5000,A21,'DRAFT 2'!$R$3:$R$5000,"FOLLOW UP 7"))+IF(OR($C$1="",$C$1="TODOS"),COUNTIFS('DRAFT 2'!$A$3:$A$5000,"&gt;="&amp;$E$1,'DRAFT 2'!$A$3:$A$5000,"&lt;="&amp;$F$1,'DRAFT 2'!$Q$3:$Q$5000,A21,'DRAFT 2'!$R$3:$R$5000,"FOLLOW UP 15"),COUNTIFS('DRAFT 2'!$A$3:$A$5000,"&gt;="&amp;$E$1,'DRAFT 2'!$A$3:$A$5000,"&lt;="&amp;$F$1,'DRAFT 2'!$B$3:$B$5000,$C$1,'DRAFT 2'!$Q$3:$Q$5000,A21,'DRAFT 2'!$R$3:$R$5000,"FOLLOW UP 15"))+IF(OR($C$1="",$C$1="TODOS"),COUNTIFS('DRAFT 2'!$A$3:$A$5000,"&gt;="&amp;$E$1,'DRAFT 2'!$A$3:$A$5000,"&lt;="&amp;$F$1,'DRAFT 2'!$Q$3:$Q$5000,A21,'DRAFT 2'!$R$3:$R$5000,"RELACIONAMENTO"),COUNTIFS('DRAFT 2'!$A$3:$A$5000,"&gt;="&amp;$E$1,'DRAFT 2'!$A$3:$A$5000,"&lt;="&amp;$F$1,'DRAFT 2'!$B$3:$B$5000,$C$1,'DRAFT 2'!$Q$3:$Q$5000,A21,'DRAFT 2'!$R$3:$R$5000,"RELACIONAMENTO"))</f>
        <v/>
      </c>
      <c r="N21" s="351">
        <f>IF(OR($C$1="",$C$1="TODOS"),COUNTIFS('DRAFT 2'!$A$3:$A$5000,"&gt;="&amp;$E$1,'DRAFT 2'!$A$3:$A$5000,"&lt;="&amp;$F$1,'DRAFT 2'!$Q$3:$Q$5000,A21,'DRAFT 2'!$R$3:$R$5000,"SUPORTE"),COUNTIFS('DRAFT 2'!$A$3:$A$5000,"&gt;="&amp;$E$1,'DRAFT 2'!$A$3:$A$5000,"&lt;="&amp;$F$1,'DRAFT 2'!$B$3:$B$5000,$C$1,'DRAFT 2'!$Q$3:$Q$5000,A21,'DRAFT 2'!$R$3:$R$5000,"SUPORTE"))</f>
        <v/>
      </c>
      <c r="O21" s="364" t="n"/>
      <c r="P21" s="351">
        <f>IF(OR($C$1="",$C$1="TODOS"),COUNTIFS('DRAFT 2'!$A$3:$A$5000,"&gt;="&amp;$E$1,'DRAFT 2'!$A$3:$A$5000,"&lt;="&amp;$F$1,'DRAFT 2'!$Q$3:$Q$5000,A21,'DRAFT 2'!$R$3:$R$5000,"NÃO ATENDE"),COUNTIFS('DRAFT 2'!$A$3:$A$5000,"&gt;="&amp;$E$1,'DRAFT 2'!$A$3:$A$5000,"&lt;="&amp;$F$1,'DRAFT 2'!$B$3:$B$5000,$C$1,'DRAFT 2'!$Q$3:$Q$5000,A21,'DRAFT 2'!$R$3:$R$5000,"NÃO ATENDE"))+IF(OR($C$1="",$C$1="TODOS"),COUNTIFS('DRAFT 2'!$A$3:$A$5000,"&gt;="&amp;$E$1,'DRAFT 2'!$A$3:$A$5000,"&lt;="&amp;$F$1,'DRAFT 2'!$Q$3:$Q$5000,A21,'DRAFT 2'!$R$3:$R$5000,"NÃO RESPONDE"),COUNTIFS('DRAFT 2'!$A$3:$A$5000,"&gt;="&amp;$E$1,'DRAFT 2'!$A$3:$A$5000,"&lt;="&amp;$F$1,'DRAFT 2'!$B$3:$B$5000,$C$1,'DRAFT 2'!$Q$3:$Q$5000,A21,'DRAFT 2'!$R$3:$R$5000,"NÃO RESPONDE"))+IF(OR($C$1="",$C$1="TODOS"),COUNTIFS('DRAFT 2'!$A$3:$A$5000,"&gt;="&amp;$E$1,'DRAFT 2'!$A$3:$A$5000,"&lt;="&amp;$F$1,'DRAFT 2'!$Q$3:$Q$5000,A21,'DRAFT 2'!$R$3:$R$5000,"RECUSOU LIGAÇÃO"),COUNTIFS('DRAFT 2'!$A$3:$A$5000,"&gt;="&amp;$E$1,'DRAFT 2'!$A$3:$A$5000,"&lt;="&amp;$F$1,'DRAFT 2'!$B$3:$B$5000,$C$1,'DRAFT 2'!$Q$3:$Q$5000,A21,'DRAFT 2'!$R$3:$R$5000,"RECUSOU LIGAÇÃO"))</f>
        <v/>
      </c>
      <c r="Q21" s="351">
        <f>IF(OR($C$1="",$C$1="TODOS"),COUNTIFS('DRAFT 2'!$A$3:$A$5000,"&gt;="&amp;$E$1,'DRAFT 2'!$A$3:$A$5000,"&lt;="&amp;$F$1,'DRAFT 2'!$Q$3:$Q$5000,A21,'DRAFT 2'!$R$3:$R$5000,"PERDA / FECHOU LOJA"),COUNTIFS('DRAFT 2'!$A$3:$A$5000,"&gt;="&amp;$E$1,'DRAFT 2'!$A$3:$A$5000,"&lt;="&amp;$F$1,'DRAFT 2'!$B$3:$B$5000,$C$1,'DRAFT 2'!$Q$3:$Q$5000,A21,'DRAFT 2'!$R$3:$R$5000,"PERDA / FECHOU LOJA"))</f>
        <v/>
      </c>
    </row>
    <row r="22" ht="18" customHeight="1" s="108">
      <c r="A22" s="360" t="inlineStr">
        <is>
          <t>NEGOCIAÇÃO</t>
        </is>
      </c>
      <c r="B22" s="361">
        <f>IF(OR($C$1="",$C$1="TODOS"),COUNTIFS('DRAFT 2'!$A$3:$A$5000,"&gt;="&amp;$E$1,'DRAFT 2'!$A$3:$A$5000,"&lt;="&amp;$F$1,'DRAFT 2'!$Q$3:$Q$5000,A22),COUNTIFS('DRAFT 2'!$A$3:$A$5000,"&gt;="&amp;$E$1,'DRAFT 2'!$A$3:$A$5000,"&lt;="&amp;$F$1,'DRAFT 2'!$B$3:$B$5000,$C$1,'DRAFT 2'!$Q$3:$Q$5000,A22))</f>
        <v/>
      </c>
      <c r="C22" s="351">
        <f>IF(OR($C$1="",$C$1="TODOS"),COUNTIFS('DRAFT 2'!$A$3:$A$5000,"&gt;="&amp;$E$1,'DRAFT 2'!$A$3:$A$5000,"&lt;="&amp;$F$1,'DRAFT 2'!$Q$3:$Q$5000,A22,'DRAFT 2'!$N$3:$N$5000,"SIM"),COUNTIFS('DRAFT 2'!$A$3:$A$5000,"&gt;="&amp;$E$1,'DRAFT 2'!$A$3:$A$5000,"&lt;="&amp;$F$1,'DRAFT 2'!$B$3:$B$5000,$C$1,'DRAFT 2'!$Q$3:$Q$5000,A22,'DRAFT 2'!$N$3:$N$5000,"SIM"))</f>
        <v/>
      </c>
      <c r="D22" s="351">
        <f>IF(OR($C$1="",$C$1="TODOS"),COUNTIFS('DRAFT 2'!$A$3:$A$5000,"&gt;="&amp;$E$1,'DRAFT 2'!$A$3:$A$5000,"&lt;="&amp;$F$1,'DRAFT 2'!$Q$3:$Q$5000,A22,'DRAFT 2'!$O$3:$O$5000,"SIM"),COUNTIFS('DRAFT 2'!$A$3:$A$5000,"&gt;="&amp;$E$1,'DRAFT 2'!$A$3:$A$5000,"&lt;="&amp;$F$1,'DRAFT 2'!$B$3:$B$5000,$C$1,'DRAFT 2'!$Q$3:$Q$5000,A22,'DRAFT 2'!$O$3:$O$5000,"SIM"))</f>
        <v/>
      </c>
      <c r="E22" s="351">
        <f>IF(OR($C$1="",$C$1="TODOS"),COUNTIFS('DRAFT 2'!$A$3:$A$5000,"&gt;="&amp;$E$1,'DRAFT 2'!$A$3:$A$5000,"&lt;="&amp;$F$1,'DRAFT 2'!$Q$3:$Q$5000,A22,'DRAFT 2'!$P$3:$P$5000,"SIM"),COUNTIFS('DRAFT 2'!$A$3:$A$5000,"&gt;="&amp;$E$1,'DRAFT 2'!$A$3:$A$5000,"&lt;="&amp;$F$1,'DRAFT 2'!$B$3:$B$5000,$C$1,'DRAFT 2'!$Q$3:$Q$5000,A22,'DRAFT 2'!$P$3:$P$5000,"SIM"))</f>
        <v/>
      </c>
      <c r="F22" s="351">
        <f>D22-E22</f>
        <v/>
      </c>
      <c r="G22" s="364" t="n"/>
      <c r="H22" s="351">
        <f>IF(OR($C$1="",$C$1="TODOS"),COUNTIFS('DRAFT 2'!$A$3:$A$5000,"&gt;="&amp;$E$1,'DRAFT 2'!$A$3:$A$5000,"&lt;="&amp;$F$1,'DRAFT 2'!$Q$3:$Q$5000,A22,'DRAFT 2'!$R$3:$R$5000,"EM ATENDIMENTO"),COUNTIFS('DRAFT 2'!$A$3:$A$5000,"&gt;="&amp;$E$1,'DRAFT 2'!$A$3:$A$5000,"&lt;="&amp;$F$1,'DRAFT 2'!$B$3:$B$5000,$C$1,'DRAFT 2'!$Q$3:$Q$5000,A22,'DRAFT 2'!$R$3:$R$5000,"EM ATENDIMENTO"))</f>
        <v/>
      </c>
      <c r="I22" s="351">
        <f>IF(OR($C$1="",$C$1="TODOS"),COUNTIFS('DRAFT 2'!$A$3:$A$5000,"&gt;="&amp;$E$1,'DRAFT 2'!$A$3:$A$5000,"&lt;="&amp;$F$1,'DRAFT 2'!$Q$3:$Q$5000,A22,'DRAFT 2'!$R$3:$R$5000,"ORÇAMENTO"),COUNTIFS('DRAFT 2'!$A$3:$A$5000,"&gt;="&amp;$E$1,'DRAFT 2'!$A$3:$A$5000,"&lt;="&amp;$F$1,'DRAFT 2'!$B$3:$B$5000,$C$1,'DRAFT 2'!$Q$3:$Q$5000,A22,'DRAFT 2'!$R$3:$R$5000,"ORÇAMENTO"))</f>
        <v/>
      </c>
      <c r="J22" s="351">
        <f>IF(OR($C$1="",$C$1="TODOS"),COUNTIFS('DRAFT 2'!$A$3:$A$5000,"&gt;="&amp;$E$1,'DRAFT 2'!$A$3:$A$5000,"&lt;="&amp;$F$1,'DRAFT 2'!$Q$3:$Q$5000,A22,'DRAFT 2'!$R$3:$R$5000,"CADASTRO"),COUNTIFS('DRAFT 2'!$A$3:$A$5000,"&gt;="&amp;$E$1,'DRAFT 2'!$A$3:$A$5000,"&lt;="&amp;$F$1,'DRAFT 2'!$B$3:$B$5000,$C$1,'DRAFT 2'!$Q$3:$Q$5000,A22,'DRAFT 2'!$R$3:$R$5000,"CADASTRO"))</f>
        <v/>
      </c>
      <c r="K22" s="351">
        <f>IF(OR($C$1="",$C$1="TODOS"),COUNTIFS('DRAFT 2'!$A$3:$A$5000,"&gt;="&amp;$E$1,'DRAFT 2'!$A$3:$A$5000,"&lt;="&amp;$F$1,'DRAFT 2'!$Q$3:$Q$5000,A22,'DRAFT 2'!$R$3:$R$5000,"VENDA / PEDIDO"),COUNTIFS('DRAFT 2'!$A$3:$A$5000,"&gt;="&amp;$E$1,'DRAFT 2'!$A$3:$A$5000,"&lt;="&amp;$F$1,'DRAFT 2'!$B$3:$B$5000,$C$1,'DRAFT 2'!$Q$3:$Q$5000,A22,'DRAFT 2'!$R$3:$R$5000,"VENDA / PEDIDO"))</f>
        <v/>
      </c>
      <c r="L22" s="364" t="n"/>
      <c r="M22" s="351">
        <f>IF(OR($C$1="",$C$1="TODOS"),COUNTIFS('DRAFT 2'!$A$3:$A$5000,"&gt;="&amp;$E$1,'DRAFT 2'!$A$3:$A$5000,"&lt;="&amp;$F$1,'DRAFT 2'!$Q$3:$Q$5000,A22,'DRAFT 2'!$R$3:$R$5000,"FOLLOW UP 7"),COUNTIFS('DRAFT 2'!$A$3:$A$5000,"&gt;="&amp;$E$1,'DRAFT 2'!$A$3:$A$5000,"&lt;="&amp;$F$1,'DRAFT 2'!$B$3:$B$5000,$C$1,'DRAFT 2'!$Q$3:$Q$5000,A22,'DRAFT 2'!$R$3:$R$5000,"FOLLOW UP 7"))+IF(OR($C$1="",$C$1="TODOS"),COUNTIFS('DRAFT 2'!$A$3:$A$5000,"&gt;="&amp;$E$1,'DRAFT 2'!$A$3:$A$5000,"&lt;="&amp;$F$1,'DRAFT 2'!$Q$3:$Q$5000,A22,'DRAFT 2'!$R$3:$R$5000,"FOLLOW UP 15"),COUNTIFS('DRAFT 2'!$A$3:$A$5000,"&gt;="&amp;$E$1,'DRAFT 2'!$A$3:$A$5000,"&lt;="&amp;$F$1,'DRAFT 2'!$B$3:$B$5000,$C$1,'DRAFT 2'!$Q$3:$Q$5000,A22,'DRAFT 2'!$R$3:$R$5000,"FOLLOW UP 15"))+IF(OR($C$1="",$C$1="TODOS"),COUNTIFS('DRAFT 2'!$A$3:$A$5000,"&gt;="&amp;$E$1,'DRAFT 2'!$A$3:$A$5000,"&lt;="&amp;$F$1,'DRAFT 2'!$Q$3:$Q$5000,A22,'DRAFT 2'!$R$3:$R$5000,"RELACIONAMENTO"),COUNTIFS('DRAFT 2'!$A$3:$A$5000,"&gt;="&amp;$E$1,'DRAFT 2'!$A$3:$A$5000,"&lt;="&amp;$F$1,'DRAFT 2'!$B$3:$B$5000,$C$1,'DRAFT 2'!$Q$3:$Q$5000,A22,'DRAFT 2'!$R$3:$R$5000,"RELACIONAMENTO"))</f>
        <v/>
      </c>
      <c r="N22" s="351">
        <f>IF(OR($C$1="",$C$1="TODOS"),COUNTIFS('DRAFT 2'!$A$3:$A$5000,"&gt;="&amp;$E$1,'DRAFT 2'!$A$3:$A$5000,"&lt;="&amp;$F$1,'DRAFT 2'!$Q$3:$Q$5000,A22,'DRAFT 2'!$R$3:$R$5000,"SUPORTE"),COUNTIFS('DRAFT 2'!$A$3:$A$5000,"&gt;="&amp;$E$1,'DRAFT 2'!$A$3:$A$5000,"&lt;="&amp;$F$1,'DRAFT 2'!$B$3:$B$5000,$C$1,'DRAFT 2'!$Q$3:$Q$5000,A22,'DRAFT 2'!$R$3:$R$5000,"SUPORTE"))</f>
        <v/>
      </c>
      <c r="O22" s="364" t="n"/>
      <c r="P22" s="351">
        <f>IF(OR($C$1="",$C$1="TODOS"),COUNTIFS('DRAFT 2'!$A$3:$A$5000,"&gt;="&amp;$E$1,'DRAFT 2'!$A$3:$A$5000,"&lt;="&amp;$F$1,'DRAFT 2'!$Q$3:$Q$5000,A22,'DRAFT 2'!$R$3:$R$5000,"NÃO ATENDE"),COUNTIFS('DRAFT 2'!$A$3:$A$5000,"&gt;="&amp;$E$1,'DRAFT 2'!$A$3:$A$5000,"&lt;="&amp;$F$1,'DRAFT 2'!$B$3:$B$5000,$C$1,'DRAFT 2'!$Q$3:$Q$5000,A22,'DRAFT 2'!$R$3:$R$5000,"NÃO ATENDE"))+IF(OR($C$1="",$C$1="TODOS"),COUNTIFS('DRAFT 2'!$A$3:$A$5000,"&gt;="&amp;$E$1,'DRAFT 2'!$A$3:$A$5000,"&lt;="&amp;$F$1,'DRAFT 2'!$Q$3:$Q$5000,A22,'DRAFT 2'!$R$3:$R$5000,"NÃO RESPONDE"),COUNTIFS('DRAFT 2'!$A$3:$A$5000,"&gt;="&amp;$E$1,'DRAFT 2'!$A$3:$A$5000,"&lt;="&amp;$F$1,'DRAFT 2'!$B$3:$B$5000,$C$1,'DRAFT 2'!$Q$3:$Q$5000,A22,'DRAFT 2'!$R$3:$R$5000,"NÃO RESPONDE"))+IF(OR($C$1="",$C$1="TODOS"),COUNTIFS('DRAFT 2'!$A$3:$A$5000,"&gt;="&amp;$E$1,'DRAFT 2'!$A$3:$A$5000,"&lt;="&amp;$F$1,'DRAFT 2'!$Q$3:$Q$5000,A22,'DRAFT 2'!$R$3:$R$5000,"RECUSOU LIGAÇÃO"),COUNTIFS('DRAFT 2'!$A$3:$A$5000,"&gt;="&amp;$E$1,'DRAFT 2'!$A$3:$A$5000,"&lt;="&amp;$F$1,'DRAFT 2'!$B$3:$B$5000,$C$1,'DRAFT 2'!$Q$3:$Q$5000,A22,'DRAFT 2'!$R$3:$R$5000,"RECUSOU LIGAÇÃO"))</f>
        <v/>
      </c>
      <c r="Q22" s="351">
        <f>IF(OR($C$1="",$C$1="TODOS"),COUNTIFS('DRAFT 2'!$A$3:$A$5000,"&gt;="&amp;$E$1,'DRAFT 2'!$A$3:$A$5000,"&lt;="&amp;$F$1,'DRAFT 2'!$Q$3:$Q$5000,A22,'DRAFT 2'!$R$3:$R$5000,"PERDA / FECHOU LOJA"),COUNTIFS('DRAFT 2'!$A$3:$A$5000,"&gt;="&amp;$E$1,'DRAFT 2'!$A$3:$A$5000,"&lt;="&amp;$F$1,'DRAFT 2'!$B$3:$B$5000,$C$1,'DRAFT 2'!$Q$3:$Q$5000,A22,'DRAFT 2'!$R$3:$R$5000,"PERDA / FECHOU LOJA"))</f>
        <v/>
      </c>
    </row>
    <row r="23" ht="18" customHeight="1" s="108">
      <c r="A23" s="360" t="inlineStr">
        <is>
          <t>FOLLOW UP</t>
        </is>
      </c>
      <c r="B23" s="361">
        <f>IF(OR($C$1="",$C$1="TODOS"),COUNTIFS('DRAFT 2'!$A$3:$A$5000,"&gt;="&amp;$E$1,'DRAFT 2'!$A$3:$A$5000,"&lt;="&amp;$F$1,'DRAFT 2'!$Q$3:$Q$5000,A23),COUNTIFS('DRAFT 2'!$A$3:$A$5000,"&gt;="&amp;$E$1,'DRAFT 2'!$A$3:$A$5000,"&lt;="&amp;$F$1,'DRAFT 2'!$B$3:$B$5000,$C$1,'DRAFT 2'!$Q$3:$Q$5000,A23))</f>
        <v/>
      </c>
      <c r="C23" s="351">
        <f>IF(OR($C$1="",$C$1="TODOS"),COUNTIFS('DRAFT 2'!$A$3:$A$5000,"&gt;="&amp;$E$1,'DRAFT 2'!$A$3:$A$5000,"&lt;="&amp;$F$1,'DRAFT 2'!$Q$3:$Q$5000,A23,'DRAFT 2'!$N$3:$N$5000,"SIM"),COUNTIFS('DRAFT 2'!$A$3:$A$5000,"&gt;="&amp;$E$1,'DRAFT 2'!$A$3:$A$5000,"&lt;="&amp;$F$1,'DRAFT 2'!$B$3:$B$5000,$C$1,'DRAFT 2'!$Q$3:$Q$5000,A23,'DRAFT 2'!$N$3:$N$5000,"SIM"))</f>
        <v/>
      </c>
      <c r="D23" s="351">
        <f>IF(OR($C$1="",$C$1="TODOS"),COUNTIFS('DRAFT 2'!$A$3:$A$5000,"&gt;="&amp;$E$1,'DRAFT 2'!$A$3:$A$5000,"&lt;="&amp;$F$1,'DRAFT 2'!$Q$3:$Q$5000,A23,'DRAFT 2'!$O$3:$O$5000,"SIM"),COUNTIFS('DRAFT 2'!$A$3:$A$5000,"&gt;="&amp;$E$1,'DRAFT 2'!$A$3:$A$5000,"&lt;="&amp;$F$1,'DRAFT 2'!$B$3:$B$5000,$C$1,'DRAFT 2'!$Q$3:$Q$5000,A23,'DRAFT 2'!$O$3:$O$5000,"SIM"))</f>
        <v/>
      </c>
      <c r="E23" s="351">
        <f>IF(OR($C$1="",$C$1="TODOS"),COUNTIFS('DRAFT 2'!$A$3:$A$5000,"&gt;="&amp;$E$1,'DRAFT 2'!$A$3:$A$5000,"&lt;="&amp;$F$1,'DRAFT 2'!$Q$3:$Q$5000,A23,'DRAFT 2'!$P$3:$P$5000,"SIM"),COUNTIFS('DRAFT 2'!$A$3:$A$5000,"&gt;="&amp;$E$1,'DRAFT 2'!$A$3:$A$5000,"&lt;="&amp;$F$1,'DRAFT 2'!$B$3:$B$5000,$C$1,'DRAFT 2'!$Q$3:$Q$5000,A23,'DRAFT 2'!$P$3:$P$5000,"SIM"))</f>
        <v/>
      </c>
      <c r="F23" s="351">
        <f>D23-E23</f>
        <v/>
      </c>
      <c r="G23" s="364" t="n"/>
      <c r="H23" s="351">
        <f>IF(OR($C$1="",$C$1="TODOS"),COUNTIFS('DRAFT 2'!$A$3:$A$5000,"&gt;="&amp;$E$1,'DRAFT 2'!$A$3:$A$5000,"&lt;="&amp;$F$1,'DRAFT 2'!$Q$3:$Q$5000,A23,'DRAFT 2'!$R$3:$R$5000,"EM ATENDIMENTO"),COUNTIFS('DRAFT 2'!$A$3:$A$5000,"&gt;="&amp;$E$1,'DRAFT 2'!$A$3:$A$5000,"&lt;="&amp;$F$1,'DRAFT 2'!$B$3:$B$5000,$C$1,'DRAFT 2'!$Q$3:$Q$5000,A23,'DRAFT 2'!$R$3:$R$5000,"EM ATENDIMENTO"))</f>
        <v/>
      </c>
      <c r="I23" s="351">
        <f>IF(OR($C$1="",$C$1="TODOS"),COUNTIFS('DRAFT 2'!$A$3:$A$5000,"&gt;="&amp;$E$1,'DRAFT 2'!$A$3:$A$5000,"&lt;="&amp;$F$1,'DRAFT 2'!$Q$3:$Q$5000,A23,'DRAFT 2'!$R$3:$R$5000,"ORÇAMENTO"),COUNTIFS('DRAFT 2'!$A$3:$A$5000,"&gt;="&amp;$E$1,'DRAFT 2'!$A$3:$A$5000,"&lt;="&amp;$F$1,'DRAFT 2'!$B$3:$B$5000,$C$1,'DRAFT 2'!$Q$3:$Q$5000,A23,'DRAFT 2'!$R$3:$R$5000,"ORÇAMENTO"))</f>
        <v/>
      </c>
      <c r="J23" s="351">
        <f>IF(OR($C$1="",$C$1="TODOS"),COUNTIFS('DRAFT 2'!$A$3:$A$5000,"&gt;="&amp;$E$1,'DRAFT 2'!$A$3:$A$5000,"&lt;="&amp;$F$1,'DRAFT 2'!$Q$3:$Q$5000,A23,'DRAFT 2'!$R$3:$R$5000,"CADASTRO"),COUNTIFS('DRAFT 2'!$A$3:$A$5000,"&gt;="&amp;$E$1,'DRAFT 2'!$A$3:$A$5000,"&lt;="&amp;$F$1,'DRAFT 2'!$B$3:$B$5000,$C$1,'DRAFT 2'!$Q$3:$Q$5000,A23,'DRAFT 2'!$R$3:$R$5000,"CADASTRO"))</f>
        <v/>
      </c>
      <c r="K23" s="351">
        <f>IF(OR($C$1="",$C$1="TODOS"),COUNTIFS('DRAFT 2'!$A$3:$A$5000,"&gt;="&amp;$E$1,'DRAFT 2'!$A$3:$A$5000,"&lt;="&amp;$F$1,'DRAFT 2'!$Q$3:$Q$5000,A23,'DRAFT 2'!$R$3:$R$5000,"VENDA / PEDIDO"),COUNTIFS('DRAFT 2'!$A$3:$A$5000,"&gt;="&amp;$E$1,'DRAFT 2'!$A$3:$A$5000,"&lt;="&amp;$F$1,'DRAFT 2'!$B$3:$B$5000,$C$1,'DRAFT 2'!$Q$3:$Q$5000,A23,'DRAFT 2'!$R$3:$R$5000,"VENDA / PEDIDO"))</f>
        <v/>
      </c>
      <c r="L23" s="364" t="n"/>
      <c r="M23" s="351">
        <f>IF(OR($C$1="",$C$1="TODOS"),COUNTIFS('DRAFT 2'!$A$3:$A$5000,"&gt;="&amp;$E$1,'DRAFT 2'!$A$3:$A$5000,"&lt;="&amp;$F$1,'DRAFT 2'!$Q$3:$Q$5000,A23,'DRAFT 2'!$R$3:$R$5000,"FOLLOW UP 7"),COUNTIFS('DRAFT 2'!$A$3:$A$5000,"&gt;="&amp;$E$1,'DRAFT 2'!$A$3:$A$5000,"&lt;="&amp;$F$1,'DRAFT 2'!$B$3:$B$5000,$C$1,'DRAFT 2'!$Q$3:$Q$5000,A23,'DRAFT 2'!$R$3:$R$5000,"FOLLOW UP 7"))+IF(OR($C$1="",$C$1="TODOS"),COUNTIFS('DRAFT 2'!$A$3:$A$5000,"&gt;="&amp;$E$1,'DRAFT 2'!$A$3:$A$5000,"&lt;="&amp;$F$1,'DRAFT 2'!$Q$3:$Q$5000,A23,'DRAFT 2'!$R$3:$R$5000,"FOLLOW UP 15"),COUNTIFS('DRAFT 2'!$A$3:$A$5000,"&gt;="&amp;$E$1,'DRAFT 2'!$A$3:$A$5000,"&lt;="&amp;$F$1,'DRAFT 2'!$B$3:$B$5000,$C$1,'DRAFT 2'!$Q$3:$Q$5000,A23,'DRAFT 2'!$R$3:$R$5000,"FOLLOW UP 15"))+IF(OR($C$1="",$C$1="TODOS"),COUNTIFS('DRAFT 2'!$A$3:$A$5000,"&gt;="&amp;$E$1,'DRAFT 2'!$A$3:$A$5000,"&lt;="&amp;$F$1,'DRAFT 2'!$Q$3:$Q$5000,A23,'DRAFT 2'!$R$3:$R$5000,"RELACIONAMENTO"),COUNTIFS('DRAFT 2'!$A$3:$A$5000,"&gt;="&amp;$E$1,'DRAFT 2'!$A$3:$A$5000,"&lt;="&amp;$F$1,'DRAFT 2'!$B$3:$B$5000,$C$1,'DRAFT 2'!$Q$3:$Q$5000,A23,'DRAFT 2'!$R$3:$R$5000,"RELACIONAMENTO"))</f>
        <v/>
      </c>
      <c r="N23" s="351">
        <f>IF(OR($C$1="",$C$1="TODOS"),COUNTIFS('DRAFT 2'!$A$3:$A$5000,"&gt;="&amp;$E$1,'DRAFT 2'!$A$3:$A$5000,"&lt;="&amp;$F$1,'DRAFT 2'!$Q$3:$Q$5000,A23,'DRAFT 2'!$R$3:$R$5000,"SUPORTE"),COUNTIFS('DRAFT 2'!$A$3:$A$5000,"&gt;="&amp;$E$1,'DRAFT 2'!$A$3:$A$5000,"&lt;="&amp;$F$1,'DRAFT 2'!$B$3:$B$5000,$C$1,'DRAFT 2'!$Q$3:$Q$5000,A23,'DRAFT 2'!$R$3:$R$5000,"SUPORTE"))</f>
        <v/>
      </c>
      <c r="O23" s="364" t="n"/>
      <c r="P23" s="351">
        <f>IF(OR($C$1="",$C$1="TODOS"),COUNTIFS('DRAFT 2'!$A$3:$A$5000,"&gt;="&amp;$E$1,'DRAFT 2'!$A$3:$A$5000,"&lt;="&amp;$F$1,'DRAFT 2'!$Q$3:$Q$5000,A23,'DRAFT 2'!$R$3:$R$5000,"NÃO ATENDE"),COUNTIFS('DRAFT 2'!$A$3:$A$5000,"&gt;="&amp;$E$1,'DRAFT 2'!$A$3:$A$5000,"&lt;="&amp;$F$1,'DRAFT 2'!$B$3:$B$5000,$C$1,'DRAFT 2'!$Q$3:$Q$5000,A23,'DRAFT 2'!$R$3:$R$5000,"NÃO ATENDE"))+IF(OR($C$1="",$C$1="TODOS"),COUNTIFS('DRAFT 2'!$A$3:$A$5000,"&gt;="&amp;$E$1,'DRAFT 2'!$A$3:$A$5000,"&lt;="&amp;$F$1,'DRAFT 2'!$Q$3:$Q$5000,A23,'DRAFT 2'!$R$3:$R$5000,"NÃO RESPONDE"),COUNTIFS('DRAFT 2'!$A$3:$A$5000,"&gt;="&amp;$E$1,'DRAFT 2'!$A$3:$A$5000,"&lt;="&amp;$F$1,'DRAFT 2'!$B$3:$B$5000,$C$1,'DRAFT 2'!$Q$3:$Q$5000,A23,'DRAFT 2'!$R$3:$R$5000,"NÃO RESPONDE"))+IF(OR($C$1="",$C$1="TODOS"),COUNTIFS('DRAFT 2'!$A$3:$A$5000,"&gt;="&amp;$E$1,'DRAFT 2'!$A$3:$A$5000,"&lt;="&amp;$F$1,'DRAFT 2'!$Q$3:$Q$5000,A23,'DRAFT 2'!$R$3:$R$5000,"RECUSOU LIGAÇÃO"),COUNTIFS('DRAFT 2'!$A$3:$A$5000,"&gt;="&amp;$E$1,'DRAFT 2'!$A$3:$A$5000,"&lt;="&amp;$F$1,'DRAFT 2'!$B$3:$B$5000,$C$1,'DRAFT 2'!$Q$3:$Q$5000,A23,'DRAFT 2'!$R$3:$R$5000,"RECUSOU LIGAÇÃO"))</f>
        <v/>
      </c>
      <c r="Q23" s="351">
        <f>IF(OR($C$1="",$C$1="TODOS"),COUNTIFS('DRAFT 2'!$A$3:$A$5000,"&gt;="&amp;$E$1,'DRAFT 2'!$A$3:$A$5000,"&lt;="&amp;$F$1,'DRAFT 2'!$Q$3:$Q$5000,A23,'DRAFT 2'!$R$3:$R$5000,"PERDA / FECHOU LOJA"),COUNTIFS('DRAFT 2'!$A$3:$A$5000,"&gt;="&amp;$E$1,'DRAFT 2'!$A$3:$A$5000,"&lt;="&amp;$F$1,'DRAFT 2'!$B$3:$B$5000,$C$1,'DRAFT 2'!$Q$3:$Q$5000,A23,'DRAFT 2'!$R$3:$R$5000,"PERDA / FECHOU LOJA"))</f>
        <v/>
      </c>
    </row>
    <row r="24" ht="18" customHeight="1" s="108">
      <c r="A24" s="360" t="inlineStr">
        <is>
          <t>ATEND. CLIENTES ATIVOS</t>
        </is>
      </c>
      <c r="B24" s="361">
        <f>IF(OR($C$1="",$C$1="TODOS"),COUNTIFS('DRAFT 2'!$A$3:$A$5000,"&gt;="&amp;$E$1,'DRAFT 2'!$A$3:$A$5000,"&lt;="&amp;$F$1,'DRAFT 2'!$Q$3:$Q$5000,A24),COUNTIFS('DRAFT 2'!$A$3:$A$5000,"&gt;="&amp;$E$1,'DRAFT 2'!$A$3:$A$5000,"&lt;="&amp;$F$1,'DRAFT 2'!$B$3:$B$5000,$C$1,'DRAFT 2'!$Q$3:$Q$5000,A24))</f>
        <v/>
      </c>
      <c r="C24" s="351">
        <f>IF(OR($C$1="",$C$1="TODOS"),COUNTIFS('DRAFT 2'!$A$3:$A$5000,"&gt;="&amp;$E$1,'DRAFT 2'!$A$3:$A$5000,"&lt;="&amp;$F$1,'DRAFT 2'!$Q$3:$Q$5000,A24,'DRAFT 2'!$N$3:$N$5000,"SIM"),COUNTIFS('DRAFT 2'!$A$3:$A$5000,"&gt;="&amp;$E$1,'DRAFT 2'!$A$3:$A$5000,"&lt;="&amp;$F$1,'DRAFT 2'!$B$3:$B$5000,$C$1,'DRAFT 2'!$Q$3:$Q$5000,A24,'DRAFT 2'!$N$3:$N$5000,"SIM"))</f>
        <v/>
      </c>
      <c r="D24" s="351">
        <f>IF(OR($C$1="",$C$1="TODOS"),COUNTIFS('DRAFT 2'!$A$3:$A$5000,"&gt;="&amp;$E$1,'DRAFT 2'!$A$3:$A$5000,"&lt;="&amp;$F$1,'DRAFT 2'!$Q$3:$Q$5000,A24,'DRAFT 2'!$O$3:$O$5000,"SIM"),COUNTIFS('DRAFT 2'!$A$3:$A$5000,"&gt;="&amp;$E$1,'DRAFT 2'!$A$3:$A$5000,"&lt;="&amp;$F$1,'DRAFT 2'!$B$3:$B$5000,$C$1,'DRAFT 2'!$Q$3:$Q$5000,A24,'DRAFT 2'!$O$3:$O$5000,"SIM"))</f>
        <v/>
      </c>
      <c r="E24" s="351">
        <f>IF(OR($C$1="",$C$1="TODOS"),COUNTIFS('DRAFT 2'!$A$3:$A$5000,"&gt;="&amp;$E$1,'DRAFT 2'!$A$3:$A$5000,"&lt;="&amp;$F$1,'DRAFT 2'!$Q$3:$Q$5000,A24,'DRAFT 2'!$P$3:$P$5000,"SIM"),COUNTIFS('DRAFT 2'!$A$3:$A$5000,"&gt;="&amp;$E$1,'DRAFT 2'!$A$3:$A$5000,"&lt;="&amp;$F$1,'DRAFT 2'!$B$3:$B$5000,$C$1,'DRAFT 2'!$Q$3:$Q$5000,A24,'DRAFT 2'!$P$3:$P$5000,"SIM"))</f>
        <v/>
      </c>
      <c r="F24" s="351">
        <f>D24-E24</f>
        <v/>
      </c>
      <c r="G24" s="364" t="n"/>
      <c r="H24" s="351">
        <f>IF(OR($C$1="",$C$1="TODOS"),COUNTIFS('DRAFT 2'!$A$3:$A$5000,"&gt;="&amp;$E$1,'DRAFT 2'!$A$3:$A$5000,"&lt;="&amp;$F$1,'DRAFT 2'!$Q$3:$Q$5000,A24,'DRAFT 2'!$R$3:$R$5000,"EM ATENDIMENTO"),COUNTIFS('DRAFT 2'!$A$3:$A$5000,"&gt;="&amp;$E$1,'DRAFT 2'!$A$3:$A$5000,"&lt;="&amp;$F$1,'DRAFT 2'!$B$3:$B$5000,$C$1,'DRAFT 2'!$Q$3:$Q$5000,A24,'DRAFT 2'!$R$3:$R$5000,"EM ATENDIMENTO"))</f>
        <v/>
      </c>
      <c r="I24" s="351">
        <f>IF(OR($C$1="",$C$1="TODOS"),COUNTIFS('DRAFT 2'!$A$3:$A$5000,"&gt;="&amp;$E$1,'DRAFT 2'!$A$3:$A$5000,"&lt;="&amp;$F$1,'DRAFT 2'!$Q$3:$Q$5000,A24,'DRAFT 2'!$R$3:$R$5000,"ORÇAMENTO"),COUNTIFS('DRAFT 2'!$A$3:$A$5000,"&gt;="&amp;$E$1,'DRAFT 2'!$A$3:$A$5000,"&lt;="&amp;$F$1,'DRAFT 2'!$B$3:$B$5000,$C$1,'DRAFT 2'!$Q$3:$Q$5000,A24,'DRAFT 2'!$R$3:$R$5000,"ORÇAMENTO"))</f>
        <v/>
      </c>
      <c r="J24" s="351">
        <f>IF(OR($C$1="",$C$1="TODOS"),COUNTIFS('DRAFT 2'!$A$3:$A$5000,"&gt;="&amp;$E$1,'DRAFT 2'!$A$3:$A$5000,"&lt;="&amp;$F$1,'DRAFT 2'!$Q$3:$Q$5000,A24,'DRAFT 2'!$R$3:$R$5000,"CADASTRO"),COUNTIFS('DRAFT 2'!$A$3:$A$5000,"&gt;="&amp;$E$1,'DRAFT 2'!$A$3:$A$5000,"&lt;="&amp;$F$1,'DRAFT 2'!$B$3:$B$5000,$C$1,'DRAFT 2'!$Q$3:$Q$5000,A24,'DRAFT 2'!$R$3:$R$5000,"CADASTRO"))</f>
        <v/>
      </c>
      <c r="K24" s="351">
        <f>IF(OR($C$1="",$C$1="TODOS"),COUNTIFS('DRAFT 2'!$A$3:$A$5000,"&gt;="&amp;$E$1,'DRAFT 2'!$A$3:$A$5000,"&lt;="&amp;$F$1,'DRAFT 2'!$Q$3:$Q$5000,A24,'DRAFT 2'!$R$3:$R$5000,"VENDA / PEDIDO"),COUNTIFS('DRAFT 2'!$A$3:$A$5000,"&gt;="&amp;$E$1,'DRAFT 2'!$A$3:$A$5000,"&lt;="&amp;$F$1,'DRAFT 2'!$B$3:$B$5000,$C$1,'DRAFT 2'!$Q$3:$Q$5000,A24,'DRAFT 2'!$R$3:$R$5000,"VENDA / PEDIDO"))</f>
        <v/>
      </c>
      <c r="L24" s="364" t="n"/>
      <c r="M24" s="351">
        <f>IF(OR($C$1="",$C$1="TODOS"),COUNTIFS('DRAFT 2'!$A$3:$A$5000,"&gt;="&amp;$E$1,'DRAFT 2'!$A$3:$A$5000,"&lt;="&amp;$F$1,'DRAFT 2'!$Q$3:$Q$5000,A24,'DRAFT 2'!$R$3:$R$5000,"FOLLOW UP 7"),COUNTIFS('DRAFT 2'!$A$3:$A$5000,"&gt;="&amp;$E$1,'DRAFT 2'!$A$3:$A$5000,"&lt;="&amp;$F$1,'DRAFT 2'!$B$3:$B$5000,$C$1,'DRAFT 2'!$Q$3:$Q$5000,A24,'DRAFT 2'!$R$3:$R$5000,"FOLLOW UP 7"))+IF(OR($C$1="",$C$1="TODOS"),COUNTIFS('DRAFT 2'!$A$3:$A$5000,"&gt;="&amp;$E$1,'DRAFT 2'!$A$3:$A$5000,"&lt;="&amp;$F$1,'DRAFT 2'!$Q$3:$Q$5000,A24,'DRAFT 2'!$R$3:$R$5000,"FOLLOW UP 15"),COUNTIFS('DRAFT 2'!$A$3:$A$5000,"&gt;="&amp;$E$1,'DRAFT 2'!$A$3:$A$5000,"&lt;="&amp;$F$1,'DRAFT 2'!$B$3:$B$5000,$C$1,'DRAFT 2'!$Q$3:$Q$5000,A24,'DRAFT 2'!$R$3:$R$5000,"FOLLOW UP 15"))+IF(OR($C$1="",$C$1="TODOS"),COUNTIFS('DRAFT 2'!$A$3:$A$5000,"&gt;="&amp;$E$1,'DRAFT 2'!$A$3:$A$5000,"&lt;="&amp;$F$1,'DRAFT 2'!$Q$3:$Q$5000,A24,'DRAFT 2'!$R$3:$R$5000,"RELACIONAMENTO"),COUNTIFS('DRAFT 2'!$A$3:$A$5000,"&gt;="&amp;$E$1,'DRAFT 2'!$A$3:$A$5000,"&lt;="&amp;$F$1,'DRAFT 2'!$B$3:$B$5000,$C$1,'DRAFT 2'!$Q$3:$Q$5000,A24,'DRAFT 2'!$R$3:$R$5000,"RELACIONAMENTO"))</f>
        <v/>
      </c>
      <c r="N24" s="351">
        <f>IF(OR($C$1="",$C$1="TODOS"),COUNTIFS('DRAFT 2'!$A$3:$A$5000,"&gt;="&amp;$E$1,'DRAFT 2'!$A$3:$A$5000,"&lt;="&amp;$F$1,'DRAFT 2'!$Q$3:$Q$5000,A24,'DRAFT 2'!$R$3:$R$5000,"SUPORTE"),COUNTIFS('DRAFT 2'!$A$3:$A$5000,"&gt;="&amp;$E$1,'DRAFT 2'!$A$3:$A$5000,"&lt;="&amp;$F$1,'DRAFT 2'!$B$3:$B$5000,$C$1,'DRAFT 2'!$Q$3:$Q$5000,A24,'DRAFT 2'!$R$3:$R$5000,"SUPORTE"))</f>
        <v/>
      </c>
      <c r="O24" s="364" t="n"/>
      <c r="P24" s="351">
        <f>IF(OR($C$1="",$C$1="TODOS"),COUNTIFS('DRAFT 2'!$A$3:$A$5000,"&gt;="&amp;$E$1,'DRAFT 2'!$A$3:$A$5000,"&lt;="&amp;$F$1,'DRAFT 2'!$Q$3:$Q$5000,A24,'DRAFT 2'!$R$3:$R$5000,"NÃO ATENDE"),COUNTIFS('DRAFT 2'!$A$3:$A$5000,"&gt;="&amp;$E$1,'DRAFT 2'!$A$3:$A$5000,"&lt;="&amp;$F$1,'DRAFT 2'!$B$3:$B$5000,$C$1,'DRAFT 2'!$Q$3:$Q$5000,A24,'DRAFT 2'!$R$3:$R$5000,"NÃO ATENDE"))+IF(OR($C$1="",$C$1="TODOS"),COUNTIFS('DRAFT 2'!$A$3:$A$5000,"&gt;="&amp;$E$1,'DRAFT 2'!$A$3:$A$5000,"&lt;="&amp;$F$1,'DRAFT 2'!$Q$3:$Q$5000,A24,'DRAFT 2'!$R$3:$R$5000,"NÃO RESPONDE"),COUNTIFS('DRAFT 2'!$A$3:$A$5000,"&gt;="&amp;$E$1,'DRAFT 2'!$A$3:$A$5000,"&lt;="&amp;$F$1,'DRAFT 2'!$B$3:$B$5000,$C$1,'DRAFT 2'!$Q$3:$Q$5000,A24,'DRAFT 2'!$R$3:$R$5000,"NÃO RESPONDE"))+IF(OR($C$1="",$C$1="TODOS"),COUNTIFS('DRAFT 2'!$A$3:$A$5000,"&gt;="&amp;$E$1,'DRAFT 2'!$A$3:$A$5000,"&lt;="&amp;$F$1,'DRAFT 2'!$Q$3:$Q$5000,A24,'DRAFT 2'!$R$3:$R$5000,"RECUSOU LIGAÇÃO"),COUNTIFS('DRAFT 2'!$A$3:$A$5000,"&gt;="&amp;$E$1,'DRAFT 2'!$A$3:$A$5000,"&lt;="&amp;$F$1,'DRAFT 2'!$B$3:$B$5000,$C$1,'DRAFT 2'!$Q$3:$Q$5000,A24,'DRAFT 2'!$R$3:$R$5000,"RECUSOU LIGAÇÃO"))</f>
        <v/>
      </c>
      <c r="Q24" s="351">
        <f>IF(OR($C$1="",$C$1="TODOS"),COUNTIFS('DRAFT 2'!$A$3:$A$5000,"&gt;="&amp;$E$1,'DRAFT 2'!$A$3:$A$5000,"&lt;="&amp;$F$1,'DRAFT 2'!$Q$3:$Q$5000,A24,'DRAFT 2'!$R$3:$R$5000,"PERDA / FECHOU LOJA"),COUNTIFS('DRAFT 2'!$A$3:$A$5000,"&gt;="&amp;$E$1,'DRAFT 2'!$A$3:$A$5000,"&lt;="&amp;$F$1,'DRAFT 2'!$B$3:$B$5000,$C$1,'DRAFT 2'!$Q$3:$Q$5000,A24,'DRAFT 2'!$R$3:$R$5000,"PERDA / FECHOU LOJA"))</f>
        <v/>
      </c>
    </row>
    <row r="25" ht="18" customHeight="1" s="108">
      <c r="A25" s="360" t="inlineStr">
        <is>
          <t>ATEND. CLIENTES INATIVOS</t>
        </is>
      </c>
      <c r="B25" s="361">
        <f>IF(OR($C$1="",$C$1="TODOS"),COUNTIFS('DRAFT 2'!$A$3:$A$5000,"&gt;="&amp;$E$1,'DRAFT 2'!$A$3:$A$5000,"&lt;="&amp;$F$1,'DRAFT 2'!$Q$3:$Q$5000,A25),COUNTIFS('DRAFT 2'!$A$3:$A$5000,"&gt;="&amp;$E$1,'DRAFT 2'!$A$3:$A$5000,"&lt;="&amp;$F$1,'DRAFT 2'!$B$3:$B$5000,$C$1,'DRAFT 2'!$Q$3:$Q$5000,A25))</f>
        <v/>
      </c>
      <c r="C25" s="351">
        <f>IF(OR($C$1="",$C$1="TODOS"),COUNTIFS('DRAFT 2'!$A$3:$A$5000,"&gt;="&amp;$E$1,'DRAFT 2'!$A$3:$A$5000,"&lt;="&amp;$F$1,'DRAFT 2'!$Q$3:$Q$5000,A25,'DRAFT 2'!$N$3:$N$5000,"SIM"),COUNTIFS('DRAFT 2'!$A$3:$A$5000,"&gt;="&amp;$E$1,'DRAFT 2'!$A$3:$A$5000,"&lt;="&amp;$F$1,'DRAFT 2'!$B$3:$B$5000,$C$1,'DRAFT 2'!$Q$3:$Q$5000,A25,'DRAFT 2'!$N$3:$N$5000,"SIM"))</f>
        <v/>
      </c>
      <c r="D25" s="351">
        <f>IF(OR($C$1="",$C$1="TODOS"),COUNTIFS('DRAFT 2'!$A$3:$A$5000,"&gt;="&amp;$E$1,'DRAFT 2'!$A$3:$A$5000,"&lt;="&amp;$F$1,'DRAFT 2'!$Q$3:$Q$5000,A25,'DRAFT 2'!$O$3:$O$5000,"SIM"),COUNTIFS('DRAFT 2'!$A$3:$A$5000,"&gt;="&amp;$E$1,'DRAFT 2'!$A$3:$A$5000,"&lt;="&amp;$F$1,'DRAFT 2'!$B$3:$B$5000,$C$1,'DRAFT 2'!$Q$3:$Q$5000,A25,'DRAFT 2'!$O$3:$O$5000,"SIM"))</f>
        <v/>
      </c>
      <c r="E25" s="351">
        <f>IF(OR($C$1="",$C$1="TODOS"),COUNTIFS('DRAFT 2'!$A$3:$A$5000,"&gt;="&amp;$E$1,'DRAFT 2'!$A$3:$A$5000,"&lt;="&amp;$F$1,'DRAFT 2'!$Q$3:$Q$5000,A25,'DRAFT 2'!$P$3:$P$5000,"SIM"),COUNTIFS('DRAFT 2'!$A$3:$A$5000,"&gt;="&amp;$E$1,'DRAFT 2'!$A$3:$A$5000,"&lt;="&amp;$F$1,'DRAFT 2'!$B$3:$B$5000,$C$1,'DRAFT 2'!$Q$3:$Q$5000,A25,'DRAFT 2'!$P$3:$P$5000,"SIM"))</f>
        <v/>
      </c>
      <c r="F25" s="351">
        <f>D25-E25</f>
        <v/>
      </c>
      <c r="G25" s="364" t="n"/>
      <c r="H25" s="351">
        <f>IF(OR($C$1="",$C$1="TODOS"),COUNTIFS('DRAFT 2'!$A$3:$A$5000,"&gt;="&amp;$E$1,'DRAFT 2'!$A$3:$A$5000,"&lt;="&amp;$F$1,'DRAFT 2'!$Q$3:$Q$5000,A25,'DRAFT 2'!$R$3:$R$5000,"EM ATENDIMENTO"),COUNTIFS('DRAFT 2'!$A$3:$A$5000,"&gt;="&amp;$E$1,'DRAFT 2'!$A$3:$A$5000,"&lt;="&amp;$F$1,'DRAFT 2'!$B$3:$B$5000,$C$1,'DRAFT 2'!$Q$3:$Q$5000,A25,'DRAFT 2'!$R$3:$R$5000,"EM ATENDIMENTO"))</f>
        <v/>
      </c>
      <c r="I25" s="351">
        <f>IF(OR($C$1="",$C$1="TODOS"),COUNTIFS('DRAFT 2'!$A$3:$A$5000,"&gt;="&amp;$E$1,'DRAFT 2'!$A$3:$A$5000,"&lt;="&amp;$F$1,'DRAFT 2'!$Q$3:$Q$5000,A25,'DRAFT 2'!$R$3:$R$5000,"ORÇAMENTO"),COUNTIFS('DRAFT 2'!$A$3:$A$5000,"&gt;="&amp;$E$1,'DRAFT 2'!$A$3:$A$5000,"&lt;="&amp;$F$1,'DRAFT 2'!$B$3:$B$5000,$C$1,'DRAFT 2'!$Q$3:$Q$5000,A25,'DRAFT 2'!$R$3:$R$5000,"ORÇAMENTO"))</f>
        <v/>
      </c>
      <c r="J25" s="351">
        <f>IF(OR($C$1="",$C$1="TODOS"),COUNTIFS('DRAFT 2'!$A$3:$A$5000,"&gt;="&amp;$E$1,'DRAFT 2'!$A$3:$A$5000,"&lt;="&amp;$F$1,'DRAFT 2'!$Q$3:$Q$5000,A25,'DRAFT 2'!$R$3:$R$5000,"CADASTRO"),COUNTIFS('DRAFT 2'!$A$3:$A$5000,"&gt;="&amp;$E$1,'DRAFT 2'!$A$3:$A$5000,"&lt;="&amp;$F$1,'DRAFT 2'!$B$3:$B$5000,$C$1,'DRAFT 2'!$Q$3:$Q$5000,A25,'DRAFT 2'!$R$3:$R$5000,"CADASTRO"))</f>
        <v/>
      </c>
      <c r="K25" s="351">
        <f>IF(OR($C$1="",$C$1="TODOS"),COUNTIFS('DRAFT 2'!$A$3:$A$5000,"&gt;="&amp;$E$1,'DRAFT 2'!$A$3:$A$5000,"&lt;="&amp;$F$1,'DRAFT 2'!$Q$3:$Q$5000,A25,'DRAFT 2'!$R$3:$R$5000,"VENDA / PEDIDO"),COUNTIFS('DRAFT 2'!$A$3:$A$5000,"&gt;="&amp;$E$1,'DRAFT 2'!$A$3:$A$5000,"&lt;="&amp;$F$1,'DRAFT 2'!$B$3:$B$5000,$C$1,'DRAFT 2'!$Q$3:$Q$5000,A25,'DRAFT 2'!$R$3:$R$5000,"VENDA / PEDIDO"))</f>
        <v/>
      </c>
      <c r="L25" s="364" t="n"/>
      <c r="M25" s="351">
        <f>IF(OR($C$1="",$C$1="TODOS"),COUNTIFS('DRAFT 2'!$A$3:$A$5000,"&gt;="&amp;$E$1,'DRAFT 2'!$A$3:$A$5000,"&lt;="&amp;$F$1,'DRAFT 2'!$Q$3:$Q$5000,A25,'DRAFT 2'!$R$3:$R$5000,"FOLLOW UP 7"),COUNTIFS('DRAFT 2'!$A$3:$A$5000,"&gt;="&amp;$E$1,'DRAFT 2'!$A$3:$A$5000,"&lt;="&amp;$F$1,'DRAFT 2'!$B$3:$B$5000,$C$1,'DRAFT 2'!$Q$3:$Q$5000,A25,'DRAFT 2'!$R$3:$R$5000,"FOLLOW UP 7"))+IF(OR($C$1="",$C$1="TODOS"),COUNTIFS('DRAFT 2'!$A$3:$A$5000,"&gt;="&amp;$E$1,'DRAFT 2'!$A$3:$A$5000,"&lt;="&amp;$F$1,'DRAFT 2'!$Q$3:$Q$5000,A25,'DRAFT 2'!$R$3:$R$5000,"FOLLOW UP 15"),COUNTIFS('DRAFT 2'!$A$3:$A$5000,"&gt;="&amp;$E$1,'DRAFT 2'!$A$3:$A$5000,"&lt;="&amp;$F$1,'DRAFT 2'!$B$3:$B$5000,$C$1,'DRAFT 2'!$Q$3:$Q$5000,A25,'DRAFT 2'!$R$3:$R$5000,"FOLLOW UP 15"))+IF(OR($C$1="",$C$1="TODOS"),COUNTIFS('DRAFT 2'!$A$3:$A$5000,"&gt;="&amp;$E$1,'DRAFT 2'!$A$3:$A$5000,"&lt;="&amp;$F$1,'DRAFT 2'!$Q$3:$Q$5000,A25,'DRAFT 2'!$R$3:$R$5000,"RELACIONAMENTO"),COUNTIFS('DRAFT 2'!$A$3:$A$5000,"&gt;="&amp;$E$1,'DRAFT 2'!$A$3:$A$5000,"&lt;="&amp;$F$1,'DRAFT 2'!$B$3:$B$5000,$C$1,'DRAFT 2'!$Q$3:$Q$5000,A25,'DRAFT 2'!$R$3:$R$5000,"RELACIONAMENTO"))</f>
        <v/>
      </c>
      <c r="N25" s="351">
        <f>IF(OR($C$1="",$C$1="TODOS"),COUNTIFS('DRAFT 2'!$A$3:$A$5000,"&gt;="&amp;$E$1,'DRAFT 2'!$A$3:$A$5000,"&lt;="&amp;$F$1,'DRAFT 2'!$Q$3:$Q$5000,A25,'DRAFT 2'!$R$3:$R$5000,"SUPORTE"),COUNTIFS('DRAFT 2'!$A$3:$A$5000,"&gt;="&amp;$E$1,'DRAFT 2'!$A$3:$A$5000,"&lt;="&amp;$F$1,'DRAFT 2'!$B$3:$B$5000,$C$1,'DRAFT 2'!$Q$3:$Q$5000,A25,'DRAFT 2'!$R$3:$R$5000,"SUPORTE"))</f>
        <v/>
      </c>
      <c r="O25" s="364" t="n"/>
      <c r="P25" s="351">
        <f>IF(OR($C$1="",$C$1="TODOS"),COUNTIFS('DRAFT 2'!$A$3:$A$5000,"&gt;="&amp;$E$1,'DRAFT 2'!$A$3:$A$5000,"&lt;="&amp;$F$1,'DRAFT 2'!$Q$3:$Q$5000,A25,'DRAFT 2'!$R$3:$R$5000,"NÃO ATENDE"),COUNTIFS('DRAFT 2'!$A$3:$A$5000,"&gt;="&amp;$E$1,'DRAFT 2'!$A$3:$A$5000,"&lt;="&amp;$F$1,'DRAFT 2'!$B$3:$B$5000,$C$1,'DRAFT 2'!$Q$3:$Q$5000,A25,'DRAFT 2'!$R$3:$R$5000,"NÃO ATENDE"))+IF(OR($C$1="",$C$1="TODOS"),COUNTIFS('DRAFT 2'!$A$3:$A$5000,"&gt;="&amp;$E$1,'DRAFT 2'!$A$3:$A$5000,"&lt;="&amp;$F$1,'DRAFT 2'!$Q$3:$Q$5000,A25,'DRAFT 2'!$R$3:$R$5000,"NÃO RESPONDE"),COUNTIFS('DRAFT 2'!$A$3:$A$5000,"&gt;="&amp;$E$1,'DRAFT 2'!$A$3:$A$5000,"&lt;="&amp;$F$1,'DRAFT 2'!$B$3:$B$5000,$C$1,'DRAFT 2'!$Q$3:$Q$5000,A25,'DRAFT 2'!$R$3:$R$5000,"NÃO RESPONDE"))+IF(OR($C$1="",$C$1="TODOS"),COUNTIFS('DRAFT 2'!$A$3:$A$5000,"&gt;="&amp;$E$1,'DRAFT 2'!$A$3:$A$5000,"&lt;="&amp;$F$1,'DRAFT 2'!$Q$3:$Q$5000,A25,'DRAFT 2'!$R$3:$R$5000,"RECUSOU LIGAÇÃO"),COUNTIFS('DRAFT 2'!$A$3:$A$5000,"&gt;="&amp;$E$1,'DRAFT 2'!$A$3:$A$5000,"&lt;="&amp;$F$1,'DRAFT 2'!$B$3:$B$5000,$C$1,'DRAFT 2'!$Q$3:$Q$5000,A25,'DRAFT 2'!$R$3:$R$5000,"RECUSOU LIGAÇÃO"))</f>
        <v/>
      </c>
      <c r="Q25" s="351">
        <f>IF(OR($C$1="",$C$1="TODOS"),COUNTIFS('DRAFT 2'!$A$3:$A$5000,"&gt;="&amp;$E$1,'DRAFT 2'!$A$3:$A$5000,"&lt;="&amp;$F$1,'DRAFT 2'!$Q$3:$Q$5000,A25,'DRAFT 2'!$R$3:$R$5000,"PERDA / FECHOU LOJA"),COUNTIFS('DRAFT 2'!$A$3:$A$5000,"&gt;="&amp;$E$1,'DRAFT 2'!$A$3:$A$5000,"&lt;="&amp;$F$1,'DRAFT 2'!$B$3:$B$5000,$C$1,'DRAFT 2'!$Q$3:$Q$5000,A25,'DRAFT 2'!$R$3:$R$5000,"PERDA / FECHOU LOJA"))</f>
        <v/>
      </c>
    </row>
    <row r="26" ht="18" customHeight="1" s="108">
      <c r="A26" s="360" t="inlineStr">
        <is>
          <t>PÓS-VENDA / RELACIONAMENTO</t>
        </is>
      </c>
      <c r="B26" s="361">
        <f>IF(OR($C$1="",$C$1="TODOS"),COUNTIFS('DRAFT 2'!$A$3:$A$5000,"&gt;="&amp;$E$1,'DRAFT 2'!$A$3:$A$5000,"&lt;="&amp;$F$1,'DRAFT 2'!$Q$3:$Q$5000,A26),COUNTIFS('DRAFT 2'!$A$3:$A$5000,"&gt;="&amp;$E$1,'DRAFT 2'!$A$3:$A$5000,"&lt;="&amp;$F$1,'DRAFT 2'!$B$3:$B$5000,$C$1,'DRAFT 2'!$Q$3:$Q$5000,A26))</f>
        <v/>
      </c>
      <c r="C26" s="351">
        <f>IF(OR($C$1="",$C$1="TODOS"),COUNTIFS('DRAFT 2'!$A$3:$A$5000,"&gt;="&amp;$E$1,'DRAFT 2'!$A$3:$A$5000,"&lt;="&amp;$F$1,'DRAFT 2'!$Q$3:$Q$5000,A26,'DRAFT 2'!$N$3:$N$5000,"SIM"),COUNTIFS('DRAFT 2'!$A$3:$A$5000,"&gt;="&amp;$E$1,'DRAFT 2'!$A$3:$A$5000,"&lt;="&amp;$F$1,'DRAFT 2'!$B$3:$B$5000,$C$1,'DRAFT 2'!$Q$3:$Q$5000,A26,'DRAFT 2'!$N$3:$N$5000,"SIM"))</f>
        <v/>
      </c>
      <c r="D26" s="351">
        <f>IF(OR($C$1="",$C$1="TODOS"),COUNTIFS('DRAFT 2'!$A$3:$A$5000,"&gt;="&amp;$E$1,'DRAFT 2'!$A$3:$A$5000,"&lt;="&amp;$F$1,'DRAFT 2'!$Q$3:$Q$5000,A26,'DRAFT 2'!$O$3:$O$5000,"SIM"),COUNTIFS('DRAFT 2'!$A$3:$A$5000,"&gt;="&amp;$E$1,'DRAFT 2'!$A$3:$A$5000,"&lt;="&amp;$F$1,'DRAFT 2'!$B$3:$B$5000,$C$1,'DRAFT 2'!$Q$3:$Q$5000,A26,'DRAFT 2'!$O$3:$O$5000,"SIM"))</f>
        <v/>
      </c>
      <c r="E26" s="351">
        <f>IF(OR($C$1="",$C$1="TODOS"),COUNTIFS('DRAFT 2'!$A$3:$A$5000,"&gt;="&amp;$E$1,'DRAFT 2'!$A$3:$A$5000,"&lt;="&amp;$F$1,'DRAFT 2'!$Q$3:$Q$5000,A26,'DRAFT 2'!$P$3:$P$5000,"SIM"),COUNTIFS('DRAFT 2'!$A$3:$A$5000,"&gt;="&amp;$E$1,'DRAFT 2'!$A$3:$A$5000,"&lt;="&amp;$F$1,'DRAFT 2'!$B$3:$B$5000,$C$1,'DRAFT 2'!$Q$3:$Q$5000,A26,'DRAFT 2'!$P$3:$P$5000,"SIM"))</f>
        <v/>
      </c>
      <c r="F26" s="351">
        <f>D26-E26</f>
        <v/>
      </c>
      <c r="G26" s="364" t="n"/>
      <c r="H26" s="351">
        <f>IF(OR($C$1="",$C$1="TODOS"),COUNTIFS('DRAFT 2'!$A$3:$A$5000,"&gt;="&amp;$E$1,'DRAFT 2'!$A$3:$A$5000,"&lt;="&amp;$F$1,'DRAFT 2'!$Q$3:$Q$5000,A26,'DRAFT 2'!$R$3:$R$5000,"EM ATENDIMENTO"),COUNTIFS('DRAFT 2'!$A$3:$A$5000,"&gt;="&amp;$E$1,'DRAFT 2'!$A$3:$A$5000,"&lt;="&amp;$F$1,'DRAFT 2'!$B$3:$B$5000,$C$1,'DRAFT 2'!$Q$3:$Q$5000,A26,'DRAFT 2'!$R$3:$R$5000,"EM ATENDIMENTO"))</f>
        <v/>
      </c>
      <c r="I26" s="351">
        <f>IF(OR($C$1="",$C$1="TODOS"),COUNTIFS('DRAFT 2'!$A$3:$A$5000,"&gt;="&amp;$E$1,'DRAFT 2'!$A$3:$A$5000,"&lt;="&amp;$F$1,'DRAFT 2'!$Q$3:$Q$5000,A26,'DRAFT 2'!$R$3:$R$5000,"ORÇAMENTO"),COUNTIFS('DRAFT 2'!$A$3:$A$5000,"&gt;="&amp;$E$1,'DRAFT 2'!$A$3:$A$5000,"&lt;="&amp;$F$1,'DRAFT 2'!$B$3:$B$5000,$C$1,'DRAFT 2'!$Q$3:$Q$5000,A26,'DRAFT 2'!$R$3:$R$5000,"ORÇAMENTO"))</f>
        <v/>
      </c>
      <c r="J26" s="351">
        <f>IF(OR($C$1="",$C$1="TODOS"),COUNTIFS('DRAFT 2'!$A$3:$A$5000,"&gt;="&amp;$E$1,'DRAFT 2'!$A$3:$A$5000,"&lt;="&amp;$F$1,'DRAFT 2'!$Q$3:$Q$5000,A26,'DRAFT 2'!$R$3:$R$5000,"CADASTRO"),COUNTIFS('DRAFT 2'!$A$3:$A$5000,"&gt;="&amp;$E$1,'DRAFT 2'!$A$3:$A$5000,"&lt;="&amp;$F$1,'DRAFT 2'!$B$3:$B$5000,$C$1,'DRAFT 2'!$Q$3:$Q$5000,A26,'DRAFT 2'!$R$3:$R$5000,"CADASTRO"))</f>
        <v/>
      </c>
      <c r="K26" s="351">
        <f>IF(OR($C$1="",$C$1="TODOS"),COUNTIFS('DRAFT 2'!$A$3:$A$5000,"&gt;="&amp;$E$1,'DRAFT 2'!$A$3:$A$5000,"&lt;="&amp;$F$1,'DRAFT 2'!$Q$3:$Q$5000,A26,'DRAFT 2'!$R$3:$R$5000,"VENDA / PEDIDO"),COUNTIFS('DRAFT 2'!$A$3:$A$5000,"&gt;="&amp;$E$1,'DRAFT 2'!$A$3:$A$5000,"&lt;="&amp;$F$1,'DRAFT 2'!$B$3:$B$5000,$C$1,'DRAFT 2'!$Q$3:$Q$5000,A26,'DRAFT 2'!$R$3:$R$5000,"VENDA / PEDIDO"))</f>
        <v/>
      </c>
      <c r="L26" s="364" t="n"/>
      <c r="M26" s="351">
        <f>IF(OR($C$1="",$C$1="TODOS"),COUNTIFS('DRAFT 2'!$A$3:$A$5000,"&gt;="&amp;$E$1,'DRAFT 2'!$A$3:$A$5000,"&lt;="&amp;$F$1,'DRAFT 2'!$Q$3:$Q$5000,A26,'DRAFT 2'!$R$3:$R$5000,"FOLLOW UP 7"),COUNTIFS('DRAFT 2'!$A$3:$A$5000,"&gt;="&amp;$E$1,'DRAFT 2'!$A$3:$A$5000,"&lt;="&amp;$F$1,'DRAFT 2'!$B$3:$B$5000,$C$1,'DRAFT 2'!$Q$3:$Q$5000,A26,'DRAFT 2'!$R$3:$R$5000,"FOLLOW UP 7"))+IF(OR($C$1="",$C$1="TODOS"),COUNTIFS('DRAFT 2'!$A$3:$A$5000,"&gt;="&amp;$E$1,'DRAFT 2'!$A$3:$A$5000,"&lt;="&amp;$F$1,'DRAFT 2'!$Q$3:$Q$5000,A26,'DRAFT 2'!$R$3:$R$5000,"FOLLOW UP 15"),COUNTIFS('DRAFT 2'!$A$3:$A$5000,"&gt;="&amp;$E$1,'DRAFT 2'!$A$3:$A$5000,"&lt;="&amp;$F$1,'DRAFT 2'!$B$3:$B$5000,$C$1,'DRAFT 2'!$Q$3:$Q$5000,A26,'DRAFT 2'!$R$3:$R$5000,"FOLLOW UP 15"))+IF(OR($C$1="",$C$1="TODOS"),COUNTIFS('DRAFT 2'!$A$3:$A$5000,"&gt;="&amp;$E$1,'DRAFT 2'!$A$3:$A$5000,"&lt;="&amp;$F$1,'DRAFT 2'!$Q$3:$Q$5000,A26,'DRAFT 2'!$R$3:$R$5000,"RELACIONAMENTO"),COUNTIFS('DRAFT 2'!$A$3:$A$5000,"&gt;="&amp;$E$1,'DRAFT 2'!$A$3:$A$5000,"&lt;="&amp;$F$1,'DRAFT 2'!$B$3:$B$5000,$C$1,'DRAFT 2'!$Q$3:$Q$5000,A26,'DRAFT 2'!$R$3:$R$5000,"RELACIONAMENTO"))</f>
        <v/>
      </c>
      <c r="N26" s="351">
        <f>IF(OR($C$1="",$C$1="TODOS"),COUNTIFS('DRAFT 2'!$A$3:$A$5000,"&gt;="&amp;$E$1,'DRAFT 2'!$A$3:$A$5000,"&lt;="&amp;$F$1,'DRAFT 2'!$Q$3:$Q$5000,A26,'DRAFT 2'!$R$3:$R$5000,"SUPORTE"),COUNTIFS('DRAFT 2'!$A$3:$A$5000,"&gt;="&amp;$E$1,'DRAFT 2'!$A$3:$A$5000,"&lt;="&amp;$F$1,'DRAFT 2'!$B$3:$B$5000,$C$1,'DRAFT 2'!$Q$3:$Q$5000,A26,'DRAFT 2'!$R$3:$R$5000,"SUPORTE"))</f>
        <v/>
      </c>
      <c r="O26" s="364" t="n"/>
      <c r="P26" s="351">
        <f>IF(OR($C$1="",$C$1="TODOS"),COUNTIFS('DRAFT 2'!$A$3:$A$5000,"&gt;="&amp;$E$1,'DRAFT 2'!$A$3:$A$5000,"&lt;="&amp;$F$1,'DRAFT 2'!$Q$3:$Q$5000,A26,'DRAFT 2'!$R$3:$R$5000,"NÃO ATENDE"),COUNTIFS('DRAFT 2'!$A$3:$A$5000,"&gt;="&amp;$E$1,'DRAFT 2'!$A$3:$A$5000,"&lt;="&amp;$F$1,'DRAFT 2'!$B$3:$B$5000,$C$1,'DRAFT 2'!$Q$3:$Q$5000,A26,'DRAFT 2'!$R$3:$R$5000,"NÃO ATENDE"))+IF(OR($C$1="",$C$1="TODOS"),COUNTIFS('DRAFT 2'!$A$3:$A$5000,"&gt;="&amp;$E$1,'DRAFT 2'!$A$3:$A$5000,"&lt;="&amp;$F$1,'DRAFT 2'!$Q$3:$Q$5000,A26,'DRAFT 2'!$R$3:$R$5000,"NÃO RESPONDE"),COUNTIFS('DRAFT 2'!$A$3:$A$5000,"&gt;="&amp;$E$1,'DRAFT 2'!$A$3:$A$5000,"&lt;="&amp;$F$1,'DRAFT 2'!$B$3:$B$5000,$C$1,'DRAFT 2'!$Q$3:$Q$5000,A26,'DRAFT 2'!$R$3:$R$5000,"NÃO RESPONDE"))+IF(OR($C$1="",$C$1="TODOS"),COUNTIFS('DRAFT 2'!$A$3:$A$5000,"&gt;="&amp;$E$1,'DRAFT 2'!$A$3:$A$5000,"&lt;="&amp;$F$1,'DRAFT 2'!$Q$3:$Q$5000,A26,'DRAFT 2'!$R$3:$R$5000,"RECUSOU LIGAÇÃO"),COUNTIFS('DRAFT 2'!$A$3:$A$5000,"&gt;="&amp;$E$1,'DRAFT 2'!$A$3:$A$5000,"&lt;="&amp;$F$1,'DRAFT 2'!$B$3:$B$5000,$C$1,'DRAFT 2'!$Q$3:$Q$5000,A26,'DRAFT 2'!$R$3:$R$5000,"RECUSOU LIGAÇÃO"))</f>
        <v/>
      </c>
      <c r="Q26" s="351">
        <f>IF(OR($C$1="",$C$1="TODOS"),COUNTIFS('DRAFT 2'!$A$3:$A$5000,"&gt;="&amp;$E$1,'DRAFT 2'!$A$3:$A$5000,"&lt;="&amp;$F$1,'DRAFT 2'!$Q$3:$Q$5000,A26,'DRAFT 2'!$R$3:$R$5000,"PERDA / FECHOU LOJA"),COUNTIFS('DRAFT 2'!$A$3:$A$5000,"&gt;="&amp;$E$1,'DRAFT 2'!$A$3:$A$5000,"&lt;="&amp;$F$1,'DRAFT 2'!$B$3:$B$5000,$C$1,'DRAFT 2'!$Q$3:$Q$5000,A26,'DRAFT 2'!$R$3:$R$5000,"PERDA / FECHOU LOJA"))</f>
        <v/>
      </c>
    </row>
    <row r="27" ht="18" customHeight="1" s="108">
      <c r="A27" s="360" t="inlineStr">
        <is>
          <t>PERDA / NUTRIÇÃO</t>
        </is>
      </c>
      <c r="B27" s="361">
        <f>IF(OR($C$1="",$C$1="TODOS"),COUNTIFS('DRAFT 2'!$A$3:$A$5000,"&gt;="&amp;$E$1,'DRAFT 2'!$A$3:$A$5000,"&lt;="&amp;$F$1,'DRAFT 2'!$Q$3:$Q$5000,A27),COUNTIFS('DRAFT 2'!$A$3:$A$5000,"&gt;="&amp;$E$1,'DRAFT 2'!$A$3:$A$5000,"&lt;="&amp;$F$1,'DRAFT 2'!$B$3:$B$5000,$C$1,'DRAFT 2'!$Q$3:$Q$5000,A27))</f>
        <v/>
      </c>
      <c r="C27" s="351">
        <f>IF(OR($C$1="",$C$1="TODOS"),COUNTIFS('DRAFT 2'!$A$3:$A$5000,"&gt;="&amp;$E$1,'DRAFT 2'!$A$3:$A$5000,"&lt;="&amp;$F$1,'DRAFT 2'!$Q$3:$Q$5000,A27,'DRAFT 2'!$N$3:$N$5000,"SIM"),COUNTIFS('DRAFT 2'!$A$3:$A$5000,"&gt;="&amp;$E$1,'DRAFT 2'!$A$3:$A$5000,"&lt;="&amp;$F$1,'DRAFT 2'!$B$3:$B$5000,$C$1,'DRAFT 2'!$Q$3:$Q$5000,A27,'DRAFT 2'!$N$3:$N$5000,"SIM"))</f>
        <v/>
      </c>
      <c r="D27" s="351">
        <f>IF(OR($C$1="",$C$1="TODOS"),COUNTIFS('DRAFT 2'!$A$3:$A$5000,"&gt;="&amp;$E$1,'DRAFT 2'!$A$3:$A$5000,"&lt;="&amp;$F$1,'DRAFT 2'!$Q$3:$Q$5000,A27,'DRAFT 2'!$O$3:$O$5000,"SIM"),COUNTIFS('DRAFT 2'!$A$3:$A$5000,"&gt;="&amp;$E$1,'DRAFT 2'!$A$3:$A$5000,"&lt;="&amp;$F$1,'DRAFT 2'!$B$3:$B$5000,$C$1,'DRAFT 2'!$Q$3:$Q$5000,A27,'DRAFT 2'!$O$3:$O$5000,"SIM"))</f>
        <v/>
      </c>
      <c r="E27" s="351">
        <f>IF(OR($C$1="",$C$1="TODOS"),COUNTIFS('DRAFT 2'!$A$3:$A$5000,"&gt;="&amp;$E$1,'DRAFT 2'!$A$3:$A$5000,"&lt;="&amp;$F$1,'DRAFT 2'!$Q$3:$Q$5000,A27,'DRAFT 2'!$P$3:$P$5000,"SIM"),COUNTIFS('DRAFT 2'!$A$3:$A$5000,"&gt;="&amp;$E$1,'DRAFT 2'!$A$3:$A$5000,"&lt;="&amp;$F$1,'DRAFT 2'!$B$3:$B$5000,$C$1,'DRAFT 2'!$Q$3:$Q$5000,A27,'DRAFT 2'!$P$3:$P$5000,"SIM"))</f>
        <v/>
      </c>
      <c r="F27" s="351">
        <f>D27-E27</f>
        <v/>
      </c>
      <c r="G27" s="364" t="n"/>
      <c r="H27" s="351">
        <f>IF(OR($C$1="",$C$1="TODOS"),COUNTIFS('DRAFT 2'!$A$3:$A$5000,"&gt;="&amp;$E$1,'DRAFT 2'!$A$3:$A$5000,"&lt;="&amp;$F$1,'DRAFT 2'!$Q$3:$Q$5000,A27,'DRAFT 2'!$R$3:$R$5000,"EM ATENDIMENTO"),COUNTIFS('DRAFT 2'!$A$3:$A$5000,"&gt;="&amp;$E$1,'DRAFT 2'!$A$3:$A$5000,"&lt;="&amp;$F$1,'DRAFT 2'!$B$3:$B$5000,$C$1,'DRAFT 2'!$Q$3:$Q$5000,A27,'DRAFT 2'!$R$3:$R$5000,"EM ATENDIMENTO"))</f>
        <v/>
      </c>
      <c r="I27" s="351">
        <f>IF(OR($C$1="",$C$1="TODOS"),COUNTIFS('DRAFT 2'!$A$3:$A$5000,"&gt;="&amp;$E$1,'DRAFT 2'!$A$3:$A$5000,"&lt;="&amp;$F$1,'DRAFT 2'!$Q$3:$Q$5000,A27,'DRAFT 2'!$R$3:$R$5000,"ORÇAMENTO"),COUNTIFS('DRAFT 2'!$A$3:$A$5000,"&gt;="&amp;$E$1,'DRAFT 2'!$A$3:$A$5000,"&lt;="&amp;$F$1,'DRAFT 2'!$B$3:$B$5000,$C$1,'DRAFT 2'!$Q$3:$Q$5000,A27,'DRAFT 2'!$R$3:$R$5000,"ORÇAMENTO"))</f>
        <v/>
      </c>
      <c r="J27" s="351">
        <f>IF(OR($C$1="",$C$1="TODOS"),COUNTIFS('DRAFT 2'!$A$3:$A$5000,"&gt;="&amp;$E$1,'DRAFT 2'!$A$3:$A$5000,"&lt;="&amp;$F$1,'DRAFT 2'!$Q$3:$Q$5000,A27,'DRAFT 2'!$R$3:$R$5000,"CADASTRO"),COUNTIFS('DRAFT 2'!$A$3:$A$5000,"&gt;="&amp;$E$1,'DRAFT 2'!$A$3:$A$5000,"&lt;="&amp;$F$1,'DRAFT 2'!$B$3:$B$5000,$C$1,'DRAFT 2'!$Q$3:$Q$5000,A27,'DRAFT 2'!$R$3:$R$5000,"CADASTRO"))</f>
        <v/>
      </c>
      <c r="K27" s="351">
        <f>IF(OR($C$1="",$C$1="TODOS"),COUNTIFS('DRAFT 2'!$A$3:$A$5000,"&gt;="&amp;$E$1,'DRAFT 2'!$A$3:$A$5000,"&lt;="&amp;$F$1,'DRAFT 2'!$Q$3:$Q$5000,A27,'DRAFT 2'!$R$3:$R$5000,"VENDA / PEDIDO"),COUNTIFS('DRAFT 2'!$A$3:$A$5000,"&gt;="&amp;$E$1,'DRAFT 2'!$A$3:$A$5000,"&lt;="&amp;$F$1,'DRAFT 2'!$B$3:$B$5000,$C$1,'DRAFT 2'!$Q$3:$Q$5000,A27,'DRAFT 2'!$R$3:$R$5000,"VENDA / PEDIDO"))</f>
        <v/>
      </c>
      <c r="L27" s="364" t="n"/>
      <c r="M27" s="351">
        <f>IF(OR($C$1="",$C$1="TODOS"),COUNTIFS('DRAFT 2'!$A$3:$A$5000,"&gt;="&amp;$E$1,'DRAFT 2'!$A$3:$A$5000,"&lt;="&amp;$F$1,'DRAFT 2'!$Q$3:$Q$5000,A27,'DRAFT 2'!$R$3:$R$5000,"FOLLOW UP 7"),COUNTIFS('DRAFT 2'!$A$3:$A$5000,"&gt;="&amp;$E$1,'DRAFT 2'!$A$3:$A$5000,"&lt;="&amp;$F$1,'DRAFT 2'!$B$3:$B$5000,$C$1,'DRAFT 2'!$Q$3:$Q$5000,A27,'DRAFT 2'!$R$3:$R$5000,"FOLLOW UP 7"))+IF(OR($C$1="",$C$1="TODOS"),COUNTIFS('DRAFT 2'!$A$3:$A$5000,"&gt;="&amp;$E$1,'DRAFT 2'!$A$3:$A$5000,"&lt;="&amp;$F$1,'DRAFT 2'!$Q$3:$Q$5000,A27,'DRAFT 2'!$R$3:$R$5000,"FOLLOW UP 15"),COUNTIFS('DRAFT 2'!$A$3:$A$5000,"&gt;="&amp;$E$1,'DRAFT 2'!$A$3:$A$5000,"&lt;="&amp;$F$1,'DRAFT 2'!$B$3:$B$5000,$C$1,'DRAFT 2'!$Q$3:$Q$5000,A27,'DRAFT 2'!$R$3:$R$5000,"FOLLOW UP 15"))+IF(OR($C$1="",$C$1="TODOS"),COUNTIFS('DRAFT 2'!$A$3:$A$5000,"&gt;="&amp;$E$1,'DRAFT 2'!$A$3:$A$5000,"&lt;="&amp;$F$1,'DRAFT 2'!$Q$3:$Q$5000,A27,'DRAFT 2'!$R$3:$R$5000,"RELACIONAMENTO"),COUNTIFS('DRAFT 2'!$A$3:$A$5000,"&gt;="&amp;$E$1,'DRAFT 2'!$A$3:$A$5000,"&lt;="&amp;$F$1,'DRAFT 2'!$B$3:$B$5000,$C$1,'DRAFT 2'!$Q$3:$Q$5000,A27,'DRAFT 2'!$R$3:$R$5000,"RELACIONAMENTO"))</f>
        <v/>
      </c>
      <c r="N27" s="351">
        <f>IF(OR($C$1="",$C$1="TODOS"),COUNTIFS('DRAFT 2'!$A$3:$A$5000,"&gt;="&amp;$E$1,'DRAFT 2'!$A$3:$A$5000,"&lt;="&amp;$F$1,'DRAFT 2'!$Q$3:$Q$5000,A27,'DRAFT 2'!$R$3:$R$5000,"SUPORTE"),COUNTIFS('DRAFT 2'!$A$3:$A$5000,"&gt;="&amp;$E$1,'DRAFT 2'!$A$3:$A$5000,"&lt;="&amp;$F$1,'DRAFT 2'!$B$3:$B$5000,$C$1,'DRAFT 2'!$Q$3:$Q$5000,A27,'DRAFT 2'!$R$3:$R$5000,"SUPORTE"))</f>
        <v/>
      </c>
      <c r="O27" s="364" t="n"/>
      <c r="P27" s="351">
        <f>IF(OR($C$1="",$C$1="TODOS"),COUNTIFS('DRAFT 2'!$A$3:$A$5000,"&gt;="&amp;$E$1,'DRAFT 2'!$A$3:$A$5000,"&lt;="&amp;$F$1,'DRAFT 2'!$Q$3:$Q$5000,A27,'DRAFT 2'!$R$3:$R$5000,"NÃO ATENDE"),COUNTIFS('DRAFT 2'!$A$3:$A$5000,"&gt;="&amp;$E$1,'DRAFT 2'!$A$3:$A$5000,"&lt;="&amp;$F$1,'DRAFT 2'!$B$3:$B$5000,$C$1,'DRAFT 2'!$Q$3:$Q$5000,A27,'DRAFT 2'!$R$3:$R$5000,"NÃO ATENDE"))+IF(OR($C$1="",$C$1="TODOS"),COUNTIFS('DRAFT 2'!$A$3:$A$5000,"&gt;="&amp;$E$1,'DRAFT 2'!$A$3:$A$5000,"&lt;="&amp;$F$1,'DRAFT 2'!$Q$3:$Q$5000,A27,'DRAFT 2'!$R$3:$R$5000,"NÃO RESPONDE"),COUNTIFS('DRAFT 2'!$A$3:$A$5000,"&gt;="&amp;$E$1,'DRAFT 2'!$A$3:$A$5000,"&lt;="&amp;$F$1,'DRAFT 2'!$B$3:$B$5000,$C$1,'DRAFT 2'!$Q$3:$Q$5000,A27,'DRAFT 2'!$R$3:$R$5000,"NÃO RESPONDE"))+IF(OR($C$1="",$C$1="TODOS"),COUNTIFS('DRAFT 2'!$A$3:$A$5000,"&gt;="&amp;$E$1,'DRAFT 2'!$A$3:$A$5000,"&lt;="&amp;$F$1,'DRAFT 2'!$Q$3:$Q$5000,A27,'DRAFT 2'!$R$3:$R$5000,"RECUSOU LIGAÇÃO"),COUNTIFS('DRAFT 2'!$A$3:$A$5000,"&gt;="&amp;$E$1,'DRAFT 2'!$A$3:$A$5000,"&lt;="&amp;$F$1,'DRAFT 2'!$B$3:$B$5000,$C$1,'DRAFT 2'!$Q$3:$Q$5000,A27,'DRAFT 2'!$R$3:$R$5000,"RECUSOU LIGAÇÃO"))</f>
        <v/>
      </c>
      <c r="Q27" s="351">
        <f>IF(OR($C$1="",$C$1="TODOS"),COUNTIFS('DRAFT 2'!$A$3:$A$5000,"&gt;="&amp;$E$1,'DRAFT 2'!$A$3:$A$5000,"&lt;="&amp;$F$1,'DRAFT 2'!$Q$3:$Q$5000,A27,'DRAFT 2'!$R$3:$R$5000,"PERDA / FECHOU LOJA"),COUNTIFS('DRAFT 2'!$A$3:$A$5000,"&gt;="&amp;$E$1,'DRAFT 2'!$A$3:$A$5000,"&lt;="&amp;$F$1,'DRAFT 2'!$B$3:$B$5000,$C$1,'DRAFT 2'!$Q$3:$Q$5000,A27,'DRAFT 2'!$R$3:$R$5000,"PERDA / FECHOU LOJA"))</f>
        <v/>
      </c>
    </row>
    <row r="28" ht="15" customHeight="1" s="108">
      <c r="A28" s="356" t="inlineStr">
        <is>
          <t>TOTAL</t>
        </is>
      </c>
      <c r="B28" s="357">
        <f>SUM(B21:B27)</f>
        <v/>
      </c>
      <c r="C28" s="357">
        <f>SUM(C21:C27)</f>
        <v/>
      </c>
      <c r="D28" s="357">
        <f>SUM(D21:D27)</f>
        <v/>
      </c>
      <c r="E28" s="357">
        <f>SUM(E21:E27)</f>
        <v/>
      </c>
      <c r="F28" s="357">
        <f>SUM(F21:F27)</f>
        <v/>
      </c>
      <c r="G28" s="364" t="n"/>
      <c r="H28" s="357">
        <f>SUM(H21:H27)</f>
        <v/>
      </c>
      <c r="I28" s="357">
        <f>SUM(I21:I27)</f>
        <v/>
      </c>
      <c r="J28" s="357">
        <f>SUM(J21:J27)</f>
        <v/>
      </c>
      <c r="K28" s="357">
        <f>SUM(K21:K27)</f>
        <v/>
      </c>
      <c r="L28" s="364" t="n"/>
      <c r="M28" s="357">
        <f>SUM(M21:M27)</f>
        <v/>
      </c>
      <c r="N28" s="357">
        <f>SUM(N21:N27)</f>
        <v/>
      </c>
      <c r="O28" s="364" t="n"/>
      <c r="P28" s="357">
        <f>SUM(P21:P27)</f>
        <v/>
      </c>
      <c r="Q28" s="357">
        <f>SUM(Q21:Q27)</f>
        <v/>
      </c>
    </row>
    <row r="29" ht="18" customHeight="1" s="108"/>
    <row r="30" ht="18" customHeight="1" s="108"/>
    <row r="31" ht="18" customHeight="1" s="108"/>
    <row r="32" ht="18" customHeight="1" s="108"/>
    <row r="33" ht="18" customHeight="1" s="108">
      <c r="A33" s="354" t="inlineStr">
        <is>
          <t>MOTIVOS DE NÃO COMPRA</t>
        </is>
      </c>
      <c r="B33" s="355" t="n"/>
      <c r="C33" s="355" t="n"/>
      <c r="D33" s="355" t="n"/>
      <c r="E33" s="355" t="n"/>
      <c r="F33" s="355" t="n"/>
      <c r="G33" s="355" t="n"/>
      <c r="I33" s="354" t="inlineStr">
        <is>
          <t>INDICADORES DE TAREFAS POR CONSULTOR</t>
        </is>
      </c>
      <c r="J33" s="355" t="n"/>
      <c r="K33" s="355" t="n"/>
      <c r="L33" s="355" t="n"/>
      <c r="M33" s="355" t="n"/>
      <c r="N33" s="355" t="n"/>
      <c r="O33" s="355" t="n"/>
      <c r="P33" s="355" t="n"/>
      <c r="Q33" s="355" t="n"/>
    </row>
    <row r="34" ht="15" customHeight="1" s="108">
      <c r="A34" s="356" t="inlineStr">
        <is>
          <t>MOTIVO</t>
        </is>
      </c>
      <c r="B34" s="357" t="inlineStr">
        <is>
          <t>QTD</t>
        </is>
      </c>
      <c r="C34" s="357" t="inlineStr">
        <is>
          <t>%</t>
        </is>
      </c>
      <c r="D34" s="357" t="inlineStr">
        <is>
          <t>PROSP</t>
        </is>
      </c>
      <c r="E34" s="357" t="inlineStr">
        <is>
          <t>ATIVOS</t>
        </is>
      </c>
      <c r="F34" s="357" t="inlineStr">
        <is>
          <t>INAT</t>
        </is>
      </c>
      <c r="G34" s="357" t="inlineStr">
        <is>
          <t>PÓS-V</t>
        </is>
      </c>
      <c r="I34" s="356" t="inlineStr">
        <is>
          <t>CONSULTOR</t>
        </is>
      </c>
      <c r="J34" s="357" t="inlineStr">
        <is>
          <t>CONTATOS</t>
        </is>
      </c>
      <c r="K34" s="357" t="inlineStr">
        <is>
          <t>VENDAS</t>
        </is>
      </c>
      <c r="L34" s="357" t="inlineStr">
        <is>
          <t>ORÇAM.</t>
        </is>
      </c>
      <c r="M34" s="357" t="inlineStr">
        <is>
          <t>CADAST.</t>
        </is>
      </c>
      <c r="N34" s="357" t="inlineStr">
        <is>
          <t>% CONV</t>
        </is>
      </c>
      <c r="O34" s="357" t="inlineStr">
        <is>
          <t>Ñ ATENDE</t>
        </is>
      </c>
      <c r="P34" s="357" t="inlineStr">
        <is>
          <t>PERDA</t>
        </is>
      </c>
      <c r="Q34" s="357" t="inlineStr">
        <is>
          <t>% MERCOS</t>
        </is>
      </c>
    </row>
    <row r="35" ht="18" customHeight="1" s="108">
      <c r="A35" s="360" t="inlineStr">
        <is>
          <t>AINDA TEM ESTOQUE</t>
        </is>
      </c>
      <c r="B35" s="351">
        <f>IF(OR($C$1="",$C$1="TODOS"),COUNTIFS('DRAFT 2'!$A$3:$A$5000,"&gt;="&amp;$E$1,'DRAFT 2'!$A$3:$A$5000,"&lt;="&amp;$F$1,'DRAFT 2'!$S$3:$S$5000,A35),COUNTIFS('DRAFT 2'!$A$3:$A$5000,"&gt;="&amp;$E$1,'DRAFT 2'!$A$3:$A$5000,"&lt;="&amp;$F$1,'DRAFT 2'!$B$3:$B$5000,$C$1,'DRAFT 2'!$S$3:$S$5000,A35))</f>
        <v/>
      </c>
      <c r="C35" s="367">
        <f>IFERROR(B35/B45,0)</f>
        <v/>
      </c>
      <c r="D35" s="351">
        <f>IF(OR($C$1="",$C$1="TODOS"),COUNTIFS('DRAFT 2'!$A$3:$A$5000,"&gt;="&amp;$E$1,'DRAFT 2'!$A$3:$A$5000,"&lt;="&amp;$F$1,'DRAFT 2'!$S$3:$S$5000,A35,'DRAFT 2'!$Q$3:$Q$5000,"PROSPECÇÃO"),COUNTIFS('DRAFT 2'!$A$3:$A$5000,"&gt;="&amp;$E$1,'DRAFT 2'!$A$3:$A$5000,"&lt;="&amp;$F$1,'DRAFT 2'!$B$3:$B$5000,$C$1,'DRAFT 2'!$S$3:$S$5000,A35,'DRAFT 2'!$Q$3:$Q$5000,"PROSPECÇÃO"))</f>
        <v/>
      </c>
      <c r="E35" s="351">
        <f>IF(OR($C$1="",$C$1="TODOS"),COUNTIFS('DRAFT 2'!$A$3:$A$5000,"&gt;="&amp;$E$1,'DRAFT 2'!$A$3:$A$5000,"&lt;="&amp;$F$1,'DRAFT 2'!$S$3:$S$5000,A35,'DRAFT 2'!$Q$3:$Q$5000,"ATEND. CLIENTES ATIVOS"),COUNTIFS('DRAFT 2'!$A$3:$A$5000,"&gt;="&amp;$E$1,'DRAFT 2'!$A$3:$A$5000,"&lt;="&amp;$F$1,'DRAFT 2'!$B$3:$B$5000,$C$1,'DRAFT 2'!$S$3:$S$5000,A35,'DRAFT 2'!$Q$3:$Q$5000,"ATEND. CLIENTES ATIVOS"))</f>
        <v/>
      </c>
      <c r="F35" s="351">
        <f>IF(OR($C$1="",$C$1="TODOS"),COUNTIFS('DRAFT 2'!$A$3:$A$5000,"&gt;="&amp;$E$1,'DRAFT 2'!$A$3:$A$5000,"&lt;="&amp;$F$1,'DRAFT 2'!$S$3:$S$5000,A35,'DRAFT 2'!$Q$3:$Q$5000,"ATEND. CLIENTES INATIVOS"),COUNTIFS('DRAFT 2'!$A$3:$A$5000,"&gt;="&amp;$E$1,'DRAFT 2'!$A$3:$A$5000,"&lt;="&amp;$F$1,'DRAFT 2'!$B$3:$B$5000,$C$1,'DRAFT 2'!$S$3:$S$5000,A35,'DRAFT 2'!$Q$3:$Q$5000,"ATEND. CLIENTES INATIVOS"))</f>
        <v/>
      </c>
      <c r="G35" s="351">
        <f>IF(OR($C$1="",$C$1="TODOS"),COUNTIFS('DRAFT 2'!$A$3:$A$5000,"&gt;="&amp;$E$1,'DRAFT 2'!$A$3:$A$5000,"&lt;="&amp;$F$1,'DRAFT 2'!$S$3:$S$5000,A35,'DRAFT 2'!$Q$3:$Q$5000,"PÓS-VENDA / RELACIONAMENTO"),COUNTIFS('DRAFT 2'!$A$3:$A$5000,"&gt;="&amp;$E$1,'DRAFT 2'!$A$3:$A$5000,"&lt;="&amp;$F$1,'DRAFT 2'!$B$3:$B$5000,$C$1,'DRAFT 2'!$S$3:$S$5000,A35,'DRAFT 2'!$Q$3:$Q$5000,"PÓS-VENDA / RELACIONAMENTO"))</f>
        <v/>
      </c>
      <c r="I35" s="360" t="inlineStr">
        <is>
          <t>MANU DITZEL</t>
        </is>
      </c>
      <c r="J35" s="351">
        <f>COUNTIFS('DRAFT 2'!$A$3:$A$5000,"&gt;="&amp;$E$1,'DRAFT 2'!$A$3:$A$5000,"&lt;="&amp;$F$1,'DRAFT 2'!$B$3:$B$5000,I35)</f>
        <v/>
      </c>
      <c r="K35" s="351">
        <f>COUNTIFS('DRAFT 2'!$A$3:$A$5000,"&gt;="&amp;$E$1,'DRAFT 2'!$A$3:$A$5000,"&lt;="&amp;$F$1,'DRAFT 2'!$B$3:$B$5000,I35,'DRAFT 2'!$R$3:$R$5000,"VENDA / PEDIDO")</f>
        <v/>
      </c>
      <c r="L35" s="351">
        <f>COUNTIFS('DRAFT 2'!$A$3:$A$5000,"&gt;="&amp;$E$1,'DRAFT 2'!$A$3:$A$5000,"&lt;="&amp;$F$1,'DRAFT 2'!$B$3:$B$5000,I35,'DRAFT 2'!$R$3:$R$5000,"ORÇAMENTO")</f>
        <v/>
      </c>
      <c r="M35" s="351">
        <f>COUNTIFS('DRAFT 2'!$A$3:$A$5000,"&gt;="&amp;$E$1,'DRAFT 2'!$A$3:$A$5000,"&lt;="&amp;$F$1,'DRAFT 2'!$B$3:$B$5000,I35,'DRAFT 2'!$R$3:$R$5000,"CADASTRO")</f>
        <v/>
      </c>
      <c r="N35" s="367">
        <f>IFERROR(K35/J35,0)</f>
        <v/>
      </c>
      <c r="O35" s="351">
        <f>COUNTIFS('DRAFT 2'!$A$3:$A$5000,"&gt;="&amp;$E$1,'DRAFT 2'!$A$3:$A$5000,"&lt;="&amp;$F$1,'DRAFT 2'!$B$3:$B$5000,I35,'DRAFT 2'!$R$3:$R$5000,"NÃO ATENDE")+COUNTIFS('DRAFT 2'!$A$3:$A$5000,"&gt;="&amp;$E$1,'DRAFT 2'!$A$3:$A$5000,"&lt;="&amp;$F$1,'DRAFT 2'!$B$3:$B$5000,I35,'DRAFT 2'!$R$3:$R$5000,"NÃO RESPONDE")+COUNTIFS('DRAFT 2'!$A$3:$A$5000,"&gt;="&amp;$E$1,'DRAFT 2'!$A$3:$A$5000,"&lt;="&amp;$F$1,'DRAFT 2'!$B$3:$B$5000,I35,'DRAFT 2'!$R$3:$R$5000,"RECUSOU LIGAÇÃO")</f>
        <v/>
      </c>
      <c r="P35" s="351">
        <f>COUNTIFS('DRAFT 2'!$A$3:$A$5000,"&gt;="&amp;$E$1,'DRAFT 2'!$A$3:$A$5000,"&lt;="&amp;$F$1,'DRAFT 2'!$B$3:$B$5000,I35,'DRAFT 2'!$R$3:$R$5000,"PERDA / FECHOU LOJA")</f>
        <v/>
      </c>
      <c r="Q35" s="367">
        <f>IFERROR(COUNTIFS('DRAFT 2'!$A$3:$A$5000,"&gt;="&amp;$E$1,'DRAFT 2'!$A$3:$A$5000,"&lt;="&amp;$F$1,'DRAFT 2'!$B$3:$B$5000,I35,'DRAFT 2'!$W$3:$W$5000,"SIM")/COUNTIFS('DRAFT 2'!$A$3:$A$5000,"&gt;="&amp;$E$1,'DRAFT 2'!$A$3:$A$5000,"&lt;="&amp;$F$1,'DRAFT 2'!$B$3:$B$5000,I35),0)</f>
        <v/>
      </c>
    </row>
    <row r="36" ht="18" customHeight="1" s="108">
      <c r="A36" s="360" t="inlineStr">
        <is>
          <t>PRODUTO NÃO VENDEU / SEM GIRO</t>
        </is>
      </c>
      <c r="B36" s="351">
        <f>IF(OR($C$1="",$C$1="TODOS"),COUNTIFS('DRAFT 2'!$A$3:$A$5000,"&gt;="&amp;$E$1,'DRAFT 2'!$A$3:$A$5000,"&lt;="&amp;$F$1,'DRAFT 2'!$S$3:$S$5000,A36),COUNTIFS('DRAFT 2'!$A$3:$A$5000,"&gt;="&amp;$E$1,'DRAFT 2'!$A$3:$A$5000,"&lt;="&amp;$F$1,'DRAFT 2'!$B$3:$B$5000,$C$1,'DRAFT 2'!$S$3:$S$5000,A36))</f>
        <v/>
      </c>
      <c r="C36" s="367">
        <f>IFERROR(B36/B45,0)</f>
        <v/>
      </c>
      <c r="D36" s="351">
        <f>IF(OR($C$1="",$C$1="TODOS"),COUNTIFS('DRAFT 2'!$A$3:$A$5000,"&gt;="&amp;$E$1,'DRAFT 2'!$A$3:$A$5000,"&lt;="&amp;$F$1,'DRAFT 2'!$S$3:$S$5000,A36,'DRAFT 2'!$Q$3:$Q$5000,"PROSPECÇÃO"),COUNTIFS('DRAFT 2'!$A$3:$A$5000,"&gt;="&amp;$E$1,'DRAFT 2'!$A$3:$A$5000,"&lt;="&amp;$F$1,'DRAFT 2'!$B$3:$B$5000,$C$1,'DRAFT 2'!$S$3:$S$5000,A36,'DRAFT 2'!$Q$3:$Q$5000,"PROSPECÇÃO"))</f>
        <v/>
      </c>
      <c r="E36" s="351">
        <f>IF(OR($C$1="",$C$1="TODOS"),COUNTIFS('DRAFT 2'!$A$3:$A$5000,"&gt;="&amp;$E$1,'DRAFT 2'!$A$3:$A$5000,"&lt;="&amp;$F$1,'DRAFT 2'!$S$3:$S$5000,A36,'DRAFT 2'!$Q$3:$Q$5000,"ATEND. CLIENTES ATIVOS"),COUNTIFS('DRAFT 2'!$A$3:$A$5000,"&gt;="&amp;$E$1,'DRAFT 2'!$A$3:$A$5000,"&lt;="&amp;$F$1,'DRAFT 2'!$B$3:$B$5000,$C$1,'DRAFT 2'!$S$3:$S$5000,A36,'DRAFT 2'!$Q$3:$Q$5000,"ATEND. CLIENTES ATIVOS"))</f>
        <v/>
      </c>
      <c r="F36" s="351">
        <f>IF(OR($C$1="",$C$1="TODOS"),COUNTIFS('DRAFT 2'!$A$3:$A$5000,"&gt;="&amp;$E$1,'DRAFT 2'!$A$3:$A$5000,"&lt;="&amp;$F$1,'DRAFT 2'!$S$3:$S$5000,A36,'DRAFT 2'!$Q$3:$Q$5000,"ATEND. CLIENTES INATIVOS"),COUNTIFS('DRAFT 2'!$A$3:$A$5000,"&gt;="&amp;$E$1,'DRAFT 2'!$A$3:$A$5000,"&lt;="&amp;$F$1,'DRAFT 2'!$B$3:$B$5000,$C$1,'DRAFT 2'!$S$3:$S$5000,A36,'DRAFT 2'!$Q$3:$Q$5000,"ATEND. CLIENTES INATIVOS"))</f>
        <v/>
      </c>
      <c r="G36" s="351">
        <f>IF(OR($C$1="",$C$1="TODOS"),COUNTIFS('DRAFT 2'!$A$3:$A$5000,"&gt;="&amp;$E$1,'DRAFT 2'!$A$3:$A$5000,"&lt;="&amp;$F$1,'DRAFT 2'!$S$3:$S$5000,A36,'DRAFT 2'!$Q$3:$Q$5000,"PÓS-VENDA / RELACIONAMENTO"),COUNTIFS('DRAFT 2'!$A$3:$A$5000,"&gt;="&amp;$E$1,'DRAFT 2'!$A$3:$A$5000,"&lt;="&amp;$F$1,'DRAFT 2'!$B$3:$B$5000,$C$1,'DRAFT 2'!$S$3:$S$5000,A36,'DRAFT 2'!$Q$3:$Q$5000,"PÓS-VENDA / RELACIONAMENTO"))</f>
        <v/>
      </c>
      <c r="I36" s="360" t="inlineStr">
        <is>
          <t>LARISSA PADILHA</t>
        </is>
      </c>
      <c r="J36" s="351">
        <f>COUNTIFS('DRAFT 2'!$A$3:$A$5000,"&gt;="&amp;$E$1,'DRAFT 2'!$A$3:$A$5000,"&lt;="&amp;$F$1,'DRAFT 2'!$B$3:$B$5000,I36)</f>
        <v/>
      </c>
      <c r="K36" s="351">
        <f>COUNTIFS('DRAFT 2'!$A$3:$A$5000,"&gt;="&amp;$E$1,'DRAFT 2'!$A$3:$A$5000,"&lt;="&amp;$F$1,'DRAFT 2'!$B$3:$B$5000,I36,'DRAFT 2'!$R$3:$R$5000,"VENDA / PEDIDO")</f>
        <v/>
      </c>
      <c r="L36" s="351">
        <f>COUNTIFS('DRAFT 2'!$A$3:$A$5000,"&gt;="&amp;$E$1,'DRAFT 2'!$A$3:$A$5000,"&lt;="&amp;$F$1,'DRAFT 2'!$B$3:$B$5000,I36,'DRAFT 2'!$R$3:$R$5000,"ORÇAMENTO")</f>
        <v/>
      </c>
      <c r="M36" s="351">
        <f>COUNTIFS('DRAFT 2'!$A$3:$A$5000,"&gt;="&amp;$E$1,'DRAFT 2'!$A$3:$A$5000,"&lt;="&amp;$F$1,'DRAFT 2'!$B$3:$B$5000,I36,'DRAFT 2'!$R$3:$R$5000,"CADASTRO")</f>
        <v/>
      </c>
      <c r="N36" s="367">
        <f>IFERROR(K36/J36,0)</f>
        <v/>
      </c>
      <c r="O36" s="351">
        <f>COUNTIFS('DRAFT 2'!$A$3:$A$5000,"&gt;="&amp;$E$1,'DRAFT 2'!$A$3:$A$5000,"&lt;="&amp;$F$1,'DRAFT 2'!$B$3:$B$5000,I36,'DRAFT 2'!$R$3:$R$5000,"NÃO ATENDE")+COUNTIFS('DRAFT 2'!$A$3:$A$5000,"&gt;="&amp;$E$1,'DRAFT 2'!$A$3:$A$5000,"&lt;="&amp;$F$1,'DRAFT 2'!$B$3:$B$5000,I36,'DRAFT 2'!$R$3:$R$5000,"NÃO RESPONDE")+COUNTIFS('DRAFT 2'!$A$3:$A$5000,"&gt;="&amp;$E$1,'DRAFT 2'!$A$3:$A$5000,"&lt;="&amp;$F$1,'DRAFT 2'!$B$3:$B$5000,I36,'DRAFT 2'!$R$3:$R$5000,"RECUSOU LIGAÇÃO")</f>
        <v/>
      </c>
      <c r="P36" s="351">
        <f>COUNTIFS('DRAFT 2'!$A$3:$A$5000,"&gt;="&amp;$E$1,'DRAFT 2'!$A$3:$A$5000,"&lt;="&amp;$F$1,'DRAFT 2'!$B$3:$B$5000,I36,'DRAFT 2'!$R$3:$R$5000,"PERDA / FECHOU LOJA")</f>
        <v/>
      </c>
      <c r="Q36" s="367">
        <f>IFERROR(COUNTIFS('DRAFT 2'!$A$3:$A$5000,"&gt;="&amp;$E$1,'DRAFT 2'!$A$3:$A$5000,"&lt;="&amp;$F$1,'DRAFT 2'!$B$3:$B$5000,I36,'DRAFT 2'!$W$3:$W$5000,"SIM")/COUNTIFS('DRAFT 2'!$A$3:$A$5000,"&gt;="&amp;$E$1,'DRAFT 2'!$A$3:$A$5000,"&lt;="&amp;$F$1,'DRAFT 2'!$B$3:$B$5000,I36),0)</f>
        <v/>
      </c>
    </row>
    <row r="37" ht="18" customHeight="1" s="108">
      <c r="A37" s="360" t="inlineStr">
        <is>
          <t>LOJA ANEXO/PROXIMO - SM</t>
        </is>
      </c>
      <c r="B37" s="351">
        <f>IF(OR($C$1="",$C$1="TODOS"),COUNTIFS('DRAFT 2'!$A$3:$A$5000,"&gt;="&amp;$E$1,'DRAFT 2'!$A$3:$A$5000,"&lt;="&amp;$F$1,'DRAFT 2'!$S$3:$S$5000,A37),COUNTIFS('DRAFT 2'!$A$3:$A$5000,"&gt;="&amp;$E$1,'DRAFT 2'!$A$3:$A$5000,"&lt;="&amp;$F$1,'DRAFT 2'!$B$3:$B$5000,$C$1,'DRAFT 2'!$S$3:$S$5000,A37))</f>
        <v/>
      </c>
      <c r="C37" s="367">
        <f>IFERROR(B37/B45,0)</f>
        <v/>
      </c>
      <c r="D37" s="351">
        <f>IF(OR($C$1="",$C$1="TODOS"),COUNTIFS('DRAFT 2'!$A$3:$A$5000,"&gt;="&amp;$E$1,'DRAFT 2'!$A$3:$A$5000,"&lt;="&amp;$F$1,'DRAFT 2'!$S$3:$S$5000,A37,'DRAFT 2'!$Q$3:$Q$5000,"PROSPECÇÃO"),COUNTIFS('DRAFT 2'!$A$3:$A$5000,"&gt;="&amp;$E$1,'DRAFT 2'!$A$3:$A$5000,"&lt;="&amp;$F$1,'DRAFT 2'!$B$3:$B$5000,$C$1,'DRAFT 2'!$S$3:$S$5000,A37,'DRAFT 2'!$Q$3:$Q$5000,"PROSPECÇÃO"))</f>
        <v/>
      </c>
      <c r="E37" s="351">
        <f>IF(OR($C$1="",$C$1="TODOS"),COUNTIFS('DRAFT 2'!$A$3:$A$5000,"&gt;="&amp;$E$1,'DRAFT 2'!$A$3:$A$5000,"&lt;="&amp;$F$1,'DRAFT 2'!$S$3:$S$5000,A37,'DRAFT 2'!$Q$3:$Q$5000,"ATEND. CLIENTES ATIVOS"),COUNTIFS('DRAFT 2'!$A$3:$A$5000,"&gt;="&amp;$E$1,'DRAFT 2'!$A$3:$A$5000,"&lt;="&amp;$F$1,'DRAFT 2'!$B$3:$B$5000,$C$1,'DRAFT 2'!$S$3:$S$5000,A37,'DRAFT 2'!$Q$3:$Q$5000,"ATEND. CLIENTES ATIVOS"))</f>
        <v/>
      </c>
      <c r="F37" s="351">
        <f>IF(OR($C$1="",$C$1="TODOS"),COUNTIFS('DRAFT 2'!$A$3:$A$5000,"&gt;="&amp;$E$1,'DRAFT 2'!$A$3:$A$5000,"&lt;="&amp;$F$1,'DRAFT 2'!$S$3:$S$5000,A37,'DRAFT 2'!$Q$3:$Q$5000,"ATEND. CLIENTES INATIVOS"),COUNTIFS('DRAFT 2'!$A$3:$A$5000,"&gt;="&amp;$E$1,'DRAFT 2'!$A$3:$A$5000,"&lt;="&amp;$F$1,'DRAFT 2'!$B$3:$B$5000,$C$1,'DRAFT 2'!$S$3:$S$5000,A37,'DRAFT 2'!$Q$3:$Q$5000,"ATEND. CLIENTES INATIVOS"))</f>
        <v/>
      </c>
      <c r="G37" s="351">
        <f>IF(OR($C$1="",$C$1="TODOS"),COUNTIFS('DRAFT 2'!$A$3:$A$5000,"&gt;="&amp;$E$1,'DRAFT 2'!$A$3:$A$5000,"&lt;="&amp;$F$1,'DRAFT 2'!$S$3:$S$5000,A37,'DRAFT 2'!$Q$3:$Q$5000,"PÓS-VENDA / RELACIONAMENTO"),COUNTIFS('DRAFT 2'!$A$3:$A$5000,"&gt;="&amp;$E$1,'DRAFT 2'!$A$3:$A$5000,"&lt;="&amp;$F$1,'DRAFT 2'!$B$3:$B$5000,$C$1,'DRAFT 2'!$S$3:$S$5000,A37,'DRAFT 2'!$Q$3:$Q$5000,"PÓS-VENDA / RELACIONAMENTO"))</f>
        <v/>
      </c>
      <c r="I37" s="360" t="inlineStr">
        <is>
          <t>JULIO GADRET</t>
        </is>
      </c>
      <c r="J37" s="351">
        <f>COUNTIFS('DRAFT 2'!$A$3:$A$5000,"&gt;="&amp;$E$1,'DRAFT 2'!$A$3:$A$5000,"&lt;="&amp;$F$1,'DRAFT 2'!$B$3:$B$5000,I37)</f>
        <v/>
      </c>
      <c r="K37" s="351">
        <f>COUNTIFS('DRAFT 2'!$A$3:$A$5000,"&gt;="&amp;$E$1,'DRAFT 2'!$A$3:$A$5000,"&lt;="&amp;$F$1,'DRAFT 2'!$B$3:$B$5000,I37,'DRAFT 2'!$R$3:$R$5000,"VENDA / PEDIDO")</f>
        <v/>
      </c>
      <c r="L37" s="351">
        <f>COUNTIFS('DRAFT 2'!$A$3:$A$5000,"&gt;="&amp;$E$1,'DRAFT 2'!$A$3:$A$5000,"&lt;="&amp;$F$1,'DRAFT 2'!$B$3:$B$5000,I37,'DRAFT 2'!$R$3:$R$5000,"ORÇAMENTO")</f>
        <v/>
      </c>
      <c r="M37" s="351">
        <f>COUNTIFS('DRAFT 2'!$A$3:$A$5000,"&gt;="&amp;$E$1,'DRAFT 2'!$A$3:$A$5000,"&lt;="&amp;$F$1,'DRAFT 2'!$B$3:$B$5000,I37,'DRAFT 2'!$R$3:$R$5000,"CADASTRO")</f>
        <v/>
      </c>
      <c r="N37" s="367">
        <f>IFERROR(K37/J37,0)</f>
        <v/>
      </c>
      <c r="O37" s="351">
        <f>COUNTIFS('DRAFT 2'!$A$3:$A$5000,"&gt;="&amp;$E$1,'DRAFT 2'!$A$3:$A$5000,"&lt;="&amp;$F$1,'DRAFT 2'!$B$3:$B$5000,I37,'DRAFT 2'!$R$3:$R$5000,"NÃO ATENDE")+COUNTIFS('DRAFT 2'!$A$3:$A$5000,"&gt;="&amp;$E$1,'DRAFT 2'!$A$3:$A$5000,"&lt;="&amp;$F$1,'DRAFT 2'!$B$3:$B$5000,I37,'DRAFT 2'!$R$3:$R$5000,"NÃO RESPONDE")+COUNTIFS('DRAFT 2'!$A$3:$A$5000,"&gt;="&amp;$E$1,'DRAFT 2'!$A$3:$A$5000,"&lt;="&amp;$F$1,'DRAFT 2'!$B$3:$B$5000,I37,'DRAFT 2'!$R$3:$R$5000,"RECUSOU LIGAÇÃO")</f>
        <v/>
      </c>
      <c r="P37" s="351">
        <f>COUNTIFS('DRAFT 2'!$A$3:$A$5000,"&gt;="&amp;$E$1,'DRAFT 2'!$A$3:$A$5000,"&lt;="&amp;$F$1,'DRAFT 2'!$B$3:$B$5000,I37,'DRAFT 2'!$R$3:$R$5000,"PERDA / FECHOU LOJA")</f>
        <v/>
      </c>
      <c r="Q37" s="367">
        <f>IFERROR(COUNTIFS('DRAFT 2'!$A$3:$A$5000,"&gt;="&amp;$E$1,'DRAFT 2'!$A$3:$A$5000,"&lt;="&amp;$F$1,'DRAFT 2'!$B$3:$B$5000,I37,'DRAFT 2'!$W$3:$W$5000,"SIM")/COUNTIFS('DRAFT 2'!$A$3:$A$5000,"&gt;="&amp;$E$1,'DRAFT 2'!$A$3:$A$5000,"&lt;="&amp;$F$1,'DRAFT 2'!$B$3:$B$5000,I37),0)</f>
        <v/>
      </c>
    </row>
    <row r="38" ht="18" customHeight="1" s="108">
      <c r="A38" s="360" t="inlineStr">
        <is>
          <t>SÓ QUER COMPRAR GRANEL</t>
        </is>
      </c>
      <c r="B38" s="351">
        <f>IF(OR($C$1="",$C$1="TODOS"),COUNTIFS('DRAFT 2'!$A$3:$A$5000,"&gt;="&amp;$E$1,'DRAFT 2'!$A$3:$A$5000,"&lt;="&amp;$F$1,'DRAFT 2'!$S$3:$S$5000,A38),COUNTIFS('DRAFT 2'!$A$3:$A$5000,"&gt;="&amp;$E$1,'DRAFT 2'!$A$3:$A$5000,"&lt;="&amp;$F$1,'DRAFT 2'!$B$3:$B$5000,$C$1,'DRAFT 2'!$S$3:$S$5000,A38))</f>
        <v/>
      </c>
      <c r="C38" s="367">
        <f>IFERROR(B38/B45,0)</f>
        <v/>
      </c>
      <c r="D38" s="351">
        <f>IF(OR($C$1="",$C$1="TODOS"),COUNTIFS('DRAFT 2'!$A$3:$A$5000,"&gt;="&amp;$E$1,'DRAFT 2'!$A$3:$A$5000,"&lt;="&amp;$F$1,'DRAFT 2'!$S$3:$S$5000,A38,'DRAFT 2'!$Q$3:$Q$5000,"PROSPECÇÃO"),COUNTIFS('DRAFT 2'!$A$3:$A$5000,"&gt;="&amp;$E$1,'DRAFT 2'!$A$3:$A$5000,"&lt;="&amp;$F$1,'DRAFT 2'!$B$3:$B$5000,$C$1,'DRAFT 2'!$S$3:$S$5000,A38,'DRAFT 2'!$Q$3:$Q$5000,"PROSPECÇÃO"))</f>
        <v/>
      </c>
      <c r="E38" s="351">
        <f>IF(OR($C$1="",$C$1="TODOS"),COUNTIFS('DRAFT 2'!$A$3:$A$5000,"&gt;="&amp;$E$1,'DRAFT 2'!$A$3:$A$5000,"&lt;="&amp;$F$1,'DRAFT 2'!$S$3:$S$5000,A38,'DRAFT 2'!$Q$3:$Q$5000,"ATEND. CLIENTES ATIVOS"),COUNTIFS('DRAFT 2'!$A$3:$A$5000,"&gt;="&amp;$E$1,'DRAFT 2'!$A$3:$A$5000,"&lt;="&amp;$F$1,'DRAFT 2'!$B$3:$B$5000,$C$1,'DRAFT 2'!$S$3:$S$5000,A38,'DRAFT 2'!$Q$3:$Q$5000,"ATEND. CLIENTES ATIVOS"))</f>
        <v/>
      </c>
      <c r="F38" s="351">
        <f>IF(OR($C$1="",$C$1="TODOS"),COUNTIFS('DRAFT 2'!$A$3:$A$5000,"&gt;="&amp;$E$1,'DRAFT 2'!$A$3:$A$5000,"&lt;="&amp;$F$1,'DRAFT 2'!$S$3:$S$5000,A38,'DRAFT 2'!$Q$3:$Q$5000,"ATEND. CLIENTES INATIVOS"),COUNTIFS('DRAFT 2'!$A$3:$A$5000,"&gt;="&amp;$E$1,'DRAFT 2'!$A$3:$A$5000,"&lt;="&amp;$F$1,'DRAFT 2'!$B$3:$B$5000,$C$1,'DRAFT 2'!$S$3:$S$5000,A38,'DRAFT 2'!$Q$3:$Q$5000,"ATEND. CLIENTES INATIVOS"))</f>
        <v/>
      </c>
      <c r="G38" s="351">
        <f>IF(OR($C$1="",$C$1="TODOS"),COUNTIFS('DRAFT 2'!$A$3:$A$5000,"&gt;="&amp;$E$1,'DRAFT 2'!$A$3:$A$5000,"&lt;="&amp;$F$1,'DRAFT 2'!$S$3:$S$5000,A38,'DRAFT 2'!$Q$3:$Q$5000,"PÓS-VENDA / RELACIONAMENTO"),COUNTIFS('DRAFT 2'!$A$3:$A$5000,"&gt;="&amp;$E$1,'DRAFT 2'!$A$3:$A$5000,"&lt;="&amp;$F$1,'DRAFT 2'!$B$3:$B$5000,$C$1,'DRAFT 2'!$S$3:$S$5000,A38,'DRAFT 2'!$Q$3:$Q$5000,"PÓS-VENDA / RELACIONAMENTO"))</f>
        <v/>
      </c>
      <c r="I38" s="360" t="inlineStr">
        <is>
          <t>DAIANE STAVICKI</t>
        </is>
      </c>
      <c r="J38" s="351">
        <f>COUNTIFS('DRAFT 2'!$A$3:$A$5000,"&gt;="&amp;$E$1,'DRAFT 2'!$A$3:$A$5000,"&lt;="&amp;$F$1,'DRAFT 2'!$B$3:$B$5000,I38)</f>
        <v/>
      </c>
      <c r="K38" s="351">
        <f>COUNTIFS('DRAFT 2'!$A$3:$A$5000,"&gt;="&amp;$E$1,'DRAFT 2'!$A$3:$A$5000,"&lt;="&amp;$F$1,'DRAFT 2'!$B$3:$B$5000,I38,'DRAFT 2'!$R$3:$R$5000,"VENDA / PEDIDO")</f>
        <v/>
      </c>
      <c r="L38" s="351">
        <f>COUNTIFS('DRAFT 2'!$A$3:$A$5000,"&gt;="&amp;$E$1,'DRAFT 2'!$A$3:$A$5000,"&lt;="&amp;$F$1,'DRAFT 2'!$B$3:$B$5000,I38,'DRAFT 2'!$R$3:$R$5000,"ORÇAMENTO")</f>
        <v/>
      </c>
      <c r="M38" s="351">
        <f>COUNTIFS('DRAFT 2'!$A$3:$A$5000,"&gt;="&amp;$E$1,'DRAFT 2'!$A$3:$A$5000,"&lt;="&amp;$F$1,'DRAFT 2'!$B$3:$B$5000,I38,'DRAFT 2'!$R$3:$R$5000,"CADASTRO")</f>
        <v/>
      </c>
      <c r="N38" s="367">
        <f>IFERROR(K38/J38,0)</f>
        <v/>
      </c>
      <c r="O38" s="351">
        <f>COUNTIFS('DRAFT 2'!$A$3:$A$5000,"&gt;="&amp;$E$1,'DRAFT 2'!$A$3:$A$5000,"&lt;="&amp;$F$1,'DRAFT 2'!$B$3:$B$5000,I38,'DRAFT 2'!$R$3:$R$5000,"NÃO ATENDE")+COUNTIFS('DRAFT 2'!$A$3:$A$5000,"&gt;="&amp;$E$1,'DRAFT 2'!$A$3:$A$5000,"&lt;="&amp;$F$1,'DRAFT 2'!$B$3:$B$5000,I38,'DRAFT 2'!$R$3:$R$5000,"NÃO RESPONDE")+COUNTIFS('DRAFT 2'!$A$3:$A$5000,"&gt;="&amp;$E$1,'DRAFT 2'!$A$3:$A$5000,"&lt;="&amp;$F$1,'DRAFT 2'!$B$3:$B$5000,I38,'DRAFT 2'!$R$3:$R$5000,"RECUSOU LIGAÇÃO")</f>
        <v/>
      </c>
      <c r="P38" s="351">
        <f>COUNTIFS('DRAFT 2'!$A$3:$A$5000,"&gt;="&amp;$E$1,'DRAFT 2'!$A$3:$A$5000,"&lt;="&amp;$F$1,'DRAFT 2'!$B$3:$B$5000,I38,'DRAFT 2'!$R$3:$R$5000,"PERDA / FECHOU LOJA")</f>
        <v/>
      </c>
      <c r="Q38" s="367">
        <f>IFERROR(COUNTIFS('DRAFT 2'!$A$3:$A$5000,"&gt;="&amp;$E$1,'DRAFT 2'!$A$3:$A$5000,"&lt;="&amp;$F$1,'DRAFT 2'!$B$3:$B$5000,I38,'DRAFT 2'!$W$3:$W$5000,"SIM")/COUNTIFS('DRAFT 2'!$A$3:$A$5000,"&gt;="&amp;$E$1,'DRAFT 2'!$A$3:$A$5000,"&lt;="&amp;$F$1,'DRAFT 2'!$B$3:$B$5000,I38),0)</f>
        <v/>
      </c>
    </row>
    <row r="39" ht="15" customHeight="1" s="108">
      <c r="A39" s="360" t="inlineStr">
        <is>
          <t>PROBLEMA LOGÍSTICO / ENTREGA</t>
        </is>
      </c>
      <c r="B39" s="351">
        <f>IF(OR($C$1="",$C$1="TODOS"),COUNTIFS('DRAFT 2'!$A$3:$A$5000,"&gt;="&amp;$E$1,'DRAFT 2'!$A$3:$A$5000,"&lt;="&amp;$F$1,'DRAFT 2'!$S$3:$S$5000,A39),COUNTIFS('DRAFT 2'!$A$3:$A$5000,"&gt;="&amp;$E$1,'DRAFT 2'!$A$3:$A$5000,"&lt;="&amp;$F$1,'DRAFT 2'!$B$3:$B$5000,$C$1,'DRAFT 2'!$S$3:$S$5000,A39))</f>
        <v/>
      </c>
      <c r="C39" s="367">
        <f>IFERROR(B39/B45,0)</f>
        <v/>
      </c>
      <c r="D39" s="351">
        <f>IF(OR($C$1="",$C$1="TODOS"),COUNTIFS('DRAFT 2'!$A$3:$A$5000,"&gt;="&amp;$E$1,'DRAFT 2'!$A$3:$A$5000,"&lt;="&amp;$F$1,'DRAFT 2'!$S$3:$S$5000,A39,'DRAFT 2'!$Q$3:$Q$5000,"PROSPECÇÃO"),COUNTIFS('DRAFT 2'!$A$3:$A$5000,"&gt;="&amp;$E$1,'DRAFT 2'!$A$3:$A$5000,"&lt;="&amp;$F$1,'DRAFT 2'!$B$3:$B$5000,$C$1,'DRAFT 2'!$S$3:$S$5000,A39,'DRAFT 2'!$Q$3:$Q$5000,"PROSPECÇÃO"))</f>
        <v/>
      </c>
      <c r="E39" s="351">
        <f>IF(OR($C$1="",$C$1="TODOS"),COUNTIFS('DRAFT 2'!$A$3:$A$5000,"&gt;="&amp;$E$1,'DRAFT 2'!$A$3:$A$5000,"&lt;="&amp;$F$1,'DRAFT 2'!$S$3:$S$5000,A39,'DRAFT 2'!$Q$3:$Q$5000,"ATEND. CLIENTES ATIVOS"),COUNTIFS('DRAFT 2'!$A$3:$A$5000,"&gt;="&amp;$E$1,'DRAFT 2'!$A$3:$A$5000,"&lt;="&amp;$F$1,'DRAFT 2'!$B$3:$B$5000,$C$1,'DRAFT 2'!$S$3:$S$5000,A39,'DRAFT 2'!$Q$3:$Q$5000,"ATEND. CLIENTES ATIVOS"))</f>
        <v/>
      </c>
      <c r="F39" s="351">
        <f>IF(OR($C$1="",$C$1="TODOS"),COUNTIFS('DRAFT 2'!$A$3:$A$5000,"&gt;="&amp;$E$1,'DRAFT 2'!$A$3:$A$5000,"&lt;="&amp;$F$1,'DRAFT 2'!$S$3:$S$5000,A39,'DRAFT 2'!$Q$3:$Q$5000,"ATEND. CLIENTES INATIVOS"),COUNTIFS('DRAFT 2'!$A$3:$A$5000,"&gt;="&amp;$E$1,'DRAFT 2'!$A$3:$A$5000,"&lt;="&amp;$F$1,'DRAFT 2'!$B$3:$B$5000,$C$1,'DRAFT 2'!$S$3:$S$5000,A39,'DRAFT 2'!$Q$3:$Q$5000,"ATEND. CLIENTES INATIVOS"))</f>
        <v/>
      </c>
      <c r="G39" s="351">
        <f>IF(OR($C$1="",$C$1="TODOS"),COUNTIFS('DRAFT 2'!$A$3:$A$5000,"&gt;="&amp;$E$1,'DRAFT 2'!$A$3:$A$5000,"&lt;="&amp;$F$1,'DRAFT 2'!$S$3:$S$5000,A39,'DRAFT 2'!$Q$3:$Q$5000,"PÓS-VENDA / RELACIONAMENTO"),COUNTIFS('DRAFT 2'!$A$3:$A$5000,"&gt;="&amp;$E$1,'DRAFT 2'!$A$3:$A$5000,"&lt;="&amp;$F$1,'DRAFT 2'!$B$3:$B$5000,$C$1,'DRAFT 2'!$S$3:$S$5000,A39,'DRAFT 2'!$Q$3:$Q$5000,"PÓS-VENDA / RELACIONAMENTO"))</f>
        <v/>
      </c>
      <c r="I39" s="356" t="inlineStr">
        <is>
          <t>TOTAL EQUIPE</t>
        </is>
      </c>
      <c r="J39" s="357">
        <f>SUM(J35:J38)</f>
        <v/>
      </c>
      <c r="K39" s="357">
        <f>SUM(K35:K38)</f>
        <v/>
      </c>
      <c r="L39" s="357">
        <f>SUM(L35:L38)</f>
        <v/>
      </c>
      <c r="M39" s="357">
        <f>SUM(M35:M38)</f>
        <v/>
      </c>
      <c r="N39" s="368">
        <f>IFERROR(K39/J39,0)</f>
        <v/>
      </c>
      <c r="O39" s="357">
        <f>SUM(O35:O38)</f>
        <v/>
      </c>
      <c r="P39" s="357">
        <f>SUM(P35:P38)</f>
        <v/>
      </c>
      <c r="Q39" s="368">
        <f>IFERROR(COUNTIFS('DRAFT 2'!$A$3:$A$5000,"&gt;="&amp;$E$1,'DRAFT 2'!$A$3:$A$5000,"&lt;="&amp;$F$1,'DRAFT 2'!$W$3:$W$5000,"SIM")/COUNTIFS('DRAFT 2'!$A$3:$A$5000,"&gt;="&amp;$E$1,'DRAFT 2'!$A$3:$A$5000,"&lt;="&amp;$F$1),0)</f>
        <v/>
      </c>
    </row>
    <row r="40" ht="18" customHeight="1" s="108">
      <c r="A40" s="360" t="inlineStr">
        <is>
          <t>PROBLEMA FINANCEIRO / CRÉDITO</t>
        </is>
      </c>
      <c r="B40" s="351">
        <f>IF(OR($C$1="",$C$1="TODOS"),COUNTIFS('DRAFT 2'!$A$3:$A$5000,"&gt;="&amp;$E$1,'DRAFT 2'!$A$3:$A$5000,"&lt;="&amp;$F$1,'DRAFT 2'!$S$3:$S$5000,A40),COUNTIFS('DRAFT 2'!$A$3:$A$5000,"&gt;="&amp;$E$1,'DRAFT 2'!$A$3:$A$5000,"&lt;="&amp;$F$1,'DRAFT 2'!$B$3:$B$5000,$C$1,'DRAFT 2'!$S$3:$S$5000,A40))</f>
        <v/>
      </c>
      <c r="C40" s="367">
        <f>IFERROR(B40/B45,0)</f>
        <v/>
      </c>
      <c r="D40" s="351">
        <f>IF(OR($C$1="",$C$1="TODOS"),COUNTIFS('DRAFT 2'!$A$3:$A$5000,"&gt;="&amp;$E$1,'DRAFT 2'!$A$3:$A$5000,"&lt;="&amp;$F$1,'DRAFT 2'!$S$3:$S$5000,A40,'DRAFT 2'!$Q$3:$Q$5000,"PROSPECÇÃO"),COUNTIFS('DRAFT 2'!$A$3:$A$5000,"&gt;="&amp;$E$1,'DRAFT 2'!$A$3:$A$5000,"&lt;="&amp;$F$1,'DRAFT 2'!$B$3:$B$5000,$C$1,'DRAFT 2'!$S$3:$S$5000,A40,'DRAFT 2'!$Q$3:$Q$5000,"PROSPECÇÃO"))</f>
        <v/>
      </c>
      <c r="E40" s="351">
        <f>IF(OR($C$1="",$C$1="TODOS"),COUNTIFS('DRAFT 2'!$A$3:$A$5000,"&gt;="&amp;$E$1,'DRAFT 2'!$A$3:$A$5000,"&lt;="&amp;$F$1,'DRAFT 2'!$S$3:$S$5000,A40,'DRAFT 2'!$Q$3:$Q$5000,"ATEND. CLIENTES ATIVOS"),COUNTIFS('DRAFT 2'!$A$3:$A$5000,"&gt;="&amp;$E$1,'DRAFT 2'!$A$3:$A$5000,"&lt;="&amp;$F$1,'DRAFT 2'!$B$3:$B$5000,$C$1,'DRAFT 2'!$S$3:$S$5000,A40,'DRAFT 2'!$Q$3:$Q$5000,"ATEND. CLIENTES ATIVOS"))</f>
        <v/>
      </c>
      <c r="F40" s="351">
        <f>IF(OR($C$1="",$C$1="TODOS"),COUNTIFS('DRAFT 2'!$A$3:$A$5000,"&gt;="&amp;$E$1,'DRAFT 2'!$A$3:$A$5000,"&lt;="&amp;$F$1,'DRAFT 2'!$S$3:$S$5000,A40,'DRAFT 2'!$Q$3:$Q$5000,"ATEND. CLIENTES INATIVOS"),COUNTIFS('DRAFT 2'!$A$3:$A$5000,"&gt;="&amp;$E$1,'DRAFT 2'!$A$3:$A$5000,"&lt;="&amp;$F$1,'DRAFT 2'!$B$3:$B$5000,$C$1,'DRAFT 2'!$S$3:$S$5000,A40,'DRAFT 2'!$Q$3:$Q$5000,"ATEND. CLIENTES INATIVOS"))</f>
        <v/>
      </c>
      <c r="G40" s="351">
        <f>IF(OR($C$1="",$C$1="TODOS"),COUNTIFS('DRAFT 2'!$A$3:$A$5000,"&gt;="&amp;$E$1,'DRAFT 2'!$A$3:$A$5000,"&lt;="&amp;$F$1,'DRAFT 2'!$S$3:$S$5000,A40,'DRAFT 2'!$Q$3:$Q$5000,"PÓS-VENDA / RELACIONAMENTO"),COUNTIFS('DRAFT 2'!$A$3:$A$5000,"&gt;="&amp;$E$1,'DRAFT 2'!$A$3:$A$5000,"&lt;="&amp;$F$1,'DRAFT 2'!$B$3:$B$5000,$C$1,'DRAFT 2'!$S$3:$S$5000,A40,'DRAFT 2'!$Q$3:$Q$5000,"PÓS-VENDA / RELACIONAMENTO"))</f>
        <v/>
      </c>
    </row>
    <row r="41" ht="15" customHeight="1" s="108">
      <c r="A41" s="360" t="inlineStr">
        <is>
          <t>PROPRIETARIO / INDISPONÍVEL</t>
        </is>
      </c>
      <c r="B41" s="351">
        <f>IF(OR($C$1="",$C$1="TODOS"),COUNTIFS('DRAFT 2'!$A$3:$A$5000,"&gt;="&amp;$E$1,'DRAFT 2'!$A$3:$A$5000,"&lt;="&amp;$F$1,'DRAFT 2'!$S$3:$S$5000,A41),COUNTIFS('DRAFT 2'!$A$3:$A$5000,"&gt;="&amp;$E$1,'DRAFT 2'!$A$3:$A$5000,"&lt;="&amp;$F$1,'DRAFT 2'!$B$3:$B$5000,$C$1,'DRAFT 2'!$S$3:$S$5000,A41))</f>
        <v/>
      </c>
      <c r="C41" s="367">
        <f>IFERROR(B41/B45,0)</f>
        <v/>
      </c>
      <c r="D41" s="351">
        <f>IF(OR($C$1="",$C$1="TODOS"),COUNTIFS('DRAFT 2'!$A$3:$A$5000,"&gt;="&amp;$E$1,'DRAFT 2'!$A$3:$A$5000,"&lt;="&amp;$F$1,'DRAFT 2'!$S$3:$S$5000,A41,'DRAFT 2'!$Q$3:$Q$5000,"PROSPECÇÃO"),COUNTIFS('DRAFT 2'!$A$3:$A$5000,"&gt;="&amp;$E$1,'DRAFT 2'!$A$3:$A$5000,"&lt;="&amp;$F$1,'DRAFT 2'!$B$3:$B$5000,$C$1,'DRAFT 2'!$S$3:$S$5000,A41,'DRAFT 2'!$Q$3:$Q$5000,"PROSPECÇÃO"))</f>
        <v/>
      </c>
      <c r="E41" s="351">
        <f>IF(OR($C$1="",$C$1="TODOS"),COUNTIFS('DRAFT 2'!$A$3:$A$5000,"&gt;="&amp;$E$1,'DRAFT 2'!$A$3:$A$5000,"&lt;="&amp;$F$1,'DRAFT 2'!$S$3:$S$5000,A41,'DRAFT 2'!$Q$3:$Q$5000,"ATEND. CLIENTES ATIVOS"),COUNTIFS('DRAFT 2'!$A$3:$A$5000,"&gt;="&amp;$E$1,'DRAFT 2'!$A$3:$A$5000,"&lt;="&amp;$F$1,'DRAFT 2'!$B$3:$B$5000,$C$1,'DRAFT 2'!$S$3:$S$5000,A41,'DRAFT 2'!$Q$3:$Q$5000,"ATEND. CLIENTES ATIVOS"))</f>
        <v/>
      </c>
      <c r="F41" s="351">
        <f>IF(OR($C$1="",$C$1="TODOS"),COUNTIFS('DRAFT 2'!$A$3:$A$5000,"&gt;="&amp;$E$1,'DRAFT 2'!$A$3:$A$5000,"&lt;="&amp;$F$1,'DRAFT 2'!$S$3:$S$5000,A41,'DRAFT 2'!$Q$3:$Q$5000,"ATEND. CLIENTES INATIVOS"),COUNTIFS('DRAFT 2'!$A$3:$A$5000,"&gt;="&amp;$E$1,'DRAFT 2'!$A$3:$A$5000,"&lt;="&amp;$F$1,'DRAFT 2'!$B$3:$B$5000,$C$1,'DRAFT 2'!$S$3:$S$5000,A41,'DRAFT 2'!$Q$3:$Q$5000,"ATEND. CLIENTES INATIVOS"))</f>
        <v/>
      </c>
      <c r="G41" s="351">
        <f>IF(OR($C$1="",$C$1="TODOS"),COUNTIFS('DRAFT 2'!$A$3:$A$5000,"&gt;="&amp;$E$1,'DRAFT 2'!$A$3:$A$5000,"&lt;="&amp;$F$1,'DRAFT 2'!$S$3:$S$5000,A41,'DRAFT 2'!$Q$3:$Q$5000,"PÓS-VENDA / RELACIONAMENTO"),COUNTIFS('DRAFT 2'!$A$3:$A$5000,"&gt;="&amp;$E$1,'DRAFT 2'!$A$3:$A$5000,"&lt;="&amp;$F$1,'DRAFT 2'!$B$3:$B$5000,$C$1,'DRAFT 2'!$S$3:$S$5000,A41,'DRAFT 2'!$Q$3:$Q$5000,"PÓS-VENDA / RELACIONAMENTO"))</f>
        <v/>
      </c>
      <c r="I41" s="356" t="inlineStr">
        <is>
          <t>CONSULTOR</t>
        </is>
      </c>
      <c r="J41" s="357" t="inlineStr">
        <is>
          <t>FUNIL</t>
        </is>
      </c>
      <c r="K41" s="357" t="inlineStr">
        <is>
          <t>RELAC.</t>
        </is>
      </c>
      <c r="L41" s="357" t="inlineStr">
        <is>
          <t>NÃO VENDA</t>
        </is>
      </c>
    </row>
    <row r="42" ht="18" customHeight="1" s="108">
      <c r="A42" s="360" t="inlineStr">
        <is>
          <t>FECHANDO / FECHOU LOJA</t>
        </is>
      </c>
      <c r="B42" s="351">
        <f>IF(OR($C$1="",$C$1="TODOS"),COUNTIFS('DRAFT 2'!$A$3:$A$5000,"&gt;="&amp;$E$1,'DRAFT 2'!$A$3:$A$5000,"&lt;="&amp;$F$1,'DRAFT 2'!$S$3:$S$5000,A42),COUNTIFS('DRAFT 2'!$A$3:$A$5000,"&gt;="&amp;$E$1,'DRAFT 2'!$A$3:$A$5000,"&lt;="&amp;$F$1,'DRAFT 2'!$B$3:$B$5000,$C$1,'DRAFT 2'!$S$3:$S$5000,A42))</f>
        <v/>
      </c>
      <c r="C42" s="367">
        <f>IFERROR(B42/B45,0)</f>
        <v/>
      </c>
      <c r="D42" s="351">
        <f>IF(OR($C$1="",$C$1="TODOS"),COUNTIFS('DRAFT 2'!$A$3:$A$5000,"&gt;="&amp;$E$1,'DRAFT 2'!$A$3:$A$5000,"&lt;="&amp;$F$1,'DRAFT 2'!$S$3:$S$5000,A42,'DRAFT 2'!$Q$3:$Q$5000,"PROSPECÇÃO"),COUNTIFS('DRAFT 2'!$A$3:$A$5000,"&gt;="&amp;$E$1,'DRAFT 2'!$A$3:$A$5000,"&lt;="&amp;$F$1,'DRAFT 2'!$B$3:$B$5000,$C$1,'DRAFT 2'!$S$3:$S$5000,A42,'DRAFT 2'!$Q$3:$Q$5000,"PROSPECÇÃO"))</f>
        <v/>
      </c>
      <c r="E42" s="351">
        <f>IF(OR($C$1="",$C$1="TODOS"),COUNTIFS('DRAFT 2'!$A$3:$A$5000,"&gt;="&amp;$E$1,'DRAFT 2'!$A$3:$A$5000,"&lt;="&amp;$F$1,'DRAFT 2'!$S$3:$S$5000,A42,'DRAFT 2'!$Q$3:$Q$5000,"ATEND. CLIENTES ATIVOS"),COUNTIFS('DRAFT 2'!$A$3:$A$5000,"&gt;="&amp;$E$1,'DRAFT 2'!$A$3:$A$5000,"&lt;="&amp;$F$1,'DRAFT 2'!$B$3:$B$5000,$C$1,'DRAFT 2'!$S$3:$S$5000,A42,'DRAFT 2'!$Q$3:$Q$5000,"ATEND. CLIENTES ATIVOS"))</f>
        <v/>
      </c>
      <c r="F42" s="351">
        <f>IF(OR($C$1="",$C$1="TODOS"),COUNTIFS('DRAFT 2'!$A$3:$A$5000,"&gt;="&amp;$E$1,'DRAFT 2'!$A$3:$A$5000,"&lt;="&amp;$F$1,'DRAFT 2'!$S$3:$S$5000,A42,'DRAFT 2'!$Q$3:$Q$5000,"ATEND. CLIENTES INATIVOS"),COUNTIFS('DRAFT 2'!$A$3:$A$5000,"&gt;="&amp;$E$1,'DRAFT 2'!$A$3:$A$5000,"&lt;="&amp;$F$1,'DRAFT 2'!$B$3:$B$5000,$C$1,'DRAFT 2'!$S$3:$S$5000,A42,'DRAFT 2'!$Q$3:$Q$5000,"ATEND. CLIENTES INATIVOS"))</f>
        <v/>
      </c>
      <c r="G42" s="351">
        <f>IF(OR($C$1="",$C$1="TODOS"),COUNTIFS('DRAFT 2'!$A$3:$A$5000,"&gt;="&amp;$E$1,'DRAFT 2'!$A$3:$A$5000,"&lt;="&amp;$F$1,'DRAFT 2'!$S$3:$S$5000,A42,'DRAFT 2'!$Q$3:$Q$5000,"PÓS-VENDA / RELACIONAMENTO"),COUNTIFS('DRAFT 2'!$A$3:$A$5000,"&gt;="&amp;$E$1,'DRAFT 2'!$A$3:$A$5000,"&lt;="&amp;$F$1,'DRAFT 2'!$B$3:$B$5000,$C$1,'DRAFT 2'!$S$3:$S$5000,A42,'DRAFT 2'!$Q$3:$Q$5000,"PÓS-VENDA / RELACIONAMENTO"))</f>
        <v/>
      </c>
      <c r="I42" s="360" t="inlineStr">
        <is>
          <t>MANU DITZEL</t>
        </is>
      </c>
      <c r="J42" s="351">
        <f>COUNTIFS('DRAFT 2'!$A$3:$A$5000,"&gt;="&amp;$E$1,'DRAFT 2'!$A$3:$A$5000,"&lt;="&amp;$F$1,'DRAFT 2'!$B$3:$B$5000,I42,'DRAFT 2'!$R$3:$R$5000,"EM ATENDIMENTO")+COUNTIFS('DRAFT 2'!$A$3:$A$5000,"&gt;="&amp;$E$1,'DRAFT 2'!$A$3:$A$5000,"&lt;="&amp;$F$1,'DRAFT 2'!$B$3:$B$5000,I42,'DRAFT 2'!$R$3:$R$5000,"ORÇAMENTO")+COUNTIFS('DRAFT 2'!$A$3:$A$5000,"&gt;="&amp;$E$1,'DRAFT 2'!$A$3:$A$5000,"&lt;="&amp;$F$1,'DRAFT 2'!$B$3:$B$5000,I42,'DRAFT 2'!$R$3:$R$5000,"CADASTRO")+COUNTIFS('DRAFT 2'!$A$3:$A$5000,"&gt;="&amp;$E$1,'DRAFT 2'!$A$3:$A$5000,"&lt;="&amp;$F$1,'DRAFT 2'!$B$3:$B$5000,I42,'DRAFT 2'!$R$3:$R$5000,"VENDA / PEDIDO")</f>
        <v/>
      </c>
      <c r="K42" s="351">
        <f>COUNTIFS('DRAFT 2'!$A$3:$A$5000,"&gt;="&amp;$E$1,'DRAFT 2'!$A$3:$A$5000,"&lt;="&amp;$F$1,'DRAFT 2'!$B$3:$B$5000,I42,'DRAFT 2'!$R$3:$R$5000,"RELACIONAMENTO")+COUNTIFS('DRAFT 2'!$A$3:$A$5000,"&gt;="&amp;$E$1,'DRAFT 2'!$A$3:$A$5000,"&lt;="&amp;$F$1,'DRAFT 2'!$B$3:$B$5000,I42,'DRAFT 2'!$R$3:$R$5000,"FOLLOW UP 7")+COUNTIFS('DRAFT 2'!$A$3:$A$5000,"&gt;="&amp;$E$1,'DRAFT 2'!$A$3:$A$5000,"&lt;="&amp;$F$1,'DRAFT 2'!$B$3:$B$5000,I42,'DRAFT 2'!$R$3:$R$5000,"FOLLOW UP 15")+COUNTIFS('DRAFT 2'!$A$3:$A$5000,"&gt;="&amp;$E$1,'DRAFT 2'!$A$3:$A$5000,"&lt;="&amp;$F$1,'DRAFT 2'!$B$3:$B$5000,I42,'DRAFT 2'!$R$3:$R$5000,"SUPORTE")</f>
        <v/>
      </c>
      <c r="L42" s="351">
        <f>COUNTIFS('DRAFT 2'!$A$3:$A$5000,"&gt;="&amp;$E$1,'DRAFT 2'!$A$3:$A$5000,"&lt;="&amp;$F$1,'DRAFT 2'!$B$3:$B$5000,I42,'DRAFT 2'!$R$3:$R$5000,"NÃO ATENDE")+COUNTIFS('DRAFT 2'!$A$3:$A$5000,"&gt;="&amp;$E$1,'DRAFT 2'!$A$3:$A$5000,"&lt;="&amp;$F$1,'DRAFT 2'!$B$3:$B$5000,I42,'DRAFT 2'!$R$3:$R$5000,"NÃO RESPONDE")+COUNTIFS('DRAFT 2'!$A$3:$A$5000,"&gt;="&amp;$E$1,'DRAFT 2'!$A$3:$A$5000,"&lt;="&amp;$F$1,'DRAFT 2'!$B$3:$B$5000,I42,'DRAFT 2'!$R$3:$R$5000,"RECUSOU LIGAÇÃO")+COUNTIFS('DRAFT 2'!$A$3:$A$5000,"&gt;="&amp;$E$1,'DRAFT 2'!$A$3:$A$5000,"&lt;="&amp;$F$1,'DRAFT 2'!$B$3:$B$5000,I42,'DRAFT 2'!$R$3:$R$5000,"PERDA / FECHOU LOJA")</f>
        <v/>
      </c>
    </row>
    <row r="43" ht="18" customHeight="1" s="108">
      <c r="A43" s="360" t="inlineStr">
        <is>
          <t>SEM INTERESSE NO MOMENTO</t>
        </is>
      </c>
      <c r="B43" s="351">
        <f>IF(OR($C$1="",$C$1="TODOS"),COUNTIFS('DRAFT 2'!$A$3:$A$5000,"&gt;="&amp;$E$1,'DRAFT 2'!$A$3:$A$5000,"&lt;="&amp;$F$1,'DRAFT 2'!$S$3:$S$5000,A43),COUNTIFS('DRAFT 2'!$A$3:$A$5000,"&gt;="&amp;$E$1,'DRAFT 2'!$A$3:$A$5000,"&lt;="&amp;$F$1,'DRAFT 2'!$B$3:$B$5000,$C$1,'DRAFT 2'!$S$3:$S$5000,A43))</f>
        <v/>
      </c>
      <c r="C43" s="367">
        <f>IFERROR(B43/B45,0)</f>
        <v/>
      </c>
      <c r="D43" s="351">
        <f>IF(OR($C$1="",$C$1="TODOS"),COUNTIFS('DRAFT 2'!$A$3:$A$5000,"&gt;="&amp;$E$1,'DRAFT 2'!$A$3:$A$5000,"&lt;="&amp;$F$1,'DRAFT 2'!$S$3:$S$5000,A43,'DRAFT 2'!$Q$3:$Q$5000,"PROSPECÇÃO"),COUNTIFS('DRAFT 2'!$A$3:$A$5000,"&gt;="&amp;$E$1,'DRAFT 2'!$A$3:$A$5000,"&lt;="&amp;$F$1,'DRAFT 2'!$B$3:$B$5000,$C$1,'DRAFT 2'!$S$3:$S$5000,A43,'DRAFT 2'!$Q$3:$Q$5000,"PROSPECÇÃO"))</f>
        <v/>
      </c>
      <c r="E43" s="351">
        <f>IF(OR($C$1="",$C$1="TODOS"),COUNTIFS('DRAFT 2'!$A$3:$A$5000,"&gt;="&amp;$E$1,'DRAFT 2'!$A$3:$A$5000,"&lt;="&amp;$F$1,'DRAFT 2'!$S$3:$S$5000,A43,'DRAFT 2'!$Q$3:$Q$5000,"ATEND. CLIENTES ATIVOS"),COUNTIFS('DRAFT 2'!$A$3:$A$5000,"&gt;="&amp;$E$1,'DRAFT 2'!$A$3:$A$5000,"&lt;="&amp;$F$1,'DRAFT 2'!$B$3:$B$5000,$C$1,'DRAFT 2'!$S$3:$S$5000,A43,'DRAFT 2'!$Q$3:$Q$5000,"ATEND. CLIENTES ATIVOS"))</f>
        <v/>
      </c>
      <c r="F43" s="351">
        <f>IF(OR($C$1="",$C$1="TODOS"),COUNTIFS('DRAFT 2'!$A$3:$A$5000,"&gt;="&amp;$E$1,'DRAFT 2'!$A$3:$A$5000,"&lt;="&amp;$F$1,'DRAFT 2'!$S$3:$S$5000,A43,'DRAFT 2'!$Q$3:$Q$5000,"ATEND. CLIENTES INATIVOS"),COUNTIFS('DRAFT 2'!$A$3:$A$5000,"&gt;="&amp;$E$1,'DRAFT 2'!$A$3:$A$5000,"&lt;="&amp;$F$1,'DRAFT 2'!$B$3:$B$5000,$C$1,'DRAFT 2'!$S$3:$S$5000,A43,'DRAFT 2'!$Q$3:$Q$5000,"ATEND. CLIENTES INATIVOS"))</f>
        <v/>
      </c>
      <c r="G43" s="351">
        <f>IF(OR($C$1="",$C$1="TODOS"),COUNTIFS('DRAFT 2'!$A$3:$A$5000,"&gt;="&amp;$E$1,'DRAFT 2'!$A$3:$A$5000,"&lt;="&amp;$F$1,'DRAFT 2'!$S$3:$S$5000,A43,'DRAFT 2'!$Q$3:$Q$5000,"PÓS-VENDA / RELACIONAMENTO"),COUNTIFS('DRAFT 2'!$A$3:$A$5000,"&gt;="&amp;$E$1,'DRAFT 2'!$A$3:$A$5000,"&lt;="&amp;$F$1,'DRAFT 2'!$B$3:$B$5000,$C$1,'DRAFT 2'!$S$3:$S$5000,A43,'DRAFT 2'!$Q$3:$Q$5000,"PÓS-VENDA / RELACIONAMENTO"))</f>
        <v/>
      </c>
      <c r="I43" s="360" t="inlineStr">
        <is>
          <t>LARISSA PADILHA</t>
        </is>
      </c>
      <c r="J43" s="351">
        <f>COUNTIFS('DRAFT 2'!$A$3:$A$5000,"&gt;="&amp;$E$1,'DRAFT 2'!$A$3:$A$5000,"&lt;="&amp;$F$1,'DRAFT 2'!$B$3:$B$5000,I43,'DRAFT 2'!$R$3:$R$5000,"EM ATENDIMENTO")+COUNTIFS('DRAFT 2'!$A$3:$A$5000,"&gt;="&amp;$E$1,'DRAFT 2'!$A$3:$A$5000,"&lt;="&amp;$F$1,'DRAFT 2'!$B$3:$B$5000,I43,'DRAFT 2'!$R$3:$R$5000,"ORÇAMENTO")+COUNTIFS('DRAFT 2'!$A$3:$A$5000,"&gt;="&amp;$E$1,'DRAFT 2'!$A$3:$A$5000,"&lt;="&amp;$F$1,'DRAFT 2'!$B$3:$B$5000,I43,'DRAFT 2'!$R$3:$R$5000,"CADASTRO")+COUNTIFS('DRAFT 2'!$A$3:$A$5000,"&gt;="&amp;$E$1,'DRAFT 2'!$A$3:$A$5000,"&lt;="&amp;$F$1,'DRAFT 2'!$B$3:$B$5000,I43,'DRAFT 2'!$R$3:$R$5000,"VENDA / PEDIDO")</f>
        <v/>
      </c>
      <c r="K43" s="351">
        <f>COUNTIFS('DRAFT 2'!$A$3:$A$5000,"&gt;="&amp;$E$1,'DRAFT 2'!$A$3:$A$5000,"&lt;="&amp;$F$1,'DRAFT 2'!$B$3:$B$5000,I43,'DRAFT 2'!$R$3:$R$5000,"RELACIONAMENTO")+COUNTIFS('DRAFT 2'!$A$3:$A$5000,"&gt;="&amp;$E$1,'DRAFT 2'!$A$3:$A$5000,"&lt;="&amp;$F$1,'DRAFT 2'!$B$3:$B$5000,I43,'DRAFT 2'!$R$3:$R$5000,"FOLLOW UP 7")+COUNTIFS('DRAFT 2'!$A$3:$A$5000,"&gt;="&amp;$E$1,'DRAFT 2'!$A$3:$A$5000,"&lt;="&amp;$F$1,'DRAFT 2'!$B$3:$B$5000,I43,'DRAFT 2'!$R$3:$R$5000,"FOLLOW UP 15")+COUNTIFS('DRAFT 2'!$A$3:$A$5000,"&gt;="&amp;$E$1,'DRAFT 2'!$A$3:$A$5000,"&lt;="&amp;$F$1,'DRAFT 2'!$B$3:$B$5000,I43,'DRAFT 2'!$R$3:$R$5000,"SUPORTE")</f>
        <v/>
      </c>
      <c r="L43" s="351">
        <f>COUNTIFS('DRAFT 2'!$A$3:$A$5000,"&gt;="&amp;$E$1,'DRAFT 2'!$A$3:$A$5000,"&lt;="&amp;$F$1,'DRAFT 2'!$B$3:$B$5000,I43,'DRAFT 2'!$R$3:$R$5000,"NÃO ATENDE")+COUNTIFS('DRAFT 2'!$A$3:$A$5000,"&gt;="&amp;$E$1,'DRAFT 2'!$A$3:$A$5000,"&lt;="&amp;$F$1,'DRAFT 2'!$B$3:$B$5000,I43,'DRAFT 2'!$R$3:$R$5000,"NÃO RESPONDE")+COUNTIFS('DRAFT 2'!$A$3:$A$5000,"&gt;="&amp;$E$1,'DRAFT 2'!$A$3:$A$5000,"&lt;="&amp;$F$1,'DRAFT 2'!$B$3:$B$5000,I43,'DRAFT 2'!$R$3:$R$5000,"RECUSOU LIGAÇÃO")+COUNTIFS('DRAFT 2'!$A$3:$A$5000,"&gt;="&amp;$E$1,'DRAFT 2'!$A$3:$A$5000,"&lt;="&amp;$F$1,'DRAFT 2'!$B$3:$B$5000,I43,'DRAFT 2'!$R$3:$R$5000,"PERDA / FECHOU LOJA")</f>
        <v/>
      </c>
    </row>
    <row r="44" ht="18" customHeight="1" s="108">
      <c r="A44" s="360" t="inlineStr">
        <is>
          <t>PRIMEIRO CONTATO / SEM RESPOSTA</t>
        </is>
      </c>
      <c r="B44" s="351">
        <f>IF(OR($C$1="",$C$1="TODOS"),COUNTIFS('DRAFT 2'!$A$3:$A$5000,"&gt;="&amp;$E$1,'DRAFT 2'!$A$3:$A$5000,"&lt;="&amp;$F$1,'DRAFT 2'!$S$3:$S$5000,A44),COUNTIFS('DRAFT 2'!$A$3:$A$5000,"&gt;="&amp;$E$1,'DRAFT 2'!$A$3:$A$5000,"&lt;="&amp;$F$1,'DRAFT 2'!$B$3:$B$5000,$C$1,'DRAFT 2'!$S$3:$S$5000,A44))</f>
        <v/>
      </c>
      <c r="C44" s="367">
        <f>IFERROR(B44/B45,0)</f>
        <v/>
      </c>
      <c r="D44" s="351">
        <f>IF(OR($C$1="",$C$1="TODOS"),COUNTIFS('DRAFT 2'!$A$3:$A$5000,"&gt;="&amp;$E$1,'DRAFT 2'!$A$3:$A$5000,"&lt;="&amp;$F$1,'DRAFT 2'!$S$3:$S$5000,A44,'DRAFT 2'!$Q$3:$Q$5000,"PROSPECÇÃO"),COUNTIFS('DRAFT 2'!$A$3:$A$5000,"&gt;="&amp;$E$1,'DRAFT 2'!$A$3:$A$5000,"&lt;="&amp;$F$1,'DRAFT 2'!$B$3:$B$5000,$C$1,'DRAFT 2'!$S$3:$S$5000,A44,'DRAFT 2'!$Q$3:$Q$5000,"PROSPECÇÃO"))</f>
        <v/>
      </c>
      <c r="E44" s="351">
        <f>IF(OR($C$1="",$C$1="TODOS"),COUNTIFS('DRAFT 2'!$A$3:$A$5000,"&gt;="&amp;$E$1,'DRAFT 2'!$A$3:$A$5000,"&lt;="&amp;$F$1,'DRAFT 2'!$S$3:$S$5000,A44,'DRAFT 2'!$Q$3:$Q$5000,"ATEND. CLIENTES ATIVOS"),COUNTIFS('DRAFT 2'!$A$3:$A$5000,"&gt;="&amp;$E$1,'DRAFT 2'!$A$3:$A$5000,"&lt;="&amp;$F$1,'DRAFT 2'!$B$3:$B$5000,$C$1,'DRAFT 2'!$S$3:$S$5000,A44,'DRAFT 2'!$Q$3:$Q$5000,"ATEND. CLIENTES ATIVOS"))</f>
        <v/>
      </c>
      <c r="F44" s="351">
        <f>IF(OR($C$1="",$C$1="TODOS"),COUNTIFS('DRAFT 2'!$A$3:$A$5000,"&gt;="&amp;$E$1,'DRAFT 2'!$A$3:$A$5000,"&lt;="&amp;$F$1,'DRAFT 2'!$S$3:$S$5000,A44,'DRAFT 2'!$Q$3:$Q$5000,"ATEND. CLIENTES INATIVOS"),COUNTIFS('DRAFT 2'!$A$3:$A$5000,"&gt;="&amp;$E$1,'DRAFT 2'!$A$3:$A$5000,"&lt;="&amp;$F$1,'DRAFT 2'!$B$3:$B$5000,$C$1,'DRAFT 2'!$S$3:$S$5000,A44,'DRAFT 2'!$Q$3:$Q$5000,"ATEND. CLIENTES INATIVOS"))</f>
        <v/>
      </c>
      <c r="G44" s="351">
        <f>IF(OR($C$1="",$C$1="TODOS"),COUNTIFS('DRAFT 2'!$A$3:$A$5000,"&gt;="&amp;$E$1,'DRAFT 2'!$A$3:$A$5000,"&lt;="&amp;$F$1,'DRAFT 2'!$S$3:$S$5000,A44,'DRAFT 2'!$Q$3:$Q$5000,"PÓS-VENDA / RELACIONAMENTO"),COUNTIFS('DRAFT 2'!$A$3:$A$5000,"&gt;="&amp;$E$1,'DRAFT 2'!$A$3:$A$5000,"&lt;="&amp;$F$1,'DRAFT 2'!$B$3:$B$5000,$C$1,'DRAFT 2'!$S$3:$S$5000,A44,'DRAFT 2'!$Q$3:$Q$5000,"PÓS-VENDA / RELACIONAMENTO"))</f>
        <v/>
      </c>
      <c r="I44" s="360" t="inlineStr">
        <is>
          <t>JULIO GADRET</t>
        </is>
      </c>
      <c r="J44" s="351">
        <f>COUNTIFS('DRAFT 2'!$A$3:$A$5000,"&gt;="&amp;$E$1,'DRAFT 2'!$A$3:$A$5000,"&lt;="&amp;$F$1,'DRAFT 2'!$B$3:$B$5000,I44,'DRAFT 2'!$R$3:$R$5000,"EM ATENDIMENTO")+COUNTIFS('DRAFT 2'!$A$3:$A$5000,"&gt;="&amp;$E$1,'DRAFT 2'!$A$3:$A$5000,"&lt;="&amp;$F$1,'DRAFT 2'!$B$3:$B$5000,I44,'DRAFT 2'!$R$3:$R$5000,"ORÇAMENTO")+COUNTIFS('DRAFT 2'!$A$3:$A$5000,"&gt;="&amp;$E$1,'DRAFT 2'!$A$3:$A$5000,"&lt;="&amp;$F$1,'DRAFT 2'!$B$3:$B$5000,I44,'DRAFT 2'!$R$3:$R$5000,"CADASTRO")+COUNTIFS('DRAFT 2'!$A$3:$A$5000,"&gt;="&amp;$E$1,'DRAFT 2'!$A$3:$A$5000,"&lt;="&amp;$F$1,'DRAFT 2'!$B$3:$B$5000,I44,'DRAFT 2'!$R$3:$R$5000,"VENDA / PEDIDO")</f>
        <v/>
      </c>
      <c r="K44" s="351">
        <f>COUNTIFS('DRAFT 2'!$A$3:$A$5000,"&gt;="&amp;$E$1,'DRAFT 2'!$A$3:$A$5000,"&lt;="&amp;$F$1,'DRAFT 2'!$B$3:$B$5000,I44,'DRAFT 2'!$R$3:$R$5000,"RELACIONAMENTO")+COUNTIFS('DRAFT 2'!$A$3:$A$5000,"&gt;="&amp;$E$1,'DRAFT 2'!$A$3:$A$5000,"&lt;="&amp;$F$1,'DRAFT 2'!$B$3:$B$5000,I44,'DRAFT 2'!$R$3:$R$5000,"FOLLOW UP 7")+COUNTIFS('DRAFT 2'!$A$3:$A$5000,"&gt;="&amp;$E$1,'DRAFT 2'!$A$3:$A$5000,"&lt;="&amp;$F$1,'DRAFT 2'!$B$3:$B$5000,I44,'DRAFT 2'!$R$3:$R$5000,"FOLLOW UP 15")+COUNTIFS('DRAFT 2'!$A$3:$A$5000,"&gt;="&amp;$E$1,'DRAFT 2'!$A$3:$A$5000,"&lt;="&amp;$F$1,'DRAFT 2'!$B$3:$B$5000,I44,'DRAFT 2'!$R$3:$R$5000,"SUPORTE")</f>
        <v/>
      </c>
      <c r="L44" s="351">
        <f>COUNTIFS('DRAFT 2'!$A$3:$A$5000,"&gt;="&amp;$E$1,'DRAFT 2'!$A$3:$A$5000,"&lt;="&amp;$F$1,'DRAFT 2'!$B$3:$B$5000,I44,'DRAFT 2'!$R$3:$R$5000,"NÃO ATENDE")+COUNTIFS('DRAFT 2'!$A$3:$A$5000,"&gt;="&amp;$E$1,'DRAFT 2'!$A$3:$A$5000,"&lt;="&amp;$F$1,'DRAFT 2'!$B$3:$B$5000,I44,'DRAFT 2'!$R$3:$R$5000,"NÃO RESPONDE")+COUNTIFS('DRAFT 2'!$A$3:$A$5000,"&gt;="&amp;$E$1,'DRAFT 2'!$A$3:$A$5000,"&lt;="&amp;$F$1,'DRAFT 2'!$B$3:$B$5000,I44,'DRAFT 2'!$R$3:$R$5000,"RECUSOU LIGAÇÃO")+COUNTIFS('DRAFT 2'!$A$3:$A$5000,"&gt;="&amp;$E$1,'DRAFT 2'!$A$3:$A$5000,"&lt;="&amp;$F$1,'DRAFT 2'!$B$3:$B$5000,I44,'DRAFT 2'!$R$3:$R$5000,"PERDA / FECHOU LOJA")</f>
        <v/>
      </c>
    </row>
    <row r="45" ht="15" customHeight="1" s="108">
      <c r="A45" s="356" t="inlineStr">
        <is>
          <t>TOTAL</t>
        </is>
      </c>
      <c r="B45" s="357">
        <f>SUM(B35:B44)</f>
        <v/>
      </c>
      <c r="C45" s="368">
        <f>IFERROR(B45/B45,0)</f>
        <v/>
      </c>
      <c r="D45" s="357">
        <f>SUM(D35:D44)</f>
        <v/>
      </c>
      <c r="E45" s="357">
        <f>SUM(E35:E44)</f>
        <v/>
      </c>
      <c r="F45" s="357">
        <f>SUM(F35:F44)</f>
        <v/>
      </c>
      <c r="G45" s="357">
        <f>SUM(G35:G44)</f>
        <v/>
      </c>
      <c r="I45" s="360" t="inlineStr">
        <is>
          <t>DAIANE STAVICKI</t>
        </is>
      </c>
      <c r="J45" s="351">
        <f>COUNTIFS('DRAFT 2'!$A$3:$A$5000,"&gt;="&amp;$E$1,'DRAFT 2'!$A$3:$A$5000,"&lt;="&amp;$F$1,'DRAFT 2'!$B$3:$B$5000,I45,'DRAFT 2'!$R$3:$R$5000,"EM ATENDIMENTO")+COUNTIFS('DRAFT 2'!$A$3:$A$5000,"&gt;="&amp;$E$1,'DRAFT 2'!$A$3:$A$5000,"&lt;="&amp;$F$1,'DRAFT 2'!$B$3:$B$5000,I45,'DRAFT 2'!$R$3:$R$5000,"ORÇAMENTO")+COUNTIFS('DRAFT 2'!$A$3:$A$5000,"&gt;="&amp;$E$1,'DRAFT 2'!$A$3:$A$5000,"&lt;="&amp;$F$1,'DRAFT 2'!$B$3:$B$5000,I45,'DRAFT 2'!$R$3:$R$5000,"CADASTRO")+COUNTIFS('DRAFT 2'!$A$3:$A$5000,"&gt;="&amp;$E$1,'DRAFT 2'!$A$3:$A$5000,"&lt;="&amp;$F$1,'DRAFT 2'!$B$3:$B$5000,I45,'DRAFT 2'!$R$3:$R$5000,"VENDA / PEDIDO")</f>
        <v/>
      </c>
      <c r="K45" s="351">
        <f>COUNTIFS('DRAFT 2'!$A$3:$A$5000,"&gt;="&amp;$E$1,'DRAFT 2'!$A$3:$A$5000,"&lt;="&amp;$F$1,'DRAFT 2'!$B$3:$B$5000,I45,'DRAFT 2'!$R$3:$R$5000,"RELACIONAMENTO")+COUNTIFS('DRAFT 2'!$A$3:$A$5000,"&gt;="&amp;$E$1,'DRAFT 2'!$A$3:$A$5000,"&lt;="&amp;$F$1,'DRAFT 2'!$B$3:$B$5000,I45,'DRAFT 2'!$R$3:$R$5000,"FOLLOW UP 7")+COUNTIFS('DRAFT 2'!$A$3:$A$5000,"&gt;="&amp;$E$1,'DRAFT 2'!$A$3:$A$5000,"&lt;="&amp;$F$1,'DRAFT 2'!$B$3:$B$5000,I45,'DRAFT 2'!$R$3:$R$5000,"FOLLOW UP 15")+COUNTIFS('DRAFT 2'!$A$3:$A$5000,"&gt;="&amp;$E$1,'DRAFT 2'!$A$3:$A$5000,"&lt;="&amp;$F$1,'DRAFT 2'!$B$3:$B$5000,I45,'DRAFT 2'!$R$3:$R$5000,"SUPORTE")</f>
        <v/>
      </c>
      <c r="L45" s="351">
        <f>COUNTIFS('DRAFT 2'!$A$3:$A$5000,"&gt;="&amp;$E$1,'DRAFT 2'!$A$3:$A$5000,"&lt;="&amp;$F$1,'DRAFT 2'!$B$3:$B$5000,I45,'DRAFT 2'!$R$3:$R$5000,"NÃO ATENDE")+COUNTIFS('DRAFT 2'!$A$3:$A$5000,"&gt;="&amp;$E$1,'DRAFT 2'!$A$3:$A$5000,"&lt;="&amp;$F$1,'DRAFT 2'!$B$3:$B$5000,I45,'DRAFT 2'!$R$3:$R$5000,"NÃO RESPONDE")+COUNTIFS('DRAFT 2'!$A$3:$A$5000,"&gt;="&amp;$E$1,'DRAFT 2'!$A$3:$A$5000,"&lt;="&amp;$F$1,'DRAFT 2'!$B$3:$B$5000,I45,'DRAFT 2'!$R$3:$R$5000,"RECUSOU LIGAÇÃO")+COUNTIFS('DRAFT 2'!$A$3:$A$5000,"&gt;="&amp;$E$1,'DRAFT 2'!$A$3:$A$5000,"&lt;="&amp;$F$1,'DRAFT 2'!$B$3:$B$5000,I45,'DRAFT 2'!$R$3:$R$5000,"PERDA / FECHOU LOJA")</f>
        <v/>
      </c>
    </row>
    <row r="46" ht="15" customHeight="1" s="108">
      <c r="I46" s="356" t="inlineStr">
        <is>
          <t>TOTAL</t>
        </is>
      </c>
      <c r="J46" s="357">
        <f>SUM(J42:J45)</f>
        <v/>
      </c>
      <c r="K46" s="357">
        <f>SUM(K42:K45)</f>
        <v/>
      </c>
      <c r="L46" s="357">
        <f>SUM(L42:L45)</f>
        <v/>
      </c>
    </row>
    <row r="47" ht="18" customHeight="1" s="108"/>
    <row r="48" ht="18" customHeight="1" s="108"/>
    <row r="49" ht="18" customHeight="1" s="108"/>
    <row r="50" ht="18" customHeight="1" s="108"/>
  </sheetData>
  <mergeCells count="8">
    <mergeCell ref="A18:Q18"/>
    <mergeCell ref="I33:Q33"/>
    <mergeCell ref="A4:M4"/>
    <mergeCell ref="M19:N19"/>
    <mergeCell ref="P19:Q19"/>
    <mergeCell ref="C19:F19"/>
    <mergeCell ref="A33:G33"/>
    <mergeCell ref="H19:K19"/>
  </mergeCells>
  <dataValidations count="1">
    <dataValidation sqref="C1" showDropDown="0" showInputMessage="0" showErrorMessage="0" allowBlank="1" type="list">
      <formula1>"TODOS,MANU DITZEL,LARISSA PADILHA,JULIO GADRET,DAIANE STAVICKI"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4.4"/>
  <sheetData>
    <row r="1">
      <c r="A1" s="111" t="inlineStr">
        <is>
          <t>Turn #</t>
        </is>
      </c>
      <c r="B1" s="111" t="inlineStr">
        <is>
          <t>Date</t>
        </is>
      </c>
      <c r="C1" s="111" t="inlineStr">
        <is>
          <t>User Request</t>
        </is>
      </c>
      <c r="D1" s="111" t="inlineStr">
        <is>
          <t>Action Taken</t>
        </is>
      </c>
      <c r="E1" s="111" t="inlineStr">
        <is>
          <t>Details</t>
        </is>
      </c>
      <c r="F1" s="111" t="inlineStr">
        <is>
          <t>Outcome</t>
        </is>
      </c>
    </row>
    <row r="2">
      <c r="A2" t="n">
        <v>1</v>
      </c>
      <c r="B2" s="47" t="n">
        <v>46062</v>
      </c>
      <c r="C2" t="inlineStr">
        <is>
          <t>Find and fix any formula errors, broken references, or circular dependencies in the spreadsheet.</t>
        </is>
      </c>
      <c r="D2" t="inlineStr">
        <is>
          <t>Full formula audit across all 7 sheets (REGRAS, CARTEIRA, DRAFT 1, LOG, DRAFT 2, AGENDA, DASH).</t>
        </is>
      </c>
      <c r="E2" t="inlineStr">
        <is>
          <t>Scanned all CSV values for #REF!, #VALUE!, #NAME?, #DIV/0!, #N/A, #NUM!, #CALC!, #SPILL!. Inspected formula structures on DASH (200+ COUNTIFS/SUMIFS), CARTEIRA (INDEX/MATCH, LOOKUP, IFERROR patterns across 257 cols), LOG (VLOOKUP to REGRAS), AGENDA (VLOOKUP to REGRAS), DRAFT 2 (data sheet, no formulas). All cross-sheet references valid. IFERROR wrappers protect against lookup failures. No circular refs detected.</t>
        </is>
      </c>
      <c r="F2" t="inlineStr">
        <is>
          <t>No errors found. All formulas are healthy — 0 error values, 0 broken references, 0 circular dependencies. Spreadsheet is clean.</t>
        </is>
      </c>
    </row>
    <row r="3">
      <c r="A3" t="n">
        <v>2</v>
      </c>
      <c r="B3" s="47" t="n">
        <v>46062</v>
      </c>
      <c r="C3" t="inlineStr">
        <is>
          <t>Pediu 'tradução' — traduzir o resultado da auditoria para português.</t>
        </is>
      </c>
      <c r="D3" t="inlineStr">
        <is>
          <t>Reapresentou o resultado da auditoria de fórmulas em português brasileiro.</t>
        </is>
      </c>
      <c r="E3" t="inlineStr">
        <is>
          <t>Nenhuma alteração na planilha. Apenas tradução do relatório da Turn 1.</t>
        </is>
      </c>
      <c r="F3" t="inlineStr">
        <is>
          <t>Resultado da auditoria entregue em PT-BR. Planilha continua limpa, sem erros.</t>
        </is>
      </c>
    </row>
    <row r="4">
      <c r="A4" t="n">
        <v>3</v>
      </c>
      <c r="B4" s="47" t="n">
        <v>46062</v>
      </c>
      <c r="C4" t="inlineStr">
        <is>
          <t>Perguntou como arrumar posição dos gráficos e dashboard. Pediu ajuste de colunas, separadores entre seções e formatação de títulos.</t>
        </is>
      </c>
      <c r="D4" t="inlineStr">
        <is>
          <t>Explicou dicas manuais para posicionar gráficos (Alt+arrastar). Ajustou largura das colunas, formatou títulos das 6 seções com fundo azul #1F4E79, e adicionou 5 linhas separadoras visuais (azul claro #D6E4F0, 8pt altura) entre blocos.</t>
        </is>
      </c>
      <c r="E4" t="inlineStr">
        <is>
          <t>Col A: 195pt, Col B-Q: 68pt. Títulos em linhas 4, 31, 56, 83, 110 formatados com bold 11pt branco sobre azul escuro. Separadores nas linhas 3, 29, 54, 81, 108 com fundo azul claro e borda inferior azul escuro.</t>
        </is>
      </c>
      <c r="F4" t="inlineStr">
        <is>
          <t>Dashboard DASH reorganizado visualmente. Gráficos precisam ser reposicionados manualmente pelo usuário (limitação do add-in). Dica: usar Alt ao arrastar para alinhar à grade.</t>
        </is>
      </c>
    </row>
    <row r="5">
      <c r="A5" t="n">
        <v>4</v>
      </c>
      <c r="B5" s="47" t="n">
        <v>46062</v>
      </c>
      <c r="C5" t="inlineStr">
        <is>
          <t>Perguntou o que eu melhoraria na estrutura do CRM. Pediu análise estratégica completa.</t>
        </is>
      </c>
      <c r="D5" t="inlineStr">
        <is>
          <t>Analisei toda a arquitetura do CRM e apresentei 8 recomendações priorizadas (3 alta, 3 média, 2 baixa). Identifiquei colunas vazias, fórmula com critério errado no DASH, e campos planejados nunca implementados.</t>
        </is>
      </c>
      <c r="E5" t="inlineStr">
        <is>
          <t>Análise cobriu: DRAFT 2 colunas I-M e T-V vazias, CARTEIRA colunas J/AQ/AZ/BC-BF sem dados, AGENDA subutilizada, LOG com dados de teste, DRAFT 1 vazio, DASH L5:L13 com critério 'FECHANDO LOJA' que não existe no REGRAS.</t>
        </is>
      </c>
      <c r="F5" t="inlineStr">
        <is>
          <t>8 recomendações apresentadas ao usuário com tabela resumo. Usuário pediu para implementar todas as melhorias viáveis.</t>
        </is>
      </c>
    </row>
    <row r="6">
      <c r="A6" t="n">
        <v>5</v>
      </c>
      <c r="B6" s="47" t="n">
        <v>46062</v>
      </c>
      <c r="C6" t="inlineStr">
        <is>
          <t>Usuário selecionou 'sem preferência' — implementar todas as melhorias viáveis automaticamente.</t>
        </is>
      </c>
      <c r="D6" t="inlineStr">
        <is>
          <t>1) Corrigiu bug DASH L6:L12 ('FECHANDO LOJA'→'PERDA / FECHOU LOJA'). 2) Substituiu coluna M redundante por FOLLOW UP (FU7+FU15). 3) Adicionou fórmulas automáticas em DRAFT 2: I(Estágio Funil), K(Fase), L(Sinaleiro), T(Follow-up), U(Ação Futura). 4) Adicionou data validation (dropdowns) em 9 colunas do DRAFT 2.</t>
        </is>
      </c>
      <c r="E6" t="inlineStr">
        <is>
          <t>DASH: L6:L12 agora usa critério correto (L10=4, L12=10). M5 renomeado para 'FOLLOW UP' soma FU7+FU15 (total=69). DRAFT 2: I=VLOOKUP REGRAS D col, K=IF aninhado por Resultado, L=IF por Situação+Dias, T=Data+VLOOKUP dias, U=IF por Resultado. Validação: R(Resultado), Q(Tipo Contato), S(Motivo), G(Situação), B(Consultor), N/O(Sim/Não), P(Sim/Não/N/A), W(Sim/Não). T3:T442 formatado como dd/mm/yyyy.</t>
        </is>
      </c>
      <c r="F6" t="inlineStr">
        <is>
          <t>Todas as fórmulas verificadas e funcionando. Exemplo: R='EM ATENDIMENTO' → I='FUNIL', K='EM ATENDIMENTO', U='PROSPECÇÃO'. R='SUPORTE' → T='SEM', K='PÓS-VENDA'. Sinaleiros: 🟢≤50d, 🟡≤90d, 🔴&gt;90d, 🟣=Prospect/Lead. 440 linhas de dados agora têm campos automáticos populados.</t>
        </is>
      </c>
    </row>
    <row r="7">
      <c r="A7" t="n">
        <v>6</v>
      </c>
      <c r="B7" s="47" t="n">
        <v>46062</v>
      </c>
      <c r="C7" t="inlineStr">
        <is>
          <t>Pediu para recriar todos os gráficos do dashboard com uma versão melhorada.</t>
        </is>
      </c>
      <c r="D7" t="inlineStr">
        <is>
          <t>Deletou 12 gráficos antigos (incluindo 1 duplicado). Recriou 11 gráficos com tipos otimizados: 2 doughnut (Situação CRM, Tipo Cliente), 1 pie (Forma do Contato), 1 columnStacked (Funil de Venda), 2 barStacked (Não Venda, Sit. por Rede), 5 barClustered. Estilizou todos com paleta profissional #1F4E79, rótulos de dados, e tamanhos padronizados.</t>
        </is>
      </c>
      <c r="E7" t="inlineStr">
        <is>
          <t>Gráficos ancorados por seção: Seção 1 (A15,G15,L15): Tipo Contato + Resultado + Forma. Seção 2 (A43,I43): Funil + Não Venda. Seção 3 (A69,I69): Motivos + Produtividade. Seção 4 (A95,F95,K95): Situação CRM + Fases + Tipo Cliente. Seção 5 (A121): Sit. por Rede (700px largo). Cores: séries com paleta azul/verde/laranja/vermelho. Data labels em todos.</t>
        </is>
      </c>
      <c r="F7" t="inlineStr">
        <is>
          <t>11 gráficos criados e estilizados com sucesso. Dashboard reorganizado visualmente com gráficos posicionados abaixo de suas tabelas de dados. Usuário pode arrastar para ajuste fino.</t>
        </is>
      </c>
    </row>
    <row r="8">
      <c r="A8" t="n">
        <v>7</v>
      </c>
      <c r="B8" s="47" t="n">
        <v>46062</v>
      </c>
      <c r="C8" t="inlineStr">
        <is>
          <t>Pediu gráficos de linha para respiro visual, gráficos radar, e KPI cards com números grandes para layout profissional.</t>
        </is>
      </c>
      <c r="D8" t="inlineStr">
        <is>
          <t>1) Inseriu 4 linhas no topo (row 3-6) para KPI cards. Criou 7 KPIs: Total Contatos, Vendas, Taxa Conversão, Carteira, Orçamentos, Não Responde, Follow Up — com fórmulas dinâmicas, números 28pt, cores por categoria, merge 2 colunas, legendas em itálico. 2) Criou tabela auxiliar radar em I73:M78. 3) Criou 3 novos gráficos: Radar (desempenho consultores, 5 métricas), Line (perfil resultado × tipo contato, 700px), Line (contatos vs vendas vs orçamentos). Total: 14 gráficos no DASH.</t>
        </is>
      </c>
      <c r="E8" t="inlineStr">
        <is>
          <t>KPIs: A4=440 contatos, C4=47 vendas, E4=11.8% conversão, G4=120 carteira, I4=53 orçamentos, K4=35 não responde, M4=69 follow-up. Todas fórmulas referenciando tabelas existentes. Radar usa I73:M78 com dados transpostos dos consultores. Gráfico de linha largo (700px) na Seção 1 mostra padrão visual de cada tipo de contato. Linha na Seção 3 compara performance consultores.</t>
        </is>
      </c>
      <c r="F8" t="inlineStr">
        <is>
          <t>Dashboard agora tem 14 gráficos + 7 KPI cards. Layout profissional com mix de barras, rosquinhas, pizza, linhas e radar. Dados 100% dinâmicos.</t>
        </is>
      </c>
    </row>
    <row r="9">
      <c r="A9" t="n">
        <v>8</v>
      </c>
      <c r="B9" s="47" t="n">
        <v>46062</v>
      </c>
      <c r="C9" t="inlineStr">
        <is>
          <t>Reclamou que os gráficos estavam 'um por cima do outro em um caos'. Pediu para organizar.</t>
        </is>
      </c>
      <c r="D9" t="inlineStr">
        <is>
          <t>Calculou coordenadas pixel-a-pixel de todas as 180 linhas e 17 colunas. Inseriu 56 linhas em branco (19+5+28+4) entre as seções para criar espaço físico. Reposicionou todos os 14 gráficos com top/left/width/height exatos usando Office.js. Verificou zero sobreposições. Limpou formatação herdada das linhas inseridas.</t>
        </is>
      </c>
      <c r="E9" t="inlineStr">
        <is>
          <t>Layout grid final: Seção 1 (320px): 3 gráficos 416px lado a lado + 1 linha 1280px abaixo. Seção 2 (955px): 2 gráficos 55/45%. Seção 3 (1430px): 2+2 gráficos (barras + linha/radar). Seção 4 (2210px): 3 gráficos 33% cada. Seção 5 (2700px): 1 gráfico full-width. Gap de 15px entre todos. Linhas inseridas antes rows 33(19), 58(5), 85(28), 112(4).</t>
        </is>
      </c>
      <c r="F9" t="inlineStr">
        <is>
          <t>Dashboard 100% organizado sem sobreposições. 14 gráficos em grid profissional com espaçamento uniforme. KPI cards no topo. Tabelas de dados visíveis acima de cada bloco de gráficos.</t>
        </is>
      </c>
    </row>
    <row r="10">
      <c r="A10" t="n">
        <v>9</v>
      </c>
      <c r="B10" s="47" t="n">
        <v>46062</v>
      </c>
      <c r="C10" t="inlineStr">
        <is>
          <t>Disse que ficou 'muito ruim'. Quer tabelas com gráficos de linha simples abaixo para dar respiro visual. Gráficos novos/complexos (barras, radar, rosquinha, pizza) jogados para o fundo como 'Galeria'.</t>
        </is>
      </c>
      <c r="D10" t="inlineStr">
        <is>
          <t>Deletou todos 14 gráficos. Removeu 51 linhas em branco antigas. Restaurou DIVINA TERRA perdida. Inseriu 5 espaços de 15 linhas (após cada tabela). Criou 5 gráficos lineMarkers (Resultado×Tipo, Funil, Motivos, Situação CRM, Rede). Criou seção GALERIA com 6 gráficos complexos (2 doughnut, 1 pie, 1 barClustered, 1 radarMarkers, 1 columnStacked). Posicionou e estilizou todos com Office.js.</t>
        </is>
      </c>
      <c r="E10" t="inlineStr">
        <is>
          <t>Layout: KPIs(1-7) → Tabela1+Linha(8-32) → Tabela2+Linha(36-61) → Tabela3+Linha(63-96) → Tabela4+Linha(97-124) → Tabela5+Linha(125-150) → GALERIA(153+, 3 fileiras: 3 donuts/pie, 2 bar/radar, 1 stacked wide). Charts 850×250px linhas, galeria 280-850px. Cores #1F4E79/#FAFAFA. DIVINA TERRA restaurada com COUNTIFS originais.</t>
        </is>
      </c>
      <c r="F10" t="inlineStr">
        <is>
          <t>Dashboard reestruturado: padrão tabela→linha→respiro em 5 seções. Galeria de 6 gráficos avançados ao fundo. 11 gráficos total. Layout limpo e sequencial conforme pedido do usuário.</t>
        </is>
      </c>
    </row>
    <row r="11">
      <c r="A11" t="n">
        <v>10</v>
      </c>
      <c r="B11" s="47" t="n">
        <v>46062</v>
      </c>
      <c r="C11" t="inlineStr">
        <is>
          <t>Padronizar tudo até coluna Q: criar mais KPI cards, preencher espaços em branco com gráficos/dados, remover colunas vazias, ajuste visual clean uniforme.</t>
        </is>
      </c>
      <c r="D11" t="inlineStr">
        <is>
          <t>1) Uniformizou colunas A:Q (A=120pt, B:Q=55pt). 2) Adicionou 2 novos KPIs: Não Atende (O3:P5, vermelho) e Perda (Q3:Q5, cinza) → total 9 KPIs. 3) Criou 2 novos line charts: Produtividade por Consultor e Fases do Funil, dividindo chart spaces 3 e 4 em 2 gráficos cada (145px). 4) Adicionou 'Resumo Carteira' (N97:Q108) com Tx. Retenção, Churn, Pipeline. 5) Adicionou 'Indicadores por Rede' (I125:L135) com %Cart, Tx.Ativo, Risco. 6) Estendeu todas as barras de título e headers até col Q. 7) Redimensionou todos 13 gráficos para largura 995px (A:Q). 8) Galeria: 3+2+1 grid ajustado. 9) Separadores visuais em linhas 6-7 e 62.</t>
        </is>
      </c>
      <c r="E11" t="inlineStr">
        <is>
          <t>Layout: 13 gráficos total (7 line + 6 galeria), 9 KPIs, 0 sobreposições. Novos dados: Tx.Retenção 46.7%, Tx.Churn 31.7%, Pipeline 21.7%. Indicadores Rede: VIDA LEVE melhor tx.ativo (57.1%), DIVINA TERRA maior risco (25%). Colunas A:Q uniformes.</t>
        </is>
      </c>
      <c r="F11" t="inlineStr">
        <is>
          <t>Dashboard agora tem padrão visual A:Q uniforme. Todas tabelas, gráficos, títulos e KPIs alinhados dentro da mesma grade. Espaços em branco preenchidos com dados úteis (resumo carteira + indicadores rede). 13 gráficos sem sobreposição.</t>
        </is>
      </c>
    </row>
    <row r="12">
      <c r="A12" t="n">
        <v>11</v>
      </c>
      <c r="B12" s="47" t="n">
        <v>46062</v>
      </c>
      <c r="C12" t="inlineStr">
        <is>
          <t>Pediu para preencher as 4 colunas em branco (N:Q) na Tabela 1 (Tipo×Resultado) para ficar igual à Tabela 2 que já vai até Q.</t>
        </is>
      </c>
      <c r="D12" t="inlineStr">
        <is>
          <t>Adicionou 4 colunas calculadas na Tabela 1 (N:Q): N=% TOTAL (peso de cada tipo), O=TX. VENDA (conversão em verde), P=TX. PERDA (perdas em vermelho), Q=TX. ÚTIL (ações positivas em azul). Fórmulas com IFERROR, formato 0.0%, cores semáforo. 7 linhas de dados + TOTAL.</t>
        </is>
      </c>
      <c r="E12" t="inlineStr">
        <is>
          <t>Tabela 1 agora A:Q (17 cols) = mesma largura da Tabela 2. Métricas: Prospecção tem maior tx.perda (38.5%), Atend.Ativos melhor tx.venda (21.1%). Total: 10.7% tx.venda, 24.3% tx.perda, 40.0% tx.útil.</t>
        </is>
      </c>
      <c r="F12" t="inlineStr">
        <is>
          <t>Ambas tabelas 1 e 2 agora preenchem A:Q sem colunas em branco. Padrão visual uniforme.</t>
        </is>
      </c>
    </row>
    <row r="13">
      <c r="A13" t="n">
        <v>12</v>
      </c>
      <c r="B13" s="47" t="n">
        <v>46062</v>
      </c>
      <c r="C13" t="inlineStr">
        <is>
          <t>Pediu para remover abreviações (TX., RX., etc.) dos headers pois ficam difíceis de entender.</t>
        </is>
      </c>
      <c r="D13" t="inlineStr">
        <is>
          <t>Renomeou headers: N9='% DO TOTAL', O9='% VENDA', P9='% PERDA', Q9='% AÇÕES ÚTEIS'. Resumo Carteira: 'Tx. Retenção'→'% Retenção', 'Tx. Churn'→'% Churn', 'Pipeline'→'% Pipeline'. Indicadores Rede: 'TX.ATIVO'→'% ATIVOS', 'RISCO'→'% RISCO', '% CART.'→'% CARTEIRA'.</t>
        </is>
      </c>
      <c r="E13" t="inlineStr">
        <is>
          <t>Todos os headers agora usam linguagem clara sem abreviações técnicas.</t>
        </is>
      </c>
      <c r="F13" t="inlineStr">
        <is>
          <t>Headers corrigidos em 3 seções. Linguagem acessível para qualquer usuário.</t>
        </is>
      </c>
    </row>
    <row r="14">
      <c r="A14" t="n">
        <v>13</v>
      </c>
      <c r="B14" s="47" t="n">
        <v>46062</v>
      </c>
      <c r="C14" t="inlineStr">
        <is>
          <t>Trocar os KPI cards de 'resultados' para 'volume de trabalho/esforço'. Mostrar ligações, prospecções, etapas de funil. Levantar a régua mostrando esforço, não resultado ruim. Resultados já estão no BI.</t>
        </is>
      </c>
      <c r="D14" t="inlineStr">
        <is>
          <t>Substituiu todos 9 KPI cards. REMOVIDOS: Vendas, Taxa Conversão, Carteira, Não Responde, Não Atende, Perda (resultados → BI). NOVOS: Total Contatos(440), WhatsApp Enviados(307), Ligações Feitas(200), Ligações Atendidas(117), Prospecções(52), Orçamentos Feitos(53), Follow Ups(69), Pós-Venda(96), Cadastros(18). Cores diferenciadas por categoria. Fórmulas dinâmicas referenciando tabelas.</t>
        </is>
      </c>
      <c r="E14" t="inlineStr">
        <is>
          <t>Cards: A:B=#1F4E79, C:D/E:F=#2E75B6(canais), G:H=#00B050(atendidas), I:J=#7030A0(prospecção), K:L=#ED7D31(orçamentos), M:N=#4472C4(follow), O:P=#00B0F0(pós-venda), Q=#548235(cadastros). Todos com números 28pt e legendas 8pt itálico.</t>
        </is>
      </c>
      <c r="F14" t="inlineStr">
        <is>
          <t>Dashboard agora mostra VOLUME DE TRABALHO nos cards. Mensagem estratégica: equipe está se esforçando (440 contatos, 307 whatsapp, 200 ligações). Resultados ficam no BI.</t>
        </is>
      </c>
    </row>
    <row r="15">
      <c r="A15" t="n">
        <v>14</v>
      </c>
      <c r="B15" s="47" t="n">
        <v>46062</v>
      </c>
      <c r="C15" t="inlineStr">
        <is>
          <t>Reorganizar seção Motivos + Produtividade para seguir o padrão A:Q uniforme, sem colunas em branco entre as sub-tabelas.</t>
        </is>
      </c>
      <c r="D15" t="inlineStr">
        <is>
          <t>1) Adicionou coluna H='OUTROS' na tabela Motivos (Negoc+FollowUp+Perda) eliminando o gap entre Motivos e Produtividade. 2) Preencheu área vazia I70:Q75 com 'DESTAQUES': mais contatos/vendas/orçamentos/cadastros/menos perdas por consultor + métricas de volume (Mercos%, ligações, WhatsApp, follow ups). 3) Preencheu A76:H81 com 'DETALHES MOTIVOS POR TIPO': agrupamentos por categoria (Estoque/Produto 35%, Logística/Financeiro 25%, Preferência 16%, Desinteresse 15%, Indisponibilidade 8%) + TOP e 2º motivo destacados. 4) Estilizou tabela MÉTRICA (I76:M81) para radar chart.</t>
        </is>
      </c>
      <c r="E15" t="inlineStr">
        <is>
          <t>Motivos agora A:H (8 cols), Produtividade I:Q (9 cols), sem gap. Destaques: Manu=mais contatos(133)+vendas(19)+menos perdas(2), Larissa=mais orçamentos(22)+cadastros(6). Uso Mercos 65%. TOP motivo: Estoque 24%, 2º Logística 19%.</t>
        </is>
      </c>
      <c r="F15" t="inlineStr">
        <is>
          <t>Seção Motivos+Produtividade agora segue padrão A:Q sem espaços em branco. Todas áreas preenchidas com dados úteis.</t>
        </is>
      </c>
    </row>
    <row r="16">
      <c r="A16" t="n">
        <v>16</v>
      </c>
      <c r="B16" s="47" t="n">
        <v>46062</v>
      </c>
      <c r="C16" t="inlineStr">
        <is>
          <t>User said Turn 14 changes made it WORSE ('FICOU PIOR'). Requested a full audit to fix and improve the Motivos + Produtividade section (rows 63-81).</t>
        </is>
      </c>
      <c r="D16" t="inlineStr">
        <is>
          <t>Audited section, removed clutter (OUTROS column, DESTAQUES filler, DETALHES summary), moved MÉTRICA table up to fill gap, fixed all abbreviated headers, recreated charts with updated references, cleaned borders.</t>
        </is>
      </c>
      <c r="E16" t="inlineStr">
        <is>
          <t>Removed: H64:H75 OUTROS col, I70:Q75 DESTAQUES, A76:H81 DETALHES summary. Fixed headers: PROSP.→PROSPECÇÃO, INAT.→INATIVOS, PÓS-V.→PÓS-VENDA, ORÇAM.→ORÇAMENTOS, CADAST.→CADASTROS. Moved MÉTRICA from I76:M81 to I70:M75. Deleted+recreated radar chart and line chart with new source I70:M75. Cleared all empty areas and border artifacts.</t>
        </is>
      </c>
      <c r="F16" t="inlineStr">
        <is>
          <t>Section now clean: Motivos A64:G75, Produtividade I64:Q69, MÉTRICA I70:M75. No filler, no clutter. All charts updated. H column is clean separator. Rows 76-81 fully empty/clean.</t>
        </is>
      </c>
    </row>
    <row r="17">
      <c r="A17" t="n">
        <v>17</v>
      </c>
      <c r="B17" s="47" t="n">
        <v>46062</v>
      </c>
      <c r="C17" t="inlineStr">
        <is>
          <t>User said: focus on getting ALL tables to excellence standard first, then worry about charts later.</t>
        </is>
      </c>
      <c r="D17" t="inlineStr">
        <is>
          <t>Full audit of all 11 tables in DASH. Fixed 16+ abbreviations across 6 tables, standardized font sizes (16pt/14pt→9-10pt), unified sub-header colors, fixed mixed language (Churn→Perda), removed multiline headers in Table 2.</t>
        </is>
      </c>
      <c r="E17" t="inlineStr">
        <is>
          <t>Abbreviations fixed: E9 RELACIONAM.→RELACIONAMENTO, F9 EM ATENDIM.→EM ATENDIMENTO, J9 RECUSOU LIG.→RECUSOU LIGAÇÃO, L9 FECH. LOJA→FECHOU LOJA, C39-Q39 all multiline/abbrev headers, D34-D36 ORÇAM/CADAST/RELAC, A101-A102 INAT.REC/INAT.ANT, E126-F126 INAT.REC/INAT.ANT, N106 Churn→Perda. Font sizes: B99:B105 16→10pt, G99:G107 14→10pt, L99:L104 14→10pt. Sub-headers C38/H38/M38/P38 unified to #4472C4.</t>
        </is>
      </c>
      <c r="F17" t="inlineStr">
        <is>
          <t>All 11 tables now standardized: no abbreviations, consistent 9-10pt font sizes, unified colors. Tables ready for chart work in next phase.</t>
        </is>
      </c>
    </row>
    <row r="18">
      <c r="A18" t="n">
        <v>18</v>
      </c>
      <c r="B18" s="47" t="n">
        <v>46062</v>
      </c>
      <c r="C18" t="inlineStr">
        <is>
          <t>Continue block harmonization: fix GRUPO DASH formulas (returning 0), align all mini-tables in Bloco 4A to same height, extend Bloco 4B Indicadores to fill A:Q, clean separators.</t>
        </is>
      </c>
      <c r="D18" t="inlineStr">
        <is>
          <t>Fixed GRUPO DASH formulas (col V→col I), moved Situação/Tipo TOTAL rows to row 54, added Fases TOTAL row, extended Indicadores with 5 new columns (% INATIVO, % PROSPECT, % LEAD, % RETENÇÃO, SCORE), cleaned all 5 separator rows to 8pt height, cleared residual formatting.</t>
        </is>
      </c>
      <c r="E18" t="inlineStr">
        <is>
          <t>GRUPO DASH now uses 'DRAFT 2'!$I:$I (ESTÁGIO FUNIL) with values FUNIL/RELAC./NÃO VENDA. Bloco 4A: all 4 tables now end at row 54 (TOTAL). Inserted 1 row (row 54) for alignment. Bloco 4B: M57:Q66 new indicator columns with formulas. Separator rows 6,17,29,43,55 = 8pt clean white.</t>
        </is>
      </c>
      <c r="F18" t="inlineStr">
        <is>
          <t>Blocks 1-4 structurally harmonized. All tables within each block share same row boundaries. A:Q width maintained. Next: verify visual consistency, then user review before adding charts back.</t>
        </is>
      </c>
    </row>
    <row r="19">
      <c r="A19" t="n">
        <v>19</v>
      </c>
      <c r="B19" s="47" t="n">
        <v>46062</v>
      </c>
      <c r="C19" t="inlineStr">
        <is>
          <t>User said 'ESTAMOS QUASE LÁ, CONTINUE' — continue refining dashboard tables to excellence standard.</t>
        </is>
      </c>
      <c r="D19" t="inlineStr">
        <is>
          <t>Fixed remaining abbreviations (PROD.→PRODUTO, PROB.→PROBLEMA, Ñ→NÃO, MERCOS%→% MERCOS, etc). Fixed English 'TOTAL TIME'→'TOTAL EQUIPE'. Made title bars (dark blue), sub-headers (blue), total bars (grey) continuous across A:Q in all blocks. Standardized all % columns to 0.0% format. Cleaned gap column formatting.</t>
        </is>
      </c>
      <c r="E19" t="inlineStr">
        <is>
          <t>Abbreviations fixed: A33, A36, A37, A41, I42, H8, L8, N31, O31, Q31, I36. Title/total bars: filled gap columns (E,H,I,J,Q) with matching colors in rows 16,28,36,42,44,45,54,56,66. Sub-headers: D19:F19, I19:K19, N19, Q19 fixed to blue. Number format: 13 percentage ranges standardized to 0.0%.</t>
        </is>
      </c>
      <c r="F19" t="inlineStr">
        <is>
          <t>All 5 blocks now have consistent visual language: dark blue titles (#1F4E79), blue sub-headers (#4472C4), grey totals (#D6DCE4), clean 8pt white separators. No abbreviations remain. Dashboard ready for user visual review.</t>
        </is>
      </c>
    </row>
    <row r="20">
      <c r="A20" t="n">
        <v>20</v>
      </c>
      <c r="B20" s="47" t="n">
        <v>46062</v>
      </c>
      <c r="C20" t="inlineStr">
        <is>
          <t>User flagged Tipo Cliente + Resumo Carteira section not working — showing 0 in Total Carteira and #DIV/0! errors in percentages.</t>
        </is>
      </c>
      <c r="D20" t="inlineStr">
        <is>
          <t>Root cause: when Situação TOTAL was moved from row 53 to row 54, all Resumo formulas still pointed to B53 (now empty). Fixed 10 formulas: O46(=B54), O47, O48, O51, O52, O53, P47, P48, P49, P50 — all updated from B53 to B54. Added P46=100%. Formatted all % to 0.0%.</t>
        </is>
      </c>
      <c r="E20" t="inlineStr">
        <is>
          <t>Formulas fixed: O46=B54(was B53), O52=IFERROR((B46+B47)/B54,0), O53=IFERROR((B48+B49)/B54,0), P47-P50 all /B54. P46 added as static 100%. P54=SUM(P47:P50)=100%.</t>
        </is>
      </c>
      <c r="F20" t="inlineStr">
        <is>
          <t>Resumo now shows: Total=82, Ativos+Risco=56(68.3%), Inativos=0(0%), Novos+Prospect=24(29.3%), Leads=2(2.4%). % Ativo=52.4%, % Retenção=68.3%, % Perda=0%. All #DIV/0! errors resolved.</t>
        </is>
      </c>
    </row>
    <row r="21">
      <c r="A21" t="n">
        <v>21</v>
      </c>
      <c r="B21" s="47" t="n">
        <v>46062</v>
      </c>
      <c r="C21" t="inlineStr">
        <is>
          <t>User wanted fixed 15-row × 17-column blocks with breathing room between internal tables, avoid 'squeezed sausage' design</t>
        </is>
      </c>
      <c r="D21" t="inlineStr">
        <is>
          <t>Restructured entire DASH to 5 blocks of exactly 15 rows each (A:Q), with separator rows between blocks at 8pt height</t>
        </is>
      </c>
      <c r="E21" t="inlineStr">
        <is>
          <t>Deleted all incorrectly placed blank rows, then inserted 22 rows bottom-to-top: respiro after titles, padding after totals. Cleared inherited formatting from all new rows. Separators at rows 6,22,38,54,70. Blocks: 7-21, 23-37, 39-53, 55-69, 71-85. Verified all formulas still work (B17=440, B34=1089, B51=176, B66=82, B82=110, Resumo O58-P66 all correct).</t>
        </is>
      </c>
      <c r="F21" t="inlineStr">
        <is>
          <t>All 5 blocks exactly 15 rows ✓. Grid structure: Header(1-5), Sep(6), B1(7-21), Sep(22), B2(23-37), Sep(38), B3(39-53), Sep(54), B4A(55-69), Sep(70), B4B(71-85). Breathing room achieved with respiro rows after titles and padding rows after totals. Formulas verified working.</t>
        </is>
      </c>
    </row>
    <row r="22">
      <c r="A22" t="n">
        <v>22</v>
      </c>
      <c r="B22" s="47" t="n">
        <v>46062</v>
      </c>
      <c r="C22" t="inlineStr">
        <is>
          <t>User flagged Tipo Cliente + Resumo Carteira section still not looking good - numbers showing wrong (8200,0% instead of 82)</t>
        </is>
      </c>
      <c r="D22" t="inlineStr">
        <is>
          <t>Fixed number formats across K57:P66 - plain numbers vs percentages were mixed up</t>
        </is>
      </c>
      <c r="E22" t="inlineStr">
        <is>
          <t>O66 had value 82 formatted as % → showed 8200,0%. Fixed O58:O62 to #,##0, O63:O65 to 0.0%, O66 to #,##0. Fixed M58:M66 and P58:P66 to 0.0%. Cleaned Q55:Q66 inherited backgrounds.</t>
        </is>
      </c>
      <c r="F22" t="inlineStr">
        <is>
          <t>Tipo Cliente + Resumo Carteira now displays correctly: numbers as numbers, percentages as 0.0%. TOTAL shows 82/100.0% properly.</t>
        </is>
      </c>
    </row>
    <row r="23">
      <c r="A23" t="n">
        <v>23</v>
      </c>
      <c r="B23" s="47" t="n">
        <v>46062</v>
      </c>
      <c r="C23" t="inlineStr">
        <is>
          <t>User said Tipo+Resumo section is Frankenstein 'enchendo linguiça' - wants it cleaner</t>
        </is>
      </c>
      <c r="D23" t="inlineStr">
        <is>
          <t>Deleted Resumo Carteira (redundant with Situação), moved 3 key KPIs to padding rows, cleaned formatting</t>
        </is>
      </c>
      <c r="E23" t="inlineStr">
        <is>
          <t>Cleared N55:P66 (Resumo). Added A67:B69 with % ATIVO (52.4%), % RETENÇÃO (68.3%), % PERDA (0.0%) using formulas referencing Situação data. Color-coded: green/blue/red. Extended title bar and total bar to N:Q with consistent dark blue / grey. Cleared border artifacts from old Resumo area.</t>
        </is>
      </c>
      <c r="F23" t="inlineStr">
        <is>
          <t>Bloco 4A now has 3 clean balanced tables: Situação (A:E), Fases (F:J), Tipo (K:M). N:Q is breathing room. 3 derived KPIs use padding rows productively. No more Frankenstein.</t>
        </is>
      </c>
    </row>
    <row r="24">
      <c r="A24" t="n">
        <v>24</v>
      </c>
      <c r="B24" s="47" t="n">
        <v>46062</v>
      </c>
      <c r="C24" t="inlineStr">
        <is>
          <t>User said delete everything repeated/useless, better to reallocate what's good</t>
        </is>
      </c>
      <c r="D24" t="inlineStr">
        <is>
          <t>Deleted Tipo Cliente (redundant with Situação). Relocated 3 KPIs to clean INDICADORES CARTEIRA section</t>
        </is>
      </c>
      <c r="E24" t="inlineStr">
        <is>
          <t>Cleared K55:Q66 (Tipo Cliente). Created INDICADORES CARTEIRA at K55 with 3 KPIs: % ATIVO (52.4%), % RETENÇÃO (68.3%), % PERDA (0.0%). Cleared old KPI location A67:C69. Extended grey total bar K:Q row 66.</t>
        </is>
      </c>
      <c r="F24" t="inlineStr">
        <is>
          <t>Bloco 4A now has 3 clean sections: Situação CRM (A:C, 7 items), Fases do Funil (F:H, 8 items), Indicadores Carteira (K:L, 3 KPIs). Much cleaner - no more Frankenstein.</t>
        </is>
      </c>
    </row>
    <row r="25">
      <c r="A25" t="n">
        <v>25</v>
      </c>
      <c r="B25" s="47" t="n">
        <v>46062</v>
      </c>
      <c r="C25" t="inlineStr">
        <is>
          <t>User said I wasn't done - delete ALL redundancies across the entire dashboard</t>
        </is>
      </c>
      <c r="D25" t="inlineStr">
        <is>
          <t>Full redundancy audit: deleted MÉTRICA (Bloco 3) and duplicated REDE column (Bloco 4B)</t>
        </is>
      </c>
      <c r="E25" t="inlineStr">
        <is>
          <t>Scanned all 5 blocks. Found: (1) Bloco 3 MÉTRICA I46:M51 was 100% transposed copy of Produtividade above - DELETED. (2) Bloco 4B column I73:I82 was redundant REDE names (=A74 refs) - DELETED. (3) Bloco 2 FUNIL overlaps Bloco 1 but provides grouped perspective - KEPT. Bloco 1 stays as core matrix.</t>
        </is>
      </c>
      <c r="F25" t="inlineStr">
        <is>
          <t>All redundancies cleaned: Resumo(T23), Tipo Cliente(T24), MÉTRICA(T25), duplicated REDE(T25). Dashboard now has only unique, valuable data in each section.</t>
        </is>
      </c>
    </row>
    <row r="26">
      <c r="A26" t="n">
        <v>27</v>
      </c>
      <c r="B26" s="47" t="n">
        <v>46062</v>
      </c>
      <c r="C26" t="inlineStr">
        <is>
          <t>User said 'IMPRESSIONE ME' — build impressive new blocks using unmapped REGRAS/DRAFT 2 data, especially daily activity volume per consultant</t>
        </is>
      </c>
      <c r="D26" t="inlineStr">
        <is>
          <t>Created 3 new blocks (BLOCO 6-8): Volume Diário por Consultor with weekly breakdown + ranking + canais; Saúde da Carteira (Sinaleiro 🟢🟡🔴) × Ação Futura por consultor; Disciplina Operacional Score consolidado por consultor com RANK</t>
        </is>
      </c>
      <c r="E26" t="inlineStr">
        <is>
          <t>BLOCO 6 (rows 87-101): Weekly COUNTIFS for 4 weeks × 4 consultores, média/dia, tendência ⬆⬇, ranking esforço com WhatsApp/Ligação/% Atendida. BLOCO 7 (rows 103-117): Sinaleiro (🟢 NO PRAZO / 🟡 EM RISCO / 🔴 ATRASADO) × consultor + Ação Futura (7 ações: RECOMPRA/PÓS-VENDA/CS/PROSPECÇÃO/REATIVAÇÃO/SALVAMENTO/NUTRIÇÃO) com prioridade tags. BLOCO 8 (rows 119-133): Score consolidado = (Média/Dia/5)*20 + (%Atendida)*20 + (%Conversão)*20 + (%Mercos)*20 + (%Saúde)*20 com RANK. TENTATIVA col M was EMPTY (0 records) — replaced with Ação Futura. TIPO CLIENTE col J also empty.</t>
        </is>
      </c>
      <c r="F26" t="inlineStr">
        <is>
          <t>3 new powerful blocks live in DASH rows 87-133. All formulas dynamic via COUNTIFS to DRAFT 2. Score formula weights: volume 20%, atendimento 20%, conversão 20%, compliance 20%, saúde 20%. Manu DITZEL ranked #1 (56.9), Larissa #2 (51.5), Daiane #3 (50.7), Julio #4 (44.2).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2026-02-08T19:14:16Z</dcterms:created>
  <dcterms:modified xsi:type="dcterms:W3CDTF">2026-02-09T22:49:00Z</dcterms:modified>
  <cp:lastModifiedBy>Leandro Garcia</cp:lastModifiedBy>
  <cp:revision>0</cp:revision>
</cp:coreProperties>
</file>