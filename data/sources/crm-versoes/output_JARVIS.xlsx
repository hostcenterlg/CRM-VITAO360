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GRAS" sheetId="1" state="visible" r:id="rId1"/>
    <sheet name="CARTEIRA" sheetId="2" state="visible" r:id="rId2"/>
    <sheet name="LOG" sheetId="3" state="visible" r:id="rId3"/>
    <sheet name="DRAFT 1" sheetId="4" state="visible" r:id="rId4"/>
    <sheet name="DRAFT 2" sheetId="5" state="visible" r:id="rId5"/>
    <sheet name="DASH" sheetId="6" state="visible" r:id="rId6"/>
    <sheet name="AGENDA" sheetId="7" state="visible" r:id="rId7"/>
  </sheets>
  <definedNames>
    <definedName name="LISTA_RESULTADO">REGRAS!$A$2:$A$13</definedName>
    <definedName name="LISTA_TIPO_CONTATO">REGRAS!$A$17:$A$23</definedName>
    <definedName name="LISTA_MOTIVO">REGRAS!$A$27:$A$36</definedName>
    <definedName name="LISTA_SITUACAO">REGRAS!$B$40:$B$44</definedName>
    <definedName name="LISTA_FASE">REGRAS!$B$48:$B$56</definedName>
    <definedName name="LISTA_TENTATIVA">REGRAS!$A$60:$A$65</definedName>
    <definedName name="LISTA_SINALEIRO">REGRAS!$A$69:$A$72</definedName>
    <definedName name="LISTA_CONSULTOR">REGRAS!$A$90:$A$93</definedName>
    <definedName name="LISTA_SIM_NAO">REGRAS!$F$97:$F$98</definedName>
    <definedName name="LISTA_SIM_NAO_NA">REGRAS!$G$97:$G$99</definedName>
    <definedName name="LISTA_ATIVO_RECEPTIVO">REGRAS!$H$97:$H$98</definedName>
    <definedName name="LISTA_CURVA_ABC">REGRAS!$I$97:$I$99</definedName>
    <definedName name="LISTA_TIPO_CLIENTE">REGRAS!$J$97:$J$102</definedName>
    <definedName name="LISTA_BLOCO">REGRAS!$K$97:$K$98</definedName>
    <definedName name="LISTA_UF">REGRAS!$L$97:$L$123</definedName>
    <definedName name="LISTA_ACAO_FUTURA">REGRAS!$M$97:$M$104</definedName>
    <definedName name="TABELA_RESULTADO">REGRAS!$A$2:$B$13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DD/MM/YYYY"/>
    <numFmt numFmtId="166" formatCode="0.0"/>
  </numFmts>
  <fonts count="7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  <font>
      <name val="Arial"/>
      <b val="1"/>
      <sz val="14"/>
    </font>
    <font>
      <name val="Arial"/>
      <b val="1"/>
      <sz val="18"/>
    </font>
    <font>
      <name val="Arial"/>
      <b val="1"/>
      <color rgb="00FFFFFF"/>
      <sz val="12"/>
    </font>
    <font>
      <name val="Arial"/>
      <i val="1"/>
      <sz val="10"/>
    </font>
  </fonts>
  <fills count="11">
    <fill>
      <patternFill/>
    </fill>
    <fill>
      <patternFill patternType="gray125"/>
    </fill>
    <fill>
      <patternFill patternType="solid">
        <fgColor rgb="00D9D9D9"/>
      </patternFill>
    </fill>
    <fill>
      <patternFill patternType="solid">
        <fgColor rgb="0000B050"/>
      </patternFill>
    </fill>
    <fill>
      <patternFill patternType="solid">
        <fgColor rgb="00FFC000"/>
      </patternFill>
    </fill>
    <fill>
      <patternFill patternType="solid">
        <fgColor rgb="00FF6600"/>
      </patternFill>
    </fill>
    <fill>
      <patternFill patternType="solid">
        <fgColor rgb="00FF0000"/>
      </patternFill>
    </fill>
    <fill>
      <patternFill patternType="solid">
        <fgColor rgb="00BDD7EE"/>
      </patternFill>
    </fill>
    <fill>
      <patternFill patternType="solid">
        <fgColor rgb="00E2EFDA"/>
      </patternFill>
    </fill>
    <fill>
      <patternFill patternType="solid">
        <fgColor rgb="004472C4"/>
      </patternFill>
    </fill>
    <fill>
      <patternFill patternType="solid">
        <fgColor rgb="00D9E2F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pivotButton="0" quotePrefix="0" xfId="0"/>
    <xf numFmtId="0" fontId="2" fillId="3" borderId="1" pivotButton="0" quotePrefix="0" xfId="0"/>
    <xf numFmtId="0" fontId="2" fillId="4" borderId="1" pivotButton="0" quotePrefix="0" xfId="0"/>
    <xf numFmtId="0" fontId="2" fillId="5" borderId="1" pivotButton="0" quotePrefix="0" xfId="0"/>
    <xf numFmtId="0" fontId="2" fillId="6" borderId="1" pivotButton="0" quotePrefix="0" xfId="0"/>
    <xf numFmtId="0" fontId="2" fillId="7" borderId="1" pivotButton="0" quotePrefix="0" xfId="0"/>
    <xf numFmtId="0" fontId="1" fillId="2" borderId="1" pivotButton="0" quotePrefix="0" xfId="0"/>
    <xf numFmtId="1" fontId="0" fillId="0" borderId="0" pivotButton="0" quotePrefix="0" xfId="0"/>
    <xf numFmtId="165" fontId="2" fillId="0" borderId="1" pivotButton="0" quotePrefix="0" xfId="0"/>
    <xf numFmtId="4" fontId="2" fillId="0" borderId="1" pivotButton="0" quotePrefix="0" xfId="0"/>
    <xf numFmtId="1" fontId="2" fillId="0" borderId="1" pivotButton="0" quotePrefix="0" xfId="0"/>
    <xf numFmtId="4" fontId="0" fillId="0" borderId="0" pivotButton="0" quotePrefix="0" xfId="0"/>
    <xf numFmtId="165" fontId="0" fillId="0" borderId="0" pivotButton="0" quotePrefix="0" xfId="0"/>
    <xf numFmtId="9" fontId="0" fillId="0" borderId="0" pivotButton="0" quotePrefix="0" xfId="0"/>
    <xf numFmtId="0" fontId="3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4" fillId="8" borderId="1" applyAlignment="1" pivotButton="0" quotePrefix="0" xfId="0">
      <alignment horizontal="center" vertical="center" wrapText="1"/>
    </xf>
    <xf numFmtId="9" fontId="4" fillId="8" borderId="1" applyAlignment="1" pivotButton="0" quotePrefix="0" xfId="0">
      <alignment horizontal="center" vertical="center" wrapText="1"/>
    </xf>
    <xf numFmtId="0" fontId="5" fillId="9" borderId="0" pivotButton="0" quotePrefix="0" xfId="0"/>
    <xf numFmtId="0" fontId="0" fillId="0" borderId="1" pivotButton="0" quotePrefix="0" xfId="0"/>
    <xf numFmtId="0" fontId="1" fillId="0" borderId="1" pivotButton="0" quotePrefix="0" xfId="0"/>
    <xf numFmtId="0" fontId="0" fillId="9" borderId="0" pivotButton="0" quotePrefix="0" xfId="0"/>
    <xf numFmtId="9" fontId="0" fillId="0" borderId="1" pivotButton="0" quotePrefix="0" xfId="0"/>
    <xf numFmtId="9" fontId="1" fillId="0" borderId="1" pivotButton="0" quotePrefix="0" xfId="0"/>
    <xf numFmtId="166" fontId="0" fillId="0" borderId="1" pivotButton="0" quotePrefix="0" xfId="0"/>
    <xf numFmtId="166" fontId="1" fillId="0" borderId="1" pivotButton="0" quotePrefix="0" xfId="0"/>
    <xf numFmtId="0" fontId="6" fillId="0" borderId="0" pivotButton="0" quotePrefix="0" xfId="0"/>
    <xf numFmtId="0" fontId="1" fillId="4" borderId="0" pivotButton="0" quotePrefix="0" xfId="0"/>
    <xf numFmtId="0" fontId="0" fillId="4" borderId="0" pivotButton="0" quotePrefix="0" xfId="0"/>
    <xf numFmtId="0" fontId="1" fillId="10" borderId="1" applyAlignment="1" pivotButton="0" quotePrefix="0" xfId="0">
      <alignment horizontal="center" vertical="center" wrapText="1"/>
    </xf>
    <xf numFmtId="0" fontId="1" fillId="8" borderId="1" applyAlignment="1" pivotButton="0" quotePrefix="0" xfId="0">
      <alignment horizontal="center" vertical="center" wrapText="1"/>
    </xf>
  </cellXfs>
  <cellStyles count="1">
    <cellStyle name="Normal" xfId="0" builtinId="0" hidden="0"/>
  </cellStyles>
  <dxfs count="11">
    <dxf>
      <font>
        <name val="Arial"/>
        <color rgb="00FFFFFF"/>
        <sz val="10"/>
      </font>
      <fill>
        <patternFill patternType="solid">
          <fgColor rgb="0000B050"/>
        </patternFill>
      </fill>
    </dxf>
    <dxf>
      <font>
        <name val="Arial"/>
        <sz val="10"/>
      </font>
      <fill>
        <patternFill patternType="solid">
          <fgColor rgb="00FFC000"/>
        </patternFill>
      </fill>
    </dxf>
    <dxf>
      <font>
        <name val="Arial"/>
        <color rgb="00FFFFFF"/>
        <sz val="10"/>
      </font>
      <fill>
        <patternFill patternType="solid">
          <fgColor rgb="00FF6600"/>
        </patternFill>
      </fill>
    </dxf>
    <dxf>
      <font>
        <name val="Arial"/>
        <color rgb="00FFFFFF"/>
        <sz val="10"/>
      </font>
      <fill>
        <patternFill patternType="solid">
          <fgColor rgb="00FF0000"/>
        </patternFill>
      </fill>
    </dxf>
    <dxf>
      <font>
        <name val="Arial"/>
        <sz val="10"/>
      </font>
      <fill>
        <patternFill patternType="solid">
          <fgColor rgb="00BDD7EE"/>
        </patternFill>
      </fill>
    </dxf>
    <dxf>
      <font>
        <name val="Arial"/>
        <sz val="10"/>
      </font>
      <fill>
        <patternFill patternType="solid">
          <fgColor rgb="00C6EFCE"/>
        </patternFill>
      </fill>
    </dxf>
    <dxf>
      <fill>
        <patternFill patternType="solid">
          <fgColor rgb="0000B050"/>
        </patternFill>
      </fill>
    </dxf>
    <dxf>
      <fill>
        <patternFill patternType="solid">
          <fgColor rgb="00FFC000"/>
        </patternFill>
      </fill>
    </dxf>
    <dxf>
      <fill>
        <patternFill patternType="solid">
          <fgColor rgb="00FF0000"/>
        </patternFill>
      </fill>
    </dxf>
    <dxf>
      <fill>
        <patternFill patternType="solid">
          <fgColor rgb="00C6EFCE"/>
        </patternFill>
      </fill>
    </dxf>
    <dxf>
      <fill>
        <patternFill patternType="solid">
          <f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4472C4"/>
    <outlinePr summaryBelow="1" summaryRight="1"/>
    <pageSetUpPr/>
  </sheetPr>
  <dimension ref="A1:M123"/>
  <sheetViews>
    <sheetView zoomScale="90"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4" customWidth="1" min="3" max="3"/>
    <col width="25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</cols>
  <sheetData>
    <row r="1">
      <c r="A1" s="1" t="inlineStr">
        <is>
          <t>RESULTADO</t>
        </is>
      </c>
      <c r="B1" s="1" t="inlineStr">
        <is>
          <t>FOLLOW-UP (DIAS)</t>
        </is>
      </c>
      <c r="C1" s="1" t="inlineStr">
        <is>
          <t>GRUPO DASH</t>
        </is>
      </c>
      <c r="D1" s="1" t="inlineStr">
        <is>
          <t>QUANDO USAR</t>
        </is>
      </c>
    </row>
    <row r="2">
      <c r="A2" s="2" t="inlineStr">
        <is>
          <t>EM ATENDIMENTO</t>
        </is>
      </c>
      <c r="B2" s="2" t="n">
        <v>2</v>
      </c>
      <c r="C2" s="2" t="inlineStr">
        <is>
          <t>FUNIL</t>
        </is>
      </c>
      <c r="D2" s="2" t="inlineStr">
        <is>
          <t>Negociação ativa</t>
        </is>
      </c>
    </row>
    <row r="3">
      <c r="A3" s="2" t="inlineStr">
        <is>
          <t>ORÇAMENTO</t>
        </is>
      </c>
      <c r="B3" s="2" t="n">
        <v>1</v>
      </c>
      <c r="C3" s="2" t="inlineStr">
        <is>
          <t>FUNIL</t>
        </is>
      </c>
      <c r="D3" s="2" t="inlineStr">
        <is>
          <t>Proposta enviada</t>
        </is>
      </c>
    </row>
    <row r="4">
      <c r="A4" s="2" t="inlineStr">
        <is>
          <t>CADASTRO</t>
        </is>
      </c>
      <c r="B4" s="2" t="n">
        <v>2</v>
      </c>
      <c r="C4" s="2" t="inlineStr">
        <is>
          <t>FUNIL</t>
        </is>
      </c>
      <c r="D4" s="2" t="inlineStr">
        <is>
          <t>Em processo de cadastro</t>
        </is>
      </c>
    </row>
    <row r="5">
      <c r="A5" s="2" t="inlineStr">
        <is>
          <t>VENDA / PEDIDO</t>
        </is>
      </c>
      <c r="B5" s="2" t="n">
        <v>45</v>
      </c>
      <c r="C5" s="2" t="inlineStr">
        <is>
          <t>FUNIL</t>
        </is>
      </c>
      <c r="D5" s="2" t="inlineStr">
        <is>
          <t>Pedido fechado</t>
        </is>
      </c>
    </row>
    <row r="6">
      <c r="A6" s="2" t="inlineStr">
        <is>
          <t>RELACIONAMENTO</t>
        </is>
      </c>
      <c r="B6" s="2" t="n">
        <v>7</v>
      </c>
      <c r="C6" s="2" t="inlineStr">
        <is>
          <t>RELAC.</t>
        </is>
      </c>
      <c r="D6" s="2" t="inlineStr">
        <is>
          <t>Pós-venda CS</t>
        </is>
      </c>
    </row>
    <row r="7">
      <c r="A7" s="2" t="inlineStr">
        <is>
          <t>FOLLOW UP 7</t>
        </is>
      </c>
      <c r="B7" s="2" t="n">
        <v>7</v>
      </c>
      <c r="C7" s="2" t="inlineStr">
        <is>
          <t>RELAC.</t>
        </is>
      </c>
      <c r="D7" s="2" t="inlineStr">
        <is>
          <t>Retomar em 1 semana</t>
        </is>
      </c>
    </row>
    <row r="8">
      <c r="A8" s="2" t="inlineStr">
        <is>
          <t>FOLLOW UP 15</t>
        </is>
      </c>
      <c r="B8" s="2" t="n">
        <v>15</v>
      </c>
      <c r="C8" s="2" t="inlineStr">
        <is>
          <t>RELAC.</t>
        </is>
      </c>
      <c r="D8" s="2" t="inlineStr">
        <is>
          <t>Retomar em 2 semanas</t>
        </is>
      </c>
    </row>
    <row r="9">
      <c r="A9" s="2" t="inlineStr">
        <is>
          <t>SUPORTE</t>
        </is>
      </c>
      <c r="B9" s="2" t="n">
        <v>0</v>
      </c>
      <c r="C9" s="2" t="inlineStr">
        <is>
          <t>RELAC.</t>
        </is>
      </c>
      <c r="D9" s="2" t="inlineStr">
        <is>
          <t>Problema resolvido</t>
        </is>
      </c>
    </row>
    <row r="10">
      <c r="A10" s="2" t="inlineStr">
        <is>
          <t>NÃO ATENDE</t>
        </is>
      </c>
      <c r="B10" s="2" t="n">
        <v>1</v>
      </c>
      <c r="C10" s="2" t="inlineStr">
        <is>
          <t>NÃO VENDA</t>
        </is>
      </c>
      <c r="D10" s="2" t="inlineStr">
        <is>
          <t>Escalona T+1</t>
        </is>
      </c>
    </row>
    <row r="11">
      <c r="A11" s="2" t="inlineStr">
        <is>
          <t>NÃO RESPONDE</t>
        </is>
      </c>
      <c r="B11" s="2" t="n">
        <v>1</v>
      </c>
      <c r="C11" s="2" t="inlineStr">
        <is>
          <t>NÃO VENDA</t>
        </is>
      </c>
      <c r="D11" s="2" t="inlineStr">
        <is>
          <t>WhatsApp sem resposta</t>
        </is>
      </c>
    </row>
    <row r="12">
      <c r="A12" s="2" t="inlineStr">
        <is>
          <t>RECUSOU LIGAÇÃO</t>
        </is>
      </c>
      <c r="B12" s="2" t="n">
        <v>2</v>
      </c>
      <c r="C12" s="2" t="inlineStr">
        <is>
          <t>NÃO VENDA</t>
        </is>
      </c>
      <c r="D12" s="2" t="inlineStr">
        <is>
          <t>Mudança de canal</t>
        </is>
      </c>
    </row>
    <row r="13">
      <c r="A13" s="2" t="inlineStr">
        <is>
          <t>PERDA / FECHOU LOJA</t>
        </is>
      </c>
      <c r="B13" s="2" t="n">
        <v>0</v>
      </c>
      <c r="C13" s="2" t="inlineStr">
        <is>
          <t>NÃO VENDA</t>
        </is>
      </c>
      <c r="D13" s="2" t="inlineStr">
        <is>
          <t>Perdido definitivamente</t>
        </is>
      </c>
    </row>
    <row r="14"/>
    <row r="15"/>
    <row r="16">
      <c r="A16" s="1" t="inlineStr">
        <is>
          <t>TIPO DO CONTATO</t>
        </is>
      </c>
      <c r="B16" s="1" t="inlineStr">
        <is>
          <t>QUANDO USAR</t>
        </is>
      </c>
    </row>
    <row r="17">
      <c r="A17" s="2" t="inlineStr">
        <is>
          <t>PROSPECÇÃO</t>
        </is>
      </c>
      <c r="B17" s="2" t="inlineStr">
        <is>
          <t>1º contato com prospect/lead</t>
        </is>
      </c>
    </row>
    <row r="18">
      <c r="A18" s="2" t="inlineStr">
        <is>
          <t>NEGOCIAÇÃO</t>
        </is>
      </c>
      <c r="B18" s="2" t="inlineStr">
        <is>
          <t>Em negociação ativa</t>
        </is>
      </c>
    </row>
    <row r="19">
      <c r="A19" s="2" t="inlineStr">
        <is>
          <t>FOLLOW UP</t>
        </is>
      </c>
      <c r="B19" s="2" t="inlineStr">
        <is>
          <t>Retorno agendado</t>
        </is>
      </c>
    </row>
    <row r="20">
      <c r="A20" s="2" t="inlineStr">
        <is>
          <t>ATEND. CLIENTES ATIVOS</t>
        </is>
      </c>
      <c r="B20" s="2" t="inlineStr">
        <is>
          <t>Dentro do ciclo de compra</t>
        </is>
      </c>
    </row>
    <row r="21">
      <c r="A21" s="2" t="inlineStr">
        <is>
          <t>ATEND. CLIENTES INATIVOS</t>
        </is>
      </c>
      <c r="B21" s="2" t="inlineStr">
        <is>
          <t>Ultrapassou ciclo</t>
        </is>
      </c>
    </row>
    <row r="22">
      <c r="A22" s="2" t="inlineStr">
        <is>
          <t>PÓS-VENDA / RELACIONAMENTO</t>
        </is>
      </c>
      <c r="B22" s="2" t="inlineStr">
        <is>
          <t>CS verificar PDV</t>
        </is>
      </c>
    </row>
    <row r="23">
      <c r="A23" s="2" t="inlineStr">
        <is>
          <t>MOTIVO / PAROU DE COMPRAR</t>
        </is>
      </c>
      <c r="B23" s="2" t="inlineStr">
        <is>
          <t>Investigar feedback fábrica</t>
        </is>
      </c>
    </row>
    <row r="24"/>
    <row r="25"/>
    <row r="26">
      <c r="A26" s="1" t="inlineStr">
        <is>
          <t>MOTIVO</t>
        </is>
      </c>
      <c r="B26" s="1" t="inlineStr">
        <is>
          <t>DONO DA AÇÃO</t>
        </is>
      </c>
      <c r="C26" s="1" t="inlineStr">
        <is>
          <t>INSIGHT</t>
        </is>
      </c>
    </row>
    <row r="27">
      <c r="A27" s="2" t="inlineStr">
        <is>
          <t>PRODUTO NÃO VENDEU / SEM GIRO</t>
        </is>
      </c>
      <c r="B27" s="2" t="inlineStr">
        <is>
          <t>DIRETORIA / FÁBRICA</t>
        </is>
      </c>
      <c r="C27" s="2" t="inlineStr">
        <is>
          <t>Produto sem fit no PDV</t>
        </is>
      </c>
    </row>
    <row r="28">
      <c r="A28" s="2" t="inlineStr">
        <is>
          <t>PREÇO ALTO / MARGEM</t>
        </is>
      </c>
      <c r="B28" s="2" t="inlineStr">
        <is>
          <t>COMERCIAL</t>
        </is>
      </c>
      <c r="C28" s="2" t="inlineStr">
        <is>
          <t>Revisar tabela</t>
        </is>
      </c>
    </row>
    <row r="29">
      <c r="A29" s="2" t="inlineStr">
        <is>
          <t>PREFERIU CONCORRENTE</t>
        </is>
      </c>
      <c r="B29" s="2" t="inlineStr">
        <is>
          <t>COMERCIAL / MKT</t>
        </is>
      </c>
      <c r="C29" s="2" t="inlineStr">
        <is>
          <t>Qual concorrente</t>
        </is>
      </c>
    </row>
    <row r="30">
      <c r="A30" s="2" t="inlineStr">
        <is>
          <t>PROBLEMA LOGÍSTICO</t>
        </is>
      </c>
      <c r="B30" s="2" t="inlineStr">
        <is>
          <t>LOGÍSTICA</t>
        </is>
      </c>
      <c r="C30" s="2" t="inlineStr">
        <is>
          <t>Atraso avaria falta</t>
        </is>
      </c>
    </row>
    <row r="31">
      <c r="A31" s="2" t="inlineStr">
        <is>
          <t>PROBLEMA FINANCEIRO</t>
        </is>
      </c>
      <c r="B31" s="2" t="inlineStr">
        <is>
          <t>FINANCEIRO</t>
        </is>
      </c>
      <c r="C31" s="2" t="inlineStr">
        <is>
          <t>Bloqueado sem crédito</t>
        </is>
      </c>
    </row>
    <row r="32">
      <c r="A32" s="2" t="inlineStr">
        <is>
          <t>AINDA TEM ESTOQUE</t>
        </is>
      </c>
      <c r="B32" s="2" t="inlineStr">
        <is>
          <t>NORMAL</t>
        </is>
      </c>
      <c r="C32" s="2" t="inlineStr">
        <is>
          <t>Ajustar ciclo</t>
        </is>
      </c>
    </row>
    <row r="33">
      <c r="A33" s="2" t="inlineStr">
        <is>
          <t>FECHOU LOJA</t>
        </is>
      </c>
      <c r="B33" s="2" t="inlineStr">
        <is>
          <t>PERDA</t>
        </is>
      </c>
      <c r="C33" s="2" t="inlineStr">
        <is>
          <t>Atualizar status</t>
        </is>
      </c>
    </row>
    <row r="34">
      <c r="A34" s="2" t="inlineStr">
        <is>
          <t>SEM INTERESSE</t>
        </is>
      </c>
      <c r="B34" s="2" t="inlineStr">
        <is>
          <t>NUTRIÇÃO</t>
        </is>
      </c>
      <c r="C34" s="2" t="inlineStr">
        <is>
          <t>Ir pra nutrição</t>
        </is>
      </c>
    </row>
    <row r="35">
      <c r="A35" s="2" t="inlineStr">
        <is>
          <t>VIAJANDO / INDISPONÍVEL</t>
        </is>
      </c>
      <c r="B35" s="2" t="inlineStr">
        <is>
          <t>NORMAL</t>
        </is>
      </c>
      <c r="C35" s="2" t="inlineStr">
        <is>
          <t>Reagendar</t>
        </is>
      </c>
    </row>
    <row r="36">
      <c r="A36" s="2" t="inlineStr">
        <is>
          <t>1º CONTATO / SEM MOTIVO</t>
        </is>
      </c>
      <c r="B36" s="2" t="inlineStr">
        <is>
          <t>NORMAL</t>
        </is>
      </c>
      <c r="C36" s="2" t="inlineStr">
        <is>
          <t>Prospecção inicial</t>
        </is>
      </c>
    </row>
    <row r="37"/>
    <row r="38"/>
    <row r="39">
      <c r="A39" s="1" t="inlineStr">
        <is>
          <t>DIAS SEM COMPRA</t>
        </is>
      </c>
      <c r="B39" s="1" t="inlineStr">
        <is>
          <t>SITUAÇÃO</t>
        </is>
      </c>
      <c r="C39" s="1" t="inlineStr">
        <is>
          <t>COR HEX</t>
        </is>
      </c>
    </row>
    <row r="40">
      <c r="A40" s="2" t="inlineStr">
        <is>
          <t>≤ 50</t>
        </is>
      </c>
      <c r="B40" s="2" t="inlineStr">
        <is>
          <t>ATIVO</t>
        </is>
      </c>
      <c r="C40" s="3" t="inlineStr">
        <is>
          <t>00B050</t>
        </is>
      </c>
    </row>
    <row r="41">
      <c r="A41" s="2" t="inlineStr">
        <is>
          <t>51-60</t>
        </is>
      </c>
      <c r="B41" s="2" t="inlineStr">
        <is>
          <t>EM RISCO</t>
        </is>
      </c>
      <c r="C41" s="4" t="inlineStr">
        <is>
          <t>FFC000</t>
        </is>
      </c>
    </row>
    <row r="42">
      <c r="A42" s="2" t="inlineStr">
        <is>
          <t>61-90</t>
        </is>
      </c>
      <c r="B42" s="2" t="inlineStr">
        <is>
          <t>INATIVO RECENTE</t>
        </is>
      </c>
      <c r="C42" s="5" t="inlineStr">
        <is>
          <t>FF6600</t>
        </is>
      </c>
    </row>
    <row r="43">
      <c r="A43" s="2" t="inlineStr">
        <is>
          <t>&gt; 90</t>
        </is>
      </c>
      <c r="B43" s="2" t="inlineStr">
        <is>
          <t>INATIVO ANTIGO</t>
        </is>
      </c>
      <c r="C43" s="6" t="inlineStr">
        <is>
          <t>FF0000</t>
        </is>
      </c>
    </row>
    <row r="44">
      <c r="A44" s="2" t="inlineStr">
        <is>
          <t>Nunca comprou</t>
        </is>
      </c>
      <c r="B44" s="2" t="inlineStr">
        <is>
          <t>PROSPECT</t>
        </is>
      </c>
      <c r="C44" s="7" t="inlineStr">
        <is>
          <t>BDD7EE</t>
        </is>
      </c>
    </row>
    <row r="45"/>
    <row r="46"/>
    <row r="47">
      <c r="A47" s="1" t="inlineStr">
        <is>
          <t>CONDIÇÃO</t>
        </is>
      </c>
      <c r="B47" s="1" t="inlineStr">
        <is>
          <t>FASE</t>
        </is>
      </c>
      <c r="C47" s="1" t="inlineStr">
        <is>
          <t>PRIORIDADE</t>
        </is>
      </c>
    </row>
    <row r="48">
      <c r="A48" s="2" t="inlineStr">
        <is>
          <t>ATIVO 0-10 dias</t>
        </is>
      </c>
      <c r="B48" s="2" t="inlineStr">
        <is>
          <t>PÓS-VENDA</t>
        </is>
      </c>
      <c r="C48" s="2" t="inlineStr">
        <is>
          <t>Baixa</t>
        </is>
      </c>
    </row>
    <row r="49">
      <c r="A49" s="2" t="inlineStr">
        <is>
          <t>ATIVO 10-25 dias</t>
        </is>
      </c>
      <c r="B49" s="2" t="inlineStr">
        <is>
          <t>CS</t>
        </is>
      </c>
      <c r="C49" s="2" t="inlineStr">
        <is>
          <t>Média</t>
        </is>
      </c>
    </row>
    <row r="50">
      <c r="A50" s="2" t="inlineStr">
        <is>
          <t>ATIVO perto ciclo (-7d)</t>
        </is>
      </c>
      <c r="B50" s="2" t="inlineStr">
        <is>
          <t>RECOMPRA</t>
        </is>
      </c>
      <c r="C50" s="2" t="inlineStr">
        <is>
          <t>Alta</t>
        </is>
      </c>
    </row>
    <row r="51">
      <c r="A51" s="2" t="inlineStr">
        <is>
          <t>INATIVO RECENTE</t>
        </is>
      </c>
      <c r="B51" s="2" t="inlineStr">
        <is>
          <t>SALVAMENTO</t>
        </is>
      </c>
      <c r="C51" s="2" t="inlineStr">
        <is>
          <t>Alta</t>
        </is>
      </c>
    </row>
    <row r="52">
      <c r="A52" s="2" t="inlineStr">
        <is>
          <t>INATIVO ANTIGO</t>
        </is>
      </c>
      <c r="B52" s="2" t="inlineStr">
        <is>
          <t>RECUPERAÇÃO</t>
        </is>
      </c>
      <c r="C52" s="2" t="inlineStr">
        <is>
          <t>Média</t>
        </is>
      </c>
    </row>
    <row r="53">
      <c r="A53" s="2" t="inlineStr">
        <is>
          <t>PROSPECT / LEAD</t>
        </is>
      </c>
      <c r="B53" s="2" t="inlineStr">
        <is>
          <t>PROSPECÇÃO</t>
        </is>
      </c>
      <c r="C53" s="2" t="inlineStr">
        <is>
          <t>Variável</t>
        </is>
      </c>
    </row>
    <row r="54">
      <c r="A54" s="2" t="inlineStr">
        <is>
          <t>Após T4 sem resposta</t>
        </is>
      </c>
      <c r="B54" s="2" t="inlineStr">
        <is>
          <t>NUTRIÇÃO</t>
        </is>
      </c>
      <c r="C54" s="2" t="inlineStr">
        <is>
          <t>Baixa</t>
        </is>
      </c>
    </row>
    <row r="55">
      <c r="A55" s="2" t="inlineStr">
        <is>
          <t>Com resposta</t>
        </is>
      </c>
      <c r="B55" s="2" t="inlineStr">
        <is>
          <t>EM ATENDIMENTO</t>
        </is>
      </c>
      <c r="C55" s="2" t="inlineStr">
        <is>
          <t>Alta</t>
        </is>
      </c>
    </row>
    <row r="56">
      <c r="A56" s="2" t="inlineStr">
        <is>
          <t>Com orçamento aberto</t>
        </is>
      </c>
      <c r="B56" s="2" t="inlineStr">
        <is>
          <t>ORÇAMENTO</t>
        </is>
      </c>
      <c r="C56" s="2" t="inlineStr">
        <is>
          <t>Máxima</t>
        </is>
      </c>
    </row>
    <row r="59">
      <c r="A59" s="1" t="inlineStr">
        <is>
          <t>TENTATIVA</t>
        </is>
      </c>
      <c r="B59" s="1" t="inlineStr">
        <is>
          <t>CANAL</t>
        </is>
      </c>
      <c r="C59" s="1" t="inlineStr">
        <is>
          <t>INTERVALO</t>
        </is>
      </c>
      <c r="D59" s="1" t="inlineStr">
        <is>
          <t>COMPORTAMENTO</t>
        </is>
      </c>
    </row>
    <row r="60">
      <c r="A60" s="2" t="inlineStr">
        <is>
          <t>T1</t>
        </is>
      </c>
      <c r="B60" s="2" t="inlineStr">
        <is>
          <t>WhatsApp</t>
        </is>
      </c>
      <c r="C60" s="2" t="inlineStr">
        <is>
          <t>Dia 0</t>
        </is>
      </c>
      <c r="D60" s="2" t="inlineStr">
        <is>
          <t>Primeira abordagem</t>
        </is>
      </c>
    </row>
    <row r="61">
      <c r="A61" s="2" t="inlineStr">
        <is>
          <t>T2</t>
        </is>
      </c>
      <c r="B61" s="2" t="inlineStr">
        <is>
          <t>Ligação</t>
        </is>
      </c>
      <c r="C61" s="2" t="inlineStr">
        <is>
          <t>+1 dia útil</t>
        </is>
      </c>
      <c r="D61" s="2" t="inlineStr">
        <is>
          <t>Se não respondeu T1</t>
        </is>
      </c>
    </row>
    <row r="62">
      <c r="A62" s="2" t="inlineStr">
        <is>
          <t>T3</t>
        </is>
      </c>
      <c r="B62" s="2" t="inlineStr">
        <is>
          <t>WhatsApp</t>
        </is>
      </c>
      <c r="C62" s="2" t="inlineStr">
        <is>
          <t>+2 dias</t>
        </is>
      </c>
      <c r="D62" s="2" t="inlineStr">
        <is>
          <t>Mudança de abordagem</t>
        </is>
      </c>
    </row>
    <row r="63">
      <c r="A63" s="2" t="inlineStr">
        <is>
          <t>T4</t>
        </is>
      </c>
      <c r="B63" s="2" t="inlineStr">
        <is>
          <t>Ligação final</t>
        </is>
      </c>
      <c r="C63" s="2" t="inlineStr">
        <is>
          <t>+2 dias</t>
        </is>
      </c>
      <c r="D63" s="2" t="inlineStr">
        <is>
          <t>Última tentativa ativa</t>
        </is>
      </c>
    </row>
    <row r="64">
      <c r="A64" s="2" t="inlineStr">
        <is>
          <t>NUTRIÇÃO</t>
        </is>
      </c>
      <c r="B64" s="2" t="inlineStr">
        <is>
          <t>Email + WhatsApp</t>
        </is>
      </c>
      <c r="C64" s="2" t="inlineStr">
        <is>
          <t>Ciclo 15 dias</t>
        </is>
      </c>
      <c r="D64" s="2" t="inlineStr">
        <is>
          <t>Após T4 sem resposta</t>
        </is>
      </c>
    </row>
    <row r="65">
      <c r="A65" s="2" t="inlineStr">
        <is>
          <t>RESET</t>
        </is>
      </c>
      <c r="B65" s="2" t="inlineStr">
        <is>
          <t>—</t>
        </is>
      </c>
      <c r="C65" s="2" t="inlineStr">
        <is>
          <t>—</t>
        </is>
      </c>
      <c r="D65" s="2" t="inlineStr">
        <is>
          <t>Quando responde volta T1</t>
        </is>
      </c>
    </row>
    <row r="68">
      <c r="A68" s="1" t="inlineStr">
        <is>
          <t>SINALEIRO</t>
        </is>
      </c>
      <c r="B68" s="1" t="inlineStr">
        <is>
          <t>COR HEX</t>
        </is>
      </c>
      <c r="C68" s="1" t="inlineStr">
        <is>
          <t>SIGNIFICADO</t>
        </is>
      </c>
    </row>
    <row r="69">
      <c r="A69" s="2" t="inlineStr">
        <is>
          <t>🟢</t>
        </is>
      </c>
      <c r="B69" s="3" t="inlineStr">
        <is>
          <t>00B050</t>
        </is>
      </c>
      <c r="C69" s="2" t="inlineStr">
        <is>
          <t>Saudável</t>
        </is>
      </c>
    </row>
    <row r="70">
      <c r="A70" s="2" t="inlineStr">
        <is>
          <t>🟡</t>
        </is>
      </c>
      <c r="B70" s="4" t="inlineStr">
        <is>
          <t>FFC000</t>
        </is>
      </c>
      <c r="C70" s="2" t="inlineStr">
        <is>
          <t>Atenção</t>
        </is>
      </c>
    </row>
    <row r="71">
      <c r="A71" s="2" t="inlineStr">
        <is>
          <t>🔴</t>
        </is>
      </c>
      <c r="B71" s="6" t="inlineStr">
        <is>
          <t>FF0000</t>
        </is>
      </c>
      <c r="C71" s="2" t="inlineStr">
        <is>
          <t>Crítico</t>
        </is>
      </c>
    </row>
    <row r="72">
      <c r="A72" s="2" t="inlineStr">
        <is>
          <t>🟣</t>
        </is>
      </c>
      <c r="B72" s="7" t="inlineStr">
        <is>
          <t>BDD7EE</t>
        </is>
      </c>
      <c r="C72" s="2" t="inlineStr">
        <is>
          <t>Prospect</t>
        </is>
      </c>
    </row>
    <row r="75">
      <c r="A75" s="1" t="inlineStr">
        <is>
          <t>COMPONENTE</t>
        </is>
      </c>
      <c r="B75" s="1" t="inlineStr">
        <is>
          <t>CONDIÇÃO</t>
        </is>
      </c>
      <c r="C75" s="1" t="inlineStr">
        <is>
          <t>PONTOS</t>
        </is>
      </c>
    </row>
    <row r="76">
      <c r="A76" s="2" t="inlineStr">
        <is>
          <t>CURVA ABC</t>
        </is>
      </c>
      <c r="B76" s="2" t="inlineStr">
        <is>
          <t>A</t>
        </is>
      </c>
      <c r="C76" s="2" t="n">
        <v>30</v>
      </c>
    </row>
    <row r="77">
      <c r="A77" s="2" t="inlineStr">
        <is>
          <t>CURVA ABC</t>
        </is>
      </c>
      <c r="B77" s="2" t="inlineStr">
        <is>
          <t>B</t>
        </is>
      </c>
      <c r="C77" s="2" t="n">
        <v>15</v>
      </c>
    </row>
    <row r="78">
      <c r="A78" s="2" t="inlineStr">
        <is>
          <t>CURVA ABC</t>
        </is>
      </c>
      <c r="B78" s="2" t="inlineStr">
        <is>
          <t>C</t>
        </is>
      </c>
      <c r="C78" s="2" t="n">
        <v>5</v>
      </c>
    </row>
    <row r="79">
      <c r="A79" s="2" t="inlineStr">
        <is>
          <t>SINALEIRO</t>
        </is>
      </c>
      <c r="B79" s="2" t="inlineStr">
        <is>
          <t>🔴</t>
        </is>
      </c>
      <c r="C79" s="2" t="n">
        <v>40</v>
      </c>
    </row>
    <row r="80">
      <c r="A80" s="2" t="inlineStr">
        <is>
          <t>SINALEIRO</t>
        </is>
      </c>
      <c r="B80" s="2" t="inlineStr">
        <is>
          <t>🟡</t>
        </is>
      </c>
      <c r="C80" s="2" t="n">
        <v>25</v>
      </c>
    </row>
    <row r="81">
      <c r="A81" s="2" t="inlineStr">
        <is>
          <t>SINALEIRO</t>
        </is>
      </c>
      <c r="B81" s="2" t="inlineStr">
        <is>
          <t>🟢</t>
        </is>
      </c>
      <c r="C81" s="2" t="n">
        <v>10</v>
      </c>
    </row>
    <row r="82">
      <c r="A82" s="2" t="inlineStr">
        <is>
          <t>SINALEIRO</t>
        </is>
      </c>
      <c r="B82" s="2" t="inlineStr">
        <is>
          <t>🟣</t>
        </is>
      </c>
      <c r="C82" s="2" t="n">
        <v>5</v>
      </c>
    </row>
    <row r="83">
      <c r="A83" s="2" t="inlineStr">
        <is>
          <t>FASE</t>
        </is>
      </c>
      <c r="B83" s="2" t="inlineStr">
        <is>
          <t>RECOMPRA/SALVAMENTO</t>
        </is>
      </c>
      <c r="C83" s="2" t="n">
        <v>25</v>
      </c>
    </row>
    <row r="84">
      <c r="A84" s="2" t="inlineStr">
        <is>
          <t>FASE</t>
        </is>
      </c>
      <c r="B84" s="2" t="inlineStr">
        <is>
          <t>CS</t>
        </is>
      </c>
      <c r="C84" s="2" t="n">
        <v>20</v>
      </c>
    </row>
    <row r="85">
      <c r="A85" s="2" t="inlineStr">
        <is>
          <t>FASE</t>
        </is>
      </c>
      <c r="B85" s="2" t="inlineStr">
        <is>
          <t>PROSPECÇÃO</t>
        </is>
      </c>
      <c r="C85" s="2" t="n">
        <v>10</v>
      </c>
    </row>
    <row r="86">
      <c r="A86" s="2" t="inlineStr">
        <is>
          <t>FASE</t>
        </is>
      </c>
      <c r="B86" s="2" t="inlineStr">
        <is>
          <t>NUTRIÇÃO</t>
        </is>
      </c>
      <c r="C86" s="2" t="n">
        <v>5</v>
      </c>
    </row>
    <row r="89">
      <c r="A89" s="1" t="inlineStr">
        <is>
          <t>CONSULTOR</t>
        </is>
      </c>
      <c r="B89" s="1" t="inlineStr">
        <is>
          <t>TERRITÓRIO</t>
        </is>
      </c>
      <c r="C89" s="1" t="inlineStr">
        <is>
          <t>TIPO</t>
        </is>
      </c>
      <c r="D89" s="1" t="inlineStr">
        <is>
          <t>REDES</t>
        </is>
      </c>
    </row>
    <row r="90">
      <c r="A90" s="2" t="inlineStr">
        <is>
          <t>MANU DITZEL</t>
        </is>
      </c>
      <c r="B90" s="2" t="inlineStr">
        <is>
          <t>SC, PR, RS</t>
        </is>
      </c>
      <c r="C90" s="2" t="inlineStr">
        <is>
          <t>Regional</t>
        </is>
      </c>
      <c r="D90" s="2" t="inlineStr">
        <is>
          <t>—</t>
        </is>
      </c>
    </row>
    <row r="91">
      <c r="A91" s="2" t="inlineStr">
        <is>
          <t>LARISSA PADILHA</t>
        </is>
      </c>
      <c r="B91" s="2" t="inlineStr">
        <is>
          <t>Resto do Brasil</t>
        </is>
      </c>
      <c r="C91" s="2" t="inlineStr">
        <is>
          <t>Regional</t>
        </is>
      </c>
      <c r="D91" s="2" t="inlineStr">
        <is>
          <t>—</t>
        </is>
      </c>
    </row>
    <row r="92">
      <c r="A92" s="2" t="inlineStr">
        <is>
          <t>JULIO GADRET</t>
        </is>
      </c>
      <c r="B92" s="2" t="inlineStr">
        <is>
          <t>Nacional</t>
        </is>
      </c>
      <c r="C92" s="2" t="inlineStr">
        <is>
          <t>Rede</t>
        </is>
      </c>
      <c r="D92" s="2" t="inlineStr">
        <is>
          <t>CIA DA SAUDE, FIT LAND</t>
        </is>
      </c>
    </row>
    <row r="93">
      <c r="A93" s="2" t="inlineStr">
        <is>
          <t>DAIANE STAVICKI</t>
        </is>
      </c>
      <c r="B93" s="2" t="inlineStr">
        <is>
          <t>Nacional</t>
        </is>
      </c>
      <c r="C93" s="2" t="inlineStr">
        <is>
          <t>Rede + Central</t>
        </is>
      </c>
      <c r="D93" s="2" t="inlineStr">
        <is>
          <t>Mundo Verde, Biomundo, Divina Terra, Vida Leve, Tudo em Grãos, Armazém Fitstore</t>
        </is>
      </c>
    </row>
    <row r="96">
      <c r="F96" s="8" t="inlineStr">
        <is>
          <t>SIM_NAO</t>
        </is>
      </c>
      <c r="G96" s="8" t="inlineStr">
        <is>
          <t>SIM_NAO_NA</t>
        </is>
      </c>
      <c r="H96" s="8" t="inlineStr">
        <is>
          <t>ATIVO_RECEPTIVO</t>
        </is>
      </c>
      <c r="I96" s="8" t="inlineStr">
        <is>
          <t>CURVA_ABC</t>
        </is>
      </c>
      <c r="J96" s="8" t="inlineStr">
        <is>
          <t>TIPO_CLIENTE</t>
        </is>
      </c>
      <c r="K96" s="8" t="inlineStr">
        <is>
          <t>BLOCO</t>
        </is>
      </c>
      <c r="L96" s="8" t="inlineStr">
        <is>
          <t>UF</t>
        </is>
      </c>
      <c r="M96" s="8" t="inlineStr">
        <is>
          <t>AÇÃO FUTURA</t>
        </is>
      </c>
    </row>
    <row r="97">
      <c r="F97" s="2" t="inlineStr">
        <is>
          <t>SIM</t>
        </is>
      </c>
      <c r="G97" s="2" t="inlineStr">
        <is>
          <t>SIM</t>
        </is>
      </c>
      <c r="H97" s="2" t="inlineStr">
        <is>
          <t>ATIVO</t>
        </is>
      </c>
      <c r="I97" s="2" t="inlineStr">
        <is>
          <t>A</t>
        </is>
      </c>
      <c r="J97" s="2" t="inlineStr">
        <is>
          <t>NOVO</t>
        </is>
      </c>
      <c r="K97" s="2" t="inlineStr">
        <is>
          <t>MANHÃ</t>
        </is>
      </c>
      <c r="L97" s="2" t="inlineStr">
        <is>
          <t>AC</t>
        </is>
      </c>
      <c r="M97" s="2" t="inlineStr">
        <is>
          <t>LIGAR</t>
        </is>
      </c>
    </row>
    <row r="98">
      <c r="F98" s="2" t="inlineStr">
        <is>
          <t>NÃO</t>
        </is>
      </c>
      <c r="G98" s="2" t="inlineStr">
        <is>
          <t>NÃO</t>
        </is>
      </c>
      <c r="H98" s="2" t="inlineStr">
        <is>
          <t>RECEPTIVO</t>
        </is>
      </c>
      <c r="I98" s="2" t="inlineStr">
        <is>
          <t>B</t>
        </is>
      </c>
      <c r="J98" s="2" t="inlineStr">
        <is>
          <t>EM DESENVOLVIMENTO</t>
        </is>
      </c>
      <c r="K98" s="2" t="inlineStr">
        <is>
          <t>TARDE</t>
        </is>
      </c>
      <c r="L98" s="2" t="inlineStr">
        <is>
          <t>AL</t>
        </is>
      </c>
      <c r="M98" s="2" t="inlineStr">
        <is>
          <t>WHATSAPP</t>
        </is>
      </c>
    </row>
    <row r="99">
      <c r="G99" s="2" t="inlineStr">
        <is>
          <t>N/A</t>
        </is>
      </c>
      <c r="I99" s="2" t="inlineStr">
        <is>
          <t>C</t>
        </is>
      </c>
      <c r="J99" s="2" t="inlineStr">
        <is>
          <t>RECORRENTE</t>
        </is>
      </c>
      <c r="L99" s="2" t="inlineStr">
        <is>
          <t>AM</t>
        </is>
      </c>
      <c r="M99" s="2" t="inlineStr">
        <is>
          <t>ENVIAR ORÇAMENTO</t>
        </is>
      </c>
    </row>
    <row r="100">
      <c r="J100" s="2" t="inlineStr">
        <is>
          <t>FIDELIZADO</t>
        </is>
      </c>
      <c r="L100" s="2" t="inlineStr">
        <is>
          <t>AP</t>
        </is>
      </c>
      <c r="M100" s="2" t="inlineStr">
        <is>
          <t>ENVIAR CATÁLOGO</t>
        </is>
      </c>
    </row>
    <row r="101">
      <c r="J101" s="2" t="inlineStr">
        <is>
          <t>PROSPECT</t>
        </is>
      </c>
      <c r="L101" s="2" t="inlineStr">
        <is>
          <t>BA</t>
        </is>
      </c>
      <c r="M101" s="2" t="inlineStr">
        <is>
          <t>REAGENDAR</t>
        </is>
      </c>
    </row>
    <row r="102">
      <c r="J102" s="2" t="inlineStr">
        <is>
          <t>LEAD</t>
        </is>
      </c>
      <c r="L102" s="2" t="inlineStr">
        <is>
          <t>CE</t>
        </is>
      </c>
      <c r="M102" s="2" t="inlineStr">
        <is>
          <t>VISITAR</t>
        </is>
      </c>
    </row>
    <row r="103">
      <c r="L103" s="2" t="inlineStr">
        <is>
          <t>DF</t>
        </is>
      </c>
      <c r="M103" s="2" t="inlineStr">
        <is>
          <t>AGUARDAR RETORNO</t>
        </is>
      </c>
    </row>
    <row r="104">
      <c r="L104" s="2" t="inlineStr">
        <is>
          <t>ES</t>
        </is>
      </c>
      <c r="M104" s="2" t="inlineStr">
        <is>
          <t>NENHUMA</t>
        </is>
      </c>
    </row>
    <row r="105">
      <c r="L105" s="2" t="inlineStr">
        <is>
          <t>GO</t>
        </is>
      </c>
    </row>
    <row r="106">
      <c r="L106" s="2" t="inlineStr">
        <is>
          <t>MA</t>
        </is>
      </c>
    </row>
    <row r="107">
      <c r="L107" s="2" t="inlineStr">
        <is>
          <t>MG</t>
        </is>
      </c>
    </row>
    <row r="108">
      <c r="L108" s="2" t="inlineStr">
        <is>
          <t>MS</t>
        </is>
      </c>
    </row>
    <row r="109">
      <c r="L109" s="2" t="inlineStr">
        <is>
          <t>MT</t>
        </is>
      </c>
    </row>
    <row r="110">
      <c r="L110" s="2" t="inlineStr">
        <is>
          <t>PA</t>
        </is>
      </c>
    </row>
    <row r="111">
      <c r="L111" s="2" t="inlineStr">
        <is>
          <t>PB</t>
        </is>
      </c>
    </row>
    <row r="112">
      <c r="L112" s="2" t="inlineStr">
        <is>
          <t>PE</t>
        </is>
      </c>
    </row>
    <row r="113">
      <c r="L113" s="2" t="inlineStr">
        <is>
          <t>PI</t>
        </is>
      </c>
    </row>
    <row r="114">
      <c r="L114" s="2" t="inlineStr">
        <is>
          <t>PR</t>
        </is>
      </c>
    </row>
    <row r="115">
      <c r="L115" s="2" t="inlineStr">
        <is>
          <t>RJ</t>
        </is>
      </c>
    </row>
    <row r="116">
      <c r="L116" s="2" t="inlineStr">
        <is>
          <t>RN</t>
        </is>
      </c>
    </row>
    <row r="117">
      <c r="L117" s="2" t="inlineStr">
        <is>
          <t>RO</t>
        </is>
      </c>
    </row>
    <row r="118">
      <c r="L118" s="2" t="inlineStr">
        <is>
          <t>RR</t>
        </is>
      </c>
    </row>
    <row r="119">
      <c r="L119" s="2" t="inlineStr">
        <is>
          <t>RS</t>
        </is>
      </c>
    </row>
    <row r="120">
      <c r="L120" s="2" t="inlineStr">
        <is>
          <t>SC</t>
        </is>
      </c>
    </row>
    <row r="121">
      <c r="L121" s="2" t="inlineStr">
        <is>
          <t>SE</t>
        </is>
      </c>
    </row>
    <row r="122">
      <c r="L122" s="2" t="inlineStr">
        <is>
          <t>SP</t>
        </is>
      </c>
    </row>
    <row r="123">
      <c r="L123" s="2" t="inlineStr">
        <is>
          <t>TO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00B050"/>
    <outlinePr summaryBelow="1" summaryRight="1"/>
    <pageSetUpPr/>
  </sheetPr>
  <dimension ref="A1:CC6"/>
  <sheetViews>
    <sheetView zoomScale="90" workbookViewId="0">
      <pane xSplit="10" ySplit="1" topLeftCell="K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8" customWidth="1" min="2" max="2"/>
    <col width="14" customWidth="1" min="3" max="3"/>
    <col width="16" customWidth="1" min="4" max="4"/>
    <col width="18" customWidth="1" min="5" max="5"/>
    <col width="14" customWidth="1" min="6" max="6"/>
    <col width="14" customWidth="1" min="7" max="7"/>
    <col width="14" customWidth="1" min="8" max="8"/>
    <col width="16" customWidth="1" min="9" max="9"/>
    <col width="14" customWidth="1" min="10" max="10"/>
    <col width="18" customWidth="1" min="11" max="11"/>
    <col hidden="1" outlineLevel="1" width="22" customWidth="1" min="12" max="12"/>
    <col hidden="1" outlineLevel="1" width="14" customWidth="1" min="13" max="13"/>
    <col hidden="1" outlineLevel="1" width="22" customWidth="1" min="14" max="14"/>
    <col hidden="1" outlineLevel="1" width="14" customWidth="1" min="15" max="15"/>
    <col hidden="1" outlineLevel="1" width="14" customWidth="1" min="16" max="16"/>
    <col hidden="1" outlineLevel="1" width="14" customWidth="1" min="17" max="17"/>
    <col width="14" customWidth="1" min="18" max="18"/>
    <col hidden="1" outlineLevel="1" width="14" customWidth="1" min="19" max="19"/>
    <col hidden="1" outlineLevel="1" width="14" customWidth="1" min="20" max="20"/>
    <col hidden="1" outlineLevel="1" width="14" customWidth="1" min="21" max="21"/>
    <col hidden="1" outlineLevel="1" width="14" customWidth="1" min="22" max="22"/>
    <col hidden="1" outlineLevel="1" width="14" customWidth="1" min="23" max="23"/>
    <col hidden="1" outlineLevel="1" width="14" customWidth="1" min="24" max="24"/>
    <col hidden="1" outlineLevel="1" width="14" customWidth="1" min="25" max="25"/>
    <col hidden="1" outlineLevel="1" width="14" customWidth="1" min="26" max="26"/>
    <col width="14" customWidth="1" min="27" max="27"/>
    <col hidden="1" outlineLevel="1" width="14" customWidth="1" min="28" max="28"/>
    <col hidden="1" outlineLevel="1" width="14" customWidth="1" min="29" max="29"/>
    <col hidden="1" outlineLevel="1" width="14" customWidth="1" min="30" max="30"/>
    <col hidden="1" outlineLevel="1" width="14" customWidth="1" min="31" max="31"/>
    <col hidden="1" outlineLevel="1" width="14" customWidth="1" min="32" max="32"/>
    <col hidden="1" outlineLevel="1" width="14" customWidth="1" min="33" max="33"/>
    <col hidden="1" outlineLevel="1" width="14" customWidth="1" min="34" max="34"/>
    <col hidden="1" outlineLevel="1" width="14" customWidth="1" min="35" max="35"/>
    <col hidden="1" outlineLevel="1" width="14" customWidth="1" min="36" max="36"/>
    <col hidden="1" outlineLevel="1" width="14" customWidth="1" min="37" max="37"/>
    <col hidden="1" outlineLevel="1" width="14" customWidth="1" min="38" max="38"/>
    <col hidden="1" outlineLevel="1" width="14" customWidth="1" min="39" max="39"/>
    <col width="14" customWidth="1" min="40" max="40"/>
    <col hidden="1" outlineLevel="1" width="14" customWidth="1" min="41" max="41"/>
    <col hidden="1" outlineLevel="1" width="14" customWidth="1" min="42" max="42"/>
    <col hidden="1" outlineLevel="1" width="14" customWidth="1" min="43" max="43"/>
    <col hidden="1" outlineLevel="1" width="14" customWidth="1" min="44" max="44"/>
    <col hidden="1" outlineLevel="1" width="14" customWidth="1" min="45" max="45"/>
    <col width="14" customWidth="1" min="46" max="46"/>
    <col hidden="1" outlineLevel="1" width="14" customWidth="1" min="47" max="47"/>
    <col hidden="1" outlineLevel="1" width="14" customWidth="1" min="48" max="48"/>
    <col hidden="1" outlineLevel="1" width="14" customWidth="1" min="49" max="49"/>
    <col hidden="1" outlineLevel="1" width="14" customWidth="1" min="50" max="50"/>
    <col width="14" customWidth="1" min="51" max="51"/>
    <col hidden="1" outlineLevel="1" width="14" customWidth="1" min="52" max="52"/>
    <col hidden="1" outlineLevel="1" width="22" customWidth="1" min="53" max="53"/>
    <col hidden="1" outlineLevel="1" width="14" customWidth="1" min="54" max="54"/>
    <col hidden="1" outlineLevel="1" width="14" customWidth="1" min="55" max="55"/>
    <col hidden="1" outlineLevel="1" width="14" customWidth="1" min="56" max="56"/>
    <col hidden="1" outlineLevel="1" width="14" customWidth="1" min="57" max="57"/>
    <col hidden="1" outlineLevel="1" width="14" customWidth="1" min="58" max="58"/>
    <col hidden="1" outlineLevel="1" width="14" customWidth="1" min="59" max="59"/>
    <col hidden="1" outlineLevel="1" width="14" customWidth="1" min="60" max="60"/>
    <col hidden="1" outlineLevel="1" width="14" customWidth="1" min="61" max="61"/>
    <col width="14" customWidth="1" min="62" max="62"/>
    <col hidden="1" outlineLevel="1" width="14" customWidth="1" min="63" max="63"/>
    <col hidden="1" outlineLevel="1" width="14" customWidth="1" min="64" max="64"/>
    <col hidden="1" outlineLevel="1" width="25" customWidth="1" min="65" max="65"/>
    <col hidden="1" outlineLevel="1" width="14" customWidth="1" min="66" max="66"/>
    <col hidden="1" outlineLevel="1" width="14" customWidth="1" min="67" max="67"/>
    <col hidden="1" outlineLevel="1" width="14" customWidth="1" min="68" max="68"/>
    <col hidden="1" outlineLevel="1" width="14" customWidth="1" min="69" max="69"/>
    <col hidden="1" outlineLevel="1" width="20" customWidth="1" min="70" max="70"/>
    <col width="14" customWidth="1" min="71" max="71"/>
    <col hidden="1" outlineLevel="1" width="14" customWidth="1" min="72" max="72"/>
    <col hidden="1" outlineLevel="1" width="14" customWidth="1" min="73" max="73"/>
    <col hidden="1" outlineLevel="1" width="14" customWidth="1" min="74" max="74"/>
    <col hidden="1" outlineLevel="1" width="14" customWidth="1" min="75" max="75"/>
    <col hidden="1" outlineLevel="1" width="14" customWidth="1" min="76" max="76"/>
    <col hidden="1" outlineLevel="1" width="14" customWidth="1" min="77" max="77"/>
    <col hidden="1" outlineLevel="1" width="14" customWidth="1" min="78" max="78"/>
    <col hidden="1" outlineLevel="1" width="14" customWidth="1" min="79" max="79"/>
    <col hidden="1" outlineLevel="1" width="14" customWidth="1" min="80" max="80"/>
    <col hidden="1" outlineLevel="1" width="22" customWidth="1" min="81" max="81"/>
  </cols>
  <sheetData>
    <row r="1">
      <c r="A1" s="1" t="inlineStr">
        <is>
          <t>NOME FANTASIA</t>
        </is>
      </c>
      <c r="B1" s="1" t="inlineStr">
        <is>
          <t>REDE / REGIONAL</t>
        </is>
      </c>
      <c r="C1" s="1" t="inlineStr">
        <is>
          <t>UF</t>
        </is>
      </c>
      <c r="D1" s="1" t="inlineStr">
        <is>
          <t>CONSULTOR</t>
        </is>
      </c>
      <c r="E1" s="1" t="inlineStr">
        <is>
          <t>SITUAÇÃO</t>
        </is>
      </c>
      <c r="F1" s="1" t="inlineStr">
        <is>
          <t>DIAS SEM COMPRA</t>
        </is>
      </c>
      <c r="G1" s="1" t="inlineStr">
        <is>
          <t>🚦 SINALEIRO</t>
        </is>
      </c>
      <c r="H1" s="1" t="inlineStr">
        <is>
          <t>TIPO CLIENTE</t>
        </is>
      </c>
      <c r="I1" s="1" t="inlineStr">
        <is>
          <t>FASE</t>
        </is>
      </c>
      <c r="J1" s="1" t="inlineStr">
        <is>
          <t>TENTATIVA</t>
        </is>
      </c>
      <c r="K1" s="1" t="inlineStr">
        <is>
          <t>CNPJ</t>
        </is>
      </c>
      <c r="L1" s="1" t="inlineStr">
        <is>
          <t>RAZÃO SOCIAL</t>
        </is>
      </c>
      <c r="M1" s="1" t="inlineStr">
        <is>
          <t>CIDADE</t>
        </is>
      </c>
      <c r="N1" s="1" t="inlineStr">
        <is>
          <t>EMAIL</t>
        </is>
      </c>
      <c r="O1" s="1" t="inlineStr">
        <is>
          <t>TELEFONE</t>
        </is>
      </c>
      <c r="P1" s="1" t="inlineStr">
        <is>
          <t>COD_FONTE</t>
        </is>
      </c>
      <c r="Q1" s="1" t="inlineStr">
        <is>
          <t>DATA CADASTRO</t>
        </is>
      </c>
      <c r="R1" s="1" t="inlineStr">
        <is>
          <t>CICLO MÉDIO</t>
        </is>
      </c>
      <c r="S1" s="1" t="inlineStr">
        <is>
          <t>DATA ÚLTIMO PEDIDO</t>
        </is>
      </c>
      <c r="T1" s="1" t="inlineStr">
        <is>
          <t>VALOR ÚLTIMO PEDIDO</t>
        </is>
      </c>
      <c r="U1" s="1" t="inlineStr">
        <is>
          <t>VENDEDOR ÚLTIMO PEDIDO</t>
        </is>
      </c>
      <c r="V1" s="1" t="inlineStr">
        <is>
          <t>Nº DE COMPRAS</t>
        </is>
      </c>
      <c r="W1" s="1" t="inlineStr">
        <is>
          <t>CURVA ABC</t>
        </is>
      </c>
      <c r="X1" s="1" t="inlineStr">
        <is>
          <t>TICKET MÉDIO</t>
        </is>
      </c>
      <c r="Y1" s="1" t="inlineStr">
        <is>
          <t>MESES POSITIVADO</t>
        </is>
      </c>
      <c r="Z1" s="1" t="inlineStr">
        <is>
          <t>MÉDIA MENSAL</t>
        </is>
      </c>
      <c r="AA1" s="1" t="inlineStr">
        <is>
          <t>TOTAL PERÍODO R$</t>
        </is>
      </c>
      <c r="AB1" s="1" t="inlineStr">
        <is>
          <t>MAR/25</t>
        </is>
      </c>
      <c r="AC1" s="1" t="inlineStr">
        <is>
          <t>ABR/25</t>
        </is>
      </c>
      <c r="AD1" s="1" t="inlineStr">
        <is>
          <t>MAI/25</t>
        </is>
      </c>
      <c r="AE1" s="1" t="inlineStr">
        <is>
          <t>JUN/25</t>
        </is>
      </c>
      <c r="AF1" s="1" t="inlineStr">
        <is>
          <t>JUL/25</t>
        </is>
      </c>
      <c r="AG1" s="1" t="inlineStr">
        <is>
          <t>AGO/25</t>
        </is>
      </c>
      <c r="AH1" s="1" t="inlineStr">
        <is>
          <t>SET/25</t>
        </is>
      </c>
      <c r="AI1" s="1" t="inlineStr">
        <is>
          <t>OUT/25</t>
        </is>
      </c>
      <c r="AJ1" s="1" t="inlineStr">
        <is>
          <t>NOV/25</t>
        </is>
      </c>
      <c r="AK1" s="1" t="inlineStr">
        <is>
          <t>DEZ/25</t>
        </is>
      </c>
      <c r="AL1" s="1" t="inlineStr">
        <is>
          <t>JAN/26</t>
        </is>
      </c>
      <c r="AM1" s="1" t="inlineStr">
        <is>
          <t>MESES LISTA</t>
        </is>
      </c>
      <c r="AN1" s="1" t="inlineStr">
        <is>
          <t>DIAS ATÉ CONVERSÃO</t>
        </is>
      </c>
      <c r="AO1" s="1" t="inlineStr">
        <is>
          <t>DATA 1º CONTATO</t>
        </is>
      </c>
      <c r="AP1" s="1" t="inlineStr">
        <is>
          <t>DATA 1º ORÇAMENTO</t>
        </is>
      </c>
      <c r="AQ1" s="1" t="inlineStr">
        <is>
          <t>DATA 1ª VENDA</t>
        </is>
      </c>
      <c r="AR1" s="1" t="inlineStr">
        <is>
          <t>TOTAL TENTATIVAS ATÉ VENDA</t>
        </is>
      </c>
      <c r="AS1" s="1" t="inlineStr">
        <is>
          <t>DATA ÚLTIMA RECOMPRA</t>
        </is>
      </c>
      <c r="AT1" s="1" t="inlineStr">
        <is>
          <t>ACESSO B2B</t>
        </is>
      </c>
      <c r="AU1" s="1" t="inlineStr">
        <is>
          <t>ACESSOS PORTAL</t>
        </is>
      </c>
      <c r="AV1" s="1" t="inlineStr">
        <is>
          <t>ITENS CARRINHO</t>
        </is>
      </c>
      <c r="AW1" s="1" t="inlineStr">
        <is>
          <t>VALOR PORTAL B2B</t>
        </is>
      </c>
      <c r="AX1" s="1" t="inlineStr">
        <is>
          <t>OPORTUNIDADE ECOM</t>
        </is>
      </c>
      <c r="AY1" s="1" t="inlineStr">
        <is>
          <t>COD_SAP</t>
        </is>
      </c>
      <c r="AZ1" s="1" t="inlineStr">
        <is>
          <t>STATUS PARCEIRO</t>
        </is>
      </c>
      <c r="BA1" s="1" t="inlineStr">
        <is>
          <t>ENDEREÇO</t>
        </is>
      </c>
      <c r="BB1" s="1" t="inlineStr">
        <is>
          <t>CEP</t>
        </is>
      </c>
      <c r="BC1" s="1" t="inlineStr">
        <is>
          <t>CONDIÇÃO PAGAMENTO</t>
        </is>
      </c>
      <c r="BD1" s="1" t="inlineStr">
        <is>
          <t>LISTA PREÇOS</t>
        </is>
      </c>
      <c r="BE1" s="1" t="inlineStr">
        <is>
          <t>GRUPO CLIENTE</t>
        </is>
      </c>
      <c r="BF1" s="1" t="inlineStr">
        <is>
          <t>BLOQUEIO VENDAS</t>
        </is>
      </c>
      <c r="BG1" s="1" t="inlineStr">
        <is>
          <t>BLOQUEIO GERAL</t>
        </is>
      </c>
      <c r="BH1" s="1" t="inlineStr">
        <is>
          <t>DESC. COMERCIAL</t>
        </is>
      </c>
      <c r="BI1" s="1" t="inlineStr">
        <is>
          <t>MACRORREGIÃO</t>
        </is>
      </c>
      <c r="BJ1" s="1" t="inlineStr">
        <is>
          <t>PRÓX. FOLLOW-UP</t>
        </is>
      </c>
      <c r="BK1" s="1" t="inlineStr">
        <is>
          <t>BLOCO</t>
        </is>
      </c>
      <c r="BL1" s="1" t="inlineStr">
        <is>
          <t>ESTÁGIO FUNIL</t>
        </is>
      </c>
      <c r="BM1" s="1" t="inlineStr">
        <is>
          <t>AÇÃO DETALHADA</t>
        </is>
      </c>
      <c r="BN1" s="1" t="inlineStr">
        <is>
          <t>DATA ÚLT. ATENDIMENTO</t>
        </is>
      </c>
      <c r="BO1" s="1" t="inlineStr">
        <is>
          <t>ÚLTIMO RESULTADO</t>
        </is>
      </c>
      <c r="BP1" s="1" t="inlineStr">
        <is>
          <t>MOTIVO</t>
        </is>
      </c>
      <c r="BQ1" s="1" t="inlineStr">
        <is>
          <t>PRIORIDADE</t>
        </is>
      </c>
      <c r="BR1" s="1" t="inlineStr">
        <is>
          <t>OBSERVAÇÃO</t>
        </is>
      </c>
      <c r="BS1" s="1" t="inlineStr">
        <is>
          <t>% ATING. MÊS</t>
        </is>
      </c>
      <c r="BT1" s="1" t="inlineStr">
        <is>
          <t>META MÊS R$</t>
        </is>
      </c>
      <c r="BU1" s="1" t="inlineStr">
        <is>
          <t>REALIZADO MÊS R$</t>
        </is>
      </c>
      <c r="BV1" s="1" t="inlineStr">
        <is>
          <t>% ATING. TRI</t>
        </is>
      </c>
      <c r="BW1" s="1" t="inlineStr">
        <is>
          <t>META TRI R$</t>
        </is>
      </c>
      <c r="BX1" s="1" t="inlineStr">
        <is>
          <t>REALIZADO TRI R$</t>
        </is>
      </c>
      <c r="BY1" s="1" t="inlineStr">
        <is>
          <t>% ATING. YTD</t>
        </is>
      </c>
      <c r="BZ1" s="1" t="inlineStr">
        <is>
          <t>META YTD R$</t>
        </is>
      </c>
      <c r="CA1" s="1" t="inlineStr">
        <is>
          <t>REALIZADO YTD R$</t>
        </is>
      </c>
      <c r="CB1" s="1" t="inlineStr">
        <is>
          <t>DATA ÚLTIMO PEDIDO</t>
        </is>
      </c>
      <c r="CC1" s="1" t="inlineStr">
        <is>
          <t>JUSTIFICATIVA SEMANAL</t>
        </is>
      </c>
    </row>
    <row r="2">
      <c r="A2" s="2" t="inlineStr">
        <is>
          <t>DIVINA TERRA CWB</t>
        </is>
      </c>
      <c r="B2" s="2" t="inlineStr">
        <is>
          <t>DIVINA TERRA</t>
        </is>
      </c>
      <c r="C2" s="2" t="inlineStr">
        <is>
          <t>PR</t>
        </is>
      </c>
      <c r="D2" s="2" t="inlineStr">
        <is>
          <t>DAIANE</t>
        </is>
      </c>
      <c r="E2">
        <f>IF(S2="",IF(H2="LEAD","LEAD",IF(H2="NOVO","NOVO","PROSPECT")),IF(F2&lt;=50,"ATIVO",IF(F2&lt;=60,"EM RISCO",IF(F2&lt;=90,"INATIVO RECENTE","INATIVO ANTIGO"))))</f>
        <v/>
      </c>
      <c r="F2" s="9">
        <f>IF(S2="","",INT(TODAY()-S2))</f>
        <v/>
      </c>
      <c r="G2">
        <f>IF(S2="","🟣",IF(F2&lt;=R2,"🟢",IF(F2&lt;=R2+30,"🟡","🔴")))</f>
        <v/>
      </c>
      <c r="H2" s="2" t="inlineStr">
        <is>
          <t>EM DESENVOLVIMENTO</t>
        </is>
      </c>
      <c r="I2">
        <f>IF(BO2="ORÇAMENTO","ORÇAMENTO",IF(BO2="EM ATENDIMENTO","EM ATENDIMENTO",IF(S2="","PROSPECÇÃO",IF(F2&lt;=10,"PÓS-VENDA",IF(F2&lt;=25,"CS",IF(F2&lt;=R2,"RECOMPRA",IF(F2&lt;=90,"SALVAMENTO","RECUPERAÇÃO")))))))</f>
        <v/>
      </c>
      <c r="J2" s="2" t="inlineStr">
        <is>
          <t>T1</t>
        </is>
      </c>
      <c r="K2" s="2" t="inlineStr">
        <is>
          <t>32828171000108</t>
        </is>
      </c>
      <c r="L2" s="2" t="inlineStr">
        <is>
          <t>DIVINA TERRA LTDA</t>
        </is>
      </c>
      <c r="M2" s="2" t="inlineStr">
        <is>
          <t>CURITIBA</t>
        </is>
      </c>
      <c r="N2" s="2" t="inlineStr">
        <is>
          <t>divina@email.com</t>
        </is>
      </c>
      <c r="O2" s="2" t="inlineStr">
        <is>
          <t>5541999990001</t>
        </is>
      </c>
      <c r="P2" s="2" t="inlineStr">
        <is>
          <t>SAP_ATIVO</t>
        </is>
      </c>
      <c r="Q2" s="10" t="n">
        <v>45717</v>
      </c>
      <c r="R2" s="2" t="n">
        <v>45</v>
      </c>
      <c r="S2" s="10" t="n">
        <v>46049</v>
      </c>
      <c r="T2" s="11" t="n">
        <v>1850</v>
      </c>
      <c r="U2" s="2" t="inlineStr">
        <is>
          <t>MANU</t>
        </is>
      </c>
      <c r="V2" s="12" t="n">
        <v>8</v>
      </c>
      <c r="W2" s="2" t="inlineStr">
        <is>
          <t>A</t>
        </is>
      </c>
      <c r="X2" s="13">
        <f>IF(V2&gt;0,AA2/V2,0)</f>
        <v/>
      </c>
      <c r="Y2" s="12" t="n">
        <v>10</v>
      </c>
      <c r="Z2" s="13">
        <f>IF(Y2&gt;0,AA2/Y2,0)</f>
        <v/>
      </c>
      <c r="AA2" s="13">
        <f>SUM(AB2:AL2)</f>
        <v/>
      </c>
      <c r="AB2" s="11" t="n">
        <v>0</v>
      </c>
      <c r="AC2" s="11" t="n">
        <v>500</v>
      </c>
      <c r="AD2" s="11" t="n">
        <v>0</v>
      </c>
      <c r="AE2" s="11" t="n">
        <v>1200</v>
      </c>
      <c r="AF2" s="11" t="n">
        <v>0</v>
      </c>
      <c r="AG2" s="11" t="n">
        <v>2500</v>
      </c>
      <c r="AH2" s="11" t="n">
        <v>3000</v>
      </c>
      <c r="AI2" s="11" t="n">
        <v>1500</v>
      </c>
      <c r="AJ2" s="11" t="n">
        <v>2800</v>
      </c>
      <c r="AK2" s="11" t="n">
        <v>1500</v>
      </c>
      <c r="AL2" s="11" t="n">
        <v>0</v>
      </c>
      <c r="AM2" s="2" t="inlineStr">
        <is>
          <t>JAN/26,DEZ/25,NOV/25</t>
        </is>
      </c>
      <c r="AN2">
        <f>IF(AND(AO2&lt;&gt;"",AQ2&lt;&gt;""),AQ2-AO2,"")</f>
        <v/>
      </c>
      <c r="AO2" s="10" t="n">
        <v>45809</v>
      </c>
      <c r="AP2" s="10" t="n"/>
      <c r="AQ2" s="10" t="n">
        <v>45853</v>
      </c>
      <c r="AR2" s="12" t="n">
        <v>5</v>
      </c>
      <c r="AS2" s="10" t="n"/>
      <c r="AT2" s="2" t="inlineStr">
        <is>
          <t>SIM</t>
        </is>
      </c>
      <c r="AU2" s="12" t="n">
        <v>12</v>
      </c>
      <c r="AV2" s="12" t="n">
        <v>3</v>
      </c>
      <c r="AW2" s="11" t="n">
        <v>850</v>
      </c>
      <c r="AX2" s="2" t="inlineStr">
        <is>
          <t>QUENTE</t>
        </is>
      </c>
      <c r="AY2" s="2" t="inlineStr">
        <is>
          <t>1000105451</t>
        </is>
      </c>
      <c r="AZ2" s="2" t="inlineStr">
        <is>
          <t>ATIVO</t>
        </is>
      </c>
      <c r="BA2" s="2" t="inlineStr">
        <is>
          <t>Rua das Flores 100</t>
        </is>
      </c>
      <c r="BB2" s="2" t="inlineStr">
        <is>
          <t>80000100</t>
        </is>
      </c>
      <c r="BC2" s="2" t="inlineStr">
        <is>
          <t>30DDL</t>
        </is>
      </c>
      <c r="BD2" s="2" t="inlineStr">
        <is>
          <t>LISTA1</t>
        </is>
      </c>
      <c r="BE2" s="2" t="inlineStr">
        <is>
          <t>VAREJO</t>
        </is>
      </c>
      <c r="BF2" s="2" t="inlineStr"/>
      <c r="BG2" s="2" t="inlineStr"/>
      <c r="BH2" s="2" t="inlineStr"/>
      <c r="BI2" s="2" t="inlineStr"/>
      <c r="BJ2" s="14">
        <f>IF(BN2="","",BN2+IFERROR(VLOOKUP(BO2,TABELA_RESULTADO,2,FALSE),7))</f>
        <v/>
      </c>
      <c r="BK2" s="2" t="inlineStr">
        <is>
          <t>MANHÃ</t>
        </is>
      </c>
      <c r="BL2" s="2" t="inlineStr">
        <is>
          <t>CS/RECOMPRA</t>
        </is>
      </c>
      <c r="BM2" s="2" t="inlineStr">
        <is>
          <t>Ligar oferecer mix</t>
        </is>
      </c>
      <c r="BN2" s="10" t="n">
        <v>46058</v>
      </c>
      <c r="BO2" s="2" t="inlineStr">
        <is>
          <t>RELACIONAMENTO</t>
        </is>
      </c>
      <c r="BP2" s="2" t="inlineStr"/>
      <c r="BQ2" s="9">
        <f>IF(W2="A",30,IF(W2="B",15,5))+IF(G2="🔴",40,IF(G2="🟡",25,IF(G2="🟢",10,5)))+IF(OR(I2="RECOMPRA",I2="SALVAMENTO"),25,IF(I2="CS",20,IF(I2="PROSPECÇÃO",10,5)))</f>
        <v/>
      </c>
      <c r="BR2" s="2" t="inlineStr">
        <is>
          <t>Em dia</t>
        </is>
      </c>
      <c r="BS2" s="15">
        <f>IF(BT2&gt;0,BU2/BT2,0)</f>
        <v/>
      </c>
      <c r="BT2" s="11" t="n">
        <v>15000</v>
      </c>
      <c r="BU2" s="11" t="n">
        <v>12500</v>
      </c>
      <c r="BV2" s="15">
        <f>IF(BW2&gt;0,BX2/BW2,0)</f>
        <v/>
      </c>
      <c r="BW2" s="11" t="n">
        <v>45000</v>
      </c>
      <c r="BX2" s="11" t="n">
        <v>38000</v>
      </c>
      <c r="BY2" s="15">
        <f>IF(BZ2&gt;0,CA2/BZ2,0)</f>
        <v/>
      </c>
      <c r="BZ2" s="11" t="n">
        <v>135000</v>
      </c>
      <c r="CA2" s="11" t="n">
        <v>98000</v>
      </c>
      <c r="CB2" s="10">
        <f>S2</f>
        <v/>
      </c>
      <c r="CC2" s="2" t="inlineStr">
        <is>
          <t>Em dia</t>
        </is>
      </c>
    </row>
    <row r="3">
      <c r="A3" s="2" t="inlineStr">
        <is>
          <t>ALICE GRAOS</t>
        </is>
      </c>
      <c r="B3" s="2" t="inlineStr">
        <is>
          <t>TUDO EM GRAOS</t>
        </is>
      </c>
      <c r="C3" s="2" t="inlineStr">
        <is>
          <t>RS</t>
        </is>
      </c>
      <c r="D3" s="2" t="inlineStr">
        <is>
          <t>MANU</t>
        </is>
      </c>
      <c r="E3">
        <f>IF(S3="",IF(H3="LEAD","LEAD",IF(H3="NOVO","NOVO","PROSPECT")),IF(F3&lt;=50,"ATIVO",IF(F3&lt;=60,"EM RISCO",IF(F3&lt;=90,"INATIVO RECENTE","INATIVO ANTIGO"))))</f>
        <v/>
      </c>
      <c r="F3" s="9">
        <f>IF(S3="","",INT(TODAY()-S3))</f>
        <v/>
      </c>
      <c r="G3">
        <f>IF(S3="","🟣",IF(F3&lt;=R3,"🟢",IF(F3&lt;=R3+30,"🟡","🔴")))</f>
        <v/>
      </c>
      <c r="H3" s="2" t="inlineStr">
        <is>
          <t>RECORRENTE</t>
        </is>
      </c>
      <c r="I3">
        <f>IF(BO3="ORÇAMENTO","ORÇAMENTO",IF(BO3="EM ATENDIMENTO","EM ATENDIMENTO",IF(S3="","PROSPECÇÃO",IF(F3&lt;=10,"PÓS-VENDA",IF(F3&lt;=25,"CS",IF(F3&lt;=R3,"RECOMPRA",IF(F3&lt;=90,"SALVAMENTO","RECUPERAÇÃO")))))))</f>
        <v/>
      </c>
      <c r="J3" s="2" t="inlineStr">
        <is>
          <t>T1</t>
        </is>
      </c>
      <c r="K3" s="2" t="inlineStr">
        <is>
          <t>41626544000140</t>
        </is>
      </c>
      <c r="L3" s="2" t="inlineStr">
        <is>
          <t>ALICE GRAOS LTDA</t>
        </is>
      </c>
      <c r="M3" s="2" t="inlineStr">
        <is>
          <t>PORTO ALEGRE</t>
        </is>
      </c>
      <c r="N3" s="2" t="inlineStr">
        <is>
          <t>alice@email.com</t>
        </is>
      </c>
      <c r="O3" s="2" t="inlineStr">
        <is>
          <t>5551999990002</t>
        </is>
      </c>
      <c r="P3" s="2" t="inlineStr">
        <is>
          <t>SAP_ATIVO</t>
        </is>
      </c>
      <c r="Q3" s="10" t="n">
        <v>45672</v>
      </c>
      <c r="R3" s="2" t="n">
        <v>31</v>
      </c>
      <c r="S3" s="10" t="n">
        <v>46008</v>
      </c>
      <c r="T3" s="11" t="n">
        <v>920</v>
      </c>
      <c r="U3" s="2" t="inlineStr">
        <is>
          <t>LARISSA</t>
        </is>
      </c>
      <c r="V3" s="12" t="n">
        <v>5</v>
      </c>
      <c r="W3" s="2" t="inlineStr">
        <is>
          <t>B</t>
        </is>
      </c>
      <c r="X3" s="13">
        <f>IF(V3&gt;0,AA3/V3,0)</f>
        <v/>
      </c>
      <c r="Y3" s="12" t="n">
        <v>6</v>
      </c>
      <c r="Z3" s="13">
        <f>IF(Y3&gt;0,AA3/Y3,0)</f>
        <v/>
      </c>
      <c r="AA3" s="13">
        <f>SUM(AB3:AL3)</f>
        <v/>
      </c>
      <c r="AB3" s="11" t="n">
        <v>0</v>
      </c>
      <c r="AC3" s="11" t="n">
        <v>0</v>
      </c>
      <c r="AD3" s="11" t="n">
        <v>0</v>
      </c>
      <c r="AE3" s="11" t="n">
        <v>800</v>
      </c>
      <c r="AF3" s="11" t="n">
        <v>1200</v>
      </c>
      <c r="AG3" s="11" t="n">
        <v>1500</v>
      </c>
      <c r="AH3" s="11" t="n">
        <v>1800</v>
      </c>
      <c r="AI3" s="11" t="n">
        <v>1200</v>
      </c>
      <c r="AJ3" s="11" t="n">
        <v>1500</v>
      </c>
      <c r="AK3" s="11" t="n">
        <v>1808</v>
      </c>
      <c r="AL3" s="11" t="n">
        <v>0</v>
      </c>
      <c r="AM3" s="2" t="inlineStr">
        <is>
          <t>DEZ/25,NOV/25,OUT/25</t>
        </is>
      </c>
      <c r="AN3">
        <f>IF(AND(AO3&lt;&gt;"",AQ3&lt;&gt;""),AQ3-AO3,"")</f>
        <v/>
      </c>
      <c r="AO3" s="10" t="n">
        <v>45726</v>
      </c>
      <c r="AP3" s="10" t="n"/>
      <c r="AQ3" s="10" t="n">
        <v>45767</v>
      </c>
      <c r="AR3" s="12" t="n">
        <v>3</v>
      </c>
      <c r="AS3" s="10" t="n"/>
      <c r="AT3" s="2" t="inlineStr">
        <is>
          <t>NÃO</t>
        </is>
      </c>
      <c r="AU3" s="12" t="n">
        <v>0</v>
      </c>
      <c r="AV3" s="12" t="n">
        <v>0</v>
      </c>
      <c r="AW3" s="11" t="n">
        <v>0</v>
      </c>
      <c r="AX3" s="2" t="inlineStr"/>
      <c r="AY3" s="2" t="inlineStr">
        <is>
          <t>1000105678</t>
        </is>
      </c>
      <c r="AZ3" s="2" t="inlineStr">
        <is>
          <t>ATIVO</t>
        </is>
      </c>
      <c r="BA3" s="2" t="inlineStr">
        <is>
          <t>Rua Principal 50</t>
        </is>
      </c>
      <c r="BB3" s="2" t="inlineStr">
        <is>
          <t>90000200</t>
        </is>
      </c>
      <c r="BC3" s="2" t="inlineStr">
        <is>
          <t>28DDL</t>
        </is>
      </c>
      <c r="BD3" s="2" t="inlineStr">
        <is>
          <t>LISTA2</t>
        </is>
      </c>
      <c r="BE3" s="2" t="inlineStr">
        <is>
          <t>VAREJO</t>
        </is>
      </c>
      <c r="BF3" s="2" t="inlineStr"/>
      <c r="BG3" s="2" t="inlineStr"/>
      <c r="BH3" s="2" t="inlineStr"/>
      <c r="BI3" s="2" t="inlineStr"/>
      <c r="BJ3" s="14">
        <f>IF(BN3="","",BN3+IFERROR(VLOOKUP(BO3,TABELA_RESULTADO,2,FALSE),7))</f>
        <v/>
      </c>
      <c r="BK3" s="2" t="inlineStr">
        <is>
          <t>MANHÃ</t>
        </is>
      </c>
      <c r="BL3" s="2" t="inlineStr">
        <is>
          <t>ATENÇÃO/SALVAR</t>
        </is>
      </c>
      <c r="BM3" s="2" t="inlineStr">
        <is>
          <t>WhatsApp recompra</t>
        </is>
      </c>
      <c r="BN3" s="10" t="n">
        <v>46056</v>
      </c>
      <c r="BO3" s="2" t="inlineStr">
        <is>
          <t>NÃO RESPONDE</t>
        </is>
      </c>
      <c r="BP3" s="2" t="inlineStr">
        <is>
          <t>AINDA TEM ESTOQUE</t>
        </is>
      </c>
      <c r="BQ3" s="9">
        <f>IF(W3="A",30,IF(W3="B",15,5))+IF(G3="🔴",40,IF(G3="🟡",25,IF(G3="🟢",10,5)))+IF(OR(I3="RECOMPRA",I3="SALVAMENTO"),25,IF(I3="CS",20,IF(I3="PROSPECÇÃO",10,5)))</f>
        <v/>
      </c>
      <c r="BR3" s="2" t="inlineStr">
        <is>
          <t>Estoque parado</t>
        </is>
      </c>
      <c r="BS3" s="15">
        <f>IF(BT3&gt;0,BU3/BT3,0)</f>
        <v/>
      </c>
      <c r="BT3" s="11" t="n">
        <v>8000</v>
      </c>
      <c r="BU3" s="11" t="n">
        <v>4500</v>
      </c>
      <c r="BV3" s="15">
        <f>IF(BW3&gt;0,BX3/BW3,0)</f>
        <v/>
      </c>
      <c r="BW3" s="11" t="n">
        <v>24000</v>
      </c>
      <c r="BX3" s="11" t="n">
        <v>18000</v>
      </c>
      <c r="BY3" s="15">
        <f>IF(BZ3&gt;0,CA3/BZ3,0)</f>
        <v/>
      </c>
      <c r="BZ3" s="11" t="n">
        <v>72000</v>
      </c>
      <c r="CA3" s="11" t="n">
        <v>45000</v>
      </c>
      <c r="CB3" s="14">
        <f>S3</f>
        <v/>
      </c>
      <c r="CC3" s="2" t="inlineStr">
        <is>
          <t>Estoque parado</t>
        </is>
      </c>
    </row>
    <row r="4">
      <c r="A4" s="2" t="inlineStr">
        <is>
          <t>BIO SC FLORIPA</t>
        </is>
      </c>
      <c r="B4" s="2" t="inlineStr">
        <is>
          <t>BIOMUNDO</t>
        </is>
      </c>
      <c r="C4" s="2" t="inlineStr">
        <is>
          <t>SC</t>
        </is>
      </c>
      <c r="D4" s="2" t="inlineStr">
        <is>
          <t>DAIANE</t>
        </is>
      </c>
      <c r="E4">
        <f>IF(S4="",IF(H4="LEAD","LEAD",IF(H4="NOVO","NOVO","PROSPECT")),IF(F4&lt;=50,"ATIVO",IF(F4&lt;=60,"EM RISCO",IF(F4&lt;=90,"INATIVO RECENTE","INATIVO ANTIGO"))))</f>
        <v/>
      </c>
      <c r="F4" s="9">
        <f>IF(S4="","",INT(TODAY()-S4))</f>
        <v/>
      </c>
      <c r="G4">
        <f>IF(S4="","🟣",IF(F4&lt;=R4,"🟢",IF(F4&lt;=R4+30,"🟡","🔴")))</f>
        <v/>
      </c>
      <c r="H4" s="2" t="inlineStr">
        <is>
          <t>RECORRENTE</t>
        </is>
      </c>
      <c r="I4">
        <f>IF(BO4="ORÇAMENTO","ORÇAMENTO",IF(BO4="EM ATENDIMENTO","EM ATENDIMENTO",IF(S4="","PROSPECÇÃO",IF(F4&lt;=10,"PÓS-VENDA",IF(F4&lt;=25,"CS",IF(F4&lt;=R4,"RECOMPRA",IF(F4&lt;=90,"SALVAMENTO","RECUPERAÇÃO")))))))</f>
        <v/>
      </c>
      <c r="J4" s="2" t="inlineStr">
        <is>
          <t>T2</t>
        </is>
      </c>
      <c r="K4" s="2" t="inlineStr">
        <is>
          <t>46945954000178</t>
        </is>
      </c>
      <c r="L4" s="2" t="inlineStr">
        <is>
          <t>BIO SC LTDA</t>
        </is>
      </c>
      <c r="M4" s="2" t="inlineStr">
        <is>
          <t>FLORIANOPOLIS</t>
        </is>
      </c>
      <c r="N4" s="2" t="inlineStr">
        <is>
          <t>biosc@email.com</t>
        </is>
      </c>
      <c r="O4" s="2" t="inlineStr">
        <is>
          <t>5548999990003</t>
        </is>
      </c>
      <c r="P4" s="2" t="inlineStr">
        <is>
          <t>SAP_INATIVO</t>
        </is>
      </c>
      <c r="Q4" s="10" t="n">
        <v>45463</v>
      </c>
      <c r="R4" s="2" t="n">
        <v>60</v>
      </c>
      <c r="S4" s="10" t="n">
        <v>45962</v>
      </c>
      <c r="T4" s="11" t="n">
        <v>680</v>
      </c>
      <c r="U4" s="2" t="inlineStr">
        <is>
          <t>MANU</t>
        </is>
      </c>
      <c r="V4" s="12" t="n">
        <v>3</v>
      </c>
      <c r="W4" s="2" t="inlineStr">
        <is>
          <t>C</t>
        </is>
      </c>
      <c r="X4" s="13">
        <f>IF(V4&gt;0,AA4/V4,0)</f>
        <v/>
      </c>
      <c r="Y4" s="12" t="n">
        <v>5</v>
      </c>
      <c r="Z4" s="13">
        <f>IF(Y4&gt;0,AA4/Y4,0)</f>
        <v/>
      </c>
      <c r="AA4" s="13">
        <f>SUM(AB4:AL4)</f>
        <v/>
      </c>
      <c r="AB4" s="11" t="n">
        <v>0</v>
      </c>
      <c r="AC4" s="11" t="n">
        <v>0</v>
      </c>
      <c r="AD4" s="11" t="n">
        <v>0</v>
      </c>
      <c r="AE4" s="11" t="n">
        <v>0</v>
      </c>
      <c r="AF4" s="11" t="n">
        <v>0</v>
      </c>
      <c r="AG4" s="11" t="n">
        <v>0</v>
      </c>
      <c r="AH4" s="11" t="n">
        <v>2500</v>
      </c>
      <c r="AI4" s="11" t="n">
        <v>1800</v>
      </c>
      <c r="AJ4" s="11" t="n">
        <v>1500</v>
      </c>
      <c r="AK4" s="11" t="n">
        <v>1029</v>
      </c>
      <c r="AL4" s="11" t="n">
        <v>0</v>
      </c>
      <c r="AM4" s="2" t="inlineStr">
        <is>
          <t>JAN/26,DEZ/25</t>
        </is>
      </c>
      <c r="AN4">
        <f>IF(AND(AO4&lt;&gt;"",AQ4&lt;&gt;""),AQ4-AO4,"")</f>
        <v/>
      </c>
      <c r="AO4" s="10" t="n">
        <v>45884</v>
      </c>
      <c r="AP4" s="10" t="n"/>
      <c r="AQ4" s="10" t="n">
        <v>45910</v>
      </c>
      <c r="AR4" s="12" t="n">
        <v>6</v>
      </c>
      <c r="AS4" s="10" t="n"/>
      <c r="AT4" s="2" t="inlineStr">
        <is>
          <t>NÃO</t>
        </is>
      </c>
      <c r="AU4" s="12" t="n">
        <v>0</v>
      </c>
      <c r="AV4" s="12" t="n">
        <v>0</v>
      </c>
      <c r="AW4" s="11" t="n">
        <v>0</v>
      </c>
      <c r="AX4" s="2" t="inlineStr"/>
      <c r="AY4" s="2" t="inlineStr">
        <is>
          <t>1000101541</t>
        </is>
      </c>
      <c r="AZ4" s="2" t="inlineStr">
        <is>
          <t>ATIVO</t>
        </is>
      </c>
      <c r="BA4" s="2" t="inlineStr">
        <is>
          <t>Rua do Sol 200</t>
        </is>
      </c>
      <c r="BB4" s="2" t="inlineStr">
        <is>
          <t>88000300</t>
        </is>
      </c>
      <c r="BC4" s="2" t="inlineStr">
        <is>
          <t>30DDL</t>
        </is>
      </c>
      <c r="BD4" s="2" t="inlineStr">
        <is>
          <t>LISTA1</t>
        </is>
      </c>
      <c r="BE4" s="2" t="inlineStr">
        <is>
          <t>VAREJO</t>
        </is>
      </c>
      <c r="BF4" s="2" t="inlineStr"/>
      <c r="BG4" s="2" t="inlineStr"/>
      <c r="BH4" s="2" t="inlineStr"/>
      <c r="BI4" s="2" t="inlineStr"/>
      <c r="BJ4" s="14">
        <f>IF(BN4="","",BN4+IFERROR(VLOOKUP(BO4,TABELA_RESULTADO,2,FALSE),7))</f>
        <v/>
      </c>
      <c r="BK4" s="2" t="inlineStr">
        <is>
          <t>TARDE</t>
        </is>
      </c>
      <c r="BL4" s="2" t="inlineStr">
        <is>
          <t>PERDA/NUTRIÇÃO</t>
        </is>
      </c>
      <c r="BM4" s="2" t="inlineStr">
        <is>
          <t>Ligar investigar motivo</t>
        </is>
      </c>
      <c r="BN4" s="10" t="n">
        <v>46054</v>
      </c>
      <c r="BO4" s="2" t="inlineStr">
        <is>
          <t>RECUSOU LIGAÇÃO</t>
        </is>
      </c>
      <c r="BP4" s="2" t="inlineStr">
        <is>
          <t>PREÇO ALTO / MARGEM</t>
        </is>
      </c>
      <c r="BQ4" s="9">
        <f>IF(W4="A",30,IF(W4="B",15,5))+IF(G4="🔴",40,IF(G4="🟡",25,IF(G4="🟢",10,5)))+IF(OR(I4="RECOMPRA",I4="SALVAMENTO"),25,IF(I4="CS",20,IF(I4="PROSPECÇÃO",10,5)))</f>
        <v/>
      </c>
      <c r="BR4" s="2" t="inlineStr">
        <is>
          <t>Reclamou preço</t>
        </is>
      </c>
      <c r="BS4" s="15">
        <f>IF(BT4&gt;0,BU4/BT4,0)</f>
        <v/>
      </c>
      <c r="BT4" s="11" t="n">
        <v>5000</v>
      </c>
      <c r="BU4" s="11" t="n">
        <v>2000</v>
      </c>
      <c r="BV4" s="15">
        <f>IF(BW4&gt;0,BX4/BW4,0)</f>
        <v/>
      </c>
      <c r="BW4" s="11" t="n">
        <v>15000</v>
      </c>
      <c r="BX4" s="11" t="n">
        <v>8000</v>
      </c>
      <c r="BY4" s="15">
        <f>IF(BZ4&gt;0,CA4/BZ4,0)</f>
        <v/>
      </c>
      <c r="BZ4" s="11" t="n">
        <v>45000</v>
      </c>
      <c r="CA4" s="11" t="n">
        <v>20000</v>
      </c>
      <c r="CB4" s="14">
        <f>S4</f>
        <v/>
      </c>
      <c r="CC4" s="2" t="inlineStr">
        <is>
          <t>Reclamou preço</t>
        </is>
      </c>
    </row>
    <row r="5">
      <c r="A5" s="2" t="inlineStr">
        <is>
          <t>AFS ALDEIA</t>
        </is>
      </c>
      <c r="B5" s="2" t="inlineStr">
        <is>
          <t>ARMAZEM FITSTORE</t>
        </is>
      </c>
      <c r="C5" s="2" t="inlineStr">
        <is>
          <t>SP</t>
        </is>
      </c>
      <c r="D5" s="2" t="inlineStr">
        <is>
          <t>DAIANE</t>
        </is>
      </c>
      <c r="E5">
        <f>IF(S5="",IF(H5="LEAD","LEAD",IF(H5="NOVO","NOVO","PROSPECT")),IF(F5&lt;=50,"ATIVO",IF(F5&lt;=60,"EM RISCO",IF(F5&lt;=90,"INATIVO RECENTE","INATIVO ANTIGO"))))</f>
        <v/>
      </c>
      <c r="F5" s="9">
        <f>IF(S5="","",INT(TODAY()-S5))</f>
        <v/>
      </c>
      <c r="G5">
        <f>IF(S5="","🟣",IF(F5&lt;=R5,"🟢",IF(F5&lt;=R5+30,"🟡","🔴")))</f>
        <v/>
      </c>
      <c r="H5" s="2" t="inlineStr">
        <is>
          <t>PROSPECT</t>
        </is>
      </c>
      <c r="I5">
        <f>IF(BO5="ORÇAMENTO","ORÇAMENTO",IF(BO5="EM ATENDIMENTO","EM ATENDIMENTO",IF(S5="","PROSPECÇÃO",IF(F5&lt;=10,"PÓS-VENDA",IF(F5&lt;=25,"CS",IF(F5&lt;=R5,"RECOMPRA",IF(F5&lt;=90,"SALVAMENTO","RECUPERAÇÃO")))))))</f>
        <v/>
      </c>
      <c r="J5" s="2" t="inlineStr">
        <is>
          <t>T1</t>
        </is>
      </c>
      <c r="K5" s="2" t="inlineStr">
        <is>
          <t>39915172000120</t>
        </is>
      </c>
      <c r="L5" s="2" t="inlineStr">
        <is>
          <t>AFS ALDEIA LTDA</t>
        </is>
      </c>
      <c r="M5" s="2" t="inlineStr">
        <is>
          <t>SAO PAULO</t>
        </is>
      </c>
      <c r="N5" s="2" t="inlineStr">
        <is>
          <t>afs@email.com</t>
        </is>
      </c>
      <c r="O5" s="2" t="inlineStr">
        <is>
          <t>5511999990004</t>
        </is>
      </c>
      <c r="P5" s="2" t="inlineStr">
        <is>
          <t>PROSPECT</t>
        </is>
      </c>
      <c r="Q5" s="10" t="n">
        <v>46032</v>
      </c>
      <c r="R5" s="2" t="n"/>
      <c r="S5" s="10" t="n"/>
      <c r="T5" s="11" t="n"/>
      <c r="U5" s="2" t="inlineStr"/>
      <c r="V5" s="12" t="n">
        <v>0</v>
      </c>
      <c r="W5" s="2" t="inlineStr"/>
      <c r="X5" s="13">
        <f>IF(V5&gt;0,AA5/V5,0)</f>
        <v/>
      </c>
      <c r="Y5" s="12" t="n">
        <v>0</v>
      </c>
      <c r="Z5" s="13">
        <f>IF(Y5&gt;0,AA5/Y5,0)</f>
        <v/>
      </c>
      <c r="AA5" s="13">
        <f>SUM(AB5:AL5)</f>
        <v/>
      </c>
      <c r="AB5" s="11" t="n">
        <v>0</v>
      </c>
      <c r="AC5" s="11" t="n">
        <v>0</v>
      </c>
      <c r="AD5" s="11" t="n">
        <v>0</v>
      </c>
      <c r="AE5" s="11" t="n">
        <v>0</v>
      </c>
      <c r="AF5" s="11" t="n">
        <v>0</v>
      </c>
      <c r="AG5" s="11" t="n">
        <v>0</v>
      </c>
      <c r="AH5" s="11" t="n">
        <v>0</v>
      </c>
      <c r="AI5" s="11" t="n">
        <v>0</v>
      </c>
      <c r="AJ5" s="11" t="n">
        <v>0</v>
      </c>
      <c r="AK5" s="11" t="n">
        <v>0</v>
      </c>
      <c r="AL5" s="11" t="n">
        <v>0</v>
      </c>
      <c r="AM5" s="2" t="inlineStr"/>
      <c r="AN5">
        <f>IF(AND(AO5&lt;&gt;"",AQ5&lt;&gt;""),AQ5-AO5,"")</f>
        <v/>
      </c>
      <c r="AO5" s="10" t="n">
        <v>46032</v>
      </c>
      <c r="AP5" s="10" t="n"/>
      <c r="AQ5" s="10" t="n"/>
      <c r="AR5" s="12" t="n"/>
      <c r="AS5" s="10" t="n"/>
      <c r="AT5" s="2" t="inlineStr">
        <is>
          <t>NÃO</t>
        </is>
      </c>
      <c r="AU5" s="12" t="n">
        <v>0</v>
      </c>
      <c r="AV5" s="12" t="n">
        <v>0</v>
      </c>
      <c r="AW5" s="11" t="n">
        <v>0</v>
      </c>
      <c r="AX5" s="2" t="inlineStr"/>
      <c r="AY5" s="2" t="inlineStr"/>
      <c r="AZ5" s="2" t="inlineStr"/>
      <c r="BA5" s="2" t="inlineStr"/>
      <c r="BB5" s="2" t="inlineStr"/>
      <c r="BC5" s="2" t="inlineStr"/>
      <c r="BD5" s="2" t="inlineStr"/>
      <c r="BE5" s="2" t="inlineStr"/>
      <c r="BF5" s="2" t="inlineStr"/>
      <c r="BG5" s="2" t="inlineStr"/>
      <c r="BH5" s="2" t="inlineStr"/>
      <c r="BI5" s="2" t="inlineStr"/>
      <c r="BJ5" s="14">
        <f>IF(BN5="","",BN5+IFERROR(VLOOKUP(BO5,TABELA_RESULTADO,2,FALSE),7))</f>
        <v/>
      </c>
      <c r="BK5" s="2" t="inlineStr">
        <is>
          <t>TARDE</t>
        </is>
      </c>
      <c r="BL5" s="2" t="inlineStr">
        <is>
          <t>ABERTURA/ATIVAÇÃO</t>
        </is>
      </c>
      <c r="BM5" s="2" t="inlineStr">
        <is>
          <t>1º contato WhatsApp</t>
        </is>
      </c>
      <c r="BN5" s="10" t="n">
        <v>46058</v>
      </c>
      <c r="BO5" s="2" t="inlineStr">
        <is>
          <t>NÃO RESPONDE</t>
        </is>
      </c>
      <c r="BP5" s="2" t="inlineStr">
        <is>
          <t>1º CONTATO / SEM MOTIVO</t>
        </is>
      </c>
      <c r="BQ5" s="9">
        <f>IF(W5="A",30,IF(W5="B",15,5))+IF(G5="🔴",40,IF(G5="🟡",25,IF(G5="🟢",10,5)))+IF(OR(I5="RECOMPRA",I5="SALVAMENTO"),25,IF(I5="CS",20,IF(I5="PROSPECÇÃO",10,5)))</f>
        <v/>
      </c>
      <c r="BR5" s="2" t="inlineStr">
        <is>
          <t>Aguardando retorno</t>
        </is>
      </c>
      <c r="BS5" s="15">
        <f>IF(BT5&gt;0,BU5/BT5,0)</f>
        <v/>
      </c>
      <c r="BT5" s="11" t="n">
        <v>0</v>
      </c>
      <c r="BU5" s="11" t="n">
        <v>0</v>
      </c>
      <c r="BV5" s="15">
        <f>IF(BW5&gt;0,BX5/BW5,0)</f>
        <v/>
      </c>
      <c r="BW5" s="11" t="n">
        <v>0</v>
      </c>
      <c r="BX5" s="11" t="n">
        <v>0</v>
      </c>
      <c r="BY5" s="15">
        <f>IF(BZ5&gt;0,CA5/BZ5,0)</f>
        <v/>
      </c>
      <c r="BZ5" s="11" t="n">
        <v>0</v>
      </c>
      <c r="CA5" s="11" t="n">
        <v>0</v>
      </c>
      <c r="CB5" s="14">
        <f>S5</f>
        <v/>
      </c>
      <c r="CC5" s="2" t="inlineStr">
        <is>
          <t>Aguardando retorno</t>
        </is>
      </c>
    </row>
    <row r="6">
      <c r="A6" s="2" t="inlineStr">
        <is>
          <t>CIA SAUDE SP</t>
        </is>
      </c>
      <c r="B6" s="2" t="inlineStr">
        <is>
          <t>CIA DA SAUDE</t>
        </is>
      </c>
      <c r="C6" s="2" t="inlineStr">
        <is>
          <t>SP</t>
        </is>
      </c>
      <c r="D6" s="2" t="inlineStr">
        <is>
          <t>JULIO</t>
        </is>
      </c>
      <c r="E6">
        <f>IF(S6="",IF(H6="LEAD","LEAD",IF(H6="NOVO","NOVO","PROSPECT")),IF(F6&lt;=50,"ATIVO",IF(F6&lt;=60,"EM RISCO",IF(F6&lt;=90,"INATIVO RECENTE","INATIVO ANTIGO"))))</f>
        <v/>
      </c>
      <c r="F6" s="9">
        <f>IF(S6="","",INT(TODAY()-S6))</f>
        <v/>
      </c>
      <c r="G6">
        <f>IF(S6="","🟣",IF(F6&lt;=R6,"🟢",IF(F6&lt;=R6+30,"🟡","🔴")))</f>
        <v/>
      </c>
      <c r="H6" s="2" t="inlineStr">
        <is>
          <t>EM DESENVOLVIMENTO</t>
        </is>
      </c>
      <c r="I6">
        <f>IF(BO6="ORÇAMENTO","ORÇAMENTO",IF(BO6="EM ATENDIMENTO","EM ATENDIMENTO",IF(S6="","PROSPECÇÃO",IF(F6&lt;=10,"PÓS-VENDA",IF(F6&lt;=25,"CS",IF(F6&lt;=R6,"RECOMPRA",IF(F6&lt;=90,"SALVAMENTO","RECUPERAÇÃO")))))))</f>
        <v/>
      </c>
      <c r="J6" s="2" t="inlineStr">
        <is>
          <t>T1</t>
        </is>
      </c>
      <c r="K6" s="2" t="inlineStr">
        <is>
          <t>12345678000199</t>
        </is>
      </c>
      <c r="L6" s="2" t="inlineStr">
        <is>
          <t>CIA SAUDE SP LTDA</t>
        </is>
      </c>
      <c r="M6" s="2" t="inlineStr">
        <is>
          <t>SAO PAULO</t>
        </is>
      </c>
      <c r="N6" s="2" t="inlineStr">
        <is>
          <t>ciasaude@email.com</t>
        </is>
      </c>
      <c r="O6" s="2" t="inlineStr">
        <is>
          <t>5511999990005</t>
        </is>
      </c>
      <c r="P6" s="2" t="inlineStr">
        <is>
          <t>SAP_ATIVO</t>
        </is>
      </c>
      <c r="Q6" s="10" t="n">
        <v>45689</v>
      </c>
      <c r="R6" s="2" t="n">
        <v>30</v>
      </c>
      <c r="S6" s="10" t="n">
        <v>46052</v>
      </c>
      <c r="T6" s="11" t="n">
        <v>2200</v>
      </c>
      <c r="U6" s="2" t="inlineStr">
        <is>
          <t>JULIO</t>
        </is>
      </c>
      <c r="V6" s="12" t="n">
        <v>12</v>
      </c>
      <c r="W6" s="2" t="inlineStr">
        <is>
          <t>A</t>
        </is>
      </c>
      <c r="X6" s="13">
        <f>IF(V6&gt;0,AA6/V6,0)</f>
        <v/>
      </c>
      <c r="Y6" s="12" t="n">
        <v>11</v>
      </c>
      <c r="Z6" s="13">
        <f>IF(Y6&gt;0,AA6/Y6,0)</f>
        <v/>
      </c>
      <c r="AA6" s="13">
        <f>SUM(AB6:AL6)</f>
        <v/>
      </c>
      <c r="AB6" s="11" t="n">
        <v>1500</v>
      </c>
      <c r="AC6" s="11" t="n">
        <v>2000</v>
      </c>
      <c r="AD6" s="11" t="n">
        <v>2500</v>
      </c>
      <c r="AE6" s="11" t="n">
        <v>2000</v>
      </c>
      <c r="AF6" s="11" t="n">
        <v>2500</v>
      </c>
      <c r="AG6" s="11" t="n">
        <v>2800</v>
      </c>
      <c r="AH6" s="11" t="n">
        <v>3000</v>
      </c>
      <c r="AI6" s="11" t="n">
        <v>2500</v>
      </c>
      <c r="AJ6" s="11" t="n">
        <v>3200</v>
      </c>
      <c r="AK6" s="11" t="n">
        <v>3500</v>
      </c>
      <c r="AL6" s="11" t="n">
        <v>0</v>
      </c>
      <c r="AM6" s="2" t="inlineStr">
        <is>
          <t>JAN/26,DEZ/25,NOV/25</t>
        </is>
      </c>
      <c r="AN6">
        <f>IF(AND(AO6&lt;&gt;"",AQ6&lt;&gt;""),AQ6-AO6,"")</f>
        <v/>
      </c>
      <c r="AO6" s="10" t="n">
        <v>45731</v>
      </c>
      <c r="AP6" s="10" t="n">
        <v>45736</v>
      </c>
      <c r="AQ6" s="10" t="n">
        <v>45757</v>
      </c>
      <c r="AR6" s="12" t="n">
        <v>4</v>
      </c>
      <c r="AS6" s="10" t="n">
        <v>46037</v>
      </c>
      <c r="AT6" s="2" t="inlineStr">
        <is>
          <t>SIM</t>
        </is>
      </c>
      <c r="AU6" s="12" t="n">
        <v>25</v>
      </c>
      <c r="AV6" s="12" t="n">
        <v>8</v>
      </c>
      <c r="AW6" s="11" t="n">
        <v>1500</v>
      </c>
      <c r="AX6" s="2" t="inlineStr">
        <is>
          <t>CONVERTIDO</t>
        </is>
      </c>
      <c r="AY6" s="2" t="inlineStr">
        <is>
          <t>1000106000</t>
        </is>
      </c>
      <c r="AZ6" s="2" t="inlineStr">
        <is>
          <t>ATIVO</t>
        </is>
      </c>
      <c r="BA6" s="2" t="inlineStr">
        <is>
          <t>Av Paulista 500</t>
        </is>
      </c>
      <c r="BB6" s="2" t="inlineStr">
        <is>
          <t>01000100</t>
        </is>
      </c>
      <c r="BC6" s="2" t="inlineStr">
        <is>
          <t>30DDL</t>
        </is>
      </c>
      <c r="BD6" s="2" t="inlineStr">
        <is>
          <t>LISTA1</t>
        </is>
      </c>
      <c r="BE6" s="2" t="inlineStr">
        <is>
          <t>REDE</t>
        </is>
      </c>
      <c r="BF6" s="2" t="inlineStr"/>
      <c r="BG6" s="2" t="inlineStr"/>
      <c r="BH6" s="2" t="inlineStr"/>
      <c r="BI6" s="2" t="inlineStr"/>
      <c r="BJ6" s="14">
        <f>IF(BN6="","",BN6+IFERROR(VLOOKUP(BO6,TABELA_RESULTADO,2,FALSE),7))</f>
        <v/>
      </c>
      <c r="BK6" s="2" t="inlineStr">
        <is>
          <t>MANHÃ</t>
        </is>
      </c>
      <c r="BL6" s="2" t="inlineStr">
        <is>
          <t>CS/RECOMPRA</t>
        </is>
      </c>
      <c r="BM6" s="2" t="inlineStr">
        <is>
          <t>Ligar confirmar pedido</t>
        </is>
      </c>
      <c r="BN6" s="10" t="n">
        <v>46059</v>
      </c>
      <c r="BO6" s="2" t="inlineStr">
        <is>
          <t>VENDA / PEDIDO</t>
        </is>
      </c>
      <c r="BP6" s="2" t="inlineStr"/>
      <c r="BQ6" s="9">
        <f>IF(W6="A",30,IF(W6="B",15,5))+IF(G6="🔴",40,IF(G6="🟡",25,IF(G6="🟢",10,5)))+IF(OR(I6="RECOMPRA",I6="SALVAMENTO"),25,IF(I6="CS",20,IF(I6="PROSPECÇÃO",10,5)))</f>
        <v/>
      </c>
      <c r="BR6" s="2" t="inlineStr">
        <is>
          <t>Cliente top</t>
        </is>
      </c>
      <c r="BS6" s="15">
        <f>IF(BT6&gt;0,BU6/BT6,0)</f>
        <v/>
      </c>
      <c r="BT6" s="11" t="n">
        <v>20000</v>
      </c>
      <c r="BU6" s="11" t="n">
        <v>18500</v>
      </c>
      <c r="BV6" s="15">
        <f>IF(BW6&gt;0,BX6/BW6,0)</f>
        <v/>
      </c>
      <c r="BW6" s="11" t="n">
        <v>60000</v>
      </c>
      <c r="BX6" s="11" t="n">
        <v>52000</v>
      </c>
      <c r="BY6" s="15">
        <f>IF(BZ6&gt;0,CA6/BZ6,0)</f>
        <v/>
      </c>
      <c r="BZ6" s="11" t="n">
        <v>180000</v>
      </c>
      <c r="CA6" s="11" t="n">
        <v>155000</v>
      </c>
      <c r="CB6" s="14">
        <f>S6</f>
        <v/>
      </c>
      <c r="CC6" s="2" t="inlineStr">
        <is>
          <t>Cliente top</t>
        </is>
      </c>
    </row>
  </sheetData>
  <conditionalFormatting sqref="E2:E1000">
    <cfRule type="cellIs" priority="1" operator="equal" dxfId="0">
      <formula>"ATIVO"</formula>
    </cfRule>
    <cfRule type="cellIs" priority="2" operator="equal" dxfId="1">
      <formula>"EM RISCO"</formula>
    </cfRule>
    <cfRule type="cellIs" priority="3" operator="equal" dxfId="2">
      <formula>"INATIVO RECENTE"</formula>
    </cfRule>
    <cfRule type="cellIs" priority="4" operator="equal" dxfId="3">
      <formula>"INATIVO ANTIGO"</formula>
    </cfRule>
    <cfRule type="cellIs" priority="5" operator="equal" dxfId="4">
      <formula>"PROSPECT"</formula>
    </cfRule>
    <cfRule type="cellIs" priority="6" operator="equal" dxfId="4">
      <formula>"LEAD"</formula>
    </cfRule>
    <cfRule type="cellIs" priority="7" operator="equal" dxfId="5">
      <formula>"NOVO"</formula>
    </cfRule>
  </conditionalFormatting>
  <conditionalFormatting sqref="BS2:BS1000">
    <cfRule type="cellIs" priority="8" operator="greaterThanOrEqual" dxfId="6">
      <formula>0.8</formula>
    </cfRule>
    <cfRule type="cellIs" priority="9" operator="between" dxfId="7">
      <formula>0.5</formula>
      <formula>0.7999</formula>
    </cfRule>
    <cfRule type="cellIs" priority="10" operator="lessThan" dxfId="8">
      <formula>0.5</formula>
    </cfRule>
  </conditionalFormatting>
  <dataValidations count="10">
    <dataValidation sqref="C2:C1000" showDropDown="0" showInputMessage="0" showErrorMessage="0" allowBlank="1" type="list">
      <formula1>LISTA_UF</formula1>
    </dataValidation>
    <dataValidation sqref="D2:D1000" showDropDown="0" showInputMessage="0" showErrorMessage="0" allowBlank="1" prompt="Selecione o consultor" type="list">
      <formula1>LISTA_CONSULTOR</formula1>
    </dataValidation>
    <dataValidation sqref="H2:H1000" showDropDown="0" showInputMessage="0" showErrorMessage="0" allowBlank="1" type="list">
      <formula1>LISTA_TIPO_CLIENTE</formula1>
    </dataValidation>
    <dataValidation sqref="J2:J1000" showDropDown="0" showInputMessage="0" showErrorMessage="0" allowBlank="1" type="list">
      <formula1>LISTA_TENTATIVA</formula1>
    </dataValidation>
    <dataValidation sqref="W2:W1000" showDropDown="0" showInputMessage="0" showErrorMessage="0" allowBlank="1" type="list">
      <formula1>LISTA_CURVA_ABC</formula1>
    </dataValidation>
    <dataValidation sqref="AT2:AT1000" showDropDown="0" showInputMessage="0" showErrorMessage="0" allowBlank="1" type="list">
      <formula1>LISTA_SIM_NAO</formula1>
    </dataValidation>
    <dataValidation sqref="AX2:AX1000" showDropDown="0" showInputMessage="0" showErrorMessage="0" allowBlank="1" type="list">
      <formula1>"CONVERTIDO,QUENTE,MORNO,FRIO"</formula1>
    </dataValidation>
    <dataValidation sqref="BK2:BK1000" showDropDown="0" showInputMessage="0" showErrorMessage="0" allowBlank="1" type="list">
      <formula1>LISTA_BLOCO</formula1>
    </dataValidation>
    <dataValidation sqref="BO2:BO1000" showDropDown="0" showInputMessage="0" showErrorMessage="0" allowBlank="1" type="list">
      <formula1>LISTA_RESULTADO</formula1>
    </dataValidation>
    <dataValidation sqref="BP2:BP1000" showDropDown="0" showInputMessage="0" showErrorMessage="0" allowBlank="1" type="list">
      <formula1>LISTA_MOTIVO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FFC000"/>
    <outlinePr summaryBelow="1" summaryRight="1"/>
    <pageSetUpPr/>
  </sheetPr>
  <dimension ref="A1:T9"/>
  <sheetViews>
    <sheetView zoomScale="9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22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28" customWidth="1" min="12" max="12"/>
    <col width="22" customWidth="1" min="13" max="13"/>
    <col width="28" customWidth="1" min="14" max="14"/>
    <col width="18" customWidth="1" min="15" max="15"/>
    <col width="25" customWidth="1" min="16" max="16"/>
    <col width="18" customWidth="1" min="17" max="17"/>
    <col width="18" customWidth="1" min="18" max="18"/>
    <col width="18" customWidth="1" min="19" max="19"/>
    <col width="25" customWidth="1" min="20" max="20"/>
  </cols>
  <sheetData>
    <row r="1">
      <c r="A1" s="1" t="inlineStr">
        <is>
          <t>DATA</t>
        </is>
      </c>
      <c r="B1" s="1" t="inlineStr">
        <is>
          <t>CONSULTOR</t>
        </is>
      </c>
      <c r="C1" s="1" t="inlineStr">
        <is>
          <t>NOME FANTASIA</t>
        </is>
      </c>
      <c r="D1" s="1" t="inlineStr">
        <is>
          <t>CNPJ</t>
        </is>
      </c>
      <c r="E1" s="1" t="inlineStr">
        <is>
          <t>UF</t>
        </is>
      </c>
      <c r="F1" s="1" t="inlineStr">
        <is>
          <t>REDE / REGIONAL</t>
        </is>
      </c>
      <c r="G1" s="1" t="inlineStr">
        <is>
          <t>SITUAÇÃO</t>
        </is>
      </c>
      <c r="H1" s="1" t="inlineStr">
        <is>
          <t>WHATSAPP</t>
        </is>
      </c>
      <c r="I1" s="1" t="inlineStr">
        <is>
          <t>LIGAÇÃO</t>
        </is>
      </c>
      <c r="J1" s="1" t="inlineStr">
        <is>
          <t>LIGAÇÃO ATENDIDA</t>
        </is>
      </c>
      <c r="K1" s="1" t="inlineStr">
        <is>
          <t>TIPO AÇÃO</t>
        </is>
      </c>
      <c r="L1" s="1" t="inlineStr">
        <is>
          <t>TIPO DO CONTATO</t>
        </is>
      </c>
      <c r="M1" s="1" t="inlineStr">
        <is>
          <t>RESULTADO</t>
        </is>
      </c>
      <c r="N1" s="1" t="inlineStr">
        <is>
          <t>MOTIVO</t>
        </is>
      </c>
      <c r="O1" s="1" t="inlineStr">
        <is>
          <t>FOLLOW-UP</t>
        </is>
      </c>
      <c r="P1" s="1" t="inlineStr">
        <is>
          <t>AÇÃO</t>
        </is>
      </c>
      <c r="Q1" s="1" t="inlineStr">
        <is>
          <t>MERCOS ATUALIZADO</t>
        </is>
      </c>
      <c r="R1" s="1" t="inlineStr">
        <is>
          <t>FASE</t>
        </is>
      </c>
      <c r="S1" s="1" t="inlineStr">
        <is>
          <t>TENTATIVA</t>
        </is>
      </c>
      <c r="T1" s="1" t="inlineStr">
        <is>
          <t>NOTA DO DIA</t>
        </is>
      </c>
    </row>
    <row r="2">
      <c r="A2" s="10" t="n">
        <v>46058</v>
      </c>
      <c r="B2" s="2" t="inlineStr">
        <is>
          <t>DAIANE</t>
        </is>
      </c>
      <c r="C2" s="2" t="inlineStr">
        <is>
          <t>DIVINA TERRA CWB</t>
        </is>
      </c>
      <c r="D2" s="2" t="inlineStr">
        <is>
          <t>32828171000108</t>
        </is>
      </c>
      <c r="E2" s="2" t="inlineStr">
        <is>
          <t>PR</t>
        </is>
      </c>
      <c r="F2" s="2" t="inlineStr">
        <is>
          <t>DIVINA TERRA</t>
        </is>
      </c>
      <c r="G2" s="2" t="inlineStr">
        <is>
          <t>ATIVO</t>
        </is>
      </c>
      <c r="H2" s="2" t="inlineStr">
        <is>
          <t>SIM</t>
        </is>
      </c>
      <c r="I2" s="2" t="inlineStr">
        <is>
          <t>NÃO</t>
        </is>
      </c>
      <c r="J2" s="2" t="inlineStr">
        <is>
          <t>N/A</t>
        </is>
      </c>
      <c r="K2" s="2" t="inlineStr">
        <is>
          <t>ATIVO</t>
        </is>
      </c>
      <c r="L2" s="2" t="inlineStr">
        <is>
          <t>PÓS-VENDA / RELACIONAMENTO</t>
        </is>
      </c>
      <c r="M2" s="2" t="inlineStr">
        <is>
          <t>RELACIONAMENTO</t>
        </is>
      </c>
      <c r="N2" s="2" t="inlineStr">
        <is>
          <t>AINDA TEM ESTOQUE</t>
        </is>
      </c>
      <c r="O2" s="10">
        <f>IF(M2="","",IF(OR(M2="SUPORTE",M2="PERDA / FECHOU LOJA"),"SEM",IFERROR(A2+VLOOKUP(M2,TABELA_RESULTADO,2,FALSE),"")))</f>
        <v/>
      </c>
      <c r="P2" s="2" t="inlineStr">
        <is>
          <t>Verificar estoque</t>
        </is>
      </c>
      <c r="Q2" s="2" t="inlineStr">
        <is>
          <t>SIM</t>
        </is>
      </c>
      <c r="R2" s="2" t="inlineStr">
        <is>
          <t>CS</t>
        </is>
      </c>
      <c r="S2" s="2" t="inlineStr">
        <is>
          <t>T1</t>
        </is>
      </c>
      <c r="T2" s="2" t="inlineStr">
        <is>
          <t>Cliente satisfeito</t>
        </is>
      </c>
    </row>
    <row r="3">
      <c r="A3" s="10" t="n">
        <v>46058</v>
      </c>
      <c r="B3" s="2" t="inlineStr">
        <is>
          <t>MANU</t>
        </is>
      </c>
      <c r="C3" s="2" t="inlineStr">
        <is>
          <t>ALICE GRAOS</t>
        </is>
      </c>
      <c r="D3" s="2" t="inlineStr">
        <is>
          <t>41626544000140</t>
        </is>
      </c>
      <c r="E3" s="2" t="inlineStr">
        <is>
          <t>RS</t>
        </is>
      </c>
      <c r="F3" s="2" t="inlineStr">
        <is>
          <t>TUDO EM GRAOS</t>
        </is>
      </c>
      <c r="G3" s="2" t="inlineStr">
        <is>
          <t>EM RISCO</t>
        </is>
      </c>
      <c r="H3" s="2" t="inlineStr">
        <is>
          <t>SIM</t>
        </is>
      </c>
      <c r="I3" s="2" t="inlineStr">
        <is>
          <t>NÃO</t>
        </is>
      </c>
      <c r="J3" s="2" t="inlineStr">
        <is>
          <t>N/A</t>
        </is>
      </c>
      <c r="K3" s="2" t="inlineStr">
        <is>
          <t>ATIVO</t>
        </is>
      </c>
      <c r="L3" s="2" t="inlineStr">
        <is>
          <t>ATEND. CLIENTES ATIVOS</t>
        </is>
      </c>
      <c r="M3" s="2" t="inlineStr">
        <is>
          <t>NÃO RESPONDE</t>
        </is>
      </c>
      <c r="N3" s="2" t="inlineStr">
        <is>
          <t>1º CONTATO / SEM MOTIVO</t>
        </is>
      </c>
      <c r="O3" s="10">
        <f>IF(M3="","",IF(OR(M3="SUPORTE",M3="PERDA / FECHOU LOJA"),"SEM",IFERROR(A3+VLOOKUP(M3,TABELA_RESULTADO,2,FALSE),"")))</f>
        <v/>
      </c>
      <c r="P3" s="2" t="inlineStr">
        <is>
          <t>Tentar ligar amanhã</t>
        </is>
      </c>
      <c r="Q3" s="2" t="inlineStr">
        <is>
          <t>NÃO</t>
        </is>
      </c>
      <c r="R3" s="2" t="inlineStr">
        <is>
          <t>RECOMPRA</t>
        </is>
      </c>
      <c r="S3" s="2" t="inlineStr">
        <is>
          <t>T1</t>
        </is>
      </c>
      <c r="T3" s="2" t="inlineStr">
        <is>
          <t>Sem resposta WhatsApp</t>
        </is>
      </c>
    </row>
    <row r="4">
      <c r="A4" s="10" t="n">
        <v>46058</v>
      </c>
      <c r="B4" s="2" t="inlineStr">
        <is>
          <t>DAIANE</t>
        </is>
      </c>
      <c r="C4" s="2" t="inlineStr">
        <is>
          <t>BIO SC FLORIPA</t>
        </is>
      </c>
      <c r="D4" s="2" t="inlineStr">
        <is>
          <t>46945954000178</t>
        </is>
      </c>
      <c r="E4" s="2" t="inlineStr">
        <is>
          <t>SC</t>
        </is>
      </c>
      <c r="F4" s="2" t="inlineStr">
        <is>
          <t>BIOMUNDO</t>
        </is>
      </c>
      <c r="G4" s="2" t="inlineStr">
        <is>
          <t>INATIVO RECENTE</t>
        </is>
      </c>
      <c r="H4" s="2" t="inlineStr">
        <is>
          <t>SIM</t>
        </is>
      </c>
      <c r="I4" s="2" t="inlineStr">
        <is>
          <t>SIM</t>
        </is>
      </c>
      <c r="J4" s="2" t="inlineStr">
        <is>
          <t>NÃO</t>
        </is>
      </c>
      <c r="K4" s="2" t="inlineStr">
        <is>
          <t>ATIVO</t>
        </is>
      </c>
      <c r="L4" s="2" t="inlineStr">
        <is>
          <t>ATEND. CLIENTES INATIVOS</t>
        </is>
      </c>
      <c r="M4" s="2" t="inlineStr">
        <is>
          <t>RECUSOU LIGAÇÃO</t>
        </is>
      </c>
      <c r="N4" s="2" t="inlineStr">
        <is>
          <t>PREÇO ALTO / MARGEM</t>
        </is>
      </c>
      <c r="O4" s="10">
        <f>IF(M4="","",IF(OR(M4="SUPORTE",M4="PERDA / FECHOU LOJA"),"SEM",IFERROR(A4+VLOOKUP(M4,TABELA_RESULTADO,2,FALSE),"")))</f>
        <v/>
      </c>
      <c r="P4" s="2" t="inlineStr">
        <is>
          <t>Enviar tabela nova</t>
        </is>
      </c>
      <c r="Q4" s="2" t="inlineStr">
        <is>
          <t>SIM</t>
        </is>
      </c>
      <c r="R4" s="2" t="inlineStr">
        <is>
          <t>SALVAMENTO</t>
        </is>
      </c>
      <c r="S4" s="2" t="inlineStr">
        <is>
          <t>T2</t>
        </is>
      </c>
      <c r="T4" s="2" t="inlineStr">
        <is>
          <t>Reclamou preço</t>
        </is>
      </c>
    </row>
    <row r="5">
      <c r="A5" s="10" t="n">
        <v>46058</v>
      </c>
      <c r="B5" s="2" t="inlineStr">
        <is>
          <t>DAIANE</t>
        </is>
      </c>
      <c r="C5" s="2" t="inlineStr">
        <is>
          <t>AFS ALDEIA</t>
        </is>
      </c>
      <c r="D5" s="2" t="inlineStr">
        <is>
          <t>39915172000120</t>
        </is>
      </c>
      <c r="E5" s="2" t="inlineStr">
        <is>
          <t>SP</t>
        </is>
      </c>
      <c r="F5" s="2" t="inlineStr">
        <is>
          <t>ARMAZEM FITSTORE</t>
        </is>
      </c>
      <c r="G5" s="2" t="inlineStr">
        <is>
          <t>PROSPECT</t>
        </is>
      </c>
      <c r="H5" s="2" t="inlineStr">
        <is>
          <t>SIM</t>
        </is>
      </c>
      <c r="I5" s="2" t="inlineStr">
        <is>
          <t>NÃO</t>
        </is>
      </c>
      <c r="J5" s="2" t="inlineStr">
        <is>
          <t>N/A</t>
        </is>
      </c>
      <c r="K5" s="2" t="inlineStr">
        <is>
          <t>ATIVO</t>
        </is>
      </c>
      <c r="L5" s="2" t="inlineStr">
        <is>
          <t>PROSPECÇÃO</t>
        </is>
      </c>
      <c r="M5" s="2" t="inlineStr">
        <is>
          <t>NÃO RESPONDE</t>
        </is>
      </c>
      <c r="N5" s="2" t="inlineStr">
        <is>
          <t>1º CONTATO / SEM MOTIVO</t>
        </is>
      </c>
      <c r="O5" s="10">
        <f>IF(M5="","",IF(OR(M5="SUPORTE",M5="PERDA / FECHOU LOJA"),"SEM",IFERROR(A5+VLOOKUP(M5,TABELA_RESULTADO,2,FALSE),"")))</f>
        <v/>
      </c>
      <c r="P5" s="2" t="inlineStr">
        <is>
          <t>1º contato feito</t>
        </is>
      </c>
      <c r="Q5" s="2" t="inlineStr">
        <is>
          <t>NÃO</t>
        </is>
      </c>
      <c r="R5" s="2" t="inlineStr">
        <is>
          <t>PROSPECÇÃO</t>
        </is>
      </c>
      <c r="S5" s="2" t="inlineStr">
        <is>
          <t>T1</t>
        </is>
      </c>
      <c r="T5" s="2" t="inlineStr">
        <is>
          <t>WhatsApp enviado</t>
        </is>
      </c>
    </row>
    <row r="6">
      <c r="A6" s="10" t="n">
        <v>46059</v>
      </c>
      <c r="B6" s="2" t="inlineStr">
        <is>
          <t>JULIO</t>
        </is>
      </c>
      <c r="C6" s="2" t="inlineStr">
        <is>
          <t>CIA SAUDE SP</t>
        </is>
      </c>
      <c r="D6" s="2" t="inlineStr">
        <is>
          <t>12345678000199</t>
        </is>
      </c>
      <c r="E6" s="2" t="inlineStr">
        <is>
          <t>SP</t>
        </is>
      </c>
      <c r="F6" s="2" t="inlineStr">
        <is>
          <t>CIA DA SAUDE</t>
        </is>
      </c>
      <c r="G6" s="2" t="inlineStr">
        <is>
          <t>ATIVO</t>
        </is>
      </c>
      <c r="H6" s="2" t="inlineStr">
        <is>
          <t>NÃO</t>
        </is>
      </c>
      <c r="I6" s="2" t="inlineStr">
        <is>
          <t>SIM</t>
        </is>
      </c>
      <c r="J6" s="2" t="inlineStr">
        <is>
          <t>SIM</t>
        </is>
      </c>
      <c r="K6" s="2" t="inlineStr">
        <is>
          <t>ATIVO</t>
        </is>
      </c>
      <c r="L6" s="2" t="inlineStr">
        <is>
          <t>ATEND. CLIENTES ATIVOS</t>
        </is>
      </c>
      <c r="M6" s="2" t="inlineStr">
        <is>
          <t>VENDA / PEDIDO</t>
        </is>
      </c>
      <c r="N6" s="2" t="inlineStr"/>
      <c r="O6" s="10">
        <f>IF(M6="","",IF(OR(M6="SUPORTE",M6="PERDA / FECHOU LOJA"),"SEM",IFERROR(A6+VLOOKUP(M6,TABELA_RESULTADO,2,FALSE),"")))</f>
        <v/>
      </c>
      <c r="P6" s="2" t="inlineStr">
        <is>
          <t>Pedido confirmado</t>
        </is>
      </c>
      <c r="Q6" s="2" t="inlineStr">
        <is>
          <t>SIM</t>
        </is>
      </c>
      <c r="R6" s="2" t="inlineStr">
        <is>
          <t>CS</t>
        </is>
      </c>
      <c r="S6" s="2" t="inlineStr">
        <is>
          <t>T1</t>
        </is>
      </c>
      <c r="T6" s="2" t="inlineStr">
        <is>
          <t>Pedido R$ 2.200</t>
        </is>
      </c>
    </row>
    <row r="7">
      <c r="A7" s="10" t="n">
        <v>46059</v>
      </c>
      <c r="B7" s="2" t="inlineStr">
        <is>
          <t>MANU</t>
        </is>
      </c>
      <c r="C7" s="2" t="inlineStr">
        <is>
          <t>ALICE GRAOS</t>
        </is>
      </c>
      <c r="D7" s="2" t="inlineStr">
        <is>
          <t>41626544000140</t>
        </is>
      </c>
      <c r="E7" s="2" t="inlineStr">
        <is>
          <t>RS</t>
        </is>
      </c>
      <c r="F7" s="2" t="inlineStr">
        <is>
          <t>TUDO EM GRAOS</t>
        </is>
      </c>
      <c r="G7" s="2" t="inlineStr">
        <is>
          <t>EM RISCO</t>
        </is>
      </c>
      <c r="H7" s="2" t="inlineStr">
        <is>
          <t>NÃO</t>
        </is>
      </c>
      <c r="I7" s="2" t="inlineStr">
        <is>
          <t>SIM</t>
        </is>
      </c>
      <c r="J7" s="2" t="inlineStr">
        <is>
          <t>NÃO</t>
        </is>
      </c>
      <c r="K7" s="2" t="inlineStr">
        <is>
          <t>ATIVO</t>
        </is>
      </c>
      <c r="L7" s="2" t="inlineStr">
        <is>
          <t>FOLLOW UP</t>
        </is>
      </c>
      <c r="M7" s="2" t="inlineStr">
        <is>
          <t>NÃO ATENDE</t>
        </is>
      </c>
      <c r="N7" s="2" t="inlineStr">
        <is>
          <t>AINDA TEM ESTOQUE</t>
        </is>
      </c>
      <c r="O7" s="10">
        <f>IF(M7="","",IF(OR(M7="SUPORTE",M7="PERDA / FECHOU LOJA"),"SEM",IFERROR(A7+VLOOKUP(M7,TABELA_RESULTADO,2,FALSE),"")))</f>
        <v/>
      </c>
      <c r="P7" s="2" t="inlineStr">
        <is>
          <t>Tentar WhatsApp</t>
        </is>
      </c>
      <c r="Q7" s="2" t="inlineStr">
        <is>
          <t>SIM</t>
        </is>
      </c>
      <c r="R7" s="2" t="inlineStr">
        <is>
          <t>RECOMPRA</t>
        </is>
      </c>
      <c r="S7" s="2" t="inlineStr">
        <is>
          <t>T2</t>
        </is>
      </c>
      <c r="T7" s="2" t="inlineStr">
        <is>
          <t>Não atendeu</t>
        </is>
      </c>
    </row>
    <row r="8">
      <c r="A8" s="10" t="n">
        <v>46059</v>
      </c>
      <c r="B8" s="2" t="inlineStr">
        <is>
          <t>DAIANE</t>
        </is>
      </c>
      <c r="C8" s="2" t="inlineStr">
        <is>
          <t>AFS ALDEIA</t>
        </is>
      </c>
      <c r="D8" s="2" t="inlineStr">
        <is>
          <t>39915172000120</t>
        </is>
      </c>
      <c r="E8" s="2" t="inlineStr">
        <is>
          <t>SP</t>
        </is>
      </c>
      <c r="F8" s="2" t="inlineStr">
        <is>
          <t>ARMAZEM FITSTORE</t>
        </is>
      </c>
      <c r="G8" s="2" t="inlineStr">
        <is>
          <t>PROSPECT</t>
        </is>
      </c>
      <c r="H8" s="2" t="inlineStr">
        <is>
          <t>SIM</t>
        </is>
      </c>
      <c r="I8" s="2" t="inlineStr">
        <is>
          <t>NÃO</t>
        </is>
      </c>
      <c r="J8" s="2" t="inlineStr">
        <is>
          <t>N/A</t>
        </is>
      </c>
      <c r="K8" s="2" t="inlineStr">
        <is>
          <t>ATIVO</t>
        </is>
      </c>
      <c r="L8" s="2" t="inlineStr">
        <is>
          <t>PROSPECÇÃO</t>
        </is>
      </c>
      <c r="M8" s="2" t="inlineStr">
        <is>
          <t>EM ATENDIMENTO</t>
        </is>
      </c>
      <c r="N8" s="2" t="inlineStr">
        <is>
          <t>1º CONTATO / SEM MOTIVO</t>
        </is>
      </c>
      <c r="O8" s="10">
        <f>IF(M8="","",IF(OR(M8="SUPORTE",M8="PERDA / FECHOU LOJA"),"SEM",IFERROR(A8+VLOOKUP(M8,TABELA_RESULTADO,2,FALSE),"")))</f>
        <v/>
      </c>
      <c r="P8" s="2" t="inlineStr">
        <is>
          <t>Respondeu interesse</t>
        </is>
      </c>
      <c r="Q8" s="2" t="inlineStr">
        <is>
          <t>SIM</t>
        </is>
      </c>
      <c r="R8" s="2" t="inlineStr">
        <is>
          <t>PROSPECÇÃO</t>
        </is>
      </c>
      <c r="S8" s="2" t="inlineStr">
        <is>
          <t>T1</t>
        </is>
      </c>
      <c r="T8" s="2" t="inlineStr">
        <is>
          <t>Pediu catálogo</t>
        </is>
      </c>
    </row>
    <row r="9">
      <c r="A9" s="10" t="n">
        <v>46060</v>
      </c>
      <c r="B9" s="2" t="inlineStr">
        <is>
          <t>DAIANE</t>
        </is>
      </c>
      <c r="C9" s="2" t="inlineStr">
        <is>
          <t>DIVINA TERRA CWB</t>
        </is>
      </c>
      <c r="D9" s="2" t="inlineStr">
        <is>
          <t>32828171000108</t>
        </is>
      </c>
      <c r="E9" s="2" t="inlineStr">
        <is>
          <t>PR</t>
        </is>
      </c>
      <c r="F9" s="2" t="inlineStr">
        <is>
          <t>DIVINA TERRA</t>
        </is>
      </c>
      <c r="G9" s="2" t="inlineStr">
        <is>
          <t>ATIVO</t>
        </is>
      </c>
      <c r="H9" s="2" t="inlineStr">
        <is>
          <t>NÃO</t>
        </is>
      </c>
      <c r="I9" s="2" t="inlineStr">
        <is>
          <t>SIM</t>
        </is>
      </c>
      <c r="J9" s="2" t="inlineStr">
        <is>
          <t>SIM</t>
        </is>
      </c>
      <c r="K9" s="2" t="inlineStr">
        <is>
          <t>RECEPTIVO</t>
        </is>
      </c>
      <c r="L9" s="2" t="inlineStr">
        <is>
          <t>NEGOCIAÇÃO</t>
        </is>
      </c>
      <c r="M9" s="2" t="inlineStr">
        <is>
          <t>ORÇAMENTO</t>
        </is>
      </c>
      <c r="N9" s="2" t="inlineStr"/>
      <c r="O9" s="10">
        <f>IF(M9="","",IF(OR(M9="SUPORTE",M9="PERDA / FECHOU LOJA"),"SEM",IFERROR(A9+VLOOKUP(M9,TABELA_RESULTADO,2,FALSE),"")))</f>
        <v/>
      </c>
      <c r="P9" s="2" t="inlineStr">
        <is>
          <t>Enviar orçamento mix</t>
        </is>
      </c>
      <c r="Q9" s="2" t="inlineStr">
        <is>
          <t>SIM</t>
        </is>
      </c>
      <c r="R9" s="2" t="inlineStr">
        <is>
          <t>CS</t>
        </is>
      </c>
      <c r="S9" s="2" t="inlineStr">
        <is>
          <t>T1</t>
        </is>
      </c>
      <c r="T9" s="2" t="inlineStr">
        <is>
          <t>Pediu orçamento novo mix</t>
        </is>
      </c>
    </row>
  </sheetData>
  <dataValidations count="10">
    <dataValidation sqref="B2:B1000" showDropDown="0" showInputMessage="0" showErrorMessage="0" allowBlank="1" type="list">
      <formula1>LISTA_CONSULTOR</formula1>
    </dataValidation>
    <dataValidation sqref="H2:H1000" showDropDown="0" showInputMessage="0" showErrorMessage="0" allowBlank="1" type="list">
      <formula1>LISTA_SIM_NAO</formula1>
    </dataValidation>
    <dataValidation sqref="I2:I1000" showDropDown="0" showInputMessage="0" showErrorMessage="0" allowBlank="1" type="list">
      <formula1>LISTA_SIM_NAO</formula1>
    </dataValidation>
    <dataValidation sqref="J2:J1000" showDropDown="0" showInputMessage="0" showErrorMessage="0" allowBlank="1" type="list">
      <formula1>LISTA_SIM_NAO_NA</formula1>
    </dataValidation>
    <dataValidation sqref="K2:K1000" showDropDown="0" showInputMessage="0" showErrorMessage="0" allowBlank="1" type="list">
      <formula1>LISTA_ATIVO_RECEPTIVO</formula1>
    </dataValidation>
    <dataValidation sqref="L2:L1000" showDropDown="0" showInputMessage="0" showErrorMessage="0" allowBlank="1" type="list">
      <formula1>LISTA_TIPO_CONTATO</formula1>
    </dataValidation>
    <dataValidation sqref="M2:M1000" showDropDown="0" showInputMessage="0" showErrorMessage="0" allowBlank="1" type="list">
      <formula1>LISTA_RESULTADO</formula1>
    </dataValidation>
    <dataValidation sqref="N2:N1000" showDropDown="0" showInputMessage="0" showErrorMessage="0" allowBlank="1" type="list">
      <formula1>LISTA_MOTIVO</formula1>
    </dataValidation>
    <dataValidation sqref="Q2:Q1000" showDropDown="0" showInputMessage="0" showErrorMessage="0" allowBlank="1" type="list">
      <formula1>LISTA_SIM_NAO</formula1>
    </dataValidation>
    <dataValidation sqref="P2:P1000" showDropDown="0" showInputMessage="0" showErrorMessage="0" allowBlank="1" type="list">
      <formula1>LISTA_ACAO_FUTURA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FF6600"/>
    <outlinePr summaryBelow="1" summaryRight="1"/>
    <pageSetUpPr/>
  </sheetPr>
  <dimension ref="A1:G3"/>
  <sheetViews>
    <sheetView zoomScale="9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8" customWidth="1" min="3" max="3"/>
    <col width="14" customWidth="1" min="4" max="4"/>
    <col width="15" customWidth="1" min="5" max="5"/>
    <col width="10" customWidth="1" min="6" max="6"/>
    <col width="10" customWidth="1" min="7" max="7"/>
  </cols>
  <sheetData>
    <row r="1">
      <c r="A1" s="1" t="inlineStr">
        <is>
          <t>DATA</t>
        </is>
      </c>
      <c r="B1" s="1" t="inlineStr">
        <is>
          <t>CNPJ</t>
        </is>
      </c>
      <c r="C1" s="1" t="inlineStr">
        <is>
          <t>NOME FANTASIA</t>
        </is>
      </c>
      <c r="D1" s="1" t="inlineStr">
        <is>
          <t>VALOR PEDIDO</t>
        </is>
      </c>
      <c r="E1" s="1" t="inlineStr">
        <is>
          <t>STATUS PEDIDO</t>
        </is>
      </c>
      <c r="F1" s="1" t="inlineStr">
        <is>
          <t>VENDEDOR</t>
        </is>
      </c>
      <c r="G1" s="1" t="inlineStr">
        <is>
          <t>MIGRADO</t>
        </is>
      </c>
    </row>
    <row r="2">
      <c r="A2" s="10" t="n">
        <v>46059</v>
      </c>
      <c r="B2" s="2" t="inlineStr">
        <is>
          <t>12345678000199</t>
        </is>
      </c>
      <c r="C2" s="2" t="inlineStr">
        <is>
          <t>CIA SAUDE SP</t>
        </is>
      </c>
      <c r="D2" s="11" t="n">
        <v>2200</v>
      </c>
      <c r="E2" s="2" t="inlineStr">
        <is>
          <t>CONFIRMADO</t>
        </is>
      </c>
      <c r="F2" s="2" t="inlineStr">
        <is>
          <t>JULIO</t>
        </is>
      </c>
      <c r="G2" s="2" t="inlineStr">
        <is>
          <t>NÃO</t>
        </is>
      </c>
    </row>
    <row r="3">
      <c r="A3" s="10" t="n">
        <v>46060</v>
      </c>
      <c r="B3" s="2" t="inlineStr">
        <is>
          <t>32828171000108</t>
        </is>
      </c>
      <c r="C3" s="2" t="inlineStr">
        <is>
          <t>DIVINA TERRA CWB</t>
        </is>
      </c>
      <c r="D3" s="11" t="n">
        <v>1850</v>
      </c>
      <c r="E3" s="2" t="inlineStr">
        <is>
          <t>PENDENTE</t>
        </is>
      </c>
      <c r="F3" s="2" t="inlineStr">
        <is>
          <t>MANU</t>
        </is>
      </c>
      <c r="G3" s="2" t="inlineStr">
        <is>
          <t>NÃO</t>
        </is>
      </c>
    </row>
  </sheetData>
  <dataValidations count="1">
    <dataValidation sqref="G2:G1000" showDropDown="0" showInputMessage="0" showErrorMessage="0" allowBlank="1" type="list">
      <formula1>LISTA_SIM_NAO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BDD7EE"/>
    <outlinePr summaryBelow="1" summaryRight="1"/>
    <pageSetUpPr/>
  </sheetPr>
  <dimension ref="A1:AA4"/>
  <sheetViews>
    <sheetView zoomScale="9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28" customWidth="1" min="19" max="19"/>
    <col width="22" customWidth="1" min="20" max="20"/>
    <col width="28" customWidth="1" min="21" max="21"/>
    <col width="16" customWidth="1" min="22" max="22"/>
    <col width="16" customWidth="1" min="23" max="23"/>
    <col width="16" customWidth="1" min="24" max="24"/>
    <col width="16" customWidth="1" min="25" max="25"/>
    <col width="16" customWidth="1" min="26" max="26"/>
    <col width="16" customWidth="1" min="27" max="27"/>
  </cols>
  <sheetData>
    <row r="1">
      <c r="A1" s="1" t="inlineStr">
        <is>
          <t>NOME FANTASIA</t>
        </is>
      </c>
      <c r="B1" s="1" t="inlineStr">
        <is>
          <t>CNPJ</t>
        </is>
      </c>
      <c r="C1" s="1" t="inlineStr">
        <is>
          <t>UF</t>
        </is>
      </c>
      <c r="D1" s="1" t="inlineStr">
        <is>
          <t>REDE/REGIONAL</t>
        </is>
      </c>
      <c r="E1" s="1" t="inlineStr">
        <is>
          <t>TELEFONE</t>
        </is>
      </c>
      <c r="F1" s="1" t="inlineStr">
        <is>
          <t>EMAIL</t>
        </is>
      </c>
      <c r="G1" s="1" t="inlineStr">
        <is>
          <t>SITUAÇÃO</t>
        </is>
      </c>
      <c r="H1" s="1" t="inlineStr">
        <is>
          <t>DIAS SEM COMPRA</t>
        </is>
      </c>
      <c r="I1" s="1" t="inlineStr">
        <is>
          <t>SINALEIRO</t>
        </is>
      </c>
      <c r="J1" s="1" t="inlineStr">
        <is>
          <t>FASE</t>
        </is>
      </c>
      <c r="K1" s="1" t="inlineStr">
        <is>
          <t>TENTATIVA</t>
        </is>
      </c>
      <c r="L1" s="1" t="inlineStr">
        <is>
          <t>AÇÃO SUGERIDA</t>
        </is>
      </c>
      <c r="M1" s="1" t="inlineStr">
        <is>
          <t>BLOCO</t>
        </is>
      </c>
      <c r="N1" s="1" t="inlineStr">
        <is>
          <t>ÚLTIMO RESULTADO</t>
        </is>
      </c>
      <c r="O1" s="1" t="inlineStr">
        <is>
          <t>WHATSAPP</t>
        </is>
      </c>
      <c r="P1" s="1" t="inlineStr">
        <is>
          <t>LIGAÇÃO</t>
        </is>
      </c>
      <c r="Q1" s="1" t="inlineStr">
        <is>
          <t>LIGAÇÃO ATENDIDA</t>
        </is>
      </c>
      <c r="R1" s="1" t="inlineStr">
        <is>
          <t>TIPO AÇÃO</t>
        </is>
      </c>
      <c r="S1" s="1" t="inlineStr">
        <is>
          <t>TIPO DO CONTATO</t>
        </is>
      </c>
      <c r="T1" s="1" t="inlineStr">
        <is>
          <t>RESULTADO</t>
        </is>
      </c>
      <c r="U1" s="1" t="inlineStr">
        <is>
          <t>MOTIVO</t>
        </is>
      </c>
      <c r="V1" s="1" t="inlineStr">
        <is>
          <t>AÇÃO FUTURA</t>
        </is>
      </c>
      <c r="W1" s="1" t="inlineStr">
        <is>
          <t>MERCOS ATUALIZADO</t>
        </is>
      </c>
      <c r="X1" s="1" t="inlineStr">
        <is>
          <t>NOTA DO DIA</t>
        </is>
      </c>
      <c r="Y1" s="1" t="inlineStr">
        <is>
          <t>✅ VÁLIDO</t>
        </is>
      </c>
      <c r="Z1" s="1" t="inlineStr">
        <is>
          <t>⚠ ERRO</t>
        </is>
      </c>
      <c r="AA1" s="1" t="inlineStr">
        <is>
          <t>📝 MIGRADO</t>
        </is>
      </c>
    </row>
    <row r="2">
      <c r="A2" s="2" t="inlineStr">
        <is>
          <t>DIVINA TERRA CWB</t>
        </is>
      </c>
      <c r="B2" s="2" t="inlineStr">
        <is>
          <t>32828171000108</t>
        </is>
      </c>
      <c r="C2" s="2" t="inlineStr">
        <is>
          <t>PR</t>
        </is>
      </c>
      <c r="D2" s="2" t="inlineStr">
        <is>
          <t>DIVINA TERRA</t>
        </is>
      </c>
      <c r="E2" s="2" t="inlineStr">
        <is>
          <t>5541999990001</t>
        </is>
      </c>
      <c r="F2" s="2" t="inlineStr">
        <is>
          <t>divina@email.com</t>
        </is>
      </c>
      <c r="G2" s="2" t="inlineStr">
        <is>
          <t>ATIVO</t>
        </is>
      </c>
      <c r="H2" s="2" t="n">
        <v>12</v>
      </c>
      <c r="I2" s="2" t="inlineStr">
        <is>
          <t>🟢</t>
        </is>
      </c>
      <c r="J2" s="2" t="inlineStr">
        <is>
          <t>CS</t>
        </is>
      </c>
      <c r="K2" s="2" t="inlineStr">
        <is>
          <t>T1</t>
        </is>
      </c>
      <c r="L2" s="2" t="inlineStr">
        <is>
          <t>Ligar oferecer mix</t>
        </is>
      </c>
      <c r="M2" s="2" t="inlineStr">
        <is>
          <t>MANHÃ</t>
        </is>
      </c>
      <c r="N2" s="2" t="inlineStr">
        <is>
          <t>RELACIONAMENTO</t>
        </is>
      </c>
      <c r="O2" s="2" t="inlineStr">
        <is>
          <t>SIM</t>
        </is>
      </c>
      <c r="P2" s="2" t="inlineStr">
        <is>
          <t>NÃO</t>
        </is>
      </c>
      <c r="Q2" s="2" t="inlineStr">
        <is>
          <t>N/A</t>
        </is>
      </c>
      <c r="R2" s="2" t="inlineStr">
        <is>
          <t>ATIVO</t>
        </is>
      </c>
      <c r="S2" s="2" t="inlineStr">
        <is>
          <t>PÓS-VENDA / RELACIONAMENTO</t>
        </is>
      </c>
      <c r="T2" s="2" t="inlineStr">
        <is>
          <t>RELACIONAMENTO</t>
        </is>
      </c>
      <c r="U2" s="2" t="inlineStr">
        <is>
          <t>AINDA TEM ESTOQUE</t>
        </is>
      </c>
      <c r="V2" s="2" t="inlineStr">
        <is>
          <t>Verificar estoque</t>
        </is>
      </c>
      <c r="W2" s="2" t="inlineStr">
        <is>
          <t>SIM</t>
        </is>
      </c>
      <c r="X2" s="2" t="inlineStr">
        <is>
          <t>Cliente satisfeito</t>
        </is>
      </c>
      <c r="Y2">
        <f>IF(AND(B2&lt;&gt;"",T2&lt;&gt;"",S2&lt;&gt;""),"OK","ERRO")</f>
        <v/>
      </c>
      <c r="Z2">
        <f>IF(Y2="OK","",IF(B2="","CNPJ VAZIO",IF(T2="","SEM RESULTADO","SEM TIPO CONTATO")))</f>
        <v/>
      </c>
    </row>
    <row r="3">
      <c r="A3" s="2" t="inlineStr">
        <is>
          <t>CIA SAUDE SP</t>
        </is>
      </c>
      <c r="B3" s="2" t="inlineStr">
        <is>
          <t>12345678000199</t>
        </is>
      </c>
      <c r="C3" s="2" t="inlineStr">
        <is>
          <t>SP</t>
        </is>
      </c>
      <c r="D3" s="2" t="inlineStr">
        <is>
          <t>CIA DA SAUDE</t>
        </is>
      </c>
      <c r="E3" s="2" t="inlineStr">
        <is>
          <t>5511999990005</t>
        </is>
      </c>
      <c r="F3" s="2" t="inlineStr">
        <is>
          <t>ciasaude@email.com</t>
        </is>
      </c>
      <c r="G3" s="2" t="inlineStr">
        <is>
          <t>ATIVO</t>
        </is>
      </c>
      <c r="H3" s="2" t="n">
        <v>9</v>
      </c>
      <c r="I3" s="2" t="inlineStr">
        <is>
          <t>🟢</t>
        </is>
      </c>
      <c r="J3" s="2" t="inlineStr">
        <is>
          <t>PÓS-VENDA</t>
        </is>
      </c>
      <c r="K3" s="2" t="inlineStr">
        <is>
          <t>T1</t>
        </is>
      </c>
      <c r="L3" s="2" t="inlineStr">
        <is>
          <t>Ligar confirmar pedido</t>
        </is>
      </c>
      <c r="M3" s="2" t="inlineStr">
        <is>
          <t>MANHÃ</t>
        </is>
      </c>
      <c r="N3" s="2" t="inlineStr">
        <is>
          <t>VENDA / PEDIDO</t>
        </is>
      </c>
      <c r="O3" s="2" t="inlineStr">
        <is>
          <t>NÃO</t>
        </is>
      </c>
      <c r="P3" s="2" t="inlineStr">
        <is>
          <t>SIM</t>
        </is>
      </c>
      <c r="Q3" s="2" t="inlineStr">
        <is>
          <t>SIM</t>
        </is>
      </c>
      <c r="R3" s="2" t="inlineStr">
        <is>
          <t>ATIVO</t>
        </is>
      </c>
      <c r="S3" s="2" t="inlineStr">
        <is>
          <t>ATEND. CLIENTES ATIVOS</t>
        </is>
      </c>
      <c r="T3" s="2" t="inlineStr">
        <is>
          <t>VENDA / PEDIDO</t>
        </is>
      </c>
      <c r="U3" s="2" t="inlineStr"/>
      <c r="V3" s="2" t="inlineStr">
        <is>
          <t>Pedido confirmado</t>
        </is>
      </c>
      <c r="W3" s="2" t="inlineStr">
        <is>
          <t>SIM</t>
        </is>
      </c>
      <c r="X3" s="2" t="inlineStr">
        <is>
          <t>Pedido R$ 2.200</t>
        </is>
      </c>
      <c r="Y3">
        <f>IF(AND(B3&lt;&gt;"",T3&lt;&gt;"",S3&lt;&gt;""),"OK","ERRO")</f>
        <v/>
      </c>
      <c r="Z3">
        <f>IF(Y3="OK","",IF(B3="","CNPJ VAZIO",IF(T3="","SEM RESULTADO","SEM TIPO CONTATO")))</f>
        <v/>
      </c>
    </row>
    <row r="4">
      <c r="A4" s="2" t="inlineStr">
        <is>
          <t>AFS ALDEIA</t>
        </is>
      </c>
      <c r="B4" s="2" t="inlineStr"/>
      <c r="C4" s="2" t="inlineStr">
        <is>
          <t>SP</t>
        </is>
      </c>
      <c r="D4" s="2" t="inlineStr">
        <is>
          <t>ARMAZEM FITSTORE</t>
        </is>
      </c>
      <c r="E4" s="2" t="inlineStr">
        <is>
          <t>5511999990004</t>
        </is>
      </c>
      <c r="F4" s="2" t="inlineStr">
        <is>
          <t>afs@email.com</t>
        </is>
      </c>
      <c r="G4" s="2" t="inlineStr">
        <is>
          <t>PROSPECT</t>
        </is>
      </c>
      <c r="H4" s="2" t="inlineStr"/>
      <c r="I4" s="2" t="inlineStr">
        <is>
          <t>🟣</t>
        </is>
      </c>
      <c r="J4" s="2" t="inlineStr">
        <is>
          <t>PROSPECÇÃO</t>
        </is>
      </c>
      <c r="K4" s="2" t="inlineStr">
        <is>
          <t>T1</t>
        </is>
      </c>
      <c r="L4" s="2" t="inlineStr">
        <is>
          <t>1º contato WhatsApp</t>
        </is>
      </c>
      <c r="M4" s="2" t="inlineStr">
        <is>
          <t>TARDE</t>
        </is>
      </c>
      <c r="N4" s="2" t="inlineStr">
        <is>
          <t>NÃO RESPONDE</t>
        </is>
      </c>
      <c r="O4" s="2" t="inlineStr">
        <is>
          <t>SIM</t>
        </is>
      </c>
      <c r="P4" s="2" t="inlineStr">
        <is>
          <t>NÃO</t>
        </is>
      </c>
      <c r="Q4" s="2" t="inlineStr">
        <is>
          <t>N/A</t>
        </is>
      </c>
      <c r="R4" s="2" t="inlineStr">
        <is>
          <t>ATIVO</t>
        </is>
      </c>
      <c r="S4" s="2" t="inlineStr"/>
      <c r="T4" s="2" t="inlineStr"/>
      <c r="U4" s="2" t="inlineStr">
        <is>
          <t>1º CONTATO / SEM MOTIVO</t>
        </is>
      </c>
      <c r="V4" s="2" t="inlineStr">
        <is>
          <t>1º contato feito</t>
        </is>
      </c>
      <c r="W4" s="2" t="inlineStr">
        <is>
          <t>NÃO</t>
        </is>
      </c>
      <c r="X4" s="2" t="inlineStr">
        <is>
          <t>WhatsApp enviado</t>
        </is>
      </c>
      <c r="Y4">
        <f>IF(AND(B4&lt;&gt;"",T4&lt;&gt;"",S4&lt;&gt;""),"OK","ERRO")</f>
        <v/>
      </c>
      <c r="Z4">
        <f>IF(Y4="OK","",IF(B4="","CNPJ VAZIO",IF(T4="","SEM RESULTADO","SEM TIPO CONTATO")))</f>
        <v/>
      </c>
    </row>
  </sheetData>
  <conditionalFormatting sqref="Y2:Y1000">
    <cfRule type="cellIs" priority="1" operator="equal" dxfId="9">
      <formula>"OK"</formula>
    </cfRule>
    <cfRule type="cellIs" priority="2" operator="equal" dxfId="10">
      <formula>"ERRO"</formula>
    </cfRule>
  </conditionalFormatting>
  <dataValidations count="9">
    <dataValidation sqref="O2:O1000" showDropDown="0" showInputMessage="0" showErrorMessage="0" allowBlank="1" type="list">
      <formula1>LISTA_SIM_NAO</formula1>
    </dataValidation>
    <dataValidation sqref="P2:P1000" showDropDown="0" showInputMessage="0" showErrorMessage="0" allowBlank="1" type="list">
      <formula1>LISTA_SIM_NAO</formula1>
    </dataValidation>
    <dataValidation sqref="Q2:Q1000" showDropDown="0" showInputMessage="0" showErrorMessage="0" allowBlank="1" type="list">
      <formula1>LISTA_SIM_NAO_NA</formula1>
    </dataValidation>
    <dataValidation sqref="R2:R1000" showDropDown="0" showInputMessage="0" showErrorMessage="0" allowBlank="1" type="list">
      <formula1>LISTA_ATIVO_RECEPTIVO</formula1>
    </dataValidation>
    <dataValidation sqref="S2:S1000" showDropDown="0" showInputMessage="0" showErrorMessage="0" allowBlank="1" type="list">
      <formula1>LISTA_TIPO_CONTATO</formula1>
    </dataValidation>
    <dataValidation sqref="T2:T1000" showDropDown="0" showInputMessage="0" showErrorMessage="0" allowBlank="1" type="list">
      <formula1>LISTA_RESULTADO</formula1>
    </dataValidation>
    <dataValidation sqref="U2:U1000" showDropDown="0" showInputMessage="0" showErrorMessage="0" allowBlank="1" type="list">
      <formula1>LISTA_MOTIVO</formula1>
    </dataValidation>
    <dataValidation sqref="W2:W1000" showDropDown="0" showInputMessage="0" showErrorMessage="0" allowBlank="1" type="list">
      <formula1>LISTA_SIM_NAO</formula1>
    </dataValidation>
    <dataValidation sqref="AA2:AA1000" showDropDown="0" showInputMessage="0" showErrorMessage="0" allowBlank="1" type="list">
      <formula1>LISTA_SIM_NAO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4472C4"/>
    <outlinePr summaryBelow="1" summaryRight="1"/>
    <pageSetUpPr/>
  </sheetPr>
  <dimension ref="A1:M62"/>
  <sheetViews>
    <sheetView zoomScale="90" workbookViewId="0">
      <selection activeCell="A1" sqref="A1"/>
    </sheetView>
  </sheetViews>
  <sheetFormatPr baseColWidth="8" defaultRowHeight="15"/>
  <cols>
    <col width="30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8" customWidth="1" min="14" max="14"/>
  </cols>
  <sheetData>
    <row r="1">
      <c r="A1" s="16" t="inlineStr">
        <is>
          <t>📊 DASHBOARD JARVIS CRM</t>
        </is>
      </c>
    </row>
    <row r="2">
      <c r="A2" s="17" t="inlineStr">
        <is>
          <t>CONSULTOR:</t>
        </is>
      </c>
      <c r="B2" t="inlineStr">
        <is>
          <t>TODOS</t>
        </is>
      </c>
    </row>
    <row r="3">
      <c r="A3" s="17" t="inlineStr">
        <is>
          <t>PERÍODO:</t>
        </is>
      </c>
      <c r="B3" s="14" t="n">
        <v>46023</v>
      </c>
      <c r="C3" s="18" t="inlineStr">
        <is>
          <t>a</t>
        </is>
      </c>
      <c r="D3" s="14" t="n">
        <v>46061</v>
      </c>
    </row>
    <row r="5">
      <c r="A5" s="1" t="inlineStr">
        <is>
          <t>CONTATOS</t>
        </is>
      </c>
      <c r="B5" s="1" t="inlineStr">
        <is>
          <t>VENDAS</t>
        </is>
      </c>
      <c r="C5" s="1" t="inlineStr">
        <is>
          <t>ORÇAMENTOS</t>
        </is>
      </c>
      <c r="D5" s="1" t="inlineStr">
        <is>
          <t>NÃO ATENDE</t>
        </is>
      </c>
      <c r="E5" s="1" t="inlineStr">
        <is>
          <t>% CONVERSÃO</t>
        </is>
      </c>
      <c r="F5" s="1" t="inlineStr">
        <is>
          <t>MERCOS OK</t>
        </is>
      </c>
    </row>
    <row r="6">
      <c r="A6" s="19">
        <f>IF($B$2="TODOS",COUNTIFS(LOG!A:A,"&gt;="&amp;B3,LOG!A:A,"&lt;="&amp;D3),COUNTIFS(LOG!A:A,"&gt;="&amp;B3,LOG!A:A,"&lt;="&amp;D3,LOG!B:B,$B$2))</f>
        <v/>
      </c>
      <c r="B6" s="19">
        <f>IF($B$2="TODOS",COUNTIFS(LOG!A:A,"&gt;="&amp;B3,LOG!A:A,"&lt;="&amp;D3,LOG!M:M,"VENDA / PEDIDO"),COUNTIFS(LOG!A:A,"&gt;="&amp;B3,LOG!A:A,"&lt;="&amp;D3,LOG!M:M,"VENDA / PEDIDO",LOG!B:B,$B$2))</f>
        <v/>
      </c>
      <c r="C6" s="19">
        <f>IF($B$2="TODOS",COUNTIFS(LOG!A:A,"&gt;="&amp;B3,LOG!A:A,"&lt;="&amp;D3,LOG!M:M,"ORÇAMENTO"),COUNTIFS(LOG!A:A,"&gt;="&amp;B3,LOG!A:A,"&lt;="&amp;D3,LOG!M:M,"ORÇAMENTO",LOG!B:B,$B$2))</f>
        <v/>
      </c>
      <c r="D6" s="19">
        <f>IF($B$2="TODOS",COUNTIFS(LOG!A:A,"&gt;="&amp;B3,LOG!A:A,"&lt;="&amp;D3,LOG!M:M,"NÃO ATENDE"),COUNTIFS(LOG!A:A,"&gt;="&amp;B3,LOG!A:A,"&lt;="&amp;D3,LOG!M:M,"NÃO ATENDE",LOG!B:B,$B$2))</f>
        <v/>
      </c>
      <c r="E6" s="20">
        <f>IFERROR(B6/A6,0)</f>
        <v/>
      </c>
      <c r="F6" s="20">
        <f>IF($B$2="TODOS",IFERROR(COUNTIFS(LOG!A:A,"&gt;="&amp;B3,LOG!A:A,"&lt;="&amp;D3,LOG!Q:Q,"SIM")/COUNTIFS(LOG!A:A,"&gt;="&amp;B3,LOG!A:A,"&lt;="&amp;D3),0),IFERROR(COUNTIFS(LOG!A:A,"&gt;="&amp;B3,LOG!A:A,"&lt;="&amp;D3,LOG!Q:Q,"SIM",LOG!B:B,$B$2)/COUNTIFS(LOG!A:A,"&gt;="&amp;B3,LOG!A:A,"&lt;="&amp;D3,LOG!B:B,$B$2),0))</f>
        <v/>
      </c>
    </row>
    <row r="10">
      <c r="A10" s="21" t="inlineStr">
        <is>
          <t>CONTATOS POR TIPO &amp; FUNIL</t>
        </is>
      </c>
      <c r="B10" s="21" t="n"/>
      <c r="C10" s="21" t="n"/>
      <c r="D10" s="21" t="n"/>
      <c r="E10" s="21" t="n"/>
    </row>
    <row r="11">
      <c r="A11" s="8" t="inlineStr">
        <is>
          <t>TIPO DO CONTATO</t>
        </is>
      </c>
      <c r="B11" s="8" t="inlineStr">
        <is>
          <t>TOTAL</t>
        </is>
      </c>
      <c r="C11" s="8" t="inlineStr">
        <is>
          <t>FUNIL</t>
        </is>
      </c>
      <c r="D11" s="8" t="inlineStr">
        <is>
          <t>RELAC.</t>
        </is>
      </c>
      <c r="E11" s="8" t="inlineStr">
        <is>
          <t>NÃO VENDA</t>
        </is>
      </c>
    </row>
    <row r="12">
      <c r="A12" s="2" t="inlineStr">
        <is>
          <t>PROSPECÇÃO</t>
        </is>
      </c>
      <c r="B12" s="22">
        <f>IF($B$2="TODOS",COUNTIFS(LOG!L:L,A12,LOG!A:A,"&gt;="&amp;$B$3,LOG!A:A,"&lt;="&amp;$D$3),COUNTIFS(LOG!L:L,A12,LOG!A:A,"&gt;="&amp;$B$3,LOG!A:A,"&lt;="&amp;$D$3,LOG!B:B,$B$2))</f>
        <v/>
      </c>
      <c r="C12" s="22">
        <f>IF($B$2="TODOS",COUNTIFS(LOG!L:L,A12,LOG!A:A,"&gt;="&amp;$B$3,LOG!A:A,"&lt;="&amp;$D$3,LOG!M:M,"EM ATENDIMENTO")+COUNTIFS(LOG!L:L,A12,LOG!A:A,"&gt;="&amp;$B$3,LOG!A:A,"&lt;="&amp;$D$3,LOG!M:M,"ORÇAMENTO")+COUNTIFS(LOG!L:L,A12,LOG!A:A,"&gt;="&amp;$B$3,LOG!A:A,"&lt;="&amp;$D$3,LOG!M:M,"CADASTRO")+COUNTIFS(LOG!L:L,A12,LOG!A:A,"&gt;="&amp;$B$3,LOG!A:A,"&lt;="&amp;$D$3,LOG!M:M,"VENDA / PEDIDO"),COUNTIFS(LOG!L:L,A12,LOG!A:A,"&gt;="&amp;$B$3,LOG!A:A,"&lt;="&amp;$D$3,LOG!M:M,"EM ATENDIMENTO",LOG!B:B,$B$2)+COUNTIFS(LOG!L:L,A12,LOG!A:A,"&gt;="&amp;$B$3,LOG!A:A,"&lt;="&amp;$D$3,LOG!M:M,"ORÇAMENTO",LOG!B:B,$B$2)+COUNTIFS(LOG!L:L,A12,LOG!A:A,"&gt;="&amp;$B$3,LOG!A:A,"&lt;="&amp;$D$3,LOG!M:M,"CADASTRO",LOG!B:B,$B$2)+COUNTIFS(LOG!L:L,A12,LOG!A:A,"&gt;="&amp;$B$3,LOG!A:A,"&lt;="&amp;$D$3,LOG!M:M,"VENDA / PEDIDO",LOG!B:B,$B$2))</f>
        <v/>
      </c>
      <c r="D12" s="22">
        <f>IF($B$2="TODOS",COUNTIFS(LOG!L:L,A12,LOG!A:A,"&gt;="&amp;$B$3,LOG!A:A,"&lt;="&amp;$D$3,LOG!M:M,"RELACIONAMENTO")+COUNTIFS(LOG!L:L,A12,LOG!A:A,"&gt;="&amp;$B$3,LOG!A:A,"&lt;="&amp;$D$3,LOG!M:M,"FOLLOW UP 7")+COUNTIFS(LOG!L:L,A12,LOG!A:A,"&gt;="&amp;$B$3,LOG!A:A,"&lt;="&amp;$D$3,LOG!M:M,"FOLLOW UP 15")+COUNTIFS(LOG!L:L,A12,LOG!A:A,"&gt;="&amp;$B$3,LOG!A:A,"&lt;="&amp;$D$3,LOG!M:M,"SUPORTE"),COUNTIFS(LOG!L:L,A12,LOG!A:A,"&gt;="&amp;$B$3,LOG!A:A,"&lt;="&amp;$D$3,LOG!M:M,"RELACIONAMENTO",LOG!B:B,$B$2)+COUNTIFS(LOG!L:L,A12,LOG!A:A,"&gt;="&amp;$B$3,LOG!A:A,"&lt;="&amp;$D$3,LOG!M:M,"FOLLOW UP 7",LOG!B:B,$B$2)+COUNTIFS(LOG!L:L,A12,LOG!A:A,"&gt;="&amp;$B$3,LOG!A:A,"&lt;="&amp;$D$3,LOG!M:M,"FOLLOW UP 15",LOG!B:B,$B$2)+COUNTIFS(LOG!L:L,A12,LOG!A:A,"&gt;="&amp;$B$3,LOG!A:A,"&lt;="&amp;$D$3,LOG!M:M,"SUPORTE",LOG!B:B,$B$2))</f>
        <v/>
      </c>
      <c r="E12" s="22">
        <f>IF($B$2="TODOS",COUNTIFS(LOG!L:L,A12,LOG!A:A,"&gt;="&amp;$B$3,LOG!A:A,"&lt;="&amp;$D$3,LOG!M:M,"NÃO ATENDE")+COUNTIFS(LOG!L:L,A12,LOG!A:A,"&gt;="&amp;$B$3,LOG!A:A,"&lt;="&amp;$D$3,LOG!M:M,"NÃO RESPONDE")+COUNTIFS(LOG!L:L,A12,LOG!A:A,"&gt;="&amp;$B$3,LOG!A:A,"&lt;="&amp;$D$3,LOG!M:M,"RECUSOU LIGAÇÃO")+COUNTIFS(LOG!L:L,A12,LOG!A:A,"&gt;="&amp;$B$3,LOG!A:A,"&lt;="&amp;$D$3,LOG!M:M,"PERDA / FECHOU LOJA"),COUNTIFS(LOG!L:L,A12,LOG!A:A,"&gt;="&amp;$B$3,LOG!A:A,"&lt;="&amp;$D$3,LOG!M:M,"NÃO ATENDE",LOG!B:B,$B$2)+COUNTIFS(LOG!L:L,A12,LOG!A:A,"&gt;="&amp;$B$3,LOG!A:A,"&lt;="&amp;$D$3,LOG!M:M,"NÃO RESPONDE",LOG!B:B,$B$2)+COUNTIFS(LOG!L:L,A12,LOG!A:A,"&gt;="&amp;$B$3,LOG!A:A,"&lt;="&amp;$D$3,LOG!M:M,"RECUSOU LIGAÇÃO",LOG!B:B,$B$2)+COUNTIFS(LOG!L:L,A12,LOG!A:A,"&gt;="&amp;$B$3,LOG!A:A,"&lt;="&amp;$D$3,LOG!M:M,"PERDA / FECHOU LOJA",LOG!B:B,$B$2))</f>
        <v/>
      </c>
    </row>
    <row r="13">
      <c r="A13" s="2" t="inlineStr">
        <is>
          <t>NEGOCIAÇÃO</t>
        </is>
      </c>
      <c r="B13" s="22">
        <f>IF($B$2="TODOS",COUNTIFS(LOG!L:L,A13,LOG!A:A,"&gt;="&amp;$B$3,LOG!A:A,"&lt;="&amp;$D$3),COUNTIFS(LOG!L:L,A13,LOG!A:A,"&gt;="&amp;$B$3,LOG!A:A,"&lt;="&amp;$D$3,LOG!B:B,$B$2))</f>
        <v/>
      </c>
      <c r="C13" s="22">
        <f>IF($B$2="TODOS",COUNTIFS(LOG!L:L,A13,LOG!A:A,"&gt;="&amp;$B$3,LOG!A:A,"&lt;="&amp;$D$3,LOG!M:M,"EM ATENDIMENTO")+COUNTIFS(LOG!L:L,A13,LOG!A:A,"&gt;="&amp;$B$3,LOG!A:A,"&lt;="&amp;$D$3,LOG!M:M,"ORÇAMENTO")+COUNTIFS(LOG!L:L,A13,LOG!A:A,"&gt;="&amp;$B$3,LOG!A:A,"&lt;="&amp;$D$3,LOG!M:M,"CADASTRO")+COUNTIFS(LOG!L:L,A13,LOG!A:A,"&gt;="&amp;$B$3,LOG!A:A,"&lt;="&amp;$D$3,LOG!M:M,"VENDA / PEDIDO"),COUNTIFS(LOG!L:L,A13,LOG!A:A,"&gt;="&amp;$B$3,LOG!A:A,"&lt;="&amp;$D$3,LOG!M:M,"EM ATENDIMENTO",LOG!B:B,$B$2)+COUNTIFS(LOG!L:L,A13,LOG!A:A,"&gt;="&amp;$B$3,LOG!A:A,"&lt;="&amp;$D$3,LOG!M:M,"ORÇAMENTO",LOG!B:B,$B$2)+COUNTIFS(LOG!L:L,A13,LOG!A:A,"&gt;="&amp;$B$3,LOG!A:A,"&lt;="&amp;$D$3,LOG!M:M,"CADASTRO",LOG!B:B,$B$2)+COUNTIFS(LOG!L:L,A13,LOG!A:A,"&gt;="&amp;$B$3,LOG!A:A,"&lt;="&amp;$D$3,LOG!M:M,"VENDA / PEDIDO",LOG!B:B,$B$2))</f>
        <v/>
      </c>
      <c r="D13" s="22">
        <f>IF($B$2="TODOS",COUNTIFS(LOG!L:L,A13,LOG!A:A,"&gt;="&amp;$B$3,LOG!A:A,"&lt;="&amp;$D$3,LOG!M:M,"RELACIONAMENTO")+COUNTIFS(LOG!L:L,A13,LOG!A:A,"&gt;="&amp;$B$3,LOG!A:A,"&lt;="&amp;$D$3,LOG!M:M,"FOLLOW UP 7")+COUNTIFS(LOG!L:L,A13,LOG!A:A,"&gt;="&amp;$B$3,LOG!A:A,"&lt;="&amp;$D$3,LOG!M:M,"FOLLOW UP 15")+COUNTIFS(LOG!L:L,A13,LOG!A:A,"&gt;="&amp;$B$3,LOG!A:A,"&lt;="&amp;$D$3,LOG!M:M,"SUPORTE"),COUNTIFS(LOG!L:L,A13,LOG!A:A,"&gt;="&amp;$B$3,LOG!A:A,"&lt;="&amp;$D$3,LOG!M:M,"RELACIONAMENTO",LOG!B:B,$B$2)+COUNTIFS(LOG!L:L,A13,LOG!A:A,"&gt;="&amp;$B$3,LOG!A:A,"&lt;="&amp;$D$3,LOG!M:M,"FOLLOW UP 7",LOG!B:B,$B$2)+COUNTIFS(LOG!L:L,A13,LOG!A:A,"&gt;="&amp;$B$3,LOG!A:A,"&lt;="&amp;$D$3,LOG!M:M,"FOLLOW UP 15",LOG!B:B,$B$2)+COUNTIFS(LOG!L:L,A13,LOG!A:A,"&gt;="&amp;$B$3,LOG!A:A,"&lt;="&amp;$D$3,LOG!M:M,"SUPORTE",LOG!B:B,$B$2))</f>
        <v/>
      </c>
      <c r="E13" s="22">
        <f>IF($B$2="TODOS",COUNTIFS(LOG!L:L,A13,LOG!A:A,"&gt;="&amp;$B$3,LOG!A:A,"&lt;="&amp;$D$3,LOG!M:M,"NÃO ATENDE")+COUNTIFS(LOG!L:L,A13,LOG!A:A,"&gt;="&amp;$B$3,LOG!A:A,"&lt;="&amp;$D$3,LOG!M:M,"NÃO RESPONDE")+COUNTIFS(LOG!L:L,A13,LOG!A:A,"&gt;="&amp;$B$3,LOG!A:A,"&lt;="&amp;$D$3,LOG!M:M,"RECUSOU LIGAÇÃO")+COUNTIFS(LOG!L:L,A13,LOG!A:A,"&gt;="&amp;$B$3,LOG!A:A,"&lt;="&amp;$D$3,LOG!M:M,"PERDA / FECHOU LOJA"),COUNTIFS(LOG!L:L,A13,LOG!A:A,"&gt;="&amp;$B$3,LOG!A:A,"&lt;="&amp;$D$3,LOG!M:M,"NÃO ATENDE",LOG!B:B,$B$2)+COUNTIFS(LOG!L:L,A13,LOG!A:A,"&gt;="&amp;$B$3,LOG!A:A,"&lt;="&amp;$D$3,LOG!M:M,"NÃO RESPONDE",LOG!B:B,$B$2)+COUNTIFS(LOG!L:L,A13,LOG!A:A,"&gt;="&amp;$B$3,LOG!A:A,"&lt;="&amp;$D$3,LOG!M:M,"RECUSOU LIGAÇÃO",LOG!B:B,$B$2)+COUNTIFS(LOG!L:L,A13,LOG!A:A,"&gt;="&amp;$B$3,LOG!A:A,"&lt;="&amp;$D$3,LOG!M:M,"PERDA / FECHOU LOJA",LOG!B:B,$B$2))</f>
        <v/>
      </c>
    </row>
    <row r="14">
      <c r="A14" s="2" t="inlineStr">
        <is>
          <t>FOLLOW UP</t>
        </is>
      </c>
      <c r="B14" s="22">
        <f>IF($B$2="TODOS",COUNTIFS(LOG!L:L,A14,LOG!A:A,"&gt;="&amp;$B$3,LOG!A:A,"&lt;="&amp;$D$3),COUNTIFS(LOG!L:L,A14,LOG!A:A,"&gt;="&amp;$B$3,LOG!A:A,"&lt;="&amp;$D$3,LOG!B:B,$B$2))</f>
        <v/>
      </c>
      <c r="C14" s="22">
        <f>IF($B$2="TODOS",COUNTIFS(LOG!L:L,A14,LOG!A:A,"&gt;="&amp;$B$3,LOG!A:A,"&lt;="&amp;$D$3,LOG!M:M,"EM ATENDIMENTO")+COUNTIFS(LOG!L:L,A14,LOG!A:A,"&gt;="&amp;$B$3,LOG!A:A,"&lt;="&amp;$D$3,LOG!M:M,"ORÇAMENTO")+COUNTIFS(LOG!L:L,A14,LOG!A:A,"&gt;="&amp;$B$3,LOG!A:A,"&lt;="&amp;$D$3,LOG!M:M,"CADASTRO")+COUNTIFS(LOG!L:L,A14,LOG!A:A,"&gt;="&amp;$B$3,LOG!A:A,"&lt;="&amp;$D$3,LOG!M:M,"VENDA / PEDIDO"),COUNTIFS(LOG!L:L,A14,LOG!A:A,"&gt;="&amp;$B$3,LOG!A:A,"&lt;="&amp;$D$3,LOG!M:M,"EM ATENDIMENTO",LOG!B:B,$B$2)+COUNTIFS(LOG!L:L,A14,LOG!A:A,"&gt;="&amp;$B$3,LOG!A:A,"&lt;="&amp;$D$3,LOG!M:M,"ORÇAMENTO",LOG!B:B,$B$2)+COUNTIFS(LOG!L:L,A14,LOG!A:A,"&gt;="&amp;$B$3,LOG!A:A,"&lt;="&amp;$D$3,LOG!M:M,"CADASTRO",LOG!B:B,$B$2)+COUNTIFS(LOG!L:L,A14,LOG!A:A,"&gt;="&amp;$B$3,LOG!A:A,"&lt;="&amp;$D$3,LOG!M:M,"VENDA / PEDIDO",LOG!B:B,$B$2))</f>
        <v/>
      </c>
      <c r="D14" s="22">
        <f>IF($B$2="TODOS",COUNTIFS(LOG!L:L,A14,LOG!A:A,"&gt;="&amp;$B$3,LOG!A:A,"&lt;="&amp;$D$3,LOG!M:M,"RELACIONAMENTO")+COUNTIFS(LOG!L:L,A14,LOG!A:A,"&gt;="&amp;$B$3,LOG!A:A,"&lt;="&amp;$D$3,LOG!M:M,"FOLLOW UP 7")+COUNTIFS(LOG!L:L,A14,LOG!A:A,"&gt;="&amp;$B$3,LOG!A:A,"&lt;="&amp;$D$3,LOG!M:M,"FOLLOW UP 15")+COUNTIFS(LOG!L:L,A14,LOG!A:A,"&gt;="&amp;$B$3,LOG!A:A,"&lt;="&amp;$D$3,LOG!M:M,"SUPORTE"),COUNTIFS(LOG!L:L,A14,LOG!A:A,"&gt;="&amp;$B$3,LOG!A:A,"&lt;="&amp;$D$3,LOG!M:M,"RELACIONAMENTO",LOG!B:B,$B$2)+COUNTIFS(LOG!L:L,A14,LOG!A:A,"&gt;="&amp;$B$3,LOG!A:A,"&lt;="&amp;$D$3,LOG!M:M,"FOLLOW UP 7",LOG!B:B,$B$2)+COUNTIFS(LOG!L:L,A14,LOG!A:A,"&gt;="&amp;$B$3,LOG!A:A,"&lt;="&amp;$D$3,LOG!M:M,"FOLLOW UP 15",LOG!B:B,$B$2)+COUNTIFS(LOG!L:L,A14,LOG!A:A,"&gt;="&amp;$B$3,LOG!A:A,"&lt;="&amp;$D$3,LOG!M:M,"SUPORTE",LOG!B:B,$B$2))</f>
        <v/>
      </c>
      <c r="E14" s="22">
        <f>IF($B$2="TODOS",COUNTIFS(LOG!L:L,A14,LOG!A:A,"&gt;="&amp;$B$3,LOG!A:A,"&lt;="&amp;$D$3,LOG!M:M,"NÃO ATENDE")+COUNTIFS(LOG!L:L,A14,LOG!A:A,"&gt;="&amp;$B$3,LOG!A:A,"&lt;="&amp;$D$3,LOG!M:M,"NÃO RESPONDE")+COUNTIFS(LOG!L:L,A14,LOG!A:A,"&gt;="&amp;$B$3,LOG!A:A,"&lt;="&amp;$D$3,LOG!M:M,"RECUSOU LIGAÇÃO")+COUNTIFS(LOG!L:L,A14,LOG!A:A,"&gt;="&amp;$B$3,LOG!A:A,"&lt;="&amp;$D$3,LOG!M:M,"PERDA / FECHOU LOJA"),COUNTIFS(LOG!L:L,A14,LOG!A:A,"&gt;="&amp;$B$3,LOG!A:A,"&lt;="&amp;$D$3,LOG!M:M,"NÃO ATENDE",LOG!B:B,$B$2)+COUNTIFS(LOG!L:L,A14,LOG!A:A,"&gt;="&amp;$B$3,LOG!A:A,"&lt;="&amp;$D$3,LOG!M:M,"NÃO RESPONDE",LOG!B:B,$B$2)+COUNTIFS(LOG!L:L,A14,LOG!A:A,"&gt;="&amp;$B$3,LOG!A:A,"&lt;="&amp;$D$3,LOG!M:M,"RECUSOU LIGAÇÃO",LOG!B:B,$B$2)+COUNTIFS(LOG!L:L,A14,LOG!A:A,"&gt;="&amp;$B$3,LOG!A:A,"&lt;="&amp;$D$3,LOG!M:M,"PERDA / FECHOU LOJA",LOG!B:B,$B$2))</f>
        <v/>
      </c>
    </row>
    <row r="15">
      <c r="A15" s="2" t="inlineStr">
        <is>
          <t>ATEND. CLIENTES ATIVOS</t>
        </is>
      </c>
      <c r="B15" s="22">
        <f>IF($B$2="TODOS",COUNTIFS(LOG!L:L,A15,LOG!A:A,"&gt;="&amp;$B$3,LOG!A:A,"&lt;="&amp;$D$3),COUNTIFS(LOG!L:L,A15,LOG!A:A,"&gt;="&amp;$B$3,LOG!A:A,"&lt;="&amp;$D$3,LOG!B:B,$B$2))</f>
        <v/>
      </c>
      <c r="C15" s="22">
        <f>IF($B$2="TODOS",COUNTIFS(LOG!L:L,A15,LOG!A:A,"&gt;="&amp;$B$3,LOG!A:A,"&lt;="&amp;$D$3,LOG!M:M,"EM ATENDIMENTO")+COUNTIFS(LOG!L:L,A15,LOG!A:A,"&gt;="&amp;$B$3,LOG!A:A,"&lt;="&amp;$D$3,LOG!M:M,"ORÇAMENTO")+COUNTIFS(LOG!L:L,A15,LOG!A:A,"&gt;="&amp;$B$3,LOG!A:A,"&lt;="&amp;$D$3,LOG!M:M,"CADASTRO")+COUNTIFS(LOG!L:L,A15,LOG!A:A,"&gt;="&amp;$B$3,LOG!A:A,"&lt;="&amp;$D$3,LOG!M:M,"VENDA / PEDIDO"),COUNTIFS(LOG!L:L,A15,LOG!A:A,"&gt;="&amp;$B$3,LOG!A:A,"&lt;="&amp;$D$3,LOG!M:M,"EM ATENDIMENTO",LOG!B:B,$B$2)+COUNTIFS(LOG!L:L,A15,LOG!A:A,"&gt;="&amp;$B$3,LOG!A:A,"&lt;="&amp;$D$3,LOG!M:M,"ORÇAMENTO",LOG!B:B,$B$2)+COUNTIFS(LOG!L:L,A15,LOG!A:A,"&gt;="&amp;$B$3,LOG!A:A,"&lt;="&amp;$D$3,LOG!M:M,"CADASTRO",LOG!B:B,$B$2)+COUNTIFS(LOG!L:L,A15,LOG!A:A,"&gt;="&amp;$B$3,LOG!A:A,"&lt;="&amp;$D$3,LOG!M:M,"VENDA / PEDIDO",LOG!B:B,$B$2))</f>
        <v/>
      </c>
      <c r="D15" s="22">
        <f>IF($B$2="TODOS",COUNTIFS(LOG!L:L,A15,LOG!A:A,"&gt;="&amp;$B$3,LOG!A:A,"&lt;="&amp;$D$3,LOG!M:M,"RELACIONAMENTO")+COUNTIFS(LOG!L:L,A15,LOG!A:A,"&gt;="&amp;$B$3,LOG!A:A,"&lt;="&amp;$D$3,LOG!M:M,"FOLLOW UP 7")+COUNTIFS(LOG!L:L,A15,LOG!A:A,"&gt;="&amp;$B$3,LOG!A:A,"&lt;="&amp;$D$3,LOG!M:M,"FOLLOW UP 15")+COUNTIFS(LOG!L:L,A15,LOG!A:A,"&gt;="&amp;$B$3,LOG!A:A,"&lt;="&amp;$D$3,LOG!M:M,"SUPORTE"),COUNTIFS(LOG!L:L,A15,LOG!A:A,"&gt;="&amp;$B$3,LOG!A:A,"&lt;="&amp;$D$3,LOG!M:M,"RELACIONAMENTO",LOG!B:B,$B$2)+COUNTIFS(LOG!L:L,A15,LOG!A:A,"&gt;="&amp;$B$3,LOG!A:A,"&lt;="&amp;$D$3,LOG!M:M,"FOLLOW UP 7",LOG!B:B,$B$2)+COUNTIFS(LOG!L:L,A15,LOG!A:A,"&gt;="&amp;$B$3,LOG!A:A,"&lt;="&amp;$D$3,LOG!M:M,"FOLLOW UP 15",LOG!B:B,$B$2)+COUNTIFS(LOG!L:L,A15,LOG!A:A,"&gt;="&amp;$B$3,LOG!A:A,"&lt;="&amp;$D$3,LOG!M:M,"SUPORTE",LOG!B:B,$B$2))</f>
        <v/>
      </c>
      <c r="E15" s="22">
        <f>IF($B$2="TODOS",COUNTIFS(LOG!L:L,A15,LOG!A:A,"&gt;="&amp;$B$3,LOG!A:A,"&lt;="&amp;$D$3,LOG!M:M,"NÃO ATENDE")+COUNTIFS(LOG!L:L,A15,LOG!A:A,"&gt;="&amp;$B$3,LOG!A:A,"&lt;="&amp;$D$3,LOG!M:M,"NÃO RESPONDE")+COUNTIFS(LOG!L:L,A15,LOG!A:A,"&gt;="&amp;$B$3,LOG!A:A,"&lt;="&amp;$D$3,LOG!M:M,"RECUSOU LIGAÇÃO")+COUNTIFS(LOG!L:L,A15,LOG!A:A,"&gt;="&amp;$B$3,LOG!A:A,"&lt;="&amp;$D$3,LOG!M:M,"PERDA / FECHOU LOJA"),COUNTIFS(LOG!L:L,A15,LOG!A:A,"&gt;="&amp;$B$3,LOG!A:A,"&lt;="&amp;$D$3,LOG!M:M,"NÃO ATENDE",LOG!B:B,$B$2)+COUNTIFS(LOG!L:L,A15,LOG!A:A,"&gt;="&amp;$B$3,LOG!A:A,"&lt;="&amp;$D$3,LOG!M:M,"NÃO RESPONDE",LOG!B:B,$B$2)+COUNTIFS(LOG!L:L,A15,LOG!A:A,"&gt;="&amp;$B$3,LOG!A:A,"&lt;="&amp;$D$3,LOG!M:M,"RECUSOU LIGAÇÃO",LOG!B:B,$B$2)+COUNTIFS(LOG!L:L,A15,LOG!A:A,"&gt;="&amp;$B$3,LOG!A:A,"&lt;="&amp;$D$3,LOG!M:M,"PERDA / FECHOU LOJA",LOG!B:B,$B$2))</f>
        <v/>
      </c>
    </row>
    <row r="16">
      <c r="A16" s="2" t="inlineStr">
        <is>
          <t>ATEND. CLIENTES INATIVOS</t>
        </is>
      </c>
      <c r="B16" s="22">
        <f>IF($B$2="TODOS",COUNTIFS(LOG!L:L,A16,LOG!A:A,"&gt;="&amp;$B$3,LOG!A:A,"&lt;="&amp;$D$3),COUNTIFS(LOG!L:L,A16,LOG!A:A,"&gt;="&amp;$B$3,LOG!A:A,"&lt;="&amp;$D$3,LOG!B:B,$B$2))</f>
        <v/>
      </c>
      <c r="C16" s="22">
        <f>IF($B$2="TODOS",COUNTIFS(LOG!L:L,A16,LOG!A:A,"&gt;="&amp;$B$3,LOG!A:A,"&lt;="&amp;$D$3,LOG!M:M,"EM ATENDIMENTO")+COUNTIFS(LOG!L:L,A16,LOG!A:A,"&gt;="&amp;$B$3,LOG!A:A,"&lt;="&amp;$D$3,LOG!M:M,"ORÇAMENTO")+COUNTIFS(LOG!L:L,A16,LOG!A:A,"&gt;="&amp;$B$3,LOG!A:A,"&lt;="&amp;$D$3,LOG!M:M,"CADASTRO")+COUNTIFS(LOG!L:L,A16,LOG!A:A,"&gt;="&amp;$B$3,LOG!A:A,"&lt;="&amp;$D$3,LOG!M:M,"VENDA / PEDIDO"),COUNTIFS(LOG!L:L,A16,LOG!A:A,"&gt;="&amp;$B$3,LOG!A:A,"&lt;="&amp;$D$3,LOG!M:M,"EM ATENDIMENTO",LOG!B:B,$B$2)+COUNTIFS(LOG!L:L,A16,LOG!A:A,"&gt;="&amp;$B$3,LOG!A:A,"&lt;="&amp;$D$3,LOG!M:M,"ORÇAMENTO",LOG!B:B,$B$2)+COUNTIFS(LOG!L:L,A16,LOG!A:A,"&gt;="&amp;$B$3,LOG!A:A,"&lt;="&amp;$D$3,LOG!M:M,"CADASTRO",LOG!B:B,$B$2)+COUNTIFS(LOG!L:L,A16,LOG!A:A,"&gt;="&amp;$B$3,LOG!A:A,"&lt;="&amp;$D$3,LOG!M:M,"VENDA / PEDIDO",LOG!B:B,$B$2))</f>
        <v/>
      </c>
      <c r="D16" s="22">
        <f>IF($B$2="TODOS",COUNTIFS(LOG!L:L,A16,LOG!A:A,"&gt;="&amp;$B$3,LOG!A:A,"&lt;="&amp;$D$3,LOG!M:M,"RELACIONAMENTO")+COUNTIFS(LOG!L:L,A16,LOG!A:A,"&gt;="&amp;$B$3,LOG!A:A,"&lt;="&amp;$D$3,LOG!M:M,"FOLLOW UP 7")+COUNTIFS(LOG!L:L,A16,LOG!A:A,"&gt;="&amp;$B$3,LOG!A:A,"&lt;="&amp;$D$3,LOG!M:M,"FOLLOW UP 15")+COUNTIFS(LOG!L:L,A16,LOG!A:A,"&gt;="&amp;$B$3,LOG!A:A,"&lt;="&amp;$D$3,LOG!M:M,"SUPORTE"),COUNTIFS(LOG!L:L,A16,LOG!A:A,"&gt;="&amp;$B$3,LOG!A:A,"&lt;="&amp;$D$3,LOG!M:M,"RELACIONAMENTO",LOG!B:B,$B$2)+COUNTIFS(LOG!L:L,A16,LOG!A:A,"&gt;="&amp;$B$3,LOG!A:A,"&lt;="&amp;$D$3,LOG!M:M,"FOLLOW UP 7",LOG!B:B,$B$2)+COUNTIFS(LOG!L:L,A16,LOG!A:A,"&gt;="&amp;$B$3,LOG!A:A,"&lt;="&amp;$D$3,LOG!M:M,"FOLLOW UP 15",LOG!B:B,$B$2)+COUNTIFS(LOG!L:L,A16,LOG!A:A,"&gt;="&amp;$B$3,LOG!A:A,"&lt;="&amp;$D$3,LOG!M:M,"SUPORTE",LOG!B:B,$B$2))</f>
        <v/>
      </c>
      <c r="E16" s="22">
        <f>IF($B$2="TODOS",COUNTIFS(LOG!L:L,A16,LOG!A:A,"&gt;="&amp;$B$3,LOG!A:A,"&lt;="&amp;$D$3,LOG!M:M,"NÃO ATENDE")+COUNTIFS(LOG!L:L,A16,LOG!A:A,"&gt;="&amp;$B$3,LOG!A:A,"&lt;="&amp;$D$3,LOG!M:M,"NÃO RESPONDE")+COUNTIFS(LOG!L:L,A16,LOG!A:A,"&gt;="&amp;$B$3,LOG!A:A,"&lt;="&amp;$D$3,LOG!M:M,"RECUSOU LIGAÇÃO")+COUNTIFS(LOG!L:L,A16,LOG!A:A,"&gt;="&amp;$B$3,LOG!A:A,"&lt;="&amp;$D$3,LOG!M:M,"PERDA / FECHOU LOJA"),COUNTIFS(LOG!L:L,A16,LOG!A:A,"&gt;="&amp;$B$3,LOG!A:A,"&lt;="&amp;$D$3,LOG!M:M,"NÃO ATENDE",LOG!B:B,$B$2)+COUNTIFS(LOG!L:L,A16,LOG!A:A,"&gt;="&amp;$B$3,LOG!A:A,"&lt;="&amp;$D$3,LOG!M:M,"NÃO RESPONDE",LOG!B:B,$B$2)+COUNTIFS(LOG!L:L,A16,LOG!A:A,"&gt;="&amp;$B$3,LOG!A:A,"&lt;="&amp;$D$3,LOG!M:M,"RECUSOU LIGAÇÃO",LOG!B:B,$B$2)+COUNTIFS(LOG!L:L,A16,LOG!A:A,"&gt;="&amp;$B$3,LOG!A:A,"&lt;="&amp;$D$3,LOG!M:M,"PERDA / FECHOU LOJA",LOG!B:B,$B$2))</f>
        <v/>
      </c>
    </row>
    <row r="17">
      <c r="A17" s="2" t="inlineStr">
        <is>
          <t>PÓS-VENDA / RELACIONAMENTO</t>
        </is>
      </c>
      <c r="B17" s="22">
        <f>IF($B$2="TODOS",COUNTIFS(LOG!L:L,A17,LOG!A:A,"&gt;="&amp;$B$3,LOG!A:A,"&lt;="&amp;$D$3),COUNTIFS(LOG!L:L,A17,LOG!A:A,"&gt;="&amp;$B$3,LOG!A:A,"&lt;="&amp;$D$3,LOG!B:B,$B$2))</f>
        <v/>
      </c>
      <c r="C17" s="22">
        <f>IF($B$2="TODOS",COUNTIFS(LOG!L:L,A17,LOG!A:A,"&gt;="&amp;$B$3,LOG!A:A,"&lt;="&amp;$D$3,LOG!M:M,"EM ATENDIMENTO")+COUNTIFS(LOG!L:L,A17,LOG!A:A,"&gt;="&amp;$B$3,LOG!A:A,"&lt;="&amp;$D$3,LOG!M:M,"ORÇAMENTO")+COUNTIFS(LOG!L:L,A17,LOG!A:A,"&gt;="&amp;$B$3,LOG!A:A,"&lt;="&amp;$D$3,LOG!M:M,"CADASTRO")+COUNTIFS(LOG!L:L,A17,LOG!A:A,"&gt;="&amp;$B$3,LOG!A:A,"&lt;="&amp;$D$3,LOG!M:M,"VENDA / PEDIDO"),COUNTIFS(LOG!L:L,A17,LOG!A:A,"&gt;="&amp;$B$3,LOG!A:A,"&lt;="&amp;$D$3,LOG!M:M,"EM ATENDIMENTO",LOG!B:B,$B$2)+COUNTIFS(LOG!L:L,A17,LOG!A:A,"&gt;="&amp;$B$3,LOG!A:A,"&lt;="&amp;$D$3,LOG!M:M,"ORÇAMENTO",LOG!B:B,$B$2)+COUNTIFS(LOG!L:L,A17,LOG!A:A,"&gt;="&amp;$B$3,LOG!A:A,"&lt;="&amp;$D$3,LOG!M:M,"CADASTRO",LOG!B:B,$B$2)+COUNTIFS(LOG!L:L,A17,LOG!A:A,"&gt;="&amp;$B$3,LOG!A:A,"&lt;="&amp;$D$3,LOG!M:M,"VENDA / PEDIDO",LOG!B:B,$B$2))</f>
        <v/>
      </c>
      <c r="D17" s="22">
        <f>IF($B$2="TODOS",COUNTIFS(LOG!L:L,A17,LOG!A:A,"&gt;="&amp;$B$3,LOG!A:A,"&lt;="&amp;$D$3,LOG!M:M,"RELACIONAMENTO")+COUNTIFS(LOG!L:L,A17,LOG!A:A,"&gt;="&amp;$B$3,LOG!A:A,"&lt;="&amp;$D$3,LOG!M:M,"FOLLOW UP 7")+COUNTIFS(LOG!L:L,A17,LOG!A:A,"&gt;="&amp;$B$3,LOG!A:A,"&lt;="&amp;$D$3,LOG!M:M,"FOLLOW UP 15")+COUNTIFS(LOG!L:L,A17,LOG!A:A,"&gt;="&amp;$B$3,LOG!A:A,"&lt;="&amp;$D$3,LOG!M:M,"SUPORTE"),COUNTIFS(LOG!L:L,A17,LOG!A:A,"&gt;="&amp;$B$3,LOG!A:A,"&lt;="&amp;$D$3,LOG!M:M,"RELACIONAMENTO",LOG!B:B,$B$2)+COUNTIFS(LOG!L:L,A17,LOG!A:A,"&gt;="&amp;$B$3,LOG!A:A,"&lt;="&amp;$D$3,LOG!M:M,"FOLLOW UP 7",LOG!B:B,$B$2)+COUNTIFS(LOG!L:L,A17,LOG!A:A,"&gt;="&amp;$B$3,LOG!A:A,"&lt;="&amp;$D$3,LOG!M:M,"FOLLOW UP 15",LOG!B:B,$B$2)+COUNTIFS(LOG!L:L,A17,LOG!A:A,"&gt;="&amp;$B$3,LOG!A:A,"&lt;="&amp;$D$3,LOG!M:M,"SUPORTE",LOG!B:B,$B$2))</f>
        <v/>
      </c>
      <c r="E17" s="22">
        <f>IF($B$2="TODOS",COUNTIFS(LOG!L:L,A17,LOG!A:A,"&gt;="&amp;$B$3,LOG!A:A,"&lt;="&amp;$D$3,LOG!M:M,"NÃO ATENDE")+COUNTIFS(LOG!L:L,A17,LOG!A:A,"&gt;="&amp;$B$3,LOG!A:A,"&lt;="&amp;$D$3,LOG!M:M,"NÃO RESPONDE")+COUNTIFS(LOG!L:L,A17,LOG!A:A,"&gt;="&amp;$B$3,LOG!A:A,"&lt;="&amp;$D$3,LOG!M:M,"RECUSOU LIGAÇÃO")+COUNTIFS(LOG!L:L,A17,LOG!A:A,"&gt;="&amp;$B$3,LOG!A:A,"&lt;="&amp;$D$3,LOG!M:M,"PERDA / FECHOU LOJA"),COUNTIFS(LOG!L:L,A17,LOG!A:A,"&gt;="&amp;$B$3,LOG!A:A,"&lt;="&amp;$D$3,LOG!M:M,"NÃO ATENDE",LOG!B:B,$B$2)+COUNTIFS(LOG!L:L,A17,LOG!A:A,"&gt;="&amp;$B$3,LOG!A:A,"&lt;="&amp;$D$3,LOG!M:M,"NÃO RESPONDE",LOG!B:B,$B$2)+COUNTIFS(LOG!L:L,A17,LOG!A:A,"&gt;="&amp;$B$3,LOG!A:A,"&lt;="&amp;$D$3,LOG!M:M,"RECUSOU LIGAÇÃO",LOG!B:B,$B$2)+COUNTIFS(LOG!L:L,A17,LOG!A:A,"&gt;="&amp;$B$3,LOG!A:A,"&lt;="&amp;$D$3,LOG!M:M,"PERDA / FECHOU LOJA",LOG!B:B,$B$2))</f>
        <v/>
      </c>
    </row>
    <row r="18">
      <c r="A18" s="2" t="inlineStr">
        <is>
          <t>MOTIVO / PAROU DE COMPRAR</t>
        </is>
      </c>
      <c r="B18" s="22">
        <f>IF($B$2="TODOS",COUNTIFS(LOG!L:L,A18,LOG!A:A,"&gt;="&amp;$B$3,LOG!A:A,"&lt;="&amp;$D$3),COUNTIFS(LOG!L:L,A18,LOG!A:A,"&gt;="&amp;$B$3,LOG!A:A,"&lt;="&amp;$D$3,LOG!B:B,$B$2))</f>
        <v/>
      </c>
      <c r="C18" s="22">
        <f>IF($B$2="TODOS",COUNTIFS(LOG!L:L,A18,LOG!A:A,"&gt;="&amp;$B$3,LOG!A:A,"&lt;="&amp;$D$3,LOG!M:M,"EM ATENDIMENTO")+COUNTIFS(LOG!L:L,A18,LOG!A:A,"&gt;="&amp;$B$3,LOG!A:A,"&lt;="&amp;$D$3,LOG!M:M,"ORÇAMENTO")+COUNTIFS(LOG!L:L,A18,LOG!A:A,"&gt;="&amp;$B$3,LOG!A:A,"&lt;="&amp;$D$3,LOG!M:M,"CADASTRO")+COUNTIFS(LOG!L:L,A18,LOG!A:A,"&gt;="&amp;$B$3,LOG!A:A,"&lt;="&amp;$D$3,LOG!M:M,"VENDA / PEDIDO"),COUNTIFS(LOG!L:L,A18,LOG!A:A,"&gt;="&amp;$B$3,LOG!A:A,"&lt;="&amp;$D$3,LOG!M:M,"EM ATENDIMENTO",LOG!B:B,$B$2)+COUNTIFS(LOG!L:L,A18,LOG!A:A,"&gt;="&amp;$B$3,LOG!A:A,"&lt;="&amp;$D$3,LOG!M:M,"ORÇAMENTO",LOG!B:B,$B$2)+COUNTIFS(LOG!L:L,A18,LOG!A:A,"&gt;="&amp;$B$3,LOG!A:A,"&lt;="&amp;$D$3,LOG!M:M,"CADASTRO",LOG!B:B,$B$2)+COUNTIFS(LOG!L:L,A18,LOG!A:A,"&gt;="&amp;$B$3,LOG!A:A,"&lt;="&amp;$D$3,LOG!M:M,"VENDA / PEDIDO",LOG!B:B,$B$2))</f>
        <v/>
      </c>
      <c r="D18" s="22">
        <f>IF($B$2="TODOS",COUNTIFS(LOG!L:L,A18,LOG!A:A,"&gt;="&amp;$B$3,LOG!A:A,"&lt;="&amp;$D$3,LOG!M:M,"RELACIONAMENTO")+COUNTIFS(LOG!L:L,A18,LOG!A:A,"&gt;="&amp;$B$3,LOG!A:A,"&lt;="&amp;$D$3,LOG!M:M,"FOLLOW UP 7")+COUNTIFS(LOG!L:L,A18,LOG!A:A,"&gt;="&amp;$B$3,LOG!A:A,"&lt;="&amp;$D$3,LOG!M:M,"FOLLOW UP 15")+COUNTIFS(LOG!L:L,A18,LOG!A:A,"&gt;="&amp;$B$3,LOG!A:A,"&lt;="&amp;$D$3,LOG!M:M,"SUPORTE"),COUNTIFS(LOG!L:L,A18,LOG!A:A,"&gt;="&amp;$B$3,LOG!A:A,"&lt;="&amp;$D$3,LOG!M:M,"RELACIONAMENTO",LOG!B:B,$B$2)+COUNTIFS(LOG!L:L,A18,LOG!A:A,"&gt;="&amp;$B$3,LOG!A:A,"&lt;="&amp;$D$3,LOG!M:M,"FOLLOW UP 7",LOG!B:B,$B$2)+COUNTIFS(LOG!L:L,A18,LOG!A:A,"&gt;="&amp;$B$3,LOG!A:A,"&lt;="&amp;$D$3,LOG!M:M,"FOLLOW UP 15",LOG!B:B,$B$2)+COUNTIFS(LOG!L:L,A18,LOG!A:A,"&gt;="&amp;$B$3,LOG!A:A,"&lt;="&amp;$D$3,LOG!M:M,"SUPORTE",LOG!B:B,$B$2))</f>
        <v/>
      </c>
      <c r="E18" s="22">
        <f>IF($B$2="TODOS",COUNTIFS(LOG!L:L,A18,LOG!A:A,"&gt;="&amp;$B$3,LOG!A:A,"&lt;="&amp;$D$3,LOG!M:M,"NÃO ATENDE")+COUNTIFS(LOG!L:L,A18,LOG!A:A,"&gt;="&amp;$B$3,LOG!A:A,"&lt;="&amp;$D$3,LOG!M:M,"NÃO RESPONDE")+COUNTIFS(LOG!L:L,A18,LOG!A:A,"&gt;="&amp;$B$3,LOG!A:A,"&lt;="&amp;$D$3,LOG!M:M,"RECUSOU LIGAÇÃO")+COUNTIFS(LOG!L:L,A18,LOG!A:A,"&gt;="&amp;$B$3,LOG!A:A,"&lt;="&amp;$D$3,LOG!M:M,"PERDA / FECHOU LOJA"),COUNTIFS(LOG!L:L,A18,LOG!A:A,"&gt;="&amp;$B$3,LOG!A:A,"&lt;="&amp;$D$3,LOG!M:M,"NÃO ATENDE",LOG!B:B,$B$2)+COUNTIFS(LOG!L:L,A18,LOG!A:A,"&gt;="&amp;$B$3,LOG!A:A,"&lt;="&amp;$D$3,LOG!M:M,"NÃO RESPONDE",LOG!B:B,$B$2)+COUNTIFS(LOG!L:L,A18,LOG!A:A,"&gt;="&amp;$B$3,LOG!A:A,"&lt;="&amp;$D$3,LOG!M:M,"RECUSOU LIGAÇÃO",LOG!B:B,$B$2)+COUNTIFS(LOG!L:L,A18,LOG!A:A,"&gt;="&amp;$B$3,LOG!A:A,"&lt;="&amp;$D$3,LOG!M:M,"PERDA / FECHOU LOJA",LOG!B:B,$B$2))</f>
        <v/>
      </c>
    </row>
    <row r="19">
      <c r="A19" s="23" t="inlineStr">
        <is>
          <t>TOTAL</t>
        </is>
      </c>
      <c r="B19" s="23">
        <f>SUM(B12:B18)</f>
        <v/>
      </c>
      <c r="C19" s="23">
        <f>SUM(C12:C18)</f>
        <v/>
      </c>
      <c r="D19" s="23">
        <f>SUM(D12:D18)</f>
        <v/>
      </c>
      <c r="E19" s="23">
        <f>SUM(E12:E18)</f>
        <v/>
      </c>
    </row>
    <row r="22">
      <c r="A22" s="21" t="inlineStr">
        <is>
          <t>CRUZAMENTO TIPO × RESULTADO</t>
        </is>
      </c>
      <c r="B22" s="21" t="n"/>
      <c r="C22" s="21" t="n"/>
      <c r="D22" s="21" t="n"/>
      <c r="E22" s="21" t="n"/>
      <c r="F22" s="21" t="n"/>
      <c r="G22" s="21" t="n"/>
      <c r="H22" s="21" t="n"/>
      <c r="I22" s="21" t="n"/>
      <c r="J22" s="21" t="n"/>
      <c r="K22" s="21" t="n"/>
      <c r="L22" s="21" t="n"/>
      <c r="M22" s="21" t="n"/>
    </row>
    <row r="23">
      <c r="A23" s="8" t="inlineStr">
        <is>
          <t>TIPO \ RESULTADO</t>
        </is>
      </c>
      <c r="B23" s="8" t="inlineStr">
        <is>
          <t>EM ATENDIMENTO</t>
        </is>
      </c>
      <c r="C23" s="8" t="inlineStr">
        <is>
          <t>ORÇAMENTO</t>
        </is>
      </c>
      <c r="D23" s="8" t="inlineStr">
        <is>
          <t>CADASTRO</t>
        </is>
      </c>
      <c r="E23" s="8" t="inlineStr">
        <is>
          <t>VENDA / PEDIDO</t>
        </is>
      </c>
      <c r="F23" s="8" t="inlineStr">
        <is>
          <t>RELACIONAMENTO</t>
        </is>
      </c>
      <c r="G23" s="8" t="inlineStr">
        <is>
          <t>FOLLOW UP 7</t>
        </is>
      </c>
      <c r="H23" s="8" t="inlineStr">
        <is>
          <t>FOLLOW UP 15</t>
        </is>
      </c>
      <c r="I23" s="8" t="inlineStr">
        <is>
          <t>SUPORTE</t>
        </is>
      </c>
      <c r="J23" s="8" t="inlineStr">
        <is>
          <t>NÃO ATENDE</t>
        </is>
      </c>
      <c r="K23" s="8" t="inlineStr">
        <is>
          <t>NÃO RESPONDE</t>
        </is>
      </c>
      <c r="L23" s="8" t="inlineStr">
        <is>
          <t>RECUSOU LIGAÇÃO</t>
        </is>
      </c>
      <c r="M23" s="8" t="inlineStr">
        <is>
          <t>PERDA / FECHOU LOJA</t>
        </is>
      </c>
    </row>
    <row r="24">
      <c r="A24" s="2" t="inlineStr">
        <is>
          <t>PROSPECÇÃO</t>
        </is>
      </c>
      <c r="B24" s="22">
        <f>IF($B$2="TODOS",COUNTIFS(LOG!L:L,$A24,LOG!M:M,B$23,LOG!A:A,"&gt;="&amp;$B$3,LOG!A:A,"&lt;="&amp;$D$3),COUNTIFS(LOG!L:L,$A24,LOG!M:M,B$23,LOG!A:A,"&gt;="&amp;$B$3,LOG!A:A,"&lt;="&amp;$D$3,LOG!B:B,$B$2))</f>
        <v/>
      </c>
      <c r="C24" s="22">
        <f>IF($B$2="TODOS",COUNTIFS(LOG!L:L,$A24,LOG!M:M,C$23,LOG!A:A,"&gt;="&amp;$B$3,LOG!A:A,"&lt;="&amp;$D$3),COUNTIFS(LOG!L:L,$A24,LOG!M:M,C$23,LOG!A:A,"&gt;="&amp;$B$3,LOG!A:A,"&lt;="&amp;$D$3,LOG!B:B,$B$2))</f>
        <v/>
      </c>
      <c r="D24" s="22">
        <f>IF($B$2="TODOS",COUNTIFS(LOG!L:L,$A24,LOG!M:M,D$23,LOG!A:A,"&gt;="&amp;$B$3,LOG!A:A,"&lt;="&amp;$D$3),COUNTIFS(LOG!L:L,$A24,LOG!M:M,D$23,LOG!A:A,"&gt;="&amp;$B$3,LOG!A:A,"&lt;="&amp;$D$3,LOG!B:B,$B$2))</f>
        <v/>
      </c>
      <c r="E24" s="22">
        <f>IF($B$2="TODOS",COUNTIFS(LOG!L:L,$A24,LOG!M:M,E$23,LOG!A:A,"&gt;="&amp;$B$3,LOG!A:A,"&lt;="&amp;$D$3),COUNTIFS(LOG!L:L,$A24,LOG!M:M,E$23,LOG!A:A,"&gt;="&amp;$B$3,LOG!A:A,"&lt;="&amp;$D$3,LOG!B:B,$B$2))</f>
        <v/>
      </c>
      <c r="F24" s="22">
        <f>IF($B$2="TODOS",COUNTIFS(LOG!L:L,$A24,LOG!M:M,F$23,LOG!A:A,"&gt;="&amp;$B$3,LOG!A:A,"&lt;="&amp;$D$3),COUNTIFS(LOG!L:L,$A24,LOG!M:M,F$23,LOG!A:A,"&gt;="&amp;$B$3,LOG!A:A,"&lt;="&amp;$D$3,LOG!B:B,$B$2))</f>
        <v/>
      </c>
      <c r="G24" s="22">
        <f>IF($B$2="TODOS",COUNTIFS(LOG!L:L,$A24,LOG!M:M,G$23,LOG!A:A,"&gt;="&amp;$B$3,LOG!A:A,"&lt;="&amp;$D$3),COUNTIFS(LOG!L:L,$A24,LOG!M:M,G$23,LOG!A:A,"&gt;="&amp;$B$3,LOG!A:A,"&lt;="&amp;$D$3,LOG!B:B,$B$2))</f>
        <v/>
      </c>
      <c r="H24" s="22">
        <f>IF($B$2="TODOS",COUNTIFS(LOG!L:L,$A24,LOG!M:M,H$23,LOG!A:A,"&gt;="&amp;$B$3,LOG!A:A,"&lt;="&amp;$D$3),COUNTIFS(LOG!L:L,$A24,LOG!M:M,H$23,LOG!A:A,"&gt;="&amp;$B$3,LOG!A:A,"&lt;="&amp;$D$3,LOG!B:B,$B$2))</f>
        <v/>
      </c>
      <c r="I24" s="22">
        <f>IF($B$2="TODOS",COUNTIFS(LOG!L:L,$A24,LOG!M:M,I$23,LOG!A:A,"&gt;="&amp;$B$3,LOG!A:A,"&lt;="&amp;$D$3),COUNTIFS(LOG!L:L,$A24,LOG!M:M,I$23,LOG!A:A,"&gt;="&amp;$B$3,LOG!A:A,"&lt;="&amp;$D$3,LOG!B:B,$B$2))</f>
        <v/>
      </c>
      <c r="J24" s="22">
        <f>IF($B$2="TODOS",COUNTIFS(LOG!L:L,$A24,LOG!M:M,J$23,LOG!A:A,"&gt;="&amp;$B$3,LOG!A:A,"&lt;="&amp;$D$3),COUNTIFS(LOG!L:L,$A24,LOG!M:M,J$23,LOG!A:A,"&gt;="&amp;$B$3,LOG!A:A,"&lt;="&amp;$D$3,LOG!B:B,$B$2))</f>
        <v/>
      </c>
      <c r="K24" s="22">
        <f>IF($B$2="TODOS",COUNTIFS(LOG!L:L,$A24,LOG!M:M,K$23,LOG!A:A,"&gt;="&amp;$B$3,LOG!A:A,"&lt;="&amp;$D$3),COUNTIFS(LOG!L:L,$A24,LOG!M:M,K$23,LOG!A:A,"&gt;="&amp;$B$3,LOG!A:A,"&lt;="&amp;$D$3,LOG!B:B,$B$2))</f>
        <v/>
      </c>
      <c r="L24" s="22">
        <f>IF($B$2="TODOS",COUNTIFS(LOG!L:L,$A24,LOG!M:M,L$23,LOG!A:A,"&gt;="&amp;$B$3,LOG!A:A,"&lt;="&amp;$D$3),COUNTIFS(LOG!L:L,$A24,LOG!M:M,L$23,LOG!A:A,"&gt;="&amp;$B$3,LOG!A:A,"&lt;="&amp;$D$3,LOG!B:B,$B$2))</f>
        <v/>
      </c>
      <c r="M24" s="22">
        <f>IF($B$2="TODOS",COUNTIFS(LOG!L:L,$A24,LOG!M:M,M$23,LOG!A:A,"&gt;="&amp;$B$3,LOG!A:A,"&lt;="&amp;$D$3),COUNTIFS(LOG!L:L,$A24,LOG!M:M,M$23,LOG!A:A,"&gt;="&amp;$B$3,LOG!A:A,"&lt;="&amp;$D$3,LOG!B:B,$B$2))</f>
        <v/>
      </c>
    </row>
    <row r="25">
      <c r="A25" s="2" t="inlineStr">
        <is>
          <t>NEGOCIAÇÃO</t>
        </is>
      </c>
      <c r="B25" s="22">
        <f>IF($B$2="TODOS",COUNTIFS(LOG!L:L,$A25,LOG!M:M,B$23,LOG!A:A,"&gt;="&amp;$B$3,LOG!A:A,"&lt;="&amp;$D$3),COUNTIFS(LOG!L:L,$A25,LOG!M:M,B$23,LOG!A:A,"&gt;="&amp;$B$3,LOG!A:A,"&lt;="&amp;$D$3,LOG!B:B,$B$2))</f>
        <v/>
      </c>
      <c r="C25" s="22">
        <f>IF($B$2="TODOS",COUNTIFS(LOG!L:L,$A25,LOG!M:M,C$23,LOG!A:A,"&gt;="&amp;$B$3,LOG!A:A,"&lt;="&amp;$D$3),COUNTIFS(LOG!L:L,$A25,LOG!M:M,C$23,LOG!A:A,"&gt;="&amp;$B$3,LOG!A:A,"&lt;="&amp;$D$3,LOG!B:B,$B$2))</f>
        <v/>
      </c>
      <c r="D25" s="22">
        <f>IF($B$2="TODOS",COUNTIFS(LOG!L:L,$A25,LOG!M:M,D$23,LOG!A:A,"&gt;="&amp;$B$3,LOG!A:A,"&lt;="&amp;$D$3),COUNTIFS(LOG!L:L,$A25,LOG!M:M,D$23,LOG!A:A,"&gt;="&amp;$B$3,LOG!A:A,"&lt;="&amp;$D$3,LOG!B:B,$B$2))</f>
        <v/>
      </c>
      <c r="E25" s="22">
        <f>IF($B$2="TODOS",COUNTIFS(LOG!L:L,$A25,LOG!M:M,E$23,LOG!A:A,"&gt;="&amp;$B$3,LOG!A:A,"&lt;="&amp;$D$3),COUNTIFS(LOG!L:L,$A25,LOG!M:M,E$23,LOG!A:A,"&gt;="&amp;$B$3,LOG!A:A,"&lt;="&amp;$D$3,LOG!B:B,$B$2))</f>
        <v/>
      </c>
      <c r="F25" s="22">
        <f>IF($B$2="TODOS",COUNTIFS(LOG!L:L,$A25,LOG!M:M,F$23,LOG!A:A,"&gt;="&amp;$B$3,LOG!A:A,"&lt;="&amp;$D$3),COUNTIFS(LOG!L:L,$A25,LOG!M:M,F$23,LOG!A:A,"&gt;="&amp;$B$3,LOG!A:A,"&lt;="&amp;$D$3,LOG!B:B,$B$2))</f>
        <v/>
      </c>
      <c r="G25" s="22">
        <f>IF($B$2="TODOS",COUNTIFS(LOG!L:L,$A25,LOG!M:M,G$23,LOG!A:A,"&gt;="&amp;$B$3,LOG!A:A,"&lt;="&amp;$D$3),COUNTIFS(LOG!L:L,$A25,LOG!M:M,G$23,LOG!A:A,"&gt;="&amp;$B$3,LOG!A:A,"&lt;="&amp;$D$3,LOG!B:B,$B$2))</f>
        <v/>
      </c>
      <c r="H25" s="22">
        <f>IF($B$2="TODOS",COUNTIFS(LOG!L:L,$A25,LOG!M:M,H$23,LOG!A:A,"&gt;="&amp;$B$3,LOG!A:A,"&lt;="&amp;$D$3),COUNTIFS(LOG!L:L,$A25,LOG!M:M,H$23,LOG!A:A,"&gt;="&amp;$B$3,LOG!A:A,"&lt;="&amp;$D$3,LOG!B:B,$B$2))</f>
        <v/>
      </c>
      <c r="I25" s="22">
        <f>IF($B$2="TODOS",COUNTIFS(LOG!L:L,$A25,LOG!M:M,I$23,LOG!A:A,"&gt;="&amp;$B$3,LOG!A:A,"&lt;="&amp;$D$3),COUNTIFS(LOG!L:L,$A25,LOG!M:M,I$23,LOG!A:A,"&gt;="&amp;$B$3,LOG!A:A,"&lt;="&amp;$D$3,LOG!B:B,$B$2))</f>
        <v/>
      </c>
      <c r="J25" s="22">
        <f>IF($B$2="TODOS",COUNTIFS(LOG!L:L,$A25,LOG!M:M,J$23,LOG!A:A,"&gt;="&amp;$B$3,LOG!A:A,"&lt;="&amp;$D$3),COUNTIFS(LOG!L:L,$A25,LOG!M:M,J$23,LOG!A:A,"&gt;="&amp;$B$3,LOG!A:A,"&lt;="&amp;$D$3,LOG!B:B,$B$2))</f>
        <v/>
      </c>
      <c r="K25" s="22">
        <f>IF($B$2="TODOS",COUNTIFS(LOG!L:L,$A25,LOG!M:M,K$23,LOG!A:A,"&gt;="&amp;$B$3,LOG!A:A,"&lt;="&amp;$D$3),COUNTIFS(LOG!L:L,$A25,LOG!M:M,K$23,LOG!A:A,"&gt;="&amp;$B$3,LOG!A:A,"&lt;="&amp;$D$3,LOG!B:B,$B$2))</f>
        <v/>
      </c>
      <c r="L25" s="22">
        <f>IF($B$2="TODOS",COUNTIFS(LOG!L:L,$A25,LOG!M:M,L$23,LOG!A:A,"&gt;="&amp;$B$3,LOG!A:A,"&lt;="&amp;$D$3),COUNTIFS(LOG!L:L,$A25,LOG!M:M,L$23,LOG!A:A,"&gt;="&amp;$B$3,LOG!A:A,"&lt;="&amp;$D$3,LOG!B:B,$B$2))</f>
        <v/>
      </c>
      <c r="M25" s="22">
        <f>IF($B$2="TODOS",COUNTIFS(LOG!L:L,$A25,LOG!M:M,M$23,LOG!A:A,"&gt;="&amp;$B$3,LOG!A:A,"&lt;="&amp;$D$3),COUNTIFS(LOG!L:L,$A25,LOG!M:M,M$23,LOG!A:A,"&gt;="&amp;$B$3,LOG!A:A,"&lt;="&amp;$D$3,LOG!B:B,$B$2))</f>
        <v/>
      </c>
    </row>
    <row r="26">
      <c r="A26" s="2" t="inlineStr">
        <is>
          <t>FOLLOW UP</t>
        </is>
      </c>
      <c r="B26" s="22">
        <f>IF($B$2="TODOS",COUNTIFS(LOG!L:L,$A26,LOG!M:M,B$23,LOG!A:A,"&gt;="&amp;$B$3,LOG!A:A,"&lt;="&amp;$D$3),COUNTIFS(LOG!L:L,$A26,LOG!M:M,B$23,LOG!A:A,"&gt;="&amp;$B$3,LOG!A:A,"&lt;="&amp;$D$3,LOG!B:B,$B$2))</f>
        <v/>
      </c>
      <c r="C26" s="22">
        <f>IF($B$2="TODOS",COUNTIFS(LOG!L:L,$A26,LOG!M:M,C$23,LOG!A:A,"&gt;="&amp;$B$3,LOG!A:A,"&lt;="&amp;$D$3),COUNTIFS(LOG!L:L,$A26,LOG!M:M,C$23,LOG!A:A,"&gt;="&amp;$B$3,LOG!A:A,"&lt;="&amp;$D$3,LOG!B:B,$B$2))</f>
        <v/>
      </c>
      <c r="D26" s="22">
        <f>IF($B$2="TODOS",COUNTIFS(LOG!L:L,$A26,LOG!M:M,D$23,LOG!A:A,"&gt;="&amp;$B$3,LOG!A:A,"&lt;="&amp;$D$3),COUNTIFS(LOG!L:L,$A26,LOG!M:M,D$23,LOG!A:A,"&gt;="&amp;$B$3,LOG!A:A,"&lt;="&amp;$D$3,LOG!B:B,$B$2))</f>
        <v/>
      </c>
      <c r="E26" s="22">
        <f>IF($B$2="TODOS",COUNTIFS(LOG!L:L,$A26,LOG!M:M,E$23,LOG!A:A,"&gt;="&amp;$B$3,LOG!A:A,"&lt;="&amp;$D$3),COUNTIFS(LOG!L:L,$A26,LOG!M:M,E$23,LOG!A:A,"&gt;="&amp;$B$3,LOG!A:A,"&lt;="&amp;$D$3,LOG!B:B,$B$2))</f>
        <v/>
      </c>
      <c r="F26" s="22">
        <f>IF($B$2="TODOS",COUNTIFS(LOG!L:L,$A26,LOG!M:M,F$23,LOG!A:A,"&gt;="&amp;$B$3,LOG!A:A,"&lt;="&amp;$D$3),COUNTIFS(LOG!L:L,$A26,LOG!M:M,F$23,LOG!A:A,"&gt;="&amp;$B$3,LOG!A:A,"&lt;="&amp;$D$3,LOG!B:B,$B$2))</f>
        <v/>
      </c>
      <c r="G26" s="22">
        <f>IF($B$2="TODOS",COUNTIFS(LOG!L:L,$A26,LOG!M:M,G$23,LOG!A:A,"&gt;="&amp;$B$3,LOG!A:A,"&lt;="&amp;$D$3),COUNTIFS(LOG!L:L,$A26,LOG!M:M,G$23,LOG!A:A,"&gt;="&amp;$B$3,LOG!A:A,"&lt;="&amp;$D$3,LOG!B:B,$B$2))</f>
        <v/>
      </c>
      <c r="H26" s="22">
        <f>IF($B$2="TODOS",COUNTIFS(LOG!L:L,$A26,LOG!M:M,H$23,LOG!A:A,"&gt;="&amp;$B$3,LOG!A:A,"&lt;="&amp;$D$3),COUNTIFS(LOG!L:L,$A26,LOG!M:M,H$23,LOG!A:A,"&gt;="&amp;$B$3,LOG!A:A,"&lt;="&amp;$D$3,LOG!B:B,$B$2))</f>
        <v/>
      </c>
      <c r="I26" s="22">
        <f>IF($B$2="TODOS",COUNTIFS(LOG!L:L,$A26,LOG!M:M,I$23,LOG!A:A,"&gt;="&amp;$B$3,LOG!A:A,"&lt;="&amp;$D$3),COUNTIFS(LOG!L:L,$A26,LOG!M:M,I$23,LOG!A:A,"&gt;="&amp;$B$3,LOG!A:A,"&lt;="&amp;$D$3,LOG!B:B,$B$2))</f>
        <v/>
      </c>
      <c r="J26" s="22">
        <f>IF($B$2="TODOS",COUNTIFS(LOG!L:L,$A26,LOG!M:M,J$23,LOG!A:A,"&gt;="&amp;$B$3,LOG!A:A,"&lt;="&amp;$D$3),COUNTIFS(LOG!L:L,$A26,LOG!M:M,J$23,LOG!A:A,"&gt;="&amp;$B$3,LOG!A:A,"&lt;="&amp;$D$3,LOG!B:B,$B$2))</f>
        <v/>
      </c>
      <c r="K26" s="22">
        <f>IF($B$2="TODOS",COUNTIFS(LOG!L:L,$A26,LOG!M:M,K$23,LOG!A:A,"&gt;="&amp;$B$3,LOG!A:A,"&lt;="&amp;$D$3),COUNTIFS(LOG!L:L,$A26,LOG!M:M,K$23,LOG!A:A,"&gt;="&amp;$B$3,LOG!A:A,"&lt;="&amp;$D$3,LOG!B:B,$B$2))</f>
        <v/>
      </c>
      <c r="L26" s="22">
        <f>IF($B$2="TODOS",COUNTIFS(LOG!L:L,$A26,LOG!M:M,L$23,LOG!A:A,"&gt;="&amp;$B$3,LOG!A:A,"&lt;="&amp;$D$3),COUNTIFS(LOG!L:L,$A26,LOG!M:M,L$23,LOG!A:A,"&gt;="&amp;$B$3,LOG!A:A,"&lt;="&amp;$D$3,LOG!B:B,$B$2))</f>
        <v/>
      </c>
      <c r="M26" s="22">
        <f>IF($B$2="TODOS",COUNTIFS(LOG!L:L,$A26,LOG!M:M,M$23,LOG!A:A,"&gt;="&amp;$B$3,LOG!A:A,"&lt;="&amp;$D$3),COUNTIFS(LOG!L:L,$A26,LOG!M:M,M$23,LOG!A:A,"&gt;="&amp;$B$3,LOG!A:A,"&lt;="&amp;$D$3,LOG!B:B,$B$2))</f>
        <v/>
      </c>
    </row>
    <row r="27">
      <c r="A27" s="2" t="inlineStr">
        <is>
          <t>ATEND. CLIENTES ATIVOS</t>
        </is>
      </c>
      <c r="B27" s="22">
        <f>IF($B$2="TODOS",COUNTIFS(LOG!L:L,$A27,LOG!M:M,B$23,LOG!A:A,"&gt;="&amp;$B$3,LOG!A:A,"&lt;="&amp;$D$3),COUNTIFS(LOG!L:L,$A27,LOG!M:M,B$23,LOG!A:A,"&gt;="&amp;$B$3,LOG!A:A,"&lt;="&amp;$D$3,LOG!B:B,$B$2))</f>
        <v/>
      </c>
      <c r="C27" s="22">
        <f>IF($B$2="TODOS",COUNTIFS(LOG!L:L,$A27,LOG!M:M,C$23,LOG!A:A,"&gt;="&amp;$B$3,LOG!A:A,"&lt;="&amp;$D$3),COUNTIFS(LOG!L:L,$A27,LOG!M:M,C$23,LOG!A:A,"&gt;="&amp;$B$3,LOG!A:A,"&lt;="&amp;$D$3,LOG!B:B,$B$2))</f>
        <v/>
      </c>
      <c r="D27" s="22">
        <f>IF($B$2="TODOS",COUNTIFS(LOG!L:L,$A27,LOG!M:M,D$23,LOG!A:A,"&gt;="&amp;$B$3,LOG!A:A,"&lt;="&amp;$D$3),COUNTIFS(LOG!L:L,$A27,LOG!M:M,D$23,LOG!A:A,"&gt;="&amp;$B$3,LOG!A:A,"&lt;="&amp;$D$3,LOG!B:B,$B$2))</f>
        <v/>
      </c>
      <c r="E27" s="22">
        <f>IF($B$2="TODOS",COUNTIFS(LOG!L:L,$A27,LOG!M:M,E$23,LOG!A:A,"&gt;="&amp;$B$3,LOG!A:A,"&lt;="&amp;$D$3),COUNTIFS(LOG!L:L,$A27,LOG!M:M,E$23,LOG!A:A,"&gt;="&amp;$B$3,LOG!A:A,"&lt;="&amp;$D$3,LOG!B:B,$B$2))</f>
        <v/>
      </c>
      <c r="F27" s="22">
        <f>IF($B$2="TODOS",COUNTIFS(LOG!L:L,$A27,LOG!M:M,F$23,LOG!A:A,"&gt;="&amp;$B$3,LOG!A:A,"&lt;="&amp;$D$3),COUNTIFS(LOG!L:L,$A27,LOG!M:M,F$23,LOG!A:A,"&gt;="&amp;$B$3,LOG!A:A,"&lt;="&amp;$D$3,LOG!B:B,$B$2))</f>
        <v/>
      </c>
      <c r="G27" s="22">
        <f>IF($B$2="TODOS",COUNTIFS(LOG!L:L,$A27,LOG!M:M,G$23,LOG!A:A,"&gt;="&amp;$B$3,LOG!A:A,"&lt;="&amp;$D$3),COUNTIFS(LOG!L:L,$A27,LOG!M:M,G$23,LOG!A:A,"&gt;="&amp;$B$3,LOG!A:A,"&lt;="&amp;$D$3,LOG!B:B,$B$2))</f>
        <v/>
      </c>
      <c r="H27" s="22">
        <f>IF($B$2="TODOS",COUNTIFS(LOG!L:L,$A27,LOG!M:M,H$23,LOG!A:A,"&gt;="&amp;$B$3,LOG!A:A,"&lt;="&amp;$D$3),COUNTIFS(LOG!L:L,$A27,LOG!M:M,H$23,LOG!A:A,"&gt;="&amp;$B$3,LOG!A:A,"&lt;="&amp;$D$3,LOG!B:B,$B$2))</f>
        <v/>
      </c>
      <c r="I27" s="22">
        <f>IF($B$2="TODOS",COUNTIFS(LOG!L:L,$A27,LOG!M:M,I$23,LOG!A:A,"&gt;="&amp;$B$3,LOG!A:A,"&lt;="&amp;$D$3),COUNTIFS(LOG!L:L,$A27,LOG!M:M,I$23,LOG!A:A,"&gt;="&amp;$B$3,LOG!A:A,"&lt;="&amp;$D$3,LOG!B:B,$B$2))</f>
        <v/>
      </c>
      <c r="J27" s="22">
        <f>IF($B$2="TODOS",COUNTIFS(LOG!L:L,$A27,LOG!M:M,J$23,LOG!A:A,"&gt;="&amp;$B$3,LOG!A:A,"&lt;="&amp;$D$3),COUNTIFS(LOG!L:L,$A27,LOG!M:M,J$23,LOG!A:A,"&gt;="&amp;$B$3,LOG!A:A,"&lt;="&amp;$D$3,LOG!B:B,$B$2))</f>
        <v/>
      </c>
      <c r="K27" s="22">
        <f>IF($B$2="TODOS",COUNTIFS(LOG!L:L,$A27,LOG!M:M,K$23,LOG!A:A,"&gt;="&amp;$B$3,LOG!A:A,"&lt;="&amp;$D$3),COUNTIFS(LOG!L:L,$A27,LOG!M:M,K$23,LOG!A:A,"&gt;="&amp;$B$3,LOG!A:A,"&lt;="&amp;$D$3,LOG!B:B,$B$2))</f>
        <v/>
      </c>
      <c r="L27" s="22">
        <f>IF($B$2="TODOS",COUNTIFS(LOG!L:L,$A27,LOG!M:M,L$23,LOG!A:A,"&gt;="&amp;$B$3,LOG!A:A,"&lt;="&amp;$D$3),COUNTIFS(LOG!L:L,$A27,LOG!M:M,L$23,LOG!A:A,"&gt;="&amp;$B$3,LOG!A:A,"&lt;="&amp;$D$3,LOG!B:B,$B$2))</f>
        <v/>
      </c>
      <c r="M27" s="22">
        <f>IF($B$2="TODOS",COUNTIFS(LOG!L:L,$A27,LOG!M:M,M$23,LOG!A:A,"&gt;="&amp;$B$3,LOG!A:A,"&lt;="&amp;$D$3),COUNTIFS(LOG!L:L,$A27,LOG!M:M,M$23,LOG!A:A,"&gt;="&amp;$B$3,LOG!A:A,"&lt;="&amp;$D$3,LOG!B:B,$B$2))</f>
        <v/>
      </c>
    </row>
    <row r="28">
      <c r="A28" s="2" t="inlineStr">
        <is>
          <t>ATEND. CLIENTES INATIVOS</t>
        </is>
      </c>
      <c r="B28" s="22">
        <f>IF($B$2="TODOS",COUNTIFS(LOG!L:L,$A28,LOG!M:M,B$23,LOG!A:A,"&gt;="&amp;$B$3,LOG!A:A,"&lt;="&amp;$D$3),COUNTIFS(LOG!L:L,$A28,LOG!M:M,B$23,LOG!A:A,"&gt;="&amp;$B$3,LOG!A:A,"&lt;="&amp;$D$3,LOG!B:B,$B$2))</f>
        <v/>
      </c>
      <c r="C28" s="22">
        <f>IF($B$2="TODOS",COUNTIFS(LOG!L:L,$A28,LOG!M:M,C$23,LOG!A:A,"&gt;="&amp;$B$3,LOG!A:A,"&lt;="&amp;$D$3),COUNTIFS(LOG!L:L,$A28,LOG!M:M,C$23,LOG!A:A,"&gt;="&amp;$B$3,LOG!A:A,"&lt;="&amp;$D$3,LOG!B:B,$B$2))</f>
        <v/>
      </c>
      <c r="D28" s="22">
        <f>IF($B$2="TODOS",COUNTIFS(LOG!L:L,$A28,LOG!M:M,D$23,LOG!A:A,"&gt;="&amp;$B$3,LOG!A:A,"&lt;="&amp;$D$3),COUNTIFS(LOG!L:L,$A28,LOG!M:M,D$23,LOG!A:A,"&gt;="&amp;$B$3,LOG!A:A,"&lt;="&amp;$D$3,LOG!B:B,$B$2))</f>
        <v/>
      </c>
      <c r="E28" s="22">
        <f>IF($B$2="TODOS",COUNTIFS(LOG!L:L,$A28,LOG!M:M,E$23,LOG!A:A,"&gt;="&amp;$B$3,LOG!A:A,"&lt;="&amp;$D$3),COUNTIFS(LOG!L:L,$A28,LOG!M:M,E$23,LOG!A:A,"&gt;="&amp;$B$3,LOG!A:A,"&lt;="&amp;$D$3,LOG!B:B,$B$2))</f>
        <v/>
      </c>
      <c r="F28" s="22">
        <f>IF($B$2="TODOS",COUNTIFS(LOG!L:L,$A28,LOG!M:M,F$23,LOG!A:A,"&gt;="&amp;$B$3,LOG!A:A,"&lt;="&amp;$D$3),COUNTIFS(LOG!L:L,$A28,LOG!M:M,F$23,LOG!A:A,"&gt;="&amp;$B$3,LOG!A:A,"&lt;="&amp;$D$3,LOG!B:B,$B$2))</f>
        <v/>
      </c>
      <c r="G28" s="22">
        <f>IF($B$2="TODOS",COUNTIFS(LOG!L:L,$A28,LOG!M:M,G$23,LOG!A:A,"&gt;="&amp;$B$3,LOG!A:A,"&lt;="&amp;$D$3),COUNTIFS(LOG!L:L,$A28,LOG!M:M,G$23,LOG!A:A,"&gt;="&amp;$B$3,LOG!A:A,"&lt;="&amp;$D$3,LOG!B:B,$B$2))</f>
        <v/>
      </c>
      <c r="H28" s="22">
        <f>IF($B$2="TODOS",COUNTIFS(LOG!L:L,$A28,LOG!M:M,H$23,LOG!A:A,"&gt;="&amp;$B$3,LOG!A:A,"&lt;="&amp;$D$3),COUNTIFS(LOG!L:L,$A28,LOG!M:M,H$23,LOG!A:A,"&gt;="&amp;$B$3,LOG!A:A,"&lt;="&amp;$D$3,LOG!B:B,$B$2))</f>
        <v/>
      </c>
      <c r="I28" s="22">
        <f>IF($B$2="TODOS",COUNTIFS(LOG!L:L,$A28,LOG!M:M,I$23,LOG!A:A,"&gt;="&amp;$B$3,LOG!A:A,"&lt;="&amp;$D$3),COUNTIFS(LOG!L:L,$A28,LOG!M:M,I$23,LOG!A:A,"&gt;="&amp;$B$3,LOG!A:A,"&lt;="&amp;$D$3,LOG!B:B,$B$2))</f>
        <v/>
      </c>
      <c r="J28" s="22">
        <f>IF($B$2="TODOS",COUNTIFS(LOG!L:L,$A28,LOG!M:M,J$23,LOG!A:A,"&gt;="&amp;$B$3,LOG!A:A,"&lt;="&amp;$D$3),COUNTIFS(LOG!L:L,$A28,LOG!M:M,J$23,LOG!A:A,"&gt;="&amp;$B$3,LOG!A:A,"&lt;="&amp;$D$3,LOG!B:B,$B$2))</f>
        <v/>
      </c>
      <c r="K28" s="22">
        <f>IF($B$2="TODOS",COUNTIFS(LOG!L:L,$A28,LOG!M:M,K$23,LOG!A:A,"&gt;="&amp;$B$3,LOG!A:A,"&lt;="&amp;$D$3),COUNTIFS(LOG!L:L,$A28,LOG!M:M,K$23,LOG!A:A,"&gt;="&amp;$B$3,LOG!A:A,"&lt;="&amp;$D$3,LOG!B:B,$B$2))</f>
        <v/>
      </c>
      <c r="L28" s="22">
        <f>IF($B$2="TODOS",COUNTIFS(LOG!L:L,$A28,LOG!M:M,L$23,LOG!A:A,"&gt;="&amp;$B$3,LOG!A:A,"&lt;="&amp;$D$3),COUNTIFS(LOG!L:L,$A28,LOG!M:M,L$23,LOG!A:A,"&gt;="&amp;$B$3,LOG!A:A,"&lt;="&amp;$D$3,LOG!B:B,$B$2))</f>
        <v/>
      </c>
      <c r="M28" s="22">
        <f>IF($B$2="TODOS",COUNTIFS(LOG!L:L,$A28,LOG!M:M,M$23,LOG!A:A,"&gt;="&amp;$B$3,LOG!A:A,"&lt;="&amp;$D$3),COUNTIFS(LOG!L:L,$A28,LOG!M:M,M$23,LOG!A:A,"&gt;="&amp;$B$3,LOG!A:A,"&lt;="&amp;$D$3,LOG!B:B,$B$2))</f>
        <v/>
      </c>
    </row>
    <row r="29">
      <c r="A29" s="2" t="inlineStr">
        <is>
          <t>PÓS-VENDA / RELACIONAMENTO</t>
        </is>
      </c>
      <c r="B29" s="22">
        <f>IF($B$2="TODOS",COUNTIFS(LOG!L:L,$A29,LOG!M:M,B$23,LOG!A:A,"&gt;="&amp;$B$3,LOG!A:A,"&lt;="&amp;$D$3),COUNTIFS(LOG!L:L,$A29,LOG!M:M,B$23,LOG!A:A,"&gt;="&amp;$B$3,LOG!A:A,"&lt;="&amp;$D$3,LOG!B:B,$B$2))</f>
        <v/>
      </c>
      <c r="C29" s="22">
        <f>IF($B$2="TODOS",COUNTIFS(LOG!L:L,$A29,LOG!M:M,C$23,LOG!A:A,"&gt;="&amp;$B$3,LOG!A:A,"&lt;="&amp;$D$3),COUNTIFS(LOG!L:L,$A29,LOG!M:M,C$23,LOG!A:A,"&gt;="&amp;$B$3,LOG!A:A,"&lt;="&amp;$D$3,LOG!B:B,$B$2))</f>
        <v/>
      </c>
      <c r="D29" s="22">
        <f>IF($B$2="TODOS",COUNTIFS(LOG!L:L,$A29,LOG!M:M,D$23,LOG!A:A,"&gt;="&amp;$B$3,LOG!A:A,"&lt;="&amp;$D$3),COUNTIFS(LOG!L:L,$A29,LOG!M:M,D$23,LOG!A:A,"&gt;="&amp;$B$3,LOG!A:A,"&lt;="&amp;$D$3,LOG!B:B,$B$2))</f>
        <v/>
      </c>
      <c r="E29" s="22">
        <f>IF($B$2="TODOS",COUNTIFS(LOG!L:L,$A29,LOG!M:M,E$23,LOG!A:A,"&gt;="&amp;$B$3,LOG!A:A,"&lt;="&amp;$D$3),COUNTIFS(LOG!L:L,$A29,LOG!M:M,E$23,LOG!A:A,"&gt;="&amp;$B$3,LOG!A:A,"&lt;="&amp;$D$3,LOG!B:B,$B$2))</f>
        <v/>
      </c>
      <c r="F29" s="22">
        <f>IF($B$2="TODOS",COUNTIFS(LOG!L:L,$A29,LOG!M:M,F$23,LOG!A:A,"&gt;="&amp;$B$3,LOG!A:A,"&lt;="&amp;$D$3),COUNTIFS(LOG!L:L,$A29,LOG!M:M,F$23,LOG!A:A,"&gt;="&amp;$B$3,LOG!A:A,"&lt;="&amp;$D$3,LOG!B:B,$B$2))</f>
        <v/>
      </c>
      <c r="G29" s="22">
        <f>IF($B$2="TODOS",COUNTIFS(LOG!L:L,$A29,LOG!M:M,G$23,LOG!A:A,"&gt;="&amp;$B$3,LOG!A:A,"&lt;="&amp;$D$3),COUNTIFS(LOG!L:L,$A29,LOG!M:M,G$23,LOG!A:A,"&gt;="&amp;$B$3,LOG!A:A,"&lt;="&amp;$D$3,LOG!B:B,$B$2))</f>
        <v/>
      </c>
      <c r="H29" s="22">
        <f>IF($B$2="TODOS",COUNTIFS(LOG!L:L,$A29,LOG!M:M,H$23,LOG!A:A,"&gt;="&amp;$B$3,LOG!A:A,"&lt;="&amp;$D$3),COUNTIFS(LOG!L:L,$A29,LOG!M:M,H$23,LOG!A:A,"&gt;="&amp;$B$3,LOG!A:A,"&lt;="&amp;$D$3,LOG!B:B,$B$2))</f>
        <v/>
      </c>
      <c r="I29" s="22">
        <f>IF($B$2="TODOS",COUNTIFS(LOG!L:L,$A29,LOG!M:M,I$23,LOG!A:A,"&gt;="&amp;$B$3,LOG!A:A,"&lt;="&amp;$D$3),COUNTIFS(LOG!L:L,$A29,LOG!M:M,I$23,LOG!A:A,"&gt;="&amp;$B$3,LOG!A:A,"&lt;="&amp;$D$3,LOG!B:B,$B$2))</f>
        <v/>
      </c>
      <c r="J29" s="22">
        <f>IF($B$2="TODOS",COUNTIFS(LOG!L:L,$A29,LOG!M:M,J$23,LOG!A:A,"&gt;="&amp;$B$3,LOG!A:A,"&lt;="&amp;$D$3),COUNTIFS(LOG!L:L,$A29,LOG!M:M,J$23,LOG!A:A,"&gt;="&amp;$B$3,LOG!A:A,"&lt;="&amp;$D$3,LOG!B:B,$B$2))</f>
        <v/>
      </c>
      <c r="K29" s="22">
        <f>IF($B$2="TODOS",COUNTIFS(LOG!L:L,$A29,LOG!M:M,K$23,LOG!A:A,"&gt;="&amp;$B$3,LOG!A:A,"&lt;="&amp;$D$3),COUNTIFS(LOG!L:L,$A29,LOG!M:M,K$23,LOG!A:A,"&gt;="&amp;$B$3,LOG!A:A,"&lt;="&amp;$D$3,LOG!B:B,$B$2))</f>
        <v/>
      </c>
      <c r="L29" s="22">
        <f>IF($B$2="TODOS",COUNTIFS(LOG!L:L,$A29,LOG!M:M,L$23,LOG!A:A,"&gt;="&amp;$B$3,LOG!A:A,"&lt;="&amp;$D$3),COUNTIFS(LOG!L:L,$A29,LOG!M:M,L$23,LOG!A:A,"&gt;="&amp;$B$3,LOG!A:A,"&lt;="&amp;$D$3,LOG!B:B,$B$2))</f>
        <v/>
      </c>
      <c r="M29" s="22">
        <f>IF($B$2="TODOS",COUNTIFS(LOG!L:L,$A29,LOG!M:M,M$23,LOG!A:A,"&gt;="&amp;$B$3,LOG!A:A,"&lt;="&amp;$D$3),COUNTIFS(LOG!L:L,$A29,LOG!M:M,M$23,LOG!A:A,"&gt;="&amp;$B$3,LOG!A:A,"&lt;="&amp;$D$3,LOG!B:B,$B$2))</f>
        <v/>
      </c>
    </row>
    <row r="30">
      <c r="A30" s="2" t="inlineStr">
        <is>
          <t>MOTIVO / PAROU DE COMPRAR</t>
        </is>
      </c>
      <c r="B30" s="22">
        <f>IF($B$2="TODOS",COUNTIFS(LOG!L:L,$A30,LOG!M:M,B$23,LOG!A:A,"&gt;="&amp;$B$3,LOG!A:A,"&lt;="&amp;$D$3),COUNTIFS(LOG!L:L,$A30,LOG!M:M,B$23,LOG!A:A,"&gt;="&amp;$B$3,LOG!A:A,"&lt;="&amp;$D$3,LOG!B:B,$B$2))</f>
        <v/>
      </c>
      <c r="C30" s="22">
        <f>IF($B$2="TODOS",COUNTIFS(LOG!L:L,$A30,LOG!M:M,C$23,LOG!A:A,"&gt;="&amp;$B$3,LOG!A:A,"&lt;="&amp;$D$3),COUNTIFS(LOG!L:L,$A30,LOG!M:M,C$23,LOG!A:A,"&gt;="&amp;$B$3,LOG!A:A,"&lt;="&amp;$D$3,LOG!B:B,$B$2))</f>
        <v/>
      </c>
      <c r="D30" s="22">
        <f>IF($B$2="TODOS",COUNTIFS(LOG!L:L,$A30,LOG!M:M,D$23,LOG!A:A,"&gt;="&amp;$B$3,LOG!A:A,"&lt;="&amp;$D$3),COUNTIFS(LOG!L:L,$A30,LOG!M:M,D$23,LOG!A:A,"&gt;="&amp;$B$3,LOG!A:A,"&lt;="&amp;$D$3,LOG!B:B,$B$2))</f>
        <v/>
      </c>
      <c r="E30" s="22">
        <f>IF($B$2="TODOS",COUNTIFS(LOG!L:L,$A30,LOG!M:M,E$23,LOG!A:A,"&gt;="&amp;$B$3,LOG!A:A,"&lt;="&amp;$D$3),COUNTIFS(LOG!L:L,$A30,LOG!M:M,E$23,LOG!A:A,"&gt;="&amp;$B$3,LOG!A:A,"&lt;="&amp;$D$3,LOG!B:B,$B$2))</f>
        <v/>
      </c>
      <c r="F30" s="22">
        <f>IF($B$2="TODOS",COUNTIFS(LOG!L:L,$A30,LOG!M:M,F$23,LOG!A:A,"&gt;="&amp;$B$3,LOG!A:A,"&lt;="&amp;$D$3),COUNTIFS(LOG!L:L,$A30,LOG!M:M,F$23,LOG!A:A,"&gt;="&amp;$B$3,LOG!A:A,"&lt;="&amp;$D$3,LOG!B:B,$B$2))</f>
        <v/>
      </c>
      <c r="G30" s="22">
        <f>IF($B$2="TODOS",COUNTIFS(LOG!L:L,$A30,LOG!M:M,G$23,LOG!A:A,"&gt;="&amp;$B$3,LOG!A:A,"&lt;="&amp;$D$3),COUNTIFS(LOG!L:L,$A30,LOG!M:M,G$23,LOG!A:A,"&gt;="&amp;$B$3,LOG!A:A,"&lt;="&amp;$D$3,LOG!B:B,$B$2))</f>
        <v/>
      </c>
      <c r="H30" s="22">
        <f>IF($B$2="TODOS",COUNTIFS(LOG!L:L,$A30,LOG!M:M,H$23,LOG!A:A,"&gt;="&amp;$B$3,LOG!A:A,"&lt;="&amp;$D$3),COUNTIFS(LOG!L:L,$A30,LOG!M:M,H$23,LOG!A:A,"&gt;="&amp;$B$3,LOG!A:A,"&lt;="&amp;$D$3,LOG!B:B,$B$2))</f>
        <v/>
      </c>
      <c r="I30" s="22">
        <f>IF($B$2="TODOS",COUNTIFS(LOG!L:L,$A30,LOG!M:M,I$23,LOG!A:A,"&gt;="&amp;$B$3,LOG!A:A,"&lt;="&amp;$D$3),COUNTIFS(LOG!L:L,$A30,LOG!M:M,I$23,LOG!A:A,"&gt;="&amp;$B$3,LOG!A:A,"&lt;="&amp;$D$3,LOG!B:B,$B$2))</f>
        <v/>
      </c>
      <c r="J30" s="22">
        <f>IF($B$2="TODOS",COUNTIFS(LOG!L:L,$A30,LOG!M:M,J$23,LOG!A:A,"&gt;="&amp;$B$3,LOG!A:A,"&lt;="&amp;$D$3),COUNTIFS(LOG!L:L,$A30,LOG!M:M,J$23,LOG!A:A,"&gt;="&amp;$B$3,LOG!A:A,"&lt;="&amp;$D$3,LOG!B:B,$B$2))</f>
        <v/>
      </c>
      <c r="K30" s="22">
        <f>IF($B$2="TODOS",COUNTIFS(LOG!L:L,$A30,LOG!M:M,K$23,LOG!A:A,"&gt;="&amp;$B$3,LOG!A:A,"&lt;="&amp;$D$3),COUNTIFS(LOG!L:L,$A30,LOG!M:M,K$23,LOG!A:A,"&gt;="&amp;$B$3,LOG!A:A,"&lt;="&amp;$D$3,LOG!B:B,$B$2))</f>
        <v/>
      </c>
      <c r="L30" s="22">
        <f>IF($B$2="TODOS",COUNTIFS(LOG!L:L,$A30,LOG!M:M,L$23,LOG!A:A,"&gt;="&amp;$B$3,LOG!A:A,"&lt;="&amp;$D$3),COUNTIFS(LOG!L:L,$A30,LOG!M:M,L$23,LOG!A:A,"&gt;="&amp;$B$3,LOG!A:A,"&lt;="&amp;$D$3,LOG!B:B,$B$2))</f>
        <v/>
      </c>
      <c r="M30" s="22">
        <f>IF($B$2="TODOS",COUNTIFS(LOG!L:L,$A30,LOG!M:M,M$23,LOG!A:A,"&gt;="&amp;$B$3,LOG!A:A,"&lt;="&amp;$D$3),COUNTIFS(LOG!L:L,$A30,LOG!M:M,M$23,LOG!A:A,"&gt;="&amp;$B$3,LOG!A:A,"&lt;="&amp;$D$3,LOG!B:B,$B$2))</f>
        <v/>
      </c>
    </row>
    <row r="34">
      <c r="A34" s="21" t="inlineStr">
        <is>
          <t>📋 POR QUE NÃO COMPRAM — INTELIGÊNCIA DIRETORIA</t>
        </is>
      </c>
      <c r="B34" s="24" t="n"/>
      <c r="C34" s="24" t="n"/>
      <c r="D34" s="24" t="n"/>
    </row>
    <row r="35">
      <c r="A35" s="8" t="inlineStr">
        <is>
          <t>MOTIVO</t>
        </is>
      </c>
      <c r="B35" s="8" t="inlineStr">
        <is>
          <t>QTD</t>
        </is>
      </c>
      <c r="C35" s="8" t="inlineStr">
        <is>
          <t>%</t>
        </is>
      </c>
      <c r="D35" s="8" t="inlineStr">
        <is>
          <t>DONO DA AÇÃO</t>
        </is>
      </c>
    </row>
    <row r="36">
      <c r="A36" s="2" t="inlineStr">
        <is>
          <t>PRODUTO NÃO VENDEU / SEM GIRO</t>
        </is>
      </c>
      <c r="B36" s="22">
        <f>IF($B$2="TODOS",COUNTIFS(LOG!N:N,A36,LOG!A:A,"&gt;="&amp;$B$3,LOG!A:A,"&lt;="&amp;$D$3),COUNTIFS(LOG!N:N,A36,LOG!A:A,"&gt;="&amp;$B$3,LOG!A:A,"&lt;="&amp;$D$3,LOG!B:B,$B$2))</f>
        <v/>
      </c>
      <c r="C36" s="25">
        <f>IFERROR(B36/SUM($B$36:$B$45),0)</f>
        <v/>
      </c>
      <c r="D36" s="2" t="inlineStr">
        <is>
          <t>DIRETORIA / FÁBRICA</t>
        </is>
      </c>
    </row>
    <row r="37">
      <c r="A37" s="2" t="inlineStr">
        <is>
          <t>PREÇO ALTO / MARGEM</t>
        </is>
      </c>
      <c r="B37" s="22">
        <f>IF($B$2="TODOS",COUNTIFS(LOG!N:N,A37,LOG!A:A,"&gt;="&amp;$B$3,LOG!A:A,"&lt;="&amp;$D$3),COUNTIFS(LOG!N:N,A37,LOG!A:A,"&gt;="&amp;$B$3,LOG!A:A,"&lt;="&amp;$D$3,LOG!B:B,$B$2))</f>
        <v/>
      </c>
      <c r="C37" s="25">
        <f>IFERROR(B37/SUM($B$36:$B$45),0)</f>
        <v/>
      </c>
      <c r="D37" s="2" t="inlineStr">
        <is>
          <t>COMERCIAL</t>
        </is>
      </c>
    </row>
    <row r="38">
      <c r="A38" s="2" t="inlineStr">
        <is>
          <t>PREFERIU CONCORRENTE</t>
        </is>
      </c>
      <c r="B38" s="22">
        <f>IF($B$2="TODOS",COUNTIFS(LOG!N:N,A38,LOG!A:A,"&gt;="&amp;$B$3,LOG!A:A,"&lt;="&amp;$D$3),COUNTIFS(LOG!N:N,A38,LOG!A:A,"&gt;="&amp;$B$3,LOG!A:A,"&lt;="&amp;$D$3,LOG!B:B,$B$2))</f>
        <v/>
      </c>
      <c r="C38" s="25">
        <f>IFERROR(B38/SUM($B$36:$B$45),0)</f>
        <v/>
      </c>
      <c r="D38" s="2" t="inlineStr">
        <is>
          <t>COMERCIAL / MKT</t>
        </is>
      </c>
    </row>
    <row r="39">
      <c r="A39" s="2" t="inlineStr">
        <is>
          <t>PROBLEMA LOGÍSTICO</t>
        </is>
      </c>
      <c r="B39" s="22">
        <f>IF($B$2="TODOS",COUNTIFS(LOG!N:N,A39,LOG!A:A,"&gt;="&amp;$B$3,LOG!A:A,"&lt;="&amp;$D$3),COUNTIFS(LOG!N:N,A39,LOG!A:A,"&gt;="&amp;$B$3,LOG!A:A,"&lt;="&amp;$D$3,LOG!B:B,$B$2))</f>
        <v/>
      </c>
      <c r="C39" s="25">
        <f>IFERROR(B39/SUM($B$36:$B$45),0)</f>
        <v/>
      </c>
      <c r="D39" s="2" t="inlineStr">
        <is>
          <t>LOGÍSTICA</t>
        </is>
      </c>
    </row>
    <row r="40">
      <c r="A40" s="2" t="inlineStr">
        <is>
          <t>PROBLEMA FINANCEIRO</t>
        </is>
      </c>
      <c r="B40" s="22">
        <f>IF($B$2="TODOS",COUNTIFS(LOG!N:N,A40,LOG!A:A,"&gt;="&amp;$B$3,LOG!A:A,"&lt;="&amp;$D$3),COUNTIFS(LOG!N:N,A40,LOG!A:A,"&gt;="&amp;$B$3,LOG!A:A,"&lt;="&amp;$D$3,LOG!B:B,$B$2))</f>
        <v/>
      </c>
      <c r="C40" s="25">
        <f>IFERROR(B40/SUM($B$36:$B$45),0)</f>
        <v/>
      </c>
      <c r="D40" s="2" t="inlineStr">
        <is>
          <t>FINANCEIRO</t>
        </is>
      </c>
    </row>
    <row r="41">
      <c r="A41" s="2" t="inlineStr">
        <is>
          <t>AINDA TEM ESTOQUE</t>
        </is>
      </c>
      <c r="B41" s="22">
        <f>IF($B$2="TODOS",COUNTIFS(LOG!N:N,A41,LOG!A:A,"&gt;="&amp;$B$3,LOG!A:A,"&lt;="&amp;$D$3),COUNTIFS(LOG!N:N,A41,LOG!A:A,"&gt;="&amp;$B$3,LOG!A:A,"&lt;="&amp;$D$3,LOG!B:B,$B$2))</f>
        <v/>
      </c>
      <c r="C41" s="25">
        <f>IFERROR(B41/SUM($B$36:$B$45),0)</f>
        <v/>
      </c>
      <c r="D41" s="2" t="inlineStr">
        <is>
          <t>NORMAL</t>
        </is>
      </c>
    </row>
    <row r="42">
      <c r="A42" s="2" t="inlineStr">
        <is>
          <t>FECHOU LOJA</t>
        </is>
      </c>
      <c r="B42" s="22">
        <f>IF($B$2="TODOS",COUNTIFS(LOG!N:N,A42,LOG!A:A,"&gt;="&amp;$B$3,LOG!A:A,"&lt;="&amp;$D$3),COUNTIFS(LOG!N:N,A42,LOG!A:A,"&gt;="&amp;$B$3,LOG!A:A,"&lt;="&amp;$D$3,LOG!B:B,$B$2))</f>
        <v/>
      </c>
      <c r="C42" s="25">
        <f>IFERROR(B42/SUM($B$36:$B$45),0)</f>
        <v/>
      </c>
      <c r="D42" s="2" t="inlineStr">
        <is>
          <t>PERDA</t>
        </is>
      </c>
    </row>
    <row r="43">
      <c r="A43" s="2" t="inlineStr">
        <is>
          <t>SEM INTERESSE</t>
        </is>
      </c>
      <c r="B43" s="22">
        <f>IF($B$2="TODOS",COUNTIFS(LOG!N:N,A43,LOG!A:A,"&gt;="&amp;$B$3,LOG!A:A,"&lt;="&amp;$D$3),COUNTIFS(LOG!N:N,A43,LOG!A:A,"&gt;="&amp;$B$3,LOG!A:A,"&lt;="&amp;$D$3,LOG!B:B,$B$2))</f>
        <v/>
      </c>
      <c r="C43" s="25">
        <f>IFERROR(B43/SUM($B$36:$B$45),0)</f>
        <v/>
      </c>
      <c r="D43" s="2" t="inlineStr">
        <is>
          <t>NUTRIÇÃO</t>
        </is>
      </c>
    </row>
    <row r="44">
      <c r="A44" s="2" t="inlineStr">
        <is>
          <t>VIAJANDO / INDISPONÍVEL</t>
        </is>
      </c>
      <c r="B44" s="22">
        <f>IF($B$2="TODOS",COUNTIFS(LOG!N:N,A44,LOG!A:A,"&gt;="&amp;$B$3,LOG!A:A,"&lt;="&amp;$D$3),COUNTIFS(LOG!N:N,A44,LOG!A:A,"&gt;="&amp;$B$3,LOG!A:A,"&lt;="&amp;$D$3,LOG!B:B,$B$2))</f>
        <v/>
      </c>
      <c r="C44" s="25">
        <f>IFERROR(B44/SUM($B$36:$B$45),0)</f>
        <v/>
      </c>
      <c r="D44" s="2" t="inlineStr">
        <is>
          <t>NORMAL</t>
        </is>
      </c>
    </row>
    <row r="45">
      <c r="A45" s="2" t="inlineStr">
        <is>
          <t>1º CONTATO / SEM MOTIVO</t>
        </is>
      </c>
      <c r="B45" s="22">
        <f>IF($B$2="TODOS",COUNTIFS(LOG!N:N,A45,LOG!A:A,"&gt;="&amp;$B$3,LOG!A:A,"&lt;="&amp;$D$3),COUNTIFS(LOG!N:N,A45,LOG!A:A,"&gt;="&amp;$B$3,LOG!A:A,"&lt;="&amp;$D$3,LOG!B:B,$B$2))</f>
        <v/>
      </c>
      <c r="C45" s="25">
        <f>IFERROR(B45/SUM($B$36:$B$45),0)</f>
        <v/>
      </c>
      <c r="D45" s="2" t="inlineStr">
        <is>
          <t>NORMAL</t>
        </is>
      </c>
    </row>
    <row r="46">
      <c r="A46" s="23" t="inlineStr">
        <is>
          <t>TOTAL</t>
        </is>
      </c>
      <c r="B46" s="23">
        <f>SUM(B36:B45)</f>
        <v/>
      </c>
      <c r="C46" s="26" t="n">
        <v>1</v>
      </c>
    </row>
    <row r="49">
      <c r="A49" s="21" t="inlineStr">
        <is>
          <t>FORMA DO CONTATO</t>
        </is>
      </c>
      <c r="B49" s="24" t="n"/>
      <c r="C49" s="24" t="n"/>
    </row>
    <row r="50">
      <c r="A50" s="8" t="inlineStr">
        <is>
          <t>FORMA</t>
        </is>
      </c>
      <c r="B50" s="8" t="inlineStr">
        <is>
          <t>QTD</t>
        </is>
      </c>
      <c r="C50" s="8" t="inlineStr">
        <is>
          <t>%</t>
        </is>
      </c>
    </row>
    <row r="51">
      <c r="A51" s="2" t="inlineStr">
        <is>
          <t>Só WhatsApp</t>
        </is>
      </c>
      <c r="B51" s="22">
        <f>IF($B$2="TODOS",COUNTIFS(LOG!H:H,"SIM",LOG!I:I,"NÃO",LOG!A:A,"&gt;="&amp;$B$3,LOG!A:A,"&lt;="&amp;$D$3),COUNTIFS(LOG!H:H,"SIM",LOG!I:I,"NÃO",LOG!A:A,"&gt;="&amp;$B$3,LOG!A:A,"&lt;="&amp;$D$3,LOG!B:B,$B$2))</f>
        <v/>
      </c>
      <c r="C51" s="25">
        <f>IFERROR(B51/SUM($B$51:$B$53),0)</f>
        <v/>
      </c>
    </row>
    <row r="52">
      <c r="A52" s="2" t="inlineStr">
        <is>
          <t>Só Ligação</t>
        </is>
      </c>
      <c r="B52" s="22">
        <f>IF($B$2="TODOS",COUNTIFS(LOG!H:H,"NÃO",LOG!I:I,"SIM",LOG!A:A,"&gt;="&amp;$B$3,LOG!A:A,"&lt;="&amp;$D$3),COUNTIFS(LOG!H:H,"NÃO",LOG!I:I,"SIM",LOG!A:A,"&gt;="&amp;$B$3,LOG!A:A,"&lt;="&amp;$D$3,LOG!B:B,$B$2))</f>
        <v/>
      </c>
      <c r="C52" s="25">
        <f>IFERROR(B52/SUM($B$51:$B$53),0)</f>
        <v/>
      </c>
    </row>
    <row r="53">
      <c r="A53" s="2" t="inlineStr">
        <is>
          <t>WhatsApp + Ligação</t>
        </is>
      </c>
      <c r="B53" s="22">
        <f>IF($B$2="TODOS",COUNTIFS(LOG!H:H,"SIM",LOG!I:I,"SIM",LOG!A:A,"&gt;="&amp;$B$3,LOG!A:A,"&lt;="&amp;$D$3),COUNTIFS(LOG!H:H,"SIM",LOG!I:I,"SIM",LOG!A:A,"&gt;="&amp;$B$3,LOG!A:A,"&lt;="&amp;$D$3,LOG!B:B,$B$2))</f>
        <v/>
      </c>
      <c r="C53" s="25">
        <f>IFERROR(B53/SUM($B$51:$B$53),0)</f>
        <v/>
      </c>
    </row>
    <row r="56">
      <c r="A56" s="21" t="inlineStr">
        <is>
          <t>PRODUTIVIDADE POR CONSULTOR</t>
        </is>
      </c>
      <c r="B56" s="24" t="n"/>
      <c r="C56" s="24" t="n"/>
      <c r="D56" s="24" t="n"/>
      <c r="E56" s="24" t="n"/>
      <c r="F56" s="24" t="n"/>
    </row>
    <row r="57">
      <c r="A57" s="8" t="inlineStr">
        <is>
          <t>CONSULTOR</t>
        </is>
      </c>
      <c r="B57" s="8" t="inlineStr">
        <is>
          <t>CONTATOS</t>
        </is>
      </c>
      <c r="C57" s="8" t="inlineStr">
        <is>
          <t>VENDAS</t>
        </is>
      </c>
      <c r="D57" s="8" t="inlineStr">
        <is>
          <t>ORÇAMENTOS</t>
        </is>
      </c>
      <c r="E57" s="8" t="inlineStr">
        <is>
          <t>% CONVERSÃO</t>
        </is>
      </c>
      <c r="F57" s="8" t="inlineStr">
        <is>
          <t>MÉDIA/DIA</t>
        </is>
      </c>
    </row>
    <row r="58">
      <c r="A58" s="2" t="inlineStr">
        <is>
          <t>MANU DITZEL</t>
        </is>
      </c>
      <c r="B58" s="22">
        <f>COUNTIFS(LOG!B:B,A58,LOG!A:A,"&gt;="&amp;$B$3,LOG!A:A,"&lt;="&amp;$D$3)</f>
        <v/>
      </c>
      <c r="C58" s="22">
        <f>COUNTIFS(LOG!B:B,A58,LOG!M:M,"VENDA / PEDIDO",LOG!A:A,"&gt;="&amp;$B$3,LOG!A:A,"&lt;="&amp;$D$3)</f>
        <v/>
      </c>
      <c r="D58" s="22">
        <f>COUNTIFS(LOG!B:B,A58,LOG!M:M,"ORÇAMENTO",LOG!A:A,"&gt;="&amp;$B$3,LOG!A:A,"&lt;="&amp;$D$3)</f>
        <v/>
      </c>
      <c r="E58" s="25">
        <f>IFERROR(C58/B58,0)</f>
        <v/>
      </c>
      <c r="F58" s="27">
        <f>IFERROR(B58/MAX(1,$D$3-$B$3+1),0)</f>
        <v/>
      </c>
    </row>
    <row r="59">
      <c r="A59" s="2" t="inlineStr">
        <is>
          <t>LARISSA PADILHA</t>
        </is>
      </c>
      <c r="B59" s="22">
        <f>COUNTIFS(LOG!B:B,A59,LOG!A:A,"&gt;="&amp;$B$3,LOG!A:A,"&lt;="&amp;$D$3)</f>
        <v/>
      </c>
      <c r="C59" s="22">
        <f>COUNTIFS(LOG!B:B,A59,LOG!M:M,"VENDA / PEDIDO",LOG!A:A,"&gt;="&amp;$B$3,LOG!A:A,"&lt;="&amp;$D$3)</f>
        <v/>
      </c>
      <c r="D59" s="22">
        <f>COUNTIFS(LOG!B:B,A59,LOG!M:M,"ORÇAMENTO",LOG!A:A,"&gt;="&amp;$B$3,LOG!A:A,"&lt;="&amp;$D$3)</f>
        <v/>
      </c>
      <c r="E59" s="25">
        <f>IFERROR(C59/B59,0)</f>
        <v/>
      </c>
      <c r="F59" s="27">
        <f>IFERROR(B59/MAX(1,$D$3-$B$3+1),0)</f>
        <v/>
      </c>
    </row>
    <row r="60">
      <c r="A60" s="2" t="inlineStr">
        <is>
          <t>JULIO GADRET</t>
        </is>
      </c>
      <c r="B60" s="22">
        <f>COUNTIFS(LOG!B:B,A60,LOG!A:A,"&gt;="&amp;$B$3,LOG!A:A,"&lt;="&amp;$D$3)</f>
        <v/>
      </c>
      <c r="C60" s="22">
        <f>COUNTIFS(LOG!B:B,A60,LOG!M:M,"VENDA / PEDIDO",LOG!A:A,"&gt;="&amp;$B$3,LOG!A:A,"&lt;="&amp;$D$3)</f>
        <v/>
      </c>
      <c r="D60" s="22">
        <f>COUNTIFS(LOG!B:B,A60,LOG!M:M,"ORÇAMENTO",LOG!A:A,"&gt;="&amp;$B$3,LOG!A:A,"&lt;="&amp;$D$3)</f>
        <v/>
      </c>
      <c r="E60" s="25">
        <f>IFERROR(C60/B60,0)</f>
        <v/>
      </c>
      <c r="F60" s="27">
        <f>IFERROR(B60/MAX(1,$D$3-$B$3+1),0)</f>
        <v/>
      </c>
    </row>
    <row r="61">
      <c r="A61" s="2" t="inlineStr">
        <is>
          <t>DAIANE STAVICKI</t>
        </is>
      </c>
      <c r="B61" s="22">
        <f>COUNTIFS(LOG!B:B,A61,LOG!A:A,"&gt;="&amp;$B$3,LOG!A:A,"&lt;="&amp;$D$3)</f>
        <v/>
      </c>
      <c r="C61" s="22">
        <f>COUNTIFS(LOG!B:B,A61,LOG!M:M,"VENDA / PEDIDO",LOG!A:A,"&gt;="&amp;$B$3,LOG!A:A,"&lt;="&amp;$D$3)</f>
        <v/>
      </c>
      <c r="D61" s="22">
        <f>COUNTIFS(LOG!B:B,A61,LOG!M:M,"ORÇAMENTO",LOG!A:A,"&gt;="&amp;$B$3,LOG!A:A,"&lt;="&amp;$D$3)</f>
        <v/>
      </c>
      <c r="E61" s="25">
        <f>IFERROR(C61/B61,0)</f>
        <v/>
      </c>
      <c r="F61" s="27">
        <f>IFERROR(B61/MAX(1,$D$3-$B$3+1),0)</f>
        <v/>
      </c>
    </row>
    <row r="62">
      <c r="A62" s="23" t="inlineStr">
        <is>
          <t>TOTAL</t>
        </is>
      </c>
      <c r="B62" s="23">
        <f>SUM(B58:B61)</f>
        <v/>
      </c>
      <c r="C62" s="23">
        <f>SUM(C58:C61)</f>
        <v/>
      </c>
      <c r="D62" s="23">
        <f>SUM(D58:D61)</f>
        <v/>
      </c>
      <c r="E62" s="26">
        <f>IFERROR(C62/B62,0)</f>
        <v/>
      </c>
      <c r="F62" s="28">
        <f>IFERROR(B62/MAX(1,$D$3-$B$3+1),0)</f>
        <v/>
      </c>
    </row>
  </sheetData>
  <mergeCells count="1">
    <mergeCell ref="A1:H1"/>
  </mergeCells>
  <conditionalFormatting sqref="C36">
    <cfRule type="cellIs" priority="1" operator="greaterThan" dxfId="3">
      <formula>0.35</formula>
    </cfRule>
  </conditionalFormatting>
  <dataValidations count="1">
    <dataValidation sqref="B2" showDropDown="0" showInputMessage="0" showErrorMessage="0" allowBlank="1" type="list">
      <formula1>"TODOS,MANU DITZEL,LARISSA PADILHA,JULIO GADRET,DAIANE STAVICKI"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00B050"/>
    <outlinePr summaryBelow="1" summaryRight="1"/>
    <pageSetUpPr/>
  </sheetPr>
  <dimension ref="A1:X9"/>
  <sheetViews>
    <sheetView zoomScale="9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22" customWidth="1" min="1" max="1"/>
    <col width="18" customWidth="1" min="2" max="2"/>
    <col width="16" customWidth="1" min="3" max="3"/>
    <col width="16" customWidth="1" min="4" max="4"/>
    <col width="16" customWidth="1" min="5" max="5"/>
    <col width="22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22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28" customWidth="1" min="19" max="19"/>
    <col width="22" customWidth="1" min="20" max="20"/>
    <col width="28" customWidth="1" min="21" max="21"/>
    <col width="16" customWidth="1" min="22" max="22"/>
    <col width="16" customWidth="1" min="23" max="23"/>
    <col width="25" customWidth="1" min="24" max="24"/>
  </cols>
  <sheetData>
    <row r="1">
      <c r="A1" s="16" t="inlineStr">
        <is>
          <t>📋 AGENDA DD/MM/AAAA — [CONSULTOR]</t>
        </is>
      </c>
    </row>
    <row r="2">
      <c r="A2" s="29" t="inlineStr">
        <is>
          <t>Cart:XX | Prosp:XX | Follow-ups:XX | Novos:XX</t>
        </is>
      </c>
    </row>
    <row r="3">
      <c r="A3" s="29" t="inlineStr">
        <is>
          <t>⏰ 8:00 Reunião | ☀ 9-12 CARTEIRA | 🌙 13-17 PROSPECÇÃO</t>
        </is>
      </c>
    </row>
    <row r="4">
      <c r="A4" s="30" t="inlineStr">
        <is>
          <t>⚠ REGISTRAR TUDO: Mercos + Kanban WhatsApp + Esta planilha</t>
        </is>
      </c>
      <c r="B4" s="31" t="n"/>
      <c r="C4" s="31" t="n"/>
      <c r="D4" s="31" t="n"/>
      <c r="E4" s="31" t="n"/>
      <c r="F4" s="31" t="n"/>
      <c r="G4" s="31" t="n"/>
      <c r="H4" s="31" t="n"/>
      <c r="I4" s="31" t="n"/>
      <c r="J4" s="31" t="n"/>
      <c r="K4" s="31" t="n"/>
      <c r="L4" s="31" t="n"/>
      <c r="M4" s="31" t="n"/>
      <c r="N4" s="31" t="n"/>
      <c r="O4" s="31" t="n"/>
      <c r="P4" s="31" t="n"/>
      <c r="Q4" s="31" t="n"/>
      <c r="R4" s="31" t="n"/>
      <c r="S4" s="31" t="n"/>
      <c r="T4" s="31" t="n"/>
      <c r="U4" s="31" t="n"/>
      <c r="V4" s="31" t="n"/>
      <c r="W4" s="31" t="n"/>
      <c r="X4" s="31" t="n"/>
    </row>
    <row r="6">
      <c r="A6" s="32" t="inlineStr">
        <is>
          <t>NOME FANTASIA</t>
        </is>
      </c>
      <c r="B6" s="32" t="inlineStr">
        <is>
          <t>CNPJ</t>
        </is>
      </c>
      <c r="C6" s="32" t="inlineStr">
        <is>
          <t>UF</t>
        </is>
      </c>
      <c r="D6" s="32" t="inlineStr">
        <is>
          <t>REDE/REGIONAL</t>
        </is>
      </c>
      <c r="E6" s="32" t="inlineStr">
        <is>
          <t>TELEFONE</t>
        </is>
      </c>
      <c r="F6" s="32" t="inlineStr">
        <is>
          <t>EMAIL</t>
        </is>
      </c>
      <c r="G6" s="32" t="inlineStr">
        <is>
          <t>SITUAÇÃO</t>
        </is>
      </c>
      <c r="H6" s="32" t="inlineStr">
        <is>
          <t>DIAS SEM COMPRA</t>
        </is>
      </c>
      <c r="I6" s="32" t="inlineStr">
        <is>
          <t>SINALEIRO</t>
        </is>
      </c>
      <c r="J6" s="32" t="inlineStr">
        <is>
          <t>FASE</t>
        </is>
      </c>
      <c r="K6" s="32" t="inlineStr">
        <is>
          <t>TENTATIVA</t>
        </is>
      </c>
      <c r="L6" s="32" t="inlineStr">
        <is>
          <t>AÇÃO SUGERIDA</t>
        </is>
      </c>
      <c r="M6" s="32" t="inlineStr">
        <is>
          <t>BLOCO</t>
        </is>
      </c>
      <c r="N6" s="32" t="inlineStr">
        <is>
          <t>ÚLTIMO RESULTADO</t>
        </is>
      </c>
      <c r="O6" s="33" t="inlineStr">
        <is>
          <t>WHATSAPP</t>
        </is>
      </c>
      <c r="P6" s="33" t="inlineStr">
        <is>
          <t>LIGAÇÃO</t>
        </is>
      </c>
      <c r="Q6" s="33" t="inlineStr">
        <is>
          <t>LIGAÇÃO ATENDIDA</t>
        </is>
      </c>
      <c r="R6" s="33" t="inlineStr">
        <is>
          <t>TIPO AÇÃO</t>
        </is>
      </c>
      <c r="S6" s="33" t="inlineStr">
        <is>
          <t>TIPO DO CONTATO</t>
        </is>
      </c>
      <c r="T6" s="33" t="inlineStr">
        <is>
          <t>RESULTADO</t>
        </is>
      </c>
      <c r="U6" s="33" t="inlineStr">
        <is>
          <t>MOTIVO</t>
        </is>
      </c>
      <c r="V6" s="33" t="inlineStr">
        <is>
          <t>AÇÃO FUTURA</t>
        </is>
      </c>
      <c r="W6" s="33" t="inlineStr">
        <is>
          <t>MERCOS ATUALIZADO</t>
        </is>
      </c>
      <c r="X6" s="33" t="inlineStr">
        <is>
          <t>NOTA DO DIA</t>
        </is>
      </c>
    </row>
    <row r="7">
      <c r="A7" s="2" t="inlineStr">
        <is>
          <t>DIVINA TERRA CWB</t>
        </is>
      </c>
      <c r="B7" s="2" t="inlineStr">
        <is>
          <t>32828171000108</t>
        </is>
      </c>
      <c r="C7" s="2" t="inlineStr">
        <is>
          <t>PR</t>
        </is>
      </c>
      <c r="D7" s="2" t="inlineStr">
        <is>
          <t>DIVINA TERRA</t>
        </is>
      </c>
      <c r="E7" s="2" t="inlineStr">
        <is>
          <t>5541999990001</t>
        </is>
      </c>
      <c r="F7" s="2" t="inlineStr">
        <is>
          <t>divina@email.com</t>
        </is>
      </c>
      <c r="G7" s="2" t="inlineStr">
        <is>
          <t>ATIVO</t>
        </is>
      </c>
      <c r="H7" s="2" t="n">
        <v>12</v>
      </c>
      <c r="I7" s="2" t="inlineStr">
        <is>
          <t>🟢</t>
        </is>
      </c>
      <c r="J7" s="2" t="inlineStr">
        <is>
          <t>CS</t>
        </is>
      </c>
      <c r="K7" s="2" t="inlineStr">
        <is>
          <t>T1</t>
        </is>
      </c>
      <c r="L7" s="2" t="inlineStr">
        <is>
          <t>Ligar oferecer mix</t>
        </is>
      </c>
      <c r="M7" s="2" t="inlineStr">
        <is>
          <t>MANHÃ</t>
        </is>
      </c>
      <c r="N7" s="2" t="inlineStr">
        <is>
          <t>RELACIONAMENTO</t>
        </is>
      </c>
      <c r="O7" s="2" t="inlineStr">
        <is>
          <t>SIM</t>
        </is>
      </c>
      <c r="P7" s="2" t="inlineStr">
        <is>
          <t>NÃO</t>
        </is>
      </c>
      <c r="Q7" s="2" t="inlineStr">
        <is>
          <t>N/A</t>
        </is>
      </c>
      <c r="R7" s="2" t="inlineStr">
        <is>
          <t>ATIVO</t>
        </is>
      </c>
      <c r="S7" s="2" t="inlineStr">
        <is>
          <t>PÓS-VENDA / RELACIONAMENTO</t>
        </is>
      </c>
      <c r="T7" s="2" t="inlineStr">
        <is>
          <t>RELACIONAMENTO</t>
        </is>
      </c>
      <c r="U7" s="2" t="inlineStr">
        <is>
          <t>AINDA TEM ESTOQUE</t>
        </is>
      </c>
      <c r="V7" s="2" t="inlineStr">
        <is>
          <t>Verificar estoque</t>
        </is>
      </c>
      <c r="W7" s="2" t="inlineStr">
        <is>
          <t>SIM</t>
        </is>
      </c>
      <c r="X7" s="2" t="inlineStr">
        <is>
          <t>Cliente satisfeito</t>
        </is>
      </c>
    </row>
    <row r="8">
      <c r="A8" s="2" t="inlineStr">
        <is>
          <t>ALICE GRAOS</t>
        </is>
      </c>
      <c r="B8" s="2" t="inlineStr">
        <is>
          <t>41626544000140</t>
        </is>
      </c>
      <c r="C8" s="2" t="inlineStr">
        <is>
          <t>RS</t>
        </is>
      </c>
      <c r="D8" s="2" t="inlineStr">
        <is>
          <t>TUDO EM GRAOS</t>
        </is>
      </c>
      <c r="E8" s="2" t="inlineStr">
        <is>
          <t>5551999990002</t>
        </is>
      </c>
      <c r="F8" s="2" t="inlineStr">
        <is>
          <t>alice@email.com</t>
        </is>
      </c>
      <c r="G8" s="2" t="inlineStr">
        <is>
          <t>EM RISCO</t>
        </is>
      </c>
      <c r="H8" s="2" t="n">
        <v>53</v>
      </c>
      <c r="I8" s="2" t="inlineStr">
        <is>
          <t>🟡</t>
        </is>
      </c>
      <c r="J8" s="2" t="inlineStr">
        <is>
          <t>RECOMPRA</t>
        </is>
      </c>
      <c r="K8" s="2" t="inlineStr">
        <is>
          <t>T1</t>
        </is>
      </c>
      <c r="L8" s="2" t="inlineStr">
        <is>
          <t>WhatsApp recompra</t>
        </is>
      </c>
      <c r="M8" s="2" t="inlineStr">
        <is>
          <t>MANHÃ</t>
        </is>
      </c>
      <c r="N8" s="2" t="inlineStr">
        <is>
          <t>NÃO RESPONDE</t>
        </is>
      </c>
      <c r="O8" s="2" t="inlineStr"/>
      <c r="P8" s="2" t="inlineStr"/>
      <c r="Q8" s="2" t="inlineStr"/>
      <c r="R8" s="2" t="inlineStr"/>
      <c r="S8" s="2" t="inlineStr"/>
      <c r="T8" s="2" t="inlineStr"/>
      <c r="U8" s="2" t="inlineStr"/>
      <c r="V8" s="2" t="inlineStr"/>
      <c r="W8" s="2" t="inlineStr"/>
      <c r="X8" s="2" t="inlineStr"/>
    </row>
    <row r="9">
      <c r="A9" s="2" t="inlineStr">
        <is>
          <t>CIA SAUDE SP</t>
        </is>
      </c>
      <c r="B9" s="2" t="inlineStr">
        <is>
          <t>12345678000199</t>
        </is>
      </c>
      <c r="C9" s="2" t="inlineStr">
        <is>
          <t>SP</t>
        </is>
      </c>
      <c r="D9" s="2" t="inlineStr">
        <is>
          <t>CIA DA SAUDE</t>
        </is>
      </c>
      <c r="E9" s="2" t="inlineStr">
        <is>
          <t>5511999990005</t>
        </is>
      </c>
      <c r="F9" s="2" t="inlineStr">
        <is>
          <t>ciasaude@email.com</t>
        </is>
      </c>
      <c r="G9" s="2" t="inlineStr">
        <is>
          <t>ATIVO</t>
        </is>
      </c>
      <c r="H9" s="2" t="n">
        <v>9</v>
      </c>
      <c r="I9" s="2" t="inlineStr">
        <is>
          <t>🟢</t>
        </is>
      </c>
      <c r="J9" s="2" t="inlineStr">
        <is>
          <t>PÓS-VENDA</t>
        </is>
      </c>
      <c r="K9" s="2" t="inlineStr">
        <is>
          <t>T1</t>
        </is>
      </c>
      <c r="L9" s="2" t="inlineStr">
        <is>
          <t>Ligar confirmar pedido</t>
        </is>
      </c>
      <c r="M9" s="2" t="inlineStr">
        <is>
          <t>MANHÃ</t>
        </is>
      </c>
      <c r="N9" s="2" t="inlineStr">
        <is>
          <t>VENDA / PEDIDO</t>
        </is>
      </c>
      <c r="O9" s="2" t="inlineStr">
        <is>
          <t>NÃO</t>
        </is>
      </c>
      <c r="P9" s="2" t="inlineStr">
        <is>
          <t>SIM</t>
        </is>
      </c>
      <c r="Q9" s="2" t="inlineStr">
        <is>
          <t>SIM</t>
        </is>
      </c>
      <c r="R9" s="2" t="inlineStr">
        <is>
          <t>ATIVO</t>
        </is>
      </c>
      <c r="S9" s="2" t="inlineStr">
        <is>
          <t>ATEND. CLIENTES ATIVOS</t>
        </is>
      </c>
      <c r="T9" s="2" t="inlineStr">
        <is>
          <t>VENDA / PEDIDO</t>
        </is>
      </c>
      <c r="U9" s="2" t="inlineStr"/>
      <c r="V9" s="2" t="inlineStr">
        <is>
          <t>Pedido confirmado</t>
        </is>
      </c>
      <c r="W9" s="2" t="inlineStr">
        <is>
          <t>SIM</t>
        </is>
      </c>
      <c r="X9" s="2" t="inlineStr">
        <is>
          <t>Pedido R$ 2.200</t>
        </is>
      </c>
    </row>
  </sheetData>
  <mergeCells count="4">
    <mergeCell ref="A3:X3"/>
    <mergeCell ref="A2:X2"/>
    <mergeCell ref="A1:X1"/>
    <mergeCell ref="A4:X4"/>
  </mergeCells>
  <dataValidations count="9">
    <dataValidation sqref="O7:O1000" showDropDown="0" showInputMessage="0" showErrorMessage="0" allowBlank="1" type="list">
      <formula1>LISTA_SIM_NAO</formula1>
    </dataValidation>
    <dataValidation sqref="P7:P1000" showDropDown="0" showInputMessage="0" showErrorMessage="0" allowBlank="1" type="list">
      <formula1>LISTA_SIM_NAO</formula1>
    </dataValidation>
    <dataValidation sqref="Q7:Q1000" showDropDown="0" showInputMessage="0" showErrorMessage="0" allowBlank="1" type="list">
      <formula1>LISTA_SIM_NAO_NA</formula1>
    </dataValidation>
    <dataValidation sqref="R7:R1000" showDropDown="0" showInputMessage="0" showErrorMessage="0" allowBlank="1" type="list">
      <formula1>LISTA_ATIVO_RECEPTIVO</formula1>
    </dataValidation>
    <dataValidation sqref="S7:S1000" showDropDown="0" showInputMessage="0" showErrorMessage="0" allowBlank="1" type="list">
      <formula1>LISTA_TIPO_CONTATO</formula1>
    </dataValidation>
    <dataValidation sqref="T7:T1000" showDropDown="0" showInputMessage="0" showErrorMessage="0" allowBlank="1" type="list">
      <formula1>LISTA_RESULTADO</formula1>
    </dataValidation>
    <dataValidation sqref="U7:U1000" showDropDown="0" showInputMessage="0" showErrorMessage="0" allowBlank="1" type="list">
      <formula1>LISTA_MOTIVO</formula1>
    </dataValidation>
    <dataValidation sqref="W7:W1000" showDropDown="0" showInputMessage="0" showErrorMessage="0" allowBlank="1" type="list">
      <formula1>LISTA_SIM_NAO</formula1>
    </dataValidation>
    <dataValidation sqref="V7:V1000" showDropDown="0" showInputMessage="0" showErrorMessage="0" allowBlank="1" type="list">
      <formula1>LISTA_ACAO_FUTURA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2026-02-09T22:41:14Z</dcterms:created>
  <dcterms:modified xsi:type="dcterms:W3CDTF">2026-02-09T22:41:14Z</dcterms:modified>
</cp:coreProperties>
</file>